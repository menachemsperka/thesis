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120" documentId="11_C0C5CA2FD0D673B5621E9D3312758384A07477A4" xr6:coauthVersionLast="47" xr6:coauthVersionMax="47" xr10:uidLastSave="{2C5E8F76-7419-441B-8E00-6D186603E4D5}"/>
  <bookViews>
    <workbookView xWindow="-108" yWindow="-108" windowWidth="23256" windowHeight="13896" firstSheet="2" activeTab="2" xr2:uid="{00000000-000D-0000-FFFF-FFFF00000000}"/>
  </bookViews>
  <sheets>
    <sheet name="dataset_details" sheetId="1" r:id="rId1"/>
    <sheet name="summary_pivot" sheetId="2" r:id="rId2"/>
    <sheet name="summary_by_train_mode" sheetId="8" r:id="rId3"/>
    <sheet name="all_runs" sheetId="3" r:id="rId4"/>
    <sheet name="deltas_split_variants" sheetId="4" r:id="rId5"/>
    <sheet name="paired_summary" sheetId="5" r:id="rId6"/>
    <sheet name="documentation" sheetId="6" r:id="rId7"/>
    <sheet name="exp10_error_analysis" sheetId="7" r:id="rId8"/>
  </sheets>
  <definedNames>
    <definedName name="_xlnm._FilterDatabase" localSheetId="3" hidden="1">all_runs!$A$1:$AB$721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jg/VqwNuT5HAQMz9iBbZXW5Lo5pzYtfZ29NyKiRQwjg="/>
    </ext>
  </extLst>
</workbook>
</file>

<file path=xl/calcChain.xml><?xml version="1.0" encoding="utf-8"?>
<calcChain xmlns="http://schemas.openxmlformats.org/spreadsheetml/2006/main">
  <c r="O20" i="8" l="1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N20" i="8" a="1"/>
  <c r="N20" i="8" s="1"/>
  <c r="N19" i="8" a="1"/>
  <c r="N19" i="8" s="1"/>
  <c r="N18" i="8" a="1"/>
  <c r="N18" i="8" s="1"/>
  <c r="N17" i="8" a="1"/>
  <c r="N17" i="8" s="1"/>
  <c r="N16" i="8" a="1"/>
  <c r="N16" i="8" s="1"/>
  <c r="N15" i="8" a="1"/>
  <c r="N15" i="8" s="1"/>
  <c r="N14" i="8" a="1"/>
  <c r="N14" i="8" s="1"/>
  <c r="N13" i="8" a="1"/>
  <c r="N13" i="8" s="1"/>
  <c r="N12" i="8" a="1"/>
  <c r="N12" i="8" s="1"/>
  <c r="N11" i="8" a="1"/>
  <c r="N11" i="8" s="1"/>
  <c r="N10" i="8" a="1"/>
  <c r="N10" i="8" s="1"/>
  <c r="N9" i="8" a="1"/>
  <c r="N9" i="8" s="1"/>
  <c r="N8" i="8" a="1"/>
  <c r="N8" i="8" s="1"/>
  <c r="N7" i="8" a="1"/>
  <c r="N7" i="8" s="1"/>
  <c r="N6" i="8" a="1"/>
  <c r="N6" i="8" s="1"/>
  <c r="N5" i="8" a="1"/>
  <c r="N5" i="8" s="1"/>
  <c r="N4" i="8" a="1"/>
  <c r="N4" i="8" s="1"/>
  <c r="N3" i="8" a="1"/>
  <c r="N3" i="8" s="1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F20" i="8" a="1"/>
  <c r="F20" i="8" s="1"/>
  <c r="F19" i="8" a="1"/>
  <c r="F19" i="8" s="1"/>
  <c r="F18" i="8" a="1"/>
  <c r="F18" i="8" s="1"/>
  <c r="F17" i="8" a="1"/>
  <c r="F17" i="8" s="1"/>
  <c r="F16" i="8" a="1"/>
  <c r="F16" i="8" s="1"/>
  <c r="F15" i="8" a="1"/>
  <c r="F15" i="8" s="1"/>
  <c r="F14" i="8" a="1"/>
  <c r="F14" i="8" s="1"/>
  <c r="F13" i="8" a="1"/>
  <c r="F13" i="8" s="1"/>
  <c r="F12" i="8" a="1"/>
  <c r="F12" i="8" s="1"/>
  <c r="F11" i="8" a="1"/>
  <c r="F11" i="8" s="1"/>
  <c r="F10" i="8" a="1"/>
  <c r="F10" i="8" s="1"/>
  <c r="F9" i="8" a="1"/>
  <c r="F9" i="8" s="1"/>
  <c r="F8" i="8" a="1"/>
  <c r="F8" i="8" s="1"/>
  <c r="F7" i="8" a="1"/>
  <c r="F7" i="8" s="1"/>
  <c r="F6" i="8" a="1"/>
  <c r="F6" i="8" s="1"/>
  <c r="F5" i="8" a="1"/>
  <c r="F5" i="8" s="1"/>
  <c r="F4" i="8" a="1"/>
  <c r="F4" i="8" s="1"/>
  <c r="F3" i="8" a="1"/>
  <c r="F3" i="8" s="1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<sst xmlns="http://schemas.openxmlformats.org/spreadsheetml/2006/main" count="17600" uniqueCount="2610">
  <si>
    <t>benchmark_key</t>
  </si>
  <si>
    <t>benchmark_label</t>
  </si>
  <si>
    <t>model_id</t>
  </si>
  <si>
    <t>model_name</t>
  </si>
  <si>
    <t>experiment_id</t>
  </si>
  <si>
    <t>experiment_name</t>
  </si>
  <si>
    <t>data_source</t>
  </si>
  <si>
    <t>regime</t>
  </si>
  <si>
    <t>benchmark</t>
  </si>
  <si>
    <t>variant</t>
  </si>
  <si>
    <t>variant_label</t>
  </si>
  <si>
    <t>condition_key</t>
  </si>
  <si>
    <t>condition_group_key</t>
  </si>
  <si>
    <t>condition_group_short</t>
  </si>
  <si>
    <t>condition_label</t>
  </si>
  <si>
    <t>condition_short</t>
  </si>
  <si>
    <t>condition_description</t>
  </si>
  <si>
    <t>seed</t>
  </si>
  <si>
    <t>split_variant</t>
  </si>
  <si>
    <t>is_baseline</t>
  </si>
  <si>
    <t>f1</t>
  </si>
  <si>
    <t>f1_mean</t>
  </si>
  <si>
    <t>precision</t>
  </si>
  <si>
    <t>recall</t>
  </si>
  <si>
    <t>status</t>
  </si>
  <si>
    <t>f1_std</t>
  </si>
  <si>
    <t>result_file</t>
  </si>
  <si>
    <t>train_mode</t>
  </si>
  <si>
    <t>n_seeds</t>
  </si>
  <si>
    <t>metrics_file</t>
  </si>
  <si>
    <t>base_artifacts_reused</t>
  </si>
  <si>
    <t>base_mode</t>
  </si>
  <si>
    <t>BC5CDR + PubMedBERT</t>
  </si>
  <si>
    <t>f1_random</t>
  </si>
  <si>
    <t>elapsed_seconds</t>
  </si>
  <si>
    <t>pool_n_sentences</t>
  </si>
  <si>
    <t>f1_paper_stratified</t>
  </si>
  <si>
    <t>conll2003_bert</t>
  </si>
  <si>
    <t>CoNLL-2003 + bert-base-uncased</t>
  </si>
  <si>
    <t>exp10_cascade</t>
  </si>
  <si>
    <t>delta_f1_paper_minus_random</t>
  </si>
  <si>
    <t>bert-base-uncased</t>
  </si>
  <si>
    <t>small_300</t>
  </si>
  <si>
    <t>exp10_regular</t>
  </si>
  <si>
    <t>Baseline (simple random split)</t>
  </si>
  <si>
    <t>bc5cdr_pubmedbert</t>
  </si>
  <si>
    <t>Regular NER (BERT-CRF)</t>
  </si>
  <si>
    <t>before_exp01_baseline</t>
  </si>
  <si>
    <t>conll2003_bert__small_300__before_exp01_baseline__seed42</t>
  </si>
  <si>
    <t>augmented</t>
  </si>
  <si>
    <t>conll2003_bert__small_300__before_exp01_baseline</t>
  </si>
  <si>
    <t>split_ratio_train</t>
  </si>
  <si>
    <t>small_300 / Baseline (simple random split)</t>
  </si>
  <si>
    <t>[CoNLL-2003 + bert-base-uncased] [small_300] Baseline (simple random split) [seed 42]</t>
  </si>
  <si>
    <t>train_n_sentences</t>
  </si>
  <si>
    <t>small_300 / Baseline (simple random split) [s42]</t>
  </si>
  <si>
    <t>Regular NER with DictaBERT</t>
  </si>
  <si>
    <t>train_n_tokens</t>
  </si>
  <si>
    <t>train_n_entity_spans</t>
  </si>
  <si>
    <t>train_entity_spans_by_type</t>
  </si>
  <si>
    <t>train_entity_tokens_by_type</t>
  </si>
  <si>
    <t>eval_n_sentences</t>
  </si>
  <si>
    <t>eval_n_tokens</t>
  </si>
  <si>
    <t>ok</t>
  </si>
  <si>
    <t>eval_n_entity_spans</t>
  </si>
  <si>
    <t>/content/drive/MyDrive/thesis_project/thesis/outputs/exp10_regular/regular_ner_crf_20260807_070538.json</t>
  </si>
  <si>
    <t>/content/drive/MyDrive/thesis_project/thesis/outputs/exp10_regular/regular_ner_crf_results_20260807_070535.xlsx</t>
  </si>
  <si>
    <t>auto</t>
  </si>
  <si>
    <t>eval_entity_spans_by_type</t>
  </si>
  <si>
    <t>eval_entity_tokens_by_type</t>
  </si>
  <si>
    <t>conll2003_bert__small_300__before_exp01_baseline__seed43</t>
  </si>
  <si>
    <t>Multilabel stratified (paper-style)</t>
  </si>
  <si>
    <t>[CoNLL-2003 + bert-base-uncased] [small_300] Baseline (simple random split) [seed 43]</t>
  </si>
  <si>
    <t>small_300 / Baseline (simple random split) [s43]</t>
  </si>
  <si>
    <t>baseline</t>
  </si>
  <si>
    <t>/content/drive/MyDrive/thesis_project/thesis/outputs/exp10_regular/regular_ner_crf_20260807_070730.json</t>
  </si>
  <si>
    <t>/content/drive/MyDrive/thesis_project/thesis/outputs/exp10_regular/regular_ner_crf_results_20260807_070730.xlsx</t>
  </si>
  <si>
    <t>{"LOC": 124, "MISC": 59, "ORG": 98, "PER": 95}</t>
  </si>
  <si>
    <t>{"LOC": 141, "MISC": 77, "ORG": 159, "PER": 153}</t>
  </si>
  <si>
    <t>{"LOC": 43, "MISC": 16, "ORG": 44, "PER": 30}</t>
  </si>
  <si>
    <t>{"LOC": 49, "MISC": 19, "ORG": 56, "PER": 51}</t>
  </si>
  <si>
    <t>conll2003_bert__small_300__before_exp01_baseline__seed44</t>
  </si>
  <si>
    <t>exp10_svm_ready</t>
  </si>
  <si>
    <t>[CoNLL-2003 + bert-base-uncased] [small_300] Baseline (simple random split) [seed 44]</t>
  </si>
  <si>
    <t>small_300 / Baseline (simple random split) [s44]</t>
  </si>
  <si>
    <t>/content/drive/MyDrive/thesis_project/thesis/outputs/exp10_regular/regular_ner_crf_20260807_070918.json</t>
  </si>
  <si>
    <t>{"LOC": 112, "MISC": 54, "ORG": 105, "PER": 85}</t>
  </si>
  <si>
    <t>/content/drive/MyDrive/thesis_project/thesis/outputs/exp10_regular/regular_ner_crf_results_20260807_070918.xlsx</t>
  </si>
  <si>
    <t>{"LOC": 127, "MISC": 71, "ORG": 165, "PER": 134}</t>
  </si>
  <si>
    <t>{"LOC": 55, "MISC": 21, "ORG": 37, "PER": 40}</t>
  </si>
  <si>
    <t>{"LOC": 63, "MISC": 25, "ORG": 50, "PER": 70}</t>
  </si>
  <si>
    <t>conll2003_bert__small_300__before_exp01_baseline__seed45</t>
  </si>
  <si>
    <t>[CoNLL-2003 + bert-base-uncased] [small_300] Baseline (simple random split) [seed 45]</t>
  </si>
  <si>
    <t>small_300 / Baseline (simple random split) [s45]</t>
  </si>
  <si>
    <t>{"LOC": 116, "MISC": 50, "ORG": 98, "PER": 94}</t>
  </si>
  <si>
    <t>{"LOC": 129, "MISC": 62, "ORG": 150, "PER": 145}</t>
  </si>
  <si>
    <t>/content/drive/MyDrive/thesis_project/thesis/outputs/exp10_regular/regular_ner_crf_20260807_071110.json</t>
  </si>
  <si>
    <t>/content/drive/MyDrive/thesis_project/thesis/outputs/exp10_regular/regular_ner_crf_results_20260807_071109.xlsx</t>
  </si>
  <si>
    <t>{"LOC": 51, "MISC": 25, "ORG": 44, "PER": 31}</t>
  </si>
  <si>
    <t>{"LOC": 61, "MISC": 34, "ORG": 65, "PER": 59}</t>
  </si>
  <si>
    <t>conll2003_bert__small_300__before_exp01_baseline__seed46</t>
  </si>
  <si>
    <t>{"LOC": 120, "MISC": 51, "ORG": 107, "PER": 84}</t>
  </si>
  <si>
    <t>[CoNLL-2003 + bert-base-uncased] [small_300] Baseline (simple random split) [seed 46]</t>
  </si>
  <si>
    <t>{"LOC": 136, "MISC": 61, "ORG": 160, "PER": 137}</t>
  </si>
  <si>
    <t>small_300 / Baseline (simple random split) [s46]</t>
  </si>
  <si>
    <t>{"LOC": 47, "MISC": 24, "ORG": 35, "PER": 41}</t>
  </si>
  <si>
    <t>{"LOC": 54, "MISC": 35, "ORG": 55, "PER": 67}</t>
  </si>
  <si>
    <t>/content/drive/MyDrive/thesis_project/thesis/outputs/exp10_regular/regular_ner_crf_20260807_071301.json</t>
  </si>
  <si>
    <t>/content/drive/MyDrive/thesis_project/thesis/outputs/exp10_regular/regular_ner_crf_results_20260807_071300.xlsx</t>
  </si>
  <si>
    <t>{"LOC": 121, "MISC": 59, "ORG": 104, "PER": 93}</t>
  </si>
  <si>
    <t>{"LOC": 142, "MISC": 77, "ORG": 162, "PER": 148}</t>
  </si>
  <si>
    <t>conll2003_bert__small_300__before_exp01_baseline__seed47</t>
  </si>
  <si>
    <t>[CoNLL-2003 + bert-base-uncased] [small_300] Baseline (simple random split) [seed 47]</t>
  </si>
  <si>
    <t>{"LOC": 46, "MISC": 16, "ORG": 38, "PER": 32}</t>
  </si>
  <si>
    <t>small_300 / Baseline (simple random split) [s47]</t>
  </si>
  <si>
    <t>{"LOC": 48, "MISC": 19, "ORG": 53, "PER": 56}</t>
  </si>
  <si>
    <t>NEMO + DictaBERT</t>
  </si>
  <si>
    <t>/content/drive/MyDrive/thesis_project/thesis/outputs/exp10_regular/regular_ner_crf_20260807_071449.json</t>
  </si>
  <si>
    <t>/content/drive/MyDrive/thesis_project/thesis/outputs/exp10_regular/regular_ner_crf_results_20260807_071449.xlsx</t>
  </si>
  <si>
    <t>{"LOC": 112, "MISC": 51, "ORG": 101, "PER": 77}</t>
  </si>
  <si>
    <t>{"LOC": 131, "MISC": 69, "ORG": 152, "PER": 123}</t>
  </si>
  <si>
    <t>{"LOC": 55, "MISC": 24, "ORG": 41, "PER": 48}</t>
  </si>
  <si>
    <t>{"LOC": 59, "MISC": 27, "ORG": 63, "PER": 81}</t>
  </si>
  <si>
    <t>conll2003_bert__small_300__before_exp01_baseline__seed48</t>
  </si>
  <si>
    <t>[CoNLL-2003 + bert-base-uncased] [small_300] Baseline (simple random split) [seed 48]</t>
  </si>
  <si>
    <t>small_300 / Baseline (simple random split) [s48]</t>
  </si>
  <si>
    <t>{"LOC": 116, "MISC": 53, "ORG": 102, "PER": 88}</t>
  </si>
  <si>
    <t>{"LOC": 135, "MISC": 68, "ORG": 147, "PER": 146}</t>
  </si>
  <si>
    <t>/content/drive/MyDrive/thesis_project/thesis/outputs/exp10_regular/regular_ner_crf_20260807_071558.json</t>
  </si>
  <si>
    <t>{"LOC": 51, "MISC": 22, "ORG": 40, "PER": 37}</t>
  </si>
  <si>
    <t>/content/drive/MyDrive/thesis_project/thesis/outputs/exp10_regular/regular_ner_crf_results_20260807_071557.xlsx</t>
  </si>
  <si>
    <t>{"LOC": 55, "MISC": 28, "ORG": 68, "PER": 58}</t>
  </si>
  <si>
    <t>conll2003_bert__small_300__before_exp01_baseline__seed49</t>
  </si>
  <si>
    <t>[CoNLL-2003 + bert-base-uncased] [small_300] Baseline (simple random split) [seed 49]</t>
  </si>
  <si>
    <t>small_300 / Baseline (simple random split) [s49]</t>
  </si>
  <si>
    <t>{"LOC": 118, "MISC": 52, "ORG": 93, "PER": 96}</t>
  </si>
  <si>
    <t>{"LOC": 132, "MISC": 69, "ORG": 145, "PER": 157}</t>
  </si>
  <si>
    <t>{"LOC": 49, "MISC": 23, "ORG": 49, "PER": 29}</t>
  </si>
  <si>
    <t>{"LOC": 58, "MISC": 27, "ORG": 70, "PER": 47}</t>
  </si>
  <si>
    <t>/content/drive/MyDrive/thesis_project/thesis/outputs/exp10_regular/regular_ner_crf_20260807_071747.json</t>
  </si>
  <si>
    <t>/content/drive/MyDrive/thesis_project/thesis/outputs/exp10_regular/regular_ner_crf_results_20260807_071747.xlsx</t>
  </si>
  <si>
    <t>{"LOC": 127, "MISC": 54, "ORG": 101, "PER": 96}</t>
  </si>
  <si>
    <t>conll2003_bert__small_300__before_exp01_baseline__seed50</t>
  </si>
  <si>
    <t>{"LOC": 143, "MISC": 67, "ORG": 157, "PER": 156}</t>
  </si>
  <si>
    <t>[CoNLL-2003 + bert-base-uncased] [small_300] Baseline (simple random split) [seed 50]</t>
  </si>
  <si>
    <t>small_300 / Baseline (simple random split) [s50]</t>
  </si>
  <si>
    <t>{"LOC": 40, "MISC": 21, "ORG": 41, "PER": 29}</t>
  </si>
  <si>
    <t>{"LOC": 47, "MISC": 29, "ORG": 58, "PER": 48}</t>
  </si>
  <si>
    <t>/content/drive/MyDrive/thesis_project/thesis/outputs/exp10_regular/regular_ner_crf_20260807_071856.json</t>
  </si>
  <si>
    <t>/content/drive/MyDrive/thesis_project/thesis/outputs/exp10_regular/regular_ner_crf_results_20260807_071856.xlsx</t>
  </si>
  <si>
    <t>{"LOC": 132, "MISC": 55, "ORG": 91, "PER": 87}</t>
  </si>
  <si>
    <t>{"LOC": 149, "MISC": 69, "ORG": 143, "PER": 140}</t>
  </si>
  <si>
    <t>{"LOC": 35, "MISC": 20, "ORG": 51, "PER": 38}</t>
  </si>
  <si>
    <t>conll2003_bert__small_300__before_exp01_baseline__seed51</t>
  </si>
  <si>
    <t>{"LOC": 41, "MISC": 27, "ORG": 72, "PER": 64}</t>
  </si>
  <si>
    <t>[CoNLL-2003 + bert-base-uncased] [small_300] Baseline (simple random split) [seed 51]</t>
  </si>
  <si>
    <t>small_300 / Baseline (simple random split) [s51]</t>
  </si>
  <si>
    <t>/content/drive/MyDrive/thesis_project/thesis/outputs/exp10_regular/regular_ner_crf_20260807_072046.json</t>
  </si>
  <si>
    <t>/content/drive/MyDrive/thesis_project/thesis/outputs/exp10_regular/regular_ner_crf_results_20260807_072045.xlsx</t>
  </si>
  <si>
    <t>{"LOC": 110, "MISC": 45, "ORG": 97, "PER": 90}</t>
  </si>
  <si>
    <t>{"LOC": 127, "MISC": 60, "ORG": 154, "PER": 144}</t>
  </si>
  <si>
    <t>{"LOC": 57, "MISC": 30, "ORG": 45, "PER": 35}</t>
  </si>
  <si>
    <t>{"LOC": 63, "MISC": 36, "ORG": 61, "PER": 60}</t>
  </si>
  <si>
    <t>conll2003_bert__small_300__before_exp01_baseline__seed52</t>
  </si>
  <si>
    <t>[CoNLL-2003 + bert-base-uncased] [small_300] Baseline (simple random split) [seed 52]</t>
  </si>
  <si>
    <t>small_300 / Baseline (simple random split) [s52]</t>
  </si>
  <si>
    <t>{"LOC": 129, "MISC": 59, "ORG": 85, "PER": 94}</t>
  </si>
  <si>
    <t>{"LOC": 142, "MISC": 74, "ORG": 133, "PER": 158}</t>
  </si>
  <si>
    <t>{"LOC": 38, "MISC": 16, "ORG": 57, "PER": 31}</t>
  </si>
  <si>
    <t>/content/drive/MyDrive/thesis_project/thesis/outputs/exp10_regular/regular_ner_crf_20260807_072156.json</t>
  </si>
  <si>
    <t>{"LOC": 48, "MISC": 22, "ORG": 82, "PER": 46}</t>
  </si>
  <si>
    <t>/content/drive/MyDrive/thesis_project/thesis/outputs/exp10_regular/regular_ner_crf_results_20260807_072155.xlsx</t>
  </si>
  <si>
    <t>conll2003_bert__small_300__before_exp01_baseline__seed53</t>
  </si>
  <si>
    <t>{"LOC": 119, "MISC": 45, "ORG": 103, "PER": 90}</t>
  </si>
  <si>
    <t>{"LOC": 135, "MISC": 58, "ORG": 157, "PER": 147}</t>
  </si>
  <si>
    <t>[CoNLL-2003 + bert-base-uncased] [small_300] Baseline (simple random split) [seed 53]</t>
  </si>
  <si>
    <t>small_300 / Baseline (simple random split) [s53]</t>
  </si>
  <si>
    <t>{"LOC": 48, "MISC": 30, "ORG": 39, "PER": 35}</t>
  </si>
  <si>
    <t>{"LOC": 55, "MISC": 38, "ORG": 58, "PER": 57}</t>
  </si>
  <si>
    <t>/content/drive/MyDrive/thesis_project/thesis/outputs/exp10_regular/regular_ner_crf_20260807_072343.json</t>
  </si>
  <si>
    <t>/content/drive/MyDrive/thesis_project/thesis/outputs/exp10_regular/regular_ner_crf_results_20260807_072343.xlsx</t>
  </si>
  <si>
    <t>conll2003_bert__small_300__before_exp01_baseline__seed54</t>
  </si>
  <si>
    <t>{"LOC": 111, "MISC": 59, "ORG": 106, "PER": 76}</t>
  </si>
  <si>
    <t>{"LOC": 129, "MISC": 72, "ORG": 157, "PER": 123}</t>
  </si>
  <si>
    <t>[CoNLL-2003 + bert-base-uncased] [small_300] Baseline (simple random split) [seed 54]</t>
  </si>
  <si>
    <t>small_300 / Baseline (simple random split) [s54]</t>
  </si>
  <si>
    <t>{"LOC": 56, "MISC": 16, "ORG": 36, "PER": 49}</t>
  </si>
  <si>
    <t>/content/drive/MyDrive/thesis_project/thesis/outputs/exp10_regular/regular_ner_crf_20260807_072533.json</t>
  </si>
  <si>
    <t>{"LOC": 61, "MISC": 24, "ORG": 58, "PER": 81}</t>
  </si>
  <si>
    <t>/content/drive/MyDrive/thesis_project/thesis/outputs/exp10_regular/regular_ner_crf_results_20260807_072532.xlsx</t>
  </si>
  <si>
    <t>conll2003_bert__small_300__before_exp01_baseline__seed55</t>
  </si>
  <si>
    <t>[CoNLL-2003 + bert-base-uncased] [small_300] Baseline (simple random split) [seed 55]</t>
  </si>
  <si>
    <t>small_300 / Baseline (simple random split) [s55]</t>
  </si>
  <si>
    <t>{"LOC": 115, "MISC": 53, "ORG": 105, "PER": 90}</t>
  </si>
  <si>
    <t>{"LOC": 131, "MISC": 65, "ORG": 157, "PER": 143}</t>
  </si>
  <si>
    <t>/content/drive/MyDrive/thesis_project/thesis/outputs/exp10_regular/regular_ner_crf_20260807_072722.json</t>
  </si>
  <si>
    <t>/content/drive/MyDrive/thesis_project/thesis/outputs/exp10_regular/regular_ner_crf_results_20260807_072722.xlsx</t>
  </si>
  <si>
    <t>{"LOC": 52, "MISC": 22, "ORG": 37, "PER": 35}</t>
  </si>
  <si>
    <t>{"LOC": 59, "MISC": 31, "ORG": 58, "PER": 61}</t>
  </si>
  <si>
    <t>conll2003_bert__small_300__before_exp01_baseline__seed56</t>
  </si>
  <si>
    <t>[CoNLL-2003 + bert-base-uncased] [small_300] Baseline (simple random split) [seed 56]</t>
  </si>
  <si>
    <t>small_300 / Baseline (simple random split) [s56]</t>
  </si>
  <si>
    <t>/content/drive/MyDrive/thesis_project/thesis/outputs/exp10_regular/regular_ner_crf_20260807_072909.json</t>
  </si>
  <si>
    <t>/content/drive/MyDrive/thesis_project/thesis/outputs/exp10_regular/regular_ner_crf_results_20260807_072909.xlsx</t>
  </si>
  <si>
    <t>{"LOC": 113, "MISC": 54, "ORG": 96, "PER": 87}</t>
  </si>
  <si>
    <t>{"LOC": 131, "MISC": 65, "ORG": 153, "PER": 141}</t>
  </si>
  <si>
    <t>{"LOC": 54, "MISC": 21, "ORG": 46, "PER": 38}</t>
  </si>
  <si>
    <t>{"LOC": 59, "MISC": 31, "ORG": 62, "PER": 63}</t>
  </si>
  <si>
    <t>conll2003_bert__small_300__before_exp01_baseline__seed57</t>
  </si>
  <si>
    <t>[CoNLL-2003 + bert-base-uncased] [small_300] Baseline (simple random split) [seed 57]</t>
  </si>
  <si>
    <t>small_300 / Baseline (simple random split) [s57]</t>
  </si>
  <si>
    <t>{"LOC": 106, "MISC": 54, "ORG": 100, "PER": 93}</t>
  </si>
  <si>
    <t>/content/drive/MyDrive/thesis_project/thesis/outputs/exp10_regular/regular_ner_crf_20260807_073100.json</t>
  </si>
  <si>
    <t>{"LOC": 116, "MISC": 71, "ORG": 147, "PER": 147}</t>
  </si>
  <si>
    <t>/content/drive/MyDrive/thesis_project/thesis/outputs/exp10_regular/regular_ner_crf_results_20260807_073059.xlsx</t>
  </si>
  <si>
    <t>{"LOC": 61, "MISC": 21, "ORG": 42, "PER": 32}</t>
  </si>
  <si>
    <t>{"LOC": 74, "MISC": 25, "ORG": 68, "PER": 57}</t>
  </si>
  <si>
    <t>conll2003_bert__small_300__before_exp01_baseline__seed58</t>
  </si>
  <si>
    <t>[CoNLL-2003 + bert-base-uncased] [small_300] Baseline (simple random split) [seed 58]</t>
  </si>
  <si>
    <t>small_300 / Baseline (simple random split) [s58]</t>
  </si>
  <si>
    <t>/content/drive/MyDrive/thesis_project/thesis/outputs/exp10_regular/regular_ner_crf_20260807_092909.json</t>
  </si>
  <si>
    <t>/content/drive/MyDrive/thesis_project/thesis/outputs/exp10_regular/regular_ner_crf_results_20260807_092905.xlsx</t>
  </si>
  <si>
    <t>{"LOC": 109, "MISC": 49, "ORG": 103, "PER": 78}</t>
  </si>
  <si>
    <t>{"LOC": 126, "MISC": 61, "ORG": 147, "PER": 120}</t>
  </si>
  <si>
    <t>{"LOC": 58, "MISC": 26, "ORG": 39, "PER": 47}</t>
  </si>
  <si>
    <t>{"LOC": 64, "MISC": 35, "ORG": 68, "PER": 84}</t>
  </si>
  <si>
    <t>{"LOC": 123, "MISC": 51, "ORG": 94, "PER": 85}</t>
  </si>
  <si>
    <t>{"LOC": 137, "MISC": 63, "ORG": 140, "PER": 139}</t>
  </si>
  <si>
    <t>{"LOC": 44, "MISC": 24, "ORG": 48, "PER": 40}</t>
  </si>
  <si>
    <t>{"LOC": 53, "MISC": 33, "ORG": 75, "PER": 65}</t>
  </si>
  <si>
    <t>conll2003_bert__small_300__before_exp01_baseline__seed59</t>
  </si>
  <si>
    <t>[CoNLL-2003 + bert-base-uncased] [small_300] Baseline (simple random split) [seed 59]</t>
  </si>
  <si>
    <t>small_300 / Baseline (simple random split) [s59]</t>
  </si>
  <si>
    <t>{"LOC": 128, "MISC": 58, "ORG": 84, "PER": 93}</t>
  </si>
  <si>
    <t>{"LOC": 146, "MISC": 71, "ORG": 131, "PER": 154}</t>
  </si>
  <si>
    <t>{"LOC": 39, "MISC": 17, "ORG": 58, "PER": 32}</t>
  </si>
  <si>
    <t>{"LOC": 44, "MISC": 25, "ORG": 84, "PER": 50}</t>
  </si>
  <si>
    <t>/content/drive/MyDrive/thesis_project/thesis/outputs/exp10_regular/regular_ner_crf_20260807_093058.json</t>
  </si>
  <si>
    <t>/content/drive/MyDrive/thesis_project/thesis/outputs/exp10_regular/regular_ner_crf_results_20260807_093057.xlsx</t>
  </si>
  <si>
    <t>after_multilabel_iterative_paper</t>
  </si>
  <si>
    <t>{"LOC": 119, "MISC": 49, "ORG": 100, "PER": 86}</t>
  </si>
  <si>
    <t>{"LOC": 136, "MISC": 64, "ORG": 146, "PER": 141}</t>
  </si>
  <si>
    <t>conll2003_bert__small_300__before_exp01_baseline__seed60</t>
  </si>
  <si>
    <t>{"LOC": 48, "MISC": 26, "ORG": 42, "PER": 39}</t>
  </si>
  <si>
    <t>[CoNLL-2003 + bert-base-uncased] [small_300] Baseline (simple random split) [seed 60]</t>
  </si>
  <si>
    <t>{"LOC": 54, "MISC": 32, "ORG": 69, "PER": 63}</t>
  </si>
  <si>
    <t>small_300 / Baseline (simple random split) [s60]</t>
  </si>
  <si>
    <t>/content/drive/MyDrive/thesis_project/thesis/outputs/exp10_regular/regular_ner_crf_20260807_093243.json</t>
  </si>
  <si>
    <t>/content/drive/MyDrive/thesis_project/thesis/outputs/exp10_regular/regular_ner_crf_results_20260807_093243.xlsx</t>
  </si>
  <si>
    <t>{"LOC": 121, "MISC": 57, "ORG": 97, "PER": 94}</t>
  </si>
  <si>
    <t>{"LOC": 138, "MISC": 72, "ORG": 153, "PER": 150}</t>
  </si>
  <si>
    <t>{"LOC": 46, "MISC": 18, "ORG": 45, "PER": 31}</t>
  </si>
  <si>
    <t>{"LOC": 52, "MISC": 24, "ORG": 62, "PER": 54}</t>
  </si>
  <si>
    <t>conll2003_bert__small_300__before_exp01_baseline__seed61</t>
  </si>
  <si>
    <t>[CoNLL-2003 + bert-base-uncased] [small_300] Baseline (simple random split) [seed 61]</t>
  </si>
  <si>
    <t>small_300 / Baseline (simple random split) [s61]</t>
  </si>
  <si>
    <t>{"LOC": 119, "MISC": 54, "ORG": 96, "PER": 87}</t>
  </si>
  <si>
    <t>{"LOC": 136, "MISC": 69, "ORG": 147, "PER": 142}</t>
  </si>
  <si>
    <t>/content/drive/MyDrive/thesis_project/thesis/outputs/exp10_regular/regular_ner_crf_20260807_093350.json</t>
  </si>
  <si>
    <t>/content/drive/MyDrive/thesis_project/thesis/outputs/exp10_regular/regular_ner_crf_results_20260807_093349.xlsx</t>
  </si>
  <si>
    <t>{"LOC": 48, "MISC": 21, "ORG": 46, "PER": 38}</t>
  </si>
  <si>
    <t>{"LOC": 54, "MISC": 27, "ORG": 68, "PER": 62}</t>
  </si>
  <si>
    <t>conll2003_bert__small_300__after_multilabel_iterative_paper__seed42</t>
  </si>
  <si>
    <t>conll2003_bert__small_300__after_multilabel_iterative_paper</t>
  </si>
  <si>
    <t>small_300 / Multilabel stratified (paper-style)</t>
  </si>
  <si>
    <t>[CoNLL-2003 + bert-base-uncased] [small_300] Multilabel stratified (paper-style) [seed 42]</t>
  </si>
  <si>
    <t>small_300 / Multilabel stratified (paper-style) [s42]</t>
  </si>
  <si>
    <t>Paper-style iterative stratification: rarest-label-first with tie-breaks by per-label need, then fold capacity, then random</t>
  </si>
  <si>
    <t>{"LOC": 115, "MISC": 52, "ORG": 97, "PER": 88}</t>
  </si>
  <si>
    <t>/content/drive/MyDrive/thesis_project/thesis/outputs/exp10_regular/regular_ner_crf_20260807_093536.json</t>
  </si>
  <si>
    <t>{"LOC": 131, "MISC": 67, "ORG": 151, "PER": 143}</t>
  </si>
  <si>
    <t>/content/drive/MyDrive/thesis_project/thesis/outputs/exp10_regular/regular_ner_crf_results_20260807_093535.xlsx</t>
  </si>
  <si>
    <t>{"LOC": 52, "MISC": 23, "ORG": 45, "PER": 37}</t>
  </si>
  <si>
    <t>{"LOC": 59, "MISC": 29, "ORG": 64, "PER": 61}</t>
  </si>
  <si>
    <t>conll2003_bert__small_300__after_multilabel_iterative_paper__seed43</t>
  </si>
  <si>
    <t>[CoNLL-2003 + bert-base-uncased] [small_300] Multilabel stratified (paper-style) [seed 43]</t>
  </si>
  <si>
    <t>small_300 / Multilabel stratified (paper-style) [s43]</t>
  </si>
  <si>
    <t>{"LOC": 120, "MISC": 52, "ORG": 103, "PER": 90}</t>
  </si>
  <si>
    <t>/content/drive/MyDrive/thesis_project/thesis/outputs/exp10_regular/regular_ner_crf_20260807_093723.json</t>
  </si>
  <si>
    <t>{"LOC": 136, "MISC": 65, "ORG": 160, "PER": 145}</t>
  </si>
  <si>
    <t>/content/drive/MyDrive/thesis_project/thesis/outputs/exp10_regular/regular_ner_crf_results_20260807_093722.xlsx</t>
  </si>
  <si>
    <t>{"LOC": 47, "MISC": 23, "ORG": 39, "PER": 35}</t>
  </si>
  <si>
    <t>{"LOC": 54, "MISC": 31, "ORG": 55, "PER": 59}</t>
  </si>
  <si>
    <t>conll2003_bert__small_300__after_multilabel_iterative_paper__seed44</t>
  </si>
  <si>
    <t>[CoNLL-2003 + bert-base-uncased] [small_300] Multilabel stratified (paper-style) [seed 44]</t>
  </si>
  <si>
    <t>small_300 / Multilabel stratified (paper-style) [s44]</t>
  </si>
  <si>
    <t>{"LOC": 113, "MISC": 54, "ORG": 101, "PER": 83}</t>
  </si>
  <si>
    <t>{"LOC": 129, "MISC": 69, "ORG": 155, "PER": 138}</t>
  </si>
  <si>
    <t>/content/drive/MyDrive/thesis_project/thesis/outputs/exp10_regular/regular_ner_crf_20260807_093909.json</t>
  </si>
  <si>
    <t>/content/drive/MyDrive/thesis_project/thesis/outputs/exp10_regular/regular_ner_crf_results_20260807_093909.xlsx</t>
  </si>
  <si>
    <t>{"LOC": 54, "MISC": 21, "ORG": 41, "PER": 42}</t>
  </si>
  <si>
    <t>{"LOC": 61, "MISC": 27, "ORG": 60, "PER": 66}</t>
  </si>
  <si>
    <t>conll2003_bert__small_300__after_multilabel_iterative_paper__seed45</t>
  </si>
  <si>
    <t>[CoNLL-2003 + bert-base-uncased] [small_300] Multilabel stratified (paper-style) [seed 45]</t>
  </si>
  <si>
    <t>small_300 / Multilabel stratified (paper-style) [s45]</t>
  </si>
  <si>
    <t>/content/drive/MyDrive/thesis_project/thesis/outputs/exp10_regular/regular_ner_crf_20260807_094055.json</t>
  </si>
  <si>
    <t>/content/drive/MyDrive/thesis_project/thesis/outputs/exp10_regular/regular_ner_crf_results_20260807_094055.xlsx</t>
  </si>
  <si>
    <t>conll2003_bert__small_300__after_multilabel_iterative_paper__seed46</t>
  </si>
  <si>
    <t>[CoNLL-2003 + bert-base-uncased] [small_300] Multilabel stratified (paper-style) [seed 46]</t>
  </si>
  <si>
    <t>small_300 / Multilabel stratified (paper-style) [s46]</t>
  </si>
  <si>
    <t>/content/drive/MyDrive/thesis_project/thesis/outputs/exp10_regular/regular_ner_crf_20260807_094240.json</t>
  </si>
  <si>
    <t>/content/drive/MyDrive/thesis_project/thesis/outputs/exp10_regular/regular_ner_crf_results_20260807_094240.xlsx</t>
  </si>
  <si>
    <t>{"LOC": 114, "MISC": 52, "ORG": 101, "PER": 86}</t>
  </si>
  <si>
    <t>conll2003_bert__small_300__after_multilabel_iterative_paper__seed47</t>
  </si>
  <si>
    <t>{"LOC": 130, "MISC": 67, "ORG": 148, "PER": 139}</t>
  </si>
  <si>
    <t>[CoNLL-2003 + bert-base-uncased] [small_300] Multilabel stratified (paper-style) [seed 47]</t>
  </si>
  <si>
    <t>small_300 / Multilabel stratified (paper-style) [s47]</t>
  </si>
  <si>
    <t>{"LOC": 53, "MISC": 23, "ORG": 41, "PER": 39}</t>
  </si>
  <si>
    <t>{"LOC": 60, "MISC": 29, "ORG": 67, "PER": 65}</t>
  </si>
  <si>
    <t>/content/drive/MyDrive/thesis_project/thesis/outputs/exp10_regular/regular_ner_crf_20260807_094426.json</t>
  </si>
  <si>
    <t>/content/drive/MyDrive/thesis_project/thesis/outputs/exp10_regular/regular_ner_crf_results_20260807_094426.xlsx</t>
  </si>
  <si>
    <t>conll2003_bert__small_300__after_multilabel_iterative_paper__seed48</t>
  </si>
  <si>
    <t>{"LOC": 118, "MISC": 51, "ORG": 96, "PER": 85}</t>
  </si>
  <si>
    <t>{"LOC": 135, "MISC": 66, "ORG": 142, "PER": 139}</t>
  </si>
  <si>
    <t>[CoNLL-2003 + bert-base-uncased] [small_300] Multilabel stratified (paper-style) [seed 48]</t>
  </si>
  <si>
    <t>small_300 / Multilabel stratified (paper-style) [s48]</t>
  </si>
  <si>
    <t>{"LOC": 49, "MISC": 24, "ORG": 46, "PER": 40}</t>
  </si>
  <si>
    <t>{"LOC": 55, "MISC": 30, "ORG": 73, "PER": 65}</t>
  </si>
  <si>
    <t>/content/drive/MyDrive/thesis_project/thesis/outputs/exp10_regular/regular_ner_crf_20260807_094612.json</t>
  </si>
  <si>
    <t>/content/drive/MyDrive/thesis_project/thesis/outputs/exp10_regular/regular_ner_crf_results_20260807_094612.xlsx</t>
  </si>
  <si>
    <t>{"LOC": 119, "MISC": 54, "ORG": 100, "PER": 89}</t>
  </si>
  <si>
    <t>{"LOC": 135, "MISC": 69, "ORG": 152, "PER": 146}</t>
  </si>
  <si>
    <t>{"LOC": 48, "MISC": 21, "ORG": 42, "PER": 36}</t>
  </si>
  <si>
    <t>{"LOC": 55, "MISC": 27, "ORG": 63, "PER": 58}</t>
  </si>
  <si>
    <t>conll2003_bert__small_300__after_multilabel_iterative_paper__seed49</t>
  </si>
  <si>
    <t>[CoNLL-2003 + bert-base-uncased] [small_300] Multilabel stratified (paper-style) [seed 49]</t>
  </si>
  <si>
    <t>small_300 / Multilabel stratified (paper-style) [s49]</t>
  </si>
  <si>
    <t>{"LOC": 111, "MISC": 52, "ORG": 103, "PER": 83}</t>
  </si>
  <si>
    <t>/content/drive/MyDrive/thesis_project/thesis/outputs/exp10_regular/regular_ner_crf_20260807_094800.json</t>
  </si>
  <si>
    <t>{"LOC": 127, "MISC": 67, "ORG": 150, "PER": 135}</t>
  </si>
  <si>
    <t>/content/drive/MyDrive/thesis_project/thesis/outputs/exp10_regular/regular_ner_crf_results_20260807_094759.xlsx</t>
  </si>
  <si>
    <t>{"LOC": 56, "MISC": 23, "ORG": 39, "PER": 42}</t>
  </si>
  <si>
    <t>{"LOC": 63, "MISC": 29, "ORG": 65, "PER": 69}</t>
  </si>
  <si>
    <t>conll2003_bert__small_300__after_multilabel_iterative_paper__seed50</t>
  </si>
  <si>
    <t>[CoNLL-2003 + bert-base-uncased] [small_300] Multilabel stratified (paper-style) [seed 50]</t>
  </si>
  <si>
    <t>small_300 / Multilabel stratified (paper-style) [s50]</t>
  </si>
  <si>
    <t>{"LOC": 114, "MISC": 53, "ORG": 97, "PER": 85}</t>
  </si>
  <si>
    <t>{"LOC": 131, "MISC": 68, "ORG": 148, "PER": 140}</t>
  </si>
  <si>
    <t>delta_mean</t>
  </si>
  <si>
    <t>/content/drive/MyDrive/thesis_project/thesis/outputs/exp10_regular/regular_ner_crf_20260807_094946.json</t>
  </si>
  <si>
    <t>/content/drive/MyDrive/thesis_project/thesis/outputs/exp10_regular/regular_ner_crf_results_20260807_094945.xlsx</t>
  </si>
  <si>
    <t>delta_std</t>
  </si>
  <si>
    <t>{"LOC": 53, "MISC": 22, "ORG": 45, "PER": 40}</t>
  </si>
  <si>
    <t>{"LOC": 59, "MISC": 28, "ORG": 67, "PER": 64}</t>
  </si>
  <si>
    <t>conll2003_bert__small_300__after_multilabel_iterative_paper__seed51</t>
  </si>
  <si>
    <t>[CoNLL-2003 + bert-base-uncased] [small_300] Multilabel stratified (paper-style) [seed 51]</t>
  </si>
  <si>
    <t>small_300 / Multilabel stratified (paper-style) [s51]</t>
  </si>
  <si>
    <t>{"LOC": 114, "MISC": 54, "ORG": 101, "PER": 86}</t>
  </si>
  <si>
    <t>{"LOC": 130, "MISC": 67, "ORG": 155, "PER": 140}</t>
  </si>
  <si>
    <t>{"LOC": 53, "MISC": 21, "ORG": 41, "PER": 39}</t>
  </si>
  <si>
    <t>{"LOC": 60, "MISC": 29, "ORG": 60, "PER": 64}</t>
  </si>
  <si>
    <t>/content/drive/MyDrive/thesis_project/thesis/outputs/exp10_regular/regular_ner_crf_20260807_095132.json</t>
  </si>
  <si>
    <t>/content/drive/MyDrive/thesis_project/thesis/outputs/exp10_regular/regular_ner_crf_results_20260807_095132.xlsx</t>
  </si>
  <si>
    <t>conll2003_bert__small_300__after_multilabel_iterative_paper__seed52</t>
  </si>
  <si>
    <t>{"LOC": 117, "MISC": 55, "ORG": 105, "PER": 88}</t>
  </si>
  <si>
    <t>{"LOC": 133, "MISC": 68, "ORG": 157, "PER": 145}</t>
  </si>
  <si>
    <t>[CoNLL-2003 + bert-base-uncased] [small_300] Multilabel stratified (paper-style) [seed 52]</t>
  </si>
  <si>
    <t>small_300 / Multilabel stratified (paper-style) [s52]</t>
  </si>
  <si>
    <t>{"LOC": 50, "MISC": 20, "ORG": 37, "PER": 37}</t>
  </si>
  <si>
    <t>{"LOC": 57, "MISC": 28, "ORG": 58, "PER": 59}</t>
  </si>
  <si>
    <t>nemo_dictabert</t>
  </si>
  <si>
    <t>/content/drive/MyDrive/thesis_project/thesis/outputs/exp10_regular/regular_ner_crf_20260807_095319.json</t>
  </si>
  <si>
    <t>/content/drive/MyDrive/thesis_project/thesis/outputs/exp10_regular/regular_ner_crf_results_20260807_095319.xlsx</t>
  </si>
  <si>
    <t>{"LOC": 118, "MISC": 50, "ORG": 97, "PER": 85}</t>
  </si>
  <si>
    <t>{"LOC": 133, "MISC": 65, "ORG": 142, "PER": 140}</t>
  </si>
  <si>
    <t>conll2003_bert__small_300__after_multilabel_iterative_paper__seed53</t>
  </si>
  <si>
    <t>{"LOC": 49, "MISC": 25, "ORG": 45, "PER": 40}</t>
  </si>
  <si>
    <t>[CoNLL-2003 + bert-base-uncased] [small_300] Multilabel stratified (paper-style) [seed 53]</t>
  </si>
  <si>
    <t>{"LOC": 57, "MISC": 31, "ORG": 73, "PER": 64}</t>
  </si>
  <si>
    <t>small_300 / Multilabel stratified (paper-style) [s53]</t>
  </si>
  <si>
    <t>/content/drive/MyDrive/thesis_project/thesis/outputs/exp10_regular/regular_ner_crf_20260807_095506.json</t>
  </si>
  <si>
    <t>/content/drive/MyDrive/thesis_project/thesis/outputs/exp10_regular/regular_ner_crf_results_20260807_095506.xlsx</t>
  </si>
  <si>
    <t>{"LOC": 114, "MISC": 53, "ORG": 104, "PER": 86}</t>
  </si>
  <si>
    <t>{"LOC": 130, "MISC": 68, "ORG": 154, "PER": 142}</t>
  </si>
  <si>
    <t>conll2003_bert__small_300__after_multilabel_iterative_paper__seed54</t>
  </si>
  <si>
    <t>{"LOC": 53, "MISC": 22, "ORG": 38, "PER": 39}</t>
  </si>
  <si>
    <t>{"LOC": 60, "MISC": 28, "ORG": 61, "PER": 62}</t>
  </si>
  <si>
    <t>[CoNLL-2003 + bert-base-uncased] [small_300] Multilabel stratified (paper-style) [seed 54]</t>
  </si>
  <si>
    <t>small_300 / Multilabel stratified (paper-style) [s54]</t>
  </si>
  <si>
    <t>/content/drive/MyDrive/thesis_project/thesis/outputs/exp10_regular/regular_ner_crf_20260807_095654.json</t>
  </si>
  <si>
    <t>/content/drive/MyDrive/thesis_project/thesis/outputs/exp10_regular/regular_ner_crf_results_20260807_095654.xlsx</t>
  </si>
  <si>
    <t>{"LOC": 114, "MISC": 49, "ORG": 101, "PER": 84}</t>
  </si>
  <si>
    <t>{"LOC": 131, "MISC": 64, "ORG": 150, "PER": 137}</t>
  </si>
  <si>
    <t>{"LOC": 53, "MISC": 26, "ORG": 41, "PER": 41}</t>
  </si>
  <si>
    <t>{"LOC": 59, "MISC": 32, "ORG": 65, "PER": 67}</t>
  </si>
  <si>
    <t>conll2003_bert__small_300__after_multilabel_iterative_paper__seed55</t>
  </si>
  <si>
    <t>{"LOC": 117, "MISC": 54, "ORG": 100, "PER": 88}</t>
  </si>
  <si>
    <t>{"LOC": 134, "MISC": 69, "ORG": 153, "PER": 144}</t>
  </si>
  <si>
    <t>[CoNLL-2003 + bert-base-uncased] [small_300] Multilabel stratified (paper-style) [seed 55]</t>
  </si>
  <si>
    <t>{"LOC": 50, "MISC": 21, "ORG": 42, "PER": 37}</t>
  </si>
  <si>
    <t>small_300 / Multilabel stratified (paper-style) [s55]</t>
  </si>
  <si>
    <t>{"LOC": 56, "MISC": 27, "ORG": 62, "PER": 60}</t>
  </si>
  <si>
    <t>{"LOC": 116, "MISC": 49, "ORG": 96, "PER": 88}</t>
  </si>
  <si>
    <t>{"LOC": 132, "MISC": 64, "ORG": 142, "PER": 143}</t>
  </si>
  <si>
    <t>/content/drive/MyDrive/thesis_project/thesis/outputs/exp10_regular/regular_ner_crf_20260807_095842.json</t>
  </si>
  <si>
    <t>/content/drive/MyDrive/thesis_project/thesis/outputs/exp10_regular/regular_ner_crf_results_20260807_095842.xlsx</t>
  </si>
  <si>
    <t>{"LOC": 51, "MISC": 26, "ORG": 46, "PER": 37}</t>
  </si>
  <si>
    <t>{"LOC": 58, "MISC": 32, "ORG": 73, "PER": 61}</t>
  </si>
  <si>
    <t>{"LOC": 117, "MISC": 51, "ORG": 98, "PER": 88}</t>
  </si>
  <si>
    <t>{"LOC": 132, "MISC": 66, "ORG": 148, "PER": 142}</t>
  </si>
  <si>
    <t>conll2003_bert__small_300__after_multilabel_iterative_paper__seed56</t>
  </si>
  <si>
    <t>{"LOC": 50, "MISC": 24, "ORG": 44, "PER": 37}</t>
  </si>
  <si>
    <t>{"LOC": 58, "MISC": 30, "ORG": 67, "PER": 62}</t>
  </si>
  <si>
    <t>[CoNLL-2003 + bert-base-uncased] [small_300] Multilabel stratified (paper-style) [seed 56]</t>
  </si>
  <si>
    <t>small_300 / Multilabel stratified (paper-style) [s56]</t>
  </si>
  <si>
    <t>{"LOC": 112, "MISC": 49, "ORG": 93, "PER": 86}</t>
  </si>
  <si>
    <t>{"LOC": 128, "MISC": 64, "ORG": 139, "PER": 140}</t>
  </si>
  <si>
    <t>/content/drive/MyDrive/thesis_project/thesis/outputs/exp10_regular/regular_ner_crf_20260807_100028.json</t>
  </si>
  <si>
    <t>/content/drive/MyDrive/thesis_project/thesis/outputs/exp10_regular/regular_ner_crf_results_20260807_100027.xlsx</t>
  </si>
  <si>
    <t>{"LOC": 55, "MISC": 26, "ORG": 49, "PER": 39}</t>
  </si>
  <si>
    <t>{"LOC": 62, "MISC": 32, "ORG": 76, "PER": 64}</t>
  </si>
  <si>
    <t>conll2003_bert__small_300__after_multilabel_iterative_paper__seed57</t>
  </si>
  <si>
    <t>{"EVE": 1, "FAC": 10, "GPE": 12, "LOC": 3, "ORG": 48, "PER": 38, "WOA": 4}</t>
  </si>
  <si>
    <t>{"EVE": 5, "FAC": 19, "GPE": 18, "LOC": 3, "ORG": 71, "PER": 41, "WOA": 8}</t>
  </si>
  <si>
    <t>[CoNLL-2003 + bert-base-uncased] [small_300] Multilabel stratified (paper-style) [seed 57]</t>
  </si>
  <si>
    <t>{"FAC": 1, "GPE": 3, "LOC": 6, "ORG": 14, "PER": 14}</t>
  </si>
  <si>
    <t>small_300 / Multilabel stratified (paper-style) [s57]</t>
  </si>
  <si>
    <t>{"FAC": 1, "GPE": 5, "LOC": 6, "ORG": 22, "PER": 14}</t>
  </si>
  <si>
    <t>{"EVE": 1, "FAC": 10, "GPE": 11, "LOC": 5, "ORG": 42, "PER": 44, "WOA": 4}</t>
  </si>
  <si>
    <t>{"EVE": 5, "FAC": 18, "GPE": 16, "LOC": 5, "ORG": 61, "PER": 47, "WOA": 8}</t>
  </si>
  <si>
    <t>{"FAC": 1, "GPE": 4, "LOC": 4, "ORG": 20, "PER": 8}</t>
  </si>
  <si>
    <t>/content/drive/MyDrive/thesis_project/thesis/outputs/exp10_regular/regular_ner_crf_20260807_100213.json</t>
  </si>
  <si>
    <t>{"FAC": 2, "GPE": 7, "LOC": 4, "ORG": 32, "PER": 8}</t>
  </si>
  <si>
    <t>/content/drive/MyDrive/thesis_project/thesis/outputs/exp10_regular/regular_ner_crf_results_20260807_100213.xlsx</t>
  </si>
  <si>
    <t>{"EVE": 1, "FAC": 9, "GPE": 8, "LOC": 8, "ORG": 48, "PER": 41, "WOA": 2}</t>
  </si>
  <si>
    <t>{"EVE": 5, "FAC": 15, "GPE": 14, "LOC": 8, "ORG": 71, "PER": 43, "WOA": 2}</t>
  </si>
  <si>
    <t>{"FAC": 2, "GPE": 7, "LOC": 1, "ORG": 14, "PER": 11, "WOA": 2}</t>
  </si>
  <si>
    <t>{"FAC": 5, "GPE": 9, "LOC": 1, "ORG": 22, "PER": 12, "WOA": 6}</t>
  </si>
  <si>
    <t>conll2003_bert__small_300__after_multilabel_iterative_paper__seed58</t>
  </si>
  <si>
    <t>[CoNLL-2003 + bert-base-uncased] [small_300] Multilabel stratified (paper-style) [seed 58]</t>
  </si>
  <si>
    <t>small_300 / Multilabel stratified (paper-style) [s58]</t>
  </si>
  <si>
    <t>{"EVE": 1, "FAC": 9, "GPE": 11, "LOC": 8, "ORG": 37, "PER": 31, "WOA": 3}</t>
  </si>
  <si>
    <t>{"EVE": 5, "FAC": 17, "GPE": 15, "LOC": 8, "ORG": 55, "PER": 34, "WOA": 7}</t>
  </si>
  <si>
    <t>{"FAC": 2, "GPE": 4, "LOC": 1, "ORG": 25, "PER": 21, "WOA": 1}</t>
  </si>
  <si>
    <t>{"FAC": 3, "GPE": 8, "LOC": 1, "ORG": 38, "PER": 21, "WOA": 1}</t>
  </si>
  <si>
    <t>/content/drive/MyDrive/thesis_project/thesis/outputs/exp10_regular/regular_ner_crf_20260807_100359.json</t>
  </si>
  <si>
    <t>/content/drive/MyDrive/thesis_project/thesis/outputs/exp10_regular/regular_ner_crf_results_20260807_100358.xlsx</t>
  </si>
  <si>
    <t>{"EVE": 1, "FAC": 9, "GPE": 13, "LOC": 7, "ORG": 38, "PER": 29, "WOA": 3}</t>
  </si>
  <si>
    <t>{"EVE": 5, "FAC": 17, "GPE": 21, "LOC": 7, "ORG": 57, "PER": 30, "WOA": 7}</t>
  </si>
  <si>
    <t>{"FAC": 2, "GPE": 2, "LOC": 2, "ORG": 24, "PER": 23, "WOA": 1}</t>
  </si>
  <si>
    <t>{"FAC": 3, "GPE": 2, "LOC": 2, "ORG": 36, "PER": 25, "WOA": 1}</t>
  </si>
  <si>
    <t>{"EVE": 1, "FAC": 6, "GPE": 10, "LOC": 4, "ORG": 54, "PER": 36, "WOA": 4}</t>
  </si>
  <si>
    <t>conll2003_bert__small_300__after_multilabel_iterative_paper__seed59</t>
  </si>
  <si>
    <t>{"EVE": 5, "FAC": 11, "GPE": 14, "LOC": 4, "ORG": 83, "PER": 37, "WOA": 8}</t>
  </si>
  <si>
    <t>{"FAC": 5, "GPE": 5, "LOC": 5, "ORG": 8, "PER": 16}</t>
  </si>
  <si>
    <t>[CoNLL-2003 + bert-base-uncased] [small_300] Multilabel stratified (paper-style) [seed 59]</t>
  </si>
  <si>
    <t>{"FAC": 9, "GPE": 9, "LOC": 5, "ORG": 10, "PER": 18}</t>
  </si>
  <si>
    <t>small_300 / Multilabel stratified (paper-style) [s59]</t>
  </si>
  <si>
    <t>/content/drive/MyDrive/thesis_project/thesis/outputs/exp10_regular/regular_ner_crf_20260807_100542.json</t>
  </si>
  <si>
    <t>/content/drive/MyDrive/thesis_project/thesis/outputs/exp10_regular/regular_ner_crf_results_20260807_100541.xlsx</t>
  </si>
  <si>
    <t>{"EVE": 1, "FAC": 8, "GPE": 12, "LOC": 6, "ORG": 38, "PER": 37, "WOA": 4}</t>
  </si>
  <si>
    <t>{"EVE": 5, "FAC": 17, "GPE": 19, "LOC": 6, "ORG": 58, "PER": 40, "WOA": 8}</t>
  </si>
  <si>
    <t>{"FAC": 3, "GPE": 3, "LOC": 3, "ORG": 24, "PER": 15}</t>
  </si>
  <si>
    <t>{"FAC": 3, "GPE": 4, "LOC": 3, "ORG": 35, "PER": 15}</t>
  </si>
  <si>
    <t>conll2003_bert__small_300__after_multilabel_iterative_paper__seed60</t>
  </si>
  <si>
    <t>[CoNLL-2003 + bert-base-uncased] [small_300] Multilabel stratified (paper-style) [seed 60]</t>
  </si>
  <si>
    <t>{"FAC": 7, "GPE": 11, "LOC": 8, "ORG": 43, "PER": 36, "WOA": 4}</t>
  </si>
  <si>
    <t>small_300 / Multilabel stratified (paper-style) [s60]</t>
  </si>
  <si>
    <t>{"FAC": 12, "GPE": 15, "LOC": 8, "ORG": 63, "PER": 38, "WOA": 8}</t>
  </si>
  <si>
    <t>{"EVE": 1, "FAC": 4, "GPE": 4, "LOC": 1, "ORG": 19, "PER": 16}</t>
  </si>
  <si>
    <t>{"EVE": 5, "FAC": 8, "GPE": 8, "LOC": 1, "ORG": 30, "PER": 17}</t>
  </si>
  <si>
    <t>/content/drive/MyDrive/thesis_project/thesis/outputs/exp10_regular/regular_ner_crf_20260807_100727.json</t>
  </si>
  <si>
    <t>/content/drive/MyDrive/thesis_project/thesis/outputs/exp10_regular/regular_ner_crf_results_20260807_100727.xlsx</t>
  </si>
  <si>
    <t>{"FAC": 6, "GPE": 12, "LOC": 7, "ORG": 41, "PER": 37, "WOA": 4}</t>
  </si>
  <si>
    <t>{"FAC": 9, "GPE": 18, "LOC": 7, "ORG": 61, "PER": 39, "WOA": 8}</t>
  </si>
  <si>
    <t>{"EVE": 1, "FAC": 5, "GPE": 3, "LOC": 2, "ORG": 21, "PER": 15}</t>
  </si>
  <si>
    <t>{"EVE": 5, "FAC": 11, "GPE": 5, "LOC": 2, "ORG": 32, "PER": 16}</t>
  </si>
  <si>
    <t>Section</t>
  </si>
  <si>
    <t>conll2003_bert__small_300__after_multilabel_iterative_paper__seed61</t>
  </si>
  <si>
    <t>{"EVE": 1, "FAC": 4, "GPE": 9, "LOC": 8, "ORG": 42, "PER": 39, "WOA": 4}</t>
  </si>
  <si>
    <t>{"EVE": 5, "FAC": 8, "GPE": 13, "LOC": 8, "ORG": 62, "PER": 41, "WOA": 8}</t>
  </si>
  <si>
    <t>Key</t>
  </si>
  <si>
    <t>[CoNLL-2003 + bert-base-uncased] [small_300] Multilabel stratified (paper-style) [seed 61]</t>
  </si>
  <si>
    <t>Value</t>
  </si>
  <si>
    <t>{"FAC": 7, "GPE": 6, "LOC": 1, "ORG": 20, "PER": 13}</t>
  </si>
  <si>
    <t>small_300 / Multilabel stratified (paper-style) [s61]</t>
  </si>
  <si>
    <t>{"FAC": 12, "GPE": 10, "LOC": 1, "ORG": 31, "PER": 14}</t>
  </si>
  <si>
    <t>Design</t>
  </si>
  <si>
    <t>Benchmarks</t>
  </si>
  <si>
    <t>CoNLL-2003 + bert-base-uncased, NEMO + DictaBERT, BC5CDR + PubMedBERT</t>
  </si>
  <si>
    <t>Split variants</t>
  </si>
  <si>
    <t>{"FAC": 8, "GPE": 11, "LOC": 9, "ORG": 46, "PER": 35, "WOA": 2}</t>
  </si>
  <si>
    <t>Simple random; Multilabel stratified (paper-style)</t>
  </si>
  <si>
    <t>{"FAC": 12, "GPE": 16, "LOC": 9, "ORG": 71, "PER": 37, "WOA": 2}</t>
  </si>
  <si>
    <t>{"EVE": 1, "FAC": 3, "GPE": 4, "ORG": 16, "PER": 17, "WOA": 2}</t>
  </si>
  <si>
    <t>Regimes</t>
  </si>
  <si>
    <t>{"EVE": 5, "FAC": 8, "GPE": 7, "ORG": 22, "PER": 18, "WOA": 6}</t>
  </si>
  <si>
    <t>/content/drive/MyDrive/thesis_project/thesis/outputs/exp10_regular/regular_ner_crf_20260807_100913.json</t>
  </si>
  <si>
    <t>small_300 (300-sentence pool, 70% train / 30% eval); full (official train pool, same ratio)</t>
  </si>
  <si>
    <t>/content/drive/MyDrive/thesis_project/thesis/outputs/exp10_regular/regular_ner_crf_results_20260807_100912.xlsx</t>
  </si>
  <si>
    <t>Dataset details sheet</t>
  </si>
  <si>
    <t>Per seed: train/eval sentences, tokens, entity spans, tokens per entity type (JSON columns)</t>
  </si>
  <si>
    <t>Train modes</t>
  </si>
  <si>
    <t>{"FAC": 4, "GPE": 11, "LOC": 5, "ORG": 40, "PER": 38, "WOA": 4}</t>
  </si>
  <si>
    <t>baseline (original train split); augmented (exp08 LLM mask-fill on train only, same eval)</t>
  </si>
  <si>
    <t>{"FAC": 4, "GPE": 18, "LOC": 5, "ORG": 59, "PER": 41, "WOA": 8}</t>
  </si>
  <si>
    <t>Cascaded Pipeline (CRF + Consistency)</t>
  </si>
  <si>
    <t>Augmentation</t>
  </si>
  <si>
    <t>{"EVE": 1, "FAC": 7, "GPE": 4, "LOC": 4, "ORG": 22, "PER": 14}</t>
  </si>
  <si>
    <t>{"EVE": 5, "FAC": 16, "GPE": 5, "LOC": 4, "ORG": 34, "PER": 14}</t>
  </si>
  <si>
    <t>THESIS_EXP08_MULTIPLIER (default 3); fill-mask model = benchmark encoder unless THESIS_AUGMENTATION_MODEL_NAME set</t>
  </si>
  <si>
    <t>Seeds</t>
  </si>
  <si>
    <t>42..61 (20 paired seeds)</t>
  </si>
  <si>
    <t>{"EVE": 1, "FAC": 8, "GPE": 12, "LOC": 6, "ORG": 43, "PER": 35, "WOA": 4}</t>
  </si>
  <si>
    <t>{"EVE": 5, "FAC": 13, "GPE": 17, "LOC": 6, "ORG": 67, "PER": 36, "WOA": 8}</t>
  </si>
  <si>
    <t>Experiments</t>
  </si>
  <si>
    <t>10_regular, 10_cascade, 10_svm_ready</t>
  </si>
  <si>
    <t>{"FAC": 3, "GPE": 3, "LOC": 3, "ORG": 19, "PER": 17}</t>
  </si>
  <si>
    <t>{"FAC": 7, "GPE": 6, "LOC": 3, "ORG": 26, "PER": 19}</t>
  </si>
  <si>
    <t>Interpretation</t>
  </si>
  <si>
    <t>ok_reused_base</t>
  </si>
  <si>
    <t>Positive =&gt; paper-style stratified split improved F1 vs simple random (same seed)</t>
  </si>
  <si>
    <t>/content/drive/MyDrive/thesis_project/thesis/outputs/exp10_cascade/cascaded_pipeline_crf_20260807_070708.json</t>
  </si>
  <si>
    <t>/content/drive/MyDrive/thesis_project/thesis/outputs/exp10_cascade/cascaded_pipeline_crf_results_20260807_070703.xlsx</t>
  </si>
  <si>
    <t>{"FAC": 8, "GPE": 13, "LOC": 4, "ORG": 47, "PER": 39, "WOA": 1}</t>
  </si>
  <si>
    <t>{"FAC": 14, "GPE": 19, "LOC": 4, "ORG": 71, "PER": 40, "WOA": 1}</t>
  </si>
  <si>
    <t>{"EVE": 1, "FAC": 3, "GPE": 2, "LOC": 5, "ORG": 15, "PER": 13, "WOA": 3}</t>
  </si>
  <si>
    <t>{"EVE": 5, "FAC": 6, "GPE": 4, "LOC": 5, "ORG": 22, "PER": 15, "WOA": 7}</t>
  </si>
  <si>
    <t>{"EVE": 1, "FAC": 9, "GPE": 13, "LOC": 7, "ORG": 42, "PER": 35, "WOA": 3}</t>
  </si>
  <si>
    <t>{"EVE": 5, "FAC": 18, "GPE": 19, "LOC": 7, "ORG": 61, "PER": 35, "WOA": 7}</t>
  </si>
  <si>
    <t>{"FAC": 2, "GPE": 2, "LOC": 2, "ORG": 20, "PER": 17, "WOA": 1}</t>
  </si>
  <si>
    <t>{"FAC": 2, "GPE": 4, "LOC": 2, "ORG": 32, "PER": 20, "WOA": 1}</t>
  </si>
  <si>
    <t>/content/drive/MyDrive/thesis_project/thesis/outputs/exp10_cascade/cascaded_pipeline_crf_20260807_070856.json</t>
  </si>
  <si>
    <t>/content/drive/MyDrive/thesis_project/thesis/outputs/exp10_cascade/cascaded_pipeline_crf_results_20260807_070855.xlsx</t>
  </si>
  <si>
    <t>{"EVE": 1, "FAC": 8, "GPE": 9, "LOC": 5, "ORG": 48, "PER": 38, "WOA": 4}</t>
  </si>
  <si>
    <t>{"EVE": 5, "FAC": 17, "GPE": 14, "LOC": 5, "ORG": 72, "PER": 40, "WOA": 8}</t>
  </si>
  <si>
    <t>{"FAC": 3, "GPE": 6, "LOC": 4, "ORG": 14, "PER": 14}</t>
  </si>
  <si>
    <t>{"FAC": 3, "GPE": 9, "LOC": 4, "ORG": 21, "PER": 15}</t>
  </si>
  <si>
    <t>{"EVE": 1, "FAC": 6, "GPE": 13, "LOC": 8, "ORG": 49, "PER": 33, "WOA": 2}</t>
  </si>
  <si>
    <t>{"EVE": 5, "FAC": 8, "GPE": 20, "LOC": 8, "ORG": 70, "PER": 33, "WOA": 6}</t>
  </si>
  <si>
    <t>{"FAC": 5, "GPE": 2, "LOC": 1, "ORG": 13, "PER": 19, "WOA": 2}</t>
  </si>
  <si>
    <t>{"FAC": 12, "GPE": 3, "LOC": 1, "ORG": 23, "PER": 22, "WOA": 2}</t>
  </si>
  <si>
    <t>/content/drive/MyDrive/thesis_project/thesis/outputs/exp10_cascade/cascaded_pipeline_crf_20260807_071047.json</t>
  </si>
  <si>
    <t>/content/drive/MyDrive/thesis_project/thesis/outputs/exp10_cascade/cascaded_pipeline_crf_results_20260807_071046.xlsx</t>
  </si>
  <si>
    <t>{"EVE": 1, "FAC": 7, "GPE": 11, "LOC": 8, "ORG": 42, "PER": 38, "WOA": 3}</t>
  </si>
  <si>
    <t>{"EVE": 5, "FAC": 12, "GPE": 16, "LOC": 8, "ORG": 64, "PER": 40, "WOA": 7}</t>
  </si>
  <si>
    <t>{"FAC": 4, "GPE": 4, "LOC": 1, "ORG": 20, "PER": 14, "WOA": 1}</t>
  </si>
  <si>
    <t>{"FAC": 8, "GPE": 7, "LOC": 1, "ORG": 29, "PER": 15, "WOA": 1}</t>
  </si>
  <si>
    <t>{"FAC": 8, "GPE": 9, "LOC": 6, "ORG": 40, "PER": 42, "WOA": 3}</t>
  </si>
  <si>
    <t>{"FAC": 16, "GPE": 13, "LOC": 6, "ORG": 63, "PER": 42, "WOA": 7}</t>
  </si>
  <si>
    <t>{"EVE": 1, "FAC": 3, "GPE": 6, "LOC": 3, "ORG": 22, "PER": 10, "WOA": 1}</t>
  </si>
  <si>
    <t>{"EVE": 5, "FAC": 4, "GPE": 10, "LOC": 3, "ORG": 30, "PER": 13, "WOA": 1}</t>
  </si>
  <si>
    <t>{"FAC": 7, "GPE": 11, "LOC": 4, "ORG": 49, "PER": 33, "WOA": 3}</t>
  </si>
  <si>
    <t>{"FAC": 11, "GPE": 18, "LOC": 4, "ORG": 74, "PER": 34, "WOA": 7}</t>
  </si>
  <si>
    <t>/content/drive/MyDrive/thesis_project/thesis/outputs/exp10_cascade/cascaded_pipeline_crf_20260807_071239.json</t>
  </si>
  <si>
    <t>{"EVE": 1, "FAC": 4, "GPE": 4, "LOC": 5, "ORG": 13, "PER": 19, "WOA": 1}</t>
  </si>
  <si>
    <t>/content/drive/MyDrive/thesis_project/thesis/outputs/exp10_cascade/cascaded_pipeline_crf_results_20260807_071237.xlsx</t>
  </si>
  <si>
    <t>{"EVE": 5, "FAC": 9, "GPE": 5, "LOC": 5, "ORG": 19, "PER": 21, "WOA": 1}</t>
  </si>
  <si>
    <t>{"EVE": 1, "FAC": 8, "GPE": 11, "LOC": 6, "ORG": 43, "PER": 36, "WOA": 3}</t>
  </si>
  <si>
    <t>{"EVE": 5, "FAC": 14, "GPE": 17, "LOC": 6, "ORG": 66, "PER": 37, "WOA": 7}</t>
  </si>
  <si>
    <t>{"FAC": 3, "GPE": 4, "LOC": 3, "ORG": 19, "PER": 16, "WOA": 1}</t>
  </si>
  <si>
    <t>{"FAC": 6, "GPE": 6, "LOC": 3, "ORG": 27, "PER": 18, "WOA": 1}</t>
  </si>
  <si>
    <t>{"EVE": 1, "FAC": 8, "GPE": 11, "LOC": 7, "ORG": 40, "PER": 37, "WOA": 3}</t>
  </si>
  <si>
    <t>{"EVE": 5, "FAC": 14, "GPE": 17, "LOC": 7, "ORG": 60, "PER": 39, "WOA": 7}</t>
  </si>
  <si>
    <t>{"FAC": 3, "GPE": 4, "LOC": 2, "ORG": 22, "PER": 15, "WOA": 1}</t>
  </si>
  <si>
    <t>{"FAC": 6, "GPE": 6, "LOC": 2, "ORG": 33, "PER": 16, "WOA": 1}</t>
  </si>
  <si>
    <t>/content/drive/MyDrive/thesis_project/thesis/outputs/exp10_cascade/cascaded_pipeline_crf_20260807_071427.json</t>
  </si>
  <si>
    <t>/content/drive/MyDrive/thesis_project/thesis/outputs/exp10_cascade/cascaded_pipeline_crf_results_20260807_071426.xlsx</t>
  </si>
  <si>
    <t>{"EVE": 1, "FAC": 7, "GPE": 11, "LOC": 7, "ORG": 44, "PER": 38, "WOA": 3}</t>
  </si>
  <si>
    <t>{"EVE": 5, "FAC": 12, "GPE": 17, "LOC": 7, "ORG": 61, "PER": 39, "WOA": 7}</t>
  </si>
  <si>
    <t>{"FAC": 4, "GPE": 4, "LOC": 2, "ORG": 18, "PER": 14, "WOA": 1}</t>
  </si>
  <si>
    <t>{"FAC": 8, "GPE": 6, "LOC": 2, "ORG": 32, "PER": 16, "WOA": 1}</t>
  </si>
  <si>
    <t>/content/drive/MyDrive/thesis_project/thesis/outputs/exp10_cascade/cascaded_pipeline_crf_20260807_071536.json</t>
  </si>
  <si>
    <t>/content/drive/MyDrive/thesis_project/thesis/outputs/exp10_cascade/cascaded_pipeline_crf_results_20260807_071535.xlsx</t>
  </si>
  <si>
    <t>{"EVE": 1, "FAC": 8, "GPE": 11, "LOC": 7, "ORG": 45, "PER": 38, "WOA": 3}</t>
  </si>
  <si>
    <t>{"EVE": 5, "FAC": 16, "GPE": 17, "LOC": 7, "ORG": 67, "PER": 40, "WOA": 7}</t>
  </si>
  <si>
    <t>{"FAC": 3, "GPE": 4, "LOC": 2, "ORG": 17, "PER": 14, "WOA": 1}</t>
  </si>
  <si>
    <t>{"FAC": 4, "GPE": 6, "LOC": 2, "ORG": 26, "PER": 15, "WOA": 1}</t>
  </si>
  <si>
    <t>{"EVE": 1, "FAC": 8, "GPE": 10, "LOC": 7, "ORG": 42, "PER": 37, "WOA": 3}</t>
  </si>
  <si>
    <t>{"EVE": 5, "FAC": 16, "GPE": 16, "LOC": 7, "ORG": 62, "PER": 38, "WOA": 7}</t>
  </si>
  <si>
    <t>{"FAC": 3, "GPE": 5, "LOC": 2, "ORG": 20, "PER": 15, "WOA": 1}</t>
  </si>
  <si>
    <t>{"FAC": 4, "GPE": 7, "LOC": 2, "ORG": 31, "PER": 17, "WOA": 1}</t>
  </si>
  <si>
    <t>/content/drive/MyDrive/thesis_project/thesis/outputs/exp10_cascade/cascaded_pipeline_crf_20260807_071726.json</t>
  </si>
  <si>
    <t>/content/drive/MyDrive/thesis_project/thesis/outputs/exp10_cascade/cascaded_pipeline_crf_results_20260807_071724.xlsx</t>
  </si>
  <si>
    <t>{"EVE": 1, "FAC": 7, "GPE": 10, "LOC": 7, "ORG": 43, "PER": 35, "WOA": 3}</t>
  </si>
  <si>
    <t>{"EVE": 5, "FAC": 12, "GPE": 16, "LOC": 7, "ORG": 63, "PER": 37, "WOA": 7}</t>
  </si>
  <si>
    <t>{"FAC": 4, "GPE": 5, "LOC": 2, "ORG": 19, "PER": 17, "WOA": 1}</t>
  </si>
  <si>
    <t>{"FAC": 8, "GPE": 7, "LOC": 2, "ORG": 30, "PER": 18, "WOA": 1}</t>
  </si>
  <si>
    <t>{"EVE": 1, "FAC": 8, "GPE": 10, "LOC": 7, "ORG": 41, "PER": 35, "WOA": 3}</t>
  </si>
  <si>
    <t>{"EVE": 5, "FAC": 14, "GPE": 16, "LOC": 7, "ORG": 60, "PER": 37, "WOA": 7}</t>
  </si>
  <si>
    <t>{"FAC": 3, "GPE": 5, "LOC": 2, "ORG": 21, "PER": 17, "WOA": 1}</t>
  </si>
  <si>
    <t>{"FAC": 6, "GPE": 7, "LOC": 2, "ORG": 33, "PER": 18, "WOA": 1}</t>
  </si>
  <si>
    <t>{"EVE": 1, "FAC": 8, "GPE": 11, "LOC": 7, "ORG": 40, "PER": 36, "WOA": 3}</t>
  </si>
  <si>
    <t>{"EVE": 5, "FAC": 16, "GPE": 17, "LOC": 7, "ORG": 58, "PER": 38, "WOA": 7}</t>
  </si>
  <si>
    <t>/content/drive/MyDrive/thesis_project/thesis/outputs/exp10_cascade/cascaded_pipeline_crf_20260807_071833.json</t>
  </si>
  <si>
    <t>{"FAC": 3, "GPE": 4, "LOC": 2, "ORG": 22, "PER": 16, "WOA": 1}</t>
  </si>
  <si>
    <t>/content/drive/MyDrive/thesis_project/thesis/outputs/exp10_cascade/cascaded_pipeline_crf_results_20260807_071833.xlsx</t>
  </si>
  <si>
    <t>{"FAC": 4, "GPE": 6, "LOC": 2, "ORG": 35, "PER": 17, "WOA": 1}</t>
  </si>
  <si>
    <t>{"EVE": 1, "FAC": 8, "GPE": 11, "LOC": 7, "ORG": 41, "PER": 37, "WOA": 3}</t>
  </si>
  <si>
    <t>{"EVE": 5, "FAC": 14, "GPE": 17, "LOC": 7, "ORG": 61, "PER": 39, "WOA": 7}</t>
  </si>
  <si>
    <t>{"FAC": 3, "GPE": 4, "LOC": 2, "ORG": 21, "PER": 15, "WOA": 1}</t>
  </si>
  <si>
    <t>{"FAC": 6, "GPE": 6, "LOC": 2, "ORG": 32, "PER": 16, "WOA": 1}</t>
  </si>
  <si>
    <t>item</t>
  </si>
  <si>
    <t>{"EVE": 1, "FAC": 8, "GPE": 10, "LOC": 7, "ORG": 45, "PER": 38, "WOA": 3}</t>
  </si>
  <si>
    <t>{"EVE": 5, "FAC": 16, "GPE": 16, "LOC": 7, "ORG": 68, "PER": 40, "WOA": 7}</t>
  </si>
  <si>
    <t>path</t>
  </si>
  <si>
    <t>{"FAC": 3, "GPE": 5, "LOC": 2, "ORG": 17, "PER": 14, "WOA": 1}</t>
  </si>
  <si>
    <t>{"FAC": 4, "GPE": 7, "LOC": 2, "ORG": 25, "PER": 15, "WOA": 1}</t>
  </si>
  <si>
    <t>consolidated_error_analysis_exp10</t>
  </si>
  <si>
    <t>/content/drive/MyDrive/thesis_project/thesis/outputs/exp10_cascade/cascaded_pipeline_crf_20260807_072024.json</t>
  </si>
  <si>
    <t>/content/drive/MyDrive/thesis_project/thesis/projects/small_data_ner_benchmark/outputs/cross_comparison/consolidated_error_analysis_exp10_20260809_004500.xlsx</t>
  </si>
  <si>
    <t>/content/drive/MyDrive/thesis_project/thesis/outputs/exp10_cascade/cascaded_pipeline_crf_results_20260807_072023.xlsx</t>
  </si>
  <si>
    <t>{"EVE": 1, "FAC": 8, "GPE": 10, "LOC": 7, "ORG": 42, "PER": 33, "WOA": 3}</t>
  </si>
  <si>
    <t>{"EVE": 5, "FAC": 16, "GPE": 16, "LOC": 7, "ORG": 63, "PER": 34, "WOA": 7}</t>
  </si>
  <si>
    <t>{"FAC": 3, "GPE": 5, "LOC": 2, "ORG": 20, "PER": 19, "WOA": 1}</t>
  </si>
  <si>
    <t>{"FAC": 4, "GPE": 7, "LOC": 2, "ORG": 30, "PER": 21, "WOA": 1}</t>
  </si>
  <si>
    <t>{"EVE": 1, "FAC": 8, "GPE": 11, "LOC": 7, "ORG": 43, "PER": 38, "WOA": 3}</t>
  </si>
  <si>
    <t>{"FAC": 3, "GPE": 4, "LOC": 2, "ORG": 19, "PER": 14, "WOA": 1}</t>
  </si>
  <si>
    <t>/content/drive/MyDrive/thesis_project/thesis/outputs/exp10_cascade/cascaded_pipeline_crf_20260807_072134.json</t>
  </si>
  <si>
    <t>/content/drive/MyDrive/thesis_project/thesis/outputs/exp10_cascade/cascaded_pipeline_crf_results_20260807_072133.xlsx</t>
  </si>
  <si>
    <t>{"EVE": 1, "FAC": 7, "GPE": 11, "LOC": 6, "ORG": 42, "PER": 35, "WOA": 3}</t>
  </si>
  <si>
    <t>{"EVE": 5, "FAC": 12, "GPE": 17, "LOC": 6, "ORG": 61, "PER": 37, "WOA": 7}</t>
  </si>
  <si>
    <t>{"FAC": 4, "GPE": 4, "LOC": 3, "ORG": 20, "PER": 17, "WOA": 1}</t>
  </si>
  <si>
    <t>{"FAC": 8, "GPE": 6, "LOC": 3, "ORG": 32, "PER": 18, "WOA": 1}</t>
  </si>
  <si>
    <t>{"EVE": 1, "FAC": 7, "GPE": 11, "LOC": 7, "ORG": 41, "PER": 35, "WOA": 3}</t>
  </si>
  <si>
    <t>{"EVE": 5, "FAC": 12, "GPE": 17, "LOC": 7, "ORG": 62, "PER": 37, "WOA": 7}</t>
  </si>
  <si>
    <t>{"FAC": 4, "GPE": 4, "LOC": 2, "ORG": 21, "PER": 17, "WOA": 1}</t>
  </si>
  <si>
    <t>{"FAC": 8, "GPE": 6, "LOC": 2, "ORG": 31, "PER": 18, "WOA": 1}</t>
  </si>
  <si>
    <t>{"EVE": 1, "FAC": 8, "GPE": 11, "LOC": 7, "ORG": 43, "PER": 37, "WOA": 3}</t>
  </si>
  <si>
    <t>/content/drive/MyDrive/thesis_project/thesis/outputs/exp10_cascade/cascaded_pipeline_crf_20260807_072322.json</t>
  </si>
  <si>
    <t>{"EVE": 5, "FAC": 14, "GPE": 17, "LOC": 7, "ORG": 67, "PER": 38, "WOA": 7}</t>
  </si>
  <si>
    <t>/content/drive/MyDrive/thesis_project/thesis/outputs/exp10_cascade/cascaded_pipeline_crf_results_20260807_072321.xlsx</t>
  </si>
  <si>
    <t>{"FAC": 3, "GPE": 4, "LOC": 2, "ORG": 19, "PER": 15, "WOA": 1}</t>
  </si>
  <si>
    <t>{"FAC": 6, "GPE": 6, "LOC": 2, "ORG": 26, "PER": 17, "WOA": 1}</t>
  </si>
  <si>
    <t>{"EVE": 5, "FAC": 14, "GPE": 17, "LOC": 7, "ORG": 63, "PER": 39, "WOA": 7}</t>
  </si>
  <si>
    <t>{"FAC": 6, "GPE": 6, "LOC": 2, "ORG": 30, "PER": 16, "WOA": 1}</t>
  </si>
  <si>
    <t>{"EVE": 1, "FAC": 8, "GPE": 11, "LOC": 6, "ORG": 46, "PER": 37, "WOA": 3}</t>
  </si>
  <si>
    <t>{"EVE": 5, "FAC": 16, "GPE": 17, "LOC": 6, "ORG": 69, "PER": 39, "WOA": 7}</t>
  </si>
  <si>
    <t>{"FAC": 3, "GPE": 4, "LOC": 3, "ORG": 16, "PER": 15, "WOA": 1}</t>
  </si>
  <si>
    <t>{"FAC": 4, "GPE": 6, "LOC": 3, "ORG": 24, "PER": 16, "WOA": 1}</t>
  </si>
  <si>
    <t>/content/drive/MyDrive/thesis_project/thesis/outputs/exp10_cascade/cascaded_pipeline_crf_20260807_072510.json</t>
  </si>
  <si>
    <t>/content/drive/MyDrive/thesis_project/thesis/outputs/exp10_cascade/cascaded_pipeline_crf_results_20260807_072509.xlsx</t>
  </si>
  <si>
    <t>{"EVE": 1, "FAC": 8, "GPE": 11, "LOC": 6, "ORG": 47, "PER": 37, "WOA": 3}</t>
  </si>
  <si>
    <t>{"EVE": 5, "FAC": 16, "GPE": 17, "LOC": 6, "ORG": 71, "PER": 39, "WOA": 7}</t>
  </si>
  <si>
    <t>{"FAC": 3, "GPE": 4, "LOC": 3, "ORG": 15, "PER": 15, "WOA": 1}</t>
  </si>
  <si>
    <t>/content/drive/MyDrive/thesis_project/thesis/outputs/exp10_cascade/cascaded_pipeline_crf_20260807_072700.json</t>
  </si>
  <si>
    <t>{"FAC": 4, "GPE": 6, "LOC": 3, "ORG": 22, "PER": 16, "WOA": 1}</t>
  </si>
  <si>
    <t>/content/drive/MyDrive/thesis_project/thesis/outputs/exp10_cascade/cascaded_pipeline_crf_results_20260807_072659.xlsx</t>
  </si>
  <si>
    <t>{"EVE": 1, "FAC": 7, "GPE": 11, "LOC": 7, "ORG": 45, "PER": 35, "WOA": 3}</t>
  </si>
  <si>
    <t>{"EVE": 5, "FAC": 12, "GPE": 17, "LOC": 7, "ORG": 64, "PER": 37, "WOA": 7}</t>
  </si>
  <si>
    <t>{"FAC": 4, "GPE": 4, "LOC": 2, "ORG": 17, "PER": 17, "WOA": 1}</t>
  </si>
  <si>
    <t>{"FAC": 8, "GPE": 6, "LOC": 2, "ORG": 29, "PER": 18, "WOA": 1}</t>
  </si>
  <si>
    <t>/content/drive/MyDrive/thesis_project/thesis/outputs/exp10_cascade/cascaded_pipeline_crf_20260807_072848.json</t>
  </si>
  <si>
    <t>/content/drive/MyDrive/thesis_project/thesis/outputs/exp10_cascade/cascaded_pipeline_crf_results_20260807_072847.xlsx</t>
  </si>
  <si>
    <t>{"EVE": 1, "FAC": 8, "GPE": 11, "LOC": 7, "ORG": 42, "PER": 37, "WOA": 3}</t>
  </si>
  <si>
    <t>{"EVE": 5, "FAC": 16, "GPE": 17, "LOC": 7, "ORG": 66, "PER": 39, "WOA": 7}</t>
  </si>
  <si>
    <t>{"FAC": 3, "GPE": 4, "LOC": 2, "ORG": 20, "PER": 15, "WOA": 1}</t>
  </si>
  <si>
    <t>{"FAC": 4, "GPE": 6, "LOC": 2, "ORG": 27, "PER": 16, "WOA": 1}</t>
  </si>
  <si>
    <t>/content/drive/MyDrive/thesis_project/thesis/outputs/exp10_cascade/cascaded_pipeline_crf_20260807_073039.json</t>
  </si>
  <si>
    <t>/content/drive/MyDrive/thesis_project/thesis/outputs/exp10_cascade/cascaded_pipeline_crf_results_20260807_073037.xlsx</t>
  </si>
  <si>
    <t>{"ORG": 98, "PER": 189}</t>
  </si>
  <si>
    <t>{"ORG": 117, "PER": 355}</t>
  </si>
  <si>
    <t>{"ORG": 53, "PER": 87}</t>
  </si>
  <si>
    <t>{"ORG": 62, "PER": 168}</t>
  </si>
  <si>
    <t>/content/drive/MyDrive/thesis_project/thesis/outputs/exp10_cascade/cascaded_pipeline_crf_20260807_073226.json</t>
  </si>
  <si>
    <t>{"ORG": 108, "PER": 191}</t>
  </si>
  <si>
    <t>{"ORG": 128, "PER": 369}</t>
  </si>
  <si>
    <t>{"ORG": 43, "PER": 85}</t>
  </si>
  <si>
    <t>{"ORG": 51, "PER": 154}</t>
  </si>
  <si>
    <t>/content/drive/MyDrive/thesis_project/thesis/outputs/exp10_cascade/cascaded_pipeline_crf_results_20260807_073225.xlsx</t>
  </si>
  <si>
    <t>{"ORG": 108, "PER": 188}</t>
  </si>
  <si>
    <t>{"ORG": 127, "PER": 364}</t>
  </si>
  <si>
    <t>{"ORG": 43, "PER": 88}</t>
  </si>
  <si>
    <t>{"ORG": 52, "PER": 159}</t>
  </si>
  <si>
    <t>/content/drive/MyDrive/thesis_project/thesis/outputs/exp10_cascade/cascaded_pipeline_crf_20260807_093037.json</t>
  </si>
  <si>
    <t>{"ORG": 112, "PER": 184}</t>
  </si>
  <si>
    <t>/content/drive/MyDrive/thesis_project/thesis/outputs/exp10_cascade/cascaded_pipeline_crf_results_20260807_093033.xlsx</t>
  </si>
  <si>
    <t>{"ORG": 133, "PER": 362}</t>
  </si>
  <si>
    <t>{"ORG": 39, "PER": 92}</t>
  </si>
  <si>
    <t>{"ORG": 46, "PER": 161}</t>
  </si>
  <si>
    <t>{"ORG": 100, "PER": 191}</t>
  </si>
  <si>
    <t>/content/drive/MyDrive/thesis_project/thesis/outputs/exp10_cascade/cascaded_pipeline_crf_20260807_093222.json</t>
  </si>
  <si>
    <t>/content/drive/MyDrive/thesis_project/thesis/outputs/exp10_cascade/cascaded_pipeline_crf_results_20260807_093221.xlsx</t>
  </si>
  <si>
    <t>{"ORG": 120, "PER": 370}</t>
  </si>
  <si>
    <t>{"ORG": 51, "PER": 85}</t>
  </si>
  <si>
    <t>{"ORG": 59, "PER": 153}</t>
  </si>
  <si>
    <t>/content/drive/MyDrive/thesis_project/thesis/outputs/exp10_cascade/cascaded_pipeline_crf_20260807_093329.json</t>
  </si>
  <si>
    <t>/content/drive/MyDrive/thesis_project/thesis/outputs/exp10_cascade/cascaded_pipeline_crf_results_20260807_093328.xlsx</t>
  </si>
  <si>
    <t>{"ORG": 102, "PER": 191}</t>
  </si>
  <si>
    <t>{"ORG": 119, "PER": 364}</t>
  </si>
  <si>
    <t>{"ORG": 49, "PER": 85}</t>
  </si>
  <si>
    <t>{"ORG": 60, "PER": 159}</t>
  </si>
  <si>
    <t>/content/drive/MyDrive/thesis_project/thesis/outputs/exp10_cascade/cascaded_pipeline_crf_20260807_093514.json</t>
  </si>
  <si>
    <t>/content/drive/MyDrive/thesis_project/thesis/outputs/exp10_cascade/cascaded_pipeline_crf_results_20260807_093513.xlsx</t>
  </si>
  <si>
    <t>{"ORG": 123, "PER": 217}</t>
  </si>
  <si>
    <t>/content/drive/MyDrive/thesis_project/thesis/outputs/exp10_cascade/cascaded_pipeline_crf_20260807_093702.json</t>
  </si>
  <si>
    <t>{"ORG": 145, "PER": 409}</t>
  </si>
  <si>
    <t>/content/drive/MyDrive/thesis_project/thesis/outputs/exp10_cascade/cascaded_pipeline_crf_results_20260807_093701.xlsx</t>
  </si>
  <si>
    <t>{"ORG": 28, "PER": 59}</t>
  </si>
  <si>
    <t>{"ORG": 34, "PER": 114}</t>
  </si>
  <si>
    <t>/content/drive/MyDrive/thesis_project/thesis/outputs/exp10_cascade/cascaded_pipeline_crf_20260807_093848.json</t>
  </si>
  <si>
    <t>/content/drive/MyDrive/thesis_project/thesis/outputs/exp10_cascade/cascaded_pipeline_crf_results_20260807_093847.xlsx</t>
  </si>
  <si>
    <t>{"ORG": 95, "PER": 200}</t>
  </si>
  <si>
    <t>{"ORG": 115, "PER": 371}</t>
  </si>
  <si>
    <t>{"ORG": 56, "PER": 76}</t>
  </si>
  <si>
    <t>{"ORG": 64, "PER": 152}</t>
  </si>
  <si>
    <t>/content/drive/MyDrive/thesis_project/thesis/outputs/exp10_cascade/cascaded_pipeline_crf_20260807_094033.json</t>
  </si>
  <si>
    <t>/content/drive/MyDrive/thesis_project/thesis/outputs/exp10_cascade/cascaded_pipeline_crf_results_20260807_094032.xlsx</t>
  </si>
  <si>
    <t>{"ORG": 112, "PER": 190}</t>
  </si>
  <si>
    <t>{"ORG": 129, "PER": 364}</t>
  </si>
  <si>
    <t>{"ORG": 39, "PER": 86}</t>
  </si>
  <si>
    <t>{"ORG": 50, "PER": 159}</t>
  </si>
  <si>
    <t>/content/drive/MyDrive/thesis_project/thesis/outputs/exp10_cascade/cascaded_pipeline_crf_20260807_094220.json</t>
  </si>
  <si>
    <t>/content/drive/MyDrive/thesis_project/thesis/outputs/exp10_cascade/cascaded_pipeline_crf_results_20260807_094219.xlsx</t>
  </si>
  <si>
    <t>{"ORG": 102, "PER": 180}</t>
  </si>
  <si>
    <t>{"ORG": 124, "PER": 356}</t>
  </si>
  <si>
    <t>{"ORG": 49, "PER": 96}</t>
  </si>
  <si>
    <t>{"ORG": 55, "PER": 167}</t>
  </si>
  <si>
    <t>/content/drive/MyDrive/thesis_project/thesis/outputs/exp10_cascade/cascaded_pipeline_crf_20260807_094405.json</t>
  </si>
  <si>
    <t>/content/drive/MyDrive/thesis_project/thesis/outputs/exp10_cascade/cascaded_pipeline_crf_results_20260807_094404.xlsx</t>
  </si>
  <si>
    <t>{"ORG": 110, "PER": 199}</t>
  </si>
  <si>
    <t>{"ORG": 133, "PER": 372}</t>
  </si>
  <si>
    <t>{"ORG": 41, "PER": 77}</t>
  </si>
  <si>
    <t>{"ORG": 46, "PER": 151}</t>
  </si>
  <si>
    <t>/content/drive/MyDrive/thesis_project/thesis/outputs/exp10_cascade/cascaded_pipeline_crf_20260807_094552.json</t>
  </si>
  <si>
    <t>/content/drive/MyDrive/thesis_project/thesis/outputs/exp10_cascade/cascaded_pipeline_crf_results_20260807_094551.xlsx</t>
  </si>
  <si>
    <t>{"ORG": 126, "PER": 360}</t>
  </si>
  <si>
    <t>{"ORG": 53, "PER": 163}</t>
  </si>
  <si>
    <t>{"ORG": 102, "PER": 188}</t>
  </si>
  <si>
    <t>{"ORG": 118, "PER": 353}</t>
  </si>
  <si>
    <t>/content/drive/MyDrive/thesis_project/thesis/outputs/exp10_cascade/cascaded_pipeline_crf_20260807_094738.json</t>
  </si>
  <si>
    <t>/content/drive/MyDrive/thesis_project/thesis/outputs/exp10_cascade/cascaded_pipeline_crf_results_20260807_094737.xlsx</t>
  </si>
  <si>
    <t>{"ORG": 49, "PER": 88}</t>
  </si>
  <si>
    <t>{"ORG": 61, "PER": 170}</t>
  </si>
  <si>
    <t>{"ORG": 107, "PER": 187}</t>
  </si>
  <si>
    <t>{"ORG": 126, "PER": 344}</t>
  </si>
  <si>
    <t>{"ORG": 44, "PER": 89}</t>
  </si>
  <si>
    <t>/content/drive/MyDrive/thesis_project/thesis/outputs/exp10_cascade/cascaded_pipeline_crf_20260807_094924.json</t>
  </si>
  <si>
    <t>{"ORG": 53, "PER": 179}</t>
  </si>
  <si>
    <t>/content/drive/MyDrive/thesis_project/thesis/outputs/exp10_cascade/cascaded_pipeline_crf_results_20260807_094923.xlsx</t>
  </si>
  <si>
    <t>{"ORG": 101, "PER": 190}</t>
  </si>
  <si>
    <t>{"ORG": 117, "PER": 356}</t>
  </si>
  <si>
    <t>{"ORG": 50, "PER": 86}</t>
  </si>
  <si>
    <t>{"ORG": 62, "PER": 167}</t>
  </si>
  <si>
    <t>/content/drive/MyDrive/thesis_project/thesis/outputs/exp10_cascade/cascaded_pipeline_crf_20260807_095111.json</t>
  </si>
  <si>
    <t>/content/drive/MyDrive/thesis_project/thesis/outputs/exp10_cascade/cascaded_pipeline_crf_results_20260807_095109.xlsx</t>
  </si>
  <si>
    <t>{"ORG": 106, "PER": 192}</t>
  </si>
  <si>
    <t>{"ORG": 125, "PER": 366}</t>
  </si>
  <si>
    <t>{"ORG": 45, "PER": 84}</t>
  </si>
  <si>
    <t>{"ORG": 54, "PER": 157}</t>
  </si>
  <si>
    <t>/content/drive/MyDrive/thesis_project/thesis/outputs/exp10_cascade/cascaded_pipeline_crf_20260807_095258.json</t>
  </si>
  <si>
    <t>/content/drive/MyDrive/thesis_project/thesis/outputs/exp10_cascade/cascaded_pipeline_crf_results_20260807_095257.xlsx</t>
  </si>
  <si>
    <t>{"ORG": 110, "PER": 208}</t>
  </si>
  <si>
    <t>{"ORG": 134, "PER": 393}</t>
  </si>
  <si>
    <t>{"ORG": 41, "PER": 68}</t>
  </si>
  <si>
    <t>{"ORG": 45, "PER": 130}</t>
  </si>
  <si>
    <t>/content/drive/MyDrive/thesis_project/thesis/outputs/exp10_cascade/cascaded_pipeline_crf_20260807_095445.json</t>
  </si>
  <si>
    <t>/content/drive/MyDrive/thesis_project/thesis/outputs/exp10_cascade/cascaded_pipeline_crf_results_20260807_095444.xlsx</t>
  </si>
  <si>
    <t>{"ORG": 107, "PER": 203}</t>
  </si>
  <si>
    <t>{"ORG": 121, "PER": 389}</t>
  </si>
  <si>
    <t>{"ORG": 44, "PER": 73}</t>
  </si>
  <si>
    <t>{"ORG": 58, "PER": 134}</t>
  </si>
  <si>
    <t>/content/drive/MyDrive/thesis_project/thesis/outputs/exp10_cascade/cascaded_pipeline_crf_20260807_095633.json</t>
  </si>
  <si>
    <t>/content/drive/MyDrive/thesis_project/thesis/outputs/exp10_cascade/cascaded_pipeline_crf_results_20260807_095632.xlsx</t>
  </si>
  <si>
    <t>{"ORG": 99, "PER": 184}</t>
  </si>
  <si>
    <t>{"ORG": 117, "PER": 354}</t>
  </si>
  <si>
    <t>{"ORG": 52, "PER": 92}</t>
  </si>
  <si>
    <t>{"ORG": 62, "PER": 169}</t>
  </si>
  <si>
    <t>{"ORG": 93, "PER": 189}</t>
  </si>
  <si>
    <t>{"ORG": 114, "PER": 355}</t>
  </si>
  <si>
    <t>/content/drive/MyDrive/thesis_project/thesis/outputs/exp10_cascade/cascaded_pipeline_crf_20260807_095820.json</t>
  </si>
  <si>
    <t>/content/drive/MyDrive/thesis_project/thesis/outputs/exp10_cascade/cascaded_pipeline_crf_results_20260807_095819.xlsx</t>
  </si>
  <si>
    <t>{"ORG": 58, "PER": 87}</t>
  </si>
  <si>
    <t>{"ORG": 65, "PER": 168}</t>
  </si>
  <si>
    <t>/content/drive/MyDrive/thesis_project/thesis/outputs/exp10_cascade/cascaded_pipeline_crf_20260807_100007.json</t>
  </si>
  <si>
    <t>/content/drive/MyDrive/thesis_project/thesis/outputs/exp10_cascade/cascaded_pipeline_crf_results_20260807_100006.xlsx</t>
  </si>
  <si>
    <t>{"ORG": 95, "PER": 190}</t>
  </si>
  <si>
    <t>{"ORG": 113, "PER": 364}</t>
  </si>
  <si>
    <t>{"ORG": 56, "PER": 86}</t>
  </si>
  <si>
    <t>{"ORG": 66, "PER": 159}</t>
  </si>
  <si>
    <t>{"ORG": 102, "PER": 199}</t>
  </si>
  <si>
    <t>{"ORG": 122, "PER": 374}</t>
  </si>
  <si>
    <t>{"ORG": 49, "PER": 77}</t>
  </si>
  <si>
    <t>{"ORG": 57, "PER": 149}</t>
  </si>
  <si>
    <t>/content/drive/MyDrive/thesis_project/thesis/outputs/exp10_cascade/cascaded_pipeline_crf_20260807_100153.json</t>
  </si>
  <si>
    <t>/content/drive/MyDrive/thesis_project/thesis/outputs/exp10_cascade/cascaded_pipeline_crf_results_20260807_100151.xlsx</t>
  </si>
  <si>
    <t>{"ORG": 115, "PER": 192}</t>
  </si>
  <si>
    <t>{"ORG": 134, "PER": 366}</t>
  </si>
  <si>
    <t>{"ORG": 36, "PER": 84}</t>
  </si>
  <si>
    <t>{"ORG": 45, "PER": 157}</t>
  </si>
  <si>
    <t>{"ORG": 102, "PER": 190}</t>
  </si>
  <si>
    <t>{"ORG": 121, "PER": 355}</t>
  </si>
  <si>
    <t>/content/drive/MyDrive/thesis_project/thesis/outputs/exp10_cascade/cascaded_pipeline_crf_20260807_100337.json</t>
  </si>
  <si>
    <t>/content/drive/MyDrive/thesis_project/thesis/outputs/exp10_cascade/cascaded_pipeline_crf_results_20260807_100337.xlsx</t>
  </si>
  <si>
    <t>{"ORG": 49, "PER": 86}</t>
  </si>
  <si>
    <t>{"ORG": 58, "PER": 168}</t>
  </si>
  <si>
    <t>{"ORG": 104, "PER": 189}</t>
  </si>
  <si>
    <t>{"ORG": 121, "PER": 368}</t>
  </si>
  <si>
    <t>{"ORG": 47, "PER": 87}</t>
  </si>
  <si>
    <t>{"ORG": 58, "PER": 155}</t>
  </si>
  <si>
    <t>/content/drive/MyDrive/thesis_project/thesis/outputs/exp10_cascade/cascaded_pipeline_crf_20260807_100522.json</t>
  </si>
  <si>
    <t>/content/drive/MyDrive/thesis_project/thesis/outputs/exp10_cascade/cascaded_pipeline_crf_results_20260807_100520.xlsx</t>
  </si>
  <si>
    <t>{"ORG": 109, "PER": 189}</t>
  </si>
  <si>
    <t>{"ORG": 128, "PER": 357}</t>
  </si>
  <si>
    <t>{"ORG": 42, "PER": 87}</t>
  </si>
  <si>
    <t>{"ORG": 51, "PER": 166}</t>
  </si>
  <si>
    <t>/content/drive/MyDrive/thesis_project/thesis/outputs/exp10_cascade/cascaded_pipeline_crf_20260807_100706.json</t>
  </si>
  <si>
    <t>/content/drive/MyDrive/thesis_project/thesis/outputs/exp10_cascade/cascaded_pipeline_crf_results_20260807_100705.xlsx</t>
  </si>
  <si>
    <t>{"ORG": 104, "PER": 191}</t>
  </si>
  <si>
    <t>{"ORG": 123, "PER": 361}</t>
  </si>
  <si>
    <t>{"ORG": 47, "PER": 85}</t>
  </si>
  <si>
    <t>{"ORG": 56, "PER": 162}</t>
  </si>
  <si>
    <t>/content/drive/MyDrive/thesis_project/thesis/outputs/exp10_cascade/cascaded_pipeline_crf_20260807_100852.json</t>
  </si>
  <si>
    <t>/content/drive/MyDrive/thesis_project/thesis/outputs/exp10_cascade/cascaded_pipeline_crf_results_20260807_100851.xlsx</t>
  </si>
  <si>
    <t>{"ORG": 106, "PER": 202}</t>
  </si>
  <si>
    <t>{"ORG": 126, "PER": 371}</t>
  </si>
  <si>
    <t>{"ORG": 45, "PER": 74}</t>
  </si>
  <si>
    <t>{"ORG": 53, "PER": 152}</t>
  </si>
  <si>
    <t>{"ORG": 113, "PER": 191}</t>
  </si>
  <si>
    <t>{"ORG": 132, "PER": 364}</t>
  </si>
  <si>
    <t>/content/drive/MyDrive/thesis_project/thesis/outputs/exp10_cascade/cascaded_pipeline_crf_20260807_101039.json</t>
  </si>
  <si>
    <t>/content/drive/MyDrive/thesis_project/thesis/outputs/exp10_cascade/cascaded_pipeline_crf_results_20260807_101038.xlsx</t>
  </si>
  <si>
    <t>{"ORG": 38, "PER": 85}</t>
  </si>
  <si>
    <t>{"ORG": 47, "PER": 159}</t>
  </si>
  <si>
    <t>SVM Router Fusion CRF (Ready)</t>
  </si>
  <si>
    <t>{"ORG": 96, "PER": 194}</t>
  </si>
  <si>
    <t>{"ORG": 115, "PER": 364}</t>
  </si>
  <si>
    <t>{"ORG": 55, "PER": 82}</t>
  </si>
  <si>
    <t>{"ORG": 64, "PER": 159}</t>
  </si>
  <si>
    <t>/content/drive/MyDrive/thesis_project/thesis/outputs/exp10_svm_ready/fusion_svm_crf_ready_20260807_101049.json</t>
  </si>
  <si>
    <t>/content/drive/MyDrive/thesis_project/thesis/outputs/exp10_svm_ready/fusion_svm_crf_ready_results_20260807_101046.xlsx</t>
  </si>
  <si>
    <t>{"ORG": 111, "PER": 195}</t>
  </si>
  <si>
    <t>{"ORG": 128, "PER": 367}</t>
  </si>
  <si>
    <t>{"ORG": 40, "PER": 81}</t>
  </si>
  <si>
    <t>{"ORG": 51, "PER": 156}</t>
  </si>
  <si>
    <t>{"ORG": 103, "PER": 189}</t>
  </si>
  <si>
    <t>/content/drive/MyDrive/thesis_project/thesis/outputs/exp10_svm_ready/fusion_svm_crf_ready_20260807_101053.json</t>
  </si>
  <si>
    <t>{"ORG": 122, "PER": 353}</t>
  </si>
  <si>
    <t>/content/drive/MyDrive/thesis_project/thesis/outputs/exp10_svm_ready/fusion_svm_crf_ready_results_20260807_101052.xlsx</t>
  </si>
  <si>
    <t>{"ORG": 48, "PER": 87}</t>
  </si>
  <si>
    <t>{"ORG": 57, "PER": 170}</t>
  </si>
  <si>
    <t>{"ORG": 105, "PER": 203}</t>
  </si>
  <si>
    <t>{"ORG": 125, "PER": 376}</t>
  </si>
  <si>
    <t>{"ORG": 46, "PER": 73}</t>
  </si>
  <si>
    <t>{"ORG": 54, "PER": 147}</t>
  </si>
  <si>
    <t>/content/drive/MyDrive/thesis_project/thesis/outputs/exp10_svm_ready/fusion_svm_crf_ready_20260807_101055.json</t>
  </si>
  <si>
    <t>/content/drive/MyDrive/thesis_project/thesis/outputs/exp10_svm_ready/fusion_svm_crf_ready_results_20260807_101054.xlsx</t>
  </si>
  <si>
    <t>{"ORG": 101, "PER": 191}</t>
  </si>
  <si>
    <t>{"ORG": 120, "PER": 364}</t>
  </si>
  <si>
    <t>{"ORG": 50, "PER": 85}</t>
  </si>
  <si>
    <t>{"ORG": 59, "PER": 159}</t>
  </si>
  <si>
    <t>/content/drive/MyDrive/thesis_project/thesis/outputs/exp10_svm_ready/fusion_svm_crf_ready_20260807_101057.json</t>
  </si>
  <si>
    <t>/content/drive/MyDrive/thesis_project/thesis/outputs/exp10_svm_ready/fusion_svm_crf_ready_results_20260807_101056.xlsx</t>
  </si>
  <si>
    <t>{"ORG": 111, "PER": 177}</t>
  </si>
  <si>
    <t>{"ORG": 129, "PER": 356}</t>
  </si>
  <si>
    <t>{"ORG": 40, "PER": 99}</t>
  </si>
  <si>
    <t>{"ORG": 50, "PER": 167}</t>
  </si>
  <si>
    <t>/content/drive/MyDrive/thesis_project/thesis/outputs/exp10_svm_ready/fusion_svm_crf_ready_20260807_101059.json</t>
  </si>
  <si>
    <t>/content/drive/MyDrive/thesis_project/thesis/outputs/exp10_svm_ready/fusion_svm_crf_ready_results_20260807_101058.xlsx</t>
  </si>
  <si>
    <t>{"ORG": 109, "PER": 188}</t>
  </si>
  <si>
    <t>{"ORG": 127, "PER": 362}</t>
  </si>
  <si>
    <t>{"ORG": 42, "PER": 88}</t>
  </si>
  <si>
    <t>{"ORG": 52, "PER": 161}</t>
  </si>
  <si>
    <t>/content/drive/MyDrive/thesis_project/thesis/outputs/exp10_svm_ready/fusion_svm_crf_ready_20260807_101101.json</t>
  </si>
  <si>
    <t>/content/drive/MyDrive/thesis_project/thesis/outputs/exp10_svm_ready/fusion_svm_crf_ready_results_20260807_101100.xlsx</t>
  </si>
  <si>
    <t>{"ORG": 108, "PER": 196}</t>
  </si>
  <si>
    <t>{"ORG": 126, "PER": 370}</t>
  </si>
  <si>
    <t>{"ORG": 43, "PER": 80}</t>
  </si>
  <si>
    <t>{"ORG": 53, "PER": 153}</t>
  </si>
  <si>
    <t>{"ORG": 103, "PER": 193}</t>
  </si>
  <si>
    <t>{"ORG": 122, "PER": 366}</t>
  </si>
  <si>
    <t>{"ORG": 48, "PER": 83}</t>
  </si>
  <si>
    <t>/content/drive/MyDrive/thesis_project/thesis/outputs/exp10_svm_ready/fusion_svm_crf_ready_20260807_101103.json</t>
  </si>
  <si>
    <t>/content/drive/MyDrive/thesis_project/thesis/outputs/exp10_svm_ready/fusion_svm_crf_ready_results_20260807_101102.xlsx</t>
  </si>
  <si>
    <t>{"ORG": 57, "PER": 157}</t>
  </si>
  <si>
    <t>{"ORG": 112, "PER": 198}</t>
  </si>
  <si>
    <t>{"ORG": 131, "PER": 372}</t>
  </si>
  <si>
    <t>{"ORG": 39, "PER": 78}</t>
  </si>
  <si>
    <t>{"ORG": 48, "PER": 151}</t>
  </si>
  <si>
    <t>/content/drive/MyDrive/thesis_project/thesis/outputs/exp10_svm_ready/fusion_svm_crf_ready_20260807_101106.json</t>
  </si>
  <si>
    <t>/content/drive/MyDrive/thesis_project/thesis/outputs/exp10_svm_ready/fusion_svm_crf_ready_results_20260807_101105.xlsx</t>
  </si>
  <si>
    <t>{"ORG": 99, "PER": 191}</t>
  </si>
  <si>
    <t>{"ORG": 119, "PER": 367}</t>
  </si>
  <si>
    <t>{"ORG": 52, "PER": 85}</t>
  </si>
  <si>
    <t>{"ORG": 60, "PER": 156}</t>
  </si>
  <si>
    <t>/content/drive/MyDrive/thesis_project/thesis/outputs/exp10_svm_ready/fusion_svm_crf_ready_20260807_101108.json</t>
  </si>
  <si>
    <t>/content/drive/MyDrive/thesis_project/thesis/outputs/exp10_svm_ready/fusion_svm_crf_ready_results_20260807_101107.xlsx</t>
  </si>
  <si>
    <t>/content/drive/MyDrive/thesis_project/thesis/outputs/exp10_svm_ready/fusion_svm_crf_ready_20260807_101110.json</t>
  </si>
  <si>
    <t>/content/drive/MyDrive/thesis_project/thesis/outputs/exp10_svm_ready/fusion_svm_crf_ready_results_20260807_101110.xlsx</t>
  </si>
  <si>
    <t>/content/drive/MyDrive/thesis_project/thesis/outputs/exp10_svm_ready/fusion_svm_crf_ready_20260807_101112.json</t>
  </si>
  <si>
    <t>/content/drive/MyDrive/thesis_project/thesis/outputs/exp10_svm_ready/fusion_svm_crf_ready_results_20260807_101112.xlsx</t>
  </si>
  <si>
    <t>/content/drive/MyDrive/thesis_project/thesis/outputs/exp10_svm_ready/fusion_svm_crf_ready_20260807_101115.json</t>
  </si>
  <si>
    <t>/content/drive/MyDrive/thesis_project/thesis/outputs/exp10_svm_ready/fusion_svm_crf_ready_results_20260807_101114.xlsx</t>
  </si>
  <si>
    <t>/content/drive/MyDrive/thesis_project/thesis/outputs/exp10_svm_ready/fusion_svm_crf_ready_20260807_101116.json</t>
  </si>
  <si>
    <t>/content/drive/MyDrive/thesis_project/thesis/outputs/exp10_svm_ready/fusion_svm_crf_ready_results_20260807_101116.xlsx</t>
  </si>
  <si>
    <t>/content/drive/MyDrive/thesis_project/thesis/outputs/exp10_svm_ready/fusion_svm_crf_ready_20260807_101119.json</t>
  </si>
  <si>
    <t>/content/drive/MyDrive/thesis_project/thesis/outputs/exp10_svm_ready/fusion_svm_crf_ready_results_20260807_101118.xlsx</t>
  </si>
  <si>
    <t>/content/drive/MyDrive/thesis_project/thesis/outputs/exp10_svm_ready/fusion_svm_crf_ready_20260807_101122.json</t>
  </si>
  <si>
    <t>/content/drive/MyDrive/thesis_project/thesis/outputs/exp10_svm_ready/fusion_svm_crf_ready_results_20260807_101121.xlsx</t>
  </si>
  <si>
    <t>/content/drive/MyDrive/thesis_project/thesis/outputs/exp10_svm_ready/fusion_svm_crf_ready_20260807_101124.json</t>
  </si>
  <si>
    <t>/content/drive/MyDrive/thesis_project/thesis/outputs/exp10_svm_ready/fusion_svm_crf_ready_results_20260807_101123.xlsx</t>
  </si>
  <si>
    <t>/content/drive/MyDrive/thesis_project/thesis/outputs/exp10_svm_ready/fusion_svm_crf_ready_20260807_101126.json</t>
  </si>
  <si>
    <t>/content/drive/MyDrive/thesis_project/thesis/outputs/exp10_svm_ready/fusion_svm_crf_ready_results_20260807_101125.xlsx</t>
  </si>
  <si>
    <t>/content/drive/MyDrive/thesis_project/thesis/outputs/exp10_svm_ready/fusion_svm_crf_ready_20260807_101128.json</t>
  </si>
  <si>
    <t>/content/drive/MyDrive/thesis_project/thesis/outputs/exp10_svm_ready/fusion_svm_crf_ready_results_20260807_101126.xlsx</t>
  </si>
  <si>
    <t>/content/drive/MyDrive/thesis_project/thesis/outputs/exp10_svm_ready/fusion_svm_crf_ready_20260807_101129.json</t>
  </si>
  <si>
    <t>/content/drive/MyDrive/thesis_project/thesis/outputs/exp10_svm_ready/fusion_svm_crf_ready_results_20260807_101128.xlsx</t>
  </si>
  <si>
    <t>/content/drive/MyDrive/thesis_project/thesis/outputs/exp10_svm_ready/fusion_svm_crf_ready_20260807_101131.json</t>
  </si>
  <si>
    <t>/content/drive/MyDrive/thesis_project/thesis/outputs/exp10_svm_ready/fusion_svm_crf_ready_results_20260807_101130.xlsx</t>
  </si>
  <si>
    <t>/content/drive/MyDrive/thesis_project/thesis/outputs/exp10_svm_ready/fusion_svm_crf_ready_20260807_101134.json</t>
  </si>
  <si>
    <t>/content/drive/MyDrive/thesis_project/thesis/outputs/exp10_svm_ready/fusion_svm_crf_ready_results_20260807_101132.xlsx</t>
  </si>
  <si>
    <t>/content/drive/MyDrive/thesis_project/thesis/outputs/exp10_svm_ready/fusion_svm_crf_ready_20260807_101136.json</t>
  </si>
  <si>
    <t>/content/drive/MyDrive/thesis_project/thesis/outputs/exp10_svm_ready/fusion_svm_crf_ready_results_20260807_101135.xlsx</t>
  </si>
  <si>
    <t>/content/drive/MyDrive/thesis_project/thesis/outputs/exp10_svm_ready/fusion_svm_crf_ready_20260807_101137.json</t>
  </si>
  <si>
    <t>/content/drive/MyDrive/thesis_project/thesis/outputs/exp10_svm_ready/fusion_svm_crf_ready_results_20260807_101137.xlsx</t>
  </si>
  <si>
    <t>/content/drive/MyDrive/thesis_project/thesis/outputs/exp10_svm_ready/fusion_svm_crf_ready_20260807_101139.json</t>
  </si>
  <si>
    <t>/content/drive/MyDrive/thesis_project/thesis/outputs/exp10_svm_ready/fusion_svm_crf_ready_results_20260807_101138.xlsx</t>
  </si>
  <si>
    <t>/content/drive/MyDrive/thesis_project/thesis/outputs/exp10_svm_ready/fusion_svm_crf_ready_20260807_101141.json</t>
  </si>
  <si>
    <t>/content/drive/MyDrive/thesis_project/thesis/outputs/exp10_svm_ready/fusion_svm_crf_ready_results_20260807_101140.xlsx</t>
  </si>
  <si>
    <t>/content/drive/MyDrive/thesis_project/thesis/outputs/exp10_svm_ready/fusion_svm_crf_ready_20260807_101142.json</t>
  </si>
  <si>
    <t>/content/drive/MyDrive/thesis_project/thesis/outputs/exp10_svm_ready/fusion_svm_crf_ready_results_20260807_101142.xlsx</t>
  </si>
  <si>
    <t>/content/drive/MyDrive/thesis_project/thesis/outputs/exp10_svm_ready/fusion_svm_crf_ready_20260807_101144.json</t>
  </si>
  <si>
    <t>/content/drive/MyDrive/thesis_project/thesis/outputs/exp10_svm_ready/fusion_svm_crf_ready_results_20260807_101143.xlsx</t>
  </si>
  <si>
    <t>/content/drive/MyDrive/thesis_project/thesis/outputs/exp10_svm_ready/fusion_svm_crf_ready_20260807_101146.json</t>
  </si>
  <si>
    <t>/content/drive/MyDrive/thesis_project/thesis/outputs/exp10_svm_ready/fusion_svm_crf_ready_results_20260807_101145.xlsx</t>
  </si>
  <si>
    <t>/content/drive/MyDrive/thesis_project/thesis/outputs/exp10_svm_ready/fusion_svm_crf_ready_20260807_101149.json</t>
  </si>
  <si>
    <t>/content/drive/MyDrive/thesis_project/thesis/outputs/exp10_svm_ready/fusion_svm_crf_ready_results_20260807_101148.xlsx</t>
  </si>
  <si>
    <t>/content/drive/MyDrive/thesis_project/thesis/outputs/exp10_svm_ready/fusion_svm_crf_ready_20260807_101151.json</t>
  </si>
  <si>
    <t>/content/drive/MyDrive/thesis_project/thesis/outputs/exp10_svm_ready/fusion_svm_crf_ready_results_20260807_101150.xlsx</t>
  </si>
  <si>
    <t>/content/drive/MyDrive/thesis_project/thesis/outputs/exp10_svm_ready/fusion_svm_crf_ready_20260807_101152.json</t>
  </si>
  <si>
    <t>/content/drive/MyDrive/thesis_project/thesis/outputs/exp10_svm_ready/fusion_svm_crf_ready_results_20260807_101152.xlsx</t>
  </si>
  <si>
    <t>/content/drive/MyDrive/thesis_project/thesis/outputs/exp10_svm_ready/fusion_svm_crf_ready_20260807_101154.json</t>
  </si>
  <si>
    <t>/content/drive/MyDrive/thesis_project/thesis/outputs/exp10_svm_ready/fusion_svm_crf_ready_results_20260807_101153.xlsx</t>
  </si>
  <si>
    <t>/content/drive/MyDrive/thesis_project/thesis/outputs/exp10_svm_ready/fusion_svm_crf_ready_20260807_101156.json</t>
  </si>
  <si>
    <t>/content/drive/MyDrive/thesis_project/thesis/outputs/exp10_svm_ready/fusion_svm_crf_ready_results_20260807_101155.xlsx</t>
  </si>
  <si>
    <t>/content/drive/MyDrive/thesis_project/thesis/outputs/exp10_svm_ready/fusion_svm_crf_ready_20260807_101158.json</t>
  </si>
  <si>
    <t>/content/drive/MyDrive/thesis_project/thesis/outputs/exp10_svm_ready/fusion_svm_crf_ready_results_20260807_101157.xlsx</t>
  </si>
  <si>
    <t>/content/drive/MyDrive/thesis_project/thesis/outputs/exp10_svm_ready/fusion_svm_crf_ready_20260807_101200.json</t>
  </si>
  <si>
    <t>/content/drive/MyDrive/thesis_project/thesis/outputs/exp10_svm_ready/fusion_svm_crf_ready_results_20260807_101159.xlsx</t>
  </si>
  <si>
    <t>/content/drive/MyDrive/thesis_project/thesis/outputs/exp10_svm_ready/fusion_svm_crf_ready_20260807_101202.json</t>
  </si>
  <si>
    <t>/content/drive/MyDrive/thesis_project/thesis/outputs/exp10_svm_ready/fusion_svm_crf_ready_results_20260807_101201.xlsx</t>
  </si>
  <si>
    <t>/content/drive/MyDrive/thesis_project/thesis/outputs/exp10_svm_ready/fusion_svm_crf_ready_20260807_101205.json</t>
  </si>
  <si>
    <t>/content/drive/MyDrive/thesis_project/thesis/outputs/exp10_svm_ready/fusion_svm_crf_ready_results_20260807_101204.xlsx</t>
  </si>
  <si>
    <t>/content/drive/MyDrive/thesis_project/thesis/outputs/exp10_svm_ready/fusion_svm_crf_ready_20260807_101206.json</t>
  </si>
  <si>
    <t>/content/drive/MyDrive/thesis_project/thesis/outputs/exp10_svm_ready/fusion_svm_crf_ready_results_20260807_101206.xlsx</t>
  </si>
  <si>
    <t>/content/drive/MyDrive/thesis_project/thesis/outputs/exp10_svm_ready/fusion_svm_crf_ready_20260807_101208.json</t>
  </si>
  <si>
    <t>/content/drive/MyDrive/thesis_project/thesis/outputs/exp10_svm_ready/fusion_svm_crf_ready_results_20260807_101207.xlsx</t>
  </si>
  <si>
    <t>/content/drive/MyDrive/thesis_project/thesis/outputs/exp10_svm_ready/fusion_svm_crf_ready_20260807_101210.json</t>
  </si>
  <si>
    <t>/content/drive/MyDrive/thesis_project/thesis/outputs/exp10_svm_ready/fusion_svm_crf_ready_results_20260807_101209.xlsx</t>
  </si>
  <si>
    <t>dicta-il/dictabert</t>
  </si>
  <si>
    <t>nemo_dictabert__small_300__before_exp01_baseline__seed42</t>
  </si>
  <si>
    <t>nemo_dictabert__small_300__before_exp01_baseline</t>
  </si>
  <si>
    <t>[NEMO + DictaBERT] [small_300] Baseline (simple random split) [seed 42]</t>
  </si>
  <si>
    <t>/content/drive/MyDrive/thesis_project/thesis/outputs/exp10_regular/regular_ner_crf_20260807_101247.json</t>
  </si>
  <si>
    <t>/content/drive/MyDrive/thesis_project/thesis/outputs/exp10_regular/regular_ner_crf_results_20260807_101247.xlsx</t>
  </si>
  <si>
    <t>nemo_dictabert__small_300__before_exp01_baseline__seed43</t>
  </si>
  <si>
    <t>[NEMO + DictaBERT] [small_300] Baseline (simple random split) [seed 43]</t>
  </si>
  <si>
    <t>/content/drive/MyDrive/thesis_project/thesis/outputs/exp10_regular/regular_ner_crf_20260807_101406.json</t>
  </si>
  <si>
    <t>/content/drive/MyDrive/thesis_project/thesis/outputs/exp10_regular/regular_ner_crf_results_20260807_101405.xlsx</t>
  </si>
  <si>
    <t>nemo_dictabert__small_300__before_exp01_baseline__seed44</t>
  </si>
  <si>
    <t>[NEMO + DictaBERT] [small_300] Baseline (simple random split) [seed 44]</t>
  </si>
  <si>
    <t>/content/drive/MyDrive/thesis_project/thesis/outputs/exp10_regular/regular_ner_crf_20260807_101526.json</t>
  </si>
  <si>
    <t>/content/drive/MyDrive/thesis_project/thesis/outputs/exp10_regular/regular_ner_crf_results_20260807_101526.xlsx</t>
  </si>
  <si>
    <t>nemo_dictabert__small_300__before_exp01_baseline__seed45</t>
  </si>
  <si>
    <t>[NEMO + DictaBERT] [small_300] Baseline (simple random split) [seed 45]</t>
  </si>
  <si>
    <t>/content/drive/MyDrive/thesis_project/thesis/outputs/exp10_regular/regular_ner_crf_20260807_101647.json</t>
  </si>
  <si>
    <t>/content/drive/MyDrive/thesis_project/thesis/outputs/exp10_regular/regular_ner_crf_results_20260807_101646.xlsx</t>
  </si>
  <si>
    <t>nemo_dictabert__small_300__before_exp01_baseline__seed46</t>
  </si>
  <si>
    <t>[NEMO + DictaBERT] [small_300] Baseline (simple random split) [seed 46]</t>
  </si>
  <si>
    <t>/content/drive/MyDrive/thesis_project/thesis/outputs/exp10_regular/regular_ner_crf_20260807_101806.json</t>
  </si>
  <si>
    <t>/content/drive/MyDrive/thesis_project/thesis/outputs/exp10_regular/regular_ner_crf_results_20260807_101805.xlsx</t>
  </si>
  <si>
    <t>nemo_dictabert__small_300__before_exp01_baseline__seed47</t>
  </si>
  <si>
    <t>[NEMO + DictaBERT] [small_300] Baseline (simple random split) [seed 47]</t>
  </si>
  <si>
    <t>/content/drive/MyDrive/thesis_project/thesis/outputs/exp10_regular/regular_ner_crf_20260807_101924.json</t>
  </si>
  <si>
    <t>/content/drive/MyDrive/thesis_project/thesis/outputs/exp10_regular/regular_ner_crf_results_20260807_101924.xlsx</t>
  </si>
  <si>
    <t>nemo_dictabert__small_300__before_exp01_baseline__seed48</t>
  </si>
  <si>
    <t>[NEMO + DictaBERT] [small_300] Baseline (simple random split) [seed 48]</t>
  </si>
  <si>
    <t>/content/drive/MyDrive/thesis_project/thesis/outputs/exp10_regular/regular_ner_crf_20260807_102044.json</t>
  </si>
  <si>
    <t>/content/drive/MyDrive/thesis_project/thesis/outputs/exp10_regular/regular_ner_crf_results_20260807_102044.xlsx</t>
  </si>
  <si>
    <t>nemo_dictabert__small_300__before_exp01_baseline__seed49</t>
  </si>
  <si>
    <t>[NEMO + DictaBERT] [small_300] Baseline (simple random split) [seed 49]</t>
  </si>
  <si>
    <t>/content/drive/MyDrive/thesis_project/thesis/outputs/exp10_regular/regular_ner_crf_20260807_102204.json</t>
  </si>
  <si>
    <t>/content/drive/MyDrive/thesis_project/thesis/outputs/exp10_regular/regular_ner_crf_results_20260807_102203.xlsx</t>
  </si>
  <si>
    <t>nemo_dictabert__small_300__before_exp01_baseline__seed50</t>
  </si>
  <si>
    <t>[NEMO + DictaBERT] [small_300] Baseline (simple random split) [seed 50]</t>
  </si>
  <si>
    <t>/content/drive/MyDrive/thesis_project/thesis/outputs/exp10_regular/regular_ner_crf_20260807_102323.json</t>
  </si>
  <si>
    <t>/content/drive/MyDrive/thesis_project/thesis/outputs/exp10_regular/regular_ner_crf_results_20260807_102323.xlsx</t>
  </si>
  <si>
    <t>nemo_dictabert__small_300__before_exp01_baseline__seed51</t>
  </si>
  <si>
    <t>[NEMO + DictaBERT] [small_300] Baseline (simple random split) [seed 51]</t>
  </si>
  <si>
    <t>/content/drive/MyDrive/thesis_project/thesis/outputs/exp10_regular/regular_ner_crf_20260807_102443.json</t>
  </si>
  <si>
    <t>/content/drive/MyDrive/thesis_project/thesis/outputs/exp10_regular/regular_ner_crf_results_20260807_102443.xlsx</t>
  </si>
  <si>
    <t>nemo_dictabert__small_300__before_exp01_baseline__seed52</t>
  </si>
  <si>
    <t>[NEMO + DictaBERT] [small_300] Baseline (simple random split) [seed 52]</t>
  </si>
  <si>
    <t>/content/drive/MyDrive/thesis_project/thesis/outputs/exp10_regular/regular_ner_crf_20260807_102604.json</t>
  </si>
  <si>
    <t>/content/drive/MyDrive/thesis_project/thesis/outputs/exp10_regular/regular_ner_crf_results_20260807_102603.xlsx</t>
  </si>
  <si>
    <t>nemo_dictabert__small_300__before_exp01_baseline__seed53</t>
  </si>
  <si>
    <t>[NEMO + DictaBERT] [small_300] Baseline (simple random split) [seed 53]</t>
  </si>
  <si>
    <t>/content/drive/MyDrive/thesis_project/thesis/outputs/exp10_regular/regular_ner_crf_20260807_102722.json</t>
  </si>
  <si>
    <t>/content/drive/MyDrive/thesis_project/thesis/outputs/exp10_regular/regular_ner_crf_results_20260807_102721.xlsx</t>
  </si>
  <si>
    <t>nemo_dictabert__small_300__before_exp01_baseline__seed54</t>
  </si>
  <si>
    <t>[NEMO + DictaBERT] [small_300] Baseline (simple random split) [seed 54]</t>
  </si>
  <si>
    <t>/content/drive/MyDrive/thesis_project/thesis/outputs/exp10_regular/regular_ner_crf_20260807_102841.json</t>
  </si>
  <si>
    <t>/content/drive/MyDrive/thesis_project/thesis/outputs/exp10_regular/regular_ner_crf_results_20260807_102840.xlsx</t>
  </si>
  <si>
    <t>nemo_dictabert__small_300__before_exp01_baseline__seed55</t>
  </si>
  <si>
    <t>[NEMO + DictaBERT] [small_300] Baseline (simple random split) [seed 55]</t>
  </si>
  <si>
    <t>/content/drive/MyDrive/thesis_project/thesis/outputs/exp10_regular/regular_ner_crf_20260807_103000.json</t>
  </si>
  <si>
    <t>/content/drive/MyDrive/thesis_project/thesis/outputs/exp10_regular/regular_ner_crf_results_20260807_103000.xlsx</t>
  </si>
  <si>
    <t>nemo_dictabert__small_300__before_exp01_baseline__seed56</t>
  </si>
  <si>
    <t>[NEMO + DictaBERT] [small_300] Baseline (simple random split) [seed 56]</t>
  </si>
  <si>
    <t>/content/drive/MyDrive/thesis_project/thesis/outputs/exp10_regular/regular_ner_crf_20260807_103120.json</t>
  </si>
  <si>
    <t>/content/drive/MyDrive/thesis_project/thesis/outputs/exp10_regular/regular_ner_crf_results_20260807_103120.xlsx</t>
  </si>
  <si>
    <t>nemo_dictabert__small_300__before_exp01_baseline__seed57</t>
  </si>
  <si>
    <t>[NEMO + DictaBERT] [small_300] Baseline (simple random split) [seed 57]</t>
  </si>
  <si>
    <t>/content/drive/MyDrive/thesis_project/thesis/outputs/exp10_regular/regular_ner_crf_20260807_103238.json</t>
  </si>
  <si>
    <t>/content/drive/MyDrive/thesis_project/thesis/outputs/exp10_regular/regular_ner_crf_results_20260807_103237.xlsx</t>
  </si>
  <si>
    <t>nemo_dictabert__small_300__before_exp01_baseline__seed58</t>
  </si>
  <si>
    <t>[NEMO + DictaBERT] [small_300] Baseline (simple random split) [seed 58]</t>
  </si>
  <si>
    <t>/content/drive/MyDrive/thesis_project/thesis/outputs/exp10_regular/regular_ner_crf_20260807_103357.json</t>
  </si>
  <si>
    <t>/content/drive/MyDrive/thesis_project/thesis/outputs/exp10_regular/regular_ner_crf_results_20260807_103357.xlsx</t>
  </si>
  <si>
    <t>nemo_dictabert__small_300__before_exp01_baseline__seed59</t>
  </si>
  <si>
    <t>[NEMO + DictaBERT] [small_300] Baseline (simple random split) [seed 59]</t>
  </si>
  <si>
    <t>/content/drive/MyDrive/thesis_project/thesis/outputs/exp10_regular/regular_ner_crf_20260807_103518.json</t>
  </si>
  <si>
    <t>/content/drive/MyDrive/thesis_project/thesis/outputs/exp10_regular/regular_ner_crf_results_20260807_103517.xlsx</t>
  </si>
  <si>
    <t>nemo_dictabert__small_300__before_exp01_baseline__seed60</t>
  </si>
  <si>
    <t>[NEMO + DictaBERT] [small_300] Baseline (simple random split) [seed 60]</t>
  </si>
  <si>
    <t>/content/drive/MyDrive/thesis_project/thesis/outputs/exp10_regular/regular_ner_crf_20260807_103637.json</t>
  </si>
  <si>
    <t>/content/drive/MyDrive/thesis_project/thesis/outputs/exp10_regular/regular_ner_crf_results_20260807_103637.xlsx</t>
  </si>
  <si>
    <t>nemo_dictabert__small_300__before_exp01_baseline__seed61</t>
  </si>
  <si>
    <t>[NEMO + DictaBERT] [small_300] Baseline (simple random split) [seed 61]</t>
  </si>
  <si>
    <t>/content/drive/MyDrive/thesis_project/thesis/outputs/exp10_regular/regular_ner_crf_20260807_103756.json</t>
  </si>
  <si>
    <t>/content/drive/MyDrive/thesis_project/thesis/outputs/exp10_regular/regular_ner_crf_results_20260807_103755.xlsx</t>
  </si>
  <si>
    <t>nemo_dictabert__small_300__after_multilabel_iterative_paper__seed42</t>
  </si>
  <si>
    <t>nemo_dictabert__small_300__after_multilabel_iterative_paper</t>
  </si>
  <si>
    <t>[NEMO + DictaBERT] [small_300] Multilabel stratified (paper-style) [seed 42]</t>
  </si>
  <si>
    <t>/content/drive/MyDrive/thesis_project/thesis/outputs/exp10_regular/regular_ner_crf_20260807_103914.json</t>
  </si>
  <si>
    <t>/content/drive/MyDrive/thesis_project/thesis/outputs/exp10_regular/regular_ner_crf_results_20260807_103913.xlsx</t>
  </si>
  <si>
    <t>nemo_dictabert__small_300__after_multilabel_iterative_paper__seed43</t>
  </si>
  <si>
    <t>[NEMO + DictaBERT] [small_300] Multilabel stratified (paper-style) [seed 43]</t>
  </si>
  <si>
    <t>/content/drive/MyDrive/thesis_project/thesis/outputs/exp10_regular/regular_ner_crf_20260807_104032.json</t>
  </si>
  <si>
    <t>/content/drive/MyDrive/thesis_project/thesis/outputs/exp10_regular/regular_ner_crf_results_20260807_104032.xlsx</t>
  </si>
  <si>
    <t>nemo_dictabert__small_300__after_multilabel_iterative_paper__seed44</t>
  </si>
  <si>
    <t>[NEMO + DictaBERT] [small_300] Multilabel stratified (paper-style) [seed 44]</t>
  </si>
  <si>
    <t>/content/drive/MyDrive/thesis_project/thesis/outputs/exp10_regular/regular_ner_crf_20260807_104152.json</t>
  </si>
  <si>
    <t>/content/drive/MyDrive/thesis_project/thesis/outputs/exp10_regular/regular_ner_crf_results_20260807_104151.xlsx</t>
  </si>
  <si>
    <t>nemo_dictabert__small_300__after_multilabel_iterative_paper__seed45</t>
  </si>
  <si>
    <t>[NEMO + DictaBERT] [small_300] Multilabel stratified (paper-style) [seed 45]</t>
  </si>
  <si>
    <t>/content/drive/MyDrive/thesis_project/thesis/outputs/exp10_regular/regular_ner_crf_20260807_104310.json</t>
  </si>
  <si>
    <t>/content/drive/MyDrive/thesis_project/thesis/outputs/exp10_regular/regular_ner_crf_results_20260807_104310.xlsx</t>
  </si>
  <si>
    <t>nemo_dictabert__small_300__after_multilabel_iterative_paper__seed46</t>
  </si>
  <si>
    <t>[NEMO + DictaBERT] [small_300] Multilabel stratified (paper-style) [seed 46]</t>
  </si>
  <si>
    <t>/content/drive/MyDrive/thesis_project/thesis/outputs/exp10_regular/regular_ner_crf_20260807_104428.json</t>
  </si>
  <si>
    <t>/content/drive/MyDrive/thesis_project/thesis/outputs/exp10_regular/regular_ner_crf_results_20260807_104428.xlsx</t>
  </si>
  <si>
    <t>nemo_dictabert__small_300__after_multilabel_iterative_paper__seed47</t>
  </si>
  <si>
    <t>[NEMO + DictaBERT] [small_300] Multilabel stratified (paper-style) [seed 47]</t>
  </si>
  <si>
    <t>/content/drive/MyDrive/thesis_project/thesis/outputs/exp10_regular/regular_ner_crf_20260807_104546.json</t>
  </si>
  <si>
    <t>/content/drive/MyDrive/thesis_project/thesis/outputs/exp10_regular/regular_ner_crf_results_20260807_104546.xlsx</t>
  </si>
  <si>
    <t>nemo_dictabert__small_300__after_multilabel_iterative_paper__seed48</t>
  </si>
  <si>
    <t>[NEMO + DictaBERT] [small_300] Multilabel stratified (paper-style) [seed 48]</t>
  </si>
  <si>
    <t>/content/drive/MyDrive/thesis_project/thesis/outputs/exp10_regular/regular_ner_crf_20260807_104705.json</t>
  </si>
  <si>
    <t>/content/drive/MyDrive/thesis_project/thesis/outputs/exp10_regular/regular_ner_crf_results_20260807_104705.xlsx</t>
  </si>
  <si>
    <t>nemo_dictabert__small_300__after_multilabel_iterative_paper__seed49</t>
  </si>
  <si>
    <t>[NEMO + DictaBERT] [small_300] Multilabel stratified (paper-style) [seed 49]</t>
  </si>
  <si>
    <t>/content/drive/MyDrive/thesis_project/thesis/outputs/exp10_regular/regular_ner_crf_20260807_104824.json</t>
  </si>
  <si>
    <t>/content/drive/MyDrive/thesis_project/thesis/outputs/exp10_regular/regular_ner_crf_results_20260807_104823.xlsx</t>
  </si>
  <si>
    <t>nemo_dictabert__small_300__after_multilabel_iterative_paper__seed50</t>
  </si>
  <si>
    <t>[NEMO + DictaBERT] [small_300] Multilabel stratified (paper-style) [seed 50]</t>
  </si>
  <si>
    <t>/content/drive/MyDrive/thesis_project/thesis/outputs/exp10_regular/regular_ner_crf_20260807_104941.json</t>
  </si>
  <si>
    <t>/content/drive/MyDrive/thesis_project/thesis/outputs/exp10_regular/regular_ner_crf_results_20260807_104941.xlsx</t>
  </si>
  <si>
    <t>nemo_dictabert__small_300__after_multilabel_iterative_paper__seed51</t>
  </si>
  <si>
    <t>[NEMO + DictaBERT] [small_300] Multilabel stratified (paper-style) [seed 51]</t>
  </si>
  <si>
    <t>/content/drive/MyDrive/thesis_project/thesis/outputs/exp10_regular/regular_ner_crf_20260807_105059.json</t>
  </si>
  <si>
    <t>/content/drive/MyDrive/thesis_project/thesis/outputs/exp10_regular/regular_ner_crf_results_20260807_105059.xlsx</t>
  </si>
  <si>
    <t>nemo_dictabert__small_300__after_multilabel_iterative_paper__seed52</t>
  </si>
  <si>
    <t>[NEMO + DictaBERT] [small_300] Multilabel stratified (paper-style) [seed 52]</t>
  </si>
  <si>
    <t>/content/drive/MyDrive/thesis_project/thesis/outputs/exp10_regular/regular_ner_crf_20260807_105217.json</t>
  </si>
  <si>
    <t>/content/drive/MyDrive/thesis_project/thesis/outputs/exp10_regular/regular_ner_crf_results_20260807_105217.xlsx</t>
  </si>
  <si>
    <t>nemo_dictabert__small_300__after_multilabel_iterative_paper__seed53</t>
  </si>
  <si>
    <t>[NEMO + DictaBERT] [small_300] Multilabel stratified (paper-style) [seed 53]</t>
  </si>
  <si>
    <t>/content/drive/MyDrive/thesis_project/thesis/outputs/exp10_regular/regular_ner_crf_20260807_105335.json</t>
  </si>
  <si>
    <t>/content/drive/MyDrive/thesis_project/thesis/outputs/exp10_regular/regular_ner_crf_results_20260807_105335.xlsx</t>
  </si>
  <si>
    <t>nemo_dictabert__small_300__after_multilabel_iterative_paper__seed54</t>
  </si>
  <si>
    <t>[NEMO + DictaBERT] [small_300] Multilabel stratified (paper-style) [seed 54]</t>
  </si>
  <si>
    <t>/content/drive/MyDrive/thesis_project/thesis/outputs/exp10_regular/regular_ner_crf_20260807_105453.json</t>
  </si>
  <si>
    <t>/content/drive/MyDrive/thesis_project/thesis/outputs/exp10_regular/regular_ner_crf_results_20260807_105452.xlsx</t>
  </si>
  <si>
    <t>nemo_dictabert__small_300__after_multilabel_iterative_paper__seed55</t>
  </si>
  <si>
    <t>[NEMO + DictaBERT] [small_300] Multilabel stratified (paper-style) [seed 55]</t>
  </si>
  <si>
    <t>/content/drive/MyDrive/thesis_project/thesis/outputs/exp10_regular/regular_ner_crf_20260807_105610.json</t>
  </si>
  <si>
    <t>/content/drive/MyDrive/thesis_project/thesis/outputs/exp10_regular/regular_ner_crf_results_20260807_105610.xlsx</t>
  </si>
  <si>
    <t>nemo_dictabert__small_300__after_multilabel_iterative_paper__seed56</t>
  </si>
  <si>
    <t>[NEMO + DictaBERT] [small_300] Multilabel stratified (paper-style) [seed 56]</t>
  </si>
  <si>
    <t>/content/drive/MyDrive/thesis_project/thesis/outputs/exp10_regular/regular_ner_crf_20260807_105729.json</t>
  </si>
  <si>
    <t>/content/drive/MyDrive/thesis_project/thesis/outputs/exp10_regular/regular_ner_crf_results_20260807_105728.xlsx</t>
  </si>
  <si>
    <t>nemo_dictabert__small_300__after_multilabel_iterative_paper__seed57</t>
  </si>
  <si>
    <t>[NEMO + DictaBERT] [small_300] Multilabel stratified (paper-style) [seed 57]</t>
  </si>
  <si>
    <t>/content/drive/MyDrive/thesis_project/thesis/outputs/exp10_regular/regular_ner_crf_20260807_105846.json</t>
  </si>
  <si>
    <t>/content/drive/MyDrive/thesis_project/thesis/outputs/exp10_regular/regular_ner_crf_results_20260807_105845.xlsx</t>
  </si>
  <si>
    <t>nemo_dictabert__small_300__after_multilabel_iterative_paper__seed58</t>
  </si>
  <si>
    <t>[NEMO + DictaBERT] [small_300] Multilabel stratified (paper-style) [seed 58]</t>
  </si>
  <si>
    <t>/content/drive/MyDrive/thesis_project/thesis/outputs/exp10_regular/regular_ner_crf_20260807_110003.json</t>
  </si>
  <si>
    <t>/content/drive/MyDrive/thesis_project/thesis/outputs/exp10_regular/regular_ner_crf_results_20260807_110003.xlsx</t>
  </si>
  <si>
    <t>nemo_dictabert__small_300__after_multilabel_iterative_paper__seed59</t>
  </si>
  <si>
    <t>[NEMO + DictaBERT] [small_300] Multilabel stratified (paper-style) [seed 59]</t>
  </si>
  <si>
    <t>/content/drive/MyDrive/thesis_project/thesis/outputs/exp10_regular/regular_ner_crf_20260807_110122.json</t>
  </si>
  <si>
    <t>/content/drive/MyDrive/thesis_project/thesis/outputs/exp10_regular/regular_ner_crf_results_20260807_110121.xlsx</t>
  </si>
  <si>
    <t>nemo_dictabert__small_300__after_multilabel_iterative_paper__seed60</t>
  </si>
  <si>
    <t>[NEMO + DictaBERT] [small_300] Multilabel stratified (paper-style) [seed 60]</t>
  </si>
  <si>
    <t>/content/drive/MyDrive/thesis_project/thesis/outputs/exp10_regular/regular_ner_crf_20260807_110240.json</t>
  </si>
  <si>
    <t>/content/drive/MyDrive/thesis_project/thesis/outputs/exp10_regular/regular_ner_crf_results_20260807_110239.xlsx</t>
  </si>
  <si>
    <t>nemo_dictabert__small_300__after_multilabel_iterative_paper__seed61</t>
  </si>
  <si>
    <t>[NEMO + DictaBERT] [small_300] Multilabel stratified (paper-style) [seed 61]</t>
  </si>
  <si>
    <t>/content/drive/MyDrive/thesis_project/thesis/outputs/exp10_regular/regular_ner_crf_20260807_110358.json</t>
  </si>
  <si>
    <t>/content/drive/MyDrive/thesis_project/thesis/outputs/exp10_regular/regular_ner_crf_results_20260807_110357.xlsx</t>
  </si>
  <si>
    <t>/content/drive/MyDrive/thesis_project/thesis/outputs/exp10_cascade/cascaded_pipeline_crf_20260807_101341.json</t>
  </si>
  <si>
    <t>/content/drive/MyDrive/thesis_project/thesis/outputs/exp10_cascade/cascaded_pipeline_crf_results_20260807_101339.xlsx</t>
  </si>
  <si>
    <t>/content/drive/MyDrive/thesis_project/thesis/outputs/exp10_cascade/cascaded_pipeline_crf_20260807_101501.json</t>
  </si>
  <si>
    <t>/content/drive/MyDrive/thesis_project/thesis/outputs/exp10_cascade/cascaded_pipeline_crf_results_20260807_101500.xlsx</t>
  </si>
  <si>
    <t>/content/drive/MyDrive/thesis_project/thesis/outputs/exp10_cascade/cascaded_pipeline_crf_20260807_101621.json</t>
  </si>
  <si>
    <t>/content/drive/MyDrive/thesis_project/thesis/outputs/exp10_cascade/cascaded_pipeline_crf_results_20260807_101620.xlsx</t>
  </si>
  <si>
    <t>/content/drive/MyDrive/thesis_project/thesis/outputs/exp10_cascade/cascaded_pipeline_crf_20260807_101741.json</t>
  </si>
  <si>
    <t>/content/drive/MyDrive/thesis_project/thesis/outputs/exp10_cascade/cascaded_pipeline_crf_results_20260807_101740.xlsx</t>
  </si>
  <si>
    <t>/content/drive/MyDrive/thesis_project/thesis/outputs/exp10_cascade/cascaded_pipeline_crf_20260807_101859.json</t>
  </si>
  <si>
    <t>/content/drive/MyDrive/thesis_project/thesis/outputs/exp10_cascade/cascaded_pipeline_crf_results_20260807_101858.xlsx</t>
  </si>
  <si>
    <t>/content/drive/MyDrive/thesis_project/thesis/outputs/exp10_cascade/cascaded_pipeline_crf_20260807_102019.json</t>
  </si>
  <si>
    <t>/content/drive/MyDrive/thesis_project/thesis/outputs/exp10_cascade/cascaded_pipeline_crf_results_20260807_102018.xlsx</t>
  </si>
  <si>
    <t>/content/drive/MyDrive/thesis_project/thesis/outputs/exp10_cascade/cascaded_pipeline_crf_20260807_102139.json</t>
  </si>
  <si>
    <t>/content/drive/MyDrive/thesis_project/thesis/outputs/exp10_cascade/cascaded_pipeline_crf_results_20260807_102138.xlsx</t>
  </si>
  <si>
    <t>/content/drive/MyDrive/thesis_project/thesis/outputs/exp10_cascade/cascaded_pipeline_crf_20260807_102258.json</t>
  </si>
  <si>
    <t>/content/drive/MyDrive/thesis_project/thesis/outputs/exp10_cascade/cascaded_pipeline_crf_results_20260807_102256.xlsx</t>
  </si>
  <si>
    <t>/content/drive/MyDrive/thesis_project/thesis/outputs/exp10_cascade/cascaded_pipeline_crf_20260807_102418.json</t>
  </si>
  <si>
    <t>/content/drive/MyDrive/thesis_project/thesis/outputs/exp10_cascade/cascaded_pipeline_crf_results_20260807_102417.xlsx</t>
  </si>
  <si>
    <t>/content/drive/MyDrive/thesis_project/thesis/outputs/exp10_cascade/cascaded_pipeline_crf_20260807_102538.json</t>
  </si>
  <si>
    <t>/content/drive/MyDrive/thesis_project/thesis/outputs/exp10_cascade/cascaded_pipeline_crf_results_20260807_102537.xlsx</t>
  </si>
  <si>
    <t>/content/drive/MyDrive/thesis_project/thesis/outputs/exp10_cascade/cascaded_pipeline_crf_20260807_102657.json</t>
  </si>
  <si>
    <t>/content/drive/MyDrive/thesis_project/thesis/outputs/exp10_cascade/cascaded_pipeline_crf_results_20260807_102655.xlsx</t>
  </si>
  <si>
    <t>/content/drive/MyDrive/thesis_project/thesis/outputs/exp10_cascade/cascaded_pipeline_crf_20260807_102816.json</t>
  </si>
  <si>
    <t>/content/drive/MyDrive/thesis_project/thesis/outputs/exp10_cascade/cascaded_pipeline_crf_results_20260807_102815.xlsx</t>
  </si>
  <si>
    <t>/content/drive/MyDrive/thesis_project/thesis/outputs/exp10_cascade/cascaded_pipeline_crf_20260807_102935.json</t>
  </si>
  <si>
    <t>/content/drive/MyDrive/thesis_project/thesis/outputs/exp10_cascade/cascaded_pipeline_crf_results_20260807_102934.xlsx</t>
  </si>
  <si>
    <t>/content/drive/MyDrive/thesis_project/thesis/outputs/exp10_cascade/cascaded_pipeline_crf_20260807_103055.json</t>
  </si>
  <si>
    <t>/content/drive/MyDrive/thesis_project/thesis/outputs/exp10_cascade/cascaded_pipeline_crf_results_20260807_103054.xlsx</t>
  </si>
  <si>
    <t>/content/drive/MyDrive/thesis_project/thesis/outputs/exp10_cascade/cascaded_pipeline_crf_20260807_103214.json</t>
  </si>
  <si>
    <t>/content/drive/MyDrive/thesis_project/thesis/outputs/exp10_cascade/cascaded_pipeline_crf_results_20260807_103212.xlsx</t>
  </si>
  <si>
    <t>/content/drive/MyDrive/thesis_project/thesis/outputs/exp10_cascade/cascaded_pipeline_crf_20260807_103333.json</t>
  </si>
  <si>
    <t>/content/drive/MyDrive/thesis_project/thesis/outputs/exp10_cascade/cascaded_pipeline_crf_results_20260807_103331.xlsx</t>
  </si>
  <si>
    <t>/content/drive/MyDrive/thesis_project/thesis/outputs/exp10_cascade/cascaded_pipeline_crf_20260807_103451.json</t>
  </si>
  <si>
    <t>/content/drive/MyDrive/thesis_project/thesis/outputs/exp10_cascade/cascaded_pipeline_crf_results_20260807_103450.xlsx</t>
  </si>
  <si>
    <t>/content/drive/MyDrive/thesis_project/thesis/outputs/exp10_cascade/cascaded_pipeline_crf_20260807_103612.json</t>
  </si>
  <si>
    <t>/content/drive/MyDrive/thesis_project/thesis/outputs/exp10_cascade/cascaded_pipeline_crf_results_20260807_103611.xlsx</t>
  </si>
  <si>
    <t>/content/drive/MyDrive/thesis_project/thesis/outputs/exp10_cascade/cascaded_pipeline_crf_20260807_103731.json</t>
  </si>
  <si>
    <t>/content/drive/MyDrive/thesis_project/thesis/outputs/exp10_cascade/cascaded_pipeline_crf_results_20260807_103729.xlsx</t>
  </si>
  <si>
    <t>/content/drive/MyDrive/thesis_project/thesis/outputs/exp10_cascade/cascaded_pipeline_crf_20260807_103849.json</t>
  </si>
  <si>
    <t>/content/drive/MyDrive/thesis_project/thesis/outputs/exp10_cascade/cascaded_pipeline_crf_results_20260807_103847.xlsx</t>
  </si>
  <si>
    <t>/content/drive/MyDrive/thesis_project/thesis/outputs/exp10_cascade/cascaded_pipeline_crf_20260807_104007.json</t>
  </si>
  <si>
    <t>/content/drive/MyDrive/thesis_project/thesis/outputs/exp10_cascade/cascaded_pipeline_crf_results_20260807_104006.xlsx</t>
  </si>
  <si>
    <t>/content/drive/MyDrive/thesis_project/thesis/outputs/exp10_cascade/cascaded_pipeline_crf_20260807_104126.json</t>
  </si>
  <si>
    <t>/content/drive/MyDrive/thesis_project/thesis/outputs/exp10_cascade/cascaded_pipeline_crf_results_20260807_104125.xlsx</t>
  </si>
  <si>
    <t>/content/drive/MyDrive/thesis_project/thesis/outputs/exp10_cascade/cascaded_pipeline_crf_20260807_104245.json</t>
  </si>
  <si>
    <t>/content/drive/MyDrive/thesis_project/thesis/outputs/exp10_cascade/cascaded_pipeline_crf_results_20260807_104244.xlsx</t>
  </si>
  <si>
    <t>/content/drive/MyDrive/thesis_project/thesis/outputs/exp10_cascade/cascaded_pipeline_crf_20260807_104403.json</t>
  </si>
  <si>
    <t>/content/drive/MyDrive/thesis_project/thesis/outputs/exp10_cascade/cascaded_pipeline_crf_results_20260807_104402.xlsx</t>
  </si>
  <si>
    <t>/content/drive/MyDrive/thesis_project/thesis/outputs/exp10_cascade/cascaded_pipeline_crf_20260807_104522.json</t>
  </si>
  <si>
    <t>/content/drive/MyDrive/thesis_project/thesis/outputs/exp10_cascade/cascaded_pipeline_crf_results_20260807_104520.xlsx</t>
  </si>
  <si>
    <t>/content/drive/MyDrive/thesis_project/thesis/outputs/exp10_cascade/cascaded_pipeline_crf_20260807_104641.json</t>
  </si>
  <si>
    <t>/content/drive/MyDrive/thesis_project/thesis/outputs/exp10_cascade/cascaded_pipeline_crf_results_20260807_104639.xlsx</t>
  </si>
  <si>
    <t>/content/drive/MyDrive/thesis_project/thesis/outputs/exp10_cascade/cascaded_pipeline_crf_20260807_104759.json</t>
  </si>
  <si>
    <t>/content/drive/MyDrive/thesis_project/thesis/outputs/exp10_cascade/cascaded_pipeline_crf_results_20260807_104758.xlsx</t>
  </si>
  <si>
    <t>/content/drive/MyDrive/thesis_project/thesis/outputs/exp10_cascade/cascaded_pipeline_crf_20260807_104917.json</t>
  </si>
  <si>
    <t>/content/drive/MyDrive/thesis_project/thesis/outputs/exp10_cascade/cascaded_pipeline_crf_results_20260807_104915.xlsx</t>
  </si>
  <si>
    <t>/content/drive/MyDrive/thesis_project/thesis/outputs/exp10_cascade/cascaded_pipeline_crf_20260807_105034.json</t>
  </si>
  <si>
    <t>/content/drive/MyDrive/thesis_project/thesis/outputs/exp10_cascade/cascaded_pipeline_crf_results_20260807_105032.xlsx</t>
  </si>
  <si>
    <t>/content/drive/MyDrive/thesis_project/thesis/outputs/exp10_cascade/cascaded_pipeline_crf_20260807_105153.json</t>
  </si>
  <si>
    <t>/content/drive/MyDrive/thesis_project/thesis/outputs/exp10_cascade/cascaded_pipeline_crf_results_20260807_105152.xlsx</t>
  </si>
  <si>
    <t>/content/drive/MyDrive/thesis_project/thesis/outputs/exp10_cascade/cascaded_pipeline_crf_20260807_105310.json</t>
  </si>
  <si>
    <t>/content/drive/MyDrive/thesis_project/thesis/outputs/exp10_cascade/cascaded_pipeline_crf_results_20260807_105309.xlsx</t>
  </si>
  <si>
    <t>/content/drive/MyDrive/thesis_project/thesis/outputs/exp10_cascade/cascaded_pipeline_crf_20260807_105429.json</t>
  </si>
  <si>
    <t>/content/drive/MyDrive/thesis_project/thesis/outputs/exp10_cascade/cascaded_pipeline_crf_results_20260807_105427.xlsx</t>
  </si>
  <si>
    <t>/content/drive/MyDrive/thesis_project/thesis/outputs/exp10_cascade/cascaded_pipeline_crf_20260807_105546.json</t>
  </si>
  <si>
    <t>/content/drive/MyDrive/thesis_project/thesis/outputs/exp10_cascade/cascaded_pipeline_crf_results_20260807_105545.xlsx</t>
  </si>
  <si>
    <t>/content/drive/MyDrive/thesis_project/thesis/outputs/exp10_cascade/cascaded_pipeline_crf_20260807_105704.json</t>
  </si>
  <si>
    <t>/content/drive/MyDrive/thesis_project/thesis/outputs/exp10_cascade/cascaded_pipeline_crf_results_20260807_105702.xlsx</t>
  </si>
  <si>
    <t>/content/drive/MyDrive/thesis_project/thesis/outputs/exp10_cascade/cascaded_pipeline_crf_20260807_105822.json</t>
  </si>
  <si>
    <t>/content/drive/MyDrive/thesis_project/thesis/outputs/exp10_cascade/cascaded_pipeline_crf_results_20260807_105820.xlsx</t>
  </si>
  <si>
    <t>/content/drive/MyDrive/thesis_project/thesis/outputs/exp10_cascade/cascaded_pipeline_crf_20260807_105938.json</t>
  </si>
  <si>
    <t>/content/drive/MyDrive/thesis_project/thesis/outputs/exp10_cascade/cascaded_pipeline_crf_results_20260807_105937.xlsx</t>
  </si>
  <si>
    <t>/content/drive/MyDrive/thesis_project/thesis/outputs/exp10_cascade/cascaded_pipeline_crf_20260807_110057.json</t>
  </si>
  <si>
    <t>/content/drive/MyDrive/thesis_project/thesis/outputs/exp10_cascade/cascaded_pipeline_crf_results_20260807_110056.xlsx</t>
  </si>
  <si>
    <t>/content/drive/MyDrive/thesis_project/thesis/outputs/exp10_cascade/cascaded_pipeline_crf_20260807_110215.json</t>
  </si>
  <si>
    <t>/content/drive/MyDrive/thesis_project/thesis/outputs/exp10_cascade/cascaded_pipeline_crf_results_20260807_110214.xlsx</t>
  </si>
  <si>
    <t>/content/drive/MyDrive/thesis_project/thesis/outputs/exp10_cascade/cascaded_pipeline_crf_20260807_110333.json</t>
  </si>
  <si>
    <t>/content/drive/MyDrive/thesis_project/thesis/outputs/exp10_cascade/cascaded_pipeline_crf_results_20260807_110331.xlsx</t>
  </si>
  <si>
    <t>/content/drive/MyDrive/thesis_project/thesis/outputs/exp10_cascade/cascaded_pipeline_crf_20260807_110451.json</t>
  </si>
  <si>
    <t>/content/drive/MyDrive/thesis_project/thesis/outputs/exp10_cascade/cascaded_pipeline_crf_results_20260807_110449.xlsx</t>
  </si>
  <si>
    <t>/content/drive/MyDrive/thesis_project/thesis/outputs/exp10_svm_ready/fusion_svm_crf_ready_20260807_110454.json</t>
  </si>
  <si>
    <t>/content/drive/MyDrive/thesis_project/thesis/outputs/exp10_svm_ready/fusion_svm_crf_ready_results_20260807_110453.xlsx</t>
  </si>
  <si>
    <t>/content/drive/MyDrive/thesis_project/thesis/outputs/exp10_svm_ready/fusion_svm_crf_ready_20260807_110457.json</t>
  </si>
  <si>
    <t>/content/drive/MyDrive/thesis_project/thesis/outputs/exp10_svm_ready/fusion_svm_crf_ready_results_20260807_110456.xlsx</t>
  </si>
  <si>
    <t>/content/drive/MyDrive/thesis_project/thesis/outputs/exp10_svm_ready/fusion_svm_crf_ready_20260807_110500.json</t>
  </si>
  <si>
    <t>/content/drive/MyDrive/thesis_project/thesis/outputs/exp10_svm_ready/fusion_svm_crf_ready_results_20260807_110459.xlsx</t>
  </si>
  <si>
    <t>/content/drive/MyDrive/thesis_project/thesis/outputs/exp10_svm_ready/fusion_svm_crf_ready_20260807_110502.json</t>
  </si>
  <si>
    <t>/content/drive/MyDrive/thesis_project/thesis/outputs/exp10_svm_ready/fusion_svm_crf_ready_results_20260807_110501.xlsx</t>
  </si>
  <si>
    <t>/content/drive/MyDrive/thesis_project/thesis/outputs/exp10_svm_ready/fusion_svm_crf_ready_20260807_110505.json</t>
  </si>
  <si>
    <t>/content/drive/MyDrive/thesis_project/thesis/outputs/exp10_svm_ready/fusion_svm_crf_ready_results_20260807_110503.xlsx</t>
  </si>
  <si>
    <t>/content/drive/MyDrive/thesis_project/thesis/outputs/exp10_svm_ready/fusion_svm_crf_ready_20260807_110507.json</t>
  </si>
  <si>
    <t>/content/drive/MyDrive/thesis_project/thesis/outputs/exp10_svm_ready/fusion_svm_crf_ready_results_20260807_110506.xlsx</t>
  </si>
  <si>
    <t>/content/drive/MyDrive/thesis_project/thesis/outputs/exp10_svm_ready/fusion_svm_crf_ready_20260807_110509.json</t>
  </si>
  <si>
    <t>/content/drive/MyDrive/thesis_project/thesis/outputs/exp10_svm_ready/fusion_svm_crf_ready_results_20260807_110508.xlsx</t>
  </si>
  <si>
    <t>/content/drive/MyDrive/thesis_project/thesis/outputs/exp10_svm_ready/fusion_svm_crf_ready_20260807_110512.json</t>
  </si>
  <si>
    <t>/content/drive/MyDrive/thesis_project/thesis/outputs/exp10_svm_ready/fusion_svm_crf_ready_results_20260807_110511.xlsx</t>
  </si>
  <si>
    <t>/content/drive/MyDrive/thesis_project/thesis/outputs/exp10_svm_ready/fusion_svm_crf_ready_20260807_110515.json</t>
  </si>
  <si>
    <t>/content/drive/MyDrive/thesis_project/thesis/outputs/exp10_svm_ready/fusion_svm_crf_ready_results_20260807_110514.xlsx</t>
  </si>
  <si>
    <t>/content/drive/MyDrive/thesis_project/thesis/outputs/exp10_svm_ready/fusion_svm_crf_ready_20260807_110517.json</t>
  </si>
  <si>
    <t>/content/drive/MyDrive/thesis_project/thesis/outputs/exp10_svm_ready/fusion_svm_crf_ready_results_20260807_110516.xlsx</t>
  </si>
  <si>
    <t>/content/drive/MyDrive/thesis_project/thesis/outputs/exp10_svm_ready/fusion_svm_crf_ready_20260807_110519.json</t>
  </si>
  <si>
    <t>/content/drive/MyDrive/thesis_project/thesis/outputs/exp10_svm_ready/fusion_svm_crf_ready_results_20260807_110518.xlsx</t>
  </si>
  <si>
    <t>/content/drive/MyDrive/thesis_project/thesis/outputs/exp10_svm_ready/fusion_svm_crf_ready_20260807_110522.json</t>
  </si>
  <si>
    <t>/content/drive/MyDrive/thesis_project/thesis/outputs/exp10_svm_ready/fusion_svm_crf_ready_results_20260807_110521.xlsx</t>
  </si>
  <si>
    <t>/content/drive/MyDrive/thesis_project/thesis/outputs/exp10_svm_ready/fusion_svm_crf_ready_20260807_110524.json</t>
  </si>
  <si>
    <t>/content/drive/MyDrive/thesis_project/thesis/outputs/exp10_svm_ready/fusion_svm_crf_ready_results_20260807_110523.xlsx</t>
  </si>
  <si>
    <t>/content/drive/MyDrive/thesis_project/thesis/outputs/exp10_svm_ready/fusion_svm_crf_ready_20260807_110528.json</t>
  </si>
  <si>
    <t>/content/drive/MyDrive/thesis_project/thesis/outputs/exp10_svm_ready/fusion_svm_crf_ready_results_20260807_110526.xlsx</t>
  </si>
  <si>
    <t>/content/drive/MyDrive/thesis_project/thesis/outputs/exp10_svm_ready/fusion_svm_crf_ready_20260807_110530.json</t>
  </si>
  <si>
    <t>/content/drive/MyDrive/thesis_project/thesis/outputs/exp10_svm_ready/fusion_svm_crf_ready_results_20260807_110529.xlsx</t>
  </si>
  <si>
    <t>/content/drive/MyDrive/thesis_project/thesis/outputs/exp10_svm_ready/fusion_svm_crf_ready_20260807_110532.json</t>
  </si>
  <si>
    <t>/content/drive/MyDrive/thesis_project/thesis/outputs/exp10_svm_ready/fusion_svm_crf_ready_results_20260807_110531.xlsx</t>
  </si>
  <si>
    <t>/content/drive/MyDrive/thesis_project/thesis/outputs/exp10_svm_ready/fusion_svm_crf_ready_20260807_110534.json</t>
  </si>
  <si>
    <t>/content/drive/MyDrive/thesis_project/thesis/outputs/exp10_svm_ready/fusion_svm_crf_ready_results_20260807_110533.xlsx</t>
  </si>
  <si>
    <t>/content/drive/MyDrive/thesis_project/thesis/outputs/exp10_svm_ready/fusion_svm_crf_ready_20260807_110536.json</t>
  </si>
  <si>
    <t>/content/drive/MyDrive/thesis_project/thesis/outputs/exp10_svm_ready/fusion_svm_crf_ready_results_20260807_110535.xlsx</t>
  </si>
  <si>
    <t>/content/drive/MyDrive/thesis_project/thesis/outputs/exp10_svm_ready/fusion_svm_crf_ready_20260807_110539.json</t>
  </si>
  <si>
    <t>/content/drive/MyDrive/thesis_project/thesis/outputs/exp10_svm_ready/fusion_svm_crf_ready_results_20260807_110537.xlsx</t>
  </si>
  <si>
    <t>/content/drive/MyDrive/thesis_project/thesis/outputs/exp10_svm_ready/fusion_svm_crf_ready_20260807_110542.json</t>
  </si>
  <si>
    <t>/content/drive/MyDrive/thesis_project/thesis/outputs/exp10_svm_ready/fusion_svm_crf_ready_results_20260807_110541.xlsx</t>
  </si>
  <si>
    <t>/content/drive/MyDrive/thesis_project/thesis/outputs/exp10_svm_ready/fusion_svm_crf_ready_20260807_110545.json</t>
  </si>
  <si>
    <t>/content/drive/MyDrive/thesis_project/thesis/outputs/exp10_svm_ready/fusion_svm_crf_ready_results_20260807_110543.xlsx</t>
  </si>
  <si>
    <t>/content/drive/MyDrive/thesis_project/thesis/outputs/exp10_svm_ready/fusion_svm_crf_ready_20260807_110547.json</t>
  </si>
  <si>
    <t>/content/drive/MyDrive/thesis_project/thesis/outputs/exp10_svm_ready/fusion_svm_crf_ready_results_20260807_110546.xlsx</t>
  </si>
  <si>
    <t>/content/drive/MyDrive/thesis_project/thesis/outputs/exp10_svm_ready/fusion_svm_crf_ready_20260807_110549.json</t>
  </si>
  <si>
    <t>/content/drive/MyDrive/thesis_project/thesis/outputs/exp10_svm_ready/fusion_svm_crf_ready_results_20260807_110548.xlsx</t>
  </si>
  <si>
    <t>/content/drive/MyDrive/thesis_project/thesis/outputs/exp10_svm_ready/fusion_svm_crf_ready_20260807_110551.json</t>
  </si>
  <si>
    <t>/content/drive/MyDrive/thesis_project/thesis/outputs/exp10_svm_ready/fusion_svm_crf_ready_results_20260807_110550.xlsx</t>
  </si>
  <si>
    <t>/content/drive/MyDrive/thesis_project/thesis/outputs/exp10_svm_ready/fusion_svm_crf_ready_20260807_110555.json</t>
  </si>
  <si>
    <t>/content/drive/MyDrive/thesis_project/thesis/outputs/exp10_svm_ready/fusion_svm_crf_ready_results_20260807_110553.xlsx</t>
  </si>
  <si>
    <t>/content/drive/MyDrive/thesis_project/thesis/outputs/exp10_svm_ready/fusion_svm_crf_ready_20260807_110557.json</t>
  </si>
  <si>
    <t>/content/drive/MyDrive/thesis_project/thesis/outputs/exp10_svm_ready/fusion_svm_crf_ready_results_20260807_110556.xlsx</t>
  </si>
  <si>
    <t>/content/drive/MyDrive/thesis_project/thesis/outputs/exp10_svm_ready/fusion_svm_crf_ready_20260807_110600.json</t>
  </si>
  <si>
    <t>/content/drive/MyDrive/thesis_project/thesis/outputs/exp10_svm_ready/fusion_svm_crf_ready_results_20260807_110558.xlsx</t>
  </si>
  <si>
    <t>/content/drive/MyDrive/thesis_project/thesis/outputs/exp10_svm_ready/fusion_svm_crf_ready_20260807_110602.json</t>
  </si>
  <si>
    <t>/content/drive/MyDrive/thesis_project/thesis/outputs/exp10_svm_ready/fusion_svm_crf_ready_results_20260807_110601.xlsx</t>
  </si>
  <si>
    <t>/content/drive/MyDrive/thesis_project/thesis/outputs/exp10_svm_ready/fusion_svm_crf_ready_20260807_110604.json</t>
  </si>
  <si>
    <t>/content/drive/MyDrive/thesis_project/thesis/outputs/exp10_svm_ready/fusion_svm_crf_ready_results_20260807_110603.xlsx</t>
  </si>
  <si>
    <t>/content/drive/MyDrive/thesis_project/thesis/outputs/exp10_svm_ready/fusion_svm_crf_ready_20260807_110606.json</t>
  </si>
  <si>
    <t>/content/drive/MyDrive/thesis_project/thesis/outputs/exp10_svm_ready/fusion_svm_crf_ready_results_20260807_110605.xlsx</t>
  </si>
  <si>
    <t>/content/drive/MyDrive/thesis_project/thesis/outputs/exp10_svm_ready/fusion_svm_crf_ready_20260807_110610.json</t>
  </si>
  <si>
    <t>/content/drive/MyDrive/thesis_project/thesis/outputs/exp10_svm_ready/fusion_svm_crf_ready_results_20260807_110608.xlsx</t>
  </si>
  <si>
    <t>/content/drive/MyDrive/thesis_project/thesis/outputs/exp10_svm_ready/fusion_svm_crf_ready_20260807_110612.json</t>
  </si>
  <si>
    <t>/content/drive/MyDrive/thesis_project/thesis/outputs/exp10_svm_ready/fusion_svm_crf_ready_results_20260807_110611.xlsx</t>
  </si>
  <si>
    <t>/content/drive/MyDrive/thesis_project/thesis/outputs/exp10_svm_ready/fusion_svm_crf_ready_20260807_110614.json</t>
  </si>
  <si>
    <t>/content/drive/MyDrive/thesis_project/thesis/outputs/exp10_svm_ready/fusion_svm_crf_ready_results_20260807_110613.xlsx</t>
  </si>
  <si>
    <t>/content/drive/MyDrive/thesis_project/thesis/outputs/exp10_svm_ready/fusion_svm_crf_ready_20260807_110616.json</t>
  </si>
  <si>
    <t>/content/drive/MyDrive/thesis_project/thesis/outputs/exp10_svm_ready/fusion_svm_crf_ready_results_20260807_110615.xlsx</t>
  </si>
  <si>
    <t>/content/drive/MyDrive/thesis_project/thesis/outputs/exp10_svm_ready/fusion_svm_crf_ready_20260807_110618.json</t>
  </si>
  <si>
    <t>/content/drive/MyDrive/thesis_project/thesis/outputs/exp10_svm_ready/fusion_svm_crf_ready_results_20260807_110618.xlsx</t>
  </si>
  <si>
    <t>/content/drive/MyDrive/thesis_project/thesis/outputs/exp10_svm_ready/fusion_svm_crf_ready_20260807_110622.json</t>
  </si>
  <si>
    <t>/content/drive/MyDrive/thesis_project/thesis/outputs/exp10_svm_ready/fusion_svm_crf_ready_results_20260807_110620.xlsx</t>
  </si>
  <si>
    <t>/content/drive/MyDrive/thesis_project/thesis/outputs/exp10_svm_ready/fusion_svm_crf_ready_20260807_110624.json</t>
  </si>
  <si>
    <t>/content/drive/MyDrive/thesis_project/thesis/outputs/exp10_svm_ready/fusion_svm_crf_ready_results_20260807_110623.xlsx</t>
  </si>
  <si>
    <t>/content/drive/MyDrive/thesis_project/thesis/outputs/exp10_svm_ready/fusion_svm_crf_ready_20260807_110626.json</t>
  </si>
  <si>
    <t>/content/drive/MyDrive/thesis_project/thesis/outputs/exp10_svm_ready/fusion_svm_crf_ready_results_20260807_110625.xlsx</t>
  </si>
  <si>
    <t>/content/drive/MyDrive/thesis_project/thesis/outputs/exp10_svm_ready/fusion_svm_crf_ready_20260807_110629.json</t>
  </si>
  <si>
    <t>/content/drive/MyDrive/thesis_project/thesis/outputs/exp10_svm_ready/fusion_svm_crf_ready_results_20260807_110627.xlsx</t>
  </si>
  <si>
    <t>/content/drive/MyDrive/thesis_project/thesis/outputs/exp10_svm_ready/fusion_svm_crf_ready_20260807_110631.json</t>
  </si>
  <si>
    <t>/content/drive/MyDrive/thesis_project/thesis/outputs/exp10_svm_ready/fusion_svm_crf_ready_results_20260807_110630.xlsx</t>
  </si>
  <si>
    <t>microsoft/BiomedNLP-PubMedBERT-base-uncased-abstract-fulltext</t>
  </si>
  <si>
    <t>bc5cdr_pubmedbert__small_300__before_exp01_baseline__seed42</t>
  </si>
  <si>
    <t>bc5cdr_pubmedbert__small_300__before_exp01_baseline</t>
  </si>
  <si>
    <t>[BC5CDR + PubMedBERT] [small_300] Baseline (simple random split) [seed 42]</t>
  </si>
  <si>
    <t>/content/drive/MyDrive/thesis_project/thesis/outputs/exp10_regular/regular_ner_crf_20260807_110701.json</t>
  </si>
  <si>
    <t>/content/drive/MyDrive/thesis_project/thesis/outputs/exp10_regular/regular_ner_crf_results_20260807_110700.xlsx</t>
  </si>
  <si>
    <t>bc5cdr_pubmedbert__small_300__before_exp01_baseline__seed43</t>
  </si>
  <si>
    <t>[BC5CDR + PubMedBERT] [small_300] Baseline (simple random split) [seed 43]</t>
  </si>
  <si>
    <t>/content/drive/MyDrive/thesis_project/thesis/outputs/exp10_regular/regular_ner_crf_20260807_110824.json</t>
  </si>
  <si>
    <t>/content/drive/MyDrive/thesis_project/thesis/outputs/exp10_regular/regular_ner_crf_results_20260807_110823.xlsx</t>
  </si>
  <si>
    <t>bc5cdr_pubmedbert__small_300__before_exp01_baseline__seed44</t>
  </si>
  <si>
    <t>[BC5CDR + PubMedBERT] [small_300] Baseline (simple random split) [seed 44]</t>
  </si>
  <si>
    <t>/content/drive/MyDrive/thesis_project/thesis/outputs/exp10_regular/regular_ner_crf_20260807_111036.json</t>
  </si>
  <si>
    <t>/content/drive/MyDrive/thesis_project/thesis/outputs/exp10_regular/regular_ner_crf_results_20260807_111035.xlsx</t>
  </si>
  <si>
    <t>bc5cdr_pubmedbert__small_300__before_exp01_baseline__seed45</t>
  </si>
  <si>
    <t>[BC5CDR + PubMedBERT] [small_300] Baseline (simple random split) [seed 45]</t>
  </si>
  <si>
    <t>/content/drive/MyDrive/thesis_project/thesis/outputs/exp10_regular/regular_ner_crf_20260807_111157.json</t>
  </si>
  <si>
    <t>/content/drive/MyDrive/thesis_project/thesis/outputs/exp10_regular/regular_ner_crf_results_20260807_111156.xlsx</t>
  </si>
  <si>
    <t>bc5cdr_pubmedbert__small_300__before_exp01_baseline__seed46</t>
  </si>
  <si>
    <t>[BC5CDR + PubMedBERT] [small_300] Baseline (simple random split) [seed 46]</t>
  </si>
  <si>
    <t>/content/drive/MyDrive/thesis_project/thesis/outputs/exp10_regular/regular_ner_crf_20260807_111318.json</t>
  </si>
  <si>
    <t>/content/drive/MyDrive/thesis_project/thesis/outputs/exp10_regular/regular_ner_crf_results_20260807_111317.xlsx</t>
  </si>
  <si>
    <t>bc5cdr_pubmedbert__small_300__before_exp01_baseline__seed47</t>
  </si>
  <si>
    <t>[BC5CDR + PubMedBERT] [small_300] Baseline (simple random split) [seed 47]</t>
  </si>
  <si>
    <t>/content/drive/MyDrive/thesis_project/thesis/outputs/exp10_regular/regular_ner_crf_20260807_111531.json</t>
  </si>
  <si>
    <t>/content/drive/MyDrive/thesis_project/thesis/outputs/exp10_regular/regular_ner_crf_results_20260807_111530.xlsx</t>
  </si>
  <si>
    <t>bc5cdr_pubmedbert__small_300__before_exp01_baseline__seed48</t>
  </si>
  <si>
    <t>[BC5CDR + PubMedBERT] [small_300] Baseline (simple random split) [seed 48]</t>
  </si>
  <si>
    <t>/content/drive/MyDrive/thesis_project/thesis/outputs/exp10_regular/regular_ner_crf_20260807_111652.json</t>
  </si>
  <si>
    <t>/content/drive/MyDrive/thesis_project/thesis/outputs/exp10_regular/regular_ner_crf_results_20260807_111651.xlsx</t>
  </si>
  <si>
    <t>bc5cdr_pubmedbert__small_300__before_exp01_baseline__seed49</t>
  </si>
  <si>
    <t>[BC5CDR + PubMedBERT] [small_300] Baseline (simple random split) [seed 49]</t>
  </si>
  <si>
    <t>/content/drive/MyDrive/thesis_project/thesis/outputs/exp10_regular/regular_ner_crf_20260807_111812.json</t>
  </si>
  <si>
    <t>/content/drive/MyDrive/thesis_project/thesis/outputs/exp10_regular/regular_ner_crf_results_20260807_111811.xlsx</t>
  </si>
  <si>
    <t>bc5cdr_pubmedbert__small_300__before_exp01_baseline__seed50</t>
  </si>
  <si>
    <t>bc5cdr_pubmedbert__small_300__before_exp01_baseline__baseline</t>
  </si>
  <si>
    <t>small_300 / Baseline (simple random split) (baseline)</t>
  </si>
  <si>
    <t>[BC5CDR + PubMedBERT] [small_300] Baseline (simple random split) [baseline] [seed 50]</t>
  </si>
  <si>
    <t>Regular NER with DictaBERT — Baseline (no augmentation)</t>
  </si>
  <si>
    <t>/content/drive/MyDrive/thesis_project/thesis/outputs/exp10_regular/regular_ner_crf_20260807_114331.json</t>
  </si>
  <si>
    <t>/content/drive/MyDrive/thesis_project/thesis/outputs/exp10_regular/regular_ner_crf_results_20260807_114331.xlsx</t>
  </si>
  <si>
    <t>bc5cdr_pubmedbert__small_300__before_exp01_baseline__seed51</t>
  </si>
  <si>
    <t>[BC5CDR + PubMedBERT] [small_300] Baseline (simple random split) [baseline] [seed 51]</t>
  </si>
  <si>
    <t>/content/drive/MyDrive/thesis_project/thesis/outputs/exp10_regular/regular_ner_crf_20260807_114544.json</t>
  </si>
  <si>
    <t>/content/drive/MyDrive/thesis_project/thesis/outputs/exp10_regular/regular_ner_crf_results_20260807_114543.xlsx</t>
  </si>
  <si>
    <t>bc5cdr_pubmedbert__small_300__before_exp01_baseline__seed52</t>
  </si>
  <si>
    <t>[BC5CDR + PubMedBERT] [small_300] Baseline (simple random split) [baseline] [seed 52]</t>
  </si>
  <si>
    <t>/content/drive/MyDrive/thesis_project/thesis/outputs/exp10_regular/regular_ner_crf_20260807_114756.json</t>
  </si>
  <si>
    <t>/content/drive/MyDrive/thesis_project/thesis/outputs/exp10_regular/regular_ner_crf_results_20260807_114756.xlsx</t>
  </si>
  <si>
    <t>bc5cdr_pubmedbert__small_300__before_exp01_baseline__seed53</t>
  </si>
  <si>
    <t>[BC5CDR + PubMedBERT] [small_300] Baseline (simple random split) [baseline] [seed 53]</t>
  </si>
  <si>
    <t>/content/drive/MyDrive/thesis_project/thesis/outputs/exp10_regular/regular_ner_crf_20260807_115008.json</t>
  </si>
  <si>
    <t>/content/drive/MyDrive/thesis_project/thesis/outputs/exp10_regular/regular_ner_crf_results_20260807_115007.xlsx</t>
  </si>
  <si>
    <t>bc5cdr_pubmedbert__small_300__before_exp01_baseline__seed54</t>
  </si>
  <si>
    <t>[BC5CDR + PubMedBERT] [small_300] Baseline (simple random split) [baseline] [seed 54]</t>
  </si>
  <si>
    <t>/content/drive/MyDrive/thesis_project/thesis/outputs/exp10_regular/regular_ner_crf_20260807_115222.json</t>
  </si>
  <si>
    <t>/content/drive/MyDrive/thesis_project/thesis/outputs/exp10_regular/regular_ner_crf_results_20260807_115221.xlsx</t>
  </si>
  <si>
    <t>bc5cdr_pubmedbert__small_300__before_exp01_baseline__seed55</t>
  </si>
  <si>
    <t>[BC5CDR + PubMedBERT] [small_300] Baseline (simple random split) [baseline] [seed 55]</t>
  </si>
  <si>
    <t>/content/drive/MyDrive/thesis_project/thesis/outputs/exp10_regular/regular_ner_crf_20260807_115344.json</t>
  </si>
  <si>
    <t>/content/drive/MyDrive/thesis_project/thesis/outputs/exp10_regular/regular_ner_crf_results_20260807_115343.xlsx</t>
  </si>
  <si>
    <t>bc5cdr_pubmedbert__small_300__before_exp01_baseline__seed56</t>
  </si>
  <si>
    <t>[BC5CDR + PubMedBERT] [small_300] Baseline (simple random split) [baseline] [seed 56]</t>
  </si>
  <si>
    <t>/content/drive/MyDrive/thesis_project/thesis/outputs/exp10_regular/regular_ner_crf_20260807_115505.json</t>
  </si>
  <si>
    <t>/content/drive/MyDrive/thesis_project/thesis/outputs/exp10_regular/regular_ner_crf_results_20260807_115504.xlsx</t>
  </si>
  <si>
    <t>bc5cdr_pubmedbert__small_300__before_exp01_baseline__seed57</t>
  </si>
  <si>
    <t>[BC5CDR + PubMedBERT] [small_300] Baseline (simple random split) [baseline] [seed 57]</t>
  </si>
  <si>
    <t>/content/drive/MyDrive/thesis_project/thesis/outputs/exp10_regular/regular_ner_crf_20260807_115626.json</t>
  </si>
  <si>
    <t>/content/drive/MyDrive/thesis_project/thesis/outputs/exp10_regular/regular_ner_crf_results_20260807_115625.xlsx</t>
  </si>
  <si>
    <t>bc5cdr_pubmedbert__small_300__before_exp01_baseline__seed58</t>
  </si>
  <si>
    <t>[BC5CDR + PubMedBERT] [small_300] Baseline (simple random split) [baseline] [seed 58]</t>
  </si>
  <si>
    <t>/content/drive/MyDrive/thesis_project/thesis/outputs/exp10_regular/regular_ner_crf_20260807_115747.json</t>
  </si>
  <si>
    <t>/content/drive/MyDrive/thesis_project/thesis/outputs/exp10_regular/regular_ner_crf_results_20260807_115746.xlsx</t>
  </si>
  <si>
    <t>bc5cdr_pubmedbert__small_300__before_exp01_baseline__seed59</t>
  </si>
  <si>
    <t>[BC5CDR + PubMedBERT] [small_300] Baseline (simple random split) [baseline] [seed 59]</t>
  </si>
  <si>
    <t>/content/drive/MyDrive/thesis_project/thesis/outputs/exp10_regular/regular_ner_crf_20260807_120000.json</t>
  </si>
  <si>
    <t>/content/drive/MyDrive/thesis_project/thesis/outputs/exp10_regular/regular_ner_crf_results_20260807_120000.xlsx</t>
  </si>
  <si>
    <t>bc5cdr_pubmedbert__small_300__before_exp01_baseline__seed60</t>
  </si>
  <si>
    <t>[BC5CDR + PubMedBERT] [small_300] Baseline (simple random split) [baseline] [seed 60]</t>
  </si>
  <si>
    <t>/content/drive/MyDrive/thesis_project/thesis/outputs/exp10_regular/regular_ner_crf_20260807_120122.json</t>
  </si>
  <si>
    <t>/content/drive/MyDrive/thesis_project/thesis/outputs/exp10_regular/regular_ner_crf_results_20260807_120121.xlsx</t>
  </si>
  <si>
    <t>bc5cdr_pubmedbert__small_300__before_exp01_baseline__seed61</t>
  </si>
  <si>
    <t>[BC5CDR + PubMedBERT] [small_300] Baseline (simple random split) [baseline] [seed 61]</t>
  </si>
  <si>
    <t>/content/drive/MyDrive/thesis_project/thesis/outputs/exp10_regular/regular_ner_crf_20260807_120242.json</t>
  </si>
  <si>
    <t>/content/drive/MyDrive/thesis_project/thesis/outputs/exp10_regular/regular_ner_crf_results_20260807_120241.xlsx</t>
  </si>
  <si>
    <t>bc5cdr_pubmedbert__small_300__after_multilabel_iterative_paper__seed42</t>
  </si>
  <si>
    <t>bc5cdr_pubmedbert__small_300__after_multilabel_iterative_paper__baseline</t>
  </si>
  <si>
    <t>small_300 / Multilabel stratified (paper-style) (baseline)</t>
  </si>
  <si>
    <t>[BC5CDR + PubMedBERT] [small_300] Multilabel stratified (paper-style) [baseline] [seed 42]</t>
  </si>
  <si>
    <t>Paper-style iterative stratification: rarest-label-first with tie-breaks by per-label need, then fold capacity, then random — Baseline (no augmentation)</t>
  </si>
  <si>
    <t>/content/drive/MyDrive/thesis_project/thesis/outputs/exp10_regular/regular_ner_crf_20260807_120452.json</t>
  </si>
  <si>
    <t>/content/drive/MyDrive/thesis_project/thesis/outputs/exp10_regular/regular_ner_crf_results_20260807_120451.xlsx</t>
  </si>
  <si>
    <t>bc5cdr_pubmedbert__small_300__after_multilabel_iterative_paper__seed43</t>
  </si>
  <si>
    <t>[BC5CDR + PubMedBERT] [small_300] Multilabel stratified (paper-style) [baseline] [seed 43]</t>
  </si>
  <si>
    <t>/content/drive/MyDrive/thesis_project/thesis/outputs/exp10_regular/regular_ner_crf_20260807_120611.json</t>
  </si>
  <si>
    <t>/content/drive/MyDrive/thesis_project/thesis/outputs/exp10_regular/regular_ner_crf_results_20260807_120611.xlsx</t>
  </si>
  <si>
    <t>bc5cdr_pubmedbert__small_300__after_multilabel_iterative_paper__seed44</t>
  </si>
  <si>
    <t>[BC5CDR + PubMedBERT] [small_300] Multilabel stratified (paper-style) [baseline] [seed 44]</t>
  </si>
  <si>
    <t>/content/drive/MyDrive/thesis_project/thesis/outputs/exp10_regular/regular_ner_crf_20260807_120821.json</t>
  </si>
  <si>
    <t>/content/drive/MyDrive/thesis_project/thesis/outputs/exp10_regular/regular_ner_crf_results_20260807_120821.xlsx</t>
  </si>
  <si>
    <t>bc5cdr_pubmedbert__small_300__after_multilabel_iterative_paper__seed45</t>
  </si>
  <si>
    <t>[BC5CDR + PubMedBERT] [small_300] Multilabel stratified (paper-style) [baseline] [seed 45]</t>
  </si>
  <si>
    <t>/content/drive/MyDrive/thesis_project/thesis/outputs/exp10_regular/regular_ner_crf_20260807_120941.json</t>
  </si>
  <si>
    <t>/content/drive/MyDrive/thesis_project/thesis/outputs/exp10_regular/regular_ner_crf_results_20260807_120940.xlsx</t>
  </si>
  <si>
    <t>bc5cdr_pubmedbert__small_300__after_multilabel_iterative_paper__seed46</t>
  </si>
  <si>
    <t>[BC5CDR + PubMedBERT] [small_300] Multilabel stratified (paper-style) [baseline] [seed 46]</t>
  </si>
  <si>
    <t>/content/drive/MyDrive/thesis_project/thesis/outputs/exp10_regular/regular_ner_crf_20260807_121150.json</t>
  </si>
  <si>
    <t>/content/drive/MyDrive/thesis_project/thesis/outputs/exp10_regular/regular_ner_crf_results_20260807_121149.xlsx</t>
  </si>
  <si>
    <t>bc5cdr_pubmedbert__small_300__after_multilabel_iterative_paper__seed47</t>
  </si>
  <si>
    <t>[BC5CDR + PubMedBERT] [small_300] Multilabel stratified (paper-style) [baseline] [seed 47]</t>
  </si>
  <si>
    <t>/content/drive/MyDrive/thesis_project/thesis/outputs/exp10_regular/regular_ner_crf_20260807_121308.json</t>
  </si>
  <si>
    <t>/content/drive/MyDrive/thesis_project/thesis/outputs/exp10_regular/regular_ner_crf_results_20260807_121308.xlsx</t>
  </si>
  <si>
    <t>bc5cdr_pubmedbert__small_300__after_multilabel_iterative_paper__seed48</t>
  </si>
  <si>
    <t>[BC5CDR + PubMedBERT] [small_300] Multilabel stratified (paper-style) [baseline] [seed 48]</t>
  </si>
  <si>
    <t>/content/drive/MyDrive/thesis_project/thesis/outputs/exp10_regular/regular_ner_crf_20260807_121428.json</t>
  </si>
  <si>
    <t>/content/drive/MyDrive/thesis_project/thesis/outputs/exp10_regular/regular_ner_crf_results_20260807_121427.xlsx</t>
  </si>
  <si>
    <t>bc5cdr_pubmedbert__small_300__after_multilabel_iterative_paper__seed49</t>
  </si>
  <si>
    <t>[BC5CDR + PubMedBERT] [small_300] Multilabel stratified (paper-style) [baseline] [seed 49]</t>
  </si>
  <si>
    <t>/content/drive/MyDrive/thesis_project/thesis/outputs/exp10_regular/regular_ner_crf_20260807_121546.json</t>
  </si>
  <si>
    <t>/content/drive/MyDrive/thesis_project/thesis/outputs/exp10_regular/regular_ner_crf_results_20260807_121546.xlsx</t>
  </si>
  <si>
    <t>bc5cdr_pubmedbert__small_300__after_multilabel_iterative_paper__seed50</t>
  </si>
  <si>
    <t>[BC5CDR + PubMedBERT] [small_300] Multilabel stratified (paper-style) [baseline] [seed 50]</t>
  </si>
  <si>
    <t>/content/drive/MyDrive/thesis_project/thesis/outputs/exp10_regular/regular_ner_crf_20260807_121704.json</t>
  </si>
  <si>
    <t>/content/drive/MyDrive/thesis_project/thesis/outputs/exp10_regular/regular_ner_crf_results_20260807_121704.xlsx</t>
  </si>
  <si>
    <t>bc5cdr_pubmedbert__small_300__after_multilabel_iterative_paper__seed51</t>
  </si>
  <si>
    <t>[BC5CDR + PubMedBERT] [small_300] Multilabel stratified (paper-style) [baseline] [seed 51]</t>
  </si>
  <si>
    <t>/content/drive/MyDrive/thesis_project/thesis/outputs/exp10_regular/regular_ner_crf_20260807_121914.json</t>
  </si>
  <si>
    <t>/content/drive/MyDrive/thesis_project/thesis/outputs/exp10_regular/regular_ner_crf_results_20260807_121913.xlsx</t>
  </si>
  <si>
    <t>bc5cdr_pubmedbert__small_300__after_multilabel_iterative_paper__seed52</t>
  </si>
  <si>
    <t>[BC5CDR + PubMedBERT] [small_300] Multilabel stratified (paper-style) [baseline] [seed 52]</t>
  </si>
  <si>
    <t>/content/drive/MyDrive/thesis_project/thesis/outputs/exp10_regular/regular_ner_crf_20260807_122123.json</t>
  </si>
  <si>
    <t>/content/drive/MyDrive/thesis_project/thesis/outputs/exp10_regular/regular_ner_crf_results_20260807_122123.xlsx</t>
  </si>
  <si>
    <t>bc5cdr_pubmedbert__small_300__after_multilabel_iterative_paper__seed53</t>
  </si>
  <si>
    <t>[BC5CDR + PubMedBERT] [small_300] Multilabel stratified (paper-style) [baseline] [seed 53]</t>
  </si>
  <si>
    <t>/content/drive/MyDrive/thesis_project/thesis/outputs/exp10_regular/regular_ner_crf_20260807_122333.json</t>
  </si>
  <si>
    <t>/content/drive/MyDrive/thesis_project/thesis/outputs/exp10_regular/regular_ner_crf_results_20260807_122332.xlsx</t>
  </si>
  <si>
    <t>bc5cdr_pubmedbert__small_300__after_multilabel_iterative_paper__seed54</t>
  </si>
  <si>
    <t>[BC5CDR + PubMedBERT] [small_300] Multilabel stratified (paper-style) [baseline] [seed 54]</t>
  </si>
  <si>
    <t>/content/drive/MyDrive/thesis_project/thesis/outputs/exp10_regular/regular_ner_crf_20260807_122455.json</t>
  </si>
  <si>
    <t>/content/drive/MyDrive/thesis_project/thesis/outputs/exp10_regular/regular_ner_crf_results_20260807_122454.xlsx</t>
  </si>
  <si>
    <t>bc5cdr_pubmedbert__small_300__after_multilabel_iterative_paper__seed55</t>
  </si>
  <si>
    <t>[BC5CDR + PubMedBERT] [small_300] Multilabel stratified (paper-style) [baseline] [seed 55]</t>
  </si>
  <si>
    <t>/content/drive/MyDrive/thesis_project/thesis/outputs/exp10_regular/regular_ner_crf_20260807_122617.json</t>
  </si>
  <si>
    <t>/content/drive/MyDrive/thesis_project/thesis/outputs/exp10_regular/regular_ner_crf_results_20260807_122616.xlsx</t>
  </si>
  <si>
    <t>bc5cdr_pubmedbert__small_300__after_multilabel_iterative_paper__seed56</t>
  </si>
  <si>
    <t>[BC5CDR + PubMedBERT] [small_300] Multilabel stratified (paper-style) [baseline] [seed 56]</t>
  </si>
  <si>
    <t>/content/drive/MyDrive/thesis_project/thesis/outputs/exp10_regular/regular_ner_crf_20260807_122834.json</t>
  </si>
  <si>
    <t>/content/drive/MyDrive/thesis_project/thesis/outputs/exp10_regular/regular_ner_crf_results_20260807_122834.xlsx</t>
  </si>
  <si>
    <t>bc5cdr_pubmedbert__small_300__after_multilabel_iterative_paper__seed57</t>
  </si>
  <si>
    <t>[BC5CDR + PubMedBERT] [small_300] Multilabel stratified (paper-style) [baseline] [seed 57]</t>
  </si>
  <si>
    <t>/content/drive/MyDrive/thesis_project/thesis/outputs/exp10_regular/regular_ner_crf_20260807_122959.json</t>
  </si>
  <si>
    <t>/content/drive/MyDrive/thesis_project/thesis/outputs/exp10_regular/regular_ner_crf_results_20260807_122958.xlsx</t>
  </si>
  <si>
    <t>bc5cdr_pubmedbert__small_300__after_multilabel_iterative_paper__seed58</t>
  </si>
  <si>
    <t>[BC5CDR + PubMedBERT] [small_300] Multilabel stratified (paper-style) [baseline] [seed 58]</t>
  </si>
  <si>
    <t>/content/drive/MyDrive/thesis_project/thesis/outputs/exp10_regular/regular_ner_crf_20260807_123213.json</t>
  </si>
  <si>
    <t>/content/drive/MyDrive/thesis_project/thesis/outputs/exp10_regular/regular_ner_crf_results_20260807_123213.xlsx</t>
  </si>
  <si>
    <t>bc5cdr_pubmedbert__small_300__after_multilabel_iterative_paper__seed59</t>
  </si>
  <si>
    <t>[BC5CDR + PubMedBERT] [small_300] Multilabel stratified (paper-style) [baseline] [seed 59]</t>
  </si>
  <si>
    <t>/content/drive/MyDrive/thesis_project/thesis/outputs/exp10_regular/regular_ner_crf_20260807_123429.json</t>
  </si>
  <si>
    <t>/content/drive/MyDrive/thesis_project/thesis/outputs/exp10_regular/regular_ner_crf_results_20260807_123428.xlsx</t>
  </si>
  <si>
    <t>bc5cdr_pubmedbert__small_300__after_multilabel_iterative_paper__seed60</t>
  </si>
  <si>
    <t>[BC5CDR + PubMedBERT] [small_300] Multilabel stratified (paper-style) [baseline] [seed 60]</t>
  </si>
  <si>
    <t>/content/drive/MyDrive/thesis_project/thesis/outputs/exp10_regular/regular_ner_crf_20260807_123551.json</t>
  </si>
  <si>
    <t>/content/drive/MyDrive/thesis_project/thesis/outputs/exp10_regular/regular_ner_crf_results_20260807_123551.xlsx</t>
  </si>
  <si>
    <t>bc5cdr_pubmedbert__small_300__after_multilabel_iterative_paper__seed61</t>
  </si>
  <si>
    <t>[BC5CDR + PubMedBERT] [small_300] Multilabel stratified (paper-style) [baseline] [seed 61]</t>
  </si>
  <si>
    <t>/content/drive/MyDrive/thesis_project/thesis/outputs/exp10_regular/regular_ner_crf_20260807_123714.json</t>
  </si>
  <si>
    <t>/content/drive/MyDrive/thesis_project/thesis/outputs/exp10_regular/regular_ner_crf_results_20260807_123714.xlsx</t>
  </si>
  <si>
    <t>[BC5CDR + PubMedBERT] [small_300] Baseline (simple random split) [baseline] [seed 42]</t>
  </si>
  <si>
    <t>/content/drive/MyDrive/thesis_project/thesis/outputs/exp10_cascade/cascaded_pipeline_crf_20260807_110758.json</t>
  </si>
  <si>
    <t>/content/drive/MyDrive/thesis_project/thesis/outputs/exp10_cascade/cascaded_pipeline_crf_results_20260807_110755.xlsx</t>
  </si>
  <si>
    <t>[BC5CDR + PubMedBERT] [small_300] Baseline (simple random split) [baseline] [seed 43]</t>
  </si>
  <si>
    <t>/content/drive/MyDrive/thesis_project/thesis/outputs/exp10_cascade/cascaded_pipeline_crf_20260807_111010.json</t>
  </si>
  <si>
    <t>/content/drive/MyDrive/thesis_project/thesis/outputs/exp10_cascade/cascaded_pipeline_crf_results_20260807_111009.xlsx</t>
  </si>
  <si>
    <t>[BC5CDR + PubMedBERT] [small_300] Baseline (simple random split) [baseline] [seed 44]</t>
  </si>
  <si>
    <t>/content/drive/MyDrive/thesis_project/thesis/outputs/exp10_cascade/cascaded_pipeline_crf_20260807_111131.json</t>
  </si>
  <si>
    <t>/content/drive/MyDrive/thesis_project/thesis/outputs/exp10_cascade/cascaded_pipeline_crf_results_20260807_111130.xlsx</t>
  </si>
  <si>
    <t>[BC5CDR + PubMedBERT] [small_300] Baseline (simple random split) [baseline] [seed 45]</t>
  </si>
  <si>
    <t>/content/drive/MyDrive/thesis_project/thesis/outputs/exp10_cascade/cascaded_pipeline_crf_20260807_111252.json</t>
  </si>
  <si>
    <t>/content/drive/MyDrive/thesis_project/thesis/outputs/exp10_cascade/cascaded_pipeline_crf_results_20260807_111250.xlsx</t>
  </si>
  <si>
    <t>[BC5CDR + PubMedBERT] [small_300] Baseline (simple random split) [baseline] [seed 46]</t>
  </si>
  <si>
    <t>/content/drive/MyDrive/thesis_project/thesis/outputs/exp10_cascade/cascaded_pipeline_crf_20260807_111505.json</t>
  </si>
  <si>
    <t>/content/drive/MyDrive/thesis_project/thesis/outputs/exp10_cascade/cascaded_pipeline_crf_results_20260807_111504.xlsx</t>
  </si>
  <si>
    <t>[BC5CDR + PubMedBERT] [small_300] Baseline (simple random split) [baseline] [seed 47]</t>
  </si>
  <si>
    <t>/content/drive/MyDrive/thesis_project/thesis/outputs/exp10_cascade/cascaded_pipeline_crf_20260807_111626.json</t>
  </si>
  <si>
    <t>/content/drive/MyDrive/thesis_project/thesis/outputs/exp10_cascade/cascaded_pipeline_crf_results_20260807_111625.xlsx</t>
  </si>
  <si>
    <t>[BC5CDR + PubMedBERT] [small_300] Baseline (simple random split) [baseline] [seed 48]</t>
  </si>
  <si>
    <t>/content/drive/MyDrive/thesis_project/thesis/outputs/exp10_cascade/cascaded_pipeline_crf_20260807_111746.json</t>
  </si>
  <si>
    <t>/content/drive/MyDrive/thesis_project/thesis/outputs/exp10_cascade/cascaded_pipeline_crf_results_20260807_111744.xlsx</t>
  </si>
  <si>
    <t>[BC5CDR + PubMedBERT] [small_300] Baseline (simple random split) [baseline] [seed 49]</t>
  </si>
  <si>
    <t>/content/drive/MyDrive/thesis_project/thesis/outputs/exp10_cascade/cascaded_pipeline_crf_20260807_111955.json</t>
  </si>
  <si>
    <t>/content/drive/MyDrive/thesis_project/thesis/outputs/exp10_cascade/cascaded_pipeline_crf_results_20260807_111953.xlsx</t>
  </si>
  <si>
    <t>/content/drive/MyDrive/thesis_project/thesis/outputs/exp10_cascade/cascaded_pipeline_crf_20260807_114519.json</t>
  </si>
  <si>
    <t>/content/drive/MyDrive/thesis_project/thesis/outputs/exp10_cascade/cascaded_pipeline_crf_results_20260807_114518.xlsx</t>
  </si>
  <si>
    <t>/content/drive/MyDrive/thesis_project/thesis/outputs/exp10_cascade/cascaded_pipeline_crf_20260807_114731.json</t>
  </si>
  <si>
    <t>/content/drive/MyDrive/thesis_project/thesis/outputs/exp10_cascade/cascaded_pipeline_crf_results_20260807_114729.xlsx</t>
  </si>
  <si>
    <t>/content/drive/MyDrive/thesis_project/thesis/outputs/exp10_cascade/cascaded_pipeline_crf_20260807_114943.json</t>
  </si>
  <si>
    <t>/content/drive/MyDrive/thesis_project/thesis/outputs/exp10_cascade/cascaded_pipeline_crf_results_20260807_114942.xlsx</t>
  </si>
  <si>
    <t>/content/drive/MyDrive/thesis_project/thesis/outputs/exp10_cascade/cascaded_pipeline_crf_20260807_115157.json</t>
  </si>
  <si>
    <t>/content/drive/MyDrive/thesis_project/thesis/outputs/exp10_cascade/cascaded_pipeline_crf_results_20260807_115156.xlsx</t>
  </si>
  <si>
    <t>/content/drive/MyDrive/thesis_project/thesis/outputs/exp10_cascade/cascaded_pipeline_crf_20260807_115319.json</t>
  </si>
  <si>
    <t>/content/drive/MyDrive/thesis_project/thesis/outputs/exp10_cascade/cascaded_pipeline_crf_results_20260807_115317.xlsx</t>
  </si>
  <si>
    <t>/content/drive/MyDrive/thesis_project/thesis/outputs/exp10_cascade/cascaded_pipeline_crf_20260807_115440.json</t>
  </si>
  <si>
    <t>/content/drive/MyDrive/thesis_project/thesis/outputs/exp10_cascade/cascaded_pipeline_crf_results_20260807_115439.xlsx</t>
  </si>
  <si>
    <t>/content/drive/MyDrive/thesis_project/thesis/outputs/exp10_cascade/cascaded_pipeline_crf_20260807_115601.json</t>
  </si>
  <si>
    <t>/content/drive/MyDrive/thesis_project/thesis/outputs/exp10_cascade/cascaded_pipeline_crf_results_20260807_115559.xlsx</t>
  </si>
  <si>
    <t>/content/drive/MyDrive/thesis_project/thesis/outputs/exp10_cascade/cascaded_pipeline_crf_20260807_115723.json</t>
  </si>
  <si>
    <t>/content/drive/MyDrive/thesis_project/thesis/outputs/exp10_cascade/cascaded_pipeline_crf_results_20260807_115720.xlsx</t>
  </si>
  <si>
    <t>/content/drive/MyDrive/thesis_project/thesis/outputs/exp10_cascade/cascaded_pipeline_crf_20260807_115935.json</t>
  </si>
  <si>
    <t>/content/drive/MyDrive/thesis_project/thesis/outputs/exp10_cascade/cascaded_pipeline_crf_results_20260807_115934.xlsx</t>
  </si>
  <si>
    <t>/content/drive/MyDrive/thesis_project/thesis/outputs/exp10_cascade/cascaded_pipeline_crf_20260807_120057.json</t>
  </si>
  <si>
    <t>/content/drive/MyDrive/thesis_project/thesis/outputs/exp10_cascade/cascaded_pipeline_crf_results_20260807_120055.xlsx</t>
  </si>
  <si>
    <t>/content/drive/MyDrive/thesis_project/thesis/outputs/exp10_cascade/cascaded_pipeline_crf_20260807_120218.json</t>
  </si>
  <si>
    <t>/content/drive/MyDrive/thesis_project/thesis/outputs/exp10_cascade/cascaded_pipeline_crf_results_20260807_120216.xlsx</t>
  </si>
  <si>
    <t>/content/drive/MyDrive/thesis_project/thesis/outputs/exp10_cascade/cascaded_pipeline_crf_20260807_120427.json</t>
  </si>
  <si>
    <t>/content/drive/MyDrive/thesis_project/thesis/outputs/exp10_cascade/cascaded_pipeline_crf_results_20260807_120426.xlsx</t>
  </si>
  <si>
    <t>/content/drive/MyDrive/thesis_project/thesis/outputs/exp10_cascade/cascaded_pipeline_crf_20260807_120548.json</t>
  </si>
  <si>
    <t>/content/drive/MyDrive/thesis_project/thesis/outputs/exp10_cascade/cascaded_pipeline_crf_results_20260807_120545.xlsx</t>
  </si>
  <si>
    <t>/content/drive/MyDrive/thesis_project/thesis/outputs/exp10_cascade/cascaded_pipeline_crf_20260807_120757.json</t>
  </si>
  <si>
    <t>/content/drive/MyDrive/thesis_project/thesis/outputs/exp10_cascade/cascaded_pipeline_crf_results_20260807_120756.xlsx</t>
  </si>
  <si>
    <t>/content/drive/MyDrive/thesis_project/thesis/outputs/exp10_cascade/cascaded_pipeline_crf_20260807_120916.json</t>
  </si>
  <si>
    <t>/content/drive/MyDrive/thesis_project/thesis/outputs/exp10_cascade/cascaded_pipeline_crf_results_20260807_120915.xlsx</t>
  </si>
  <si>
    <t>/content/drive/MyDrive/thesis_project/thesis/outputs/exp10_cascade/cascaded_pipeline_crf_20260807_121125.json</t>
  </si>
  <si>
    <t>/content/drive/MyDrive/thesis_project/thesis/outputs/exp10_cascade/cascaded_pipeline_crf_results_20260807_121124.xlsx</t>
  </si>
  <si>
    <t>/content/drive/MyDrive/thesis_project/thesis/outputs/exp10_cascade/cascaded_pipeline_crf_20260807_121244.json</t>
  </si>
  <si>
    <t>/content/drive/MyDrive/thesis_project/thesis/outputs/exp10_cascade/cascaded_pipeline_crf_results_20260807_121242.xlsx</t>
  </si>
  <si>
    <t>/content/drive/MyDrive/thesis_project/thesis/outputs/exp10_cascade/cascaded_pipeline_crf_20260807_121403.json</t>
  </si>
  <si>
    <t>/content/drive/MyDrive/thesis_project/thesis/outputs/exp10_cascade/cascaded_pipeline_crf_results_20260807_121401.xlsx</t>
  </si>
  <si>
    <t>/content/drive/MyDrive/thesis_project/thesis/outputs/exp10_cascade/cascaded_pipeline_crf_20260807_121522.json</t>
  </si>
  <si>
    <t>/content/drive/MyDrive/thesis_project/thesis/outputs/exp10_cascade/cascaded_pipeline_crf_results_20260807_121520.xlsx</t>
  </si>
  <si>
    <t>/content/drive/MyDrive/thesis_project/thesis/outputs/exp10_cascade/cascaded_pipeline_crf_20260807_121640.json</t>
  </si>
  <si>
    <t>/content/drive/MyDrive/thesis_project/thesis/outputs/exp10_cascade/cascaded_pipeline_crf_results_20260807_121638.xlsx</t>
  </si>
  <si>
    <t>/content/drive/MyDrive/thesis_project/thesis/outputs/exp10_cascade/cascaded_pipeline_crf_20260807_121849.json</t>
  </si>
  <si>
    <t>/content/drive/MyDrive/thesis_project/thesis/outputs/exp10_cascade/cascaded_pipeline_crf_results_20260807_121848.xlsx</t>
  </si>
  <si>
    <t>/content/drive/MyDrive/thesis_project/thesis/outputs/exp10_cascade/cascaded_pipeline_crf_20260807_122059.json</t>
  </si>
  <si>
    <t>/content/drive/MyDrive/thesis_project/thesis/outputs/exp10_cascade/cascaded_pipeline_crf_results_20260807_122058.xlsx</t>
  </si>
  <si>
    <t>/content/drive/MyDrive/thesis_project/thesis/outputs/exp10_cascade/cascaded_pipeline_crf_20260807_122309.json</t>
  </si>
  <si>
    <t>/content/drive/MyDrive/thesis_project/thesis/outputs/exp10_cascade/cascaded_pipeline_crf_results_20260807_122307.xlsx</t>
  </si>
  <si>
    <t>/content/drive/MyDrive/thesis_project/thesis/outputs/exp10_cascade/cascaded_pipeline_crf_20260807_122429.json</t>
  </si>
  <si>
    <t>/content/drive/MyDrive/thesis_project/thesis/outputs/exp10_cascade/cascaded_pipeline_crf_results_20260807_122427.xlsx</t>
  </si>
  <si>
    <t>/content/drive/MyDrive/thesis_project/thesis/outputs/exp10_cascade/cascaded_pipeline_crf_20260807_122552.json</t>
  </si>
  <si>
    <t>/content/drive/MyDrive/thesis_project/thesis/outputs/exp10_cascade/cascaded_pipeline_crf_results_20260807_122550.xlsx</t>
  </si>
  <si>
    <t>/content/drive/MyDrive/thesis_project/thesis/outputs/exp10_cascade/cascaded_pipeline_crf_20260807_122809.json</t>
  </si>
  <si>
    <t>/content/drive/MyDrive/thesis_project/thesis/outputs/exp10_cascade/cascaded_pipeline_crf_results_20260807_122806.xlsx</t>
  </si>
  <si>
    <t>/content/drive/MyDrive/thesis_project/thesis/outputs/exp10_cascade/cascaded_pipeline_crf_20260807_122934.json</t>
  </si>
  <si>
    <t>/content/drive/MyDrive/thesis_project/thesis/outputs/exp10_cascade/cascaded_pipeline_crf_results_20260807_122932.xlsx</t>
  </si>
  <si>
    <t>/content/drive/MyDrive/thesis_project/thesis/outputs/exp10_cascade/cascaded_pipeline_crf_20260807_123148.json</t>
  </si>
  <si>
    <t>/content/drive/MyDrive/thesis_project/thesis/outputs/exp10_cascade/cascaded_pipeline_crf_results_20260807_123146.xlsx</t>
  </si>
  <si>
    <t>/content/drive/MyDrive/thesis_project/thesis/outputs/exp10_cascade/cascaded_pipeline_crf_20260807_123403.json</t>
  </si>
  <si>
    <t>/content/drive/MyDrive/thesis_project/thesis/outputs/exp10_cascade/cascaded_pipeline_crf_results_20260807_123401.xlsx</t>
  </si>
  <si>
    <t>/content/drive/MyDrive/thesis_project/thesis/outputs/exp10_cascade/cascaded_pipeline_crf_20260807_123526.json</t>
  </si>
  <si>
    <t>/content/drive/MyDrive/thesis_project/thesis/outputs/exp10_cascade/cascaded_pipeline_crf_results_20260807_123524.xlsx</t>
  </si>
  <si>
    <t>/content/drive/MyDrive/thesis_project/thesis/outputs/exp10_cascade/cascaded_pipeline_crf_20260807_123649.json</t>
  </si>
  <si>
    <t>/content/drive/MyDrive/thesis_project/thesis/outputs/exp10_cascade/cascaded_pipeline_crf_results_20260807_123647.xlsx</t>
  </si>
  <si>
    <t>/content/drive/MyDrive/thesis_project/thesis/outputs/exp10_cascade/cascaded_pipeline_crf_20260807_123902.json</t>
  </si>
  <si>
    <t>/content/drive/MyDrive/thesis_project/thesis/outputs/exp10_cascade/cascaded_pipeline_crf_results_20260807_123901.xlsx</t>
  </si>
  <si>
    <t>/content/drive/MyDrive/thesis_project/thesis/outputs/exp10_svm_ready/fusion_svm_crf_ready_20260807_123908.json</t>
  </si>
  <si>
    <t>/content/drive/MyDrive/thesis_project/thesis/outputs/exp10_svm_ready/fusion_svm_crf_ready_results_20260807_123905.xlsx</t>
  </si>
  <si>
    <t>/content/drive/MyDrive/thesis_project/thesis/outputs/exp10_svm_ready/fusion_svm_crf_ready_20260807_123910.json</t>
  </si>
  <si>
    <t>/content/drive/MyDrive/thesis_project/thesis/outputs/exp10_svm_ready/fusion_svm_crf_ready_results_20260807_123909.xlsx</t>
  </si>
  <si>
    <t>/content/drive/MyDrive/thesis_project/thesis/outputs/exp10_svm_ready/fusion_svm_crf_ready_20260807_123912.json</t>
  </si>
  <si>
    <t>/content/drive/MyDrive/thesis_project/thesis/outputs/exp10_svm_ready/fusion_svm_crf_ready_results_20260807_123911.xlsx</t>
  </si>
  <si>
    <t>/content/drive/MyDrive/thesis_project/thesis/outputs/exp10_svm_ready/fusion_svm_crf_ready_20260807_123914.json</t>
  </si>
  <si>
    <t>/content/drive/MyDrive/thesis_project/thesis/outputs/exp10_svm_ready/fusion_svm_crf_ready_results_20260807_123913.xlsx</t>
  </si>
  <si>
    <t>/content/drive/MyDrive/thesis_project/thesis/outputs/exp10_svm_ready/fusion_svm_crf_ready_20260807_123917.json</t>
  </si>
  <si>
    <t>/content/drive/MyDrive/thesis_project/thesis/outputs/exp10_svm_ready/fusion_svm_crf_ready_results_20260807_123916.xlsx</t>
  </si>
  <si>
    <t>/content/drive/MyDrive/thesis_project/thesis/outputs/exp10_svm_ready/fusion_svm_crf_ready_20260807_123920.json</t>
  </si>
  <si>
    <t>/content/drive/MyDrive/thesis_project/thesis/outputs/exp10_svm_ready/fusion_svm_crf_ready_results_20260807_123918.xlsx</t>
  </si>
  <si>
    <t>/content/drive/MyDrive/thesis_project/thesis/outputs/exp10_svm_ready/fusion_svm_crf_ready_20260807_123922.json</t>
  </si>
  <si>
    <t>/content/drive/MyDrive/thesis_project/thesis/outputs/exp10_svm_ready/fusion_svm_crf_ready_results_20260807_123922.xlsx</t>
  </si>
  <si>
    <t>/content/drive/MyDrive/thesis_project/thesis/outputs/exp10_svm_ready/fusion_svm_crf_ready_20260807_123925.json</t>
  </si>
  <si>
    <t>/content/drive/MyDrive/thesis_project/thesis/outputs/exp10_svm_ready/fusion_svm_crf_ready_results_20260807_123924.xlsx</t>
  </si>
  <si>
    <t>/content/drive/MyDrive/thesis_project/thesis/outputs/exp10_svm_ready/fusion_svm_crf_ready_20260807_123927.json</t>
  </si>
  <si>
    <t>/content/drive/MyDrive/thesis_project/thesis/outputs/exp10_svm_ready/fusion_svm_crf_ready_results_20260807_123926.xlsx</t>
  </si>
  <si>
    <t>/content/drive/MyDrive/thesis_project/thesis/outputs/exp10_svm_ready/fusion_svm_crf_ready_20260807_123930.json</t>
  </si>
  <si>
    <t>/content/drive/MyDrive/thesis_project/thesis/outputs/exp10_svm_ready/fusion_svm_crf_ready_results_20260807_123928.xlsx</t>
  </si>
  <si>
    <t>/content/drive/MyDrive/thesis_project/thesis/outputs/exp10_svm_ready/fusion_svm_crf_ready_20260807_123932.json</t>
  </si>
  <si>
    <t>/content/drive/MyDrive/thesis_project/thesis/outputs/exp10_svm_ready/fusion_svm_crf_ready_results_20260807_123931.xlsx</t>
  </si>
  <si>
    <t>/content/drive/MyDrive/thesis_project/thesis/outputs/exp10_svm_ready/fusion_svm_crf_ready_20260807_123936.json</t>
  </si>
  <si>
    <t>/content/drive/MyDrive/thesis_project/thesis/outputs/exp10_svm_ready/fusion_svm_crf_ready_results_20260807_123933.xlsx</t>
  </si>
  <si>
    <t>/content/drive/MyDrive/thesis_project/thesis/outputs/exp10_svm_ready/fusion_svm_crf_ready_20260807_123938.json</t>
  </si>
  <si>
    <t>/content/drive/MyDrive/thesis_project/thesis/outputs/exp10_svm_ready/fusion_svm_crf_ready_results_20260807_123937.xlsx</t>
  </si>
  <si>
    <t>/content/drive/MyDrive/thesis_project/thesis/outputs/exp10_svm_ready/fusion_svm_crf_ready_20260807_123940.json</t>
  </si>
  <si>
    <t>/content/drive/MyDrive/thesis_project/thesis/outputs/exp10_svm_ready/fusion_svm_crf_ready_results_20260807_123939.xlsx</t>
  </si>
  <si>
    <t>/content/drive/MyDrive/thesis_project/thesis/outputs/exp10_svm_ready/fusion_svm_crf_ready_20260807_123943.json</t>
  </si>
  <si>
    <t>/content/drive/MyDrive/thesis_project/thesis/outputs/exp10_svm_ready/fusion_svm_crf_ready_results_20260807_123941.xlsx</t>
  </si>
  <si>
    <t>/content/drive/MyDrive/thesis_project/thesis/outputs/exp10_svm_ready/fusion_svm_crf_ready_20260807_123945.json</t>
  </si>
  <si>
    <t>/content/drive/MyDrive/thesis_project/thesis/outputs/exp10_svm_ready/fusion_svm_crf_ready_results_20260807_123944.xlsx</t>
  </si>
  <si>
    <t>/content/drive/MyDrive/thesis_project/thesis/outputs/exp10_svm_ready/fusion_svm_crf_ready_20260807_123948.json</t>
  </si>
  <si>
    <t>/content/drive/MyDrive/thesis_project/thesis/outputs/exp10_svm_ready/fusion_svm_crf_ready_results_20260807_123946.xlsx</t>
  </si>
  <si>
    <t>/content/drive/MyDrive/thesis_project/thesis/outputs/exp10_svm_ready/fusion_svm_crf_ready_20260807_123951.json</t>
  </si>
  <si>
    <t>/content/drive/MyDrive/thesis_project/thesis/outputs/exp10_svm_ready/fusion_svm_crf_ready_results_20260807_123950.xlsx</t>
  </si>
  <si>
    <t>/content/drive/MyDrive/thesis_project/thesis/outputs/exp10_svm_ready/fusion_svm_crf_ready_20260807_123954.json</t>
  </si>
  <si>
    <t>/content/drive/MyDrive/thesis_project/thesis/outputs/exp10_svm_ready/fusion_svm_crf_ready_results_20260807_123952.xlsx</t>
  </si>
  <si>
    <t>/content/drive/MyDrive/thesis_project/thesis/outputs/exp10_svm_ready/fusion_svm_crf_ready_20260807_123956.json</t>
  </si>
  <si>
    <t>/content/drive/MyDrive/thesis_project/thesis/outputs/exp10_svm_ready/fusion_svm_crf_ready_results_20260807_123955.xlsx</t>
  </si>
  <si>
    <t>/content/drive/MyDrive/thesis_project/thesis/outputs/exp10_svm_ready/fusion_svm_crf_ready_20260807_123958.json</t>
  </si>
  <si>
    <t>/content/drive/MyDrive/thesis_project/thesis/outputs/exp10_svm_ready/fusion_svm_crf_ready_results_20260807_123957.xlsx</t>
  </si>
  <si>
    <t>/content/drive/MyDrive/thesis_project/thesis/outputs/exp10_svm_ready/fusion_svm_crf_ready_20260807_124001.json</t>
  </si>
  <si>
    <t>/content/drive/MyDrive/thesis_project/thesis/outputs/exp10_svm_ready/fusion_svm_crf_ready_results_20260807_124000.xlsx</t>
  </si>
  <si>
    <t>/content/drive/MyDrive/thesis_project/thesis/outputs/exp10_svm_ready/fusion_svm_crf_ready_20260807_124005.json</t>
  </si>
  <si>
    <t>/content/drive/MyDrive/thesis_project/thesis/outputs/exp10_svm_ready/fusion_svm_crf_ready_results_20260807_124003.xlsx</t>
  </si>
  <si>
    <t>/content/drive/MyDrive/thesis_project/thesis/outputs/exp10_svm_ready/fusion_svm_crf_ready_20260807_124007.json</t>
  </si>
  <si>
    <t>/content/drive/MyDrive/thesis_project/thesis/outputs/exp10_svm_ready/fusion_svm_crf_ready_results_20260807_124006.xlsx</t>
  </si>
  <si>
    <t>/content/drive/MyDrive/thesis_project/thesis/outputs/exp10_svm_ready/fusion_svm_crf_ready_20260807_124009.json</t>
  </si>
  <si>
    <t>/content/drive/MyDrive/thesis_project/thesis/outputs/exp10_svm_ready/fusion_svm_crf_ready_results_20260807_124008.xlsx</t>
  </si>
  <si>
    <t>/content/drive/MyDrive/thesis_project/thesis/outputs/exp10_svm_ready/fusion_svm_crf_ready_20260807_124012.json</t>
  </si>
  <si>
    <t>/content/drive/MyDrive/thesis_project/thesis/outputs/exp10_svm_ready/fusion_svm_crf_ready_results_20260807_124010.xlsx</t>
  </si>
  <si>
    <t>/content/drive/MyDrive/thesis_project/thesis/outputs/exp10_svm_ready/fusion_svm_crf_ready_20260807_124015.json</t>
  </si>
  <si>
    <t>/content/drive/MyDrive/thesis_project/thesis/outputs/exp10_svm_ready/fusion_svm_crf_ready_results_20260807_124013.xlsx</t>
  </si>
  <si>
    <t>/content/drive/MyDrive/thesis_project/thesis/outputs/exp10_svm_ready/fusion_svm_crf_ready_20260807_124018.json</t>
  </si>
  <si>
    <t>/content/drive/MyDrive/thesis_project/thesis/outputs/exp10_svm_ready/fusion_svm_crf_ready_results_20260807_124016.xlsx</t>
  </si>
  <si>
    <t>/content/drive/MyDrive/thesis_project/thesis/outputs/exp10_svm_ready/fusion_svm_crf_ready_20260807_124020.json</t>
  </si>
  <si>
    <t>/content/drive/MyDrive/thesis_project/thesis/outputs/exp10_svm_ready/fusion_svm_crf_ready_results_20260807_124019.xlsx</t>
  </si>
  <si>
    <t>/content/drive/MyDrive/thesis_project/thesis/outputs/exp10_svm_ready/fusion_svm_crf_ready_20260807_124022.json</t>
  </si>
  <si>
    <t>/content/drive/MyDrive/thesis_project/thesis/outputs/exp10_svm_ready/fusion_svm_crf_ready_results_20260807_124021.xlsx</t>
  </si>
  <si>
    <t>/content/drive/MyDrive/thesis_project/thesis/outputs/exp10_svm_ready/fusion_svm_crf_ready_20260807_124025.json</t>
  </si>
  <si>
    <t>/content/drive/MyDrive/thesis_project/thesis/outputs/exp10_svm_ready/fusion_svm_crf_ready_results_20260807_124024.xlsx</t>
  </si>
  <si>
    <t>/content/drive/MyDrive/thesis_project/thesis/outputs/exp10_svm_ready/fusion_svm_crf_ready_20260807_124028.json</t>
  </si>
  <si>
    <t>/content/drive/MyDrive/thesis_project/thesis/outputs/exp10_svm_ready/fusion_svm_crf_ready_results_20260807_124026.xlsx</t>
  </si>
  <si>
    <t>/content/drive/MyDrive/thesis_project/thesis/outputs/exp10_svm_ready/fusion_svm_crf_ready_20260807_124031.json</t>
  </si>
  <si>
    <t>/content/drive/MyDrive/thesis_project/thesis/outputs/exp10_svm_ready/fusion_svm_crf_ready_results_20260807_124029.xlsx</t>
  </si>
  <si>
    <t>/content/drive/MyDrive/thesis_project/thesis/outputs/exp10_svm_ready/fusion_svm_crf_ready_20260807_124033.json</t>
  </si>
  <si>
    <t>/content/drive/MyDrive/thesis_project/thesis/outputs/exp10_svm_ready/fusion_svm_crf_ready_results_20260807_124032.xlsx</t>
  </si>
  <si>
    <t>/content/drive/MyDrive/thesis_project/thesis/outputs/exp10_svm_ready/fusion_svm_crf_ready_20260807_124036.json</t>
  </si>
  <si>
    <t>/content/drive/MyDrive/thesis_project/thesis/outputs/exp10_svm_ready/fusion_svm_crf_ready_results_20260807_124034.xlsx</t>
  </si>
  <si>
    <t>/content/drive/MyDrive/thesis_project/thesis/outputs/exp10_svm_ready/fusion_svm_crf_ready_20260807_124038.json</t>
  </si>
  <si>
    <t>/content/drive/MyDrive/thesis_project/thesis/outputs/exp10_svm_ready/fusion_svm_crf_ready_results_20260807_124037.xlsx</t>
  </si>
  <si>
    <t>/content/drive/MyDrive/thesis_project/thesis/outputs/exp10_svm_ready/fusion_svm_crf_ready_20260807_124040.json</t>
  </si>
  <si>
    <t>/content/drive/MyDrive/thesis_project/thesis/outputs/exp10_svm_ready/fusion_svm_crf_ready_results_20260807_124039.xlsx</t>
  </si>
  <si>
    <t>/content/drive/MyDrive/thesis_project/thesis/outputs/exp10_svm_ready/fusion_svm_crf_ready_20260807_124044.json</t>
  </si>
  <si>
    <t>/content/drive/MyDrive/thesis_project/thesis/outputs/exp10_svm_ready/fusion_svm_crf_ready_results_20260807_124042.xlsx</t>
  </si>
  <si>
    <t>/content/drive/MyDrive/thesis_project/thesis/outputs/exp10_svm_ready/fusion_svm_crf_ready_20260807_124046.json</t>
  </si>
  <si>
    <t>/content/drive/MyDrive/thesis_project/thesis/outputs/exp10_svm_ready/fusion_svm_crf_ready_results_20260807_124045.xlsx</t>
  </si>
  <si>
    <t>/content/drive/MyDrive/thesis_project/thesis/outputs/exp10_svm_ready/fusion_svm_crf_ready_20260807_124049.json</t>
  </si>
  <si>
    <t>/content/drive/MyDrive/thesis_project/thesis/outputs/exp10_svm_ready/fusion_svm_crf_ready_results_20260807_124048.xlsx</t>
  </si>
  <si>
    <t>conll2003_bert__small_300__before_exp01_baseline__seed42__aug</t>
  </si>
  <si>
    <t>conll2003_bert__small_300__before_exp01_baseline__augmented</t>
  </si>
  <si>
    <t>small_300 / Baseline (simple random split) (augmented)</t>
  </si>
  <si>
    <t>[CoNLL-2003 + bert-base-uncased] [small_300] Baseline (simple random split) [augmented] [seed 42]</t>
  </si>
  <si>
    <t>small_300 / Baseline (simple random split) [s42] +aug</t>
  </si>
  <si>
    <t>Regular NER with DictaBERT — LLM mask-fill augmented (exp08)</t>
  </si>
  <si>
    <t>/content/drive/MyDrive/thesis_project/thesis/outputs/exp10_regular/regular_ner_crf_20260807_132928.json</t>
  </si>
  <si>
    <t>/content/drive/MyDrive/thesis_project/thesis/outputs/exp10_regular/regular_ner_crf_results_20260807_132927.xlsx</t>
  </si>
  <si>
    <t>conll2003_bert__small_300__before_exp01_baseline__seed43__aug</t>
  </si>
  <si>
    <t>[CoNLL-2003 + bert-base-uncased] [small_300] Baseline (simple random split) [augmented] [seed 43]</t>
  </si>
  <si>
    <t>small_300 / Baseline (simple random split) [s43] +aug</t>
  </si>
  <si>
    <t>/content/drive/MyDrive/thesis_project/thesis/outputs/exp10_regular/regular_ner_crf_20260807_133305.json</t>
  </si>
  <si>
    <t>/content/drive/MyDrive/thesis_project/thesis/outputs/exp10_regular/regular_ner_crf_results_20260807_133305.xlsx</t>
  </si>
  <si>
    <t>conll2003_bert__small_300__before_exp01_baseline__seed44__aug</t>
  </si>
  <si>
    <t>[CoNLL-2003 + bert-base-uncased] [small_300] Baseline (simple random split) [augmented] [seed 44]</t>
  </si>
  <si>
    <t>small_300 / Baseline (simple random split) [s44] +aug</t>
  </si>
  <si>
    <t>/content/drive/MyDrive/thesis_project/thesis/outputs/exp10_regular/regular_ner_crf_20260807_133637.json</t>
  </si>
  <si>
    <t>/content/drive/MyDrive/thesis_project/thesis/outputs/exp10_regular/regular_ner_crf_results_20260807_133637.xlsx</t>
  </si>
  <si>
    <t>conll2003_bert__small_300__before_exp01_baseline__seed45__aug</t>
  </si>
  <si>
    <t>[CoNLL-2003 + bert-base-uncased] [small_300] Baseline (simple random split) [augmented] [seed 45]</t>
  </si>
  <si>
    <t>small_300 / Baseline (simple random split) [s45] +aug</t>
  </si>
  <si>
    <t>/content/drive/MyDrive/thesis_project/thesis/outputs/exp10_regular/regular_ner_crf_20260807_134000.json</t>
  </si>
  <si>
    <t>/content/drive/MyDrive/thesis_project/thesis/outputs/exp10_regular/regular_ner_crf_results_20260807_134000.xlsx</t>
  </si>
  <si>
    <t>conll2003_bert__small_300__before_exp01_baseline__seed46__aug</t>
  </si>
  <si>
    <t>[CoNLL-2003 + bert-base-uncased] [small_300] Baseline (simple random split) [augmented] [seed 46]</t>
  </si>
  <si>
    <t>small_300 / Baseline (simple random split) [s46] +aug</t>
  </si>
  <si>
    <t>/content/drive/MyDrive/thesis_project/thesis/outputs/exp10_regular/regular_ner_crf_20260807_134327.json</t>
  </si>
  <si>
    <t>/content/drive/MyDrive/thesis_project/thesis/outputs/exp10_regular/regular_ner_crf_results_20260807_134327.xlsx</t>
  </si>
  <si>
    <t>conll2003_bert__small_300__before_exp01_baseline__seed47__aug</t>
  </si>
  <si>
    <t>[CoNLL-2003 + bert-base-uncased] [small_300] Baseline (simple random split) [augmented] [seed 47]</t>
  </si>
  <si>
    <t>small_300 / Baseline (simple random split) [s47] +aug</t>
  </si>
  <si>
    <t>/content/drive/MyDrive/thesis_project/thesis/outputs/exp10_regular/regular_ner_crf_20260807_134628.json</t>
  </si>
  <si>
    <t>/content/drive/MyDrive/thesis_project/thesis/outputs/exp10_regular/regular_ner_crf_results_20260807_134628.xlsx</t>
  </si>
  <si>
    <t>conll2003_bert__small_300__before_exp01_baseline__seed48__aug</t>
  </si>
  <si>
    <t>[CoNLL-2003 + bert-base-uncased] [small_300] Baseline (simple random split) [augmented] [seed 48]</t>
  </si>
  <si>
    <t>small_300 / Baseline (simple random split) [s48] +aug</t>
  </si>
  <si>
    <t>/content/drive/MyDrive/thesis_project/thesis/outputs/exp10_regular/regular_ner_crf_20260807_134946.json</t>
  </si>
  <si>
    <t>/content/drive/MyDrive/thesis_project/thesis/outputs/exp10_regular/regular_ner_crf_results_20260807_134946.xlsx</t>
  </si>
  <si>
    <t>conll2003_bert__small_300__before_exp01_baseline__seed49__aug</t>
  </si>
  <si>
    <t>[CoNLL-2003 + bert-base-uncased] [small_300] Baseline (simple random split) [augmented] [seed 49]</t>
  </si>
  <si>
    <t>small_300 / Baseline (simple random split) [s49] +aug</t>
  </si>
  <si>
    <t>/content/drive/MyDrive/thesis_project/thesis/outputs/exp10_regular/regular_ner_crf_20260807_135241.json</t>
  </si>
  <si>
    <t>/content/drive/MyDrive/thesis_project/thesis/outputs/exp10_regular/regular_ner_crf_results_20260807_135241.xlsx</t>
  </si>
  <si>
    <t>conll2003_bert__small_300__before_exp01_baseline__seed50__aug</t>
  </si>
  <si>
    <t>[CoNLL-2003 + bert-base-uncased] [small_300] Baseline (simple random split) [augmented] [seed 50]</t>
  </si>
  <si>
    <t>small_300 / Baseline (simple random split) [s50] +aug</t>
  </si>
  <si>
    <t>/content/drive/MyDrive/thesis_project/thesis/outputs/exp10_regular/regular_ner_crf_20260807_135608.json</t>
  </si>
  <si>
    <t>/content/drive/MyDrive/thesis_project/thesis/outputs/exp10_regular/regular_ner_crf_results_20260807_135608.xlsx</t>
  </si>
  <si>
    <t>conll2003_bert__small_300__before_exp01_baseline__seed51__aug</t>
  </si>
  <si>
    <t>[CoNLL-2003 + bert-base-uncased] [small_300] Baseline (simple random split) [augmented] [seed 51]</t>
  </si>
  <si>
    <t>small_300 / Baseline (simple random split) [s51] +aug</t>
  </si>
  <si>
    <t>/content/drive/MyDrive/thesis_project/thesis/outputs/exp10_regular/regular_ner_crf_20260807_135941.json</t>
  </si>
  <si>
    <t>/content/drive/MyDrive/thesis_project/thesis/outputs/exp10_regular/regular_ner_crf_results_20260807_135941.xlsx</t>
  </si>
  <si>
    <t>conll2003_bert__small_300__before_exp01_baseline__seed52__aug</t>
  </si>
  <si>
    <t>[CoNLL-2003 + bert-base-uncased] [small_300] Baseline (simple random split) [augmented] [seed 52]</t>
  </si>
  <si>
    <t>small_300 / Baseline (simple random split) [s52] +aug</t>
  </si>
  <si>
    <t>/content/drive/MyDrive/thesis_project/thesis/outputs/exp10_regular/regular_ner_crf_20260807_140312.json</t>
  </si>
  <si>
    <t>/content/drive/MyDrive/thesis_project/thesis/outputs/exp10_regular/regular_ner_crf_results_20260807_140311.xlsx</t>
  </si>
  <si>
    <t>conll2003_bert__small_300__before_exp01_baseline__seed53__aug</t>
  </si>
  <si>
    <t>[CoNLL-2003 + bert-base-uncased] [small_300] Baseline (simple random split) [augmented] [seed 53]</t>
  </si>
  <si>
    <t>small_300 / Baseline (simple random split) [s53] +aug</t>
  </si>
  <si>
    <t>/content/drive/MyDrive/thesis_project/thesis/outputs/exp10_regular/regular_ner_crf_20260807_140604.json</t>
  </si>
  <si>
    <t>/content/drive/MyDrive/thesis_project/thesis/outputs/exp10_regular/regular_ner_crf_results_20260807_140603.xlsx</t>
  </si>
  <si>
    <t>conll2003_bert__small_300__before_exp01_baseline__seed54__aug</t>
  </si>
  <si>
    <t>[CoNLL-2003 + bert-base-uncased] [small_300] Baseline (simple random split) [augmented] [seed 54]</t>
  </si>
  <si>
    <t>small_300 / Baseline (simple random split) [s54] +aug</t>
  </si>
  <si>
    <t>/content/drive/MyDrive/thesis_project/thesis/outputs/exp10_regular/regular_ner_crf_20260807_140919.json</t>
  </si>
  <si>
    <t>/content/drive/MyDrive/thesis_project/thesis/outputs/exp10_regular/regular_ner_crf_results_20260807_140918.xlsx</t>
  </si>
  <si>
    <t>conll2003_bert__small_300__before_exp01_baseline__seed55__aug</t>
  </si>
  <si>
    <t>[CoNLL-2003 + bert-base-uncased] [small_300] Baseline (simple random split) [augmented] [seed 55]</t>
  </si>
  <si>
    <t>small_300 / Baseline (simple random split) [s55] +aug</t>
  </si>
  <si>
    <t>/content/drive/MyDrive/thesis_project/thesis/outputs/exp10_regular/regular_ner_crf_20260807_141246.json</t>
  </si>
  <si>
    <t>/content/drive/MyDrive/thesis_project/thesis/outputs/exp10_regular/regular_ner_crf_results_20260807_141246.xlsx</t>
  </si>
  <si>
    <t>conll2003_bert__small_300__before_exp01_baseline__seed56__aug</t>
  </si>
  <si>
    <t>[CoNLL-2003 + bert-base-uncased] [small_300] Baseline (simple random split) [augmented] [seed 56]</t>
  </si>
  <si>
    <t>small_300 / Baseline (simple random split) [s56] +aug</t>
  </si>
  <si>
    <t>/content/drive/MyDrive/thesis_project/thesis/outputs/exp10_regular/regular_ner_crf_20260807_141604.json</t>
  </si>
  <si>
    <t>/content/drive/MyDrive/thesis_project/thesis/outputs/exp10_regular/regular_ner_crf_results_20260807_141603.xlsx</t>
  </si>
  <si>
    <t>conll2003_bert__small_300__before_exp01_baseline__seed57__aug</t>
  </si>
  <si>
    <t>[CoNLL-2003 + bert-base-uncased] [small_300] Baseline (simple random split) [augmented] [seed 57]</t>
  </si>
  <si>
    <t>small_300 / Baseline (simple random split) [s57] +aug</t>
  </si>
  <si>
    <t>/content/drive/MyDrive/thesis_project/thesis/outputs/exp10_regular/regular_ner_crf_20260807_141930.json</t>
  </si>
  <si>
    <t>/content/drive/MyDrive/thesis_project/thesis/outputs/exp10_regular/regular_ner_crf_results_20260807_141929.xlsx</t>
  </si>
  <si>
    <t>conll2003_bert__small_300__before_exp01_baseline__seed58__aug</t>
  </si>
  <si>
    <t>[CoNLL-2003 + bert-base-uncased] [small_300] Baseline (simple random split) [augmented] [seed 58]</t>
  </si>
  <si>
    <t>small_300 / Baseline (simple random split) [s58] +aug</t>
  </si>
  <si>
    <t>/content/drive/MyDrive/thesis_project/thesis/outputs/exp10_regular/regular_ner_crf_20260807_142254.json</t>
  </si>
  <si>
    <t>/content/drive/MyDrive/thesis_project/thesis/outputs/exp10_regular/regular_ner_crf_results_20260807_142253.xlsx</t>
  </si>
  <si>
    <t>conll2003_bert__small_300__before_exp01_baseline__seed59__aug</t>
  </si>
  <si>
    <t>[CoNLL-2003 + bert-base-uncased] [small_300] Baseline (simple random split) [augmented] [seed 59]</t>
  </si>
  <si>
    <t>small_300 / Baseline (simple random split) [s59] +aug</t>
  </si>
  <si>
    <t>/content/drive/MyDrive/thesis_project/thesis/outputs/exp10_regular/regular_ner_crf_20260807_142607.json</t>
  </si>
  <si>
    <t>/content/drive/MyDrive/thesis_project/thesis/outputs/exp10_regular/regular_ner_crf_results_20260807_142607.xlsx</t>
  </si>
  <si>
    <t>conll2003_bert__small_300__before_exp01_baseline__seed60__aug</t>
  </si>
  <si>
    <t>[CoNLL-2003 + bert-base-uncased] [small_300] Baseline (simple random split) [augmented] [seed 60]</t>
  </si>
  <si>
    <t>small_300 / Baseline (simple random split) [s60] +aug</t>
  </si>
  <si>
    <t>/content/drive/MyDrive/thesis_project/thesis/outputs/exp10_regular/regular_ner_crf_20260807_142929.json</t>
  </si>
  <si>
    <t>/content/drive/MyDrive/thesis_project/thesis/outputs/exp10_regular/regular_ner_crf_results_20260807_142929.xlsx</t>
  </si>
  <si>
    <t>conll2003_bert__small_300__before_exp01_baseline__seed61__aug</t>
  </si>
  <si>
    <t>[CoNLL-2003 + bert-base-uncased] [small_300] Baseline (simple random split) [augmented] [seed 61]</t>
  </si>
  <si>
    <t>small_300 / Baseline (simple random split) [s61] +aug</t>
  </si>
  <si>
    <t>/content/drive/MyDrive/thesis_project/thesis/outputs/exp10_regular/regular_ner_crf_20260807_143256.json</t>
  </si>
  <si>
    <t>/content/drive/MyDrive/thesis_project/thesis/outputs/exp10_regular/regular_ner_crf_results_20260807_143256.xlsx</t>
  </si>
  <si>
    <t>conll2003_bert__small_300__after_multilabel_iterative_paper__seed42__aug</t>
  </si>
  <si>
    <t>conll2003_bert__small_300__after_multilabel_iterative_paper__augmented</t>
  </si>
  <si>
    <t>small_300 / Multilabel stratified (paper-style) (augmented)</t>
  </si>
  <si>
    <t>[CoNLL-2003 + bert-base-uncased] [small_300] Multilabel stratified (paper-style) [augmented] [seed 42]</t>
  </si>
  <si>
    <t>small_300 / Multilabel stratified (paper-style) [s42] +aug</t>
  </si>
  <si>
    <t>Paper-style iterative stratification: rarest-label-first with tie-breaks by per-label need, then fold capacity, then random — LLM mask-fill augmented (exp08)</t>
  </si>
  <si>
    <t>/content/drive/MyDrive/thesis_project/thesis/outputs/exp10_regular/regular_ner_crf_20260807_143547.json</t>
  </si>
  <si>
    <t>/content/drive/MyDrive/thesis_project/thesis/outputs/exp10_regular/regular_ner_crf_results_20260807_143547.xlsx</t>
  </si>
  <si>
    <t>conll2003_bert__small_300__after_multilabel_iterative_paper__seed43__aug</t>
  </si>
  <si>
    <t>[CoNLL-2003 + bert-base-uncased] [small_300] Multilabel stratified (paper-style) [augmented] [seed 43]</t>
  </si>
  <si>
    <t>small_300 / Multilabel stratified (paper-style) [s43] +aug</t>
  </si>
  <si>
    <t>/content/drive/MyDrive/thesis_project/thesis/outputs/exp10_regular/regular_ner_crf_20260807_143911.json</t>
  </si>
  <si>
    <t>/content/drive/MyDrive/thesis_project/thesis/outputs/exp10_regular/regular_ner_crf_results_20260807_143911.xlsx</t>
  </si>
  <si>
    <t>conll2003_bert__small_300__after_multilabel_iterative_paper__seed44__aug</t>
  </si>
  <si>
    <t>[CoNLL-2003 + bert-base-uncased] [small_300] Multilabel stratified (paper-style) [augmented] [seed 44]</t>
  </si>
  <si>
    <t>small_300 / Multilabel stratified (paper-style) [s44] +aug</t>
  </si>
  <si>
    <t>/content/drive/MyDrive/thesis_project/thesis/outputs/exp10_regular/regular_ner_crf_20260807_144228.json</t>
  </si>
  <si>
    <t>/content/drive/MyDrive/thesis_project/thesis/outputs/exp10_regular/regular_ner_crf_results_20260807_144228.xlsx</t>
  </si>
  <si>
    <t>conll2003_bert__small_300__after_multilabel_iterative_paper__seed45__aug</t>
  </si>
  <si>
    <t>[CoNLL-2003 + bert-base-uncased] [small_300] Multilabel stratified (paper-style) [augmented] [seed 45]</t>
  </si>
  <si>
    <t>small_300 / Multilabel stratified (paper-style) [s45] +aug</t>
  </si>
  <si>
    <t>/content/drive/MyDrive/thesis_project/thesis/outputs/exp10_regular/regular_ner_crf_20260807_144554.json</t>
  </si>
  <si>
    <t>/content/drive/MyDrive/thesis_project/thesis/outputs/exp10_regular/regular_ner_crf_results_20260807_144554.xlsx</t>
  </si>
  <si>
    <t>conll2003_bert__small_300__after_multilabel_iterative_paper__seed46__aug</t>
  </si>
  <si>
    <t>[CoNLL-2003 + bert-base-uncased] [small_300] Multilabel stratified (paper-style) [augmented] [seed 46]</t>
  </si>
  <si>
    <t>small_300 / Multilabel stratified (paper-style) [s46] +aug</t>
  </si>
  <si>
    <t>/content/drive/MyDrive/thesis_project/thesis/outputs/exp10_regular/regular_ner_crf_20260807_144925.json</t>
  </si>
  <si>
    <t>/content/drive/MyDrive/thesis_project/thesis/outputs/exp10_regular/regular_ner_crf_results_20260807_144925.xlsx</t>
  </si>
  <si>
    <t>conll2003_bert__small_300__after_multilabel_iterative_paper__seed47__aug</t>
  </si>
  <si>
    <t>[CoNLL-2003 + bert-base-uncased] [small_300] Multilabel stratified (paper-style) [augmented] [seed 47]</t>
  </si>
  <si>
    <t>small_300 / Multilabel stratified (paper-style) [s47] +aug</t>
  </si>
  <si>
    <t>/content/drive/MyDrive/thesis_project/thesis/outputs/exp10_regular/regular_ner_crf_20260807_145257.json</t>
  </si>
  <si>
    <t>/content/drive/MyDrive/thesis_project/thesis/outputs/exp10_regular/regular_ner_crf_results_20260807_145257.xlsx</t>
  </si>
  <si>
    <t>conll2003_bert__small_300__after_multilabel_iterative_paper__seed48__aug</t>
  </si>
  <si>
    <t>[CoNLL-2003 + bert-base-uncased] [small_300] Multilabel stratified (paper-style) [augmented] [seed 48]</t>
  </si>
  <si>
    <t>small_300 / Multilabel stratified (paper-style) [s48] +aug</t>
  </si>
  <si>
    <t>/content/drive/MyDrive/thesis_project/thesis/outputs/exp10_regular/regular_ner_crf_20260807_145617.json</t>
  </si>
  <si>
    <t>/content/drive/MyDrive/thesis_project/thesis/outputs/exp10_regular/regular_ner_crf_results_20260807_145617.xlsx</t>
  </si>
  <si>
    <t>conll2003_bert__small_300__after_multilabel_iterative_paper__seed49__aug</t>
  </si>
  <si>
    <t>[CoNLL-2003 + bert-base-uncased] [small_300] Multilabel stratified (paper-style) [augmented] [seed 49]</t>
  </si>
  <si>
    <t>small_300 / Multilabel stratified (paper-style) [s49] +aug</t>
  </si>
  <si>
    <t>/content/drive/MyDrive/thesis_project/thesis/outputs/exp10_regular/regular_ner_crf_20260807_145931.json</t>
  </si>
  <si>
    <t>/content/drive/MyDrive/thesis_project/thesis/outputs/exp10_regular/regular_ner_crf_results_20260807_145931.xlsx</t>
  </si>
  <si>
    <t>conll2003_bert__small_300__after_multilabel_iterative_paper__seed50__aug</t>
  </si>
  <si>
    <t>[CoNLL-2003 + bert-base-uncased] [small_300] Multilabel stratified (paper-style) [augmented] [seed 50]</t>
  </si>
  <si>
    <t>small_300 / Multilabel stratified (paper-style) [s50] +aug</t>
  </si>
  <si>
    <t>/content/drive/MyDrive/thesis_project/thesis/outputs/exp10_regular/regular_ner_crf_20260807_150259.json</t>
  </si>
  <si>
    <t>/content/drive/MyDrive/thesis_project/thesis/outputs/exp10_regular/regular_ner_crf_results_20260807_150258.xlsx</t>
  </si>
  <si>
    <t>conll2003_bert__small_300__after_multilabel_iterative_paper__seed51__aug</t>
  </si>
  <si>
    <t>[CoNLL-2003 + bert-base-uncased] [small_300] Multilabel stratified (paper-style) [augmented] [seed 51]</t>
  </si>
  <si>
    <t>small_300 / Multilabel stratified (paper-style) [s51] +aug</t>
  </si>
  <si>
    <t>/content/drive/MyDrive/thesis_project/thesis/outputs/exp10_regular/regular_ner_crf_20260807_150628.json</t>
  </si>
  <si>
    <t>/content/drive/MyDrive/thesis_project/thesis/outputs/exp10_regular/regular_ner_crf_results_20260807_150627.xlsx</t>
  </si>
  <si>
    <t>conll2003_bert__small_300__after_multilabel_iterative_paper__seed52__aug</t>
  </si>
  <si>
    <t>[CoNLL-2003 + bert-base-uncased] [small_300] Multilabel stratified (paper-style) [augmented] [seed 52]</t>
  </si>
  <si>
    <t>small_300 / Multilabel stratified (paper-style) [s52] +aug</t>
  </si>
  <si>
    <t>/content/drive/MyDrive/thesis_project/thesis/outputs/exp10_regular/regular_ner_crf_20260807_150948.json</t>
  </si>
  <si>
    <t>/content/drive/MyDrive/thesis_project/thesis/outputs/exp10_regular/regular_ner_crf_results_20260807_150948.xlsx</t>
  </si>
  <si>
    <t>conll2003_bert__small_300__after_multilabel_iterative_paper__seed53__aug</t>
  </si>
  <si>
    <t>[CoNLL-2003 + bert-base-uncased] [small_300] Multilabel stratified (paper-style) [augmented] [seed 53]</t>
  </si>
  <si>
    <t>small_300 / Multilabel stratified (paper-style) [s53] +aug</t>
  </si>
  <si>
    <t>/content/drive/MyDrive/thesis_project/thesis/outputs/exp10_regular/regular_ner_crf_20260807_151310.json</t>
  </si>
  <si>
    <t>/content/drive/MyDrive/thesis_project/thesis/outputs/exp10_regular/regular_ner_crf_results_20260807_151309.xlsx</t>
  </si>
  <si>
    <t>conll2003_bert__small_300__after_multilabel_iterative_paper__seed54__aug</t>
  </si>
  <si>
    <t>[CoNLL-2003 + bert-base-uncased] [small_300] Multilabel stratified (paper-style) [augmented] [seed 54]</t>
  </si>
  <si>
    <t>small_300 / Multilabel stratified (paper-style) [s54] +aug</t>
  </si>
  <si>
    <t>/content/drive/MyDrive/thesis_project/thesis/outputs/exp10_regular/regular_ner_crf_20260807_151637.json</t>
  </si>
  <si>
    <t>/content/drive/MyDrive/thesis_project/thesis/outputs/exp10_regular/regular_ner_crf_results_20260807_151636.xlsx</t>
  </si>
  <si>
    <t>conll2003_bert__small_300__after_multilabel_iterative_paper__seed55__aug</t>
  </si>
  <si>
    <t>[CoNLL-2003 + bert-base-uncased] [small_300] Multilabel stratified (paper-style) [augmented] [seed 55]</t>
  </si>
  <si>
    <t>small_300 / Multilabel stratified (paper-style) [s55] +aug</t>
  </si>
  <si>
    <t>/content/drive/MyDrive/thesis_project/thesis/outputs/exp10_regular/regular_ner_crf_20260807_152004.json</t>
  </si>
  <si>
    <t>/content/drive/MyDrive/thesis_project/thesis/outputs/exp10_regular/regular_ner_crf_results_20260807_152004.xlsx</t>
  </si>
  <si>
    <t>conll2003_bert__small_300__after_multilabel_iterative_paper__seed56__aug</t>
  </si>
  <si>
    <t>[CoNLL-2003 + bert-base-uncased] [small_300] Multilabel stratified (paper-style) [augmented] [seed 56]</t>
  </si>
  <si>
    <t>small_300 / Multilabel stratified (paper-style) [s56] +aug</t>
  </si>
  <si>
    <t>/content/drive/MyDrive/thesis_project/thesis/outputs/exp10_regular/regular_ner_crf_20260807_152315.json</t>
  </si>
  <si>
    <t>/content/drive/MyDrive/thesis_project/thesis/outputs/exp10_regular/regular_ner_crf_results_20260807_152315.xlsx</t>
  </si>
  <si>
    <t>conll2003_bert__small_300__after_multilabel_iterative_paper__seed57__aug</t>
  </si>
  <si>
    <t>[CoNLL-2003 + bert-base-uncased] [small_300] Multilabel stratified (paper-style) [augmented] [seed 57]</t>
  </si>
  <si>
    <t>small_300 / Multilabel stratified (paper-style) [s57] +aug</t>
  </si>
  <si>
    <t>/content/drive/MyDrive/thesis_project/thesis/outputs/exp10_regular/regular_ner_crf_20260807_152636.json</t>
  </si>
  <si>
    <t>/content/drive/MyDrive/thesis_project/thesis/outputs/exp10_regular/regular_ner_crf_results_20260807_152636.xlsx</t>
  </si>
  <si>
    <t>conll2003_bert__small_300__after_multilabel_iterative_paper__seed58__aug</t>
  </si>
  <si>
    <t>[CoNLL-2003 + bert-base-uncased] [small_300] Multilabel stratified (paper-style) [augmented] [seed 58]</t>
  </si>
  <si>
    <t>small_300 / Multilabel stratified (paper-style) [s58] +aug</t>
  </si>
  <si>
    <t>/content/drive/MyDrive/thesis_project/thesis/outputs/exp10_regular/regular_ner_crf_20260807_152955.json</t>
  </si>
  <si>
    <t>/content/drive/MyDrive/thesis_project/thesis/outputs/exp10_regular/regular_ner_crf_results_20260807_152955.xlsx</t>
  </si>
  <si>
    <t>conll2003_bert__small_300__after_multilabel_iterative_paper__seed59__aug</t>
  </si>
  <si>
    <t>[CoNLL-2003 + bert-base-uncased] [small_300] Multilabel stratified (paper-style) [augmented] [seed 59]</t>
  </si>
  <si>
    <t>small_300 / Multilabel stratified (paper-style) [s59] +aug</t>
  </si>
  <si>
    <t>/content/drive/MyDrive/thesis_project/thesis/outputs/exp10_regular/regular_ner_crf_20260807_153322.json</t>
  </si>
  <si>
    <t>/content/drive/MyDrive/thesis_project/thesis/outputs/exp10_regular/regular_ner_crf_results_20260807_153322.xlsx</t>
  </si>
  <si>
    <t>conll2003_bert__small_300__after_multilabel_iterative_paper__seed60__aug</t>
  </si>
  <si>
    <t>[CoNLL-2003 + bert-base-uncased] [small_300] Multilabel stratified (paper-style) [augmented] [seed 60]</t>
  </si>
  <si>
    <t>small_300 / Multilabel stratified (paper-style) [s60] +aug</t>
  </si>
  <si>
    <t>/content/drive/MyDrive/thesis_project/thesis/outputs/exp10_regular/regular_ner_crf_20260807_153653.json</t>
  </si>
  <si>
    <t>/content/drive/MyDrive/thesis_project/thesis/outputs/exp10_regular/regular_ner_crf_results_20260807_153652.xlsx</t>
  </si>
  <si>
    <t>conll2003_bert__small_300__after_multilabel_iterative_paper__seed61__aug</t>
  </si>
  <si>
    <t>[CoNLL-2003 + bert-base-uncased] [small_300] Multilabel stratified (paper-style) [augmented] [seed 61]</t>
  </si>
  <si>
    <t>small_300 / Multilabel stratified (paper-style) [s61] +aug</t>
  </si>
  <si>
    <t>/content/drive/MyDrive/thesis_project/thesis/outputs/exp10_regular/regular_ner_crf_20260807_154017.json</t>
  </si>
  <si>
    <t>/content/drive/MyDrive/thesis_project/thesis/outputs/exp10_regular/regular_ner_crf_results_20260807_154017.xlsx</t>
  </si>
  <si>
    <t>/content/drive/MyDrive/thesis_project/thesis/outputs/exp10_cascade/cascaded_pipeline_crf_20260807_133223.json</t>
  </si>
  <si>
    <t>/content/drive/MyDrive/thesis_project/thesis/outputs/exp10_cascade/cascaded_pipeline_crf_results_20260807_133222.xlsx</t>
  </si>
  <si>
    <t>/content/drive/MyDrive/thesis_project/thesis/outputs/exp10_cascade/cascaded_pipeline_crf_20260807_133558.json</t>
  </si>
  <si>
    <t>/content/drive/MyDrive/thesis_project/thesis/outputs/exp10_cascade/cascaded_pipeline_crf_results_20260807_133557.xlsx</t>
  </si>
  <si>
    <t>/content/drive/MyDrive/thesis_project/thesis/outputs/exp10_cascade/cascaded_pipeline_crf_20260807_133920.json</t>
  </si>
  <si>
    <t>/content/drive/MyDrive/thesis_project/thesis/outputs/exp10_cascade/cascaded_pipeline_crf_results_20260807_133919.xlsx</t>
  </si>
  <si>
    <t>/content/drive/MyDrive/thesis_project/thesis/outputs/exp10_cascade/cascaded_pipeline_crf_20260807_134246.json</t>
  </si>
  <si>
    <t>/content/drive/MyDrive/thesis_project/thesis/outputs/exp10_cascade/cascaded_pipeline_crf_results_20260807_134245.xlsx</t>
  </si>
  <si>
    <t>/content/drive/MyDrive/thesis_project/thesis/outputs/exp10_cascade/cascaded_pipeline_crf_20260807_134549.json</t>
  </si>
  <si>
    <t>/content/drive/MyDrive/thesis_project/thesis/outputs/exp10_cascade/cascaded_pipeline_crf_results_20260807_134548.xlsx</t>
  </si>
  <si>
    <t>/content/drive/MyDrive/thesis_project/thesis/outputs/exp10_cascade/cascaded_pipeline_crf_20260807_134908.json</t>
  </si>
  <si>
    <t>/content/drive/MyDrive/thesis_project/thesis/outputs/exp10_cascade/cascaded_pipeline_crf_results_20260807_134907.xlsx</t>
  </si>
  <si>
    <t>/content/drive/MyDrive/thesis_project/thesis/outputs/exp10_cascade/cascaded_pipeline_crf_20260807_135201.json</t>
  </si>
  <si>
    <t>/content/drive/MyDrive/thesis_project/thesis/outputs/exp10_cascade/cascaded_pipeline_crf_results_20260807_135200.xlsx</t>
  </si>
  <si>
    <t>/content/drive/MyDrive/thesis_project/thesis/outputs/exp10_cascade/cascaded_pipeline_crf_20260807_135528.json</t>
  </si>
  <si>
    <t>/content/drive/MyDrive/thesis_project/thesis/outputs/exp10_cascade/cascaded_pipeline_crf_results_20260807_135527.xlsx</t>
  </si>
  <si>
    <t>/content/drive/MyDrive/thesis_project/thesis/outputs/exp10_cascade/cascaded_pipeline_crf_20260807_135902.json</t>
  </si>
  <si>
    <t>/content/drive/MyDrive/thesis_project/thesis/outputs/exp10_cascade/cascaded_pipeline_crf_results_20260807_135901.xlsx</t>
  </si>
  <si>
    <t>/content/drive/MyDrive/thesis_project/thesis/outputs/exp10_cascade/cascaded_pipeline_crf_20260807_140232.json</t>
  </si>
  <si>
    <t>/content/drive/MyDrive/thesis_project/thesis/outputs/exp10_cascade/cascaded_pipeline_crf_results_20260807_140231.xlsx</t>
  </si>
  <si>
    <t>/content/drive/MyDrive/thesis_project/thesis/outputs/exp10_cascade/cascaded_pipeline_crf_20260807_140523.json</t>
  </si>
  <si>
    <t>/content/drive/MyDrive/thesis_project/thesis/outputs/exp10_cascade/cascaded_pipeline_crf_results_20260807_140522.xlsx</t>
  </si>
  <si>
    <t>/content/drive/MyDrive/thesis_project/thesis/outputs/exp10_cascade/cascaded_pipeline_crf_20260807_140838.json</t>
  </si>
  <si>
    <t>/content/drive/MyDrive/thesis_project/thesis/outputs/exp10_cascade/cascaded_pipeline_crf_results_20260807_140837.xlsx</t>
  </si>
  <si>
    <t>/content/drive/MyDrive/thesis_project/thesis/outputs/exp10_cascade/cascaded_pipeline_crf_20260807_141207.json</t>
  </si>
  <si>
    <t>/content/drive/MyDrive/thesis_project/thesis/outputs/exp10_cascade/cascaded_pipeline_crf_results_20260807_141206.xlsx</t>
  </si>
  <si>
    <t>/content/drive/MyDrive/thesis_project/thesis/outputs/exp10_cascade/cascaded_pipeline_crf_20260807_141524.json</t>
  </si>
  <si>
    <t>/content/drive/MyDrive/thesis_project/thesis/outputs/exp10_cascade/cascaded_pipeline_crf_results_20260807_141523.xlsx</t>
  </si>
  <si>
    <t>/content/drive/MyDrive/thesis_project/thesis/outputs/exp10_cascade/cascaded_pipeline_crf_20260807_141850.json</t>
  </si>
  <si>
    <t>/content/drive/MyDrive/thesis_project/thesis/outputs/exp10_cascade/cascaded_pipeline_crf_results_20260807_141848.xlsx</t>
  </si>
  <si>
    <t>/content/drive/MyDrive/thesis_project/thesis/outputs/exp10_cascade/cascaded_pipeline_crf_20260807_142218.json</t>
  </si>
  <si>
    <t>/content/drive/MyDrive/thesis_project/thesis/outputs/exp10_cascade/cascaded_pipeline_crf_results_20260807_142216.xlsx</t>
  </si>
  <si>
    <t>/content/drive/MyDrive/thesis_project/thesis/outputs/exp10_cascade/cascaded_pipeline_crf_20260807_142529.json</t>
  </si>
  <si>
    <t>/content/drive/MyDrive/thesis_project/thesis/outputs/exp10_cascade/cascaded_pipeline_crf_results_20260807_142527.xlsx</t>
  </si>
  <si>
    <t>/content/drive/MyDrive/thesis_project/thesis/outputs/exp10_cascade/cascaded_pipeline_crf_20260807_142849.json</t>
  </si>
  <si>
    <t>/content/drive/MyDrive/thesis_project/thesis/outputs/exp10_cascade/cascaded_pipeline_crf_results_20260807_142848.xlsx</t>
  </si>
  <si>
    <t>/content/drive/MyDrive/thesis_project/thesis/outputs/exp10_cascade/cascaded_pipeline_crf_20260807_143218.json</t>
  </si>
  <si>
    <t>/content/drive/MyDrive/thesis_project/thesis/outputs/exp10_cascade/cascaded_pipeline_crf_results_20260807_143217.xlsx</t>
  </si>
  <si>
    <t>/content/drive/MyDrive/thesis_project/thesis/outputs/exp10_cascade/cascaded_pipeline_crf_20260807_143507.json</t>
  </si>
  <si>
    <t>/content/drive/MyDrive/thesis_project/thesis/outputs/exp10_cascade/cascaded_pipeline_crf_results_20260807_143506.xlsx</t>
  </si>
  <si>
    <t>/content/drive/MyDrive/thesis_project/thesis/outputs/exp10_cascade/cascaded_pipeline_crf_20260807_143832.json</t>
  </si>
  <si>
    <t>/content/drive/MyDrive/thesis_project/thesis/outputs/exp10_cascade/cascaded_pipeline_crf_results_20260807_143831.xlsx</t>
  </si>
  <si>
    <t>/content/drive/MyDrive/thesis_project/thesis/outputs/exp10_cascade/cascaded_pipeline_crf_20260807_144149.json</t>
  </si>
  <si>
    <t>/content/drive/MyDrive/thesis_project/thesis/outputs/exp10_cascade/cascaded_pipeline_crf_results_20260807_144148.xlsx</t>
  </si>
  <si>
    <t>/content/drive/MyDrive/thesis_project/thesis/outputs/exp10_cascade/cascaded_pipeline_crf_20260807_144515.json</t>
  </si>
  <si>
    <t>/content/drive/MyDrive/thesis_project/thesis/outputs/exp10_cascade/cascaded_pipeline_crf_results_20260807_144513.xlsx</t>
  </si>
  <si>
    <t>/content/drive/MyDrive/thesis_project/thesis/outputs/exp10_cascade/cascaded_pipeline_crf_20260807_144845.json</t>
  </si>
  <si>
    <t>/content/drive/MyDrive/thesis_project/thesis/outputs/exp10_cascade/cascaded_pipeline_crf_results_20260807_144844.xlsx</t>
  </si>
  <si>
    <t>/content/drive/MyDrive/thesis_project/thesis/outputs/exp10_cascade/cascaded_pipeline_crf_20260807_145219.json</t>
  </si>
  <si>
    <t>/content/drive/MyDrive/thesis_project/thesis/outputs/exp10_cascade/cascaded_pipeline_crf_results_20260807_145218.xlsx</t>
  </si>
  <si>
    <t>/content/drive/MyDrive/thesis_project/thesis/outputs/exp10_cascade/cascaded_pipeline_crf_20260807_145539.json</t>
  </si>
  <si>
    <t>/content/drive/MyDrive/thesis_project/thesis/outputs/exp10_cascade/cascaded_pipeline_crf_results_20260807_145538.xlsx</t>
  </si>
  <si>
    <t>/content/drive/MyDrive/thesis_project/thesis/outputs/exp10_cascade/cascaded_pipeline_crf_20260807_145853.json</t>
  </si>
  <si>
    <t>/content/drive/MyDrive/thesis_project/thesis/outputs/exp10_cascade/cascaded_pipeline_crf_results_20260807_145852.xlsx</t>
  </si>
  <si>
    <t>/content/drive/MyDrive/thesis_project/thesis/outputs/exp10_cascade/cascaded_pipeline_crf_20260807_150218.json</t>
  </si>
  <si>
    <t>/content/drive/MyDrive/thesis_project/thesis/outputs/exp10_cascade/cascaded_pipeline_crf_results_20260807_150216.xlsx</t>
  </si>
  <si>
    <t>/content/drive/MyDrive/thesis_project/thesis/outputs/exp10_cascade/cascaded_pipeline_crf_20260807_150549.json</t>
  </si>
  <si>
    <t>/content/drive/MyDrive/thesis_project/thesis/outputs/exp10_cascade/cascaded_pipeline_crf_results_20260807_150548.xlsx</t>
  </si>
  <si>
    <t>/content/drive/MyDrive/thesis_project/thesis/outputs/exp10_cascade/cascaded_pipeline_crf_20260807_150909.json</t>
  </si>
  <si>
    <t>/content/drive/MyDrive/thesis_project/thesis/outputs/exp10_cascade/cascaded_pipeline_crf_results_20260807_150908.xlsx</t>
  </si>
  <si>
    <t>/content/drive/MyDrive/thesis_project/thesis/outputs/exp10_cascade/cascaded_pipeline_crf_20260807_151230.json</t>
  </si>
  <si>
    <t>/content/drive/MyDrive/thesis_project/thesis/outputs/exp10_cascade/cascaded_pipeline_crf_results_20260807_151229.xlsx</t>
  </si>
  <si>
    <t>/content/drive/MyDrive/thesis_project/thesis/outputs/exp10_cascade/cascaded_pipeline_crf_20260807_151557.json</t>
  </si>
  <si>
    <t>/content/drive/MyDrive/thesis_project/thesis/outputs/exp10_cascade/cascaded_pipeline_crf_results_20260807_151556.xlsx</t>
  </si>
  <si>
    <t>/content/drive/MyDrive/thesis_project/thesis/outputs/exp10_cascade/cascaded_pipeline_crf_20260807_151926.json</t>
  </si>
  <si>
    <t>/content/drive/MyDrive/thesis_project/thesis/outputs/exp10_cascade/cascaded_pipeline_crf_results_20260807_151925.xlsx</t>
  </si>
  <si>
    <t>/content/drive/MyDrive/thesis_project/thesis/outputs/exp10_cascade/cascaded_pipeline_crf_20260807_152238.json</t>
  </si>
  <si>
    <t>/content/drive/MyDrive/thesis_project/thesis/outputs/exp10_cascade/cascaded_pipeline_crf_results_20260807_152236.xlsx</t>
  </si>
  <si>
    <t>/content/drive/MyDrive/thesis_project/thesis/outputs/exp10_cascade/cascaded_pipeline_crf_20260807_152555.json</t>
  </si>
  <si>
    <t>/content/drive/MyDrive/thesis_project/thesis/outputs/exp10_cascade/cascaded_pipeline_crf_results_20260807_152553.xlsx</t>
  </si>
  <si>
    <t>/content/drive/MyDrive/thesis_project/thesis/outputs/exp10_cascade/cascaded_pipeline_crf_20260807_152914.json</t>
  </si>
  <si>
    <t>/content/drive/MyDrive/thesis_project/thesis/outputs/exp10_cascade/cascaded_pipeline_crf_results_20260807_152912.xlsx</t>
  </si>
  <si>
    <t>/content/drive/MyDrive/thesis_project/thesis/outputs/exp10_cascade/cascaded_pipeline_crf_20260807_153243.json</t>
  </si>
  <si>
    <t>/content/drive/MyDrive/thesis_project/thesis/outputs/exp10_cascade/cascaded_pipeline_crf_results_20260807_153242.xlsx</t>
  </si>
  <si>
    <t>/content/drive/MyDrive/thesis_project/thesis/outputs/exp10_cascade/cascaded_pipeline_crf_20260807_153612.json</t>
  </si>
  <si>
    <t>/content/drive/MyDrive/thesis_project/thesis/outputs/exp10_cascade/cascaded_pipeline_crf_results_20260807_153612.xlsx</t>
  </si>
  <si>
    <t>/content/drive/MyDrive/thesis_project/thesis/outputs/exp10_cascade/cascaded_pipeline_crf_20260807_153938.json</t>
  </si>
  <si>
    <t>/content/drive/MyDrive/thesis_project/thesis/outputs/exp10_cascade/cascaded_pipeline_crf_results_20260807_153937.xlsx</t>
  </si>
  <si>
    <t>/content/drive/MyDrive/thesis_project/thesis/outputs/exp10_cascade/cascaded_pipeline_crf_20260807_154300.json</t>
  </si>
  <si>
    <t>/content/drive/MyDrive/thesis_project/thesis/outputs/exp10_cascade/cascaded_pipeline_crf_results_20260807_154259.xlsx</t>
  </si>
  <si>
    <t>/content/drive/MyDrive/thesis_project/thesis/outputs/exp10_svm_ready/fusion_svm_crf_ready_20260807_154303.json</t>
  </si>
  <si>
    <t>/content/drive/MyDrive/thesis_project/thesis/outputs/exp10_svm_ready/fusion_svm_crf_ready_results_20260807_154303.xlsx</t>
  </si>
  <si>
    <t>/content/drive/MyDrive/thesis_project/thesis/outputs/exp10_svm_ready/fusion_svm_crf_ready_20260807_154306.json</t>
  </si>
  <si>
    <t>/content/drive/MyDrive/thesis_project/thesis/outputs/exp10_svm_ready/fusion_svm_crf_ready_results_20260807_154304.xlsx</t>
  </si>
  <si>
    <t>/content/drive/MyDrive/thesis_project/thesis/outputs/exp10_svm_ready/fusion_svm_crf_ready_20260807_154308.json</t>
  </si>
  <si>
    <t>/content/drive/MyDrive/thesis_project/thesis/outputs/exp10_svm_ready/fusion_svm_crf_ready_results_20260807_154307.xlsx</t>
  </si>
  <si>
    <t>/content/drive/MyDrive/thesis_project/thesis/outputs/exp10_svm_ready/fusion_svm_crf_ready_20260807_154310.json</t>
  </si>
  <si>
    <t>/content/drive/MyDrive/thesis_project/thesis/outputs/exp10_svm_ready/fusion_svm_crf_ready_results_20260807_154309.xlsx</t>
  </si>
  <si>
    <t>/content/drive/MyDrive/thesis_project/thesis/outputs/exp10_svm_ready/fusion_svm_crf_ready_20260807_154312.json</t>
  </si>
  <si>
    <t>/content/drive/MyDrive/thesis_project/thesis/outputs/exp10_svm_ready/fusion_svm_crf_ready_results_20260807_154311.xlsx</t>
  </si>
  <si>
    <t>/content/drive/MyDrive/thesis_project/thesis/outputs/exp10_svm_ready/fusion_svm_crf_ready_20260807_154313.json</t>
  </si>
  <si>
    <t>/content/drive/MyDrive/thesis_project/thesis/outputs/exp10_svm_ready/fusion_svm_crf_ready_results_20260807_154312.xlsx</t>
  </si>
  <si>
    <t>/content/drive/MyDrive/thesis_project/thesis/outputs/exp10_svm_ready/fusion_svm_crf_ready_20260807_154315.json</t>
  </si>
  <si>
    <t>/content/drive/MyDrive/thesis_project/thesis/outputs/exp10_svm_ready/fusion_svm_crf_ready_results_20260807_154314.xlsx</t>
  </si>
  <si>
    <t>/content/drive/MyDrive/thesis_project/thesis/outputs/exp10_svm_ready/fusion_svm_crf_ready_20260807_154317.json</t>
  </si>
  <si>
    <t>/content/drive/MyDrive/thesis_project/thesis/outputs/exp10_svm_ready/fusion_svm_crf_ready_results_20260807_154316.xlsx</t>
  </si>
  <si>
    <t>/content/drive/MyDrive/thesis_project/thesis/outputs/exp10_svm_ready/fusion_svm_crf_ready_20260807_154318.json</t>
  </si>
  <si>
    <t>/content/drive/MyDrive/thesis_project/thesis/outputs/exp10_svm_ready/fusion_svm_crf_ready_results_20260807_154317.xlsx</t>
  </si>
  <si>
    <t>/content/drive/MyDrive/thesis_project/thesis/outputs/exp10_svm_ready/fusion_svm_crf_ready_20260807_154322.json</t>
  </si>
  <si>
    <t>/content/drive/MyDrive/thesis_project/thesis/outputs/exp10_svm_ready/fusion_svm_crf_ready_results_20260807_154320.xlsx</t>
  </si>
  <si>
    <t>/content/drive/MyDrive/thesis_project/thesis/outputs/exp10_svm_ready/fusion_svm_crf_ready_20260807_154323.json</t>
  </si>
  <si>
    <t>/content/drive/MyDrive/thesis_project/thesis/outputs/exp10_svm_ready/fusion_svm_crf_ready_results_20260807_154322.xlsx</t>
  </si>
  <si>
    <t>/content/drive/MyDrive/thesis_project/thesis/outputs/exp10_svm_ready/fusion_svm_crf_ready_20260807_154325.json</t>
  </si>
  <si>
    <t>/content/drive/MyDrive/thesis_project/thesis/outputs/exp10_svm_ready/fusion_svm_crf_ready_results_20260807_154324.xlsx</t>
  </si>
  <si>
    <t>/content/drive/MyDrive/thesis_project/thesis/outputs/exp10_svm_ready/fusion_svm_crf_ready_20260807_154327.json</t>
  </si>
  <si>
    <t>/content/drive/MyDrive/thesis_project/thesis/outputs/exp10_svm_ready/fusion_svm_crf_ready_results_20260807_154326.xlsx</t>
  </si>
  <si>
    <t>/content/drive/MyDrive/thesis_project/thesis/outputs/exp10_svm_ready/fusion_svm_crf_ready_20260807_154328.json</t>
  </si>
  <si>
    <t>/content/drive/MyDrive/thesis_project/thesis/outputs/exp10_svm_ready/fusion_svm_crf_ready_results_20260807_154327.xlsx</t>
  </si>
  <si>
    <t>/content/drive/MyDrive/thesis_project/thesis/outputs/exp10_svm_ready/fusion_svm_crf_ready_20260807_154330.json</t>
  </si>
  <si>
    <t>/content/drive/MyDrive/thesis_project/thesis/outputs/exp10_svm_ready/fusion_svm_crf_ready_results_20260807_154329.xlsx</t>
  </si>
  <si>
    <t>/content/drive/MyDrive/thesis_project/thesis/outputs/exp10_svm_ready/fusion_svm_crf_ready_20260807_154332.json</t>
  </si>
  <si>
    <t>/content/drive/MyDrive/thesis_project/thesis/outputs/exp10_svm_ready/fusion_svm_crf_ready_results_20260807_154331.xlsx</t>
  </si>
  <si>
    <t>/content/drive/MyDrive/thesis_project/thesis/outputs/exp10_svm_ready/fusion_svm_crf_ready_20260807_154335.json</t>
  </si>
  <si>
    <t>/content/drive/MyDrive/thesis_project/thesis/outputs/exp10_svm_ready/fusion_svm_crf_ready_results_20260807_154333.xlsx</t>
  </si>
  <si>
    <t>/content/drive/MyDrive/thesis_project/thesis/outputs/exp10_svm_ready/fusion_svm_crf_ready_20260807_154337.json</t>
  </si>
  <si>
    <t>/content/drive/MyDrive/thesis_project/thesis/outputs/exp10_svm_ready/fusion_svm_crf_ready_results_20260807_154336.xlsx</t>
  </si>
  <si>
    <t>/content/drive/MyDrive/thesis_project/thesis/outputs/exp10_svm_ready/fusion_svm_crf_ready_20260807_154338.json</t>
  </si>
  <si>
    <t>/content/drive/MyDrive/thesis_project/thesis/outputs/exp10_svm_ready/fusion_svm_crf_ready_results_20260807_154338.xlsx</t>
  </si>
  <si>
    <t>/content/drive/MyDrive/thesis_project/thesis/outputs/exp10_svm_ready/fusion_svm_crf_ready_20260807_154340.json</t>
  </si>
  <si>
    <t>/content/drive/MyDrive/thesis_project/thesis/outputs/exp10_svm_ready/fusion_svm_crf_ready_results_20260807_154339.xlsx</t>
  </si>
  <si>
    <t>/content/drive/MyDrive/thesis_project/thesis/outputs/exp10_svm_ready/fusion_svm_crf_ready_20260807_154341.json</t>
  </si>
  <si>
    <t>/content/drive/MyDrive/thesis_project/thesis/outputs/exp10_svm_ready/fusion_svm_crf_ready_results_20260807_154341.xlsx</t>
  </si>
  <si>
    <t>/content/drive/MyDrive/thesis_project/thesis/outputs/exp10_svm_ready/fusion_svm_crf_ready_20260807_154343.json</t>
  </si>
  <si>
    <t>/content/drive/MyDrive/thesis_project/thesis/outputs/exp10_svm_ready/fusion_svm_crf_ready_results_20260807_154343.xlsx</t>
  </si>
  <si>
    <t>/content/drive/MyDrive/thesis_project/thesis/outputs/exp10_svm_ready/fusion_svm_crf_ready_20260807_154345.json</t>
  </si>
  <si>
    <t>/content/drive/MyDrive/thesis_project/thesis/outputs/exp10_svm_ready/fusion_svm_crf_ready_results_20260807_154344.xlsx</t>
  </si>
  <si>
    <t>/content/drive/MyDrive/thesis_project/thesis/outputs/exp10_svm_ready/fusion_svm_crf_ready_20260807_154348.json</t>
  </si>
  <si>
    <t>/content/drive/MyDrive/thesis_project/thesis/outputs/exp10_svm_ready/fusion_svm_crf_ready_results_20260807_154346.xlsx</t>
  </si>
  <si>
    <t>/content/drive/MyDrive/thesis_project/thesis/outputs/exp10_svm_ready/fusion_svm_crf_ready_20260807_154350.json</t>
  </si>
  <si>
    <t>/content/drive/MyDrive/thesis_project/thesis/outputs/exp10_svm_ready/fusion_svm_crf_ready_results_20260807_154349.xlsx</t>
  </si>
  <si>
    <t>/content/drive/MyDrive/thesis_project/thesis/outputs/exp10_svm_ready/fusion_svm_crf_ready_20260807_154351.json</t>
  </si>
  <si>
    <t>/content/drive/MyDrive/thesis_project/thesis/outputs/exp10_svm_ready/fusion_svm_crf_ready_results_20260807_154351.xlsx</t>
  </si>
  <si>
    <t>/content/drive/MyDrive/thesis_project/thesis/outputs/exp10_svm_ready/fusion_svm_crf_ready_20260807_154353.json</t>
  </si>
  <si>
    <t>/content/drive/MyDrive/thesis_project/thesis/outputs/exp10_svm_ready/fusion_svm_crf_ready_results_20260807_154352.xlsx</t>
  </si>
  <si>
    <t>/content/drive/MyDrive/thesis_project/thesis/outputs/exp10_svm_ready/fusion_svm_crf_ready_20260807_154355.json</t>
  </si>
  <si>
    <t>/content/drive/MyDrive/thesis_project/thesis/outputs/exp10_svm_ready/fusion_svm_crf_ready_results_20260807_154354.xlsx</t>
  </si>
  <si>
    <t>/content/drive/MyDrive/thesis_project/thesis/outputs/exp10_svm_ready/fusion_svm_crf_ready_20260807_154356.json</t>
  </si>
  <si>
    <t>/content/drive/MyDrive/thesis_project/thesis/outputs/exp10_svm_ready/fusion_svm_crf_ready_results_20260807_154356.xlsx</t>
  </si>
  <si>
    <t>/content/drive/MyDrive/thesis_project/thesis/outputs/exp10_svm_ready/fusion_svm_crf_ready_20260807_154359.json</t>
  </si>
  <si>
    <t>/content/drive/MyDrive/thesis_project/thesis/outputs/exp10_svm_ready/fusion_svm_crf_ready_results_20260807_154358.xlsx</t>
  </si>
  <si>
    <t>/content/drive/MyDrive/thesis_project/thesis/outputs/exp10_svm_ready/fusion_svm_crf_ready_20260807_154401.json</t>
  </si>
  <si>
    <t>/content/drive/MyDrive/thesis_project/thesis/outputs/exp10_svm_ready/fusion_svm_crf_ready_results_20260807_154400.xlsx</t>
  </si>
  <si>
    <t>/content/drive/MyDrive/thesis_project/thesis/outputs/exp10_svm_ready/fusion_svm_crf_ready_20260807_154403.json</t>
  </si>
  <si>
    <t>/content/drive/MyDrive/thesis_project/thesis/outputs/exp10_svm_ready/fusion_svm_crf_ready_results_20260807_154402.xlsx</t>
  </si>
  <si>
    <t>/content/drive/MyDrive/thesis_project/thesis/outputs/exp10_svm_ready/fusion_svm_crf_ready_20260807_154405.json</t>
  </si>
  <si>
    <t>/content/drive/MyDrive/thesis_project/thesis/outputs/exp10_svm_ready/fusion_svm_crf_ready_results_20260807_154405.xlsx</t>
  </si>
  <si>
    <t>/content/drive/MyDrive/thesis_project/thesis/outputs/exp10_svm_ready/fusion_svm_crf_ready_20260807_154407.json</t>
  </si>
  <si>
    <t>/content/drive/MyDrive/thesis_project/thesis/outputs/exp10_svm_ready/fusion_svm_crf_ready_results_20260807_154406.xlsx</t>
  </si>
  <si>
    <t>/content/drive/MyDrive/thesis_project/thesis/outputs/exp10_svm_ready/fusion_svm_crf_ready_20260807_154409.json</t>
  </si>
  <si>
    <t>/content/drive/MyDrive/thesis_project/thesis/outputs/exp10_svm_ready/fusion_svm_crf_ready_results_20260807_154408.xlsx</t>
  </si>
  <si>
    <t>/content/drive/MyDrive/thesis_project/thesis/outputs/exp10_svm_ready/fusion_svm_crf_ready_20260807_154411.json</t>
  </si>
  <si>
    <t>/content/drive/MyDrive/thesis_project/thesis/outputs/exp10_svm_ready/fusion_svm_crf_ready_results_20260807_154410.xlsx</t>
  </si>
  <si>
    <t>/content/drive/MyDrive/thesis_project/thesis/outputs/exp10_svm_ready/fusion_svm_crf_ready_20260807_154412.json</t>
  </si>
  <si>
    <t>/content/drive/MyDrive/thesis_project/thesis/outputs/exp10_svm_ready/fusion_svm_crf_ready_results_20260807_154412.xlsx</t>
  </si>
  <si>
    <t>/content/drive/MyDrive/thesis_project/thesis/outputs/exp10_svm_ready/fusion_svm_crf_ready_20260807_154415.json</t>
  </si>
  <si>
    <t>/content/drive/MyDrive/thesis_project/thesis/outputs/exp10_svm_ready/fusion_svm_crf_ready_results_20260807_154413.xlsx</t>
  </si>
  <si>
    <t>/content/drive/MyDrive/thesis_project/thesis/outputs/exp10_svm_ready/fusion_svm_crf_ready_20260807_154417.json</t>
  </si>
  <si>
    <t>/content/drive/MyDrive/thesis_project/thesis/outputs/exp10_svm_ready/fusion_svm_crf_ready_results_20260807_154416.xlsx</t>
  </si>
  <si>
    <t>/content/drive/MyDrive/thesis_project/thesis/outputs/exp10_svm_ready/fusion_svm_crf_ready_20260807_154419.json</t>
  </si>
  <si>
    <t>/content/drive/MyDrive/thesis_project/thesis/outputs/exp10_svm_ready/fusion_svm_crf_ready_results_20260807_154418.xlsx</t>
  </si>
  <si>
    <t>nemo_dictabert__small_300__before_exp01_baseline__seed42__aug</t>
  </si>
  <si>
    <t>nemo_dictabert__small_300__before_exp01_baseline__augmented</t>
  </si>
  <si>
    <t>[NEMO + DictaBERT] [small_300] Baseline (simple random split) [augmented] [seed 42]</t>
  </si>
  <si>
    <t>/content/drive/MyDrive/thesis_project/thesis/outputs/exp10_regular/regular_ner_crf_20260807_154557.json</t>
  </si>
  <si>
    <t>/content/drive/MyDrive/thesis_project/thesis/outputs/exp10_regular/regular_ner_crf_results_20260807_154556.xlsx</t>
  </si>
  <si>
    <t>nemo_dictabert__small_300__before_exp01_baseline__seed43__aug</t>
  </si>
  <si>
    <t>[NEMO + DictaBERT] [small_300] Baseline (simple random split) [augmented] [seed 43]</t>
  </si>
  <si>
    <t>/content/drive/MyDrive/thesis_project/thesis/outputs/exp10_regular/regular_ner_crf_20260807_155137.json</t>
  </si>
  <si>
    <t>/content/drive/MyDrive/thesis_project/thesis/outputs/exp10_regular/regular_ner_crf_results_20260807_155137.xlsx</t>
  </si>
  <si>
    <t>nemo_dictabert__small_300__before_exp01_baseline__seed44__aug</t>
  </si>
  <si>
    <t>[NEMO + DictaBERT] [small_300] Baseline (simple random split) [augmented] [seed 44]</t>
  </si>
  <si>
    <t>/content/drive/MyDrive/thesis_project/thesis/outputs/exp10_regular/regular_ner_crf_20260807_160009.json</t>
  </si>
  <si>
    <t>/content/drive/MyDrive/thesis_project/thesis/outputs/exp10_regular/regular_ner_crf_results_20260807_160009.xlsx</t>
  </si>
  <si>
    <t>nemo_dictabert__small_300__before_exp01_baseline__seed45__aug</t>
  </si>
  <si>
    <t>[NEMO + DictaBERT] [small_300] Baseline (simple random split) [augmented] [seed 45]</t>
  </si>
  <si>
    <t>/content/drive/MyDrive/thesis_project/thesis/outputs/exp10_regular/regular_ner_crf_20260807_160610.json</t>
  </si>
  <si>
    <t>/content/drive/MyDrive/thesis_project/thesis/outputs/exp10_regular/regular_ner_crf_results_20260807_160609.xlsx</t>
  </si>
  <si>
    <t>nemo_dictabert__small_300__before_exp01_baseline__seed46__aug</t>
  </si>
  <si>
    <t>[NEMO + DictaBERT] [small_300] Baseline (simple random split) [augmented] [seed 46]</t>
  </si>
  <si>
    <t>/content/drive/MyDrive/thesis_project/thesis/outputs/exp10_regular/regular_ner_crf_20260807_161204.json</t>
  </si>
  <si>
    <t>/content/drive/MyDrive/thesis_project/thesis/outputs/exp10_regular/regular_ner_crf_results_20260807_161203.xlsx</t>
  </si>
  <si>
    <t>nemo_dictabert__small_300__before_exp01_baseline__seed47__aug</t>
  </si>
  <si>
    <t>[NEMO + DictaBERT] [small_300] Baseline (simple random split) [augmented] [seed 47]</t>
  </si>
  <si>
    <t>/content/drive/MyDrive/thesis_project/thesis/outputs/exp10_regular/regular_ner_crf_20260807_161901.json</t>
  </si>
  <si>
    <t>/content/drive/MyDrive/thesis_project/thesis/outputs/exp10_regular/regular_ner_crf_results_20260807_161900.xlsx</t>
  </si>
  <si>
    <t>nemo_dictabert__small_300__before_exp01_baseline__seed48__aug</t>
  </si>
  <si>
    <t>[NEMO + DictaBERT] [small_300] Baseline (simple random split) [augmented] [seed 48]</t>
  </si>
  <si>
    <t>/content/drive/MyDrive/thesis_project/thesis/outputs/exp10_regular/regular_ner_crf_20260807_162547.json</t>
  </si>
  <si>
    <t>/content/drive/MyDrive/thesis_project/thesis/outputs/exp10_regular/regular_ner_crf_results_20260807_162547.xlsx</t>
  </si>
  <si>
    <t>nemo_dictabert__small_300__before_exp01_baseline__seed49__aug</t>
  </si>
  <si>
    <t>[NEMO + DictaBERT] [small_300] Baseline (simple random split) [augmented] [seed 49]</t>
  </si>
  <si>
    <t>/content/drive/MyDrive/thesis_project/thesis/outputs/exp10_regular/regular_ner_crf_20260807_163536.json</t>
  </si>
  <si>
    <t>/content/drive/MyDrive/thesis_project/thesis/outputs/exp10_regular/regular_ner_crf_results_20260807_163535.xlsx</t>
  </si>
  <si>
    <t>nemo_dictabert__small_300__before_exp01_baseline__seed50__aug</t>
  </si>
  <si>
    <t>[NEMO + DictaBERT] [small_300] Baseline (simple random split) [augmented] [seed 50]</t>
  </si>
  <si>
    <t>/content/drive/MyDrive/thesis_project/thesis/outputs/exp10_regular/regular_ner_crf_20260807_164406.json</t>
  </si>
  <si>
    <t>/content/drive/MyDrive/thesis_project/thesis/outputs/exp10_regular/regular_ner_crf_results_20260807_164405.xlsx</t>
  </si>
  <si>
    <t>nemo_dictabert__small_300__before_exp01_baseline__seed51__aug</t>
  </si>
  <si>
    <t>[NEMO + DictaBERT] [small_300] Baseline (simple random split) [augmented] [seed 51]</t>
  </si>
  <si>
    <t>/content/drive/MyDrive/thesis_project/thesis/outputs/exp10_regular/regular_ner_crf_20260807_165128.json</t>
  </si>
  <si>
    <t>/content/drive/MyDrive/thesis_project/thesis/outputs/exp10_regular/regular_ner_crf_results_20260807_165127.xlsx</t>
  </si>
  <si>
    <t>nemo_dictabert__small_300__before_exp01_baseline__seed52__aug</t>
  </si>
  <si>
    <t>[NEMO + DictaBERT] [small_300] Baseline (simple random split) [augmented] [seed 52]</t>
  </si>
  <si>
    <t>/content/drive/MyDrive/thesis_project/thesis/outputs/exp10_regular/regular_ner_crf_20260807_165826.json</t>
  </si>
  <si>
    <t>/content/drive/MyDrive/thesis_project/thesis/outputs/exp10_regular/regular_ner_crf_results_20260807_165826.xlsx</t>
  </si>
  <si>
    <t>nemo_dictabert__small_300__before_exp01_baseline__seed53__aug</t>
  </si>
  <si>
    <t>[NEMO + DictaBERT] [small_300] Baseline (simple random split) [augmented] [seed 53]</t>
  </si>
  <si>
    <t>/content/drive/MyDrive/thesis_project/thesis/outputs/exp10_regular/regular_ner_crf_20260807_170445.json</t>
  </si>
  <si>
    <t>/content/drive/MyDrive/thesis_project/thesis/outputs/exp10_regular/regular_ner_crf_results_20260807_170445.xlsx</t>
  </si>
  <si>
    <t>nemo_dictabert__small_300__before_exp01_baseline__seed54__aug</t>
  </si>
  <si>
    <t>[NEMO + DictaBERT] [small_300] Baseline (simple random split) [augmented] [seed 54]</t>
  </si>
  <si>
    <t>/content/drive/MyDrive/thesis_project/thesis/outputs/exp10_regular/regular_ner_crf_20260807_171134.json</t>
  </si>
  <si>
    <t>/content/drive/MyDrive/thesis_project/thesis/outputs/exp10_regular/regular_ner_crf_results_20260807_171133.xlsx</t>
  </si>
  <si>
    <t>nemo_dictabert__small_300__before_exp01_baseline__seed55__aug</t>
  </si>
  <si>
    <t>[NEMO + DictaBERT] [small_300] Baseline (simple random split) [augmented] [seed 55]</t>
  </si>
  <si>
    <t>/content/drive/MyDrive/thesis_project/thesis/outputs/exp10_regular/regular_ner_crf_20260807_171855.json</t>
  </si>
  <si>
    <t>/content/drive/MyDrive/thesis_project/thesis/outputs/exp10_regular/regular_ner_crf_results_20260807_171855.xlsx</t>
  </si>
  <si>
    <t>nemo_dictabert__small_300__before_exp01_baseline__seed56__aug</t>
  </si>
  <si>
    <t>[NEMO + DictaBERT] [small_300] Baseline (simple random split) [augmented] [seed 56]</t>
  </si>
  <si>
    <t>/content/drive/MyDrive/thesis_project/thesis/outputs/exp10_regular/regular_ner_crf_20260808_184436.json</t>
  </si>
  <si>
    <t>/content/drive/MyDrive/thesis_project/thesis/outputs/exp10_regular/regular_ner_crf_results_20260808_184432.xlsx</t>
  </si>
  <si>
    <t>nemo_dictabert__small_300__before_exp01_baseline__seed57__aug</t>
  </si>
  <si>
    <t>[NEMO + DictaBERT] [small_300] Baseline (simple random split) [augmented] [seed 57]</t>
  </si>
  <si>
    <t>/content/drive/MyDrive/thesis_project/thesis/outputs/exp10_regular/regular_ner_crf_20260808_185111.json</t>
  </si>
  <si>
    <t>/content/drive/MyDrive/thesis_project/thesis/outputs/exp10_regular/regular_ner_crf_results_20260808_185110.xlsx</t>
  </si>
  <si>
    <t>nemo_dictabert__small_300__before_exp01_baseline__seed58__aug</t>
  </si>
  <si>
    <t>[NEMO + DictaBERT] [small_300] Baseline (simple random split) [augmented] [seed 58]</t>
  </si>
  <si>
    <t>/content/drive/MyDrive/thesis_project/thesis/outputs/exp10_regular/regular_ner_crf_20260808_185934.json</t>
  </si>
  <si>
    <t>/content/drive/MyDrive/thesis_project/thesis/outputs/exp10_regular/regular_ner_crf_results_20260808_185933.xlsx</t>
  </si>
  <si>
    <t>nemo_dictabert__small_300__before_exp01_baseline__seed59__aug</t>
  </si>
  <si>
    <t>[NEMO + DictaBERT] [small_300] Baseline (simple random split) [augmented] [seed 59]</t>
  </si>
  <si>
    <t>/content/drive/MyDrive/thesis_project/thesis/outputs/exp10_regular/regular_ner_crf_20260808_190550.json</t>
  </si>
  <si>
    <t>/content/drive/MyDrive/thesis_project/thesis/outputs/exp10_regular/regular_ner_crf_results_20260808_190550.xlsx</t>
  </si>
  <si>
    <t>nemo_dictabert__small_300__before_exp01_baseline__seed60__aug</t>
  </si>
  <si>
    <t>[NEMO + DictaBERT] [small_300] Baseline (simple random split) [augmented] [seed 60]</t>
  </si>
  <si>
    <t>/content/drive/MyDrive/thesis_project/thesis/outputs/exp10_regular/regular_ner_crf_20260808_191404.json</t>
  </si>
  <si>
    <t>/content/drive/MyDrive/thesis_project/thesis/outputs/exp10_regular/regular_ner_crf_results_20260808_191404.xlsx</t>
  </si>
  <si>
    <t>nemo_dictabert__small_300__before_exp01_baseline__seed61__aug</t>
  </si>
  <si>
    <t>[NEMO + DictaBERT] [small_300] Baseline (simple random split) [augmented] [seed 61]</t>
  </si>
  <si>
    <t>/content/drive/MyDrive/thesis_project/thesis/outputs/exp10_regular/regular_ner_crf_20260808_192024.json</t>
  </si>
  <si>
    <t>/content/drive/MyDrive/thesis_project/thesis/outputs/exp10_regular/regular_ner_crf_results_20260808_192023.xlsx</t>
  </si>
  <si>
    <t>nemo_dictabert__small_300__after_multilabel_iterative_paper__seed42__aug</t>
  </si>
  <si>
    <t>nemo_dictabert__small_300__after_multilabel_iterative_paper__augmented</t>
  </si>
  <si>
    <t>[NEMO + DictaBERT] [small_300] Multilabel stratified (paper-style) [augmented] [seed 42]</t>
  </si>
  <si>
    <t>/content/drive/MyDrive/thesis_project/thesis/outputs/exp10_regular/regular_ner_crf_20260808_192759.json</t>
  </si>
  <si>
    <t>/content/drive/MyDrive/thesis_project/thesis/outputs/exp10_regular/regular_ner_crf_results_20260808_192758.xlsx</t>
  </si>
  <si>
    <t>nemo_dictabert__small_300__after_multilabel_iterative_paper__seed43__aug</t>
  </si>
  <si>
    <t>[NEMO + DictaBERT] [small_300] Multilabel stratified (paper-style) [augmented] [seed 43]</t>
  </si>
  <si>
    <t>/content/drive/MyDrive/thesis_project/thesis/outputs/exp10_regular/regular_ner_crf_20260808_193542.json</t>
  </si>
  <si>
    <t>/content/drive/MyDrive/thesis_project/thesis/outputs/exp10_regular/regular_ner_crf_results_20260808_193541.xlsx</t>
  </si>
  <si>
    <t>nemo_dictabert__small_300__after_multilabel_iterative_paper__seed44__aug</t>
  </si>
  <si>
    <t>[NEMO + DictaBERT] [small_300] Multilabel stratified (paper-style) [augmented] [seed 44]</t>
  </si>
  <si>
    <t>/content/drive/MyDrive/thesis_project/thesis/outputs/exp10_regular/regular_ner_crf_20260808_194332.json</t>
  </si>
  <si>
    <t>/content/drive/MyDrive/thesis_project/thesis/outputs/exp10_regular/regular_ner_crf_results_20260808_194331.xlsx</t>
  </si>
  <si>
    <t>nemo_dictabert__small_300__after_multilabel_iterative_paper__seed45__aug</t>
  </si>
  <si>
    <t>[NEMO + DictaBERT] [small_300] Multilabel stratified (paper-style) [augmented] [seed 45]</t>
  </si>
  <si>
    <t>/content/drive/MyDrive/thesis_project/thesis/outputs/exp10_regular/regular_ner_crf_20260808_195053.json</t>
  </si>
  <si>
    <t>/content/drive/MyDrive/thesis_project/thesis/outputs/exp10_regular/regular_ner_crf_results_20260808_195052.xlsx</t>
  </si>
  <si>
    <t>nemo_dictabert__small_300__after_multilabel_iterative_paper__seed46__aug</t>
  </si>
  <si>
    <t>[NEMO + DictaBERT] [small_300] Multilabel stratified (paper-style) [augmented] [seed 46]</t>
  </si>
  <si>
    <t>/content/drive/MyDrive/thesis_project/thesis/outputs/exp10_regular/regular_ner_crf_20260808_195722.json</t>
  </si>
  <si>
    <t>/content/drive/MyDrive/thesis_project/thesis/outputs/exp10_regular/regular_ner_crf_results_20260808_195722.xlsx</t>
  </si>
  <si>
    <t>nemo_dictabert__small_300__after_multilabel_iterative_paper__seed47__aug</t>
  </si>
  <si>
    <t>[NEMO + DictaBERT] [small_300] Multilabel stratified (paper-style) [augmented] [seed 47]</t>
  </si>
  <si>
    <t>/content/drive/MyDrive/thesis_project/thesis/outputs/exp10_regular/regular_ner_crf_20260808_200430.json</t>
  </si>
  <si>
    <t>/content/drive/MyDrive/thesis_project/thesis/outputs/exp10_regular/regular_ner_crf_results_20260808_200429.xlsx</t>
  </si>
  <si>
    <t>nemo_dictabert__small_300__after_multilabel_iterative_paper__seed48__aug</t>
  </si>
  <si>
    <t>[NEMO + DictaBERT] [small_300] Multilabel stratified (paper-style) [augmented] [seed 48]</t>
  </si>
  <si>
    <t>/content/drive/MyDrive/thesis_project/thesis/outputs/exp10_regular/regular_ner_crf_20260808_201309.json</t>
  </si>
  <si>
    <t>/content/drive/MyDrive/thesis_project/thesis/outputs/exp10_regular/regular_ner_crf_results_20260808_201308.xlsx</t>
  </si>
  <si>
    <t>nemo_dictabert__small_300__after_multilabel_iterative_paper__seed49__aug</t>
  </si>
  <si>
    <t>[NEMO + DictaBERT] [small_300] Multilabel stratified (paper-style) [augmented] [seed 49]</t>
  </si>
  <si>
    <t>/content/drive/MyDrive/thesis_project/thesis/outputs/exp10_regular/regular_ner_crf_20260808_202143.json</t>
  </si>
  <si>
    <t>/content/drive/MyDrive/thesis_project/thesis/outputs/exp10_regular/regular_ner_crf_results_20260808_202142.xlsx</t>
  </si>
  <si>
    <t>nemo_dictabert__small_300__after_multilabel_iterative_paper__seed50__aug</t>
  </si>
  <si>
    <t>[NEMO + DictaBERT] [small_300] Multilabel stratified (paper-style) [augmented] [seed 50]</t>
  </si>
  <si>
    <t>/content/drive/MyDrive/thesis_project/thesis/outputs/exp10_regular/regular_ner_crf_20260808_202932.json</t>
  </si>
  <si>
    <t>/content/drive/MyDrive/thesis_project/thesis/outputs/exp10_regular/regular_ner_crf_results_20260808_202931.xlsx</t>
  </si>
  <si>
    <t>nemo_dictabert__small_300__after_multilabel_iterative_paper__seed51__aug</t>
  </si>
  <si>
    <t>[NEMO + DictaBERT] [small_300] Multilabel stratified (paper-style) [augmented] [seed 51]</t>
  </si>
  <si>
    <t>/content/drive/MyDrive/thesis_project/thesis/outputs/exp10_regular/regular_ner_crf_20260808_203610.json</t>
  </si>
  <si>
    <t>/content/drive/MyDrive/thesis_project/thesis/outputs/exp10_regular/regular_ner_crf_results_20260808_203609.xlsx</t>
  </si>
  <si>
    <t>nemo_dictabert__small_300__after_multilabel_iterative_paper__seed52__aug</t>
  </si>
  <si>
    <t>[NEMO + DictaBERT] [small_300] Multilabel stratified (paper-style) [augmented] [seed 52]</t>
  </si>
  <si>
    <t>/content/drive/MyDrive/thesis_project/thesis/outputs/exp10_regular/regular_ner_crf_20260808_204351.json</t>
  </si>
  <si>
    <t>/content/drive/MyDrive/thesis_project/thesis/outputs/exp10_regular/regular_ner_crf_results_20260808_204350.xlsx</t>
  </si>
  <si>
    <t>nemo_dictabert__small_300__after_multilabel_iterative_paper__seed53__aug</t>
  </si>
  <si>
    <t>[NEMO + DictaBERT] [small_300] Multilabel stratified (paper-style) [augmented] [seed 53]</t>
  </si>
  <si>
    <t>/content/drive/MyDrive/thesis_project/thesis/outputs/exp10_regular/regular_ner_crf_20260808_205212.json</t>
  </si>
  <si>
    <t>/content/drive/MyDrive/thesis_project/thesis/outputs/exp10_regular/regular_ner_crf_results_20260808_205211.xlsx</t>
  </si>
  <si>
    <t>nemo_dictabert__small_300__after_multilabel_iterative_paper__seed54__aug</t>
  </si>
  <si>
    <t>[NEMO + DictaBERT] [small_300] Multilabel stratified (paper-style) [augmented] [seed 54]</t>
  </si>
  <si>
    <t>/content/drive/MyDrive/thesis_project/thesis/outputs/exp10_regular/regular_ner_crf_20260808_205813.json</t>
  </si>
  <si>
    <t>/content/drive/MyDrive/thesis_project/thesis/outputs/exp10_regular/regular_ner_crf_results_20260808_205813.xlsx</t>
  </si>
  <si>
    <t>nemo_dictabert__small_300__after_multilabel_iterative_paper__seed55__aug</t>
  </si>
  <si>
    <t>[NEMO + DictaBERT] [small_300] Multilabel stratified (paper-style) [augmented] [seed 55]</t>
  </si>
  <si>
    <t>/content/drive/MyDrive/thesis_project/thesis/outputs/exp10_regular/regular_ner_crf_20260808_210438.json</t>
  </si>
  <si>
    <t>/content/drive/MyDrive/thesis_project/thesis/outputs/exp10_regular/regular_ner_crf_results_20260808_210438.xlsx</t>
  </si>
  <si>
    <t>nemo_dictabert__small_300__after_multilabel_iterative_paper__seed56__aug</t>
  </si>
  <si>
    <t>[NEMO + DictaBERT] [small_300] Multilabel stratified (paper-style) [augmented] [seed 56]</t>
  </si>
  <si>
    <t>/content/drive/MyDrive/thesis_project/thesis/outputs/exp10_regular/regular_ner_crf_20260808_211203.json</t>
  </si>
  <si>
    <t>/content/drive/MyDrive/thesis_project/thesis/outputs/exp10_regular/regular_ner_crf_results_20260808_211203.xlsx</t>
  </si>
  <si>
    <t>nemo_dictabert__small_300__after_multilabel_iterative_paper__seed57__aug</t>
  </si>
  <si>
    <t>[NEMO + DictaBERT] [small_300] Multilabel stratified (paper-style) [augmented] [seed 57]</t>
  </si>
  <si>
    <t>/content/drive/MyDrive/thesis_project/thesis/outputs/exp10_regular/regular_ner_crf_20260808_212024.json</t>
  </si>
  <si>
    <t>/content/drive/MyDrive/thesis_project/thesis/outputs/exp10_regular/regular_ner_crf_results_20260808_212024.xlsx</t>
  </si>
  <si>
    <t>nemo_dictabert__small_300__after_multilabel_iterative_paper__seed58__aug</t>
  </si>
  <si>
    <t>[NEMO + DictaBERT] [small_300] Multilabel stratified (paper-style) [augmented] [seed 58]</t>
  </si>
  <si>
    <t>/content/drive/MyDrive/thesis_project/thesis/outputs/exp10_regular/regular_ner_crf_20260808_212702.json</t>
  </si>
  <si>
    <t>/content/drive/MyDrive/thesis_project/thesis/outputs/exp10_regular/regular_ner_crf_results_20260808_212702.xlsx</t>
  </si>
  <si>
    <t>nemo_dictabert__small_300__after_multilabel_iterative_paper__seed59__aug</t>
  </si>
  <si>
    <t>[NEMO + DictaBERT] [small_300] Multilabel stratified (paper-style) [augmented] [seed 59]</t>
  </si>
  <si>
    <t>/content/drive/MyDrive/thesis_project/thesis/outputs/exp10_regular/regular_ner_crf_20260808_213342.json</t>
  </si>
  <si>
    <t>/content/drive/MyDrive/thesis_project/thesis/outputs/exp10_regular/regular_ner_crf_results_20260808_213342.xlsx</t>
  </si>
  <si>
    <t>nemo_dictabert__small_300__after_multilabel_iterative_paper__seed60__aug</t>
  </si>
  <si>
    <t>[NEMO + DictaBERT] [small_300] Multilabel stratified (paper-style) [augmented] [seed 60]</t>
  </si>
  <si>
    <t>/content/drive/MyDrive/thesis_project/thesis/outputs/exp10_regular/regular_ner_crf_20260808_214139.json</t>
  </si>
  <si>
    <t>/content/drive/MyDrive/thesis_project/thesis/outputs/exp10_regular/regular_ner_crf_results_20260808_214138.xlsx</t>
  </si>
  <si>
    <t>nemo_dictabert__small_300__after_multilabel_iterative_paper__seed61__aug</t>
  </si>
  <si>
    <t>[NEMO + DictaBERT] [small_300] Multilabel stratified (paper-style) [augmented] [seed 61]</t>
  </si>
  <si>
    <t>/content/drive/MyDrive/thesis_project/thesis/outputs/exp10_regular/regular_ner_crf_20260808_214814.json</t>
  </si>
  <si>
    <t>/content/drive/MyDrive/thesis_project/thesis/outputs/exp10_regular/regular_ner_crf_results_20260808_214814.xlsx</t>
  </si>
  <si>
    <t>/content/drive/MyDrive/thesis_project/thesis/outputs/exp10_cascade/cascaded_pipeline_crf_20260807_154949.json</t>
  </si>
  <si>
    <t>/content/drive/MyDrive/thesis_project/thesis/outputs/exp10_cascade/cascaded_pipeline_crf_results_20260807_154948.xlsx</t>
  </si>
  <si>
    <t>/content/drive/MyDrive/thesis_project/thesis/outputs/exp10_cascade/cascaded_pipeline_crf_20260807_155836.json</t>
  </si>
  <si>
    <t>/content/drive/MyDrive/thesis_project/thesis/outputs/exp10_cascade/cascaded_pipeline_crf_results_20260807_155834.xlsx</t>
  </si>
  <si>
    <t>/content/drive/MyDrive/thesis_project/thesis/outputs/exp10_cascade/cascaded_pipeline_crf_20260807_160445.json</t>
  </si>
  <si>
    <t>/content/drive/MyDrive/thesis_project/thesis/outputs/exp10_cascade/cascaded_pipeline_crf_results_20260807_160444.xlsx</t>
  </si>
  <si>
    <t>/content/drive/MyDrive/thesis_project/thesis/outputs/exp10_cascade/cascaded_pipeline_crf_20260807_161024.json</t>
  </si>
  <si>
    <t>/content/drive/MyDrive/thesis_project/thesis/outputs/exp10_cascade/cascaded_pipeline_crf_results_20260807_161023.xlsx</t>
  </si>
  <si>
    <t>/content/drive/MyDrive/thesis_project/thesis/outputs/exp10_cascade/cascaded_pipeline_crf_20260807_161732.json</t>
  </si>
  <si>
    <t>/content/drive/MyDrive/thesis_project/thesis/outputs/exp10_cascade/cascaded_pipeline_crf_results_20260807_161730.xlsx</t>
  </si>
  <si>
    <t>/content/drive/MyDrive/thesis_project/thesis/outputs/exp10_cascade/cascaded_pipeline_crf_20260807_162401.json</t>
  </si>
  <si>
    <t>/content/drive/MyDrive/thesis_project/thesis/outputs/exp10_cascade/cascaded_pipeline_crf_results_20260807_162400.xlsx</t>
  </si>
  <si>
    <t>/content/drive/MyDrive/thesis_project/thesis/outputs/exp10_cascade/cascaded_pipeline_crf_20260807_163336.json</t>
  </si>
  <si>
    <t>/content/drive/MyDrive/thesis_project/thesis/outputs/exp10_cascade/cascaded_pipeline_crf_results_20260807_163334.xlsx</t>
  </si>
  <si>
    <t>/content/drive/MyDrive/thesis_project/thesis/outputs/exp10_cascade/cascaded_pipeline_crf_20260807_164236.json</t>
  </si>
  <si>
    <t>/content/drive/MyDrive/thesis_project/thesis/outputs/exp10_cascade/cascaded_pipeline_crf_results_20260807_164235.xlsx</t>
  </si>
  <si>
    <t>/content/drive/MyDrive/thesis_project/thesis/outputs/exp10_cascade/cascaded_pipeline_crf_20260807_164953.json</t>
  </si>
  <si>
    <t>/content/drive/MyDrive/thesis_project/thesis/outputs/exp10_cascade/cascaded_pipeline_crf_results_20260807_164952.xlsx</t>
  </si>
  <si>
    <t>/content/drive/MyDrive/thesis_project/thesis/outputs/exp10_cascade/cascaded_pipeline_crf_20260807_165648.json</t>
  </si>
  <si>
    <t>/content/drive/MyDrive/thesis_project/thesis/outputs/exp10_cascade/cascaded_pipeline_crf_results_20260807_165647.xlsx</t>
  </si>
  <si>
    <t>/content/drive/MyDrive/thesis_project/thesis/outputs/exp10_cascade/cascaded_pipeline_crf_20260807_170313.json</t>
  </si>
  <si>
    <t>/content/drive/MyDrive/thesis_project/thesis/outputs/exp10_cascade/cascaded_pipeline_crf_results_20260807_170312.xlsx</t>
  </si>
  <si>
    <t>/content/drive/MyDrive/thesis_project/thesis/outputs/exp10_cascade/cascaded_pipeline_crf_20260807_170958.json</t>
  </si>
  <si>
    <t>/content/drive/MyDrive/thesis_project/thesis/outputs/exp10_cascade/cascaded_pipeline_crf_results_20260807_170956.xlsx</t>
  </si>
  <si>
    <t>/content/drive/MyDrive/thesis_project/thesis/outputs/exp10_cascade/cascaded_pipeline_crf_20260807_171711.json</t>
  </si>
  <si>
    <t>/content/drive/MyDrive/thesis_project/thesis/outputs/exp10_cascade/cascaded_pipeline_crf_results_20260807_171710.xlsx</t>
  </si>
  <si>
    <t>/content/drive/MyDrive/thesis_project/thesis/outputs/exp10_cascade/cascaded_pipeline_crf_20260807_172614.json</t>
  </si>
  <si>
    <t>/content/drive/MyDrive/thesis_project/thesis/outputs/exp10_cascade/cascaded_pipeline_crf_results_20260807_172613.xlsx</t>
  </si>
  <si>
    <t>/content/drive/MyDrive/thesis_project/thesis/outputs/exp10_cascade/cascaded_pipeline_crf_20260808_184929.json</t>
  </si>
  <si>
    <t>/content/drive/MyDrive/thesis_project/thesis/outputs/exp10_cascade/cascaded_pipeline_crf_results_20260808_184924.xlsx</t>
  </si>
  <si>
    <t>/content/drive/MyDrive/thesis_project/thesis/outputs/exp10_cascade/cascaded_pipeline_crf_20260808_185758.json</t>
  </si>
  <si>
    <t>/content/drive/MyDrive/thesis_project/thesis/outputs/exp10_cascade/cascaded_pipeline_crf_results_20260808_185756.xlsx</t>
  </si>
  <si>
    <t>/content/drive/MyDrive/thesis_project/thesis/outputs/exp10_cascade/cascaded_pipeline_crf_20260808_190405.json</t>
  </si>
  <si>
    <t>/content/drive/MyDrive/thesis_project/thesis/outputs/exp10_cascade/cascaded_pipeline_crf_results_20260808_190404.xlsx</t>
  </si>
  <si>
    <t>/content/drive/MyDrive/thesis_project/thesis/outputs/exp10_cascade/cascaded_pipeline_crf_20260808_191210.json</t>
  </si>
  <si>
    <t>/content/drive/MyDrive/thesis_project/thesis/outputs/exp10_cascade/cascaded_pipeline_crf_results_20260808_191208.xlsx</t>
  </si>
  <si>
    <t>/content/drive/MyDrive/thesis_project/thesis/outputs/exp10_cascade/cascaded_pipeline_crf_20260808_191847.json</t>
  </si>
  <si>
    <t>/content/drive/MyDrive/thesis_project/thesis/outputs/exp10_cascade/cascaded_pipeline_crf_results_20260808_191844.xlsx</t>
  </si>
  <si>
    <t>/content/drive/MyDrive/thesis_project/thesis/outputs/exp10_cascade/cascaded_pipeline_crf_20260808_192617.json</t>
  </si>
  <si>
    <t>/content/drive/MyDrive/thesis_project/thesis/outputs/exp10_cascade/cascaded_pipeline_crf_results_20260808_192615.xlsx</t>
  </si>
  <si>
    <t>/content/drive/MyDrive/thesis_project/thesis/outputs/exp10_cascade/cascaded_pipeline_crf_20260808_193359.json</t>
  </si>
  <si>
    <t>/content/drive/MyDrive/thesis_project/thesis/outputs/exp10_cascade/cascaded_pipeline_crf_results_20260808_193358.xlsx</t>
  </si>
  <si>
    <t>/content/drive/MyDrive/thesis_project/thesis/outputs/exp10_cascade/cascaded_pipeline_crf_20260808_194149.json</t>
  </si>
  <si>
    <t>/content/drive/MyDrive/thesis_project/thesis/outputs/exp10_cascade/cascaded_pipeline_crf_results_20260808_194147.xlsx</t>
  </si>
  <si>
    <t>/content/drive/MyDrive/thesis_project/thesis/outputs/exp10_cascade/cascaded_pipeline_crf_20260808_194910.json</t>
  </si>
  <si>
    <t>/content/drive/MyDrive/thesis_project/thesis/outputs/exp10_cascade/cascaded_pipeline_crf_results_20260808_194909.xlsx</t>
  </si>
  <si>
    <t>/content/drive/MyDrive/thesis_project/thesis/outputs/exp10_cascade/cascaded_pipeline_crf_20260808_195543.json</t>
  </si>
  <si>
    <t>/content/drive/MyDrive/thesis_project/thesis/outputs/exp10_cascade/cascaded_pipeline_crf_results_20260808_195542.xlsx</t>
  </si>
  <si>
    <t>/content/drive/MyDrive/thesis_project/thesis/outputs/exp10_cascade/cascaded_pipeline_crf_20260808_200245.json</t>
  </si>
  <si>
    <t>/content/drive/MyDrive/thesis_project/thesis/outputs/exp10_cascade/cascaded_pipeline_crf_results_20260808_200244.xlsx</t>
  </si>
  <si>
    <t>/content/drive/MyDrive/thesis_project/thesis/outputs/exp10_cascade/cascaded_pipeline_crf_20260808_201122.json</t>
  </si>
  <si>
    <t>/content/drive/MyDrive/thesis_project/thesis/outputs/exp10_cascade/cascaded_pipeline_crf_results_20260808_201120.xlsx</t>
  </si>
  <si>
    <t>/content/drive/MyDrive/thesis_project/thesis/outputs/exp10_cascade/cascaded_pipeline_crf_20260808_202006.json</t>
  </si>
  <si>
    <t>/content/drive/MyDrive/thesis_project/thesis/outputs/exp10_cascade/cascaded_pipeline_crf_results_20260808_202005.xlsx</t>
  </si>
  <si>
    <t>/content/drive/MyDrive/thesis_project/thesis/outputs/exp10_cascade/cascaded_pipeline_crf_20260808_202759.json</t>
  </si>
  <si>
    <t>/content/drive/MyDrive/thesis_project/thesis/outputs/exp10_cascade/cascaded_pipeline_crf_results_20260808_202758.xlsx</t>
  </si>
  <si>
    <t>/content/drive/MyDrive/thesis_project/thesis/outputs/exp10_cascade/cascaded_pipeline_crf_20260808_203427.json</t>
  </si>
  <si>
    <t>/content/drive/MyDrive/thesis_project/thesis/outputs/exp10_cascade/cascaded_pipeline_crf_results_20260808_203426.xlsx</t>
  </si>
  <si>
    <t>/content/drive/MyDrive/thesis_project/thesis/outputs/exp10_cascade/cascaded_pipeline_crf_20260808_204210.json</t>
  </si>
  <si>
    <t>/content/drive/MyDrive/thesis_project/thesis/outputs/exp10_cascade/cascaded_pipeline_crf_results_20260808_204209.xlsx</t>
  </si>
  <si>
    <t>/content/drive/MyDrive/thesis_project/thesis/outputs/exp10_cascade/cascaded_pipeline_crf_20260808_205026.json</t>
  </si>
  <si>
    <t>/content/drive/MyDrive/thesis_project/thesis/outputs/exp10_cascade/cascaded_pipeline_crf_results_20260808_205025.xlsx</t>
  </si>
  <si>
    <t>/content/drive/MyDrive/thesis_project/thesis/outputs/exp10_cascade/cascaded_pipeline_crf_20260808_205633.json</t>
  </si>
  <si>
    <t>/content/drive/MyDrive/thesis_project/thesis/outputs/exp10_cascade/cascaded_pipeline_crf_results_20260808_205631.xlsx</t>
  </si>
  <si>
    <t>/content/drive/MyDrive/thesis_project/thesis/outputs/exp10_cascade/cascaded_pipeline_crf_20260808_210302.json</t>
  </si>
  <si>
    <t>/content/drive/MyDrive/thesis_project/thesis/outputs/exp10_cascade/cascaded_pipeline_crf_results_20260808_210301.xlsx</t>
  </si>
  <si>
    <t>/content/drive/MyDrive/thesis_project/thesis/outputs/exp10_cascade/cascaded_pipeline_crf_20260808_211021.json</t>
  </si>
  <si>
    <t>/content/drive/MyDrive/thesis_project/thesis/outputs/exp10_cascade/cascaded_pipeline_crf_results_20260808_211020.xlsx</t>
  </si>
  <si>
    <t>/content/drive/MyDrive/thesis_project/thesis/outputs/exp10_cascade/cascaded_pipeline_crf_20260808_211843.json</t>
  </si>
  <si>
    <t>/content/drive/MyDrive/thesis_project/thesis/outputs/exp10_cascade/cascaded_pipeline_crf_results_20260808_211841.xlsx</t>
  </si>
  <si>
    <t>/content/drive/MyDrive/thesis_project/thesis/outputs/exp10_cascade/cascaded_pipeline_crf_20260808_212515.json</t>
  </si>
  <si>
    <t>/content/drive/MyDrive/thesis_project/thesis/outputs/exp10_cascade/cascaded_pipeline_crf_results_20260808_212514.xlsx</t>
  </si>
  <si>
    <t>/content/drive/MyDrive/thesis_project/thesis/outputs/exp10_cascade/cascaded_pipeline_crf_20260808_213159.json</t>
  </si>
  <si>
    <t>/content/drive/MyDrive/thesis_project/thesis/outputs/exp10_cascade/cascaded_pipeline_crf_results_20260808_213158.xlsx</t>
  </si>
  <si>
    <t>/content/drive/MyDrive/thesis_project/thesis/outputs/exp10_cascade/cascaded_pipeline_crf_20260808_213957.json</t>
  </si>
  <si>
    <t>/content/drive/MyDrive/thesis_project/thesis/outputs/exp10_cascade/cascaded_pipeline_crf_results_20260808_213955.xlsx</t>
  </si>
  <si>
    <t>/content/drive/MyDrive/thesis_project/thesis/outputs/exp10_cascade/cascaded_pipeline_crf_20260808_214630.json</t>
  </si>
  <si>
    <t>/content/drive/MyDrive/thesis_project/thesis/outputs/exp10_cascade/cascaded_pipeline_crf_results_20260808_214629.xlsx</t>
  </si>
  <si>
    <t>/content/drive/MyDrive/thesis_project/thesis/outputs/exp10_cascade/cascaded_pipeline_crf_20260808_215504.json</t>
  </si>
  <si>
    <t>/content/drive/MyDrive/thesis_project/thesis/outputs/exp10_cascade/cascaded_pipeline_crf_results_20260808_215503.xlsx</t>
  </si>
  <si>
    <t>/content/drive/MyDrive/thesis_project/thesis/outputs/exp10_svm_ready/fusion_svm_crf_ready_20260808_215521.json</t>
  </si>
  <si>
    <t>/content/drive/MyDrive/thesis_project/thesis/outputs/exp10_svm_ready/fusion_svm_crf_ready_results_20260808_215515.xlsx</t>
  </si>
  <si>
    <t>/content/drive/MyDrive/thesis_project/thesis/outputs/exp10_svm_ready/fusion_svm_crf_ready_20260808_215525.json</t>
  </si>
  <si>
    <t>/content/drive/MyDrive/thesis_project/thesis/outputs/exp10_svm_ready/fusion_svm_crf_ready_results_20260808_215524.xlsx</t>
  </si>
  <si>
    <t>/content/drive/MyDrive/thesis_project/thesis/outputs/exp10_svm_ready/fusion_svm_crf_ready_20260808_215528.json</t>
  </si>
  <si>
    <t>/content/drive/MyDrive/thesis_project/thesis/outputs/exp10_svm_ready/fusion_svm_crf_ready_results_20260808_215527.xlsx</t>
  </si>
  <si>
    <t>/content/drive/MyDrive/thesis_project/thesis/outputs/exp10_svm_ready/fusion_svm_crf_ready_20260808_215532.json</t>
  </si>
  <si>
    <t>/content/drive/MyDrive/thesis_project/thesis/outputs/exp10_svm_ready/fusion_svm_crf_ready_results_20260808_215531.xlsx</t>
  </si>
  <si>
    <t>/content/drive/MyDrive/thesis_project/thesis/outputs/exp10_svm_ready/fusion_svm_crf_ready_20260808_215536.json</t>
  </si>
  <si>
    <t>/content/drive/MyDrive/thesis_project/thesis/outputs/exp10_svm_ready/fusion_svm_crf_ready_results_20260808_215535.xlsx</t>
  </si>
  <si>
    <t>/content/drive/MyDrive/thesis_project/thesis/outputs/exp10_svm_ready/fusion_svm_crf_ready_20260808_215539.json</t>
  </si>
  <si>
    <t>/content/drive/MyDrive/thesis_project/thesis/outputs/exp10_svm_ready/fusion_svm_crf_ready_results_20260808_215538.xlsx</t>
  </si>
  <si>
    <t>/content/drive/MyDrive/thesis_project/thesis/outputs/exp10_svm_ready/fusion_svm_crf_ready_20260808_215543.json</t>
  </si>
  <si>
    <t>/content/drive/MyDrive/thesis_project/thesis/outputs/exp10_svm_ready/fusion_svm_crf_ready_results_20260808_215542.xlsx</t>
  </si>
  <si>
    <t>/content/drive/MyDrive/thesis_project/thesis/outputs/exp10_svm_ready/fusion_svm_crf_ready_20260808_215547.json</t>
  </si>
  <si>
    <t>/content/drive/MyDrive/thesis_project/thesis/outputs/exp10_svm_ready/fusion_svm_crf_ready_results_20260808_215546.xlsx</t>
  </si>
  <si>
    <t>/content/drive/MyDrive/thesis_project/thesis/outputs/exp10_svm_ready/fusion_svm_crf_ready_20260808_215550.json</t>
  </si>
  <si>
    <t>/content/drive/MyDrive/thesis_project/thesis/outputs/exp10_svm_ready/fusion_svm_crf_ready_results_20260808_215549.xlsx</t>
  </si>
  <si>
    <t>/content/drive/MyDrive/thesis_project/thesis/outputs/exp10_svm_ready/fusion_svm_crf_ready_20260808_215554.json</t>
  </si>
  <si>
    <t>/content/drive/MyDrive/thesis_project/thesis/outputs/exp10_svm_ready/fusion_svm_crf_ready_results_20260808_215553.xlsx</t>
  </si>
  <si>
    <t>/content/drive/MyDrive/thesis_project/thesis/outputs/exp10_svm_ready/fusion_svm_crf_ready_20260808_215558.json</t>
  </si>
  <si>
    <t>/content/drive/MyDrive/thesis_project/thesis/outputs/exp10_svm_ready/fusion_svm_crf_ready_results_20260808_215557.xlsx</t>
  </si>
  <si>
    <t>/content/drive/MyDrive/thesis_project/thesis/outputs/exp10_svm_ready/fusion_svm_crf_ready_20260808_215602.json</t>
  </si>
  <si>
    <t>/content/drive/MyDrive/thesis_project/thesis/outputs/exp10_svm_ready/fusion_svm_crf_ready_results_20260808_215601.xlsx</t>
  </si>
  <si>
    <t>/content/drive/MyDrive/thesis_project/thesis/outputs/exp10_svm_ready/fusion_svm_crf_ready_20260808_215605.json</t>
  </si>
  <si>
    <t>/content/drive/MyDrive/thesis_project/thesis/outputs/exp10_svm_ready/fusion_svm_crf_ready_results_20260808_215605.xlsx</t>
  </si>
  <si>
    <t>/content/drive/MyDrive/thesis_project/thesis/outputs/exp10_svm_ready/fusion_svm_crf_ready_20260808_215609.json</t>
  </si>
  <si>
    <t>/content/drive/MyDrive/thesis_project/thesis/outputs/exp10_svm_ready/fusion_svm_crf_ready_results_20260808_215608.xlsx</t>
  </si>
  <si>
    <t>/content/drive/MyDrive/thesis_project/thesis/outputs/exp10_svm_ready/fusion_svm_crf_ready_20260808_215613.json</t>
  </si>
  <si>
    <t>/content/drive/MyDrive/thesis_project/thesis/outputs/exp10_svm_ready/fusion_svm_crf_ready_results_20260808_215611.xlsx</t>
  </si>
  <si>
    <t>/content/drive/MyDrive/thesis_project/thesis/outputs/exp10_svm_ready/fusion_svm_crf_ready_20260808_215615.json</t>
  </si>
  <si>
    <t>/content/drive/MyDrive/thesis_project/thesis/outputs/exp10_svm_ready/fusion_svm_crf_ready_results_20260808_215614.xlsx</t>
  </si>
  <si>
    <t>/content/drive/MyDrive/thesis_project/thesis/outputs/exp10_svm_ready/fusion_svm_crf_ready_20260808_215617.json</t>
  </si>
  <si>
    <t>/content/drive/MyDrive/thesis_project/thesis/outputs/exp10_svm_ready/fusion_svm_crf_ready_results_20260808_215616.xlsx</t>
  </si>
  <si>
    <t>/content/drive/MyDrive/thesis_project/thesis/outputs/exp10_svm_ready/fusion_svm_crf_ready_20260808_215619.json</t>
  </si>
  <si>
    <t>/content/drive/MyDrive/thesis_project/thesis/outputs/exp10_svm_ready/fusion_svm_crf_ready_results_20260808_215618.xlsx</t>
  </si>
  <si>
    <t>/content/drive/MyDrive/thesis_project/thesis/outputs/exp10_svm_ready/fusion_svm_crf_ready_20260808_215622.json</t>
  </si>
  <si>
    <t>/content/drive/MyDrive/thesis_project/thesis/outputs/exp10_svm_ready/fusion_svm_crf_ready_results_20260808_215621.xlsx</t>
  </si>
  <si>
    <t>/content/drive/MyDrive/thesis_project/thesis/outputs/exp10_svm_ready/fusion_svm_crf_ready_20260808_215625.json</t>
  </si>
  <si>
    <t>/content/drive/MyDrive/thesis_project/thesis/outputs/exp10_svm_ready/fusion_svm_crf_ready_results_20260808_215623.xlsx</t>
  </si>
  <si>
    <t>/content/drive/MyDrive/thesis_project/thesis/outputs/exp10_svm_ready/fusion_svm_crf_ready_20260808_215628.json</t>
  </si>
  <si>
    <t>/content/drive/MyDrive/thesis_project/thesis/outputs/exp10_svm_ready/fusion_svm_crf_ready_results_20260808_215627.xlsx</t>
  </si>
  <si>
    <t>/content/drive/MyDrive/thesis_project/thesis/outputs/exp10_svm_ready/fusion_svm_crf_ready_20260808_215630.json</t>
  </si>
  <si>
    <t>/content/drive/MyDrive/thesis_project/thesis/outputs/exp10_svm_ready/fusion_svm_crf_ready_results_20260808_215629.xlsx</t>
  </si>
  <si>
    <t>/content/drive/MyDrive/thesis_project/thesis/outputs/exp10_svm_ready/fusion_svm_crf_ready_20260808_215632.json</t>
  </si>
  <si>
    <t>/content/drive/MyDrive/thesis_project/thesis/outputs/exp10_svm_ready/fusion_svm_crf_ready_results_20260808_215631.xlsx</t>
  </si>
  <si>
    <t>/content/drive/MyDrive/thesis_project/thesis/outputs/exp10_svm_ready/fusion_svm_crf_ready_20260808_215635.json</t>
  </si>
  <si>
    <t>/content/drive/MyDrive/thesis_project/thesis/outputs/exp10_svm_ready/fusion_svm_crf_ready_results_20260808_215633.xlsx</t>
  </si>
  <si>
    <t>/content/drive/MyDrive/thesis_project/thesis/outputs/exp10_svm_ready/fusion_svm_crf_ready_20260808_215637.json</t>
  </si>
  <si>
    <t>/content/drive/MyDrive/thesis_project/thesis/outputs/exp10_svm_ready/fusion_svm_crf_ready_results_20260808_215636.xlsx</t>
  </si>
  <si>
    <t>/content/drive/MyDrive/thesis_project/thesis/outputs/exp10_svm_ready/fusion_svm_crf_ready_20260808_215641.json</t>
  </si>
  <si>
    <t>/content/drive/MyDrive/thesis_project/thesis/outputs/exp10_svm_ready/fusion_svm_crf_ready_results_20260808_215639.xlsx</t>
  </si>
  <si>
    <t>/content/drive/MyDrive/thesis_project/thesis/outputs/exp10_svm_ready/fusion_svm_crf_ready_20260808_215643.json</t>
  </si>
  <si>
    <t>/content/drive/MyDrive/thesis_project/thesis/outputs/exp10_svm_ready/fusion_svm_crf_ready_results_20260808_215642.xlsx</t>
  </si>
  <si>
    <t>/content/drive/MyDrive/thesis_project/thesis/outputs/exp10_svm_ready/fusion_svm_crf_ready_20260808_215645.json</t>
  </si>
  <si>
    <t>/content/drive/MyDrive/thesis_project/thesis/outputs/exp10_svm_ready/fusion_svm_crf_ready_results_20260808_215644.xlsx</t>
  </si>
  <si>
    <t>/content/drive/MyDrive/thesis_project/thesis/outputs/exp10_svm_ready/fusion_svm_crf_ready_20260808_215648.json</t>
  </si>
  <si>
    <t>/content/drive/MyDrive/thesis_project/thesis/outputs/exp10_svm_ready/fusion_svm_crf_ready_results_20260808_215646.xlsx</t>
  </si>
  <si>
    <t>/content/drive/MyDrive/thesis_project/thesis/outputs/exp10_svm_ready/fusion_svm_crf_ready_20260808_215650.json</t>
  </si>
  <si>
    <t>/content/drive/MyDrive/thesis_project/thesis/outputs/exp10_svm_ready/fusion_svm_crf_ready_results_20260808_215649.xlsx</t>
  </si>
  <si>
    <t>/content/drive/MyDrive/thesis_project/thesis/outputs/exp10_svm_ready/fusion_svm_crf_ready_20260808_215653.json</t>
  </si>
  <si>
    <t>/content/drive/MyDrive/thesis_project/thesis/outputs/exp10_svm_ready/fusion_svm_crf_ready_results_20260808_215651.xlsx</t>
  </si>
  <si>
    <t>/content/drive/MyDrive/thesis_project/thesis/outputs/exp10_svm_ready/fusion_svm_crf_ready_20260808_215656.json</t>
  </si>
  <si>
    <t>/content/drive/MyDrive/thesis_project/thesis/outputs/exp10_svm_ready/fusion_svm_crf_ready_results_20260808_215654.xlsx</t>
  </si>
  <si>
    <t>/content/drive/MyDrive/thesis_project/thesis/outputs/exp10_svm_ready/fusion_svm_crf_ready_20260808_215658.json</t>
  </si>
  <si>
    <t>/content/drive/MyDrive/thesis_project/thesis/outputs/exp10_svm_ready/fusion_svm_crf_ready_results_20260808_215657.xlsx</t>
  </si>
  <si>
    <t>/content/drive/MyDrive/thesis_project/thesis/outputs/exp10_svm_ready/fusion_svm_crf_ready_20260808_215700.json</t>
  </si>
  <si>
    <t>/content/drive/MyDrive/thesis_project/thesis/outputs/exp10_svm_ready/fusion_svm_crf_ready_results_20260808_215659.xlsx</t>
  </si>
  <si>
    <t>/content/drive/MyDrive/thesis_project/thesis/outputs/exp10_svm_ready/fusion_svm_crf_ready_20260808_215703.json</t>
  </si>
  <si>
    <t>/content/drive/MyDrive/thesis_project/thesis/outputs/exp10_svm_ready/fusion_svm_crf_ready_results_20260808_215702.xlsx</t>
  </si>
  <si>
    <t>/content/drive/MyDrive/thesis_project/thesis/outputs/exp10_svm_ready/fusion_svm_crf_ready_20260808_215706.json</t>
  </si>
  <si>
    <t>/content/drive/MyDrive/thesis_project/thesis/outputs/exp10_svm_ready/fusion_svm_crf_ready_results_20260808_215704.xlsx</t>
  </si>
  <si>
    <t>/content/drive/MyDrive/thesis_project/thesis/outputs/exp10_svm_ready/fusion_svm_crf_ready_20260808_215709.json</t>
  </si>
  <si>
    <t>/content/drive/MyDrive/thesis_project/thesis/outputs/exp10_svm_ready/fusion_svm_crf_ready_results_20260808_215708.xlsx</t>
  </si>
  <si>
    <t>/content/drive/MyDrive/thesis_project/thesis/outputs/exp10_svm_ready/fusion_svm_crf_ready_20260808_215711.json</t>
  </si>
  <si>
    <t>/content/drive/MyDrive/thesis_project/thesis/outputs/exp10_svm_ready/fusion_svm_crf_ready_results_20260808_215710.xlsx</t>
  </si>
  <si>
    <t>/content/drive/MyDrive/thesis_project/thesis/outputs/exp10_svm_ready/fusion_svm_crf_ready_20260808_215713.json</t>
  </si>
  <si>
    <t>/content/drive/MyDrive/thesis_project/thesis/outputs/exp10_svm_ready/fusion_svm_crf_ready_results_20260808_215712.xlsx</t>
  </si>
  <si>
    <t>/content/drive/MyDrive/thesis_project/thesis/outputs/exp10_svm_ready/fusion_svm_crf_ready_20260808_215716.json</t>
  </si>
  <si>
    <t>/content/drive/MyDrive/thesis_project/thesis/outputs/exp10_svm_ready/fusion_svm_crf_ready_results_20260808_215714.xlsx</t>
  </si>
  <si>
    <t>bc5cdr_pubmedbert__small_300__before_exp01_baseline__seed42__aug</t>
  </si>
  <si>
    <t>bc5cdr_pubmedbert__small_300__before_exp01_baseline__augmented</t>
  </si>
  <si>
    <t>[BC5CDR + PubMedBERT] [small_300] Baseline (simple random split) [augmented] [seed 42]</t>
  </si>
  <si>
    <t>/content/drive/MyDrive/thesis_project/thesis/outputs/exp10_regular/regular_ner_crf_20260808_215811.json</t>
  </si>
  <si>
    <t>/content/drive/MyDrive/thesis_project/thesis/outputs/exp10_regular/regular_ner_crf_results_20260808_215811.xlsx</t>
  </si>
  <si>
    <t>bc5cdr_pubmedbert__small_300__before_exp01_baseline__seed43__aug</t>
  </si>
  <si>
    <t>[BC5CDR + PubMedBERT] [small_300] Baseline (simple random split) [augmented] [seed 43]</t>
  </si>
  <si>
    <t>/content/drive/MyDrive/thesis_project/thesis/outputs/exp10_regular/regular_ner_crf_20260808_220231.json</t>
  </si>
  <si>
    <t>/content/drive/MyDrive/thesis_project/thesis/outputs/exp10_regular/regular_ner_crf_results_20260808_220230.xlsx</t>
  </si>
  <si>
    <t>bc5cdr_pubmedbert__small_300__before_exp01_baseline__seed44__aug</t>
  </si>
  <si>
    <t>[BC5CDR + PubMedBERT] [small_300] Baseline (simple random split) [augmented] [seed 44]</t>
  </si>
  <si>
    <t>/content/drive/MyDrive/thesis_project/thesis/outputs/exp10_regular/regular_ner_crf_20260808_220629.json</t>
  </si>
  <si>
    <t>/content/drive/MyDrive/thesis_project/thesis/outputs/exp10_regular/regular_ner_crf_results_20260808_220628.xlsx</t>
  </si>
  <si>
    <t>bc5cdr_pubmedbert__small_300__before_exp01_baseline__seed45__aug</t>
  </si>
  <si>
    <t>[BC5CDR + PubMedBERT] [small_300] Baseline (simple random split) [augmented] [seed 45]</t>
  </si>
  <si>
    <t>/content/drive/MyDrive/thesis_project/thesis/outputs/exp10_regular/regular_ner_crf_20260808_221013.json</t>
  </si>
  <si>
    <t>/content/drive/MyDrive/thesis_project/thesis/outputs/exp10_regular/regular_ner_crf_results_20260808_221012.xlsx</t>
  </si>
  <si>
    <t>bc5cdr_pubmedbert__small_300__before_exp01_baseline__seed46__aug</t>
  </si>
  <si>
    <t>[BC5CDR + PubMedBERT] [small_300] Baseline (simple random split) [augmented] [seed 46]</t>
  </si>
  <si>
    <t>/content/drive/MyDrive/thesis_project/thesis/outputs/exp10_regular/regular_ner_crf_20260808_221421.json</t>
  </si>
  <si>
    <t>/content/drive/MyDrive/thesis_project/thesis/outputs/exp10_regular/regular_ner_crf_results_20260808_221420.xlsx</t>
  </si>
  <si>
    <t>bc5cdr_pubmedbert__small_300__before_exp01_baseline__seed47__aug</t>
  </si>
  <si>
    <t>[BC5CDR + PubMedBERT] [small_300] Baseline (simple random split) [augmented] [seed 47]</t>
  </si>
  <si>
    <t>/content/drive/MyDrive/thesis_project/thesis/outputs/exp10_regular/regular_ner_crf_20260808_221746.json</t>
  </si>
  <si>
    <t>/content/drive/MyDrive/thesis_project/thesis/outputs/exp10_regular/regular_ner_crf_results_20260808_221746.xlsx</t>
  </si>
  <si>
    <t>bc5cdr_pubmedbert__small_300__before_exp01_baseline__seed48__aug</t>
  </si>
  <si>
    <t>[BC5CDR + PubMedBERT] [small_300] Baseline (simple random split) [augmented] [seed 48]</t>
  </si>
  <si>
    <t>/content/drive/MyDrive/thesis_project/thesis/outputs/exp10_regular/regular_ner_crf_20260808_222201.json</t>
  </si>
  <si>
    <t>/content/drive/MyDrive/thesis_project/thesis/outputs/exp10_regular/regular_ner_crf_results_20260808_222201.xlsx</t>
  </si>
  <si>
    <t>bc5cdr_pubmedbert__small_300__before_exp01_baseline__seed49__aug</t>
  </si>
  <si>
    <t>[BC5CDR + PubMedBERT] [small_300] Baseline (simple random split) [augmented] [seed 49]</t>
  </si>
  <si>
    <t>/content/drive/MyDrive/thesis_project/thesis/outputs/exp10_regular/regular_ner_crf_20260808_222605.json</t>
  </si>
  <si>
    <t>/content/drive/MyDrive/thesis_project/thesis/outputs/exp10_regular/regular_ner_crf_results_20260808_222604.xlsx</t>
  </si>
  <si>
    <t>bc5cdr_pubmedbert__small_300__before_exp01_baseline__seed50__aug</t>
  </si>
  <si>
    <t>[BC5CDR + PubMedBERT] [small_300] Baseline (simple random split) [augmented] [seed 50]</t>
  </si>
  <si>
    <t>/content/drive/MyDrive/thesis_project/thesis/outputs/exp10_regular/regular_ner_crf_20260808_223028.json</t>
  </si>
  <si>
    <t>/content/drive/MyDrive/thesis_project/thesis/outputs/exp10_regular/regular_ner_crf_results_20260808_223028.xlsx</t>
  </si>
  <si>
    <t>bc5cdr_pubmedbert__small_300__before_exp01_baseline__seed51__aug</t>
  </si>
  <si>
    <t>[BC5CDR + PubMedBERT] [small_300] Baseline (simple random split) [augmented] [seed 51]</t>
  </si>
  <si>
    <t>/content/drive/MyDrive/thesis_project/thesis/outputs/exp10_regular/regular_ner_crf_20260808_223439.json</t>
  </si>
  <si>
    <t>/content/drive/MyDrive/thesis_project/thesis/outputs/exp10_regular/regular_ner_crf_results_20260808_223438.xlsx</t>
  </si>
  <si>
    <t>bc5cdr_pubmedbert__small_300__before_exp01_baseline__seed52__aug</t>
  </si>
  <si>
    <t>[BC5CDR + PubMedBERT] [small_300] Baseline (simple random split) [augmented] [seed 52]</t>
  </si>
  <si>
    <t>/content/drive/MyDrive/thesis_project/thesis/outputs/exp10_regular/regular_ner_crf_20260808_223856.json</t>
  </si>
  <si>
    <t>/content/drive/MyDrive/thesis_project/thesis/outputs/exp10_regular/regular_ner_crf_results_20260808_223855.xlsx</t>
  </si>
  <si>
    <t>bc5cdr_pubmedbert__small_300__before_exp01_baseline__seed53__aug</t>
  </si>
  <si>
    <t>[BC5CDR + PubMedBERT] [small_300] Baseline (simple random split) [augmented] [seed 53]</t>
  </si>
  <si>
    <t>/content/drive/MyDrive/thesis_project/thesis/outputs/exp10_regular/regular_ner_crf_20260808_224242.json</t>
  </si>
  <si>
    <t>/content/drive/MyDrive/thesis_project/thesis/outputs/exp10_regular/regular_ner_crf_results_20260808_224241.xlsx</t>
  </si>
  <si>
    <t>bc5cdr_pubmedbert__small_300__before_exp01_baseline__seed54__aug</t>
  </si>
  <si>
    <t>[BC5CDR + PubMedBERT] [small_300] Baseline (simple random split) [augmented] [seed 54]</t>
  </si>
  <si>
    <t>/content/drive/MyDrive/thesis_project/thesis/outputs/exp10_regular/regular_ner_crf_20260808_224703.json</t>
  </si>
  <si>
    <t>/content/drive/MyDrive/thesis_project/thesis/outputs/exp10_regular/regular_ner_crf_results_20260808_224702.xlsx</t>
  </si>
  <si>
    <t>bc5cdr_pubmedbert__small_300__before_exp01_baseline__seed55__aug</t>
  </si>
  <si>
    <t>[BC5CDR + PubMedBERT] [small_300] Baseline (simple random split) [augmented] [seed 55]</t>
  </si>
  <si>
    <t>/content/drive/MyDrive/thesis_project/thesis/outputs/exp10_regular/regular_ner_crf_20260808_225116.json</t>
  </si>
  <si>
    <t>/content/drive/MyDrive/thesis_project/thesis/outputs/exp10_regular/regular_ner_crf_results_20260808_225115.xlsx</t>
  </si>
  <si>
    <t>bc5cdr_pubmedbert__small_300__before_exp01_baseline__seed56__aug</t>
  </si>
  <si>
    <t>[BC5CDR + PubMedBERT] [small_300] Baseline (simple random split) [augmented] [seed 56]</t>
  </si>
  <si>
    <t>/content/drive/MyDrive/thesis_project/thesis/outputs/exp10_regular/regular_ner_crf_20260808_225521.json</t>
  </si>
  <si>
    <t>/content/drive/MyDrive/thesis_project/thesis/outputs/exp10_regular/regular_ner_crf_results_20260808_225520.xlsx</t>
  </si>
  <si>
    <t>bc5cdr_pubmedbert__small_300__before_exp01_baseline__seed57__aug</t>
  </si>
  <si>
    <t>[BC5CDR + PubMedBERT] [small_300] Baseline (simple random split) [augmented] [seed 57]</t>
  </si>
  <si>
    <t>/content/drive/MyDrive/thesis_project/thesis/outputs/exp10_regular/regular_ner_crf_20260808_225955.json</t>
  </si>
  <si>
    <t>/content/drive/MyDrive/thesis_project/thesis/outputs/exp10_regular/regular_ner_crf_results_20260808_225955.xlsx</t>
  </si>
  <si>
    <t>bc5cdr_pubmedbert__small_300__before_exp01_baseline__seed58__aug</t>
  </si>
  <si>
    <t>[BC5CDR + PubMedBERT] [small_300] Baseline (simple random split) [augmented] [seed 58]</t>
  </si>
  <si>
    <t>/content/drive/MyDrive/thesis_project/thesis/outputs/exp10_regular/regular_ner_crf_20260808_230417.json</t>
  </si>
  <si>
    <t>/content/drive/MyDrive/thesis_project/thesis/outputs/exp10_regular/regular_ner_crf_results_20260808_230416.xlsx</t>
  </si>
  <si>
    <t>bc5cdr_pubmedbert__small_300__before_exp01_baseline__seed59__aug</t>
  </si>
  <si>
    <t>[BC5CDR + PubMedBERT] [small_300] Baseline (simple random split) [augmented] [seed 59]</t>
  </si>
  <si>
    <t>/content/drive/MyDrive/thesis_project/thesis/outputs/exp10_regular/regular_ner_crf_20260808_230838.json</t>
  </si>
  <si>
    <t>/content/drive/MyDrive/thesis_project/thesis/outputs/exp10_regular/regular_ner_crf_results_20260808_230837.xlsx</t>
  </si>
  <si>
    <t>bc5cdr_pubmedbert__small_300__before_exp01_baseline__seed60__aug</t>
  </si>
  <si>
    <t>[BC5CDR + PubMedBERT] [small_300] Baseline (simple random split) [augmented] [seed 60]</t>
  </si>
  <si>
    <t>/content/drive/MyDrive/thesis_project/thesis/outputs/exp10_regular/regular_ner_crf_20260808_231313.json</t>
  </si>
  <si>
    <t>/content/drive/MyDrive/thesis_project/thesis/outputs/exp10_regular/regular_ner_crf_results_20260808_231312.xlsx</t>
  </si>
  <si>
    <t>bc5cdr_pubmedbert__small_300__before_exp01_baseline__seed61__aug</t>
  </si>
  <si>
    <t>[BC5CDR + PubMedBERT] [small_300] Baseline (simple random split) [augmented] [seed 61]</t>
  </si>
  <si>
    <t>/content/drive/MyDrive/thesis_project/thesis/outputs/exp10_regular/regular_ner_crf_20260808_231720.json</t>
  </si>
  <si>
    <t>/content/drive/MyDrive/thesis_project/thesis/outputs/exp10_regular/regular_ner_crf_results_20260808_231719.xlsx</t>
  </si>
  <si>
    <t>bc5cdr_pubmedbert__small_300__after_multilabel_iterative_paper__seed42__aug</t>
  </si>
  <si>
    <t>bc5cdr_pubmedbert__small_300__after_multilabel_iterative_paper__augmented</t>
  </si>
  <si>
    <t>[BC5CDR + PubMedBERT] [small_300] Multilabel stratified (paper-style) [augmented] [seed 42]</t>
  </si>
  <si>
    <t>/content/drive/MyDrive/thesis_project/thesis/outputs/exp10_regular/regular_ner_crf_20260808_232129.json</t>
  </si>
  <si>
    <t>/content/drive/MyDrive/thesis_project/thesis/outputs/exp10_regular/regular_ner_crf_results_20260808_232129.xlsx</t>
  </si>
  <si>
    <t>bc5cdr_pubmedbert__small_300__after_multilabel_iterative_paper__seed43__aug</t>
  </si>
  <si>
    <t>[BC5CDR + PubMedBERT] [small_300] Multilabel stratified (paper-style) [augmented] [seed 43]</t>
  </si>
  <si>
    <t>/content/drive/MyDrive/thesis_project/thesis/outputs/exp10_regular/regular_ner_crf_20260808_232537.json</t>
  </si>
  <si>
    <t>/content/drive/MyDrive/thesis_project/thesis/outputs/exp10_regular/regular_ner_crf_results_20260808_232536.xlsx</t>
  </si>
  <si>
    <t>bc5cdr_pubmedbert__small_300__after_multilabel_iterative_paper__seed44__aug</t>
  </si>
  <si>
    <t>[BC5CDR + PubMedBERT] [small_300] Multilabel stratified (paper-style) [augmented] [seed 44]</t>
  </si>
  <si>
    <t>/content/drive/MyDrive/thesis_project/thesis/outputs/exp10_regular/regular_ner_crf_20260808_232928.json</t>
  </si>
  <si>
    <t>/content/drive/MyDrive/thesis_project/thesis/outputs/exp10_regular/regular_ner_crf_results_20260808_232927.xlsx</t>
  </si>
  <si>
    <t>bc5cdr_pubmedbert__small_300__after_multilabel_iterative_paper__seed45__aug</t>
  </si>
  <si>
    <t>[BC5CDR + PubMedBERT] [small_300] Multilabel stratified (paper-style) [augmented] [seed 45]</t>
  </si>
  <si>
    <t>/content/drive/MyDrive/thesis_project/thesis/outputs/exp10_regular/regular_ner_crf_20260808_233334.json</t>
  </si>
  <si>
    <t>/content/drive/MyDrive/thesis_project/thesis/outputs/exp10_regular/regular_ner_crf_results_20260808_233333.xlsx</t>
  </si>
  <si>
    <t>bc5cdr_pubmedbert__small_300__after_multilabel_iterative_paper__seed46__aug</t>
  </si>
  <si>
    <t>[BC5CDR + PubMedBERT] [small_300] Multilabel stratified (paper-style) [augmented] [seed 46]</t>
  </si>
  <si>
    <t>/content/drive/MyDrive/thesis_project/thesis/outputs/exp10_regular/regular_ner_crf_20260808_233744.json</t>
  </si>
  <si>
    <t>/content/drive/MyDrive/thesis_project/thesis/outputs/exp10_regular/regular_ner_crf_results_20260808_233743.xlsx</t>
  </si>
  <si>
    <t>bc5cdr_pubmedbert__small_300__after_multilabel_iterative_paper__seed47__aug</t>
  </si>
  <si>
    <t>[BC5CDR + PubMedBERT] [small_300] Multilabel stratified (paper-style) [augmented] [seed 47]</t>
  </si>
  <si>
    <t>/content/drive/MyDrive/thesis_project/thesis/outputs/exp10_regular/regular_ner_crf_20260808_234208.json</t>
  </si>
  <si>
    <t>/content/drive/MyDrive/thesis_project/thesis/outputs/exp10_regular/regular_ner_crf_results_20260808_234208.xlsx</t>
  </si>
  <si>
    <t>bc5cdr_pubmedbert__small_300__after_multilabel_iterative_paper__seed48__aug</t>
  </si>
  <si>
    <t>[BC5CDR + PubMedBERT] [small_300] Multilabel stratified (paper-style) [augmented] [seed 48]</t>
  </si>
  <si>
    <t>/content/drive/MyDrive/thesis_project/thesis/outputs/exp10_regular/regular_ner_crf_20260808_234609.json</t>
  </si>
  <si>
    <t>/content/drive/MyDrive/thesis_project/thesis/outputs/exp10_regular/regular_ner_crf_results_20260808_234609.xlsx</t>
  </si>
  <si>
    <t>bc5cdr_pubmedbert__small_300__after_multilabel_iterative_paper__seed49__aug</t>
  </si>
  <si>
    <t>[BC5CDR + PubMedBERT] [small_300] Multilabel stratified (paper-style) [augmented] [seed 49]</t>
  </si>
  <si>
    <t>/content/drive/MyDrive/thesis_project/thesis/outputs/exp10_regular/regular_ner_crf_20260808_235004.json</t>
  </si>
  <si>
    <t>/content/drive/MyDrive/thesis_project/thesis/outputs/exp10_regular/regular_ner_crf_results_20260808_235004.xlsx</t>
  </si>
  <si>
    <t>bc5cdr_pubmedbert__small_300__after_multilabel_iterative_paper__seed50__aug</t>
  </si>
  <si>
    <t>[BC5CDR + PubMedBERT] [small_300] Multilabel stratified (paper-style) [augmented] [seed 50]</t>
  </si>
  <si>
    <t>/content/drive/MyDrive/thesis_project/thesis/outputs/exp10_regular/regular_ner_crf_20260808_235422.json</t>
  </si>
  <si>
    <t>/content/drive/MyDrive/thesis_project/thesis/outputs/exp10_regular/regular_ner_crf_results_20260808_235421.xlsx</t>
  </si>
  <si>
    <t>bc5cdr_pubmedbert__small_300__after_multilabel_iterative_paper__seed51__aug</t>
  </si>
  <si>
    <t>[BC5CDR + PubMedBERT] [small_300] Multilabel stratified (paper-style) [augmented] [seed 51]</t>
  </si>
  <si>
    <t>/content/drive/MyDrive/thesis_project/thesis/outputs/exp10_regular/regular_ner_crf_20260808_235836.json</t>
  </si>
  <si>
    <t>/content/drive/MyDrive/thesis_project/thesis/outputs/exp10_regular/regular_ner_crf_results_20260808_235835.xlsx</t>
  </si>
  <si>
    <t>bc5cdr_pubmedbert__small_300__after_multilabel_iterative_paper__seed52__aug</t>
  </si>
  <si>
    <t>[BC5CDR + PubMedBERT] [small_300] Multilabel stratified (paper-style) [augmented] [seed 52]</t>
  </si>
  <si>
    <t>/content/drive/MyDrive/thesis_project/thesis/outputs/exp10_regular/regular_ner_crf_20260809_000250.json</t>
  </si>
  <si>
    <t>/content/drive/MyDrive/thesis_project/thesis/outputs/exp10_regular/regular_ner_crf_results_20260809_000250.xlsx</t>
  </si>
  <si>
    <t>bc5cdr_pubmedbert__small_300__after_multilabel_iterative_paper__seed53__aug</t>
  </si>
  <si>
    <t>[BC5CDR + PubMedBERT] [small_300] Multilabel stratified (paper-style) [augmented] [seed 53]</t>
  </si>
  <si>
    <t>/content/drive/MyDrive/thesis_project/thesis/outputs/exp10_regular/regular_ner_crf_20260809_000703.json</t>
  </si>
  <si>
    <t>/content/drive/MyDrive/thesis_project/thesis/outputs/exp10_regular/regular_ner_crf_results_20260809_000703.xlsx</t>
  </si>
  <si>
    <t>bc5cdr_pubmedbert__small_300__after_multilabel_iterative_paper__seed54__aug</t>
  </si>
  <si>
    <t>[BC5CDR + PubMedBERT] [small_300] Multilabel stratified (paper-style) [augmented] [seed 54]</t>
  </si>
  <si>
    <t>/content/drive/MyDrive/thesis_project/thesis/outputs/exp10_regular/regular_ner_crf_20260809_001108.json</t>
  </si>
  <si>
    <t>/content/drive/MyDrive/thesis_project/thesis/outputs/exp10_regular/regular_ner_crf_results_20260809_001108.xlsx</t>
  </si>
  <si>
    <t>bc5cdr_pubmedbert__small_300__after_multilabel_iterative_paper__seed55__aug</t>
  </si>
  <si>
    <t>[BC5CDR + PubMedBERT] [small_300] Multilabel stratified (paper-style) [augmented] [seed 55]</t>
  </si>
  <si>
    <t>/content/drive/MyDrive/thesis_project/thesis/outputs/exp10_regular/regular_ner_crf_20260809_001526.json</t>
  </si>
  <si>
    <t>/content/drive/MyDrive/thesis_project/thesis/outputs/exp10_regular/regular_ner_crf_results_20260809_001525.xlsx</t>
  </si>
  <si>
    <t>bc5cdr_pubmedbert__small_300__after_multilabel_iterative_paper__seed56__aug</t>
  </si>
  <si>
    <t>[BC5CDR + PubMedBERT] [small_300] Multilabel stratified (paper-style) [augmented] [seed 56]</t>
  </si>
  <si>
    <t>/content/drive/MyDrive/thesis_project/thesis/outputs/exp10_regular/regular_ner_crf_20260809_001932.json</t>
  </si>
  <si>
    <t>/content/drive/MyDrive/thesis_project/thesis/outputs/exp10_regular/regular_ner_crf_results_20260809_001932.xlsx</t>
  </si>
  <si>
    <t>bc5cdr_pubmedbert__small_300__after_multilabel_iterative_paper__seed57__aug</t>
  </si>
  <si>
    <t>[BC5CDR + PubMedBERT] [small_300] Multilabel stratified (paper-style) [augmented] [seed 57]</t>
  </si>
  <si>
    <t>/content/drive/MyDrive/thesis_project/thesis/outputs/exp10_regular/regular_ner_crf_20260809_002347.json</t>
  </si>
  <si>
    <t>/content/drive/MyDrive/thesis_project/thesis/outputs/exp10_regular/regular_ner_crf_results_20260809_002346.xlsx</t>
  </si>
  <si>
    <t>bc5cdr_pubmedbert__small_300__after_multilabel_iterative_paper__seed58__aug</t>
  </si>
  <si>
    <t>[BC5CDR + PubMedBERT] [small_300] Multilabel stratified (paper-style) [augmented] [seed 58]</t>
  </si>
  <si>
    <t>/content/drive/MyDrive/thesis_project/thesis/outputs/exp10_regular/regular_ner_crf_20260809_002756.json</t>
  </si>
  <si>
    <t>/content/drive/MyDrive/thesis_project/thesis/outputs/exp10_regular/regular_ner_crf_results_20260809_002756.xlsx</t>
  </si>
  <si>
    <t>bc5cdr_pubmedbert__small_300__after_multilabel_iterative_paper__seed59__aug</t>
  </si>
  <si>
    <t>[BC5CDR + PubMedBERT] [small_300] Multilabel stratified (paper-style) [augmented] [seed 59]</t>
  </si>
  <si>
    <t>/content/drive/MyDrive/thesis_project/thesis/outputs/exp10_regular/regular_ner_crf_20260809_003132.json</t>
  </si>
  <si>
    <t>/content/drive/MyDrive/thesis_project/thesis/outputs/exp10_regular/regular_ner_crf_results_20260809_003131.xlsx</t>
  </si>
  <si>
    <t>bc5cdr_pubmedbert__small_300__after_multilabel_iterative_paper__seed60__aug</t>
  </si>
  <si>
    <t>[BC5CDR + PubMedBERT] [small_300] Multilabel stratified (paper-style) [augmented] [seed 60]</t>
  </si>
  <si>
    <t>/content/drive/MyDrive/thesis_project/thesis/outputs/exp10_regular/regular_ner_crf_20260809_003553.json</t>
  </si>
  <si>
    <t>/content/drive/MyDrive/thesis_project/thesis/outputs/exp10_regular/regular_ner_crf_results_20260809_003553.xlsx</t>
  </si>
  <si>
    <t>bc5cdr_pubmedbert__small_300__after_multilabel_iterative_paper__seed61__aug</t>
  </si>
  <si>
    <t>[BC5CDR + PubMedBERT] [small_300] Multilabel stratified (paper-style) [augmented] [seed 61]</t>
  </si>
  <si>
    <t>/content/drive/MyDrive/thesis_project/thesis/outputs/exp10_regular/regular_ner_crf_20260809_003959.json</t>
  </si>
  <si>
    <t>/content/drive/MyDrive/thesis_project/thesis/outputs/exp10_regular/regular_ner_crf_results_20260809_003958.xlsx</t>
  </si>
  <si>
    <t>/content/drive/MyDrive/thesis_project/thesis/outputs/exp10_cascade/cascaded_pipeline_crf_20260808_220142.json</t>
  </si>
  <si>
    <t>/content/drive/MyDrive/thesis_project/thesis/outputs/exp10_cascade/cascaded_pipeline_crf_results_20260808_220140.xlsx</t>
  </si>
  <si>
    <t>/content/drive/MyDrive/thesis_project/thesis/outputs/exp10_cascade/cascaded_pipeline_crf_20260808_220540.json</t>
  </si>
  <si>
    <t>/content/drive/MyDrive/thesis_project/thesis/outputs/exp10_cascade/cascaded_pipeline_crf_results_20260808_220539.xlsx</t>
  </si>
  <si>
    <t>/content/drive/MyDrive/thesis_project/thesis/outputs/exp10_cascade/cascaded_pipeline_crf_20260808_220927.json</t>
  </si>
  <si>
    <t>/content/drive/MyDrive/thesis_project/thesis/outputs/exp10_cascade/cascaded_pipeline_crf_results_20260808_220925.xlsx</t>
  </si>
  <si>
    <t>/content/drive/MyDrive/thesis_project/thesis/outputs/exp10_cascade/cascaded_pipeline_crf_20260808_221330.json</t>
  </si>
  <si>
    <t>/content/drive/MyDrive/thesis_project/thesis/outputs/exp10_cascade/cascaded_pipeline_crf_results_20260808_221329.xlsx</t>
  </si>
  <si>
    <t>/content/drive/MyDrive/thesis_project/thesis/outputs/exp10_cascade/cascaded_pipeline_crf_20260808_221657.json</t>
  </si>
  <si>
    <t>/content/drive/MyDrive/thesis_project/thesis/outputs/exp10_cascade/cascaded_pipeline_crf_results_20260808_221655.xlsx</t>
  </si>
  <si>
    <t>/content/drive/MyDrive/thesis_project/thesis/outputs/exp10_cascade/cascaded_pipeline_crf_20260808_222110.json</t>
  </si>
  <si>
    <t>/content/drive/MyDrive/thesis_project/thesis/outputs/exp10_cascade/cascaded_pipeline_crf_results_20260808_222109.xlsx</t>
  </si>
  <si>
    <t>/content/drive/MyDrive/thesis_project/thesis/outputs/exp10_cascade/cascaded_pipeline_crf_20260808_222514.json</t>
  </si>
  <si>
    <t>/content/drive/MyDrive/thesis_project/thesis/outputs/exp10_cascade/cascaded_pipeline_crf_results_20260808_222513.xlsx</t>
  </si>
  <si>
    <t>/content/drive/MyDrive/thesis_project/thesis/outputs/exp10_cascade/cascaded_pipeline_crf_20260808_222939.json</t>
  </si>
  <si>
    <t>/content/drive/MyDrive/thesis_project/thesis/outputs/exp10_cascade/cascaded_pipeline_crf_results_20260808_222938.xlsx</t>
  </si>
  <si>
    <t>/content/drive/MyDrive/thesis_project/thesis/outputs/exp10_cascade/cascaded_pipeline_crf_20260808_223349.json</t>
  </si>
  <si>
    <t>/content/drive/MyDrive/thesis_project/thesis/outputs/exp10_cascade/cascaded_pipeline_crf_results_20260808_223348.xlsx</t>
  </si>
  <si>
    <t>/content/drive/MyDrive/thesis_project/thesis/outputs/exp10_cascade/cascaded_pipeline_crf_20260808_223805.json</t>
  </si>
  <si>
    <t>/content/drive/MyDrive/thesis_project/thesis/outputs/exp10_cascade/cascaded_pipeline_crf_results_20260808_223804.xlsx</t>
  </si>
  <si>
    <t>/content/drive/MyDrive/thesis_project/thesis/outputs/exp10_cascade/cascaded_pipeline_crf_20260808_224150.json</t>
  </si>
  <si>
    <t>/content/drive/MyDrive/thesis_project/thesis/outputs/exp10_cascade/cascaded_pipeline_crf_results_20260808_224149.xlsx</t>
  </si>
  <si>
    <t>/content/drive/MyDrive/thesis_project/thesis/outputs/exp10_cascade/cascaded_pipeline_crf_20260808_224613.json</t>
  </si>
  <si>
    <t>/content/drive/MyDrive/thesis_project/thesis/outputs/exp10_cascade/cascaded_pipeline_crf_results_20260808_224611.xlsx</t>
  </si>
  <si>
    <t>/content/drive/MyDrive/thesis_project/thesis/outputs/exp10_cascade/cascaded_pipeline_crf_20260808_225028.json</t>
  </si>
  <si>
    <t>/content/drive/MyDrive/thesis_project/thesis/outputs/exp10_cascade/cascaded_pipeline_crf_results_20260808_225026.xlsx</t>
  </si>
  <si>
    <t>/content/drive/MyDrive/thesis_project/thesis/outputs/exp10_cascade/cascaded_pipeline_crf_20260808_225429.json</t>
  </si>
  <si>
    <t>/content/drive/MyDrive/thesis_project/thesis/outputs/exp10_cascade/cascaded_pipeline_crf_results_20260808_225428.xlsx</t>
  </si>
  <si>
    <t>/content/drive/MyDrive/thesis_project/thesis/outputs/exp10_cascade/cascaded_pipeline_crf_20260808_225906.json</t>
  </si>
  <si>
    <t>/content/drive/MyDrive/thesis_project/thesis/outputs/exp10_cascade/cascaded_pipeline_crf_results_20260808_225904.xlsx</t>
  </si>
  <si>
    <t>/content/drive/MyDrive/thesis_project/thesis/outputs/exp10_cascade/cascaded_pipeline_crf_20260808_230326.json</t>
  </si>
  <si>
    <t>/content/drive/MyDrive/thesis_project/thesis/outputs/exp10_cascade/cascaded_pipeline_crf_results_20260808_230325.xlsx</t>
  </si>
  <si>
    <t>/content/drive/MyDrive/thesis_project/thesis/outputs/exp10_cascade/cascaded_pipeline_crf_20260808_230744.json</t>
  </si>
  <si>
    <t>/content/drive/MyDrive/thesis_project/thesis/outputs/exp10_cascade/cascaded_pipeline_crf_results_20260808_230742.xlsx</t>
  </si>
  <si>
    <t>/content/drive/MyDrive/thesis_project/thesis/outputs/exp10_cascade/cascaded_pipeline_crf_20260808_231222.json</t>
  </si>
  <si>
    <t>/content/drive/MyDrive/thesis_project/thesis/outputs/exp10_cascade/cascaded_pipeline_crf_results_20260808_231221.xlsx</t>
  </si>
  <si>
    <t>/content/drive/MyDrive/thesis_project/thesis/outputs/exp10_cascade/cascaded_pipeline_crf_20260808_231631.json</t>
  </si>
  <si>
    <t>/content/drive/MyDrive/thesis_project/thesis/outputs/exp10_cascade/cascaded_pipeline_crf_results_20260808_231628.xlsx</t>
  </si>
  <si>
    <t>/content/drive/MyDrive/thesis_project/thesis/outputs/exp10_cascade/cascaded_pipeline_crf_20260808_232040.json</t>
  </si>
  <si>
    <t>/content/drive/MyDrive/thesis_project/thesis/outputs/exp10_cascade/cascaded_pipeline_crf_results_20260808_232039.xlsx</t>
  </si>
  <si>
    <t>/content/drive/MyDrive/thesis_project/thesis/outputs/exp10_cascade/cascaded_pipeline_crf_20260808_232447.json</t>
  </si>
  <si>
    <t>/content/drive/MyDrive/thesis_project/thesis/outputs/exp10_cascade/cascaded_pipeline_crf_results_20260808_232445.xlsx</t>
  </si>
  <si>
    <t>/content/drive/MyDrive/thesis_project/thesis/outputs/exp10_cascade/cascaded_pipeline_crf_20260808_232839.json</t>
  </si>
  <si>
    <t>/content/drive/MyDrive/thesis_project/thesis/outputs/exp10_cascade/cascaded_pipeline_crf_results_20260808_232838.xlsx</t>
  </si>
  <si>
    <t>/content/drive/MyDrive/thesis_project/thesis/outputs/exp10_cascade/cascaded_pipeline_crf_20260808_233244.json</t>
  </si>
  <si>
    <t>/content/drive/MyDrive/thesis_project/thesis/outputs/exp10_cascade/cascaded_pipeline_crf_results_20260808_233243.xlsx</t>
  </si>
  <si>
    <t>/content/drive/MyDrive/thesis_project/thesis/outputs/exp10_cascade/cascaded_pipeline_crf_20260808_233653.json</t>
  </si>
  <si>
    <t>/content/drive/MyDrive/thesis_project/thesis/outputs/exp10_cascade/cascaded_pipeline_crf_results_20260808_233650.xlsx</t>
  </si>
  <si>
    <t>/content/drive/MyDrive/thesis_project/thesis/outputs/exp10_cascade/cascaded_pipeline_crf_20260808_234118.json</t>
  </si>
  <si>
    <t>/content/drive/MyDrive/thesis_project/thesis/outputs/exp10_cascade/cascaded_pipeline_crf_results_20260808_234116.xlsx</t>
  </si>
  <si>
    <t>/content/drive/MyDrive/thesis_project/thesis/outputs/exp10_cascade/cascaded_pipeline_crf_20260808_234521.json</t>
  </si>
  <si>
    <t>/content/drive/MyDrive/thesis_project/thesis/outputs/exp10_cascade/cascaded_pipeline_crf_results_20260808_234520.xlsx</t>
  </si>
  <si>
    <t>/content/drive/MyDrive/thesis_project/thesis/outputs/exp10_cascade/cascaded_pipeline_crf_20260808_234914.json</t>
  </si>
  <si>
    <t>/content/drive/MyDrive/thesis_project/thesis/outputs/exp10_cascade/cascaded_pipeline_crf_results_20260808_234912.xlsx</t>
  </si>
  <si>
    <t>/content/drive/MyDrive/thesis_project/thesis/outputs/exp10_cascade/cascaded_pipeline_crf_20260808_235332.json</t>
  </si>
  <si>
    <t>/content/drive/MyDrive/thesis_project/thesis/outputs/exp10_cascade/cascaded_pipeline_crf_results_20260808_235330.xlsx</t>
  </si>
  <si>
    <t>/content/drive/MyDrive/thesis_project/thesis/outputs/exp10_cascade/cascaded_pipeline_crf_20260808_235745.json</t>
  </si>
  <si>
    <t>/content/drive/MyDrive/thesis_project/thesis/outputs/exp10_cascade/cascaded_pipeline_crf_results_20260808_235743.xlsx</t>
  </si>
  <si>
    <t>/content/drive/MyDrive/thesis_project/thesis/outputs/exp10_cascade/cascaded_pipeline_crf_20260809_000202.json</t>
  </si>
  <si>
    <t>/content/drive/MyDrive/thesis_project/thesis/outputs/exp10_cascade/cascaded_pipeline_crf_results_20260809_000200.xlsx</t>
  </si>
  <si>
    <t>/content/drive/MyDrive/thesis_project/thesis/outputs/exp10_cascade/cascaded_pipeline_crf_20260809_000615.json</t>
  </si>
  <si>
    <t>/content/drive/MyDrive/thesis_project/thesis/outputs/exp10_cascade/cascaded_pipeline_crf_results_20260809_000613.xlsx</t>
  </si>
  <si>
    <t>/content/drive/MyDrive/thesis_project/thesis/outputs/exp10_cascade/cascaded_pipeline_crf_20260809_001018.json</t>
  </si>
  <si>
    <t>/content/drive/MyDrive/thesis_project/thesis/outputs/exp10_cascade/cascaded_pipeline_crf_results_20260809_001017.xlsx</t>
  </si>
  <si>
    <t>/content/drive/MyDrive/thesis_project/thesis/outputs/exp10_cascade/cascaded_pipeline_crf_20260809_001436.json</t>
  </si>
  <si>
    <t>/content/drive/MyDrive/thesis_project/thesis/outputs/exp10_cascade/cascaded_pipeline_crf_results_20260809_001435.xlsx</t>
  </si>
  <si>
    <t>/content/drive/MyDrive/thesis_project/thesis/outputs/exp10_cascade/cascaded_pipeline_crf_20260809_001844.json</t>
  </si>
  <si>
    <t>/content/drive/MyDrive/thesis_project/thesis/outputs/exp10_cascade/cascaded_pipeline_crf_results_20260809_001843.xlsx</t>
  </si>
  <si>
    <t>/content/drive/MyDrive/thesis_project/thesis/outputs/exp10_cascade/cascaded_pipeline_crf_20260809_002257.json</t>
  </si>
  <si>
    <t>/content/drive/MyDrive/thesis_project/thesis/outputs/exp10_cascade/cascaded_pipeline_crf_results_20260809_002255.xlsx</t>
  </si>
  <si>
    <t>/content/drive/MyDrive/thesis_project/thesis/outputs/exp10_cascade/cascaded_pipeline_crf_20260809_002708.json</t>
  </si>
  <si>
    <t>/content/drive/MyDrive/thesis_project/thesis/outputs/exp10_cascade/cascaded_pipeline_crf_results_20260809_002706.xlsx</t>
  </si>
  <si>
    <t>/content/drive/MyDrive/thesis_project/thesis/outputs/exp10_cascade/cascaded_pipeline_crf_20260809_003042.json</t>
  </si>
  <si>
    <t>/content/drive/MyDrive/thesis_project/thesis/outputs/exp10_cascade/cascaded_pipeline_crf_results_20260809_003040.xlsx</t>
  </si>
  <si>
    <t>/content/drive/MyDrive/thesis_project/thesis/outputs/exp10_cascade/cascaded_pipeline_crf_20260809_003503.json</t>
  </si>
  <si>
    <t>/content/drive/MyDrive/thesis_project/thesis/outputs/exp10_cascade/cascaded_pipeline_crf_results_20260809_003502.xlsx</t>
  </si>
  <si>
    <t>/content/drive/MyDrive/thesis_project/thesis/outputs/exp10_cascade/cascaded_pipeline_crf_20260809_003911.json</t>
  </si>
  <si>
    <t>/content/drive/MyDrive/thesis_project/thesis/outputs/exp10_cascade/cascaded_pipeline_crf_results_20260809_003909.xlsx</t>
  </si>
  <si>
    <t>/content/drive/MyDrive/thesis_project/thesis/outputs/exp10_cascade/cascaded_pipeline_crf_20260809_004312.json</t>
  </si>
  <si>
    <t>/content/drive/MyDrive/thesis_project/thesis/outputs/exp10_cascade/cascaded_pipeline_crf_results_20260809_004311.xlsx</t>
  </si>
  <si>
    <t>/content/drive/MyDrive/thesis_project/thesis/outputs/exp10_svm_ready/fusion_svm_crf_ready_20260809_004317.json</t>
  </si>
  <si>
    <t>/content/drive/MyDrive/thesis_project/thesis/outputs/exp10_svm_ready/fusion_svm_crf_ready_results_20260809_004315.xlsx</t>
  </si>
  <si>
    <t>/content/drive/MyDrive/thesis_project/thesis/outputs/exp10_svm_ready/fusion_svm_crf_ready_20260809_004319.json</t>
  </si>
  <si>
    <t>/content/drive/MyDrive/thesis_project/thesis/outputs/exp10_svm_ready/fusion_svm_crf_ready_results_20260809_004318.xlsx</t>
  </si>
  <si>
    <t>/content/drive/MyDrive/thesis_project/thesis/outputs/exp10_svm_ready/fusion_svm_crf_ready_20260809_004323.json</t>
  </si>
  <si>
    <t>/content/drive/MyDrive/thesis_project/thesis/outputs/exp10_svm_ready/fusion_svm_crf_ready_results_20260809_004321.xlsx</t>
  </si>
  <si>
    <t>/content/drive/MyDrive/thesis_project/thesis/outputs/exp10_svm_ready/fusion_svm_crf_ready_20260809_004325.json</t>
  </si>
  <si>
    <t>/content/drive/MyDrive/thesis_project/thesis/outputs/exp10_svm_ready/fusion_svm_crf_ready_results_20260809_004324.xlsx</t>
  </si>
  <si>
    <t>/content/drive/MyDrive/thesis_project/thesis/outputs/exp10_svm_ready/fusion_svm_crf_ready_20260809_004327.json</t>
  </si>
  <si>
    <t>/content/drive/MyDrive/thesis_project/thesis/outputs/exp10_svm_ready/fusion_svm_crf_ready_results_20260809_004326.xlsx</t>
  </si>
  <si>
    <t>/content/drive/MyDrive/thesis_project/thesis/outputs/exp10_svm_ready/fusion_svm_crf_ready_20260809_004330.json</t>
  </si>
  <si>
    <t>/content/drive/MyDrive/thesis_project/thesis/outputs/exp10_svm_ready/fusion_svm_crf_ready_results_20260809_004328.xlsx</t>
  </si>
  <si>
    <t>/content/drive/MyDrive/thesis_project/thesis/outputs/exp10_svm_ready/fusion_svm_crf_ready_20260809_004331.json</t>
  </si>
  <si>
    <t>/content/drive/MyDrive/thesis_project/thesis/outputs/exp10_svm_ready/fusion_svm_crf_ready_results_20260809_004331.xlsx</t>
  </si>
  <si>
    <t>/content/drive/MyDrive/thesis_project/thesis/outputs/exp10_svm_ready/fusion_svm_crf_ready_20260809_004335.json</t>
  </si>
  <si>
    <t>/content/drive/MyDrive/thesis_project/thesis/outputs/exp10_svm_ready/fusion_svm_crf_ready_results_20260809_004333.xlsx</t>
  </si>
  <si>
    <t>/content/drive/MyDrive/thesis_project/thesis/outputs/exp10_svm_ready/fusion_svm_crf_ready_20260809_004338.json</t>
  </si>
  <si>
    <t>/content/drive/MyDrive/thesis_project/thesis/outputs/exp10_svm_ready/fusion_svm_crf_ready_results_20260809_004337.xlsx</t>
  </si>
  <si>
    <t>/content/drive/MyDrive/thesis_project/thesis/outputs/exp10_svm_ready/fusion_svm_crf_ready_20260809_004340.json</t>
  </si>
  <si>
    <t>/content/drive/MyDrive/thesis_project/thesis/outputs/exp10_svm_ready/fusion_svm_crf_ready_results_20260809_004339.xlsx</t>
  </si>
  <si>
    <t>/content/drive/MyDrive/thesis_project/thesis/outputs/exp10_svm_ready/fusion_svm_crf_ready_20260809_004342.json</t>
  </si>
  <si>
    <t>/content/drive/MyDrive/thesis_project/thesis/outputs/exp10_svm_ready/fusion_svm_crf_ready_results_20260809_004341.xlsx</t>
  </si>
  <si>
    <t>/content/drive/MyDrive/thesis_project/thesis/outputs/exp10_svm_ready/fusion_svm_crf_ready_20260809_004345.json</t>
  </si>
  <si>
    <t>/content/drive/MyDrive/thesis_project/thesis/outputs/exp10_svm_ready/fusion_svm_crf_ready_results_20260809_004343.xlsx</t>
  </si>
  <si>
    <t>/content/drive/MyDrive/thesis_project/thesis/outputs/exp10_svm_ready/fusion_svm_crf_ready_20260809_004348.json</t>
  </si>
  <si>
    <t>/content/drive/MyDrive/thesis_project/thesis/outputs/exp10_svm_ready/fusion_svm_crf_ready_results_20260809_004346.xlsx</t>
  </si>
  <si>
    <t>/content/drive/MyDrive/thesis_project/thesis/outputs/exp10_svm_ready/fusion_svm_crf_ready_20260809_004351.json</t>
  </si>
  <si>
    <t>/content/drive/MyDrive/thesis_project/thesis/outputs/exp10_svm_ready/fusion_svm_crf_ready_results_20260809_004350.xlsx</t>
  </si>
  <si>
    <t>/content/drive/MyDrive/thesis_project/thesis/outputs/exp10_svm_ready/fusion_svm_crf_ready_20260809_004353.json</t>
  </si>
  <si>
    <t>/content/drive/MyDrive/thesis_project/thesis/outputs/exp10_svm_ready/fusion_svm_crf_ready_results_20260809_004352.xlsx</t>
  </si>
  <si>
    <t>/content/drive/MyDrive/thesis_project/thesis/outputs/exp10_svm_ready/fusion_svm_crf_ready_20260809_004356.json</t>
  </si>
  <si>
    <t>/content/drive/MyDrive/thesis_project/thesis/outputs/exp10_svm_ready/fusion_svm_crf_ready_results_20260809_004355.xlsx</t>
  </si>
  <si>
    <t>/content/drive/MyDrive/thesis_project/thesis/outputs/exp10_svm_ready/fusion_svm_crf_ready_20260809_004358.json</t>
  </si>
  <si>
    <t>/content/drive/MyDrive/thesis_project/thesis/outputs/exp10_svm_ready/fusion_svm_crf_ready_results_20260809_004357.xlsx</t>
  </si>
  <si>
    <t>/content/drive/MyDrive/thesis_project/thesis/outputs/exp10_svm_ready/fusion_svm_crf_ready_20260809_004401.json</t>
  </si>
  <si>
    <t>/content/drive/MyDrive/thesis_project/thesis/outputs/exp10_svm_ready/fusion_svm_crf_ready_results_20260809_004400.xlsx</t>
  </si>
  <si>
    <t>/content/drive/MyDrive/thesis_project/thesis/outputs/exp10_svm_ready/fusion_svm_crf_ready_20260809_004405.json</t>
  </si>
  <si>
    <t>/content/drive/MyDrive/thesis_project/thesis/outputs/exp10_svm_ready/fusion_svm_crf_ready_results_20260809_004403.xlsx</t>
  </si>
  <si>
    <t>/content/drive/MyDrive/thesis_project/thesis/outputs/exp10_svm_ready/fusion_svm_crf_ready_20260809_004407.json</t>
  </si>
  <si>
    <t>/content/drive/MyDrive/thesis_project/thesis/outputs/exp10_svm_ready/fusion_svm_crf_ready_results_20260809_004406.xlsx</t>
  </si>
  <si>
    <t>/content/drive/MyDrive/thesis_project/thesis/outputs/exp10_svm_ready/fusion_svm_crf_ready_20260809_004409.json</t>
  </si>
  <si>
    <t>/content/drive/MyDrive/thesis_project/thesis/outputs/exp10_svm_ready/fusion_svm_crf_ready_results_20260809_004408.xlsx</t>
  </si>
  <si>
    <t>/content/drive/MyDrive/thesis_project/thesis/outputs/exp10_svm_ready/fusion_svm_crf_ready_20260809_004412.json</t>
  </si>
  <si>
    <t>/content/drive/MyDrive/thesis_project/thesis/outputs/exp10_svm_ready/fusion_svm_crf_ready_results_20260809_004411.xlsx</t>
  </si>
  <si>
    <t>/content/drive/MyDrive/thesis_project/thesis/outputs/exp10_svm_ready/fusion_svm_crf_ready_20260809_004415.json</t>
  </si>
  <si>
    <t>/content/drive/MyDrive/thesis_project/thesis/outputs/exp10_svm_ready/fusion_svm_crf_ready_results_20260809_004413.xlsx</t>
  </si>
  <si>
    <t>/content/drive/MyDrive/thesis_project/thesis/outputs/exp10_svm_ready/fusion_svm_crf_ready_20260809_004418.json</t>
  </si>
  <si>
    <t>/content/drive/MyDrive/thesis_project/thesis/outputs/exp10_svm_ready/fusion_svm_crf_ready_results_20260809_004416.xlsx</t>
  </si>
  <si>
    <t>/content/drive/MyDrive/thesis_project/thesis/outputs/exp10_svm_ready/fusion_svm_crf_ready_20260809_004420.json</t>
  </si>
  <si>
    <t>/content/drive/MyDrive/thesis_project/thesis/outputs/exp10_svm_ready/fusion_svm_crf_ready_results_20260809_004419.xlsx</t>
  </si>
  <si>
    <t>/content/drive/MyDrive/thesis_project/thesis/outputs/exp10_svm_ready/fusion_svm_crf_ready_20260809_004423.json</t>
  </si>
  <si>
    <t>/content/drive/MyDrive/thesis_project/thesis/outputs/exp10_svm_ready/fusion_svm_crf_ready_results_20260809_004422.xlsx</t>
  </si>
  <si>
    <t>/content/drive/MyDrive/thesis_project/thesis/outputs/exp10_svm_ready/fusion_svm_crf_ready_20260809_004425.json</t>
  </si>
  <si>
    <t>/content/drive/MyDrive/thesis_project/thesis/outputs/exp10_svm_ready/fusion_svm_crf_ready_results_20260809_004424.xlsx</t>
  </si>
  <si>
    <t>/content/drive/MyDrive/thesis_project/thesis/outputs/exp10_svm_ready/fusion_svm_crf_ready_20260809_004427.json</t>
  </si>
  <si>
    <t>/content/drive/MyDrive/thesis_project/thesis/outputs/exp10_svm_ready/fusion_svm_crf_ready_results_20260809_004426.xlsx</t>
  </si>
  <si>
    <t>/content/drive/MyDrive/thesis_project/thesis/outputs/exp10_svm_ready/fusion_svm_crf_ready_20260809_004431.json</t>
  </si>
  <si>
    <t>/content/drive/MyDrive/thesis_project/thesis/outputs/exp10_svm_ready/fusion_svm_crf_ready_results_20260809_004429.xlsx</t>
  </si>
  <si>
    <t>/content/drive/MyDrive/thesis_project/thesis/outputs/exp10_svm_ready/fusion_svm_crf_ready_20260809_004433.json</t>
  </si>
  <si>
    <t>/content/drive/MyDrive/thesis_project/thesis/outputs/exp10_svm_ready/fusion_svm_crf_ready_results_20260809_004432.xlsx</t>
  </si>
  <si>
    <t>/content/drive/MyDrive/thesis_project/thesis/outputs/exp10_svm_ready/fusion_svm_crf_ready_20260809_004436.json</t>
  </si>
  <si>
    <t>/content/drive/MyDrive/thesis_project/thesis/outputs/exp10_svm_ready/fusion_svm_crf_ready_results_20260809_004434.xlsx</t>
  </si>
  <si>
    <t>/content/drive/MyDrive/thesis_project/thesis/outputs/exp10_svm_ready/fusion_svm_crf_ready_20260809_004438.json</t>
  </si>
  <si>
    <t>/content/drive/MyDrive/thesis_project/thesis/outputs/exp10_svm_ready/fusion_svm_crf_ready_results_20260809_004437.xlsx</t>
  </si>
  <si>
    <t>/content/drive/MyDrive/thesis_project/thesis/outputs/exp10_svm_ready/fusion_svm_crf_ready_20260809_004440.json</t>
  </si>
  <si>
    <t>/content/drive/MyDrive/thesis_project/thesis/outputs/exp10_svm_ready/fusion_svm_crf_ready_results_20260809_004439.xlsx</t>
  </si>
  <si>
    <t>/content/drive/MyDrive/thesis_project/thesis/outputs/exp10_svm_ready/fusion_svm_crf_ready_20260809_004443.json</t>
  </si>
  <si>
    <t>/content/drive/MyDrive/thesis_project/thesis/outputs/exp10_svm_ready/fusion_svm_crf_ready_results_20260809_004442.xlsx</t>
  </si>
  <si>
    <t>/content/drive/MyDrive/thesis_project/thesis/outputs/exp10_svm_ready/fusion_svm_crf_ready_20260809_004447.json</t>
  </si>
  <si>
    <t>/content/drive/MyDrive/thesis_project/thesis/outputs/exp10_svm_ready/fusion_svm_crf_ready_results_20260809_004446.xlsx</t>
  </si>
  <si>
    <t>/content/drive/MyDrive/thesis_project/thesis/outputs/exp10_svm_ready/fusion_svm_crf_ready_20260809_004449.json</t>
  </si>
  <si>
    <t>/content/drive/MyDrive/thesis_project/thesis/outputs/exp10_svm_ready/fusion_svm_crf_ready_results_20260809_004448.xlsx</t>
  </si>
  <si>
    <t>/content/drive/MyDrive/thesis_project/thesis/outputs/exp10_svm_ready/fusion_svm_crf_ready_20260809_004451.json</t>
  </si>
  <si>
    <t>/content/drive/MyDrive/thesis_project/thesis/outputs/exp10_svm_ready/fusion_svm_crf_ready_results_20260809_004450.xlsx</t>
  </si>
  <si>
    <t>/content/drive/MyDrive/thesis_project/thesis/outputs/exp10_svm_ready/fusion_svm_crf_ready_20260809_004454.json</t>
  </si>
  <si>
    <t>/content/drive/MyDrive/thesis_project/thesis/outputs/exp10_svm_ready/fusion_svm_crf_ready_results_20260809_004453.xlsx</t>
  </si>
  <si>
    <t>/content/drive/MyDrive/thesis_project/thesis/outputs/exp10_svm_ready/fusion_svm_crf_ready_20260809_004457.json</t>
  </si>
  <si>
    <t>/content/drive/MyDrive/thesis_project/thesis/outputs/exp10_svm_ready/fusion_svm_crf_ready_results_20260809_004455.xlsx</t>
  </si>
  <si>
    <t>/content/drive/MyDrive/thesis_project/thesis/outputs/exp10_svm_ready/fusion_svm_crf_ready_20260809_004500.json</t>
  </si>
  <si>
    <t>/content/drive/MyDrive/thesis_project/thesis/outputs/exp10_svm_ready/fusion_svm_crf_ready_results_20260809_004459.xlsx</t>
  </si>
  <si>
    <t>NON-AUGMENTED RESULTS</t>
  </si>
  <si>
    <t>AUGMENTED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</si>
</sst>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164" fontId="0" fillId="0" borderId="0" xfId="0" applyNumberFormat="1" applyFont="1" applyAlignment="1">
      <alignment wrapText="1"/>
    </xf>
    <xf numFmtId="1" fontId="0" fillId="0" borderId="0" xfId="0" applyNumberFormat="1" applyFont="1" applyAlignment="1">
      <alignment wrapText="1"/>
    </xf>
    <xf numFmtId="164" fontId="0" fillId="3" borderId="0" xfId="0" applyNumberFormat="1" applyFont="1" applyFill="1" applyAlignment="1">
      <alignment wrapText="1"/>
    </xf>
    <xf numFmtId="164" fontId="3" fillId="0" borderId="0" xfId="0" applyNumberFormat="1" applyFont="1" applyFill="1" applyAlignment="1">
      <alignment wrapText="1"/>
    </xf>
  </cellXfs>
  <cellStyles count="1">
    <cellStyle name="Normal" xfId="0" builtinId="0"/>
  </cellStyles>
  <dxfs count="18"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numFmt numFmtId="1" formatCode="0"/>
      <alignment wrapText="1"/>
    </dxf>
    <dxf>
      <font>
        <sz val="11"/>
        <name val="Calibri"/>
      </font>
      <numFmt numFmtId="164" formatCode="0.0000"/>
      <alignment wrapText="1"/>
    </dxf>
    <dxf>
      <font>
        <sz val="11"/>
        <name val="Calibri"/>
      </font>
      <numFmt numFmtId="164" formatCode="0.0000"/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numFmt numFmtId="1" formatCode="0"/>
      <alignment wrapText="1"/>
    </dxf>
    <dxf>
      <font>
        <sz val="11"/>
        <name val="Calibri"/>
      </font>
      <numFmt numFmtId="164" formatCode="0.0000"/>
      <alignment wrapText="1"/>
    </dxf>
    <dxf>
      <font>
        <sz val="11"/>
        <name val="Calibri"/>
      </font>
      <numFmt numFmtId="164" formatCode="0.0000"/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  <dxf>
      <font>
        <sz val="11"/>
        <name val="Calibri"/>
      </font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9E22FF-1AC9-48B7-8665-0137DBB2CAEA}" name="NonAugmentedSummary" displayName="NonAugmentedSummary" ref="A2:G20" totalsRowShown="0" headerRowDxfId="10" dataDxfId="9">
  <autoFilter ref="A2:G20" xr:uid="{919E22FF-1AC9-48B7-8665-0137DBB2CAEA}"/>
  <tableColumns count="7">
    <tableColumn id="1" xr3:uid="{D0C9DCE7-C270-4C23-9B49-76711E3B12B9}" name="benchmark" dataDxfId="17"/>
    <tableColumn id="2" xr3:uid="{5CB66500-ADDF-4C91-8395-F5A7409B7629}" name="experiment_id" dataDxfId="16"/>
    <tableColumn id="3" xr3:uid="{9ED6C458-F8FF-4AFD-8A48-A0A7C18AB284}" name="regime" dataDxfId="15"/>
    <tableColumn id="4" xr3:uid="{0BDBE0DB-B1DA-4FB1-8FEA-5D17C1FE3E7A}" name="split_variant" dataDxfId="14"/>
    <tableColumn id="5" xr3:uid="{29DA3C07-9B79-4279-815A-B4E35EBFCE47}" name="f1_mean" dataDxfId="13">
      <calculatedColumnFormula>AVERAGEIFS(all_runs!$S$2:$S$721,all_runs!$B$2:$B$721,$A3,all_runs!$E$2:$E$721,$B3,all_runs!$H$2:$H$721,$C3,all_runs!$J$2:$J$721,$D3,all_runs!$AB$2:$AB$721,"&lt;&gt;augmented")</calculatedColumnFormula>
    </tableColumn>
    <tableColumn id="6" xr3:uid="{57F7E34A-EDFD-4B1B-AAE3-C3CEE63E02BF}" name="f1_std" dataDxfId="12">
      <calculatedColumnFormula array="1">_xlfn.STDEV.S(_xlfn._xlws.FILTER(all_runs!$S$2:$S$721,(all_runs!$B$2:$B$721=$A3)*(all_runs!$E$2:$E$721=$B3)*(all_runs!$H$2:$H$721=$C3)*(all_runs!$J$2:$J$721=$D3)*(all_runs!$AB$2:$AB$721&lt;&gt;"augmented")))</calculatedColumnFormula>
    </tableColumn>
    <tableColumn id="7" xr3:uid="{81290143-9711-4439-AF67-8B85C81AF268}" name="n_seeds" dataDxfId="11">
      <calculatedColumnFormula>COUNTIFS(all_runs!$B$2:$B$721,$A3,all_runs!$E$2:$E$721,$B3,all_runs!$H$2:$H$721,$C3,all_runs!$J$2:$J$721,$D3,all_runs!$AB$2:$AB$721,"&lt;&gt;augmented")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54B5DD-5DAF-4F5D-88FA-C92A29D45444}" name="AugmentedSummary" displayName="AugmentedSummary" ref="I2:O20" totalsRowShown="0" headerRowDxfId="1" dataDxfId="0">
  <autoFilter ref="I2:O20" xr:uid="{0454B5DD-5DAF-4F5D-88FA-C92A29D45444}"/>
  <tableColumns count="7">
    <tableColumn id="1" xr3:uid="{FA6F18E2-311A-49FA-B9DE-13AB7F1CC515}" name="benchmark" dataDxfId="8"/>
    <tableColumn id="2" xr3:uid="{F6A35725-E7F3-4E1C-9EF3-DC57443E3E9D}" name="experiment_id" dataDxfId="7"/>
    <tableColumn id="3" xr3:uid="{60BF73B2-1562-4610-AF40-457C76D7A0CF}" name="regime" dataDxfId="6"/>
    <tableColumn id="4" xr3:uid="{59BE3624-9CF7-4157-A36E-35A9F5C7B7EC}" name="split_variant" dataDxfId="5"/>
    <tableColumn id="5" xr3:uid="{BC97F3B7-EC42-4BA7-A8F1-BE3AF89B7422}" name="f1_mean" dataDxfId="4">
      <calculatedColumnFormula>AVERAGEIFS(all_runs!$S$2:$S$721,all_runs!$B$2:$B$721,$I3,all_runs!$E$2:$E$721,$J3,all_runs!$H$2:$H$721,$K3,all_runs!$J$2:$J$721,$L3,all_runs!$AB$2:$AB$721,"augmented")</calculatedColumnFormula>
    </tableColumn>
    <tableColumn id="6" xr3:uid="{22977F0D-03DE-4120-B701-84D65B85DAB0}" name="f1_std" dataDxfId="3">
      <calculatedColumnFormula array="1">_xlfn.STDEV.S(_xlfn._xlws.FILTER(all_runs!$S$2:$S$721,(all_runs!$B$2:$B$721=$I3)*(all_runs!$E$2:$E$721=$J3)*(all_runs!$H$2:$H$721=$K3)*(all_runs!$J$2:$J$721=$L3)*(all_runs!$AB$2:$AB$721="augmented")))</calculatedColumnFormula>
    </tableColumn>
    <tableColumn id="7" xr3:uid="{05065214-77A3-4BAF-9458-856D786B8D94}" name="n_seeds" dataDxfId="2">
      <calculatedColumnFormula>COUNTIFS(all_runs!$B$2:$B$721,$I3,all_runs!$E$2:$E$721,$J3,all_runs!$H$2:$H$721,$K3,all_runs!$J$2:$J$721,$L3,all_runs!$AB$2:$AB$721,"augmented")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>
      <selection activeCell="C11" sqref="C11"/>
    </sheetView>
  </sheetViews>
  <sheetFormatPr defaultColWidth="14.44140625" defaultRowHeight="15" customHeight="1" x14ac:dyDescent="0.3"/>
  <cols>
    <col min="1" max="26" width="8.6640625" customWidth="1"/>
  </cols>
  <sheetData>
    <row r="1" spans="1:18" ht="14.4" x14ac:dyDescent="0.3">
      <c r="A1" s="1" t="s">
        <v>0</v>
      </c>
      <c r="B1" s="1" t="s">
        <v>1</v>
      </c>
      <c r="C1" s="1" t="s">
        <v>7</v>
      </c>
      <c r="D1" s="1" t="s">
        <v>9</v>
      </c>
      <c r="E1" s="1" t="s">
        <v>10</v>
      </c>
      <c r="F1" s="1" t="s">
        <v>17</v>
      </c>
      <c r="G1" s="1" t="s">
        <v>35</v>
      </c>
      <c r="H1" s="1" t="s">
        <v>51</v>
      </c>
      <c r="I1" s="1" t="s">
        <v>54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64</v>
      </c>
      <c r="Q1" s="1" t="s">
        <v>68</v>
      </c>
      <c r="R1" s="1" t="s">
        <v>69</v>
      </c>
    </row>
    <row r="2" spans="1:18" ht="14.4" x14ac:dyDescent="0.3">
      <c r="A2" s="2" t="s">
        <v>37</v>
      </c>
      <c r="B2" s="2" t="s">
        <v>38</v>
      </c>
      <c r="C2" s="2" t="s">
        <v>42</v>
      </c>
      <c r="D2" s="2" t="s">
        <v>47</v>
      </c>
      <c r="E2" s="2" t="s">
        <v>44</v>
      </c>
      <c r="F2" s="2">
        <v>42</v>
      </c>
      <c r="G2" s="2">
        <v>300</v>
      </c>
      <c r="H2" s="2">
        <v>0.7</v>
      </c>
      <c r="I2" s="2">
        <v>210</v>
      </c>
      <c r="J2" s="2">
        <v>3027</v>
      </c>
      <c r="K2" s="2">
        <v>376</v>
      </c>
      <c r="L2" s="2" t="s">
        <v>77</v>
      </c>
      <c r="M2" s="2" t="s">
        <v>78</v>
      </c>
      <c r="N2" s="2">
        <v>90</v>
      </c>
      <c r="O2" s="2">
        <v>1194</v>
      </c>
      <c r="P2" s="2">
        <v>133</v>
      </c>
      <c r="Q2" s="2" t="s">
        <v>79</v>
      </c>
      <c r="R2" s="2" t="s">
        <v>80</v>
      </c>
    </row>
    <row r="3" spans="1:18" ht="14.4" x14ac:dyDescent="0.3">
      <c r="A3" s="2" t="s">
        <v>37</v>
      </c>
      <c r="B3" s="2" t="s">
        <v>38</v>
      </c>
      <c r="C3" s="2" t="s">
        <v>42</v>
      </c>
      <c r="D3" s="2" t="s">
        <v>47</v>
      </c>
      <c r="E3" s="2" t="s">
        <v>44</v>
      </c>
      <c r="F3" s="2">
        <v>43</v>
      </c>
      <c r="G3" s="2">
        <v>300</v>
      </c>
      <c r="H3" s="2">
        <v>0.7</v>
      </c>
      <c r="I3" s="2">
        <v>210</v>
      </c>
      <c r="J3" s="2">
        <v>3072</v>
      </c>
      <c r="K3" s="2">
        <v>356</v>
      </c>
      <c r="L3" s="2" t="s">
        <v>86</v>
      </c>
      <c r="M3" s="2" t="s">
        <v>88</v>
      </c>
      <c r="N3" s="2">
        <v>90</v>
      </c>
      <c r="O3" s="2">
        <v>1149</v>
      </c>
      <c r="P3" s="2">
        <v>153</v>
      </c>
      <c r="Q3" s="2" t="s">
        <v>89</v>
      </c>
      <c r="R3" s="2" t="s">
        <v>90</v>
      </c>
    </row>
    <row r="4" spans="1:18" ht="14.4" x14ac:dyDescent="0.3">
      <c r="A4" s="2" t="s">
        <v>37</v>
      </c>
      <c r="B4" s="2" t="s">
        <v>38</v>
      </c>
      <c r="C4" s="2" t="s">
        <v>42</v>
      </c>
      <c r="D4" s="2" t="s">
        <v>47</v>
      </c>
      <c r="E4" s="2" t="s">
        <v>44</v>
      </c>
      <c r="F4" s="2">
        <v>44</v>
      </c>
      <c r="G4" s="2">
        <v>300</v>
      </c>
      <c r="H4" s="2">
        <v>0.7</v>
      </c>
      <c r="I4" s="2">
        <v>210</v>
      </c>
      <c r="J4" s="2">
        <v>2852</v>
      </c>
      <c r="K4" s="2">
        <v>358</v>
      </c>
      <c r="L4" s="2" t="s">
        <v>94</v>
      </c>
      <c r="M4" s="2" t="s">
        <v>95</v>
      </c>
      <c r="N4" s="2">
        <v>90</v>
      </c>
      <c r="O4" s="2">
        <v>1369</v>
      </c>
      <c r="P4" s="2">
        <v>151</v>
      </c>
      <c r="Q4" s="2" t="s">
        <v>98</v>
      </c>
      <c r="R4" s="2" t="s">
        <v>99</v>
      </c>
    </row>
    <row r="5" spans="1:18" ht="14.4" x14ac:dyDescent="0.3">
      <c r="A5" s="2" t="s">
        <v>37</v>
      </c>
      <c r="B5" s="2" t="s">
        <v>38</v>
      </c>
      <c r="C5" s="2" t="s">
        <v>42</v>
      </c>
      <c r="D5" s="2" t="s">
        <v>47</v>
      </c>
      <c r="E5" s="2" t="s">
        <v>44</v>
      </c>
      <c r="F5" s="2">
        <v>45</v>
      </c>
      <c r="G5" s="2">
        <v>300</v>
      </c>
      <c r="H5" s="2">
        <v>0.7</v>
      </c>
      <c r="I5" s="2">
        <v>210</v>
      </c>
      <c r="J5" s="2">
        <v>2947</v>
      </c>
      <c r="K5" s="2">
        <v>362</v>
      </c>
      <c r="L5" s="2" t="s">
        <v>101</v>
      </c>
      <c r="M5" s="2" t="s">
        <v>103</v>
      </c>
      <c r="N5" s="2">
        <v>90</v>
      </c>
      <c r="O5" s="2">
        <v>1274</v>
      </c>
      <c r="P5" s="2">
        <v>147</v>
      </c>
      <c r="Q5" s="2" t="s">
        <v>105</v>
      </c>
      <c r="R5" s="2" t="s">
        <v>106</v>
      </c>
    </row>
    <row r="6" spans="1:18" ht="14.4" x14ac:dyDescent="0.3">
      <c r="A6" s="2" t="s">
        <v>37</v>
      </c>
      <c r="B6" s="2" t="s">
        <v>38</v>
      </c>
      <c r="C6" s="2" t="s">
        <v>42</v>
      </c>
      <c r="D6" s="2" t="s">
        <v>47</v>
      </c>
      <c r="E6" s="2" t="s">
        <v>44</v>
      </c>
      <c r="F6" s="2">
        <v>46</v>
      </c>
      <c r="G6" s="2">
        <v>300</v>
      </c>
      <c r="H6" s="2">
        <v>0.7</v>
      </c>
      <c r="I6" s="2">
        <v>210</v>
      </c>
      <c r="J6" s="2">
        <v>3074</v>
      </c>
      <c r="K6" s="2">
        <v>377</v>
      </c>
      <c r="L6" s="2" t="s">
        <v>109</v>
      </c>
      <c r="M6" s="2" t="s">
        <v>110</v>
      </c>
      <c r="N6" s="2">
        <v>90</v>
      </c>
      <c r="O6" s="2">
        <v>1147</v>
      </c>
      <c r="P6" s="2">
        <v>132</v>
      </c>
      <c r="Q6" s="2" t="s">
        <v>113</v>
      </c>
      <c r="R6" s="2" t="s">
        <v>115</v>
      </c>
    </row>
    <row r="7" spans="1:18" ht="14.4" x14ac:dyDescent="0.3">
      <c r="A7" s="2" t="s">
        <v>37</v>
      </c>
      <c r="B7" s="2" t="s">
        <v>38</v>
      </c>
      <c r="C7" s="2" t="s">
        <v>42</v>
      </c>
      <c r="D7" s="2" t="s">
        <v>47</v>
      </c>
      <c r="E7" s="2" t="s">
        <v>44</v>
      </c>
      <c r="F7" s="2">
        <v>47</v>
      </c>
      <c r="G7" s="2">
        <v>300</v>
      </c>
      <c r="H7" s="2">
        <v>0.7</v>
      </c>
      <c r="I7" s="2">
        <v>210</v>
      </c>
      <c r="J7" s="2">
        <v>2940</v>
      </c>
      <c r="K7" s="2">
        <v>341</v>
      </c>
      <c r="L7" s="2" t="s">
        <v>119</v>
      </c>
      <c r="M7" s="2" t="s">
        <v>120</v>
      </c>
      <c r="N7" s="2">
        <v>90</v>
      </c>
      <c r="O7" s="2">
        <v>1281</v>
      </c>
      <c r="P7" s="2">
        <v>168</v>
      </c>
      <c r="Q7" s="2" t="s">
        <v>121</v>
      </c>
      <c r="R7" s="2" t="s">
        <v>122</v>
      </c>
    </row>
    <row r="8" spans="1:18" ht="14.4" x14ac:dyDescent="0.3">
      <c r="A8" s="2" t="s">
        <v>37</v>
      </c>
      <c r="B8" s="2" t="s">
        <v>38</v>
      </c>
      <c r="C8" s="2" t="s">
        <v>42</v>
      </c>
      <c r="D8" s="2" t="s">
        <v>47</v>
      </c>
      <c r="E8" s="2" t="s">
        <v>44</v>
      </c>
      <c r="F8" s="2">
        <v>48</v>
      </c>
      <c r="G8" s="2">
        <v>300</v>
      </c>
      <c r="H8" s="2">
        <v>0.7</v>
      </c>
      <c r="I8" s="2">
        <v>210</v>
      </c>
      <c r="J8" s="2">
        <v>2938</v>
      </c>
      <c r="K8" s="2">
        <v>359</v>
      </c>
      <c r="L8" s="2" t="s">
        <v>126</v>
      </c>
      <c r="M8" s="2" t="s">
        <v>127</v>
      </c>
      <c r="N8" s="2">
        <v>90</v>
      </c>
      <c r="O8" s="2">
        <v>1283</v>
      </c>
      <c r="P8" s="2">
        <v>150</v>
      </c>
      <c r="Q8" s="2" t="s">
        <v>129</v>
      </c>
      <c r="R8" s="2" t="s">
        <v>131</v>
      </c>
    </row>
    <row r="9" spans="1:18" ht="14.4" x14ac:dyDescent="0.3">
      <c r="A9" s="2" t="s">
        <v>37</v>
      </c>
      <c r="B9" s="2" t="s">
        <v>38</v>
      </c>
      <c r="C9" s="2" t="s">
        <v>42</v>
      </c>
      <c r="D9" s="2" t="s">
        <v>47</v>
      </c>
      <c r="E9" s="2" t="s">
        <v>44</v>
      </c>
      <c r="F9" s="2">
        <v>49</v>
      </c>
      <c r="G9" s="2">
        <v>300</v>
      </c>
      <c r="H9" s="2">
        <v>0.7</v>
      </c>
      <c r="I9" s="2">
        <v>210</v>
      </c>
      <c r="J9" s="2">
        <v>3080</v>
      </c>
      <c r="K9" s="2">
        <v>359</v>
      </c>
      <c r="L9" s="2" t="s">
        <v>135</v>
      </c>
      <c r="M9" s="2" t="s">
        <v>136</v>
      </c>
      <c r="N9" s="2">
        <v>90</v>
      </c>
      <c r="O9" s="2">
        <v>1141</v>
      </c>
      <c r="P9" s="2">
        <v>150</v>
      </c>
      <c r="Q9" s="2" t="s">
        <v>137</v>
      </c>
      <c r="R9" s="2" t="s">
        <v>138</v>
      </c>
    </row>
    <row r="10" spans="1:18" ht="14.4" x14ac:dyDescent="0.3">
      <c r="A10" s="2" t="s">
        <v>37</v>
      </c>
      <c r="B10" s="2" t="s">
        <v>38</v>
      </c>
      <c r="C10" s="2" t="s">
        <v>42</v>
      </c>
      <c r="D10" s="2" t="s">
        <v>47</v>
      </c>
      <c r="E10" s="2" t="s">
        <v>44</v>
      </c>
      <c r="F10" s="2">
        <v>50</v>
      </c>
      <c r="G10" s="2">
        <v>300</v>
      </c>
      <c r="H10" s="2">
        <v>0.7</v>
      </c>
      <c r="I10" s="2">
        <v>210</v>
      </c>
      <c r="J10" s="2">
        <v>3007</v>
      </c>
      <c r="K10" s="2">
        <v>378</v>
      </c>
      <c r="L10" s="2" t="s">
        <v>141</v>
      </c>
      <c r="M10" s="2" t="s">
        <v>143</v>
      </c>
      <c r="N10" s="2">
        <v>90</v>
      </c>
      <c r="O10" s="2">
        <v>1214</v>
      </c>
      <c r="P10" s="2">
        <v>131</v>
      </c>
      <c r="Q10" s="2" t="s">
        <v>146</v>
      </c>
      <c r="R10" s="2" t="s">
        <v>147</v>
      </c>
    </row>
    <row r="11" spans="1:18" ht="14.4" x14ac:dyDescent="0.3">
      <c r="A11" s="2" t="s">
        <v>37</v>
      </c>
      <c r="B11" s="2" t="s">
        <v>38</v>
      </c>
      <c r="C11" s="2" t="s">
        <v>42</v>
      </c>
      <c r="D11" s="2" t="s">
        <v>47</v>
      </c>
      <c r="E11" s="2" t="s">
        <v>44</v>
      </c>
      <c r="F11" s="2">
        <v>51</v>
      </c>
      <c r="G11" s="2">
        <v>300</v>
      </c>
      <c r="H11" s="2">
        <v>0.7</v>
      </c>
      <c r="I11" s="2">
        <v>210</v>
      </c>
      <c r="J11" s="2">
        <v>2858</v>
      </c>
      <c r="K11" s="2">
        <v>365</v>
      </c>
      <c r="L11" s="2" t="s">
        <v>150</v>
      </c>
      <c r="M11" s="2" t="s">
        <v>151</v>
      </c>
      <c r="N11" s="2">
        <v>90</v>
      </c>
      <c r="O11" s="2">
        <v>1363</v>
      </c>
      <c r="P11" s="2">
        <v>144</v>
      </c>
      <c r="Q11" s="2" t="s">
        <v>152</v>
      </c>
      <c r="R11" s="2" t="s">
        <v>154</v>
      </c>
    </row>
    <row r="12" spans="1:18" ht="14.4" x14ac:dyDescent="0.3">
      <c r="A12" s="2" t="s">
        <v>37</v>
      </c>
      <c r="B12" s="2" t="s">
        <v>38</v>
      </c>
      <c r="C12" s="2" t="s">
        <v>42</v>
      </c>
      <c r="D12" s="2" t="s">
        <v>47</v>
      </c>
      <c r="E12" s="2" t="s">
        <v>44</v>
      </c>
      <c r="F12" s="2">
        <v>52</v>
      </c>
      <c r="G12" s="2">
        <v>300</v>
      </c>
      <c r="H12" s="2">
        <v>0.7</v>
      </c>
      <c r="I12" s="2">
        <v>210</v>
      </c>
      <c r="J12" s="2">
        <v>2864</v>
      </c>
      <c r="K12" s="2">
        <v>342</v>
      </c>
      <c r="L12" s="2" t="s">
        <v>159</v>
      </c>
      <c r="M12" s="2" t="s">
        <v>160</v>
      </c>
      <c r="N12" s="2">
        <v>90</v>
      </c>
      <c r="O12" s="2">
        <v>1357</v>
      </c>
      <c r="P12" s="2">
        <v>167</v>
      </c>
      <c r="Q12" s="2" t="s">
        <v>161</v>
      </c>
      <c r="R12" s="2" t="s">
        <v>162</v>
      </c>
    </row>
    <row r="13" spans="1:18" ht="14.4" x14ac:dyDescent="0.3">
      <c r="A13" s="2" t="s">
        <v>37</v>
      </c>
      <c r="B13" s="2" t="s">
        <v>38</v>
      </c>
      <c r="C13" s="2" t="s">
        <v>42</v>
      </c>
      <c r="D13" s="2" t="s">
        <v>47</v>
      </c>
      <c r="E13" s="2" t="s">
        <v>44</v>
      </c>
      <c r="F13" s="2">
        <v>53</v>
      </c>
      <c r="G13" s="2">
        <v>300</v>
      </c>
      <c r="H13" s="2">
        <v>0.7</v>
      </c>
      <c r="I13" s="2">
        <v>210</v>
      </c>
      <c r="J13" s="2">
        <v>3125</v>
      </c>
      <c r="K13" s="2">
        <v>367</v>
      </c>
      <c r="L13" s="2" t="s">
        <v>166</v>
      </c>
      <c r="M13" s="2" t="s">
        <v>167</v>
      </c>
      <c r="N13" s="2">
        <v>90</v>
      </c>
      <c r="O13" s="2">
        <v>1096</v>
      </c>
      <c r="P13" s="2">
        <v>142</v>
      </c>
      <c r="Q13" s="2" t="s">
        <v>168</v>
      </c>
      <c r="R13" s="2" t="s">
        <v>170</v>
      </c>
    </row>
    <row r="14" spans="1:18" ht="14.4" x14ac:dyDescent="0.3">
      <c r="A14" s="2" t="s">
        <v>37</v>
      </c>
      <c r="B14" s="2" t="s">
        <v>38</v>
      </c>
      <c r="C14" s="2" t="s">
        <v>42</v>
      </c>
      <c r="D14" s="2" t="s">
        <v>47</v>
      </c>
      <c r="E14" s="2" t="s">
        <v>44</v>
      </c>
      <c r="F14" s="2">
        <v>54</v>
      </c>
      <c r="G14" s="2">
        <v>300</v>
      </c>
      <c r="H14" s="2">
        <v>0.7</v>
      </c>
      <c r="I14" s="2">
        <v>210</v>
      </c>
      <c r="J14" s="2">
        <v>2971</v>
      </c>
      <c r="K14" s="2">
        <v>357</v>
      </c>
      <c r="L14" s="2" t="s">
        <v>173</v>
      </c>
      <c r="M14" s="2" t="s">
        <v>174</v>
      </c>
      <c r="N14" s="2">
        <v>90</v>
      </c>
      <c r="O14" s="2">
        <v>1250</v>
      </c>
      <c r="P14" s="2">
        <v>152</v>
      </c>
      <c r="Q14" s="2" t="s">
        <v>177</v>
      </c>
      <c r="R14" s="2" t="s">
        <v>178</v>
      </c>
    </row>
    <row r="15" spans="1:18" ht="14.4" x14ac:dyDescent="0.3">
      <c r="A15" s="2" t="s">
        <v>37</v>
      </c>
      <c r="B15" s="2" t="s">
        <v>38</v>
      </c>
      <c r="C15" s="2" t="s">
        <v>42</v>
      </c>
      <c r="D15" s="2" t="s">
        <v>47</v>
      </c>
      <c r="E15" s="2" t="s">
        <v>44</v>
      </c>
      <c r="F15" s="2">
        <v>55</v>
      </c>
      <c r="G15" s="2">
        <v>300</v>
      </c>
      <c r="H15" s="2">
        <v>0.7</v>
      </c>
      <c r="I15" s="2">
        <v>210</v>
      </c>
      <c r="J15" s="2">
        <v>2962</v>
      </c>
      <c r="K15" s="2">
        <v>352</v>
      </c>
      <c r="L15" s="2" t="s">
        <v>182</v>
      </c>
      <c r="M15" s="2" t="s">
        <v>183</v>
      </c>
      <c r="N15" s="2">
        <v>90</v>
      </c>
      <c r="O15" s="2">
        <v>1259</v>
      </c>
      <c r="P15" s="2">
        <v>157</v>
      </c>
      <c r="Q15" s="2" t="s">
        <v>186</v>
      </c>
      <c r="R15" s="2" t="s">
        <v>188</v>
      </c>
    </row>
    <row r="16" spans="1:18" ht="14.4" x14ac:dyDescent="0.3">
      <c r="A16" s="2" t="s">
        <v>37</v>
      </c>
      <c r="B16" s="2" t="s">
        <v>38</v>
      </c>
      <c r="C16" s="2" t="s">
        <v>42</v>
      </c>
      <c r="D16" s="2" t="s">
        <v>47</v>
      </c>
      <c r="E16" s="2" t="s">
        <v>44</v>
      </c>
      <c r="F16" s="2">
        <v>56</v>
      </c>
      <c r="G16" s="2">
        <v>300</v>
      </c>
      <c r="H16" s="2">
        <v>0.7</v>
      </c>
      <c r="I16" s="2">
        <v>210</v>
      </c>
      <c r="J16" s="2">
        <v>2914</v>
      </c>
      <c r="K16" s="2">
        <v>363</v>
      </c>
      <c r="L16" s="2" t="s">
        <v>193</v>
      </c>
      <c r="M16" s="2" t="s">
        <v>194</v>
      </c>
      <c r="N16" s="2">
        <v>90</v>
      </c>
      <c r="O16" s="2">
        <v>1307</v>
      </c>
      <c r="P16" s="2">
        <v>146</v>
      </c>
      <c r="Q16" s="2" t="s">
        <v>197</v>
      </c>
      <c r="R16" s="2" t="s">
        <v>198</v>
      </c>
    </row>
    <row r="17" spans="1:18" ht="14.4" x14ac:dyDescent="0.3">
      <c r="A17" s="2" t="s">
        <v>37</v>
      </c>
      <c r="B17" s="2" t="s">
        <v>38</v>
      </c>
      <c r="C17" s="2" t="s">
        <v>42</v>
      </c>
      <c r="D17" s="2" t="s">
        <v>47</v>
      </c>
      <c r="E17" s="2" t="s">
        <v>44</v>
      </c>
      <c r="F17" s="2">
        <v>57</v>
      </c>
      <c r="G17" s="2">
        <v>300</v>
      </c>
      <c r="H17" s="2">
        <v>0.7</v>
      </c>
      <c r="I17" s="2">
        <v>210</v>
      </c>
      <c r="J17" s="2">
        <v>2908</v>
      </c>
      <c r="K17" s="2">
        <v>350</v>
      </c>
      <c r="L17" s="2" t="s">
        <v>204</v>
      </c>
      <c r="M17" s="2" t="s">
        <v>205</v>
      </c>
      <c r="N17" s="2">
        <v>90</v>
      </c>
      <c r="O17" s="2">
        <v>1313</v>
      </c>
      <c r="P17" s="2">
        <v>159</v>
      </c>
      <c r="Q17" s="2" t="s">
        <v>206</v>
      </c>
      <c r="R17" s="2" t="s">
        <v>207</v>
      </c>
    </row>
    <row r="18" spans="1:18" ht="14.4" x14ac:dyDescent="0.3">
      <c r="A18" s="2" t="s">
        <v>37</v>
      </c>
      <c r="B18" s="2" t="s">
        <v>38</v>
      </c>
      <c r="C18" s="2" t="s">
        <v>42</v>
      </c>
      <c r="D18" s="2" t="s">
        <v>47</v>
      </c>
      <c r="E18" s="2" t="s">
        <v>44</v>
      </c>
      <c r="F18" s="2">
        <v>58</v>
      </c>
      <c r="G18" s="2">
        <v>300</v>
      </c>
      <c r="H18" s="2">
        <v>0.7</v>
      </c>
      <c r="I18" s="2">
        <v>210</v>
      </c>
      <c r="J18" s="2">
        <v>2990</v>
      </c>
      <c r="K18" s="2">
        <v>353</v>
      </c>
      <c r="L18" s="2" t="s">
        <v>211</v>
      </c>
      <c r="M18" s="2" t="s">
        <v>213</v>
      </c>
      <c r="N18" s="2">
        <v>90</v>
      </c>
      <c r="O18" s="2">
        <v>1231</v>
      </c>
      <c r="P18" s="2">
        <v>156</v>
      </c>
      <c r="Q18" s="2" t="s">
        <v>215</v>
      </c>
      <c r="R18" s="2" t="s">
        <v>216</v>
      </c>
    </row>
    <row r="19" spans="1:18" ht="14.4" x14ac:dyDescent="0.3">
      <c r="A19" s="2" t="s">
        <v>37</v>
      </c>
      <c r="B19" s="2" t="s">
        <v>38</v>
      </c>
      <c r="C19" s="2" t="s">
        <v>42</v>
      </c>
      <c r="D19" s="2" t="s">
        <v>47</v>
      </c>
      <c r="E19" s="2" t="s">
        <v>44</v>
      </c>
      <c r="F19" s="2">
        <v>59</v>
      </c>
      <c r="G19" s="2">
        <v>300</v>
      </c>
      <c r="H19" s="2">
        <v>0.7</v>
      </c>
      <c r="I19" s="2">
        <v>210</v>
      </c>
      <c r="J19" s="2">
        <v>2861</v>
      </c>
      <c r="K19" s="2">
        <v>339</v>
      </c>
      <c r="L19" s="2" t="s">
        <v>222</v>
      </c>
      <c r="M19" s="2" t="s">
        <v>223</v>
      </c>
      <c r="N19" s="2">
        <v>90</v>
      </c>
      <c r="O19" s="2">
        <v>1360</v>
      </c>
      <c r="P19" s="2">
        <v>170</v>
      </c>
      <c r="Q19" s="2" t="s">
        <v>224</v>
      </c>
      <c r="R19" s="2" t="s">
        <v>225</v>
      </c>
    </row>
    <row r="20" spans="1:18" ht="14.4" x14ac:dyDescent="0.3">
      <c r="A20" s="2" t="s">
        <v>37</v>
      </c>
      <c r="B20" s="2" t="s">
        <v>38</v>
      </c>
      <c r="C20" s="2" t="s">
        <v>42</v>
      </c>
      <c r="D20" s="2" t="s">
        <v>47</v>
      </c>
      <c r="E20" s="2" t="s">
        <v>44</v>
      </c>
      <c r="F20" s="2">
        <v>60</v>
      </c>
      <c r="G20" s="2">
        <v>300</v>
      </c>
      <c r="H20" s="2">
        <v>0.7</v>
      </c>
      <c r="I20" s="2">
        <v>210</v>
      </c>
      <c r="J20" s="2">
        <v>3096</v>
      </c>
      <c r="K20" s="2">
        <v>353</v>
      </c>
      <c r="L20" s="2" t="s">
        <v>226</v>
      </c>
      <c r="M20" s="2" t="s">
        <v>227</v>
      </c>
      <c r="N20" s="2">
        <v>90</v>
      </c>
      <c r="O20" s="2">
        <v>1125</v>
      </c>
      <c r="P20" s="2">
        <v>156</v>
      </c>
      <c r="Q20" s="2" t="s">
        <v>228</v>
      </c>
      <c r="R20" s="2" t="s">
        <v>229</v>
      </c>
    </row>
    <row r="21" spans="1:18" ht="15.75" customHeight="1" x14ac:dyDescent="0.3">
      <c r="A21" s="2" t="s">
        <v>37</v>
      </c>
      <c r="B21" s="2" t="s">
        <v>38</v>
      </c>
      <c r="C21" s="2" t="s">
        <v>42</v>
      </c>
      <c r="D21" s="2" t="s">
        <v>47</v>
      </c>
      <c r="E21" s="2" t="s">
        <v>44</v>
      </c>
      <c r="F21" s="2">
        <v>61</v>
      </c>
      <c r="G21" s="2">
        <v>300</v>
      </c>
      <c r="H21" s="2">
        <v>0.7</v>
      </c>
      <c r="I21" s="2">
        <v>210</v>
      </c>
      <c r="J21" s="2">
        <v>2930</v>
      </c>
      <c r="K21" s="2">
        <v>363</v>
      </c>
      <c r="L21" s="2" t="s">
        <v>233</v>
      </c>
      <c r="M21" s="2" t="s">
        <v>234</v>
      </c>
      <c r="N21" s="2">
        <v>90</v>
      </c>
      <c r="O21" s="2">
        <v>1291</v>
      </c>
      <c r="P21" s="2">
        <v>146</v>
      </c>
      <c r="Q21" s="2" t="s">
        <v>235</v>
      </c>
      <c r="R21" s="2" t="s">
        <v>236</v>
      </c>
    </row>
    <row r="22" spans="1:18" ht="15.75" customHeight="1" x14ac:dyDescent="0.3">
      <c r="A22" s="2" t="s">
        <v>37</v>
      </c>
      <c r="B22" s="2" t="s">
        <v>38</v>
      </c>
      <c r="C22" s="2" t="s">
        <v>42</v>
      </c>
      <c r="D22" s="2" t="s">
        <v>239</v>
      </c>
      <c r="E22" s="2" t="s">
        <v>71</v>
      </c>
      <c r="F22" s="2">
        <v>42</v>
      </c>
      <c r="G22" s="2">
        <v>300</v>
      </c>
      <c r="H22" s="2">
        <v>0.7</v>
      </c>
      <c r="I22" s="2">
        <v>210</v>
      </c>
      <c r="J22" s="2">
        <v>2988</v>
      </c>
      <c r="K22" s="2">
        <v>354</v>
      </c>
      <c r="L22" s="2" t="s">
        <v>240</v>
      </c>
      <c r="M22" s="2" t="s">
        <v>241</v>
      </c>
      <c r="N22" s="2">
        <v>90</v>
      </c>
      <c r="O22" s="2">
        <v>1233</v>
      </c>
      <c r="P22" s="2">
        <v>155</v>
      </c>
      <c r="Q22" s="2" t="s">
        <v>243</v>
      </c>
      <c r="R22" s="2" t="s">
        <v>245</v>
      </c>
    </row>
    <row r="23" spans="1:18" ht="15.75" customHeight="1" x14ac:dyDescent="0.3">
      <c r="A23" s="2" t="s">
        <v>37</v>
      </c>
      <c r="B23" s="2" t="s">
        <v>38</v>
      </c>
      <c r="C23" s="2" t="s">
        <v>42</v>
      </c>
      <c r="D23" s="2" t="s">
        <v>239</v>
      </c>
      <c r="E23" s="2" t="s">
        <v>71</v>
      </c>
      <c r="F23" s="2">
        <v>43</v>
      </c>
      <c r="G23" s="2">
        <v>300</v>
      </c>
      <c r="H23" s="2">
        <v>0.7</v>
      </c>
      <c r="I23" s="2">
        <v>210</v>
      </c>
      <c r="J23" s="2">
        <v>2881</v>
      </c>
      <c r="K23" s="2">
        <v>369</v>
      </c>
      <c r="L23" s="2" t="s">
        <v>249</v>
      </c>
      <c r="M23" s="2" t="s">
        <v>250</v>
      </c>
      <c r="N23" s="2">
        <v>90</v>
      </c>
      <c r="O23" s="2">
        <v>1340</v>
      </c>
      <c r="P23" s="2">
        <v>140</v>
      </c>
      <c r="Q23" s="2" t="s">
        <v>251</v>
      </c>
      <c r="R23" s="2" t="s">
        <v>252</v>
      </c>
    </row>
    <row r="24" spans="1:18" ht="15.75" customHeight="1" x14ac:dyDescent="0.3">
      <c r="A24" s="2" t="s">
        <v>37</v>
      </c>
      <c r="B24" s="2" t="s">
        <v>38</v>
      </c>
      <c r="C24" s="2" t="s">
        <v>42</v>
      </c>
      <c r="D24" s="2" t="s">
        <v>239</v>
      </c>
      <c r="E24" s="2" t="s">
        <v>71</v>
      </c>
      <c r="F24" s="2">
        <v>44</v>
      </c>
      <c r="G24" s="2">
        <v>300</v>
      </c>
      <c r="H24" s="2">
        <v>0.7</v>
      </c>
      <c r="I24" s="2">
        <v>210</v>
      </c>
      <c r="J24" s="2">
        <v>3025</v>
      </c>
      <c r="K24" s="2">
        <v>356</v>
      </c>
      <c r="L24" s="2" t="s">
        <v>256</v>
      </c>
      <c r="M24" s="2" t="s">
        <v>257</v>
      </c>
      <c r="N24" s="2">
        <v>90</v>
      </c>
      <c r="O24" s="2">
        <v>1196</v>
      </c>
      <c r="P24" s="2">
        <v>153</v>
      </c>
      <c r="Q24" s="2" t="s">
        <v>260</v>
      </c>
      <c r="R24" s="2" t="s">
        <v>261</v>
      </c>
    </row>
    <row r="25" spans="1:18" ht="15.75" customHeight="1" x14ac:dyDescent="0.3">
      <c r="A25" s="2" t="s">
        <v>37</v>
      </c>
      <c r="B25" s="2" t="s">
        <v>38</v>
      </c>
      <c r="C25" s="2" t="s">
        <v>42</v>
      </c>
      <c r="D25" s="2" t="s">
        <v>239</v>
      </c>
      <c r="E25" s="2" t="s">
        <v>71</v>
      </c>
      <c r="F25" s="2">
        <v>45</v>
      </c>
      <c r="G25" s="2">
        <v>300</v>
      </c>
      <c r="H25" s="2">
        <v>0.7</v>
      </c>
      <c r="I25" s="2">
        <v>210</v>
      </c>
      <c r="J25" s="2">
        <v>2967</v>
      </c>
      <c r="K25" s="2">
        <v>352</v>
      </c>
      <c r="L25" s="2" t="s">
        <v>268</v>
      </c>
      <c r="M25" s="2" t="s">
        <v>270</v>
      </c>
      <c r="N25" s="2">
        <v>90</v>
      </c>
      <c r="O25" s="2">
        <v>1254</v>
      </c>
      <c r="P25" s="2">
        <v>157</v>
      </c>
      <c r="Q25" s="2" t="s">
        <v>272</v>
      </c>
      <c r="R25" s="2" t="s">
        <v>273</v>
      </c>
    </row>
    <row r="26" spans="1:18" ht="15.75" customHeight="1" x14ac:dyDescent="0.3">
      <c r="A26" s="2" t="s">
        <v>37</v>
      </c>
      <c r="B26" s="2" t="s">
        <v>38</v>
      </c>
      <c r="C26" s="2" t="s">
        <v>42</v>
      </c>
      <c r="D26" s="2" t="s">
        <v>239</v>
      </c>
      <c r="E26" s="2" t="s">
        <v>71</v>
      </c>
      <c r="F26" s="2">
        <v>46</v>
      </c>
      <c r="G26" s="2">
        <v>300</v>
      </c>
      <c r="H26" s="2">
        <v>0.7</v>
      </c>
      <c r="I26" s="2">
        <v>210</v>
      </c>
      <c r="J26" s="2">
        <v>3073</v>
      </c>
      <c r="K26" s="2">
        <v>365</v>
      </c>
      <c r="L26" s="2" t="s">
        <v>277</v>
      </c>
      <c r="M26" s="2" t="s">
        <v>279</v>
      </c>
      <c r="N26" s="2">
        <v>90</v>
      </c>
      <c r="O26" s="2">
        <v>1148</v>
      </c>
      <c r="P26" s="2">
        <v>144</v>
      </c>
      <c r="Q26" s="2" t="s">
        <v>281</v>
      </c>
      <c r="R26" s="2" t="s">
        <v>282</v>
      </c>
    </row>
    <row r="27" spans="1:18" ht="15.75" customHeight="1" x14ac:dyDescent="0.3">
      <c r="A27" s="2" t="s">
        <v>37</v>
      </c>
      <c r="B27" s="2" t="s">
        <v>38</v>
      </c>
      <c r="C27" s="2" t="s">
        <v>42</v>
      </c>
      <c r="D27" s="2" t="s">
        <v>239</v>
      </c>
      <c r="E27" s="2" t="s">
        <v>71</v>
      </c>
      <c r="F27" s="2">
        <v>47</v>
      </c>
      <c r="G27" s="2">
        <v>300</v>
      </c>
      <c r="H27" s="2">
        <v>0.7</v>
      </c>
      <c r="I27" s="2">
        <v>210</v>
      </c>
      <c r="J27" s="2">
        <v>3047</v>
      </c>
      <c r="K27" s="2">
        <v>351</v>
      </c>
      <c r="L27" s="2" t="s">
        <v>286</v>
      </c>
      <c r="M27" s="2" t="s">
        <v>287</v>
      </c>
      <c r="N27" s="2">
        <v>90</v>
      </c>
      <c r="O27" s="2">
        <v>1174</v>
      </c>
      <c r="P27" s="2">
        <v>158</v>
      </c>
      <c r="Q27" s="2" t="s">
        <v>290</v>
      </c>
      <c r="R27" s="2" t="s">
        <v>291</v>
      </c>
    </row>
    <row r="28" spans="1:18" ht="15.75" customHeight="1" x14ac:dyDescent="0.3">
      <c r="A28" s="2" t="s">
        <v>37</v>
      </c>
      <c r="B28" s="2" t="s">
        <v>38</v>
      </c>
      <c r="C28" s="2" t="s">
        <v>42</v>
      </c>
      <c r="D28" s="2" t="s">
        <v>239</v>
      </c>
      <c r="E28" s="2" t="s">
        <v>71</v>
      </c>
      <c r="F28" s="2">
        <v>48</v>
      </c>
      <c r="G28" s="2">
        <v>300</v>
      </c>
      <c r="H28" s="2">
        <v>0.7</v>
      </c>
      <c r="I28" s="2">
        <v>210</v>
      </c>
      <c r="J28" s="2">
        <v>2916</v>
      </c>
      <c r="K28" s="2">
        <v>353</v>
      </c>
      <c r="L28" s="2" t="s">
        <v>302</v>
      </c>
      <c r="M28" s="2" t="s">
        <v>304</v>
      </c>
      <c r="N28" s="2">
        <v>90</v>
      </c>
      <c r="O28" s="2">
        <v>1305</v>
      </c>
      <c r="P28" s="2">
        <v>156</v>
      </c>
      <c r="Q28" s="2" t="s">
        <v>307</v>
      </c>
      <c r="R28" s="2" t="s">
        <v>308</v>
      </c>
    </row>
    <row r="29" spans="1:18" ht="15.75" customHeight="1" x14ac:dyDescent="0.3">
      <c r="A29" s="2" t="s">
        <v>37</v>
      </c>
      <c r="B29" s="2" t="s">
        <v>38</v>
      </c>
      <c r="C29" s="2" t="s">
        <v>42</v>
      </c>
      <c r="D29" s="2" t="s">
        <v>239</v>
      </c>
      <c r="E29" s="2" t="s">
        <v>71</v>
      </c>
      <c r="F29" s="2">
        <v>49</v>
      </c>
      <c r="G29" s="2">
        <v>300</v>
      </c>
      <c r="H29" s="2">
        <v>0.7</v>
      </c>
      <c r="I29" s="2">
        <v>210</v>
      </c>
      <c r="J29" s="2">
        <v>2811</v>
      </c>
      <c r="K29" s="2">
        <v>350</v>
      </c>
      <c r="L29" s="2" t="s">
        <v>312</v>
      </c>
      <c r="M29" s="2" t="s">
        <v>313</v>
      </c>
      <c r="N29" s="2">
        <v>90</v>
      </c>
      <c r="O29" s="2">
        <v>1410</v>
      </c>
      <c r="P29" s="2">
        <v>159</v>
      </c>
      <c r="Q29" s="2" t="s">
        <v>316</v>
      </c>
      <c r="R29" s="2" t="s">
        <v>317</v>
      </c>
    </row>
    <row r="30" spans="1:18" ht="15.75" customHeight="1" x14ac:dyDescent="0.3">
      <c r="A30" s="2" t="s">
        <v>37</v>
      </c>
      <c r="B30" s="2" t="s">
        <v>38</v>
      </c>
      <c r="C30" s="2" t="s">
        <v>42</v>
      </c>
      <c r="D30" s="2" t="s">
        <v>239</v>
      </c>
      <c r="E30" s="2" t="s">
        <v>71</v>
      </c>
      <c r="F30" s="2">
        <v>50</v>
      </c>
      <c r="G30" s="2">
        <v>300</v>
      </c>
      <c r="H30" s="2">
        <v>0.7</v>
      </c>
      <c r="I30" s="2">
        <v>210</v>
      </c>
      <c r="J30" s="2">
        <v>3067</v>
      </c>
      <c r="K30" s="2">
        <v>362</v>
      </c>
      <c r="L30" s="2" t="s">
        <v>320</v>
      </c>
      <c r="M30" s="2" t="s">
        <v>321</v>
      </c>
      <c r="N30" s="2">
        <v>90</v>
      </c>
      <c r="O30" s="2">
        <v>1154</v>
      </c>
      <c r="P30" s="2">
        <v>147</v>
      </c>
      <c r="Q30" s="2" t="s">
        <v>322</v>
      </c>
      <c r="R30" s="2" t="s">
        <v>323</v>
      </c>
    </row>
    <row r="31" spans="1:18" ht="15.75" customHeight="1" x14ac:dyDescent="0.3">
      <c r="A31" s="2" t="s">
        <v>37</v>
      </c>
      <c r="B31" s="2" t="s">
        <v>38</v>
      </c>
      <c r="C31" s="2" t="s">
        <v>42</v>
      </c>
      <c r="D31" s="2" t="s">
        <v>239</v>
      </c>
      <c r="E31" s="2" t="s">
        <v>71</v>
      </c>
      <c r="F31" s="2">
        <v>51</v>
      </c>
      <c r="G31" s="2">
        <v>300</v>
      </c>
      <c r="H31" s="2">
        <v>0.7</v>
      </c>
      <c r="I31" s="2">
        <v>210</v>
      </c>
      <c r="J31" s="2">
        <v>2936</v>
      </c>
      <c r="K31" s="2">
        <v>349</v>
      </c>
      <c r="L31" s="2" t="s">
        <v>327</v>
      </c>
      <c r="M31" s="2" t="s">
        <v>329</v>
      </c>
      <c r="N31" s="2">
        <v>90</v>
      </c>
      <c r="O31" s="2">
        <v>1285</v>
      </c>
      <c r="P31" s="2">
        <v>160</v>
      </c>
      <c r="Q31" s="2" t="s">
        <v>331</v>
      </c>
      <c r="R31" s="2" t="s">
        <v>332</v>
      </c>
    </row>
    <row r="32" spans="1:18" ht="15.75" customHeight="1" x14ac:dyDescent="0.3">
      <c r="A32" s="2" t="s">
        <v>37</v>
      </c>
      <c r="B32" s="2" t="s">
        <v>38</v>
      </c>
      <c r="C32" s="2" t="s">
        <v>42</v>
      </c>
      <c r="D32" s="2" t="s">
        <v>239</v>
      </c>
      <c r="E32" s="2" t="s">
        <v>71</v>
      </c>
      <c r="F32" s="2">
        <v>52</v>
      </c>
      <c r="G32" s="2">
        <v>300</v>
      </c>
      <c r="H32" s="2">
        <v>0.7</v>
      </c>
      <c r="I32" s="2">
        <v>210</v>
      </c>
      <c r="J32" s="2">
        <v>2948</v>
      </c>
      <c r="K32" s="2">
        <v>349</v>
      </c>
      <c r="L32" s="2" t="s">
        <v>336</v>
      </c>
      <c r="M32" s="2" t="s">
        <v>337</v>
      </c>
      <c r="N32" s="2">
        <v>90</v>
      </c>
      <c r="O32" s="2">
        <v>1273</v>
      </c>
      <c r="P32" s="2">
        <v>160</v>
      </c>
      <c r="Q32" s="2" t="s">
        <v>342</v>
      </c>
      <c r="R32" s="2" t="s">
        <v>343</v>
      </c>
    </row>
    <row r="33" spans="1:18" ht="15.75" customHeight="1" x14ac:dyDescent="0.3">
      <c r="A33" s="2" t="s">
        <v>37</v>
      </c>
      <c r="B33" s="2" t="s">
        <v>38</v>
      </c>
      <c r="C33" s="2" t="s">
        <v>42</v>
      </c>
      <c r="D33" s="2" t="s">
        <v>239</v>
      </c>
      <c r="E33" s="2" t="s">
        <v>71</v>
      </c>
      <c r="F33" s="2">
        <v>53</v>
      </c>
      <c r="G33" s="2">
        <v>300</v>
      </c>
      <c r="H33" s="2">
        <v>0.7</v>
      </c>
      <c r="I33" s="2">
        <v>210</v>
      </c>
      <c r="J33" s="2">
        <v>2871</v>
      </c>
      <c r="K33" s="2">
        <v>355</v>
      </c>
      <c r="L33" s="2" t="s">
        <v>347</v>
      </c>
      <c r="M33" s="2" t="s">
        <v>348</v>
      </c>
      <c r="N33" s="2">
        <v>90</v>
      </c>
      <c r="O33" s="2">
        <v>1350</v>
      </c>
      <c r="P33" s="2">
        <v>154</v>
      </c>
      <c r="Q33" s="2" t="s">
        <v>349</v>
      </c>
      <c r="R33" s="2" t="s">
        <v>350</v>
      </c>
    </row>
    <row r="34" spans="1:18" ht="15.75" customHeight="1" x14ac:dyDescent="0.3">
      <c r="A34" s="2" t="s">
        <v>37</v>
      </c>
      <c r="B34" s="2" t="s">
        <v>38</v>
      </c>
      <c r="C34" s="2" t="s">
        <v>42</v>
      </c>
      <c r="D34" s="2" t="s">
        <v>239</v>
      </c>
      <c r="E34" s="2" t="s">
        <v>71</v>
      </c>
      <c r="F34" s="2">
        <v>54</v>
      </c>
      <c r="G34" s="2">
        <v>300</v>
      </c>
      <c r="H34" s="2">
        <v>0.7</v>
      </c>
      <c r="I34" s="2">
        <v>210</v>
      </c>
      <c r="J34" s="2">
        <v>2936</v>
      </c>
      <c r="K34" s="2">
        <v>365</v>
      </c>
      <c r="L34" s="2" t="s">
        <v>354</v>
      </c>
      <c r="M34" s="2" t="s">
        <v>355</v>
      </c>
      <c r="N34" s="2">
        <v>90</v>
      </c>
      <c r="O34" s="2">
        <v>1285</v>
      </c>
      <c r="P34" s="2">
        <v>144</v>
      </c>
      <c r="Q34" s="2" t="s">
        <v>358</v>
      </c>
      <c r="R34" s="2" t="s">
        <v>359</v>
      </c>
    </row>
    <row r="35" spans="1:18" ht="15.75" customHeight="1" x14ac:dyDescent="0.3">
      <c r="A35" s="2" t="s">
        <v>37</v>
      </c>
      <c r="B35" s="2" t="s">
        <v>38</v>
      </c>
      <c r="C35" s="2" t="s">
        <v>42</v>
      </c>
      <c r="D35" s="2" t="s">
        <v>239</v>
      </c>
      <c r="E35" s="2" t="s">
        <v>71</v>
      </c>
      <c r="F35" s="2">
        <v>55</v>
      </c>
      <c r="G35" s="2">
        <v>300</v>
      </c>
      <c r="H35" s="2">
        <v>0.7</v>
      </c>
      <c r="I35" s="2">
        <v>210</v>
      </c>
      <c r="J35" s="2">
        <v>2843</v>
      </c>
      <c r="K35" s="2">
        <v>350</v>
      </c>
      <c r="L35" s="2" t="s">
        <v>363</v>
      </c>
      <c r="M35" s="2" t="s">
        <v>364</v>
      </c>
      <c r="N35" s="2">
        <v>90</v>
      </c>
      <c r="O35" s="2">
        <v>1378</v>
      </c>
      <c r="P35" s="2">
        <v>159</v>
      </c>
      <c r="Q35" s="2" t="s">
        <v>366</v>
      </c>
      <c r="R35" s="2" t="s">
        <v>368</v>
      </c>
    </row>
    <row r="36" spans="1:18" ht="15.75" customHeight="1" x14ac:dyDescent="0.3">
      <c r="A36" s="2" t="s">
        <v>37</v>
      </c>
      <c r="B36" s="2" t="s">
        <v>38</v>
      </c>
      <c r="C36" s="2" t="s">
        <v>42</v>
      </c>
      <c r="D36" s="2" t="s">
        <v>239</v>
      </c>
      <c r="E36" s="2" t="s">
        <v>71</v>
      </c>
      <c r="F36" s="2">
        <v>56</v>
      </c>
      <c r="G36" s="2">
        <v>300</v>
      </c>
      <c r="H36" s="2">
        <v>0.7</v>
      </c>
      <c r="I36" s="2">
        <v>210</v>
      </c>
      <c r="J36" s="2">
        <v>2775</v>
      </c>
      <c r="K36" s="2">
        <v>357</v>
      </c>
      <c r="L36" s="2" t="s">
        <v>372</v>
      </c>
      <c r="M36" s="2" t="s">
        <v>373</v>
      </c>
      <c r="N36" s="2">
        <v>90</v>
      </c>
      <c r="O36" s="2">
        <v>1446</v>
      </c>
      <c r="P36" s="2">
        <v>152</v>
      </c>
      <c r="Q36" s="2" t="s">
        <v>375</v>
      </c>
      <c r="R36" s="2" t="s">
        <v>376</v>
      </c>
    </row>
    <row r="37" spans="1:18" ht="15.75" customHeight="1" x14ac:dyDescent="0.3">
      <c r="A37" s="2" t="s">
        <v>37</v>
      </c>
      <c r="B37" s="2" t="s">
        <v>38</v>
      </c>
      <c r="C37" s="2" t="s">
        <v>42</v>
      </c>
      <c r="D37" s="2" t="s">
        <v>239</v>
      </c>
      <c r="E37" s="2" t="s">
        <v>71</v>
      </c>
      <c r="F37" s="2">
        <v>57</v>
      </c>
      <c r="G37" s="2">
        <v>300</v>
      </c>
      <c r="H37" s="2">
        <v>0.7</v>
      </c>
      <c r="I37" s="2">
        <v>210</v>
      </c>
      <c r="J37" s="2">
        <v>2987</v>
      </c>
      <c r="K37" s="2">
        <v>348</v>
      </c>
      <c r="L37" s="2" t="s">
        <v>381</v>
      </c>
      <c r="M37" s="2" t="s">
        <v>382</v>
      </c>
      <c r="N37" s="2">
        <v>90</v>
      </c>
      <c r="O37" s="2">
        <v>1234</v>
      </c>
      <c r="P37" s="2">
        <v>161</v>
      </c>
      <c r="Q37" s="2" t="s">
        <v>383</v>
      </c>
      <c r="R37" s="2" t="s">
        <v>384</v>
      </c>
    </row>
    <row r="38" spans="1:18" ht="15.75" customHeight="1" x14ac:dyDescent="0.3">
      <c r="A38" s="2" t="s">
        <v>37</v>
      </c>
      <c r="B38" s="2" t="s">
        <v>38</v>
      </c>
      <c r="C38" s="2" t="s">
        <v>42</v>
      </c>
      <c r="D38" s="2" t="s">
        <v>239</v>
      </c>
      <c r="E38" s="2" t="s">
        <v>71</v>
      </c>
      <c r="F38" s="2">
        <v>58</v>
      </c>
      <c r="G38" s="2">
        <v>300</v>
      </c>
      <c r="H38" s="2">
        <v>0.7</v>
      </c>
      <c r="I38" s="2">
        <v>210</v>
      </c>
      <c r="J38" s="2">
        <v>2993</v>
      </c>
      <c r="K38" s="2">
        <v>359</v>
      </c>
      <c r="L38" s="2" t="s">
        <v>386</v>
      </c>
      <c r="M38" s="2" t="s">
        <v>387</v>
      </c>
      <c r="N38" s="2">
        <v>90</v>
      </c>
      <c r="O38" s="2">
        <v>1228</v>
      </c>
      <c r="P38" s="2">
        <v>150</v>
      </c>
      <c r="Q38" s="2" t="s">
        <v>389</v>
      </c>
      <c r="R38" s="2" t="s">
        <v>391</v>
      </c>
    </row>
    <row r="39" spans="1:18" ht="15.75" customHeight="1" x14ac:dyDescent="0.3">
      <c r="A39" s="2" t="s">
        <v>37</v>
      </c>
      <c r="B39" s="2" t="s">
        <v>38</v>
      </c>
      <c r="C39" s="2" t="s">
        <v>42</v>
      </c>
      <c r="D39" s="2" t="s">
        <v>239</v>
      </c>
      <c r="E39" s="2" t="s">
        <v>71</v>
      </c>
      <c r="F39" s="2">
        <v>59</v>
      </c>
      <c r="G39" s="2">
        <v>300</v>
      </c>
      <c r="H39" s="2">
        <v>0.7</v>
      </c>
      <c r="I39" s="2">
        <v>210</v>
      </c>
      <c r="J39" s="2">
        <v>2964</v>
      </c>
      <c r="K39" s="2">
        <v>349</v>
      </c>
      <c r="L39" s="2" t="s">
        <v>392</v>
      </c>
      <c r="M39" s="2" t="s">
        <v>393</v>
      </c>
      <c r="N39" s="2">
        <v>90</v>
      </c>
      <c r="O39" s="2">
        <v>1257</v>
      </c>
      <c r="P39" s="2">
        <v>160</v>
      </c>
      <c r="Q39" s="2" t="s">
        <v>396</v>
      </c>
      <c r="R39" s="2" t="s">
        <v>397</v>
      </c>
    </row>
    <row r="40" spans="1:18" ht="15.75" customHeight="1" x14ac:dyDescent="0.3">
      <c r="A40" s="2" t="s">
        <v>37</v>
      </c>
      <c r="B40" s="2" t="s">
        <v>38</v>
      </c>
      <c r="C40" s="2" t="s">
        <v>42</v>
      </c>
      <c r="D40" s="2" t="s">
        <v>239</v>
      </c>
      <c r="E40" s="2" t="s">
        <v>71</v>
      </c>
      <c r="F40" s="2">
        <v>60</v>
      </c>
      <c r="G40" s="2">
        <v>300</v>
      </c>
      <c r="H40" s="2">
        <v>0.7</v>
      </c>
      <c r="I40" s="2">
        <v>210</v>
      </c>
      <c r="J40" s="2">
        <v>2906</v>
      </c>
      <c r="K40" s="2">
        <v>354</v>
      </c>
      <c r="L40" s="2" t="s">
        <v>398</v>
      </c>
      <c r="M40" s="2" t="s">
        <v>399</v>
      </c>
      <c r="N40" s="2">
        <v>90</v>
      </c>
      <c r="O40" s="2">
        <v>1315</v>
      </c>
      <c r="P40" s="2">
        <v>155</v>
      </c>
      <c r="Q40" s="2" t="s">
        <v>401</v>
      </c>
      <c r="R40" s="2" t="s">
        <v>402</v>
      </c>
    </row>
    <row r="41" spans="1:18" ht="15.75" customHeight="1" x14ac:dyDescent="0.3">
      <c r="A41" s="2" t="s">
        <v>37</v>
      </c>
      <c r="B41" s="2" t="s">
        <v>38</v>
      </c>
      <c r="C41" s="2" t="s">
        <v>42</v>
      </c>
      <c r="D41" s="2" t="s">
        <v>239</v>
      </c>
      <c r="E41" s="2" t="s">
        <v>71</v>
      </c>
      <c r="F41" s="2">
        <v>61</v>
      </c>
      <c r="G41" s="2">
        <v>300</v>
      </c>
      <c r="H41" s="2">
        <v>0.7</v>
      </c>
      <c r="I41" s="2">
        <v>210</v>
      </c>
      <c r="J41" s="2">
        <v>2883</v>
      </c>
      <c r="K41" s="2">
        <v>340</v>
      </c>
      <c r="L41" s="2" t="s">
        <v>405</v>
      </c>
      <c r="M41" s="2" t="s">
        <v>406</v>
      </c>
      <c r="N41" s="2">
        <v>90</v>
      </c>
      <c r="O41" s="2">
        <v>1338</v>
      </c>
      <c r="P41" s="2">
        <v>169</v>
      </c>
      <c r="Q41" s="2" t="s">
        <v>409</v>
      </c>
      <c r="R41" s="2" t="s">
        <v>410</v>
      </c>
    </row>
    <row r="42" spans="1:18" ht="15.75" customHeight="1" x14ac:dyDescent="0.3">
      <c r="A42" s="2" t="s">
        <v>360</v>
      </c>
      <c r="B42" s="2" t="s">
        <v>116</v>
      </c>
      <c r="C42" s="2" t="s">
        <v>42</v>
      </c>
      <c r="D42" s="2" t="s">
        <v>47</v>
      </c>
      <c r="E42" s="2" t="s">
        <v>44</v>
      </c>
      <c r="F42" s="2">
        <v>42</v>
      </c>
      <c r="G42" s="2">
        <v>300</v>
      </c>
      <c r="H42" s="2">
        <v>0.7</v>
      </c>
      <c r="I42" s="2">
        <v>210</v>
      </c>
      <c r="J42" s="2">
        <v>4083</v>
      </c>
      <c r="K42" s="2">
        <v>116</v>
      </c>
      <c r="L42" s="2" t="s">
        <v>412</v>
      </c>
      <c r="M42" s="2" t="s">
        <v>413</v>
      </c>
      <c r="N42" s="2">
        <v>90</v>
      </c>
      <c r="O42" s="2">
        <v>1760</v>
      </c>
      <c r="P42" s="2">
        <v>38</v>
      </c>
      <c r="Q42" s="2" t="s">
        <v>415</v>
      </c>
      <c r="R42" s="2" t="s">
        <v>417</v>
      </c>
    </row>
    <row r="43" spans="1:18" ht="15.75" customHeight="1" x14ac:dyDescent="0.3">
      <c r="A43" s="2" t="s">
        <v>360</v>
      </c>
      <c r="B43" s="2" t="s">
        <v>116</v>
      </c>
      <c r="C43" s="2" t="s">
        <v>42</v>
      </c>
      <c r="D43" s="2" t="s">
        <v>47</v>
      </c>
      <c r="E43" s="2" t="s">
        <v>44</v>
      </c>
      <c r="F43" s="2">
        <v>43</v>
      </c>
      <c r="G43" s="2">
        <v>300</v>
      </c>
      <c r="H43" s="2">
        <v>0.7</v>
      </c>
      <c r="I43" s="2">
        <v>210</v>
      </c>
      <c r="J43" s="2">
        <v>4108</v>
      </c>
      <c r="K43" s="2">
        <v>117</v>
      </c>
      <c r="L43" s="2" t="s">
        <v>418</v>
      </c>
      <c r="M43" s="2" t="s">
        <v>419</v>
      </c>
      <c r="N43" s="2">
        <v>90</v>
      </c>
      <c r="O43" s="2">
        <v>1735</v>
      </c>
      <c r="P43" s="2">
        <v>37</v>
      </c>
      <c r="Q43" s="2" t="s">
        <v>420</v>
      </c>
      <c r="R43" s="2" t="s">
        <v>422</v>
      </c>
    </row>
    <row r="44" spans="1:18" ht="15.75" customHeight="1" x14ac:dyDescent="0.3">
      <c r="A44" s="2" t="s">
        <v>360</v>
      </c>
      <c r="B44" s="2" t="s">
        <v>116</v>
      </c>
      <c r="C44" s="2" t="s">
        <v>42</v>
      </c>
      <c r="D44" s="2" t="s">
        <v>47</v>
      </c>
      <c r="E44" s="2" t="s">
        <v>44</v>
      </c>
      <c r="F44" s="2">
        <v>44</v>
      </c>
      <c r="G44" s="2">
        <v>300</v>
      </c>
      <c r="H44" s="2">
        <v>0.7</v>
      </c>
      <c r="I44" s="2">
        <v>210</v>
      </c>
      <c r="J44" s="2">
        <v>4073</v>
      </c>
      <c r="K44" s="2">
        <v>117</v>
      </c>
      <c r="L44" s="2" t="s">
        <v>424</v>
      </c>
      <c r="M44" s="2" t="s">
        <v>425</v>
      </c>
      <c r="N44" s="2">
        <v>90</v>
      </c>
      <c r="O44" s="2">
        <v>1770</v>
      </c>
      <c r="P44" s="2">
        <v>37</v>
      </c>
      <c r="Q44" s="2" t="s">
        <v>426</v>
      </c>
      <c r="R44" s="2" t="s">
        <v>427</v>
      </c>
    </row>
    <row r="45" spans="1:18" ht="15.75" customHeight="1" x14ac:dyDescent="0.3">
      <c r="A45" s="2" t="s">
        <v>360</v>
      </c>
      <c r="B45" s="2" t="s">
        <v>116</v>
      </c>
      <c r="C45" s="2" t="s">
        <v>42</v>
      </c>
      <c r="D45" s="2" t="s">
        <v>47</v>
      </c>
      <c r="E45" s="2" t="s">
        <v>44</v>
      </c>
      <c r="F45" s="2">
        <v>45</v>
      </c>
      <c r="G45" s="2">
        <v>300</v>
      </c>
      <c r="H45" s="2">
        <v>0.7</v>
      </c>
      <c r="I45" s="2">
        <v>210</v>
      </c>
      <c r="J45" s="2">
        <v>4125</v>
      </c>
      <c r="K45" s="2">
        <v>100</v>
      </c>
      <c r="L45" s="2" t="s">
        <v>431</v>
      </c>
      <c r="M45" s="2" t="s">
        <v>432</v>
      </c>
      <c r="N45" s="2">
        <v>90</v>
      </c>
      <c r="O45" s="2">
        <v>1718</v>
      </c>
      <c r="P45" s="2">
        <v>54</v>
      </c>
      <c r="Q45" s="2" t="s">
        <v>433</v>
      </c>
      <c r="R45" s="2" t="s">
        <v>434</v>
      </c>
    </row>
    <row r="46" spans="1:18" ht="15.75" customHeight="1" x14ac:dyDescent="0.3">
      <c r="A46" s="2" t="s">
        <v>360</v>
      </c>
      <c r="B46" s="2" t="s">
        <v>116</v>
      </c>
      <c r="C46" s="2" t="s">
        <v>42</v>
      </c>
      <c r="D46" s="2" t="s">
        <v>47</v>
      </c>
      <c r="E46" s="2" t="s">
        <v>44</v>
      </c>
      <c r="F46" s="2">
        <v>46</v>
      </c>
      <c r="G46" s="2">
        <v>300</v>
      </c>
      <c r="H46" s="2">
        <v>0.7</v>
      </c>
      <c r="I46" s="2">
        <v>210</v>
      </c>
      <c r="J46" s="2">
        <v>4061</v>
      </c>
      <c r="K46" s="2">
        <v>100</v>
      </c>
      <c r="L46" s="2" t="s">
        <v>437</v>
      </c>
      <c r="M46" s="2" t="s">
        <v>438</v>
      </c>
      <c r="N46" s="2">
        <v>90</v>
      </c>
      <c r="O46" s="2">
        <v>1782</v>
      </c>
      <c r="P46" s="2">
        <v>54</v>
      </c>
      <c r="Q46" s="2" t="s">
        <v>439</v>
      </c>
      <c r="R46" s="2" t="s">
        <v>440</v>
      </c>
    </row>
    <row r="47" spans="1:18" ht="15.75" customHeight="1" x14ac:dyDescent="0.3">
      <c r="A47" s="2" t="s">
        <v>360</v>
      </c>
      <c r="B47" s="2" t="s">
        <v>116</v>
      </c>
      <c r="C47" s="2" t="s">
        <v>42</v>
      </c>
      <c r="D47" s="2" t="s">
        <v>47</v>
      </c>
      <c r="E47" s="2" t="s">
        <v>44</v>
      </c>
      <c r="F47" s="2">
        <v>47</v>
      </c>
      <c r="G47" s="2">
        <v>300</v>
      </c>
      <c r="H47" s="2">
        <v>0.7</v>
      </c>
      <c r="I47" s="2">
        <v>210</v>
      </c>
      <c r="J47" s="2">
        <v>4098</v>
      </c>
      <c r="K47" s="2">
        <v>115</v>
      </c>
      <c r="L47" s="2" t="s">
        <v>441</v>
      </c>
      <c r="M47" s="2" t="s">
        <v>443</v>
      </c>
      <c r="N47" s="2">
        <v>90</v>
      </c>
      <c r="O47" s="2">
        <v>1745</v>
      </c>
      <c r="P47" s="2">
        <v>39</v>
      </c>
      <c r="Q47" s="2" t="s">
        <v>444</v>
      </c>
      <c r="R47" s="2" t="s">
        <v>446</v>
      </c>
    </row>
    <row r="48" spans="1:18" ht="15.75" customHeight="1" x14ac:dyDescent="0.3">
      <c r="A48" s="2" t="s">
        <v>360</v>
      </c>
      <c r="B48" s="2" t="s">
        <v>116</v>
      </c>
      <c r="C48" s="2" t="s">
        <v>42</v>
      </c>
      <c r="D48" s="2" t="s">
        <v>47</v>
      </c>
      <c r="E48" s="2" t="s">
        <v>44</v>
      </c>
      <c r="F48" s="2">
        <v>48</v>
      </c>
      <c r="G48" s="2">
        <v>300</v>
      </c>
      <c r="H48" s="2">
        <v>0.7</v>
      </c>
      <c r="I48" s="2">
        <v>210</v>
      </c>
      <c r="J48" s="2">
        <v>4049</v>
      </c>
      <c r="K48" s="2">
        <v>106</v>
      </c>
      <c r="L48" s="2" t="s">
        <v>450</v>
      </c>
      <c r="M48" s="2" t="s">
        <v>451</v>
      </c>
      <c r="N48" s="2">
        <v>90</v>
      </c>
      <c r="O48" s="2">
        <v>1794</v>
      </c>
      <c r="P48" s="2">
        <v>48</v>
      </c>
      <c r="Q48" s="2" t="s">
        <v>452</v>
      </c>
      <c r="R48" s="2" t="s">
        <v>453</v>
      </c>
    </row>
    <row r="49" spans="1:18" ht="15.75" customHeight="1" x14ac:dyDescent="0.3">
      <c r="A49" s="2" t="s">
        <v>360</v>
      </c>
      <c r="B49" s="2" t="s">
        <v>116</v>
      </c>
      <c r="C49" s="2" t="s">
        <v>42</v>
      </c>
      <c r="D49" s="2" t="s">
        <v>47</v>
      </c>
      <c r="E49" s="2" t="s">
        <v>44</v>
      </c>
      <c r="F49" s="2">
        <v>49</v>
      </c>
      <c r="G49" s="2">
        <v>300</v>
      </c>
      <c r="H49" s="2">
        <v>0.7</v>
      </c>
      <c r="I49" s="2">
        <v>210</v>
      </c>
      <c r="J49" s="2">
        <v>4145</v>
      </c>
      <c r="K49" s="2">
        <v>109</v>
      </c>
      <c r="L49" s="2" t="s">
        <v>456</v>
      </c>
      <c r="M49" s="2" t="s">
        <v>458</v>
      </c>
      <c r="N49" s="2">
        <v>90</v>
      </c>
      <c r="O49" s="2">
        <v>1698</v>
      </c>
      <c r="P49" s="2">
        <v>45</v>
      </c>
      <c r="Q49" s="2" t="s">
        <v>459</v>
      </c>
      <c r="R49" s="2" t="s">
        <v>460</v>
      </c>
    </row>
    <row r="50" spans="1:18" ht="15.75" customHeight="1" x14ac:dyDescent="0.3">
      <c r="A50" s="2" t="s">
        <v>360</v>
      </c>
      <c r="B50" s="2" t="s">
        <v>116</v>
      </c>
      <c r="C50" s="2" t="s">
        <v>42</v>
      </c>
      <c r="D50" s="2" t="s">
        <v>47</v>
      </c>
      <c r="E50" s="2" t="s">
        <v>44</v>
      </c>
      <c r="F50" s="2">
        <v>50</v>
      </c>
      <c r="G50" s="2">
        <v>300</v>
      </c>
      <c r="H50" s="2">
        <v>0.7</v>
      </c>
      <c r="I50" s="2">
        <v>210</v>
      </c>
      <c r="J50" s="2">
        <v>4019</v>
      </c>
      <c r="K50" s="2">
        <v>107</v>
      </c>
      <c r="L50" s="2" t="s">
        <v>463</v>
      </c>
      <c r="M50" s="2" t="s">
        <v>464</v>
      </c>
      <c r="N50" s="2">
        <v>90</v>
      </c>
      <c r="O50" s="2">
        <v>1824</v>
      </c>
      <c r="P50" s="2">
        <v>47</v>
      </c>
      <c r="Q50" s="2" t="s">
        <v>465</v>
      </c>
      <c r="R50" s="2" t="s">
        <v>466</v>
      </c>
    </row>
    <row r="51" spans="1:18" ht="15.75" customHeight="1" x14ac:dyDescent="0.3">
      <c r="A51" s="2" t="s">
        <v>360</v>
      </c>
      <c r="B51" s="2" t="s">
        <v>116</v>
      </c>
      <c r="C51" s="2" t="s">
        <v>42</v>
      </c>
      <c r="D51" s="2" t="s">
        <v>47</v>
      </c>
      <c r="E51" s="2" t="s">
        <v>44</v>
      </c>
      <c r="F51" s="2">
        <v>51</v>
      </c>
      <c r="G51" s="2">
        <v>300</v>
      </c>
      <c r="H51" s="2">
        <v>0.7</v>
      </c>
      <c r="I51" s="2">
        <v>210</v>
      </c>
      <c r="J51" s="2">
        <v>4016</v>
      </c>
      <c r="K51" s="2">
        <v>107</v>
      </c>
      <c r="L51" s="2" t="s">
        <v>469</v>
      </c>
      <c r="M51" s="2" t="s">
        <v>470</v>
      </c>
      <c r="N51" s="2">
        <v>90</v>
      </c>
      <c r="O51" s="2">
        <v>1827</v>
      </c>
      <c r="P51" s="2">
        <v>47</v>
      </c>
      <c r="Q51" s="2" t="s">
        <v>474</v>
      </c>
      <c r="R51" s="2" t="s">
        <v>476</v>
      </c>
    </row>
    <row r="52" spans="1:18" ht="15.75" customHeight="1" x14ac:dyDescent="0.3">
      <c r="A52" s="2" t="s">
        <v>360</v>
      </c>
      <c r="B52" s="2" t="s">
        <v>116</v>
      </c>
      <c r="C52" s="2" t="s">
        <v>42</v>
      </c>
      <c r="D52" s="2" t="s">
        <v>47</v>
      </c>
      <c r="E52" s="2" t="s">
        <v>44</v>
      </c>
      <c r="F52" s="2">
        <v>52</v>
      </c>
      <c r="G52" s="2">
        <v>300</v>
      </c>
      <c r="H52" s="2">
        <v>0.7</v>
      </c>
      <c r="I52" s="2">
        <v>210</v>
      </c>
      <c r="J52" s="2">
        <v>4124</v>
      </c>
      <c r="K52" s="2">
        <v>111</v>
      </c>
      <c r="L52" s="2" t="s">
        <v>481</v>
      </c>
      <c r="M52" s="2" t="s">
        <v>483</v>
      </c>
      <c r="N52" s="2">
        <v>90</v>
      </c>
      <c r="O52" s="2">
        <v>1719</v>
      </c>
      <c r="P52" s="2">
        <v>43</v>
      </c>
      <c r="Q52" s="2" t="s">
        <v>484</v>
      </c>
      <c r="R52" s="2" t="s">
        <v>486</v>
      </c>
    </row>
    <row r="53" spans="1:18" ht="15.75" customHeight="1" x14ac:dyDescent="0.3">
      <c r="A53" s="2" t="s">
        <v>360</v>
      </c>
      <c r="B53" s="2" t="s">
        <v>116</v>
      </c>
      <c r="C53" s="2" t="s">
        <v>42</v>
      </c>
      <c r="D53" s="2" t="s">
        <v>47</v>
      </c>
      <c r="E53" s="2" t="s">
        <v>44</v>
      </c>
      <c r="F53" s="2">
        <v>53</v>
      </c>
      <c r="G53" s="2">
        <v>300</v>
      </c>
      <c r="H53" s="2">
        <v>0.7</v>
      </c>
      <c r="I53" s="2">
        <v>210</v>
      </c>
      <c r="J53" s="2">
        <v>3981</v>
      </c>
      <c r="K53" s="2">
        <v>102</v>
      </c>
      <c r="L53" s="2" t="s">
        <v>493</v>
      </c>
      <c r="M53" s="2" t="s">
        <v>495</v>
      </c>
      <c r="N53" s="2">
        <v>90</v>
      </c>
      <c r="O53" s="2">
        <v>1862</v>
      </c>
      <c r="P53" s="2">
        <v>52</v>
      </c>
      <c r="Q53" s="2" t="s">
        <v>498</v>
      </c>
      <c r="R53" s="2" t="s">
        <v>499</v>
      </c>
    </row>
    <row r="54" spans="1:18" ht="15.75" customHeight="1" x14ac:dyDescent="0.3">
      <c r="A54" s="2" t="s">
        <v>360</v>
      </c>
      <c r="B54" s="2" t="s">
        <v>116</v>
      </c>
      <c r="C54" s="2" t="s">
        <v>42</v>
      </c>
      <c r="D54" s="2" t="s">
        <v>47</v>
      </c>
      <c r="E54" s="2" t="s">
        <v>44</v>
      </c>
      <c r="F54" s="2">
        <v>54</v>
      </c>
      <c r="G54" s="2">
        <v>300</v>
      </c>
      <c r="H54" s="2">
        <v>0.7</v>
      </c>
      <c r="I54" s="2">
        <v>210</v>
      </c>
      <c r="J54" s="2">
        <v>4196</v>
      </c>
      <c r="K54" s="2">
        <v>109</v>
      </c>
      <c r="L54" s="2" t="s">
        <v>503</v>
      </c>
      <c r="M54" s="2" t="s">
        <v>504</v>
      </c>
      <c r="N54" s="2">
        <v>90</v>
      </c>
      <c r="O54" s="2">
        <v>1647</v>
      </c>
      <c r="P54" s="2">
        <v>45</v>
      </c>
      <c r="Q54" s="2" t="s">
        <v>507</v>
      </c>
      <c r="R54" s="2" t="s">
        <v>508</v>
      </c>
    </row>
    <row r="55" spans="1:18" ht="15.75" customHeight="1" x14ac:dyDescent="0.3">
      <c r="A55" s="2" t="s">
        <v>360</v>
      </c>
      <c r="B55" s="2" t="s">
        <v>116</v>
      </c>
      <c r="C55" s="2" t="s">
        <v>42</v>
      </c>
      <c r="D55" s="2" t="s">
        <v>47</v>
      </c>
      <c r="E55" s="2" t="s">
        <v>44</v>
      </c>
      <c r="F55" s="2">
        <v>55</v>
      </c>
      <c r="G55" s="2">
        <v>300</v>
      </c>
      <c r="H55" s="2">
        <v>0.7</v>
      </c>
      <c r="I55" s="2">
        <v>210</v>
      </c>
      <c r="J55" s="2">
        <v>4119</v>
      </c>
      <c r="K55" s="2">
        <v>112</v>
      </c>
      <c r="L55" s="2" t="s">
        <v>514</v>
      </c>
      <c r="M55" s="2" t="s">
        <v>515</v>
      </c>
      <c r="N55" s="2">
        <v>90</v>
      </c>
      <c r="O55" s="2">
        <v>1724</v>
      </c>
      <c r="P55" s="2">
        <v>42</v>
      </c>
      <c r="Q55" s="2" t="s">
        <v>516</v>
      </c>
      <c r="R55" s="2" t="s">
        <v>517</v>
      </c>
    </row>
    <row r="56" spans="1:18" ht="15.75" customHeight="1" x14ac:dyDescent="0.3">
      <c r="A56" s="2" t="s">
        <v>360</v>
      </c>
      <c r="B56" s="2" t="s">
        <v>116</v>
      </c>
      <c r="C56" s="2" t="s">
        <v>42</v>
      </c>
      <c r="D56" s="2" t="s">
        <v>47</v>
      </c>
      <c r="E56" s="2" t="s">
        <v>44</v>
      </c>
      <c r="F56" s="2">
        <v>56</v>
      </c>
      <c r="G56" s="2">
        <v>300</v>
      </c>
      <c r="H56" s="2">
        <v>0.7</v>
      </c>
      <c r="I56" s="2">
        <v>210</v>
      </c>
      <c r="J56" s="2">
        <v>4148</v>
      </c>
      <c r="K56" s="2">
        <v>110</v>
      </c>
      <c r="L56" s="2" t="s">
        <v>518</v>
      </c>
      <c r="M56" s="2" t="s">
        <v>519</v>
      </c>
      <c r="N56" s="2">
        <v>90</v>
      </c>
      <c r="O56" s="2">
        <v>1695</v>
      </c>
      <c r="P56" s="2">
        <v>44</v>
      </c>
      <c r="Q56" s="2" t="s">
        <v>520</v>
      </c>
      <c r="R56" s="2" t="s">
        <v>521</v>
      </c>
    </row>
    <row r="57" spans="1:18" ht="15.75" customHeight="1" x14ac:dyDescent="0.3">
      <c r="A57" s="2" t="s">
        <v>360</v>
      </c>
      <c r="B57" s="2" t="s">
        <v>116</v>
      </c>
      <c r="C57" s="2" t="s">
        <v>42</v>
      </c>
      <c r="D57" s="2" t="s">
        <v>47</v>
      </c>
      <c r="E57" s="2" t="s">
        <v>44</v>
      </c>
      <c r="F57" s="2">
        <v>57</v>
      </c>
      <c r="G57" s="2">
        <v>300</v>
      </c>
      <c r="H57" s="2">
        <v>0.7</v>
      </c>
      <c r="I57" s="2">
        <v>210</v>
      </c>
      <c r="J57" s="2">
        <v>4054</v>
      </c>
      <c r="K57" s="2">
        <v>113</v>
      </c>
      <c r="L57" s="2" t="s">
        <v>524</v>
      </c>
      <c r="M57" s="2" t="s">
        <v>525</v>
      </c>
      <c r="N57" s="2">
        <v>90</v>
      </c>
      <c r="O57" s="2">
        <v>1789</v>
      </c>
      <c r="P57" s="2">
        <v>41</v>
      </c>
      <c r="Q57" s="2" t="s">
        <v>526</v>
      </c>
      <c r="R57" s="2" t="s">
        <v>527</v>
      </c>
    </row>
    <row r="58" spans="1:18" ht="15.75" customHeight="1" x14ac:dyDescent="0.3">
      <c r="A58" s="2" t="s">
        <v>360</v>
      </c>
      <c r="B58" s="2" t="s">
        <v>116</v>
      </c>
      <c r="C58" s="2" t="s">
        <v>42</v>
      </c>
      <c r="D58" s="2" t="s">
        <v>47</v>
      </c>
      <c r="E58" s="2" t="s">
        <v>44</v>
      </c>
      <c r="F58" s="2">
        <v>58</v>
      </c>
      <c r="G58" s="2">
        <v>300</v>
      </c>
      <c r="H58" s="2">
        <v>0.7</v>
      </c>
      <c r="I58" s="2">
        <v>210</v>
      </c>
      <c r="J58" s="2">
        <v>4107</v>
      </c>
      <c r="K58" s="2">
        <v>112</v>
      </c>
      <c r="L58" s="2" t="s">
        <v>528</v>
      </c>
      <c r="M58" s="2" t="s">
        <v>529</v>
      </c>
      <c r="N58" s="2">
        <v>90</v>
      </c>
      <c r="O58" s="2">
        <v>1736</v>
      </c>
      <c r="P58" s="2">
        <v>42</v>
      </c>
      <c r="Q58" s="2" t="s">
        <v>530</v>
      </c>
      <c r="R58" s="2" t="s">
        <v>531</v>
      </c>
    </row>
    <row r="59" spans="1:18" ht="15.75" customHeight="1" x14ac:dyDescent="0.3">
      <c r="A59" s="2" t="s">
        <v>360</v>
      </c>
      <c r="B59" s="2" t="s">
        <v>116</v>
      </c>
      <c r="C59" s="2" t="s">
        <v>42</v>
      </c>
      <c r="D59" s="2" t="s">
        <v>47</v>
      </c>
      <c r="E59" s="2" t="s">
        <v>44</v>
      </c>
      <c r="F59" s="2">
        <v>59</v>
      </c>
      <c r="G59" s="2">
        <v>300</v>
      </c>
      <c r="H59" s="2">
        <v>0.7</v>
      </c>
      <c r="I59" s="2">
        <v>210</v>
      </c>
      <c r="J59" s="2">
        <v>4125</v>
      </c>
      <c r="K59" s="2">
        <v>110</v>
      </c>
      <c r="L59" s="2" t="s">
        <v>534</v>
      </c>
      <c r="M59" s="2" t="s">
        <v>535</v>
      </c>
      <c r="N59" s="2">
        <v>90</v>
      </c>
      <c r="O59" s="2">
        <v>1718</v>
      </c>
      <c r="P59" s="2">
        <v>44</v>
      </c>
      <c r="Q59" s="2" t="s">
        <v>536</v>
      </c>
      <c r="R59" s="2" t="s">
        <v>537</v>
      </c>
    </row>
    <row r="60" spans="1:18" ht="15.75" customHeight="1" x14ac:dyDescent="0.3">
      <c r="A60" s="2" t="s">
        <v>360</v>
      </c>
      <c r="B60" s="2" t="s">
        <v>116</v>
      </c>
      <c r="C60" s="2" t="s">
        <v>42</v>
      </c>
      <c r="D60" s="2" t="s">
        <v>47</v>
      </c>
      <c r="E60" s="2" t="s">
        <v>44</v>
      </c>
      <c r="F60" s="2">
        <v>60</v>
      </c>
      <c r="G60" s="2">
        <v>300</v>
      </c>
      <c r="H60" s="2">
        <v>0.7</v>
      </c>
      <c r="I60" s="2">
        <v>210</v>
      </c>
      <c r="J60" s="2">
        <v>3907</v>
      </c>
      <c r="K60" s="2">
        <v>108</v>
      </c>
      <c r="L60" s="2" t="s">
        <v>538</v>
      </c>
      <c r="M60" s="2" t="s">
        <v>539</v>
      </c>
      <c r="N60" s="2">
        <v>90</v>
      </c>
      <c r="O60" s="2">
        <v>1936</v>
      </c>
      <c r="P60" s="2">
        <v>46</v>
      </c>
      <c r="Q60" s="2" t="s">
        <v>540</v>
      </c>
      <c r="R60" s="2" t="s">
        <v>541</v>
      </c>
    </row>
    <row r="61" spans="1:18" ht="15.75" customHeight="1" x14ac:dyDescent="0.3">
      <c r="A61" s="2" t="s">
        <v>360</v>
      </c>
      <c r="B61" s="2" t="s">
        <v>116</v>
      </c>
      <c r="C61" s="2" t="s">
        <v>42</v>
      </c>
      <c r="D61" s="2" t="s">
        <v>47</v>
      </c>
      <c r="E61" s="2" t="s">
        <v>44</v>
      </c>
      <c r="F61" s="2">
        <v>61</v>
      </c>
      <c r="G61" s="2">
        <v>300</v>
      </c>
      <c r="H61" s="2">
        <v>0.7</v>
      </c>
      <c r="I61" s="2">
        <v>210</v>
      </c>
      <c r="J61" s="2">
        <v>4055</v>
      </c>
      <c r="K61" s="2">
        <v>107</v>
      </c>
      <c r="L61" s="2" t="s">
        <v>542</v>
      </c>
      <c r="M61" s="2" t="s">
        <v>543</v>
      </c>
      <c r="N61" s="2">
        <v>90</v>
      </c>
      <c r="O61" s="2">
        <v>1788</v>
      </c>
      <c r="P61" s="2">
        <v>47</v>
      </c>
      <c r="Q61" s="2" t="s">
        <v>545</v>
      </c>
      <c r="R61" s="2" t="s">
        <v>547</v>
      </c>
    </row>
    <row r="62" spans="1:18" ht="15.75" customHeight="1" x14ac:dyDescent="0.3">
      <c r="A62" s="2" t="s">
        <v>360</v>
      </c>
      <c r="B62" s="2" t="s">
        <v>116</v>
      </c>
      <c r="C62" s="2" t="s">
        <v>42</v>
      </c>
      <c r="D62" s="2" t="s">
        <v>239</v>
      </c>
      <c r="E62" s="2" t="s">
        <v>71</v>
      </c>
      <c r="F62" s="2">
        <v>42</v>
      </c>
      <c r="G62" s="2">
        <v>300</v>
      </c>
      <c r="H62" s="2">
        <v>0.7</v>
      </c>
      <c r="I62" s="2">
        <v>210</v>
      </c>
      <c r="J62" s="2">
        <v>4032</v>
      </c>
      <c r="K62" s="2">
        <v>108</v>
      </c>
      <c r="L62" s="2" t="s">
        <v>548</v>
      </c>
      <c r="M62" s="2" t="s">
        <v>549</v>
      </c>
      <c r="N62" s="2">
        <v>90</v>
      </c>
      <c r="O62" s="2">
        <v>1811</v>
      </c>
      <c r="P62" s="2">
        <v>46</v>
      </c>
      <c r="Q62" s="2" t="s">
        <v>550</v>
      </c>
      <c r="R62" s="2" t="s">
        <v>551</v>
      </c>
    </row>
    <row r="63" spans="1:18" ht="15.75" customHeight="1" x14ac:dyDescent="0.3">
      <c r="A63" s="2" t="s">
        <v>360</v>
      </c>
      <c r="B63" s="2" t="s">
        <v>116</v>
      </c>
      <c r="C63" s="2" t="s">
        <v>42</v>
      </c>
      <c r="D63" s="2" t="s">
        <v>239</v>
      </c>
      <c r="E63" s="2" t="s">
        <v>71</v>
      </c>
      <c r="F63" s="2">
        <v>43</v>
      </c>
      <c r="G63" s="2">
        <v>300</v>
      </c>
      <c r="H63" s="2">
        <v>0.7</v>
      </c>
      <c r="I63" s="2">
        <v>210</v>
      </c>
      <c r="J63" s="2">
        <v>3966</v>
      </c>
      <c r="K63" s="2">
        <v>107</v>
      </c>
      <c r="L63" s="2" t="s">
        <v>552</v>
      </c>
      <c r="M63" s="2" t="s">
        <v>553</v>
      </c>
      <c r="N63" s="2">
        <v>90</v>
      </c>
      <c r="O63" s="2">
        <v>1877</v>
      </c>
      <c r="P63" s="2">
        <v>47</v>
      </c>
      <c r="Q63" s="2" t="s">
        <v>554</v>
      </c>
      <c r="R63" s="2" t="s">
        <v>555</v>
      </c>
    </row>
    <row r="64" spans="1:18" ht="15.75" customHeight="1" x14ac:dyDescent="0.3">
      <c r="A64" s="2" t="s">
        <v>360</v>
      </c>
      <c r="B64" s="2" t="s">
        <v>116</v>
      </c>
      <c r="C64" s="2" t="s">
        <v>42</v>
      </c>
      <c r="D64" s="2" t="s">
        <v>239</v>
      </c>
      <c r="E64" s="2" t="s">
        <v>71</v>
      </c>
      <c r="F64" s="2">
        <v>44</v>
      </c>
      <c r="G64" s="2">
        <v>300</v>
      </c>
      <c r="H64" s="2">
        <v>0.7</v>
      </c>
      <c r="I64" s="2">
        <v>210</v>
      </c>
      <c r="J64" s="2">
        <v>4181</v>
      </c>
      <c r="K64" s="2">
        <v>111</v>
      </c>
      <c r="L64" s="2" t="s">
        <v>558</v>
      </c>
      <c r="M64" s="2" t="s">
        <v>559</v>
      </c>
      <c r="N64" s="2">
        <v>90</v>
      </c>
      <c r="O64" s="2">
        <v>1662</v>
      </c>
      <c r="P64" s="2">
        <v>43</v>
      </c>
      <c r="Q64" s="2" t="s">
        <v>560</v>
      </c>
      <c r="R64" s="2" t="s">
        <v>561</v>
      </c>
    </row>
    <row r="65" spans="1:18" ht="15.75" customHeight="1" x14ac:dyDescent="0.3">
      <c r="A65" s="2" t="s">
        <v>360</v>
      </c>
      <c r="B65" s="2" t="s">
        <v>116</v>
      </c>
      <c r="C65" s="2" t="s">
        <v>42</v>
      </c>
      <c r="D65" s="2" t="s">
        <v>239</v>
      </c>
      <c r="E65" s="2" t="s">
        <v>71</v>
      </c>
      <c r="F65" s="2">
        <v>45</v>
      </c>
      <c r="G65" s="2">
        <v>300</v>
      </c>
      <c r="H65" s="2">
        <v>0.7</v>
      </c>
      <c r="I65" s="2">
        <v>210</v>
      </c>
      <c r="J65" s="2">
        <v>4052</v>
      </c>
      <c r="K65" s="2">
        <v>113</v>
      </c>
      <c r="L65" s="2" t="s">
        <v>564</v>
      </c>
      <c r="M65" s="2" t="s">
        <v>565</v>
      </c>
      <c r="N65" s="2">
        <v>90</v>
      </c>
      <c r="O65" s="2">
        <v>1791</v>
      </c>
      <c r="P65" s="2">
        <v>41</v>
      </c>
      <c r="Q65" s="2" t="s">
        <v>566</v>
      </c>
      <c r="R65" s="2" t="s">
        <v>567</v>
      </c>
    </row>
    <row r="66" spans="1:18" ht="15.75" customHeight="1" x14ac:dyDescent="0.3">
      <c r="A66" s="2" t="s">
        <v>360</v>
      </c>
      <c r="B66" s="2" t="s">
        <v>116</v>
      </c>
      <c r="C66" s="2" t="s">
        <v>42</v>
      </c>
      <c r="D66" s="2" t="s">
        <v>239</v>
      </c>
      <c r="E66" s="2" t="s">
        <v>71</v>
      </c>
      <c r="F66" s="2">
        <v>46</v>
      </c>
      <c r="G66" s="2">
        <v>300</v>
      </c>
      <c r="H66" s="2">
        <v>0.7</v>
      </c>
      <c r="I66" s="2">
        <v>210</v>
      </c>
      <c r="J66" s="2">
        <v>4048</v>
      </c>
      <c r="K66" s="2">
        <v>108</v>
      </c>
      <c r="L66" s="2" t="s">
        <v>568</v>
      </c>
      <c r="M66" s="2" t="s">
        <v>569</v>
      </c>
      <c r="N66" s="2">
        <v>90</v>
      </c>
      <c r="O66" s="2">
        <v>1795</v>
      </c>
      <c r="P66" s="2">
        <v>46</v>
      </c>
      <c r="Q66" s="2" t="s">
        <v>570</v>
      </c>
      <c r="R66" s="2" t="s">
        <v>571</v>
      </c>
    </row>
    <row r="67" spans="1:18" ht="15.75" customHeight="1" x14ac:dyDescent="0.3">
      <c r="A67" s="2" t="s">
        <v>360</v>
      </c>
      <c r="B67" s="2" t="s">
        <v>116</v>
      </c>
      <c r="C67" s="2" t="s">
        <v>42</v>
      </c>
      <c r="D67" s="2" t="s">
        <v>239</v>
      </c>
      <c r="E67" s="2" t="s">
        <v>71</v>
      </c>
      <c r="F67" s="2">
        <v>47</v>
      </c>
      <c r="G67" s="2">
        <v>300</v>
      </c>
      <c r="H67" s="2">
        <v>0.7</v>
      </c>
      <c r="I67" s="2">
        <v>210</v>
      </c>
      <c r="J67" s="2">
        <v>4086</v>
      </c>
      <c r="K67" s="2">
        <v>106</v>
      </c>
      <c r="L67" s="2" t="s">
        <v>574</v>
      </c>
      <c r="M67" s="2" t="s">
        <v>575</v>
      </c>
      <c r="N67" s="2">
        <v>90</v>
      </c>
      <c r="O67" s="2">
        <v>1757</v>
      </c>
      <c r="P67" s="2">
        <v>48</v>
      </c>
      <c r="Q67" s="2" t="s">
        <v>576</v>
      </c>
      <c r="R67" s="2" t="s">
        <v>577</v>
      </c>
    </row>
    <row r="68" spans="1:18" ht="15.75" customHeight="1" x14ac:dyDescent="0.3">
      <c r="A68" s="2" t="s">
        <v>360</v>
      </c>
      <c r="B68" s="2" t="s">
        <v>116</v>
      </c>
      <c r="C68" s="2" t="s">
        <v>42</v>
      </c>
      <c r="D68" s="2" t="s">
        <v>239</v>
      </c>
      <c r="E68" s="2" t="s">
        <v>71</v>
      </c>
      <c r="F68" s="2">
        <v>48</v>
      </c>
      <c r="G68" s="2">
        <v>300</v>
      </c>
      <c r="H68" s="2">
        <v>0.7</v>
      </c>
      <c r="I68" s="2">
        <v>210</v>
      </c>
      <c r="J68" s="2">
        <v>3923</v>
      </c>
      <c r="K68" s="2">
        <v>105</v>
      </c>
      <c r="L68" s="2" t="s">
        <v>578</v>
      </c>
      <c r="M68" s="2" t="s">
        <v>579</v>
      </c>
      <c r="N68" s="2">
        <v>90</v>
      </c>
      <c r="O68" s="2">
        <v>1920</v>
      </c>
      <c r="P68" s="2">
        <v>49</v>
      </c>
      <c r="Q68" s="2" t="s">
        <v>580</v>
      </c>
      <c r="R68" s="2" t="s">
        <v>581</v>
      </c>
    </row>
    <row r="69" spans="1:18" ht="15.75" customHeight="1" x14ac:dyDescent="0.3">
      <c r="A69" s="2" t="s">
        <v>360</v>
      </c>
      <c r="B69" s="2" t="s">
        <v>116</v>
      </c>
      <c r="C69" s="2" t="s">
        <v>42</v>
      </c>
      <c r="D69" s="2" t="s">
        <v>239</v>
      </c>
      <c r="E69" s="2" t="s">
        <v>71</v>
      </c>
      <c r="F69" s="2">
        <v>49</v>
      </c>
      <c r="G69" s="2">
        <v>300</v>
      </c>
      <c r="H69" s="2">
        <v>0.7</v>
      </c>
      <c r="I69" s="2">
        <v>210</v>
      </c>
      <c r="J69" s="2">
        <v>4131</v>
      </c>
      <c r="K69" s="2">
        <v>106</v>
      </c>
      <c r="L69" s="2" t="s">
        <v>582</v>
      </c>
      <c r="M69" s="2" t="s">
        <v>583</v>
      </c>
      <c r="N69" s="2">
        <v>90</v>
      </c>
      <c r="O69" s="2">
        <v>1712</v>
      </c>
      <c r="P69" s="2">
        <v>48</v>
      </c>
      <c r="Q69" s="2" t="s">
        <v>585</v>
      </c>
      <c r="R69" s="2" t="s">
        <v>587</v>
      </c>
    </row>
    <row r="70" spans="1:18" ht="15.75" customHeight="1" x14ac:dyDescent="0.3">
      <c r="A70" s="2" t="s">
        <v>360</v>
      </c>
      <c r="B70" s="2" t="s">
        <v>116</v>
      </c>
      <c r="C70" s="2" t="s">
        <v>42</v>
      </c>
      <c r="D70" s="2" t="s">
        <v>239</v>
      </c>
      <c r="E70" s="2" t="s">
        <v>71</v>
      </c>
      <c r="F70" s="2">
        <v>50</v>
      </c>
      <c r="G70" s="2">
        <v>300</v>
      </c>
      <c r="H70" s="2">
        <v>0.7</v>
      </c>
      <c r="I70" s="2">
        <v>210</v>
      </c>
      <c r="J70" s="2">
        <v>4016</v>
      </c>
      <c r="K70" s="2">
        <v>108</v>
      </c>
      <c r="L70" s="2" t="s">
        <v>588</v>
      </c>
      <c r="M70" s="2" t="s">
        <v>589</v>
      </c>
      <c r="N70" s="2">
        <v>90</v>
      </c>
      <c r="O70" s="2">
        <v>1827</v>
      </c>
      <c r="P70" s="2">
        <v>46</v>
      </c>
      <c r="Q70" s="2" t="s">
        <v>590</v>
      </c>
      <c r="R70" s="2" t="s">
        <v>591</v>
      </c>
    </row>
    <row r="71" spans="1:18" ht="15.75" customHeight="1" x14ac:dyDescent="0.3">
      <c r="A71" s="2" t="s">
        <v>360</v>
      </c>
      <c r="B71" s="2" t="s">
        <v>116</v>
      </c>
      <c r="C71" s="2" t="s">
        <v>42</v>
      </c>
      <c r="D71" s="2" t="s">
        <v>239</v>
      </c>
      <c r="E71" s="2" t="s">
        <v>71</v>
      </c>
      <c r="F71" s="2">
        <v>51</v>
      </c>
      <c r="G71" s="2">
        <v>300</v>
      </c>
      <c r="H71" s="2">
        <v>0.7</v>
      </c>
      <c r="I71" s="2">
        <v>210</v>
      </c>
      <c r="J71" s="2">
        <v>4284</v>
      </c>
      <c r="K71" s="2">
        <v>112</v>
      </c>
      <c r="L71" s="2" t="s">
        <v>593</v>
      </c>
      <c r="M71" s="2" t="s">
        <v>594</v>
      </c>
      <c r="N71" s="2">
        <v>90</v>
      </c>
      <c r="O71" s="2">
        <v>1559</v>
      </c>
      <c r="P71" s="2">
        <v>42</v>
      </c>
      <c r="Q71" s="2" t="s">
        <v>596</v>
      </c>
      <c r="R71" s="2" t="s">
        <v>597</v>
      </c>
    </row>
    <row r="72" spans="1:18" ht="15.75" customHeight="1" x14ac:dyDescent="0.3">
      <c r="A72" s="2" t="s">
        <v>360</v>
      </c>
      <c r="B72" s="2" t="s">
        <v>116</v>
      </c>
      <c r="C72" s="2" t="s">
        <v>42</v>
      </c>
      <c r="D72" s="2" t="s">
        <v>239</v>
      </c>
      <c r="E72" s="2" t="s">
        <v>71</v>
      </c>
      <c r="F72" s="2">
        <v>52</v>
      </c>
      <c r="G72" s="2">
        <v>300</v>
      </c>
      <c r="H72" s="2">
        <v>0.7</v>
      </c>
      <c r="I72" s="2">
        <v>210</v>
      </c>
      <c r="J72" s="2">
        <v>4108</v>
      </c>
      <c r="K72" s="2">
        <v>104</v>
      </c>
      <c r="L72" s="2" t="s">
        <v>602</v>
      </c>
      <c r="M72" s="2" t="s">
        <v>603</v>
      </c>
      <c r="N72" s="2">
        <v>90</v>
      </c>
      <c r="O72" s="2">
        <v>1735</v>
      </c>
      <c r="P72" s="2">
        <v>50</v>
      </c>
      <c r="Q72" s="2" t="s">
        <v>604</v>
      </c>
      <c r="R72" s="2" t="s">
        <v>605</v>
      </c>
    </row>
    <row r="73" spans="1:18" ht="15.75" customHeight="1" x14ac:dyDescent="0.3">
      <c r="A73" s="2" t="s">
        <v>360</v>
      </c>
      <c r="B73" s="2" t="s">
        <v>116</v>
      </c>
      <c r="C73" s="2" t="s">
        <v>42</v>
      </c>
      <c r="D73" s="2" t="s">
        <v>239</v>
      </c>
      <c r="E73" s="2" t="s">
        <v>71</v>
      </c>
      <c r="F73" s="2">
        <v>53</v>
      </c>
      <c r="G73" s="2">
        <v>300</v>
      </c>
      <c r="H73" s="2">
        <v>0.7</v>
      </c>
      <c r="I73" s="2">
        <v>210</v>
      </c>
      <c r="J73" s="2">
        <v>4095</v>
      </c>
      <c r="K73" s="2">
        <v>111</v>
      </c>
      <c r="L73" s="2" t="s">
        <v>606</v>
      </c>
      <c r="M73" s="2" t="s">
        <v>565</v>
      </c>
      <c r="N73" s="2">
        <v>90</v>
      </c>
      <c r="O73" s="2">
        <v>1748</v>
      </c>
      <c r="P73" s="2">
        <v>43</v>
      </c>
      <c r="Q73" s="2" t="s">
        <v>607</v>
      </c>
      <c r="R73" s="2" t="s">
        <v>567</v>
      </c>
    </row>
    <row r="74" spans="1:18" ht="15.75" customHeight="1" x14ac:dyDescent="0.3">
      <c r="A74" s="2" t="s">
        <v>360</v>
      </c>
      <c r="B74" s="2" t="s">
        <v>116</v>
      </c>
      <c r="C74" s="2" t="s">
        <v>42</v>
      </c>
      <c r="D74" s="2" t="s">
        <v>239</v>
      </c>
      <c r="E74" s="2" t="s">
        <v>71</v>
      </c>
      <c r="F74" s="2">
        <v>54</v>
      </c>
      <c r="G74" s="2">
        <v>300</v>
      </c>
      <c r="H74" s="2">
        <v>0.7</v>
      </c>
      <c r="I74" s="2">
        <v>210</v>
      </c>
      <c r="J74" s="2">
        <v>4005</v>
      </c>
      <c r="K74" s="2">
        <v>105</v>
      </c>
      <c r="L74" s="2" t="s">
        <v>610</v>
      </c>
      <c r="M74" s="2" t="s">
        <v>611</v>
      </c>
      <c r="N74" s="2">
        <v>90</v>
      </c>
      <c r="O74" s="2">
        <v>1838</v>
      </c>
      <c r="P74" s="2">
        <v>49</v>
      </c>
      <c r="Q74" s="2" t="s">
        <v>612</v>
      </c>
      <c r="R74" s="2" t="s">
        <v>613</v>
      </c>
    </row>
    <row r="75" spans="1:18" ht="15.75" customHeight="1" x14ac:dyDescent="0.3">
      <c r="A75" s="2" t="s">
        <v>360</v>
      </c>
      <c r="B75" s="2" t="s">
        <v>116</v>
      </c>
      <c r="C75" s="2" t="s">
        <v>42</v>
      </c>
      <c r="D75" s="2" t="s">
        <v>239</v>
      </c>
      <c r="E75" s="2" t="s">
        <v>71</v>
      </c>
      <c r="F75" s="2">
        <v>55</v>
      </c>
      <c r="G75" s="2">
        <v>300</v>
      </c>
      <c r="H75" s="2">
        <v>0.7</v>
      </c>
      <c r="I75" s="2">
        <v>210</v>
      </c>
      <c r="J75" s="2">
        <v>4049</v>
      </c>
      <c r="K75" s="2">
        <v>105</v>
      </c>
      <c r="L75" s="2" t="s">
        <v>614</v>
      </c>
      <c r="M75" s="2" t="s">
        <v>615</v>
      </c>
      <c r="N75" s="2">
        <v>90</v>
      </c>
      <c r="O75" s="2">
        <v>1794</v>
      </c>
      <c r="P75" s="2">
        <v>49</v>
      </c>
      <c r="Q75" s="2" t="s">
        <v>616</v>
      </c>
      <c r="R75" s="2" t="s">
        <v>617</v>
      </c>
    </row>
    <row r="76" spans="1:18" ht="15.75" customHeight="1" x14ac:dyDescent="0.3">
      <c r="A76" s="2" t="s">
        <v>360</v>
      </c>
      <c r="B76" s="2" t="s">
        <v>116</v>
      </c>
      <c r="C76" s="2" t="s">
        <v>42</v>
      </c>
      <c r="D76" s="2" t="s">
        <v>239</v>
      </c>
      <c r="E76" s="2" t="s">
        <v>71</v>
      </c>
      <c r="F76" s="2">
        <v>56</v>
      </c>
      <c r="G76" s="2">
        <v>300</v>
      </c>
      <c r="H76" s="2">
        <v>0.7</v>
      </c>
      <c r="I76" s="2">
        <v>210</v>
      </c>
      <c r="J76" s="2">
        <v>4062</v>
      </c>
      <c r="K76" s="2">
        <v>110</v>
      </c>
      <c r="L76" s="2" t="s">
        <v>618</v>
      </c>
      <c r="M76" s="2" t="s">
        <v>620</v>
      </c>
      <c r="N76" s="2">
        <v>90</v>
      </c>
      <c r="O76" s="2">
        <v>1781</v>
      </c>
      <c r="P76" s="2">
        <v>44</v>
      </c>
      <c r="Q76" s="2" t="s">
        <v>622</v>
      </c>
      <c r="R76" s="2" t="s">
        <v>623</v>
      </c>
    </row>
    <row r="77" spans="1:18" ht="15.75" customHeight="1" x14ac:dyDescent="0.3">
      <c r="A77" s="2" t="s">
        <v>360</v>
      </c>
      <c r="B77" s="2" t="s">
        <v>116</v>
      </c>
      <c r="C77" s="2" t="s">
        <v>42</v>
      </c>
      <c r="D77" s="2" t="s">
        <v>239</v>
      </c>
      <c r="E77" s="2" t="s">
        <v>71</v>
      </c>
      <c r="F77" s="2">
        <v>57</v>
      </c>
      <c r="G77" s="2">
        <v>300</v>
      </c>
      <c r="H77" s="2">
        <v>0.7</v>
      </c>
      <c r="I77" s="2">
        <v>210</v>
      </c>
      <c r="J77" s="2">
        <v>3930</v>
      </c>
      <c r="K77" s="2">
        <v>107</v>
      </c>
      <c r="L77" s="2" t="s">
        <v>552</v>
      </c>
      <c r="M77" s="2" t="s">
        <v>624</v>
      </c>
      <c r="N77" s="2">
        <v>90</v>
      </c>
      <c r="O77" s="2">
        <v>1913</v>
      </c>
      <c r="P77" s="2">
        <v>47</v>
      </c>
      <c r="Q77" s="2" t="s">
        <v>554</v>
      </c>
      <c r="R77" s="2" t="s">
        <v>625</v>
      </c>
    </row>
    <row r="78" spans="1:18" ht="15.75" customHeight="1" x14ac:dyDescent="0.3">
      <c r="A78" s="2" t="s">
        <v>360</v>
      </c>
      <c r="B78" s="2" t="s">
        <v>116</v>
      </c>
      <c r="C78" s="2" t="s">
        <v>42</v>
      </c>
      <c r="D78" s="2" t="s">
        <v>239</v>
      </c>
      <c r="E78" s="2" t="s">
        <v>71</v>
      </c>
      <c r="F78" s="2">
        <v>58</v>
      </c>
      <c r="G78" s="2">
        <v>300</v>
      </c>
      <c r="H78" s="2">
        <v>0.7</v>
      </c>
      <c r="I78" s="2">
        <v>210</v>
      </c>
      <c r="J78" s="2">
        <v>4084</v>
      </c>
      <c r="K78" s="2">
        <v>112</v>
      </c>
      <c r="L78" s="2" t="s">
        <v>626</v>
      </c>
      <c r="M78" s="2" t="s">
        <v>627</v>
      </c>
      <c r="N78" s="2">
        <v>90</v>
      </c>
      <c r="O78" s="2">
        <v>1759</v>
      </c>
      <c r="P78" s="2">
        <v>42</v>
      </c>
      <c r="Q78" s="2" t="s">
        <v>628</v>
      </c>
      <c r="R78" s="2" t="s">
        <v>629</v>
      </c>
    </row>
    <row r="79" spans="1:18" ht="15.75" customHeight="1" x14ac:dyDescent="0.3">
      <c r="A79" s="2" t="s">
        <v>360</v>
      </c>
      <c r="B79" s="2" t="s">
        <v>116</v>
      </c>
      <c r="C79" s="2" t="s">
        <v>42</v>
      </c>
      <c r="D79" s="2" t="s">
        <v>239</v>
      </c>
      <c r="E79" s="2" t="s">
        <v>71</v>
      </c>
      <c r="F79" s="2">
        <v>59</v>
      </c>
      <c r="G79" s="2">
        <v>300</v>
      </c>
      <c r="H79" s="2">
        <v>0.7</v>
      </c>
      <c r="I79" s="2">
        <v>210</v>
      </c>
      <c r="J79" s="2">
        <v>4047</v>
      </c>
      <c r="K79" s="2">
        <v>113</v>
      </c>
      <c r="L79" s="2" t="s">
        <v>632</v>
      </c>
      <c r="M79" s="2" t="s">
        <v>633</v>
      </c>
      <c r="N79" s="2">
        <v>90</v>
      </c>
      <c r="O79" s="2">
        <v>1796</v>
      </c>
      <c r="P79" s="2">
        <v>41</v>
      </c>
      <c r="Q79" s="2" t="s">
        <v>634</v>
      </c>
      <c r="R79" s="2" t="s">
        <v>636</v>
      </c>
    </row>
    <row r="80" spans="1:18" ht="15.75" customHeight="1" x14ac:dyDescent="0.3">
      <c r="A80" s="2" t="s">
        <v>360</v>
      </c>
      <c r="B80" s="2" t="s">
        <v>116</v>
      </c>
      <c r="C80" s="2" t="s">
        <v>42</v>
      </c>
      <c r="D80" s="2" t="s">
        <v>239</v>
      </c>
      <c r="E80" s="2" t="s">
        <v>71</v>
      </c>
      <c r="F80" s="2">
        <v>60</v>
      </c>
      <c r="G80" s="2">
        <v>300</v>
      </c>
      <c r="H80" s="2">
        <v>0.7</v>
      </c>
      <c r="I80" s="2">
        <v>210</v>
      </c>
      <c r="J80" s="2">
        <v>4063</v>
      </c>
      <c r="K80" s="2">
        <v>109</v>
      </c>
      <c r="L80" s="2" t="s">
        <v>638</v>
      </c>
      <c r="M80" s="2" t="s">
        <v>639</v>
      </c>
      <c r="N80" s="2">
        <v>90</v>
      </c>
      <c r="O80" s="2">
        <v>1780</v>
      </c>
      <c r="P80" s="2">
        <v>45</v>
      </c>
      <c r="Q80" s="2" t="s">
        <v>640</v>
      </c>
      <c r="R80" s="2" t="s">
        <v>641</v>
      </c>
    </row>
    <row r="81" spans="1:18" ht="15.75" customHeight="1" x14ac:dyDescent="0.3">
      <c r="A81" s="2" t="s">
        <v>360</v>
      </c>
      <c r="B81" s="2" t="s">
        <v>116</v>
      </c>
      <c r="C81" s="2" t="s">
        <v>42</v>
      </c>
      <c r="D81" s="2" t="s">
        <v>239</v>
      </c>
      <c r="E81" s="2" t="s">
        <v>71</v>
      </c>
      <c r="F81" s="2">
        <v>61</v>
      </c>
      <c r="G81" s="2">
        <v>300</v>
      </c>
      <c r="H81" s="2">
        <v>0.7</v>
      </c>
      <c r="I81" s="2">
        <v>210</v>
      </c>
      <c r="J81" s="2">
        <v>4096</v>
      </c>
      <c r="K81" s="2">
        <v>109</v>
      </c>
      <c r="L81" s="2" t="s">
        <v>644</v>
      </c>
      <c r="M81" s="2" t="s">
        <v>645</v>
      </c>
      <c r="N81" s="2">
        <v>90</v>
      </c>
      <c r="O81" s="2">
        <v>1747</v>
      </c>
      <c r="P81" s="2">
        <v>45</v>
      </c>
      <c r="Q81" s="2" t="s">
        <v>646</v>
      </c>
      <c r="R81" s="2" t="s">
        <v>647</v>
      </c>
    </row>
    <row r="82" spans="1:18" ht="15.75" customHeight="1" x14ac:dyDescent="0.3">
      <c r="A82" s="2" t="s">
        <v>45</v>
      </c>
      <c r="B82" s="2" t="s">
        <v>32</v>
      </c>
      <c r="C82" s="2" t="s">
        <v>42</v>
      </c>
      <c r="D82" s="2" t="s">
        <v>47</v>
      </c>
      <c r="E82" s="2" t="s">
        <v>44</v>
      </c>
      <c r="F82" s="2">
        <v>42</v>
      </c>
      <c r="G82" s="2">
        <v>300</v>
      </c>
      <c r="H82" s="2">
        <v>0.7</v>
      </c>
      <c r="I82" s="2">
        <v>210</v>
      </c>
      <c r="J82" s="2">
        <v>4336</v>
      </c>
      <c r="K82" s="2">
        <v>287</v>
      </c>
      <c r="L82" s="2" t="s">
        <v>650</v>
      </c>
      <c r="M82" s="2" t="s">
        <v>651</v>
      </c>
      <c r="N82" s="2">
        <v>90</v>
      </c>
      <c r="O82" s="2">
        <v>1931</v>
      </c>
      <c r="P82" s="2">
        <v>140</v>
      </c>
      <c r="Q82" s="2" t="s">
        <v>652</v>
      </c>
      <c r="R82" s="2" t="s">
        <v>653</v>
      </c>
    </row>
    <row r="83" spans="1:18" ht="15.75" customHeight="1" x14ac:dyDescent="0.3">
      <c r="A83" s="2" t="s">
        <v>45</v>
      </c>
      <c r="B83" s="2" t="s">
        <v>32</v>
      </c>
      <c r="C83" s="2" t="s">
        <v>42</v>
      </c>
      <c r="D83" s="2" t="s">
        <v>47</v>
      </c>
      <c r="E83" s="2" t="s">
        <v>44</v>
      </c>
      <c r="F83" s="2">
        <v>43</v>
      </c>
      <c r="G83" s="2">
        <v>300</v>
      </c>
      <c r="H83" s="2">
        <v>0.7</v>
      </c>
      <c r="I83" s="2">
        <v>210</v>
      </c>
      <c r="J83" s="2">
        <v>4529</v>
      </c>
      <c r="K83" s="2">
        <v>299</v>
      </c>
      <c r="L83" s="2" t="s">
        <v>655</v>
      </c>
      <c r="M83" s="2" t="s">
        <v>656</v>
      </c>
      <c r="N83" s="2">
        <v>90</v>
      </c>
      <c r="O83" s="2">
        <v>1738</v>
      </c>
      <c r="P83" s="2">
        <v>128</v>
      </c>
      <c r="Q83" s="2" t="s">
        <v>657</v>
      </c>
      <c r="R83" s="2" t="s">
        <v>658</v>
      </c>
    </row>
    <row r="84" spans="1:18" ht="15.75" customHeight="1" x14ac:dyDescent="0.3">
      <c r="A84" s="2" t="s">
        <v>45</v>
      </c>
      <c r="B84" s="2" t="s">
        <v>32</v>
      </c>
      <c r="C84" s="2" t="s">
        <v>42</v>
      </c>
      <c r="D84" s="2" t="s">
        <v>47</v>
      </c>
      <c r="E84" s="2" t="s">
        <v>44</v>
      </c>
      <c r="F84" s="2">
        <v>44</v>
      </c>
      <c r="G84" s="2">
        <v>300</v>
      </c>
      <c r="H84" s="2">
        <v>0.7</v>
      </c>
      <c r="I84" s="2">
        <v>210</v>
      </c>
      <c r="J84" s="2">
        <v>4305</v>
      </c>
      <c r="K84" s="2">
        <v>296</v>
      </c>
      <c r="L84" s="2" t="s">
        <v>660</v>
      </c>
      <c r="M84" s="2" t="s">
        <v>661</v>
      </c>
      <c r="N84" s="2">
        <v>90</v>
      </c>
      <c r="O84" s="2">
        <v>1962</v>
      </c>
      <c r="P84" s="2">
        <v>131</v>
      </c>
      <c r="Q84" s="2" t="s">
        <v>662</v>
      </c>
      <c r="R84" s="2" t="s">
        <v>663</v>
      </c>
    </row>
    <row r="85" spans="1:18" ht="15.75" customHeight="1" x14ac:dyDescent="0.3">
      <c r="A85" s="2" t="s">
        <v>45</v>
      </c>
      <c r="B85" s="2" t="s">
        <v>32</v>
      </c>
      <c r="C85" s="2" t="s">
        <v>42</v>
      </c>
      <c r="D85" s="2" t="s">
        <v>47</v>
      </c>
      <c r="E85" s="2" t="s">
        <v>44</v>
      </c>
      <c r="F85" s="2">
        <v>45</v>
      </c>
      <c r="G85" s="2">
        <v>300</v>
      </c>
      <c r="H85" s="2">
        <v>0.7</v>
      </c>
      <c r="I85" s="2">
        <v>210</v>
      </c>
      <c r="J85" s="2">
        <v>4502</v>
      </c>
      <c r="K85" s="2">
        <v>296</v>
      </c>
      <c r="L85" s="2" t="s">
        <v>665</v>
      </c>
      <c r="M85" s="2" t="s">
        <v>667</v>
      </c>
      <c r="N85" s="2">
        <v>90</v>
      </c>
      <c r="O85" s="2">
        <v>1765</v>
      </c>
      <c r="P85" s="2">
        <v>131</v>
      </c>
      <c r="Q85" s="2" t="s">
        <v>668</v>
      </c>
      <c r="R85" s="2" t="s">
        <v>669</v>
      </c>
    </row>
    <row r="86" spans="1:18" ht="15.75" customHeight="1" x14ac:dyDescent="0.3">
      <c r="A86" s="2" t="s">
        <v>45</v>
      </c>
      <c r="B86" s="2" t="s">
        <v>32</v>
      </c>
      <c r="C86" s="2" t="s">
        <v>42</v>
      </c>
      <c r="D86" s="2" t="s">
        <v>47</v>
      </c>
      <c r="E86" s="2" t="s">
        <v>44</v>
      </c>
      <c r="F86" s="2">
        <v>46</v>
      </c>
      <c r="G86" s="2">
        <v>300</v>
      </c>
      <c r="H86" s="2">
        <v>0.7</v>
      </c>
      <c r="I86" s="2">
        <v>210</v>
      </c>
      <c r="J86" s="2">
        <v>4375</v>
      </c>
      <c r="K86" s="2">
        <v>291</v>
      </c>
      <c r="L86" s="2" t="s">
        <v>670</v>
      </c>
      <c r="M86" s="2" t="s">
        <v>673</v>
      </c>
      <c r="N86" s="2">
        <v>90</v>
      </c>
      <c r="O86" s="2">
        <v>1892</v>
      </c>
      <c r="P86" s="2">
        <v>136</v>
      </c>
      <c r="Q86" s="2" t="s">
        <v>674</v>
      </c>
      <c r="R86" s="2" t="s">
        <v>675</v>
      </c>
    </row>
    <row r="87" spans="1:18" ht="15.75" customHeight="1" x14ac:dyDescent="0.3">
      <c r="A87" s="2" t="s">
        <v>45</v>
      </c>
      <c r="B87" s="2" t="s">
        <v>32</v>
      </c>
      <c r="C87" s="2" t="s">
        <v>42</v>
      </c>
      <c r="D87" s="2" t="s">
        <v>47</v>
      </c>
      <c r="E87" s="2" t="s">
        <v>44</v>
      </c>
      <c r="F87" s="2">
        <v>47</v>
      </c>
      <c r="G87" s="2">
        <v>300</v>
      </c>
      <c r="H87" s="2">
        <v>0.7</v>
      </c>
      <c r="I87" s="2">
        <v>210</v>
      </c>
      <c r="J87" s="2">
        <v>4436</v>
      </c>
      <c r="K87" s="2">
        <v>293</v>
      </c>
      <c r="L87" s="2" t="s">
        <v>678</v>
      </c>
      <c r="M87" s="2" t="s">
        <v>679</v>
      </c>
      <c r="N87" s="2">
        <v>90</v>
      </c>
      <c r="O87" s="2">
        <v>1831</v>
      </c>
      <c r="P87" s="2">
        <v>134</v>
      </c>
      <c r="Q87" s="2" t="s">
        <v>680</v>
      </c>
      <c r="R87" s="2" t="s">
        <v>681</v>
      </c>
    </row>
    <row r="88" spans="1:18" ht="15.75" customHeight="1" x14ac:dyDescent="0.3">
      <c r="A88" s="2" t="s">
        <v>45</v>
      </c>
      <c r="B88" s="2" t="s">
        <v>32</v>
      </c>
      <c r="C88" s="2" t="s">
        <v>42</v>
      </c>
      <c r="D88" s="2" t="s">
        <v>47</v>
      </c>
      <c r="E88" s="2" t="s">
        <v>44</v>
      </c>
      <c r="F88" s="2">
        <v>48</v>
      </c>
      <c r="G88" s="2">
        <v>300</v>
      </c>
      <c r="H88" s="2">
        <v>0.7</v>
      </c>
      <c r="I88" s="2">
        <v>210</v>
      </c>
      <c r="J88" s="2">
        <v>4650</v>
      </c>
      <c r="K88" s="2">
        <v>340</v>
      </c>
      <c r="L88" s="2" t="s">
        <v>684</v>
      </c>
      <c r="M88" s="2" t="s">
        <v>686</v>
      </c>
      <c r="N88" s="2">
        <v>90</v>
      </c>
      <c r="O88" s="2">
        <v>1617</v>
      </c>
      <c r="P88" s="2">
        <v>87</v>
      </c>
      <c r="Q88" s="2" t="s">
        <v>688</v>
      </c>
      <c r="R88" s="2" t="s">
        <v>689</v>
      </c>
    </row>
    <row r="89" spans="1:18" ht="15.75" customHeight="1" x14ac:dyDescent="0.3">
      <c r="A89" s="2" t="s">
        <v>45</v>
      </c>
      <c r="B89" s="2" t="s">
        <v>32</v>
      </c>
      <c r="C89" s="2" t="s">
        <v>42</v>
      </c>
      <c r="D89" s="2" t="s">
        <v>47</v>
      </c>
      <c r="E89" s="2" t="s">
        <v>44</v>
      </c>
      <c r="F89" s="2">
        <v>49</v>
      </c>
      <c r="G89" s="2">
        <v>300</v>
      </c>
      <c r="H89" s="2">
        <v>0.7</v>
      </c>
      <c r="I89" s="2">
        <v>210</v>
      </c>
      <c r="J89" s="2">
        <v>4428</v>
      </c>
      <c r="K89" s="2">
        <v>295</v>
      </c>
      <c r="L89" s="2" t="s">
        <v>692</v>
      </c>
      <c r="M89" s="2" t="s">
        <v>693</v>
      </c>
      <c r="N89" s="2">
        <v>90</v>
      </c>
      <c r="O89" s="2">
        <v>1839</v>
      </c>
      <c r="P89" s="2">
        <v>132</v>
      </c>
      <c r="Q89" s="2" t="s">
        <v>694</v>
      </c>
      <c r="R89" s="2" t="s">
        <v>695</v>
      </c>
    </row>
    <row r="90" spans="1:18" ht="15.75" customHeight="1" x14ac:dyDescent="0.3">
      <c r="A90" s="2" t="s">
        <v>45</v>
      </c>
      <c r="B90" s="2" t="s">
        <v>32</v>
      </c>
      <c r="C90" s="2" t="s">
        <v>42</v>
      </c>
      <c r="D90" s="2" t="s">
        <v>47</v>
      </c>
      <c r="E90" s="2" t="s">
        <v>44</v>
      </c>
      <c r="F90" s="2">
        <v>50</v>
      </c>
      <c r="G90" s="2">
        <v>300</v>
      </c>
      <c r="H90" s="2">
        <v>0.7</v>
      </c>
      <c r="I90" s="2">
        <v>210</v>
      </c>
      <c r="J90" s="2">
        <v>4350</v>
      </c>
      <c r="K90" s="2">
        <v>302</v>
      </c>
      <c r="L90" s="2" t="s">
        <v>698</v>
      </c>
      <c r="M90" s="2" t="s">
        <v>699</v>
      </c>
      <c r="N90" s="2">
        <v>90</v>
      </c>
      <c r="O90" s="2">
        <v>1917</v>
      </c>
      <c r="P90" s="2">
        <v>125</v>
      </c>
      <c r="Q90" s="2" t="s">
        <v>700</v>
      </c>
      <c r="R90" s="2" t="s">
        <v>701</v>
      </c>
    </row>
    <row r="91" spans="1:18" ht="15.75" customHeight="1" x14ac:dyDescent="0.3">
      <c r="A91" s="2" t="s">
        <v>45</v>
      </c>
      <c r="B91" s="2" t="s">
        <v>32</v>
      </c>
      <c r="C91" s="2" t="s">
        <v>42</v>
      </c>
      <c r="D91" s="2" t="s">
        <v>47</v>
      </c>
      <c r="E91" s="2" t="s">
        <v>44</v>
      </c>
      <c r="F91" s="2">
        <v>51</v>
      </c>
      <c r="G91" s="2">
        <v>300</v>
      </c>
      <c r="H91" s="2">
        <v>0.7</v>
      </c>
      <c r="I91" s="2">
        <v>210</v>
      </c>
      <c r="J91" s="2">
        <v>4365</v>
      </c>
      <c r="K91" s="2">
        <v>282</v>
      </c>
      <c r="L91" s="2" t="s">
        <v>704</v>
      </c>
      <c r="M91" s="2" t="s">
        <v>705</v>
      </c>
      <c r="N91" s="2">
        <v>90</v>
      </c>
      <c r="O91" s="2">
        <v>1902</v>
      </c>
      <c r="P91" s="2">
        <v>145</v>
      </c>
      <c r="Q91" s="2" t="s">
        <v>706</v>
      </c>
      <c r="R91" s="2" t="s">
        <v>707</v>
      </c>
    </row>
    <row r="92" spans="1:18" ht="15.75" customHeight="1" x14ac:dyDescent="0.3">
      <c r="A92" s="2" t="s">
        <v>45</v>
      </c>
      <c r="B92" s="2" t="s">
        <v>32</v>
      </c>
      <c r="C92" s="2" t="s">
        <v>42</v>
      </c>
      <c r="D92" s="2" t="s">
        <v>47</v>
      </c>
      <c r="E92" s="2" t="s">
        <v>44</v>
      </c>
      <c r="F92" s="2">
        <v>52</v>
      </c>
      <c r="G92" s="2">
        <v>300</v>
      </c>
      <c r="H92" s="2">
        <v>0.7</v>
      </c>
      <c r="I92" s="2">
        <v>210</v>
      </c>
      <c r="J92" s="2">
        <v>4453</v>
      </c>
      <c r="K92" s="2">
        <v>309</v>
      </c>
      <c r="L92" s="2" t="s">
        <v>710</v>
      </c>
      <c r="M92" s="2" t="s">
        <v>711</v>
      </c>
      <c r="N92" s="2">
        <v>90</v>
      </c>
      <c r="O92" s="2">
        <v>1814</v>
      </c>
      <c r="P92" s="2">
        <v>118</v>
      </c>
      <c r="Q92" s="2" t="s">
        <v>712</v>
      </c>
      <c r="R92" s="2" t="s">
        <v>713</v>
      </c>
    </row>
    <row r="93" spans="1:18" ht="15.75" customHeight="1" x14ac:dyDescent="0.3">
      <c r="A93" s="2" t="s">
        <v>45</v>
      </c>
      <c r="B93" s="2" t="s">
        <v>32</v>
      </c>
      <c r="C93" s="2" t="s">
        <v>42</v>
      </c>
      <c r="D93" s="2" t="s">
        <v>47</v>
      </c>
      <c r="E93" s="2" t="s">
        <v>44</v>
      </c>
      <c r="F93" s="2">
        <v>53</v>
      </c>
      <c r="G93" s="2">
        <v>300</v>
      </c>
      <c r="H93" s="2">
        <v>0.7</v>
      </c>
      <c r="I93" s="2">
        <v>210</v>
      </c>
      <c r="J93" s="2">
        <v>4326</v>
      </c>
      <c r="K93" s="2">
        <v>299</v>
      </c>
      <c r="L93" s="2" t="s">
        <v>655</v>
      </c>
      <c r="M93" s="2" t="s">
        <v>716</v>
      </c>
      <c r="N93" s="2">
        <v>90</v>
      </c>
      <c r="O93" s="2">
        <v>1941</v>
      </c>
      <c r="P93" s="2">
        <v>128</v>
      </c>
      <c r="Q93" s="2" t="s">
        <v>657</v>
      </c>
      <c r="R93" s="2" t="s">
        <v>717</v>
      </c>
    </row>
    <row r="94" spans="1:18" ht="15.75" customHeight="1" x14ac:dyDescent="0.3">
      <c r="A94" s="2" t="s">
        <v>45</v>
      </c>
      <c r="B94" s="2" t="s">
        <v>32</v>
      </c>
      <c r="C94" s="2" t="s">
        <v>42</v>
      </c>
      <c r="D94" s="2" t="s">
        <v>47</v>
      </c>
      <c r="E94" s="2" t="s">
        <v>44</v>
      </c>
      <c r="F94" s="2">
        <v>54</v>
      </c>
      <c r="G94" s="2">
        <v>300</v>
      </c>
      <c r="H94" s="2">
        <v>0.7</v>
      </c>
      <c r="I94" s="2">
        <v>210</v>
      </c>
      <c r="J94" s="2">
        <v>4259</v>
      </c>
      <c r="K94" s="2">
        <v>290</v>
      </c>
      <c r="L94" s="2" t="s">
        <v>718</v>
      </c>
      <c r="M94" s="2" t="s">
        <v>719</v>
      </c>
      <c r="N94" s="2">
        <v>90</v>
      </c>
      <c r="O94" s="2">
        <v>2008</v>
      </c>
      <c r="P94" s="2">
        <v>137</v>
      </c>
      <c r="Q94" s="2" t="s">
        <v>722</v>
      </c>
      <c r="R94" s="2" t="s">
        <v>723</v>
      </c>
    </row>
    <row r="95" spans="1:18" ht="15.75" customHeight="1" x14ac:dyDescent="0.3">
      <c r="A95" s="2" t="s">
        <v>45</v>
      </c>
      <c r="B95" s="2" t="s">
        <v>32</v>
      </c>
      <c r="C95" s="2" t="s">
        <v>42</v>
      </c>
      <c r="D95" s="2" t="s">
        <v>47</v>
      </c>
      <c r="E95" s="2" t="s">
        <v>44</v>
      </c>
      <c r="F95" s="2">
        <v>55</v>
      </c>
      <c r="G95" s="2">
        <v>300</v>
      </c>
      <c r="H95" s="2">
        <v>0.7</v>
      </c>
      <c r="I95" s="2">
        <v>210</v>
      </c>
      <c r="J95" s="2">
        <v>4242</v>
      </c>
      <c r="K95" s="2">
        <v>294</v>
      </c>
      <c r="L95" s="2" t="s">
        <v>724</v>
      </c>
      <c r="M95" s="2" t="s">
        <v>725</v>
      </c>
      <c r="N95" s="2">
        <v>90</v>
      </c>
      <c r="O95" s="2">
        <v>2025</v>
      </c>
      <c r="P95" s="2">
        <v>133</v>
      </c>
      <c r="Q95" s="2" t="s">
        <v>726</v>
      </c>
      <c r="R95" s="2" t="s">
        <v>728</v>
      </c>
    </row>
    <row r="96" spans="1:18" ht="15.75" customHeight="1" x14ac:dyDescent="0.3">
      <c r="A96" s="2" t="s">
        <v>45</v>
      </c>
      <c r="B96" s="2" t="s">
        <v>32</v>
      </c>
      <c r="C96" s="2" t="s">
        <v>42</v>
      </c>
      <c r="D96" s="2" t="s">
        <v>47</v>
      </c>
      <c r="E96" s="2" t="s">
        <v>44</v>
      </c>
      <c r="F96" s="2">
        <v>56</v>
      </c>
      <c r="G96" s="2">
        <v>300</v>
      </c>
      <c r="H96" s="2">
        <v>0.7</v>
      </c>
      <c r="I96" s="2">
        <v>210</v>
      </c>
      <c r="J96" s="2">
        <v>4416</v>
      </c>
      <c r="K96" s="2">
        <v>291</v>
      </c>
      <c r="L96" s="2" t="s">
        <v>730</v>
      </c>
      <c r="M96" s="2" t="s">
        <v>731</v>
      </c>
      <c r="N96" s="2">
        <v>90</v>
      </c>
      <c r="O96" s="2">
        <v>1851</v>
      </c>
      <c r="P96" s="2">
        <v>136</v>
      </c>
      <c r="Q96" s="2" t="s">
        <v>732</v>
      </c>
      <c r="R96" s="2" t="s">
        <v>733</v>
      </c>
    </row>
    <row r="97" spans="1:18" ht="15.75" customHeight="1" x14ac:dyDescent="0.3">
      <c r="A97" s="2" t="s">
        <v>45</v>
      </c>
      <c r="B97" s="2" t="s">
        <v>32</v>
      </c>
      <c r="C97" s="2" t="s">
        <v>42</v>
      </c>
      <c r="D97" s="2" t="s">
        <v>47</v>
      </c>
      <c r="E97" s="2" t="s">
        <v>44</v>
      </c>
      <c r="F97" s="2">
        <v>57</v>
      </c>
      <c r="G97" s="2">
        <v>300</v>
      </c>
      <c r="H97" s="2">
        <v>0.7</v>
      </c>
      <c r="I97" s="2">
        <v>210</v>
      </c>
      <c r="J97" s="2">
        <v>4424</v>
      </c>
      <c r="K97" s="2">
        <v>298</v>
      </c>
      <c r="L97" s="2" t="s">
        <v>736</v>
      </c>
      <c r="M97" s="2" t="s">
        <v>737</v>
      </c>
      <c r="N97" s="2">
        <v>90</v>
      </c>
      <c r="O97" s="2">
        <v>1843</v>
      </c>
      <c r="P97" s="2">
        <v>129</v>
      </c>
      <c r="Q97" s="2" t="s">
        <v>738</v>
      </c>
      <c r="R97" s="2" t="s">
        <v>739</v>
      </c>
    </row>
    <row r="98" spans="1:18" ht="15.75" customHeight="1" x14ac:dyDescent="0.3">
      <c r="A98" s="2" t="s">
        <v>45</v>
      </c>
      <c r="B98" s="2" t="s">
        <v>32</v>
      </c>
      <c r="C98" s="2" t="s">
        <v>42</v>
      </c>
      <c r="D98" s="2" t="s">
        <v>47</v>
      </c>
      <c r="E98" s="2" t="s">
        <v>44</v>
      </c>
      <c r="F98" s="2">
        <v>58</v>
      </c>
      <c r="G98" s="2">
        <v>300</v>
      </c>
      <c r="H98" s="2">
        <v>0.7</v>
      </c>
      <c r="I98" s="2">
        <v>210</v>
      </c>
      <c r="J98" s="2">
        <v>4458</v>
      </c>
      <c r="K98" s="2">
        <v>318</v>
      </c>
      <c r="L98" s="2" t="s">
        <v>742</v>
      </c>
      <c r="M98" s="2" t="s">
        <v>743</v>
      </c>
      <c r="N98" s="2">
        <v>90</v>
      </c>
      <c r="O98" s="2">
        <v>1809</v>
      </c>
      <c r="P98" s="2">
        <v>109</v>
      </c>
      <c r="Q98" s="2" t="s">
        <v>744</v>
      </c>
      <c r="R98" s="2" t="s">
        <v>745</v>
      </c>
    </row>
    <row r="99" spans="1:18" ht="15.75" customHeight="1" x14ac:dyDescent="0.3">
      <c r="A99" s="2" t="s">
        <v>45</v>
      </c>
      <c r="B99" s="2" t="s">
        <v>32</v>
      </c>
      <c r="C99" s="2" t="s">
        <v>42</v>
      </c>
      <c r="D99" s="2" t="s">
        <v>47</v>
      </c>
      <c r="E99" s="2" t="s">
        <v>44</v>
      </c>
      <c r="F99" s="2">
        <v>59</v>
      </c>
      <c r="G99" s="2">
        <v>300</v>
      </c>
      <c r="H99" s="2">
        <v>0.7</v>
      </c>
      <c r="I99" s="2">
        <v>210</v>
      </c>
      <c r="J99" s="2">
        <v>4468</v>
      </c>
      <c r="K99" s="2">
        <v>310</v>
      </c>
      <c r="L99" s="2" t="s">
        <v>748</v>
      </c>
      <c r="M99" s="2" t="s">
        <v>749</v>
      </c>
      <c r="N99" s="2">
        <v>90</v>
      </c>
      <c r="O99" s="2">
        <v>1799</v>
      </c>
      <c r="P99" s="2">
        <v>117</v>
      </c>
      <c r="Q99" s="2" t="s">
        <v>750</v>
      </c>
      <c r="R99" s="2" t="s">
        <v>751</v>
      </c>
    </row>
    <row r="100" spans="1:18" ht="15.75" customHeight="1" x14ac:dyDescent="0.3">
      <c r="A100" s="2" t="s">
        <v>45</v>
      </c>
      <c r="B100" s="2" t="s">
        <v>32</v>
      </c>
      <c r="C100" s="2" t="s">
        <v>42</v>
      </c>
      <c r="D100" s="2" t="s">
        <v>47</v>
      </c>
      <c r="E100" s="2" t="s">
        <v>44</v>
      </c>
      <c r="F100" s="2">
        <v>60</v>
      </c>
      <c r="G100" s="2">
        <v>300</v>
      </c>
      <c r="H100" s="2">
        <v>0.7</v>
      </c>
      <c r="I100" s="2">
        <v>210</v>
      </c>
      <c r="J100" s="2">
        <v>4137</v>
      </c>
      <c r="K100" s="2">
        <v>283</v>
      </c>
      <c r="L100" s="2" t="s">
        <v>754</v>
      </c>
      <c r="M100" s="2" t="s">
        <v>755</v>
      </c>
      <c r="N100" s="2">
        <v>90</v>
      </c>
      <c r="O100" s="2">
        <v>2130</v>
      </c>
      <c r="P100" s="2">
        <v>144</v>
      </c>
      <c r="Q100" s="2" t="s">
        <v>756</v>
      </c>
      <c r="R100" s="2" t="s">
        <v>757</v>
      </c>
    </row>
    <row r="101" spans="1:18" ht="15.75" customHeight="1" x14ac:dyDescent="0.3">
      <c r="A101" s="2" t="s">
        <v>45</v>
      </c>
      <c r="B101" s="2" t="s">
        <v>32</v>
      </c>
      <c r="C101" s="2" t="s">
        <v>42</v>
      </c>
      <c r="D101" s="2" t="s">
        <v>47</v>
      </c>
      <c r="E101" s="2" t="s">
        <v>44</v>
      </c>
      <c r="F101" s="2">
        <v>61</v>
      </c>
      <c r="G101" s="2">
        <v>300</v>
      </c>
      <c r="H101" s="2">
        <v>0.7</v>
      </c>
      <c r="I101" s="2">
        <v>210</v>
      </c>
      <c r="J101" s="2">
        <v>4375</v>
      </c>
      <c r="K101" s="2">
        <v>282</v>
      </c>
      <c r="L101" s="2" t="s">
        <v>758</v>
      </c>
      <c r="M101" s="2" t="s">
        <v>759</v>
      </c>
      <c r="N101" s="2">
        <v>90</v>
      </c>
      <c r="O101" s="2">
        <v>1892</v>
      </c>
      <c r="P101" s="2">
        <v>145</v>
      </c>
      <c r="Q101" s="2" t="s">
        <v>762</v>
      </c>
      <c r="R101" s="2" t="s">
        <v>763</v>
      </c>
    </row>
    <row r="102" spans="1:18" ht="15.75" customHeight="1" x14ac:dyDescent="0.3">
      <c r="A102" s="2" t="s">
        <v>45</v>
      </c>
      <c r="B102" s="2" t="s">
        <v>32</v>
      </c>
      <c r="C102" s="2" t="s">
        <v>42</v>
      </c>
      <c r="D102" s="2" t="s">
        <v>239</v>
      </c>
      <c r="E102" s="2" t="s">
        <v>71</v>
      </c>
      <c r="F102" s="2">
        <v>42</v>
      </c>
      <c r="G102" s="2">
        <v>300</v>
      </c>
      <c r="H102" s="2">
        <v>0.7</v>
      </c>
      <c r="I102" s="2">
        <v>210</v>
      </c>
      <c r="J102" s="2">
        <v>4279</v>
      </c>
      <c r="K102" s="2">
        <v>285</v>
      </c>
      <c r="L102" s="2" t="s">
        <v>766</v>
      </c>
      <c r="M102" s="2" t="s">
        <v>767</v>
      </c>
      <c r="N102" s="2">
        <v>90</v>
      </c>
      <c r="O102" s="2">
        <v>1988</v>
      </c>
      <c r="P102" s="2">
        <v>142</v>
      </c>
      <c r="Q102" s="2" t="s">
        <v>768</v>
      </c>
      <c r="R102" s="2" t="s">
        <v>769</v>
      </c>
    </row>
    <row r="103" spans="1:18" ht="15.75" customHeight="1" x14ac:dyDescent="0.3">
      <c r="A103" s="2" t="s">
        <v>45</v>
      </c>
      <c r="B103" s="2" t="s">
        <v>32</v>
      </c>
      <c r="C103" s="2" t="s">
        <v>42</v>
      </c>
      <c r="D103" s="2" t="s">
        <v>239</v>
      </c>
      <c r="E103" s="2" t="s">
        <v>71</v>
      </c>
      <c r="F103" s="2">
        <v>43</v>
      </c>
      <c r="G103" s="2">
        <v>300</v>
      </c>
      <c r="H103" s="2">
        <v>0.7</v>
      </c>
      <c r="I103" s="2">
        <v>210</v>
      </c>
      <c r="J103" s="2">
        <v>4326</v>
      </c>
      <c r="K103" s="2">
        <v>301</v>
      </c>
      <c r="L103" s="2" t="s">
        <v>770</v>
      </c>
      <c r="M103" s="2" t="s">
        <v>771</v>
      </c>
      <c r="N103" s="2">
        <v>90</v>
      </c>
      <c r="O103" s="2">
        <v>1941</v>
      </c>
      <c r="P103" s="2">
        <v>126</v>
      </c>
      <c r="Q103" s="2" t="s">
        <v>772</v>
      </c>
      <c r="R103" s="2" t="s">
        <v>773</v>
      </c>
    </row>
    <row r="104" spans="1:18" ht="15.75" customHeight="1" x14ac:dyDescent="0.3">
      <c r="A104" s="2" t="s">
        <v>45</v>
      </c>
      <c r="B104" s="2" t="s">
        <v>32</v>
      </c>
      <c r="C104" s="2" t="s">
        <v>42</v>
      </c>
      <c r="D104" s="2" t="s">
        <v>239</v>
      </c>
      <c r="E104" s="2" t="s">
        <v>71</v>
      </c>
      <c r="F104" s="2">
        <v>44</v>
      </c>
      <c r="G104" s="2">
        <v>300</v>
      </c>
      <c r="H104" s="2">
        <v>0.7</v>
      </c>
      <c r="I104" s="2">
        <v>210</v>
      </c>
      <c r="J104" s="2">
        <v>4303</v>
      </c>
      <c r="K104" s="2">
        <v>307</v>
      </c>
      <c r="L104" s="2" t="s">
        <v>776</v>
      </c>
      <c r="M104" s="2" t="s">
        <v>777</v>
      </c>
      <c r="N104" s="2">
        <v>90</v>
      </c>
      <c r="O104" s="2">
        <v>1964</v>
      </c>
      <c r="P104" s="2">
        <v>120</v>
      </c>
      <c r="Q104" s="2" t="s">
        <v>778</v>
      </c>
      <c r="R104" s="2" t="s">
        <v>779</v>
      </c>
    </row>
    <row r="105" spans="1:18" ht="15.75" customHeight="1" x14ac:dyDescent="0.3">
      <c r="A105" s="2" t="s">
        <v>45</v>
      </c>
      <c r="B105" s="2" t="s">
        <v>32</v>
      </c>
      <c r="C105" s="2" t="s">
        <v>42</v>
      </c>
      <c r="D105" s="2" t="s">
        <v>239</v>
      </c>
      <c r="E105" s="2" t="s">
        <v>71</v>
      </c>
      <c r="F105" s="2">
        <v>45</v>
      </c>
      <c r="G105" s="2">
        <v>300</v>
      </c>
      <c r="H105" s="2">
        <v>0.7</v>
      </c>
      <c r="I105" s="2">
        <v>210</v>
      </c>
      <c r="J105" s="2">
        <v>4278</v>
      </c>
      <c r="K105" s="2">
        <v>292</v>
      </c>
      <c r="L105" s="2" t="s">
        <v>780</v>
      </c>
      <c r="M105" s="2" t="s">
        <v>781</v>
      </c>
      <c r="N105" s="2">
        <v>90</v>
      </c>
      <c r="O105" s="2">
        <v>1989</v>
      </c>
      <c r="P105" s="2">
        <v>135</v>
      </c>
      <c r="Q105" s="2" t="s">
        <v>784</v>
      </c>
      <c r="R105" s="2" t="s">
        <v>785</v>
      </c>
    </row>
    <row r="106" spans="1:18" ht="15.75" customHeight="1" x14ac:dyDescent="0.3">
      <c r="A106" s="2" t="s">
        <v>45</v>
      </c>
      <c r="B106" s="2" t="s">
        <v>32</v>
      </c>
      <c r="C106" s="2" t="s">
        <v>42</v>
      </c>
      <c r="D106" s="2" t="s">
        <v>239</v>
      </c>
      <c r="E106" s="2" t="s">
        <v>71</v>
      </c>
      <c r="F106" s="2">
        <v>46</v>
      </c>
      <c r="G106" s="2">
        <v>300</v>
      </c>
      <c r="H106" s="2">
        <v>0.7</v>
      </c>
      <c r="I106" s="2">
        <v>210</v>
      </c>
      <c r="J106" s="2">
        <v>4463</v>
      </c>
      <c r="K106" s="2">
        <v>293</v>
      </c>
      <c r="L106" s="2" t="s">
        <v>786</v>
      </c>
      <c r="M106" s="2" t="s">
        <v>787</v>
      </c>
      <c r="N106" s="2">
        <v>90</v>
      </c>
      <c r="O106" s="2">
        <v>1804</v>
      </c>
      <c r="P106" s="2">
        <v>134</v>
      </c>
      <c r="Q106" s="2" t="s">
        <v>788</v>
      </c>
      <c r="R106" s="2" t="s">
        <v>789</v>
      </c>
    </row>
    <row r="107" spans="1:18" ht="15.75" customHeight="1" x14ac:dyDescent="0.3">
      <c r="A107" s="2" t="s">
        <v>45</v>
      </c>
      <c r="B107" s="2" t="s">
        <v>32</v>
      </c>
      <c r="C107" s="2" t="s">
        <v>42</v>
      </c>
      <c r="D107" s="2" t="s">
        <v>239</v>
      </c>
      <c r="E107" s="2" t="s">
        <v>71</v>
      </c>
      <c r="F107" s="2">
        <v>47</v>
      </c>
      <c r="G107" s="2">
        <v>300</v>
      </c>
      <c r="H107" s="2">
        <v>0.7</v>
      </c>
      <c r="I107" s="2">
        <v>210</v>
      </c>
      <c r="J107" s="2">
        <v>4341</v>
      </c>
      <c r="K107" s="2">
        <v>298</v>
      </c>
      <c r="L107" s="2" t="s">
        <v>792</v>
      </c>
      <c r="M107" s="2" t="s">
        <v>793</v>
      </c>
      <c r="N107" s="2">
        <v>90</v>
      </c>
      <c r="O107" s="2">
        <v>1926</v>
      </c>
      <c r="P107" s="2">
        <v>129</v>
      </c>
      <c r="Q107" s="2" t="s">
        <v>794</v>
      </c>
      <c r="R107" s="2" t="s">
        <v>795</v>
      </c>
    </row>
    <row r="108" spans="1:18" ht="15.75" customHeight="1" x14ac:dyDescent="0.3">
      <c r="A108" s="2" t="s">
        <v>45</v>
      </c>
      <c r="B108" s="2" t="s">
        <v>32</v>
      </c>
      <c r="C108" s="2" t="s">
        <v>42</v>
      </c>
      <c r="D108" s="2" t="s">
        <v>239</v>
      </c>
      <c r="E108" s="2" t="s">
        <v>71</v>
      </c>
      <c r="F108" s="2">
        <v>48</v>
      </c>
      <c r="G108" s="2">
        <v>300</v>
      </c>
      <c r="H108" s="2">
        <v>0.7</v>
      </c>
      <c r="I108" s="2">
        <v>210</v>
      </c>
      <c r="J108" s="2">
        <v>4396</v>
      </c>
      <c r="K108" s="2">
        <v>295</v>
      </c>
      <c r="L108" s="2" t="s">
        <v>798</v>
      </c>
      <c r="M108" s="2" t="s">
        <v>799</v>
      </c>
      <c r="N108" s="2">
        <v>90</v>
      </c>
      <c r="O108" s="2">
        <v>1871</v>
      </c>
      <c r="P108" s="2">
        <v>132</v>
      </c>
      <c r="Q108" s="2" t="s">
        <v>800</v>
      </c>
      <c r="R108" s="2" t="s">
        <v>801</v>
      </c>
    </row>
    <row r="109" spans="1:18" ht="15.75" customHeight="1" x14ac:dyDescent="0.3">
      <c r="A109" s="2" t="s">
        <v>45</v>
      </c>
      <c r="B109" s="2" t="s">
        <v>32</v>
      </c>
      <c r="C109" s="2" t="s">
        <v>42</v>
      </c>
      <c r="D109" s="2" t="s">
        <v>239</v>
      </c>
      <c r="E109" s="2" t="s">
        <v>71</v>
      </c>
      <c r="F109" s="2">
        <v>49</v>
      </c>
      <c r="G109" s="2">
        <v>300</v>
      </c>
      <c r="H109" s="2">
        <v>0.7</v>
      </c>
      <c r="I109" s="2">
        <v>210</v>
      </c>
      <c r="J109" s="2">
        <v>4450</v>
      </c>
      <c r="K109" s="2">
        <v>308</v>
      </c>
      <c r="L109" s="2" t="s">
        <v>804</v>
      </c>
      <c r="M109" s="2" t="s">
        <v>805</v>
      </c>
      <c r="N109" s="2">
        <v>90</v>
      </c>
      <c r="O109" s="2">
        <v>1817</v>
      </c>
      <c r="P109" s="2">
        <v>119</v>
      </c>
      <c r="Q109" s="2" t="s">
        <v>806</v>
      </c>
      <c r="R109" s="2" t="s">
        <v>807</v>
      </c>
    </row>
    <row r="110" spans="1:18" ht="15.75" customHeight="1" x14ac:dyDescent="0.3">
      <c r="A110" s="2" t="s">
        <v>45</v>
      </c>
      <c r="B110" s="2" t="s">
        <v>32</v>
      </c>
      <c r="C110" s="2" t="s">
        <v>42</v>
      </c>
      <c r="D110" s="2" t="s">
        <v>239</v>
      </c>
      <c r="E110" s="2" t="s">
        <v>71</v>
      </c>
      <c r="F110" s="2">
        <v>50</v>
      </c>
      <c r="G110" s="2">
        <v>300</v>
      </c>
      <c r="H110" s="2">
        <v>0.7</v>
      </c>
      <c r="I110" s="2">
        <v>210</v>
      </c>
      <c r="J110" s="2">
        <v>4400</v>
      </c>
      <c r="K110" s="2">
        <v>304</v>
      </c>
      <c r="L110" s="2" t="s">
        <v>808</v>
      </c>
      <c r="M110" s="2" t="s">
        <v>809</v>
      </c>
      <c r="N110" s="2">
        <v>90</v>
      </c>
      <c r="O110" s="2">
        <v>1867</v>
      </c>
      <c r="P110" s="2">
        <v>123</v>
      </c>
      <c r="Q110" s="2" t="s">
        <v>812</v>
      </c>
      <c r="R110" s="2" t="s">
        <v>813</v>
      </c>
    </row>
    <row r="111" spans="1:18" ht="15.75" customHeight="1" x14ac:dyDescent="0.3">
      <c r="A111" s="2" t="s">
        <v>45</v>
      </c>
      <c r="B111" s="2" t="s">
        <v>32</v>
      </c>
      <c r="C111" s="2" t="s">
        <v>42</v>
      </c>
      <c r="D111" s="2" t="s">
        <v>239</v>
      </c>
      <c r="E111" s="2" t="s">
        <v>71</v>
      </c>
      <c r="F111" s="2">
        <v>51</v>
      </c>
      <c r="G111" s="2">
        <v>300</v>
      </c>
      <c r="H111" s="2">
        <v>0.7</v>
      </c>
      <c r="I111" s="2">
        <v>210</v>
      </c>
      <c r="J111" s="2">
        <v>4416</v>
      </c>
      <c r="K111" s="2">
        <v>290</v>
      </c>
      <c r="L111" s="2" t="s">
        <v>815</v>
      </c>
      <c r="M111" s="2" t="s">
        <v>816</v>
      </c>
      <c r="N111" s="2">
        <v>90</v>
      </c>
      <c r="O111" s="2">
        <v>1851</v>
      </c>
      <c r="P111" s="2">
        <v>137</v>
      </c>
      <c r="Q111" s="2" t="s">
        <v>817</v>
      </c>
      <c r="R111" s="2" t="s">
        <v>818</v>
      </c>
    </row>
    <row r="112" spans="1:18" ht="15.75" customHeight="1" x14ac:dyDescent="0.3">
      <c r="A112" s="2" t="s">
        <v>45</v>
      </c>
      <c r="B112" s="2" t="s">
        <v>32</v>
      </c>
      <c r="C112" s="2" t="s">
        <v>42</v>
      </c>
      <c r="D112" s="2" t="s">
        <v>239</v>
      </c>
      <c r="E112" s="2" t="s">
        <v>71</v>
      </c>
      <c r="F112" s="2">
        <v>52</v>
      </c>
      <c r="G112" s="2">
        <v>300</v>
      </c>
      <c r="H112" s="2">
        <v>0.7</v>
      </c>
      <c r="I112" s="2">
        <v>210</v>
      </c>
      <c r="J112" s="2">
        <v>4301</v>
      </c>
      <c r="K112" s="2">
        <v>306</v>
      </c>
      <c r="L112" s="2" t="s">
        <v>821</v>
      </c>
      <c r="M112" s="2" t="s">
        <v>822</v>
      </c>
      <c r="N112" s="2">
        <v>90</v>
      </c>
      <c r="O112" s="2">
        <v>1966</v>
      </c>
      <c r="P112" s="2">
        <v>121</v>
      </c>
      <c r="Q112" s="2" t="s">
        <v>823</v>
      </c>
      <c r="R112" s="2" t="s">
        <v>824</v>
      </c>
    </row>
    <row r="113" spans="1:18" ht="15.75" customHeight="1" x14ac:dyDescent="0.3">
      <c r="A113" s="2" t="s">
        <v>45</v>
      </c>
      <c r="B113" s="2" t="s">
        <v>32</v>
      </c>
      <c r="C113" s="2" t="s">
        <v>42</v>
      </c>
      <c r="D113" s="2" t="s">
        <v>239</v>
      </c>
      <c r="E113" s="2" t="s">
        <v>71</v>
      </c>
      <c r="F113" s="2">
        <v>53</v>
      </c>
      <c r="G113" s="2">
        <v>300</v>
      </c>
      <c r="H113" s="2">
        <v>0.7</v>
      </c>
      <c r="I113" s="2">
        <v>210</v>
      </c>
      <c r="J113" s="2">
        <v>4366</v>
      </c>
      <c r="K113" s="2">
        <v>292</v>
      </c>
      <c r="L113" s="2" t="s">
        <v>825</v>
      </c>
      <c r="M113" s="2" t="s">
        <v>827</v>
      </c>
      <c r="N113" s="2">
        <v>90</v>
      </c>
      <c r="O113" s="2">
        <v>1901</v>
      </c>
      <c r="P113" s="2">
        <v>135</v>
      </c>
      <c r="Q113" s="2" t="s">
        <v>829</v>
      </c>
      <c r="R113" s="2" t="s">
        <v>830</v>
      </c>
    </row>
    <row r="114" spans="1:18" ht="15.75" customHeight="1" x14ac:dyDescent="0.3">
      <c r="A114" s="2" t="s">
        <v>45</v>
      </c>
      <c r="B114" s="2" t="s">
        <v>32</v>
      </c>
      <c r="C114" s="2" t="s">
        <v>42</v>
      </c>
      <c r="D114" s="2" t="s">
        <v>239</v>
      </c>
      <c r="E114" s="2" t="s">
        <v>71</v>
      </c>
      <c r="F114" s="2">
        <v>54</v>
      </c>
      <c r="G114" s="2">
        <v>300</v>
      </c>
      <c r="H114" s="2">
        <v>0.7</v>
      </c>
      <c r="I114" s="2">
        <v>210</v>
      </c>
      <c r="J114" s="2">
        <v>4552</v>
      </c>
      <c r="K114" s="2">
        <v>308</v>
      </c>
      <c r="L114" s="2" t="s">
        <v>831</v>
      </c>
      <c r="M114" s="2" t="s">
        <v>832</v>
      </c>
      <c r="N114" s="2">
        <v>90</v>
      </c>
      <c r="O114" s="2">
        <v>1715</v>
      </c>
      <c r="P114" s="2">
        <v>119</v>
      </c>
      <c r="Q114" s="2" t="s">
        <v>833</v>
      </c>
      <c r="R114" s="2" t="s">
        <v>834</v>
      </c>
    </row>
    <row r="115" spans="1:18" ht="15.75" customHeight="1" x14ac:dyDescent="0.3">
      <c r="A115" s="2" t="s">
        <v>45</v>
      </c>
      <c r="B115" s="2" t="s">
        <v>32</v>
      </c>
      <c r="C115" s="2" t="s">
        <v>42</v>
      </c>
      <c r="D115" s="2" t="s">
        <v>239</v>
      </c>
      <c r="E115" s="2" t="s">
        <v>71</v>
      </c>
      <c r="F115" s="2">
        <v>55</v>
      </c>
      <c r="G115" s="2">
        <v>300</v>
      </c>
      <c r="H115" s="2">
        <v>0.7</v>
      </c>
      <c r="I115" s="2">
        <v>210</v>
      </c>
      <c r="J115" s="2">
        <v>4436</v>
      </c>
      <c r="K115" s="2">
        <v>292</v>
      </c>
      <c r="L115" s="2" t="s">
        <v>837</v>
      </c>
      <c r="M115" s="2" t="s">
        <v>838</v>
      </c>
      <c r="N115" s="2">
        <v>90</v>
      </c>
      <c r="O115" s="2">
        <v>1831</v>
      </c>
      <c r="P115" s="2">
        <v>135</v>
      </c>
      <c r="Q115" s="2" t="s">
        <v>839</v>
      </c>
      <c r="R115" s="2" t="s">
        <v>840</v>
      </c>
    </row>
    <row r="116" spans="1:18" ht="15.75" customHeight="1" x14ac:dyDescent="0.3">
      <c r="A116" s="2" t="s">
        <v>45</v>
      </c>
      <c r="B116" s="2" t="s">
        <v>32</v>
      </c>
      <c r="C116" s="2" t="s">
        <v>42</v>
      </c>
      <c r="D116" s="2" t="s">
        <v>239</v>
      </c>
      <c r="E116" s="2" t="s">
        <v>71</v>
      </c>
      <c r="F116" s="2">
        <v>56</v>
      </c>
      <c r="G116" s="2">
        <v>300</v>
      </c>
      <c r="H116" s="2">
        <v>0.7</v>
      </c>
      <c r="I116" s="2">
        <v>210</v>
      </c>
      <c r="J116" s="2">
        <v>4124</v>
      </c>
      <c r="K116" s="2">
        <v>288</v>
      </c>
      <c r="L116" s="2" t="s">
        <v>843</v>
      </c>
      <c r="M116" s="2" t="s">
        <v>844</v>
      </c>
      <c r="N116" s="2">
        <v>90</v>
      </c>
      <c r="O116" s="2">
        <v>2143</v>
      </c>
      <c r="P116" s="2">
        <v>139</v>
      </c>
      <c r="Q116" s="2" t="s">
        <v>845</v>
      </c>
      <c r="R116" s="2" t="s">
        <v>846</v>
      </c>
    </row>
    <row r="117" spans="1:18" ht="15.75" customHeight="1" x14ac:dyDescent="0.3">
      <c r="A117" s="2" t="s">
        <v>45</v>
      </c>
      <c r="B117" s="2" t="s">
        <v>32</v>
      </c>
      <c r="C117" s="2" t="s">
        <v>42</v>
      </c>
      <c r="D117" s="2" t="s">
        <v>239</v>
      </c>
      <c r="E117" s="2" t="s">
        <v>71</v>
      </c>
      <c r="F117" s="2">
        <v>57</v>
      </c>
      <c r="G117" s="2">
        <v>300</v>
      </c>
      <c r="H117" s="2">
        <v>0.7</v>
      </c>
      <c r="I117" s="2">
        <v>210</v>
      </c>
      <c r="J117" s="2">
        <v>4269</v>
      </c>
      <c r="K117" s="2">
        <v>297</v>
      </c>
      <c r="L117" s="2" t="s">
        <v>849</v>
      </c>
      <c r="M117" s="2" t="s">
        <v>850</v>
      </c>
      <c r="N117" s="2">
        <v>90</v>
      </c>
      <c r="O117" s="2">
        <v>1998</v>
      </c>
      <c r="P117" s="2">
        <v>130</v>
      </c>
      <c r="Q117" s="2" t="s">
        <v>851</v>
      </c>
      <c r="R117" s="2" t="s">
        <v>852</v>
      </c>
    </row>
    <row r="118" spans="1:18" ht="15.75" customHeight="1" x14ac:dyDescent="0.3">
      <c r="A118" s="2" t="s">
        <v>45</v>
      </c>
      <c r="B118" s="2" t="s">
        <v>32</v>
      </c>
      <c r="C118" s="2" t="s">
        <v>42</v>
      </c>
      <c r="D118" s="2" t="s">
        <v>239</v>
      </c>
      <c r="E118" s="2" t="s">
        <v>71</v>
      </c>
      <c r="F118" s="2">
        <v>58</v>
      </c>
      <c r="G118" s="2">
        <v>300</v>
      </c>
      <c r="H118" s="2">
        <v>0.7</v>
      </c>
      <c r="I118" s="2">
        <v>210</v>
      </c>
      <c r="J118" s="2">
        <v>4382</v>
      </c>
      <c r="K118" s="2">
        <v>304</v>
      </c>
      <c r="L118" s="2" t="s">
        <v>855</v>
      </c>
      <c r="M118" s="2" t="s">
        <v>856</v>
      </c>
      <c r="N118" s="2">
        <v>90</v>
      </c>
      <c r="O118" s="2">
        <v>1885</v>
      </c>
      <c r="P118" s="2">
        <v>123</v>
      </c>
      <c r="Q118" s="2" t="s">
        <v>857</v>
      </c>
      <c r="R118" s="2" t="s">
        <v>858</v>
      </c>
    </row>
    <row r="119" spans="1:18" ht="15.75" customHeight="1" x14ac:dyDescent="0.3">
      <c r="A119" s="2" t="s">
        <v>45</v>
      </c>
      <c r="B119" s="2" t="s">
        <v>32</v>
      </c>
      <c r="C119" s="2" t="s">
        <v>42</v>
      </c>
      <c r="D119" s="2" t="s">
        <v>239</v>
      </c>
      <c r="E119" s="2" t="s">
        <v>71</v>
      </c>
      <c r="F119" s="2">
        <v>59</v>
      </c>
      <c r="G119" s="2">
        <v>300</v>
      </c>
      <c r="H119" s="2">
        <v>0.7</v>
      </c>
      <c r="I119" s="2">
        <v>210</v>
      </c>
      <c r="J119" s="2">
        <v>4301</v>
      </c>
      <c r="K119" s="2">
        <v>296</v>
      </c>
      <c r="L119" s="2" t="s">
        <v>859</v>
      </c>
      <c r="M119" s="2" t="s">
        <v>860</v>
      </c>
      <c r="N119" s="2">
        <v>90</v>
      </c>
      <c r="O119" s="2">
        <v>1966</v>
      </c>
      <c r="P119" s="2">
        <v>131</v>
      </c>
      <c r="Q119" s="2" t="s">
        <v>861</v>
      </c>
      <c r="R119" s="2" t="s">
        <v>864</v>
      </c>
    </row>
    <row r="120" spans="1:18" ht="15.75" customHeight="1" x14ac:dyDescent="0.3">
      <c r="A120" s="2" t="s">
        <v>45</v>
      </c>
      <c r="B120" s="2" t="s">
        <v>32</v>
      </c>
      <c r="C120" s="2" t="s">
        <v>42</v>
      </c>
      <c r="D120" s="2" t="s">
        <v>239</v>
      </c>
      <c r="E120" s="2" t="s">
        <v>71</v>
      </c>
      <c r="F120" s="2">
        <v>60</v>
      </c>
      <c r="G120" s="2">
        <v>300</v>
      </c>
      <c r="H120" s="2">
        <v>0.7</v>
      </c>
      <c r="I120" s="2">
        <v>210</v>
      </c>
      <c r="J120" s="2">
        <v>4298</v>
      </c>
      <c r="K120" s="2">
        <v>310</v>
      </c>
      <c r="L120" s="2" t="s">
        <v>865</v>
      </c>
      <c r="M120" s="2" t="s">
        <v>866</v>
      </c>
      <c r="N120" s="2">
        <v>90</v>
      </c>
      <c r="O120" s="2">
        <v>1969</v>
      </c>
      <c r="P120" s="2">
        <v>117</v>
      </c>
      <c r="Q120" s="2" t="s">
        <v>867</v>
      </c>
      <c r="R120" s="2" t="s">
        <v>868</v>
      </c>
    </row>
    <row r="121" spans="1:18" ht="15.75" customHeight="1" x14ac:dyDescent="0.3">
      <c r="A121" s="2" t="s">
        <v>45</v>
      </c>
      <c r="B121" s="2" t="s">
        <v>32</v>
      </c>
      <c r="C121" s="2" t="s">
        <v>42</v>
      </c>
      <c r="D121" s="2" t="s">
        <v>239</v>
      </c>
      <c r="E121" s="2" t="s">
        <v>71</v>
      </c>
      <c r="F121" s="2">
        <v>61</v>
      </c>
      <c r="G121" s="2">
        <v>300</v>
      </c>
      <c r="H121" s="2">
        <v>0.7</v>
      </c>
      <c r="I121" s="2">
        <v>210</v>
      </c>
      <c r="J121" s="2">
        <v>4436</v>
      </c>
      <c r="K121" s="2">
        <v>290</v>
      </c>
      <c r="L121" s="2" t="s">
        <v>871</v>
      </c>
      <c r="M121" s="2" t="s">
        <v>872</v>
      </c>
      <c r="N121" s="2">
        <v>90</v>
      </c>
      <c r="O121" s="2">
        <v>1831</v>
      </c>
      <c r="P121" s="2">
        <v>137</v>
      </c>
      <c r="Q121" s="2" t="s">
        <v>873</v>
      </c>
      <c r="R121" s="2" t="s">
        <v>874</v>
      </c>
    </row>
    <row r="122" spans="1:18" ht="15.75" customHeight="1" x14ac:dyDescent="0.3"/>
    <row r="123" spans="1:18" ht="15.75" customHeight="1" x14ac:dyDescent="0.3"/>
    <row r="124" spans="1:18" ht="15.75" customHeight="1" x14ac:dyDescent="0.3"/>
    <row r="125" spans="1:18" ht="15.75" customHeight="1" x14ac:dyDescent="0.3"/>
    <row r="126" spans="1:18" ht="15.75" customHeight="1" x14ac:dyDescent="0.3"/>
    <row r="127" spans="1:18" ht="15.75" customHeight="1" x14ac:dyDescent="0.3"/>
    <row r="128" spans="1:1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7" sqref="A7"/>
    </sheetView>
  </sheetViews>
  <sheetFormatPr defaultColWidth="14.44140625" defaultRowHeight="15" customHeight="1" x14ac:dyDescent="0.3"/>
  <cols>
    <col min="1" max="1" width="29.109375" customWidth="1"/>
    <col min="2" max="2" width="16.5546875" customWidth="1"/>
    <col min="3" max="3" width="9.88671875" customWidth="1"/>
    <col min="4" max="4" width="29.109375" customWidth="1"/>
    <col min="5" max="5" width="13.33203125" customWidth="1"/>
    <col min="6" max="26" width="8.6640625" customWidth="1"/>
  </cols>
  <sheetData>
    <row r="1" spans="1:7" ht="14.4" x14ac:dyDescent="0.3">
      <c r="A1" s="1" t="s">
        <v>8</v>
      </c>
      <c r="B1" s="1" t="s">
        <v>4</v>
      </c>
      <c r="C1" s="1" t="s">
        <v>7</v>
      </c>
      <c r="D1" s="1" t="s">
        <v>18</v>
      </c>
      <c r="E1" s="1" t="s">
        <v>21</v>
      </c>
      <c r="F1" s="1" t="s">
        <v>25</v>
      </c>
      <c r="G1" s="1" t="s">
        <v>28</v>
      </c>
    </row>
    <row r="2" spans="1:7" ht="14.4" x14ac:dyDescent="0.3">
      <c r="A2" s="2" t="s">
        <v>32</v>
      </c>
      <c r="B2" s="2" t="s">
        <v>39</v>
      </c>
      <c r="C2" s="2" t="s">
        <v>42</v>
      </c>
      <c r="D2" s="2" t="s">
        <v>44</v>
      </c>
      <c r="E2" s="2">
        <v>0.62173845994931587</v>
      </c>
      <c r="F2" s="2">
        <v>4.5572291612048052E-2</v>
      </c>
      <c r="G2" s="2">
        <v>40</v>
      </c>
    </row>
    <row r="3" spans="1:7" ht="14.4" x14ac:dyDescent="0.3">
      <c r="A3" s="2" t="s">
        <v>32</v>
      </c>
      <c r="B3" s="2" t="s">
        <v>39</v>
      </c>
      <c r="C3" s="2" t="s">
        <v>42</v>
      </c>
      <c r="D3" s="2" t="s">
        <v>71</v>
      </c>
      <c r="E3" s="2">
        <v>0.62764394673627399</v>
      </c>
      <c r="F3" s="2">
        <v>3.0979330081005941E-2</v>
      </c>
      <c r="G3" s="2">
        <v>40</v>
      </c>
    </row>
    <row r="4" spans="1:7" ht="14.4" x14ac:dyDescent="0.3">
      <c r="A4" s="2" t="s">
        <v>32</v>
      </c>
      <c r="B4" s="2" t="s">
        <v>43</v>
      </c>
      <c r="C4" s="2" t="s">
        <v>42</v>
      </c>
      <c r="D4" s="2" t="s">
        <v>44</v>
      </c>
      <c r="E4" s="2">
        <v>0.74763302966841416</v>
      </c>
      <c r="F4" s="2">
        <v>6.7302726973433591E-2</v>
      </c>
      <c r="G4" s="2">
        <v>40</v>
      </c>
    </row>
    <row r="5" spans="1:7" ht="14.4" x14ac:dyDescent="0.3">
      <c r="A5" s="2" t="s">
        <v>32</v>
      </c>
      <c r="B5" s="2" t="s">
        <v>43</v>
      </c>
      <c r="C5" s="2" t="s">
        <v>42</v>
      </c>
      <c r="D5" s="2" t="s">
        <v>71</v>
      </c>
      <c r="E5" s="2">
        <v>0.74730314369448647</v>
      </c>
      <c r="F5" s="2">
        <v>7.4337282500048202E-2</v>
      </c>
      <c r="G5" s="2">
        <v>40</v>
      </c>
    </row>
    <row r="6" spans="1:7" ht="14.4" x14ac:dyDescent="0.3">
      <c r="A6" s="2" t="s">
        <v>32</v>
      </c>
      <c r="B6" s="2" t="s">
        <v>82</v>
      </c>
      <c r="C6" s="2" t="s">
        <v>42</v>
      </c>
      <c r="D6" s="2" t="s">
        <v>44</v>
      </c>
      <c r="E6" s="2">
        <v>0.76067990060502511</v>
      </c>
      <c r="F6" s="2">
        <v>6.7153102051499922E-2</v>
      </c>
      <c r="G6" s="2">
        <v>40</v>
      </c>
    </row>
    <row r="7" spans="1:7" ht="14.4" x14ac:dyDescent="0.3">
      <c r="A7" s="2" t="s">
        <v>32</v>
      </c>
      <c r="B7" s="2" t="s">
        <v>82</v>
      </c>
      <c r="C7" s="2" t="s">
        <v>42</v>
      </c>
      <c r="D7" s="2" t="s">
        <v>71</v>
      </c>
      <c r="E7" s="2">
        <v>0.76595125738726233</v>
      </c>
      <c r="F7" s="2">
        <v>7.101535330556609E-2</v>
      </c>
      <c r="G7" s="2">
        <v>40</v>
      </c>
    </row>
    <row r="8" spans="1:7" ht="14.4" x14ac:dyDescent="0.3">
      <c r="A8" s="2" t="s">
        <v>38</v>
      </c>
      <c r="B8" s="2" t="s">
        <v>39</v>
      </c>
      <c r="C8" s="2" t="s">
        <v>42</v>
      </c>
      <c r="D8" s="2" t="s">
        <v>44</v>
      </c>
      <c r="E8" s="2">
        <v>0.67403304307643586</v>
      </c>
      <c r="F8" s="2">
        <v>0.12569873891465749</v>
      </c>
      <c r="G8" s="2">
        <v>40</v>
      </c>
    </row>
    <row r="9" spans="1:7" ht="14.4" x14ac:dyDescent="0.3">
      <c r="A9" s="2" t="s">
        <v>38</v>
      </c>
      <c r="B9" s="2" t="s">
        <v>39</v>
      </c>
      <c r="C9" s="2" t="s">
        <v>42</v>
      </c>
      <c r="D9" s="2" t="s">
        <v>71</v>
      </c>
      <c r="E9" s="2">
        <v>0.70850562931961258</v>
      </c>
      <c r="F9" s="2">
        <v>7.355812036998001E-2</v>
      </c>
      <c r="G9" s="2">
        <v>40</v>
      </c>
    </row>
    <row r="10" spans="1:7" ht="14.4" x14ac:dyDescent="0.3">
      <c r="A10" s="2" t="s">
        <v>38</v>
      </c>
      <c r="B10" s="2" t="s">
        <v>43</v>
      </c>
      <c r="C10" s="2" t="s">
        <v>42</v>
      </c>
      <c r="D10" s="2" t="s">
        <v>44</v>
      </c>
      <c r="E10" s="2">
        <v>0.69111910835927426</v>
      </c>
      <c r="F10" s="2">
        <v>0.11154514972010959</v>
      </c>
      <c r="G10" s="2">
        <v>40</v>
      </c>
    </row>
    <row r="11" spans="1:7" ht="14.4" x14ac:dyDescent="0.3">
      <c r="A11" s="2" t="s">
        <v>38</v>
      </c>
      <c r="B11" s="2" t="s">
        <v>43</v>
      </c>
      <c r="C11" s="2" t="s">
        <v>42</v>
      </c>
      <c r="D11" s="2" t="s">
        <v>71</v>
      </c>
      <c r="E11" s="2">
        <v>0.70771166555024023</v>
      </c>
      <c r="F11" s="2">
        <v>9.5865283847245547E-2</v>
      </c>
      <c r="G11" s="2">
        <v>40</v>
      </c>
    </row>
    <row r="12" spans="1:7" ht="14.4" x14ac:dyDescent="0.3">
      <c r="A12" s="2" t="s">
        <v>38</v>
      </c>
      <c r="B12" s="2" t="s">
        <v>82</v>
      </c>
      <c r="C12" s="2" t="s">
        <v>42</v>
      </c>
      <c r="D12" s="2" t="s">
        <v>44</v>
      </c>
      <c r="E12" s="2">
        <v>0.74117305214154405</v>
      </c>
      <c r="F12" s="2">
        <v>0.1025774527970008</v>
      </c>
      <c r="G12" s="2">
        <v>40</v>
      </c>
    </row>
    <row r="13" spans="1:7" ht="14.4" x14ac:dyDescent="0.3">
      <c r="A13" s="2" t="s">
        <v>38</v>
      </c>
      <c r="B13" s="2" t="s">
        <v>82</v>
      </c>
      <c r="C13" s="2" t="s">
        <v>42</v>
      </c>
      <c r="D13" s="2" t="s">
        <v>71</v>
      </c>
      <c r="E13" s="2">
        <v>0.75485560453407385</v>
      </c>
      <c r="F13" s="2">
        <v>8.4578065870064251E-2</v>
      </c>
      <c r="G13" s="2">
        <v>40</v>
      </c>
    </row>
    <row r="14" spans="1:7" ht="14.4" x14ac:dyDescent="0.3">
      <c r="A14" s="2" t="s">
        <v>116</v>
      </c>
      <c r="B14" s="2" t="s">
        <v>39</v>
      </c>
      <c r="C14" s="2" t="s">
        <v>42</v>
      </c>
      <c r="D14" s="2" t="s">
        <v>44</v>
      </c>
      <c r="E14" s="2">
        <v>0.44553507367114942</v>
      </c>
      <c r="F14" s="2">
        <v>0.30710324326219829</v>
      </c>
      <c r="G14" s="2">
        <v>40</v>
      </c>
    </row>
    <row r="15" spans="1:7" ht="14.4" x14ac:dyDescent="0.3">
      <c r="A15" s="2" t="s">
        <v>116</v>
      </c>
      <c r="B15" s="2" t="s">
        <v>39</v>
      </c>
      <c r="C15" s="2" t="s">
        <v>42</v>
      </c>
      <c r="D15" s="2" t="s">
        <v>71</v>
      </c>
      <c r="E15" s="2">
        <v>0.44648545294122532</v>
      </c>
      <c r="F15" s="2">
        <v>0.33466350361110148</v>
      </c>
      <c r="G15" s="2">
        <v>40</v>
      </c>
    </row>
    <row r="16" spans="1:7" ht="14.4" x14ac:dyDescent="0.3">
      <c r="A16" s="2" t="s">
        <v>116</v>
      </c>
      <c r="B16" s="2" t="s">
        <v>43</v>
      </c>
      <c r="C16" s="2" t="s">
        <v>42</v>
      </c>
      <c r="D16" s="2" t="s">
        <v>44</v>
      </c>
      <c r="E16" s="2">
        <v>0.69385131927371524</v>
      </c>
      <c r="F16" s="2">
        <v>9.0582750537984522E-2</v>
      </c>
      <c r="G16" s="2">
        <v>40</v>
      </c>
    </row>
    <row r="17" spans="1:7" ht="14.4" x14ac:dyDescent="0.3">
      <c r="A17" s="2" t="s">
        <v>116</v>
      </c>
      <c r="B17" s="2" t="s">
        <v>43</v>
      </c>
      <c r="C17" s="2" t="s">
        <v>42</v>
      </c>
      <c r="D17" s="2" t="s">
        <v>71</v>
      </c>
      <c r="E17" s="2">
        <v>0.70282168032055059</v>
      </c>
      <c r="F17" s="2">
        <v>9.7619258755726218E-2</v>
      </c>
      <c r="G17" s="2">
        <v>40</v>
      </c>
    </row>
    <row r="18" spans="1:7" ht="14.4" x14ac:dyDescent="0.3">
      <c r="A18" s="2" t="s">
        <v>116</v>
      </c>
      <c r="B18" s="2" t="s">
        <v>82</v>
      </c>
      <c r="C18" s="2" t="s">
        <v>42</v>
      </c>
      <c r="D18" s="2" t="s">
        <v>44</v>
      </c>
      <c r="E18" s="2">
        <v>0.64430017589460054</v>
      </c>
      <c r="F18" s="2">
        <v>0.14608513282741381</v>
      </c>
      <c r="G18" s="2">
        <v>40</v>
      </c>
    </row>
    <row r="19" spans="1:7" ht="14.4" x14ac:dyDescent="0.3">
      <c r="A19" s="2" t="s">
        <v>116</v>
      </c>
      <c r="B19" s="2" t="s">
        <v>82</v>
      </c>
      <c r="C19" s="2" t="s">
        <v>42</v>
      </c>
      <c r="D19" s="2" t="s">
        <v>71</v>
      </c>
      <c r="E19" s="2">
        <v>0.66050809989310388</v>
      </c>
      <c r="F19" s="2">
        <v>0.1137870745287326</v>
      </c>
      <c r="G19" s="2">
        <v>40</v>
      </c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E351-3FB9-48F3-BDE0-0C19ECFCFE2A}">
  <dimension ref="A1:O1000"/>
  <sheetViews>
    <sheetView tabSelected="1" topLeftCell="A4" workbookViewId="0">
      <selection activeCell="B11" sqref="B11:D11"/>
    </sheetView>
  </sheetViews>
  <sheetFormatPr defaultColWidth="14.44140625" defaultRowHeight="15" customHeight="1" x14ac:dyDescent="0.3"/>
  <cols>
    <col min="1" max="1" width="16.6640625" customWidth="1"/>
    <col min="2" max="2" width="15.44140625" bestFit="1" customWidth="1"/>
    <col min="3" max="3" width="9.21875" customWidth="1"/>
    <col min="4" max="4" width="18.5546875" customWidth="1"/>
    <col min="5" max="6" width="7.44140625" customWidth="1"/>
    <col min="7" max="7" width="7" customWidth="1"/>
    <col min="8" max="8" width="2.77734375" customWidth="1"/>
    <col min="9" max="9" width="16.33203125" bestFit="1" customWidth="1"/>
    <col min="10" max="10" width="15.44140625" bestFit="1" customWidth="1"/>
    <col min="11" max="11" width="9.21875" customWidth="1"/>
    <col min="12" max="12" width="20" customWidth="1"/>
    <col min="13" max="14" width="7.44140625" customWidth="1"/>
    <col min="15" max="15" width="7" customWidth="1"/>
    <col min="16" max="26" width="8.6640625" customWidth="1"/>
  </cols>
  <sheetData>
    <row r="1" spans="1:15" ht="14.4" x14ac:dyDescent="0.3">
      <c r="A1" s="4" t="s">
        <v>2608</v>
      </c>
      <c r="B1" s="4"/>
      <c r="C1" s="4"/>
      <c r="D1" s="4"/>
      <c r="E1" s="4"/>
      <c r="F1" s="4"/>
      <c r="G1" s="4"/>
      <c r="H1" s="3"/>
      <c r="I1" s="4" t="s">
        <v>2609</v>
      </c>
      <c r="J1" s="4"/>
      <c r="K1" s="4"/>
      <c r="L1" s="4"/>
      <c r="M1" s="4"/>
      <c r="N1" s="4"/>
      <c r="O1" s="4"/>
    </row>
    <row r="2" spans="1:15" ht="28.8" x14ac:dyDescent="0.3">
      <c r="A2" s="5" t="s">
        <v>8</v>
      </c>
      <c r="B2" s="5" t="s">
        <v>4</v>
      </c>
      <c r="C2" s="5" t="s">
        <v>7</v>
      </c>
      <c r="D2" s="5" t="s">
        <v>18</v>
      </c>
      <c r="E2" s="5" t="s">
        <v>21</v>
      </c>
      <c r="F2" s="5" t="s">
        <v>25</v>
      </c>
      <c r="G2" s="5" t="s">
        <v>28</v>
      </c>
      <c r="H2" s="5"/>
      <c r="I2" s="5" t="s">
        <v>8</v>
      </c>
      <c r="J2" s="5" t="s">
        <v>4</v>
      </c>
      <c r="K2" s="5" t="s">
        <v>7</v>
      </c>
      <c r="L2" s="5" t="s">
        <v>18</v>
      </c>
      <c r="M2" s="5" t="s">
        <v>21</v>
      </c>
      <c r="N2" s="5" t="s">
        <v>25</v>
      </c>
      <c r="O2" s="5" t="s">
        <v>28</v>
      </c>
    </row>
    <row r="3" spans="1:15" ht="28.8" x14ac:dyDescent="0.3">
      <c r="A3" s="5" t="s">
        <v>32</v>
      </c>
      <c r="B3" s="5" t="s">
        <v>39</v>
      </c>
      <c r="C3" s="5" t="s">
        <v>42</v>
      </c>
      <c r="D3" s="5" t="s">
        <v>44</v>
      </c>
      <c r="E3" s="8">
        <f>AVERAGEIFS(all_runs!$S$2:$S$721,all_runs!$B$2:$B$721,$A3,all_runs!$E$2:$E$721,$B3,all_runs!$H$2:$H$721,$C3,all_runs!$J$2:$J$721,$D3,all_runs!$AB$2:$AB$721,"&lt;&gt;augmented")</f>
        <v>0.60246708676187821</v>
      </c>
      <c r="F3" s="6" cm="1">
        <f t="array" ref="F3">_xlfn.STDEV.S(_xlfn._xlws.FILTER(all_runs!$S$2:$S$721,(all_runs!$B$2:$B$721=$A3)*(all_runs!$E$2:$E$721=$B3)*(all_runs!$H$2:$H$721=$C3)*(all_runs!$J$2:$J$721=$D3)*(all_runs!$AB$2:$AB$721&lt;&gt;"augmented")))</f>
        <v>5.2403855240246114E-2</v>
      </c>
      <c r="G3" s="7">
        <f>COUNTIFS(all_runs!$B$2:$B$721,$A3,all_runs!$E$2:$E$721,$B3,all_runs!$H$2:$H$721,$C3,all_runs!$J$2:$J$721,$D3,all_runs!$AB$2:$AB$721,"&lt;&gt;augmented")</f>
        <v>20</v>
      </c>
      <c r="H3" s="5"/>
      <c r="I3" s="5" t="s">
        <v>32</v>
      </c>
      <c r="J3" s="5" t="s">
        <v>39</v>
      </c>
      <c r="K3" s="5" t="s">
        <v>42</v>
      </c>
      <c r="L3" s="5" t="s">
        <v>44</v>
      </c>
      <c r="M3" s="6">
        <f>AVERAGEIFS(all_runs!$S$2:$S$721,all_runs!$B$2:$B$721,$I3,all_runs!$E$2:$E$721,$J3,all_runs!$H$2:$H$721,$K3,all_runs!$J$2:$J$721,$L3,all_runs!$AB$2:$AB$721,"augmented")</f>
        <v>0.64100983313675319</v>
      </c>
      <c r="N3" s="6" cm="1">
        <f t="array" ref="N3">_xlfn.STDEV.S(_xlfn._xlws.FILTER(all_runs!$S$2:$S$721,(all_runs!$B$2:$B$721=$I3)*(all_runs!$E$2:$E$721=$J3)*(all_runs!$H$2:$H$721=$K3)*(all_runs!$J$2:$J$721=$L3)*(all_runs!$AB$2:$AB$721="augmented")))</f>
        <v>2.7109880632457891E-2</v>
      </c>
      <c r="O3" s="7">
        <f>COUNTIFS(all_runs!$B$2:$B$721,$I3,all_runs!$E$2:$E$721,$J3,all_runs!$H$2:$H$721,$K3,all_runs!$J$2:$J$721,$L3,all_runs!$AB$2:$AB$721,"augmented")</f>
        <v>20</v>
      </c>
    </row>
    <row r="4" spans="1:15" ht="28.8" x14ac:dyDescent="0.3">
      <c r="A4" s="5" t="s">
        <v>32</v>
      </c>
      <c r="B4" s="5" t="s">
        <v>39</v>
      </c>
      <c r="C4" s="5" t="s">
        <v>42</v>
      </c>
      <c r="D4" s="5" t="s">
        <v>71</v>
      </c>
      <c r="E4" s="6">
        <f>AVERAGEIFS(all_runs!$S$2:$S$721,all_runs!$B$2:$B$721,$A4,all_runs!$E$2:$E$721,$B4,all_runs!$H$2:$H$721,$C4,all_runs!$J$2:$J$721,$D4,all_runs!$AB$2:$AB$721,"&lt;&gt;augmented")</f>
        <v>0.60639870232081516</v>
      </c>
      <c r="F4" s="6" cm="1">
        <f t="array" ref="F4">_xlfn.STDEV.S(_xlfn._xlws.FILTER(all_runs!$S$2:$S$721,(all_runs!$B$2:$B$721=$A4)*(all_runs!$E$2:$E$721=$B4)*(all_runs!$H$2:$H$721=$C4)*(all_runs!$J$2:$J$721=$D4)*(all_runs!$AB$2:$AB$721&lt;&gt;"augmented")))</f>
        <v>2.44952586014133E-2</v>
      </c>
      <c r="G4" s="7">
        <f>COUNTIFS(all_runs!$B$2:$B$721,$A4,all_runs!$E$2:$E$721,$B4,all_runs!$H$2:$H$721,$C4,all_runs!$J$2:$J$721,$D4,all_runs!$AB$2:$AB$721,"&lt;&gt;augmented")</f>
        <v>20</v>
      </c>
      <c r="H4" s="5"/>
      <c r="I4" s="5" t="s">
        <v>32</v>
      </c>
      <c r="J4" s="5" t="s">
        <v>39</v>
      </c>
      <c r="K4" s="5" t="s">
        <v>42</v>
      </c>
      <c r="L4" s="5" t="s">
        <v>71</v>
      </c>
      <c r="M4" s="6">
        <f>AVERAGEIFS(all_runs!$S$2:$S$721,all_runs!$B$2:$B$721,$I4,all_runs!$E$2:$E$721,$J4,all_runs!$H$2:$H$721,$K4,all_runs!$J$2:$J$721,$L4,all_runs!$AB$2:$AB$721,"augmented")</f>
        <v>0.6488891911517326</v>
      </c>
      <c r="N4" s="6" cm="1">
        <f t="array" ref="N4">_xlfn.STDEV.S(_xlfn._xlws.FILTER(all_runs!$S$2:$S$721,(all_runs!$B$2:$B$721=$I4)*(all_runs!$E$2:$E$721=$J4)*(all_runs!$H$2:$H$721=$K4)*(all_runs!$J$2:$J$721=$L4)*(all_runs!$AB$2:$AB$721="augmented")))</f>
        <v>2.0486560681390379E-2</v>
      </c>
      <c r="O4" s="7">
        <f>COUNTIFS(all_runs!$B$2:$B$721,$I4,all_runs!$E$2:$E$721,$J4,all_runs!$H$2:$H$721,$K4,all_runs!$J$2:$J$721,$L4,all_runs!$AB$2:$AB$721,"augmented")</f>
        <v>20</v>
      </c>
    </row>
    <row r="5" spans="1:15" ht="28.8" x14ac:dyDescent="0.3">
      <c r="A5" s="5" t="s">
        <v>32</v>
      </c>
      <c r="B5" s="5" t="s">
        <v>43</v>
      </c>
      <c r="C5" s="5" t="s">
        <v>42</v>
      </c>
      <c r="D5" s="5" t="s">
        <v>44</v>
      </c>
      <c r="E5" s="6">
        <f>AVERAGEIFS(all_runs!$S$2:$S$721,all_runs!$B$2:$B$721,$A5,all_runs!$E$2:$E$721,$B5,all_runs!$H$2:$H$721,$C5,all_runs!$J$2:$J$721,$D5,all_runs!$AB$2:$AB$721,"&lt;&gt;augmented")</f>
        <v>0.68791001933192031</v>
      </c>
      <c r="F5" s="6" cm="1">
        <f t="array" ref="F5">_xlfn.STDEV.S(_xlfn._xlws.FILTER(all_runs!$S$2:$S$721,(all_runs!$B$2:$B$721=$A5)*(all_runs!$E$2:$E$721=$B5)*(all_runs!$H$2:$H$721=$C5)*(all_runs!$J$2:$J$721=$D5)*(all_runs!$AB$2:$AB$721&lt;&gt;"augmented")))</f>
        <v>3.2834187278687685E-2</v>
      </c>
      <c r="G5" s="7">
        <f>COUNTIFS(all_runs!$B$2:$B$721,$A5,all_runs!$E$2:$E$721,$B5,all_runs!$H$2:$H$721,$C5,all_runs!$J$2:$J$721,$D5,all_runs!$AB$2:$AB$721,"&lt;&gt;augmented")</f>
        <v>20</v>
      </c>
      <c r="H5" s="5"/>
      <c r="I5" s="5" t="s">
        <v>32</v>
      </c>
      <c r="J5" s="5" t="s">
        <v>43</v>
      </c>
      <c r="K5" s="5" t="s">
        <v>42</v>
      </c>
      <c r="L5" s="5" t="s">
        <v>44</v>
      </c>
      <c r="M5" s="6">
        <f>AVERAGEIFS(all_runs!$S$2:$S$721,all_runs!$B$2:$B$721,$I5,all_runs!$E$2:$E$721,$J5,all_runs!$H$2:$H$721,$K5,all_runs!$J$2:$J$721,$L5,all_runs!$AB$2:$AB$721,"augmented")</f>
        <v>0.80735604000490824</v>
      </c>
      <c r="N5" s="6" cm="1">
        <f t="array" ref="N5">_xlfn.STDEV.S(_xlfn._xlws.FILTER(all_runs!$S$2:$S$721,(all_runs!$B$2:$B$721=$I5)*(all_runs!$E$2:$E$721=$J5)*(all_runs!$H$2:$H$721=$K5)*(all_runs!$J$2:$J$721=$L5)*(all_runs!$AB$2:$AB$721="augmented")))</f>
        <v>2.6655219186232343E-2</v>
      </c>
      <c r="O5" s="7">
        <f>COUNTIFS(all_runs!$B$2:$B$721,$I5,all_runs!$E$2:$E$721,$J5,all_runs!$H$2:$H$721,$K5,all_runs!$J$2:$J$721,$L5,all_runs!$AB$2:$AB$721,"augmented")</f>
        <v>20</v>
      </c>
    </row>
    <row r="6" spans="1:15" ht="28.8" x14ac:dyDescent="0.3">
      <c r="A6" s="5" t="s">
        <v>32</v>
      </c>
      <c r="B6" s="5" t="s">
        <v>43</v>
      </c>
      <c r="C6" s="5" t="s">
        <v>42</v>
      </c>
      <c r="D6" s="5" t="s">
        <v>71</v>
      </c>
      <c r="E6" s="6">
        <f>AVERAGEIFS(all_runs!$S$2:$S$721,all_runs!$B$2:$B$721,$A6,all_runs!$E$2:$E$721,$B6,all_runs!$H$2:$H$721,$C6,all_runs!$J$2:$J$721,$D6,all_runs!$AB$2:$AB$721,"&lt;&gt;augmented")</f>
        <v>0.68303503781458785</v>
      </c>
      <c r="F6" s="6" cm="1">
        <f t="array" ref="F6">_xlfn.STDEV.S(_xlfn._xlws.FILTER(all_runs!$S$2:$S$721,(all_runs!$B$2:$B$721=$A6)*(all_runs!$E$2:$E$721=$B6)*(all_runs!$H$2:$H$721=$C6)*(all_runs!$J$2:$J$721=$D6)*(all_runs!$AB$2:$AB$721&lt;&gt;"augmented")))</f>
        <v>4.6267696301067841E-2</v>
      </c>
      <c r="G6" s="7">
        <f>COUNTIFS(all_runs!$B$2:$B$721,$A6,all_runs!$E$2:$E$721,$B6,all_runs!$H$2:$H$721,$C6,all_runs!$J$2:$J$721,$D6,all_runs!$AB$2:$AB$721,"&lt;&gt;augmented")</f>
        <v>20</v>
      </c>
      <c r="H6" s="5"/>
      <c r="I6" s="5" t="s">
        <v>32</v>
      </c>
      <c r="J6" s="5" t="s">
        <v>43</v>
      </c>
      <c r="K6" s="5" t="s">
        <v>42</v>
      </c>
      <c r="L6" s="5" t="s">
        <v>71</v>
      </c>
      <c r="M6" s="6">
        <f>AVERAGEIFS(all_runs!$S$2:$S$721,all_runs!$B$2:$B$721,$I6,all_runs!$E$2:$E$721,$J6,all_runs!$H$2:$H$721,$K6,all_runs!$J$2:$J$721,$L6,all_runs!$AB$2:$AB$721,"augmented")</f>
        <v>0.81157124957438498</v>
      </c>
      <c r="N6" s="6" cm="1">
        <f t="array" ref="N6">_xlfn.STDEV.S(_xlfn._xlws.FILTER(all_runs!$S$2:$S$721,(all_runs!$B$2:$B$721=$I6)*(all_runs!$E$2:$E$721=$J6)*(all_runs!$H$2:$H$721=$K6)*(all_runs!$J$2:$J$721=$L6)*(all_runs!$AB$2:$AB$721="augmented")))</f>
        <v>2.2508897861025629E-2</v>
      </c>
      <c r="O6" s="7">
        <f>COUNTIFS(all_runs!$B$2:$B$721,$I6,all_runs!$E$2:$E$721,$J6,all_runs!$H$2:$H$721,$K6,all_runs!$J$2:$J$721,$L6,all_runs!$AB$2:$AB$721,"augmented")</f>
        <v>20</v>
      </c>
    </row>
    <row r="7" spans="1:15" ht="28.8" x14ac:dyDescent="0.3">
      <c r="A7" s="5" t="s">
        <v>32</v>
      </c>
      <c r="B7" s="5" t="s">
        <v>82</v>
      </c>
      <c r="C7" s="5" t="s">
        <v>42</v>
      </c>
      <c r="D7" s="5" t="s">
        <v>44</v>
      </c>
      <c r="E7" s="6">
        <f>AVERAGEIFS(all_runs!$S$2:$S$721,all_runs!$B$2:$B$721,$A7,all_runs!$E$2:$E$721,$B7,all_runs!$H$2:$H$721,$C7,all_runs!$J$2:$J$721,$D7,all_runs!$AB$2:$AB$721,"&lt;&gt;augmented")</f>
        <v>0.70804581188949167</v>
      </c>
      <c r="F7" s="6" cm="1">
        <f t="array" ref="F7">_xlfn.STDEV.S(_xlfn._xlws.FILTER(all_runs!$S$2:$S$721,(all_runs!$B$2:$B$721=$A7)*(all_runs!$E$2:$E$721=$B7)*(all_runs!$H$2:$H$721=$C7)*(all_runs!$J$2:$J$721=$D7)*(all_runs!$AB$2:$AB$721&lt;&gt;"augmented")))</f>
        <v>5.1462267450003381E-2</v>
      </c>
      <c r="G7" s="7">
        <f>COUNTIFS(all_runs!$B$2:$B$721,$A7,all_runs!$E$2:$E$721,$B7,all_runs!$H$2:$H$721,$C7,all_runs!$J$2:$J$721,$D7,all_runs!$AB$2:$AB$721,"&lt;&gt;augmented")</f>
        <v>20</v>
      </c>
      <c r="H7" s="5"/>
      <c r="I7" s="5" t="s">
        <v>32</v>
      </c>
      <c r="J7" s="5" t="s">
        <v>82</v>
      </c>
      <c r="K7" s="5" t="s">
        <v>42</v>
      </c>
      <c r="L7" s="5" t="s">
        <v>44</v>
      </c>
      <c r="M7" s="6">
        <f>AVERAGEIFS(all_runs!$S$2:$S$721,all_runs!$B$2:$B$721,$I7,all_runs!$E$2:$E$721,$J7,all_runs!$H$2:$H$721,$K7,all_runs!$J$2:$J$721,$L7,all_runs!$AB$2:$AB$721,"augmented")</f>
        <v>0.81331398932055876</v>
      </c>
      <c r="N7" s="6" cm="1">
        <f t="array" ref="N7">_xlfn.STDEV.S(_xlfn._xlws.FILTER(all_runs!$S$2:$S$721,(all_runs!$B$2:$B$721=$I7)*(all_runs!$E$2:$E$721=$J7)*(all_runs!$H$2:$H$721=$K7)*(all_runs!$J$2:$J$721=$L7)*(all_runs!$AB$2:$AB$721="augmented")))</f>
        <v>2.7852240997452451E-2</v>
      </c>
      <c r="O7" s="7">
        <f>COUNTIFS(all_runs!$B$2:$B$721,$I7,all_runs!$E$2:$E$721,$J7,all_runs!$H$2:$H$721,$K7,all_runs!$J$2:$J$721,$L7,all_runs!$AB$2:$AB$721,"augmented")</f>
        <v>20</v>
      </c>
    </row>
    <row r="8" spans="1:15" ht="28.8" x14ac:dyDescent="0.3">
      <c r="A8" s="5" t="s">
        <v>32</v>
      </c>
      <c r="B8" s="5" t="s">
        <v>82</v>
      </c>
      <c r="C8" s="5" t="s">
        <v>42</v>
      </c>
      <c r="D8" s="5" t="s">
        <v>71</v>
      </c>
      <c r="E8" s="6">
        <f>AVERAGEIFS(all_runs!$S$2:$S$721,all_runs!$B$2:$B$721,$A8,all_runs!$E$2:$E$721,$B8,all_runs!$H$2:$H$721,$C8,all_runs!$J$2:$J$721,$D8,all_runs!$AB$2:$AB$721,"&lt;&gt;augmented")</f>
        <v>0.70808852219541407</v>
      </c>
      <c r="F8" s="6" cm="1">
        <f t="array" ref="F8">_xlfn.STDEV.S(_xlfn._xlws.FILTER(all_runs!$S$2:$S$721,(all_runs!$B$2:$B$721=$A8)*(all_runs!$E$2:$E$721=$B8)*(all_runs!$H$2:$H$721=$C8)*(all_runs!$J$2:$J$721=$D8)*(all_runs!$AB$2:$AB$721&lt;&gt;"augmented")))</f>
        <v>5.1352003396598865E-2</v>
      </c>
      <c r="G8" s="7">
        <f>COUNTIFS(all_runs!$B$2:$B$721,$A8,all_runs!$E$2:$E$721,$B8,all_runs!$H$2:$H$721,$C8,all_runs!$J$2:$J$721,$D8,all_runs!$AB$2:$AB$721,"&lt;&gt;augmented")</f>
        <v>20</v>
      </c>
      <c r="H8" s="5"/>
      <c r="I8" s="5" t="s">
        <v>32</v>
      </c>
      <c r="J8" s="5" t="s">
        <v>82</v>
      </c>
      <c r="K8" s="5" t="s">
        <v>42</v>
      </c>
      <c r="L8" s="5" t="s">
        <v>71</v>
      </c>
      <c r="M8" s="8">
        <f>AVERAGEIFS(all_runs!$S$2:$S$721,all_runs!$B$2:$B$721,$I8,all_runs!$E$2:$E$721,$J8,all_runs!$H$2:$H$721,$K8,all_runs!$J$2:$J$721,$L8,all_runs!$AB$2:$AB$721,"augmented")</f>
        <v>0.82381399257911048</v>
      </c>
      <c r="N8" s="6" cm="1">
        <f t="array" ref="N8">_xlfn.STDEV.S(_xlfn._xlws.FILTER(all_runs!$S$2:$S$721,(all_runs!$B$2:$B$721=$I8)*(all_runs!$E$2:$E$721=$J8)*(all_runs!$H$2:$H$721=$K8)*(all_runs!$J$2:$J$721=$L8)*(all_runs!$AB$2:$AB$721="augmented")))</f>
        <v>2.5809682026774791E-2</v>
      </c>
      <c r="O8" s="7">
        <f>COUNTIFS(all_runs!$B$2:$B$721,$I8,all_runs!$E$2:$E$721,$J8,all_runs!$H$2:$H$721,$K8,all_runs!$J$2:$J$721,$L8,all_runs!$AB$2:$AB$721,"augmented")</f>
        <v>20</v>
      </c>
    </row>
    <row r="9" spans="1:15" ht="28.8" x14ac:dyDescent="0.3">
      <c r="A9" s="5" t="s">
        <v>38</v>
      </c>
      <c r="B9" s="5" t="s">
        <v>39</v>
      </c>
      <c r="C9" s="5" t="s">
        <v>42</v>
      </c>
      <c r="D9" s="5" t="s">
        <v>44</v>
      </c>
      <c r="E9" s="8">
        <f>AVERAGEIFS(all_runs!$S$2:$S$721,all_runs!$B$2:$B$721,$A9,all_runs!$E$2:$E$721,$B9,all_runs!$H$2:$H$721,$C9,all_runs!$J$2:$J$721,$D9,all_runs!$AB$2:$AB$721,"&lt;&gt;augmented")</f>
        <v>0.57401273833760547</v>
      </c>
      <c r="F9" s="6" cm="1">
        <f t="array" ref="F9">_xlfn.STDEV.S(_xlfn._xlws.FILTER(all_runs!$S$2:$S$721,(all_runs!$B$2:$B$721=$A9)*(all_runs!$E$2:$E$721=$B9)*(all_runs!$H$2:$H$721=$C9)*(all_runs!$J$2:$J$721=$D9)*(all_runs!$AB$2:$AB$721&lt;&gt;"augmented")))</f>
        <v>9.8690913544219452E-2</v>
      </c>
      <c r="G9" s="7">
        <f>COUNTIFS(all_runs!$B$2:$B$721,$A9,all_runs!$E$2:$E$721,$B9,all_runs!$H$2:$H$721,$C9,all_runs!$J$2:$J$721,$D9,all_runs!$AB$2:$AB$721,"&lt;&gt;augmented")</f>
        <v>20</v>
      </c>
      <c r="H9" s="5"/>
      <c r="I9" s="5" t="s">
        <v>38</v>
      </c>
      <c r="J9" s="5" t="s">
        <v>39</v>
      </c>
      <c r="K9" s="5" t="s">
        <v>42</v>
      </c>
      <c r="L9" s="5" t="s">
        <v>44</v>
      </c>
      <c r="M9" s="6">
        <f>AVERAGEIFS(all_runs!$S$2:$S$721,all_runs!$B$2:$B$721,$I9,all_runs!$E$2:$E$721,$J9,all_runs!$H$2:$H$721,$K9,all_runs!$J$2:$J$721,$L9,all_runs!$AB$2:$AB$721,"augmented")</f>
        <v>0.77405334781526636</v>
      </c>
      <c r="N9" s="6" cm="1">
        <f t="array" ref="N9">_xlfn.STDEV.S(_xlfn._xlws.FILTER(all_runs!$S$2:$S$721,(all_runs!$B$2:$B$721=$I9)*(all_runs!$E$2:$E$721=$J9)*(all_runs!$H$2:$H$721=$K9)*(all_runs!$J$2:$J$721=$L9)*(all_runs!$AB$2:$AB$721="augmented")))</f>
        <v>4.0383855108507082E-2</v>
      </c>
      <c r="O9" s="7">
        <f>COUNTIFS(all_runs!$B$2:$B$721,$I9,all_runs!$E$2:$E$721,$J9,all_runs!$H$2:$H$721,$K9,all_runs!$J$2:$J$721,$L9,all_runs!$AB$2:$AB$721,"augmented")</f>
        <v>20</v>
      </c>
    </row>
    <row r="10" spans="1:15" ht="28.8" x14ac:dyDescent="0.3">
      <c r="A10" s="5" t="s">
        <v>38</v>
      </c>
      <c r="B10" s="5" t="s">
        <v>39</v>
      </c>
      <c r="C10" s="5" t="s">
        <v>42</v>
      </c>
      <c r="D10" s="5" t="s">
        <v>71</v>
      </c>
      <c r="E10" s="6">
        <f>AVERAGEIFS(all_runs!$S$2:$S$721,all_runs!$B$2:$B$721,$A10,all_runs!$E$2:$E$721,$B10,all_runs!$H$2:$H$721,$C10,all_runs!$J$2:$J$721,$D10,all_runs!$AB$2:$AB$721,"&lt;&gt;augmented")</f>
        <v>0.64210807090824951</v>
      </c>
      <c r="F10" s="6" cm="1">
        <f t="array" ref="F10">_xlfn.STDEV.S(_xlfn._xlws.FILTER(all_runs!$S$2:$S$721,(all_runs!$B$2:$B$721=$A10)*(all_runs!$E$2:$E$721=$B10)*(all_runs!$H$2:$H$721=$C10)*(all_runs!$J$2:$J$721=$D10)*(all_runs!$AB$2:$AB$721&lt;&gt;"augmented")))</f>
        <v>3.1472505000898675E-2</v>
      </c>
      <c r="G10" s="7">
        <f>COUNTIFS(all_runs!$B$2:$B$721,$A10,all_runs!$E$2:$E$721,$B10,all_runs!$H$2:$H$721,$C10,all_runs!$J$2:$J$721,$D10,all_runs!$AB$2:$AB$721,"&lt;&gt;augmented")</f>
        <v>20</v>
      </c>
      <c r="H10" s="5"/>
      <c r="I10" s="5" t="s">
        <v>38</v>
      </c>
      <c r="J10" s="5" t="s">
        <v>39</v>
      </c>
      <c r="K10" s="5" t="s">
        <v>42</v>
      </c>
      <c r="L10" s="5" t="s">
        <v>71</v>
      </c>
      <c r="M10" s="6">
        <f>AVERAGEIFS(all_runs!$S$2:$S$721,all_runs!$B$2:$B$721,$I10,all_runs!$E$2:$E$721,$J10,all_runs!$H$2:$H$721,$K10,all_runs!$J$2:$J$721,$L10,all_runs!$AB$2:$AB$721,"augmented")</f>
        <v>0.77490318773097588</v>
      </c>
      <c r="N10" s="6" cm="1">
        <f t="array" ref="N10">_xlfn.STDEV.S(_xlfn._xlws.FILTER(all_runs!$S$2:$S$721,(all_runs!$B$2:$B$721=$I10)*(all_runs!$E$2:$E$721=$J10)*(all_runs!$H$2:$H$721=$K10)*(all_runs!$J$2:$J$721=$L10)*(all_runs!$AB$2:$AB$721="augmented")))</f>
        <v>2.8887989175068327E-2</v>
      </c>
      <c r="O10" s="7">
        <f>COUNTIFS(all_runs!$B$2:$B$721,$I10,all_runs!$E$2:$E$721,$J10,all_runs!$H$2:$H$721,$K10,all_runs!$J$2:$J$721,$L10,all_runs!$AB$2:$AB$721,"augmented")</f>
        <v>20</v>
      </c>
    </row>
    <row r="11" spans="1:15" ht="28.8" x14ac:dyDescent="0.3">
      <c r="A11" s="5" t="s">
        <v>38</v>
      </c>
      <c r="B11" s="5" t="s">
        <v>43</v>
      </c>
      <c r="C11" s="5" t="s">
        <v>42</v>
      </c>
      <c r="D11" s="5" t="s">
        <v>44</v>
      </c>
      <c r="E11" s="6">
        <f>AVERAGEIFS(all_runs!$S$2:$S$721,all_runs!$B$2:$B$721,$A11,all_runs!$E$2:$E$721,$B11,all_runs!$H$2:$H$721,$C11,all_runs!$J$2:$J$721,$D11,all_runs!$AB$2:$AB$721,"&lt;&gt;augmented")</f>
        <v>0.58682867301540675</v>
      </c>
      <c r="F11" s="6" cm="1">
        <f t="array" ref="F11">_xlfn.STDEV.S(_xlfn._xlws.FILTER(all_runs!$S$2:$S$721,(all_runs!$B$2:$B$721=$A11)*(all_runs!$E$2:$E$721=$B11)*(all_runs!$H$2:$H$721=$C11)*(all_runs!$J$2:$J$721=$D11)*(all_runs!$AB$2:$AB$721&lt;&gt;"augmented")))</f>
        <v>3.3086539031829294E-2</v>
      </c>
      <c r="G11" s="7">
        <f>COUNTIFS(all_runs!$B$2:$B$721,$A11,all_runs!$E$2:$E$721,$B11,all_runs!$H$2:$H$721,$C11,all_runs!$J$2:$J$721,$D11,all_runs!$AB$2:$AB$721,"&lt;&gt;augmented")</f>
        <v>20</v>
      </c>
      <c r="H11" s="5"/>
      <c r="I11" s="5" t="s">
        <v>38</v>
      </c>
      <c r="J11" s="5" t="s">
        <v>43</v>
      </c>
      <c r="K11" s="5" t="s">
        <v>42</v>
      </c>
      <c r="L11" s="5" t="s">
        <v>44</v>
      </c>
      <c r="M11" s="6">
        <f>AVERAGEIFS(all_runs!$S$2:$S$721,all_runs!$B$2:$B$721,$I11,all_runs!$E$2:$E$721,$J11,all_runs!$H$2:$H$721,$K11,all_runs!$J$2:$J$721,$L11,all_runs!$AB$2:$AB$721,"augmented")</f>
        <v>0.79540954370314187</v>
      </c>
      <c r="N11" s="6" cm="1">
        <f t="array" ref="N11">_xlfn.STDEV.S(_xlfn._xlws.FILTER(all_runs!$S$2:$S$721,(all_runs!$B$2:$B$721=$I11)*(all_runs!$E$2:$E$721=$J11)*(all_runs!$H$2:$H$721=$K11)*(all_runs!$J$2:$J$721=$L11)*(all_runs!$AB$2:$AB$721="augmented")))</f>
        <v>3.9330608283904639E-2</v>
      </c>
      <c r="O11" s="7">
        <f>COUNTIFS(all_runs!$B$2:$B$721,$I11,all_runs!$E$2:$E$721,$J11,all_runs!$H$2:$H$721,$K11,all_runs!$J$2:$J$721,$L11,all_runs!$AB$2:$AB$721,"augmented")</f>
        <v>20</v>
      </c>
    </row>
    <row r="12" spans="1:15" ht="28.8" x14ac:dyDescent="0.3">
      <c r="A12" s="5" t="s">
        <v>38</v>
      </c>
      <c r="B12" s="5" t="s">
        <v>43</v>
      </c>
      <c r="C12" s="5" t="s">
        <v>42</v>
      </c>
      <c r="D12" s="5" t="s">
        <v>71</v>
      </c>
      <c r="E12" s="6">
        <f>AVERAGEIFS(all_runs!$S$2:$S$721,all_runs!$B$2:$B$721,$A12,all_runs!$E$2:$E$721,$B12,all_runs!$H$2:$H$721,$C12,all_runs!$J$2:$J$721,$D12,all_runs!$AB$2:$AB$721,"&lt;&gt;augmented")</f>
        <v>0.61788983094228989</v>
      </c>
      <c r="F12" s="6" cm="1">
        <f t="array" ref="F12">_xlfn.STDEV.S(_xlfn._xlws.FILTER(all_runs!$S$2:$S$721,(all_runs!$B$2:$B$721=$A12)*(all_runs!$E$2:$E$721=$B12)*(all_runs!$H$2:$H$721=$C12)*(all_runs!$J$2:$J$721=$D12)*(all_runs!$AB$2:$AB$721&lt;&gt;"augmented")))</f>
        <v>2.704575871477739E-2</v>
      </c>
      <c r="G12" s="7">
        <f>COUNTIFS(all_runs!$B$2:$B$721,$A12,all_runs!$E$2:$E$721,$B12,all_runs!$H$2:$H$721,$C12,all_runs!$J$2:$J$721,$D12,all_runs!$AB$2:$AB$721,"&lt;&gt;augmented")</f>
        <v>20</v>
      </c>
      <c r="H12" s="5"/>
      <c r="I12" s="5" t="s">
        <v>38</v>
      </c>
      <c r="J12" s="5" t="s">
        <v>43</v>
      </c>
      <c r="K12" s="5" t="s">
        <v>42</v>
      </c>
      <c r="L12" s="5" t="s">
        <v>71</v>
      </c>
      <c r="M12" s="6">
        <f>AVERAGEIFS(all_runs!$S$2:$S$721,all_runs!$B$2:$B$721,$I12,all_runs!$E$2:$E$721,$J12,all_runs!$H$2:$H$721,$K12,all_runs!$J$2:$J$721,$L12,all_runs!$AB$2:$AB$721,"augmented")</f>
        <v>0.79753350015819069</v>
      </c>
      <c r="N12" s="6" cm="1">
        <f t="array" ref="N12">_xlfn.STDEV.S(_xlfn._xlws.FILTER(all_runs!$S$2:$S$721,(all_runs!$B$2:$B$721=$I12)*(all_runs!$E$2:$E$721=$J12)*(all_runs!$H$2:$H$721=$K12)*(all_runs!$J$2:$J$721=$L12)*(all_runs!$AB$2:$AB$721="augmented")))</f>
        <v>3.3872427942116652E-2</v>
      </c>
      <c r="O12" s="7">
        <f>COUNTIFS(all_runs!$B$2:$B$721,$I12,all_runs!$E$2:$E$721,$J12,all_runs!$H$2:$H$721,$K12,all_runs!$J$2:$J$721,$L12,all_runs!$AB$2:$AB$721,"augmented")</f>
        <v>20</v>
      </c>
    </row>
    <row r="13" spans="1:15" ht="28.8" x14ac:dyDescent="0.3">
      <c r="A13" s="5" t="s">
        <v>38</v>
      </c>
      <c r="B13" s="5" t="s">
        <v>82</v>
      </c>
      <c r="C13" s="5" t="s">
        <v>42</v>
      </c>
      <c r="D13" s="5" t="s">
        <v>44</v>
      </c>
      <c r="E13" s="6">
        <f>AVERAGEIFS(all_runs!$S$2:$S$721,all_runs!$B$2:$B$721,$A13,all_runs!$E$2:$E$721,$B13,all_runs!$H$2:$H$721,$C13,all_runs!$J$2:$J$721,$D13,all_runs!$AB$2:$AB$721,"&lt;&gt;augmented")</f>
        <v>0.64811016878043648</v>
      </c>
      <c r="F13" s="6" cm="1">
        <f t="array" ref="F13">_xlfn.STDEV.S(_xlfn._xlws.FILTER(all_runs!$S$2:$S$721,(all_runs!$B$2:$B$721=$A13)*(all_runs!$E$2:$E$721=$B13)*(all_runs!$H$2:$H$721=$C13)*(all_runs!$J$2:$J$721=$D13)*(all_runs!$AB$2:$AB$721&lt;&gt;"augmented")))</f>
        <v>4.1227838528237519E-2</v>
      </c>
      <c r="G13" s="7">
        <f>COUNTIFS(all_runs!$B$2:$B$721,$A13,all_runs!$E$2:$E$721,$B13,all_runs!$H$2:$H$721,$C13,all_runs!$J$2:$J$721,$D13,all_runs!$AB$2:$AB$721,"&lt;&gt;augmented")</f>
        <v>20</v>
      </c>
      <c r="H13" s="5"/>
      <c r="I13" s="5" t="s">
        <v>38</v>
      </c>
      <c r="J13" s="5" t="s">
        <v>82</v>
      </c>
      <c r="K13" s="5" t="s">
        <v>42</v>
      </c>
      <c r="L13" s="5" t="s">
        <v>44</v>
      </c>
      <c r="M13" s="6">
        <f>AVERAGEIFS(all_runs!$S$2:$S$721,all_runs!$B$2:$B$721,$I13,all_runs!$E$2:$E$721,$J13,all_runs!$H$2:$H$721,$K13,all_runs!$J$2:$J$721,$L13,all_runs!$AB$2:$AB$721,"augmented")</f>
        <v>0.83423593550265152</v>
      </c>
      <c r="N13" s="6" cm="1">
        <f t="array" ref="N13">_xlfn.STDEV.S(_xlfn._xlws.FILTER(all_runs!$S$2:$S$721,(all_runs!$B$2:$B$721=$I13)*(all_runs!$E$2:$E$721=$J13)*(all_runs!$H$2:$H$721=$K13)*(all_runs!$J$2:$J$721=$L13)*(all_runs!$AB$2:$AB$721="augmented")))</f>
        <v>4.0807797221076886E-2</v>
      </c>
      <c r="O13" s="7">
        <f>COUNTIFS(all_runs!$B$2:$B$721,$I13,all_runs!$E$2:$E$721,$J13,all_runs!$H$2:$H$721,$K13,all_runs!$J$2:$J$721,$L13,all_runs!$AB$2:$AB$721,"augmented")</f>
        <v>20</v>
      </c>
    </row>
    <row r="14" spans="1:15" ht="28.8" x14ac:dyDescent="0.3">
      <c r="A14" s="5" t="s">
        <v>38</v>
      </c>
      <c r="B14" s="5" t="s">
        <v>82</v>
      </c>
      <c r="C14" s="5" t="s">
        <v>42</v>
      </c>
      <c r="D14" s="5" t="s">
        <v>71</v>
      </c>
      <c r="E14" s="6">
        <f>AVERAGEIFS(all_runs!$S$2:$S$721,all_runs!$B$2:$B$721,$A14,all_runs!$E$2:$E$721,$B14,all_runs!$H$2:$H$721,$C14,all_runs!$J$2:$J$721,$D14,all_runs!$AB$2:$AB$721,"&lt;&gt;augmented")</f>
        <v>0.67590087481226857</v>
      </c>
      <c r="F14" s="6" cm="1">
        <f t="array" ref="F14">_xlfn.STDEV.S(_xlfn._xlws.FILTER(all_runs!$S$2:$S$721,(all_runs!$B$2:$B$721=$A14)*(all_runs!$E$2:$E$721=$B14)*(all_runs!$H$2:$H$721=$C14)*(all_runs!$J$2:$J$721=$D14)*(all_runs!$AB$2:$AB$721&lt;&gt;"augmented")))</f>
        <v>2.6383569126190137E-2</v>
      </c>
      <c r="G14" s="7">
        <f>COUNTIFS(all_runs!$B$2:$B$721,$A14,all_runs!$E$2:$E$721,$B14,all_runs!$H$2:$H$721,$C14,all_runs!$J$2:$J$721,$D14,all_runs!$AB$2:$AB$721,"&lt;&gt;augmented")</f>
        <v>20</v>
      </c>
      <c r="H14" s="5"/>
      <c r="I14" s="5" t="s">
        <v>38</v>
      </c>
      <c r="J14" s="5" t="s">
        <v>82</v>
      </c>
      <c r="K14" s="5" t="s">
        <v>42</v>
      </c>
      <c r="L14" s="5" t="s">
        <v>71</v>
      </c>
      <c r="M14" s="8">
        <f>AVERAGEIFS(all_runs!$S$2:$S$721,all_runs!$B$2:$B$721,$I14,all_runs!$E$2:$E$721,$J14,all_runs!$H$2:$H$721,$K14,all_runs!$J$2:$J$721,$L14,all_runs!$AB$2:$AB$721,"augmented")</f>
        <v>0.83381033425587925</v>
      </c>
      <c r="N14" s="6" cm="1">
        <f t="array" ref="N14">_xlfn.STDEV.S(_xlfn._xlws.FILTER(all_runs!$S$2:$S$721,(all_runs!$B$2:$B$721=$I14)*(all_runs!$E$2:$E$721=$J14)*(all_runs!$H$2:$H$721=$K14)*(all_runs!$J$2:$J$721=$L14)*(all_runs!$AB$2:$AB$721="augmented")))</f>
        <v>2.9383834019379187E-2</v>
      </c>
      <c r="O14" s="7">
        <f>COUNTIFS(all_runs!$B$2:$B$721,$I14,all_runs!$E$2:$E$721,$J14,all_runs!$H$2:$H$721,$K14,all_runs!$J$2:$J$721,$L14,all_runs!$AB$2:$AB$721,"augmented")</f>
        <v>20</v>
      </c>
    </row>
    <row r="15" spans="1:15" ht="28.8" x14ac:dyDescent="0.3">
      <c r="A15" s="5" t="s">
        <v>116</v>
      </c>
      <c r="B15" s="5" t="s">
        <v>39</v>
      </c>
      <c r="C15" s="5" t="s">
        <v>42</v>
      </c>
      <c r="D15" s="5" t="s">
        <v>44</v>
      </c>
      <c r="E15" s="9">
        <f>AVERAGEIFS(all_runs!$S$2:$S$721,all_runs!$B$2:$B$721,$A15,all_runs!$E$2:$E$721,$B15,all_runs!$H$2:$H$721,$C15,all_runs!$J$2:$J$721,$D15,all_runs!$AB$2:$AB$721,"&lt;&gt;augmented")</f>
        <v>0.15411441848709345</v>
      </c>
      <c r="F15" s="6" cm="1">
        <f t="array" ref="F15">_xlfn.STDEV.S(_xlfn._xlws.FILTER(all_runs!$S$2:$S$721,(all_runs!$B$2:$B$721=$A15)*(all_runs!$E$2:$E$721=$B15)*(all_runs!$H$2:$H$721=$C15)*(all_runs!$J$2:$J$721=$D15)*(all_runs!$AB$2:$AB$721&lt;&gt;"augmented")))</f>
        <v>0.10154115201872872</v>
      </c>
      <c r="G15" s="7">
        <f>COUNTIFS(all_runs!$B$2:$B$721,$A15,all_runs!$E$2:$E$721,$B15,all_runs!$H$2:$H$721,$C15,all_runs!$J$2:$J$721,$D15,all_runs!$AB$2:$AB$721,"&lt;&gt;augmented")</f>
        <v>20</v>
      </c>
      <c r="H15" s="5"/>
      <c r="I15" s="5" t="s">
        <v>116</v>
      </c>
      <c r="J15" s="5" t="s">
        <v>39</v>
      </c>
      <c r="K15" s="5" t="s">
        <v>42</v>
      </c>
      <c r="L15" s="5" t="s">
        <v>44</v>
      </c>
      <c r="M15" s="6">
        <f>AVERAGEIFS(all_runs!$S$2:$S$721,all_runs!$B$2:$B$721,$I15,all_runs!$E$2:$E$721,$J15,all_runs!$H$2:$H$721,$K15,all_runs!$J$2:$J$721,$L15,all_runs!$AB$2:$AB$721,"augmented")</f>
        <v>0.73695572885520522</v>
      </c>
      <c r="N15" s="6" cm="1">
        <f t="array" ref="N15">_xlfn.STDEV.S(_xlfn._xlws.FILTER(all_runs!$S$2:$S$721,(all_runs!$B$2:$B$721=$I15)*(all_runs!$E$2:$E$721=$J15)*(all_runs!$H$2:$H$721=$K15)*(all_runs!$J$2:$J$721=$L15)*(all_runs!$AB$2:$AB$721="augmented")))</f>
        <v>6.6980846687133083E-2</v>
      </c>
      <c r="O15" s="7">
        <f>COUNTIFS(all_runs!$B$2:$B$721,$I15,all_runs!$E$2:$E$721,$J15,all_runs!$H$2:$H$721,$K15,all_runs!$J$2:$J$721,$L15,all_runs!$AB$2:$AB$721,"augmented")</f>
        <v>20</v>
      </c>
    </row>
    <row r="16" spans="1:15" ht="28.8" x14ac:dyDescent="0.3">
      <c r="A16" s="5" t="s">
        <v>116</v>
      </c>
      <c r="B16" s="5" t="s">
        <v>39</v>
      </c>
      <c r="C16" s="5" t="s">
        <v>42</v>
      </c>
      <c r="D16" s="5" t="s">
        <v>71</v>
      </c>
      <c r="E16" s="9">
        <f>AVERAGEIFS(all_runs!$S$2:$S$721,all_runs!$B$2:$B$721,$A16,all_runs!$E$2:$E$721,$B16,all_runs!$H$2:$H$721,$C16,all_runs!$J$2:$J$721,$D16,all_runs!$AB$2:$AB$721,"&lt;&gt;augmented")</f>
        <v>0.12325681675141879</v>
      </c>
      <c r="F16" s="6" cm="1">
        <f t="array" ref="F16">_xlfn.STDEV.S(_xlfn._xlws.FILTER(all_runs!$S$2:$S$721,(all_runs!$B$2:$B$721=$A16)*(all_runs!$E$2:$E$721=$B16)*(all_runs!$H$2:$H$721=$C16)*(all_runs!$J$2:$J$721=$D16)*(all_runs!$AB$2:$AB$721&lt;&gt;"augmented")))</f>
        <v>8.2926230339826559E-2</v>
      </c>
      <c r="G16" s="7">
        <f>COUNTIFS(all_runs!$B$2:$B$721,$A16,all_runs!$E$2:$E$721,$B16,all_runs!$H$2:$H$721,$C16,all_runs!$J$2:$J$721,$D16,all_runs!$AB$2:$AB$721,"&lt;&gt;augmented")</f>
        <v>20</v>
      </c>
      <c r="H16" s="5"/>
      <c r="I16" s="5" t="s">
        <v>116</v>
      </c>
      <c r="J16" s="5" t="s">
        <v>39</v>
      </c>
      <c r="K16" s="5" t="s">
        <v>42</v>
      </c>
      <c r="L16" s="5" t="s">
        <v>71</v>
      </c>
      <c r="M16" s="6">
        <f>AVERAGEIFS(all_runs!$S$2:$S$721,all_runs!$B$2:$B$721,$I16,all_runs!$E$2:$E$721,$J16,all_runs!$H$2:$H$721,$K16,all_runs!$J$2:$J$721,$L16,all_runs!$AB$2:$AB$721,"augmented")</f>
        <v>0.76971408913103212</v>
      </c>
      <c r="N16" s="6" cm="1">
        <f t="array" ref="N16">_xlfn.STDEV.S(_xlfn._xlws.FILTER(all_runs!$S$2:$S$721,(all_runs!$B$2:$B$721=$I16)*(all_runs!$E$2:$E$721=$J16)*(all_runs!$H$2:$H$721=$K16)*(all_runs!$J$2:$J$721=$L16)*(all_runs!$AB$2:$AB$721="augmented")))</f>
        <v>5.5373507491851402E-2</v>
      </c>
      <c r="O16" s="7">
        <f>COUNTIFS(all_runs!$B$2:$B$721,$I16,all_runs!$E$2:$E$721,$J16,all_runs!$H$2:$H$721,$K16,all_runs!$J$2:$J$721,$L16,all_runs!$AB$2:$AB$721,"augmented")</f>
        <v>20</v>
      </c>
    </row>
    <row r="17" spans="1:15" ht="28.8" x14ac:dyDescent="0.3">
      <c r="A17" s="5" t="s">
        <v>116</v>
      </c>
      <c r="B17" s="5" t="s">
        <v>43</v>
      </c>
      <c r="C17" s="5" t="s">
        <v>42</v>
      </c>
      <c r="D17" s="5" t="s">
        <v>44</v>
      </c>
      <c r="E17" s="6">
        <f>AVERAGEIFS(all_runs!$S$2:$S$721,all_runs!$B$2:$B$721,$A17,all_runs!$E$2:$E$721,$B17,all_runs!$H$2:$H$721,$C17,all_runs!$J$2:$J$721,$D17,all_runs!$AB$2:$AB$721,"&lt;&gt;augmented")</f>
        <v>0.61416935802195582</v>
      </c>
      <c r="F17" s="6" cm="1">
        <f t="array" ref="F17">_xlfn.STDEV.S(_xlfn._xlws.FILTER(all_runs!$S$2:$S$721,(all_runs!$B$2:$B$721=$A17)*(all_runs!$E$2:$E$721=$B17)*(all_runs!$H$2:$H$721=$C17)*(all_runs!$J$2:$J$721=$D17)*(all_runs!$AB$2:$AB$721&lt;&gt;"augmented")))</f>
        <v>4.4373754087589465E-2</v>
      </c>
      <c r="G17" s="7">
        <f>COUNTIFS(all_runs!$B$2:$B$721,$A17,all_runs!$E$2:$E$721,$B17,all_runs!$H$2:$H$721,$C17,all_runs!$J$2:$J$721,$D17,all_runs!$AB$2:$AB$721,"&lt;&gt;augmented")</f>
        <v>20</v>
      </c>
      <c r="H17" s="5"/>
      <c r="I17" s="5" t="s">
        <v>116</v>
      </c>
      <c r="J17" s="5" t="s">
        <v>43</v>
      </c>
      <c r="K17" s="5" t="s">
        <v>42</v>
      </c>
      <c r="L17" s="5" t="s">
        <v>44</v>
      </c>
      <c r="M17" s="6">
        <f>AVERAGEIFS(all_runs!$S$2:$S$721,all_runs!$B$2:$B$721,$I17,all_runs!$E$2:$E$721,$J17,all_runs!$H$2:$H$721,$K17,all_runs!$J$2:$J$721,$L17,all_runs!$AB$2:$AB$721,"augmented")</f>
        <v>0.77353328052547465</v>
      </c>
      <c r="N17" s="6" cm="1">
        <f t="array" ref="N17">_xlfn.STDEV.S(_xlfn._xlws.FILTER(all_runs!$S$2:$S$721,(all_runs!$B$2:$B$721=$I17)*(all_runs!$E$2:$E$721=$J17)*(all_runs!$H$2:$H$721=$K17)*(all_runs!$J$2:$J$721=$L17)*(all_runs!$AB$2:$AB$721="augmented")))</f>
        <v>3.8813985653760465E-2</v>
      </c>
      <c r="O17" s="7">
        <f>COUNTIFS(all_runs!$B$2:$B$721,$I17,all_runs!$E$2:$E$721,$J17,all_runs!$H$2:$H$721,$K17,all_runs!$J$2:$J$721,$L17,all_runs!$AB$2:$AB$721,"augmented")</f>
        <v>20</v>
      </c>
    </row>
    <row r="18" spans="1:15" ht="28.8" x14ac:dyDescent="0.3">
      <c r="A18" s="5" t="s">
        <v>116</v>
      </c>
      <c r="B18" s="5" t="s">
        <v>43</v>
      </c>
      <c r="C18" s="5" t="s">
        <v>42</v>
      </c>
      <c r="D18" s="5" t="s">
        <v>71</v>
      </c>
      <c r="E18" s="6">
        <f>AVERAGEIFS(all_runs!$S$2:$S$721,all_runs!$B$2:$B$721,$A18,all_runs!$E$2:$E$721,$B18,all_runs!$H$2:$H$721,$C18,all_runs!$J$2:$J$721,$D18,all_runs!$AB$2:$AB$721,"&lt;&gt;augmented")</f>
        <v>0.61517162073196885</v>
      </c>
      <c r="F18" s="6" cm="1">
        <f t="array" ref="F18">_xlfn.STDEV.S(_xlfn._xlws.FILTER(all_runs!$S$2:$S$721,(all_runs!$B$2:$B$721=$A18)*(all_runs!$E$2:$E$721=$B18)*(all_runs!$H$2:$H$721=$C18)*(all_runs!$J$2:$J$721=$D18)*(all_runs!$AB$2:$AB$721&lt;&gt;"augmented")))</f>
        <v>5.1091649540060895E-2</v>
      </c>
      <c r="G18" s="7">
        <f>COUNTIFS(all_runs!$B$2:$B$721,$A18,all_runs!$E$2:$E$721,$B18,all_runs!$H$2:$H$721,$C18,all_runs!$J$2:$J$721,$D18,all_runs!$AB$2:$AB$721,"&lt;&gt;augmented")</f>
        <v>20</v>
      </c>
      <c r="H18" s="5"/>
      <c r="I18" s="5" t="s">
        <v>116</v>
      </c>
      <c r="J18" s="5" t="s">
        <v>43</v>
      </c>
      <c r="K18" s="5" t="s">
        <v>42</v>
      </c>
      <c r="L18" s="5" t="s">
        <v>71</v>
      </c>
      <c r="M18" s="6">
        <f>AVERAGEIFS(all_runs!$S$2:$S$721,all_runs!$B$2:$B$721,$I18,all_runs!$E$2:$E$721,$J18,all_runs!$H$2:$H$721,$K18,all_runs!$J$2:$J$721,$L18,all_runs!$AB$2:$AB$721,"augmented")</f>
        <v>0.79047173990913211</v>
      </c>
      <c r="N18" s="6" cm="1">
        <f t="array" ref="N18">_xlfn.STDEV.S(_xlfn._xlws.FILTER(all_runs!$S$2:$S$721,(all_runs!$B$2:$B$721=$I18)*(all_runs!$E$2:$E$721=$J18)*(all_runs!$H$2:$H$721=$K18)*(all_runs!$J$2:$J$721=$L18)*(all_runs!$AB$2:$AB$721="augmented")))</f>
        <v>2.7865441040868608E-2</v>
      </c>
      <c r="O18" s="7">
        <f>COUNTIFS(all_runs!$B$2:$B$721,$I18,all_runs!$E$2:$E$721,$J18,all_runs!$H$2:$H$721,$K18,all_runs!$J$2:$J$721,$L18,all_runs!$AB$2:$AB$721,"augmented")</f>
        <v>20</v>
      </c>
    </row>
    <row r="19" spans="1:15" ht="28.8" x14ac:dyDescent="0.3">
      <c r="A19" s="5" t="s">
        <v>116</v>
      </c>
      <c r="B19" s="5" t="s">
        <v>82</v>
      </c>
      <c r="C19" s="5" t="s">
        <v>42</v>
      </c>
      <c r="D19" s="5" t="s">
        <v>44</v>
      </c>
      <c r="E19" s="6">
        <f>AVERAGEIFS(all_runs!$S$2:$S$721,all_runs!$B$2:$B$721,$A19,all_runs!$E$2:$E$721,$B19,all_runs!$H$2:$H$721,$C19,all_runs!$J$2:$J$721,$D19,all_runs!$AB$2:$AB$721,"&lt;&gt;augmented")</f>
        <v>0.54785808227993882</v>
      </c>
      <c r="F19" s="6" cm="1">
        <f t="array" ref="F19">_xlfn.STDEV.S(_xlfn._xlws.FILTER(all_runs!$S$2:$S$721,(all_runs!$B$2:$B$721=$A19)*(all_runs!$E$2:$E$721=$B19)*(all_runs!$H$2:$H$721=$C19)*(all_runs!$J$2:$J$721=$D19)*(all_runs!$AB$2:$AB$721&lt;&gt;"augmented")))</f>
        <v>0.14481527156342811</v>
      </c>
      <c r="G19" s="7">
        <f>COUNTIFS(all_runs!$B$2:$B$721,$A19,all_runs!$E$2:$E$721,$B19,all_runs!$H$2:$H$721,$C19,all_runs!$J$2:$J$721,$D19,all_runs!$AB$2:$AB$721,"&lt;&gt;augmented")</f>
        <v>20</v>
      </c>
      <c r="H19" s="5"/>
      <c r="I19" s="5" t="s">
        <v>116</v>
      </c>
      <c r="J19" s="5" t="s">
        <v>82</v>
      </c>
      <c r="K19" s="5" t="s">
        <v>42</v>
      </c>
      <c r="L19" s="5" t="s">
        <v>44</v>
      </c>
      <c r="M19" s="6">
        <f>AVERAGEIFS(all_runs!$S$2:$S$721,all_runs!$B$2:$B$721,$I19,all_runs!$E$2:$E$721,$J19,all_runs!$H$2:$H$721,$K19,all_runs!$J$2:$J$721,$L19,all_runs!$AB$2:$AB$721,"augmented")</f>
        <v>0.74074226950926247</v>
      </c>
      <c r="N19" s="6" cm="1">
        <f t="array" ref="N19">_xlfn.STDEV.S(_xlfn._xlws.FILTER(all_runs!$S$2:$S$721,(all_runs!$B$2:$B$721=$I19)*(all_runs!$E$2:$E$721=$J19)*(all_runs!$H$2:$H$721=$K19)*(all_runs!$J$2:$J$721=$L19)*(all_runs!$AB$2:$AB$721="augmented")))</f>
        <v>5.7028563379726782E-2</v>
      </c>
      <c r="O19" s="7">
        <f>COUNTIFS(all_runs!$B$2:$B$721,$I19,all_runs!$E$2:$E$721,$J19,all_runs!$H$2:$H$721,$K19,all_runs!$J$2:$J$721,$L19,all_runs!$AB$2:$AB$721,"augmented")</f>
        <v>20</v>
      </c>
    </row>
    <row r="20" spans="1:15" ht="28.8" x14ac:dyDescent="0.3">
      <c r="A20" s="5" t="s">
        <v>116</v>
      </c>
      <c r="B20" s="5" t="s">
        <v>82</v>
      </c>
      <c r="C20" s="5" t="s">
        <v>42</v>
      </c>
      <c r="D20" s="5" t="s">
        <v>71</v>
      </c>
      <c r="E20" s="6">
        <f>AVERAGEIFS(all_runs!$S$2:$S$721,all_runs!$B$2:$B$721,$A20,all_runs!$E$2:$E$721,$B20,all_runs!$H$2:$H$721,$C20,all_runs!$J$2:$J$721,$D20,all_runs!$AB$2:$AB$721,"&lt;&gt;augmented")</f>
        <v>0.56688176685431979</v>
      </c>
      <c r="F20" s="6" cm="1">
        <f t="array" ref="F20">_xlfn.STDEV.S(_xlfn._xlws.FILTER(all_runs!$S$2:$S$721,(all_runs!$B$2:$B$721=$A20)*(all_runs!$E$2:$E$721=$B20)*(all_runs!$H$2:$H$721=$C20)*(all_runs!$J$2:$J$721=$D20)*(all_runs!$AB$2:$AB$721&lt;&gt;"augmented")))</f>
        <v>6.7641855685435251E-2</v>
      </c>
      <c r="G20" s="7">
        <f>COUNTIFS(all_runs!$B$2:$B$721,$A20,all_runs!$E$2:$E$721,$B20,all_runs!$H$2:$H$721,$C20,all_runs!$J$2:$J$721,$D20,all_runs!$AB$2:$AB$721,"&lt;&gt;augmented")</f>
        <v>20</v>
      </c>
      <c r="H20" s="5"/>
      <c r="I20" s="5" t="s">
        <v>116</v>
      </c>
      <c r="J20" s="5" t="s">
        <v>82</v>
      </c>
      <c r="K20" s="5" t="s">
        <v>42</v>
      </c>
      <c r="L20" s="5" t="s">
        <v>71</v>
      </c>
      <c r="M20" s="6">
        <f>AVERAGEIFS(all_runs!$S$2:$S$721,all_runs!$B$2:$B$721,$I20,all_runs!$E$2:$E$721,$J20,all_runs!$H$2:$H$721,$K20,all_runs!$J$2:$J$721,$L20,all_runs!$AB$2:$AB$721,"augmented")</f>
        <v>0.75413443293188775</v>
      </c>
      <c r="N20" s="6" cm="1">
        <f t="array" ref="N20">_xlfn.STDEV.S(_xlfn._xlws.FILTER(all_runs!$S$2:$S$721,(all_runs!$B$2:$B$721=$I20)*(all_runs!$E$2:$E$721=$J20)*(all_runs!$H$2:$H$721=$K20)*(all_runs!$J$2:$J$721=$L20)*(all_runs!$AB$2:$AB$721="augmented")))</f>
        <v>5.9552645069235514E-2</v>
      </c>
      <c r="O20" s="7">
        <f>COUNTIFS(all_runs!$B$2:$B$721,$I20,all_runs!$E$2:$E$721,$J20,all_runs!$H$2:$H$721,$K20,all_runs!$J$2:$J$721,$L20,all_runs!$AB$2:$AB$721,"augmented")</f>
        <v>20</v>
      </c>
    </row>
    <row r="21" spans="1:15" ht="14.4" x14ac:dyDescent="0.3"/>
    <row r="22" spans="1:15" ht="14.4" x14ac:dyDescent="0.3"/>
    <row r="23" spans="1:15" ht="14.4" x14ac:dyDescent="0.3"/>
    <row r="24" spans="1:15" ht="14.4" x14ac:dyDescent="0.3"/>
    <row r="25" spans="1:15" ht="14.4" x14ac:dyDescent="0.3"/>
    <row r="26" spans="1:15" ht="14.4" x14ac:dyDescent="0.3"/>
    <row r="27" spans="1:15" ht="14.4" x14ac:dyDescent="0.3"/>
    <row r="28" spans="1:15" ht="14.4" x14ac:dyDescent="0.3"/>
    <row r="29" spans="1:15" ht="14.4" x14ac:dyDescent="0.3"/>
    <row r="30" spans="1:15" ht="14.4" x14ac:dyDescent="0.3"/>
    <row r="31" spans="1:15" ht="14.4" x14ac:dyDescent="0.3"/>
    <row r="32" spans="1:15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G1"/>
    <mergeCell ref="I1:O1"/>
  </mergeCells>
  <pageMargins left="0.75" right="0.75" top="1" bottom="1" header="0" footer="0"/>
  <pageSetup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1000"/>
  <sheetViews>
    <sheetView topLeftCell="J1" workbookViewId="0">
      <selection activeCell="S165" sqref="S165"/>
    </sheetView>
  </sheetViews>
  <sheetFormatPr defaultColWidth="14.44140625" defaultRowHeight="15" customHeight="1" x14ac:dyDescent="0.3"/>
  <cols>
    <col min="1" max="1" width="19.109375" bestFit="1" customWidth="1"/>
    <col min="2" max="2" width="28.44140625" bestFit="1" customWidth="1"/>
    <col min="3" max="3" width="15.33203125" customWidth="1"/>
    <col min="4" max="4" width="28.44140625" bestFit="1" customWidth="1"/>
    <col min="5" max="5" width="17.6640625" bestFit="1" customWidth="1"/>
    <col min="6" max="6" width="32.33203125" bestFit="1" customWidth="1"/>
    <col min="7" max="9" width="8.6640625" customWidth="1"/>
    <col min="10" max="10" width="28" bestFit="1" customWidth="1"/>
    <col min="11" max="26" width="8.6640625" customWidth="1"/>
    <col min="27" max="27" width="19.77734375" bestFit="1" customWidth="1"/>
    <col min="28" max="28" width="8.6640625" customWidth="1"/>
  </cols>
  <sheetData>
    <row r="1" spans="1:2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20</v>
      </c>
      <c r="T1" s="1" t="s">
        <v>22</v>
      </c>
      <c r="U1" s="1" t="s">
        <v>23</v>
      </c>
      <c r="V1" s="1" t="s">
        <v>24</v>
      </c>
      <c r="W1" s="1" t="s">
        <v>26</v>
      </c>
      <c r="X1" s="1" t="s">
        <v>29</v>
      </c>
      <c r="Y1" s="1" t="s">
        <v>30</v>
      </c>
      <c r="Z1" s="1" t="s">
        <v>31</v>
      </c>
      <c r="AA1" s="1" t="s">
        <v>34</v>
      </c>
      <c r="AB1" s="1" t="s">
        <v>27</v>
      </c>
    </row>
    <row r="2" spans="1:28" ht="14.4" hidden="1" x14ac:dyDescent="0.3">
      <c r="A2" s="2" t="s">
        <v>37</v>
      </c>
      <c r="B2" s="2" t="s">
        <v>38</v>
      </c>
      <c r="C2" s="2" t="s">
        <v>41</v>
      </c>
      <c r="D2" s="2" t="s">
        <v>38</v>
      </c>
      <c r="E2" s="2" t="s">
        <v>43</v>
      </c>
      <c r="F2" s="2" t="s">
        <v>46</v>
      </c>
      <c r="G2" s="2" t="s">
        <v>42</v>
      </c>
      <c r="H2" s="2" t="s">
        <v>42</v>
      </c>
      <c r="I2" s="2" t="s">
        <v>47</v>
      </c>
      <c r="J2" s="2" t="s">
        <v>44</v>
      </c>
      <c r="K2" s="2" t="s">
        <v>48</v>
      </c>
      <c r="L2" s="2" t="s">
        <v>50</v>
      </c>
      <c r="M2" s="2" t="s">
        <v>52</v>
      </c>
      <c r="N2" s="2" t="s">
        <v>53</v>
      </c>
      <c r="O2" s="2" t="s">
        <v>55</v>
      </c>
      <c r="P2" s="2" t="s">
        <v>56</v>
      </c>
      <c r="Q2" s="2">
        <v>42</v>
      </c>
      <c r="R2" s="2" t="b">
        <v>1</v>
      </c>
      <c r="S2" s="2">
        <v>0.58823529411764708</v>
      </c>
      <c r="T2" s="2">
        <v>0.54487179487179482</v>
      </c>
      <c r="U2" s="2">
        <v>0.63909774436090228</v>
      </c>
      <c r="V2" s="2" t="s">
        <v>63</v>
      </c>
      <c r="W2" s="2" t="s">
        <v>65</v>
      </c>
      <c r="X2" s="2" t="s">
        <v>66</v>
      </c>
      <c r="Y2" s="2" t="b">
        <v>0</v>
      </c>
      <c r="Z2" s="2" t="s">
        <v>67</v>
      </c>
      <c r="AA2" s="2">
        <v>121.8</v>
      </c>
    </row>
    <row r="3" spans="1:28" ht="14.4" hidden="1" x14ac:dyDescent="0.3">
      <c r="A3" s="2" t="s">
        <v>37</v>
      </c>
      <c r="B3" s="2" t="s">
        <v>38</v>
      </c>
      <c r="C3" s="2" t="s">
        <v>41</v>
      </c>
      <c r="D3" s="2" t="s">
        <v>38</v>
      </c>
      <c r="E3" s="2" t="s">
        <v>43</v>
      </c>
      <c r="F3" s="2" t="s">
        <v>46</v>
      </c>
      <c r="G3" s="2" t="s">
        <v>42</v>
      </c>
      <c r="H3" s="2" t="s">
        <v>42</v>
      </c>
      <c r="I3" s="2" t="s">
        <v>47</v>
      </c>
      <c r="J3" s="2" t="s">
        <v>44</v>
      </c>
      <c r="K3" s="2" t="s">
        <v>70</v>
      </c>
      <c r="L3" s="2" t="s">
        <v>50</v>
      </c>
      <c r="M3" s="2" t="s">
        <v>52</v>
      </c>
      <c r="N3" s="2" t="s">
        <v>72</v>
      </c>
      <c r="O3" s="2" t="s">
        <v>73</v>
      </c>
      <c r="P3" s="2" t="s">
        <v>56</v>
      </c>
      <c r="Q3" s="2">
        <v>43</v>
      </c>
      <c r="R3" s="2" t="b">
        <v>1</v>
      </c>
      <c r="S3" s="2">
        <v>0.61631419939577037</v>
      </c>
      <c r="T3" s="2">
        <v>0.5730337078651685</v>
      </c>
      <c r="U3" s="2">
        <v>0.66666666666666663</v>
      </c>
      <c r="V3" s="2" t="s">
        <v>63</v>
      </c>
      <c r="W3" s="2" t="s">
        <v>75</v>
      </c>
      <c r="X3" s="2" t="s">
        <v>76</v>
      </c>
      <c r="Y3" s="2" t="b">
        <v>0</v>
      </c>
      <c r="Z3" s="2" t="s">
        <v>67</v>
      </c>
      <c r="AA3" s="2">
        <v>108.2</v>
      </c>
    </row>
    <row r="4" spans="1:28" ht="14.4" hidden="1" x14ac:dyDescent="0.3">
      <c r="A4" s="2" t="s">
        <v>37</v>
      </c>
      <c r="B4" s="2" t="s">
        <v>38</v>
      </c>
      <c r="C4" s="2" t="s">
        <v>41</v>
      </c>
      <c r="D4" s="2" t="s">
        <v>38</v>
      </c>
      <c r="E4" s="2" t="s">
        <v>43</v>
      </c>
      <c r="F4" s="2" t="s">
        <v>46</v>
      </c>
      <c r="G4" s="2" t="s">
        <v>42</v>
      </c>
      <c r="H4" s="2" t="s">
        <v>42</v>
      </c>
      <c r="I4" s="2" t="s">
        <v>47</v>
      </c>
      <c r="J4" s="2" t="s">
        <v>44</v>
      </c>
      <c r="K4" s="2" t="s">
        <v>81</v>
      </c>
      <c r="L4" s="2" t="s">
        <v>50</v>
      </c>
      <c r="M4" s="2" t="s">
        <v>52</v>
      </c>
      <c r="N4" s="2" t="s">
        <v>83</v>
      </c>
      <c r="O4" s="2" t="s">
        <v>84</v>
      </c>
      <c r="P4" s="2" t="s">
        <v>56</v>
      </c>
      <c r="Q4" s="2">
        <v>44</v>
      </c>
      <c r="R4" s="2" t="b">
        <v>1</v>
      </c>
      <c r="S4" s="2">
        <v>0.58385093167701863</v>
      </c>
      <c r="T4" s="2">
        <v>0.54970760233918126</v>
      </c>
      <c r="U4" s="2">
        <v>0.62251655629139069</v>
      </c>
      <c r="V4" s="2" t="s">
        <v>63</v>
      </c>
      <c r="W4" s="2" t="s">
        <v>85</v>
      </c>
      <c r="X4" s="2" t="s">
        <v>87</v>
      </c>
      <c r="Y4" s="2" t="b">
        <v>0</v>
      </c>
      <c r="Z4" s="2" t="s">
        <v>67</v>
      </c>
      <c r="AA4" s="2">
        <v>111.2</v>
      </c>
    </row>
    <row r="5" spans="1:28" ht="14.4" hidden="1" x14ac:dyDescent="0.3">
      <c r="A5" s="2" t="s">
        <v>37</v>
      </c>
      <c r="B5" s="2" t="s">
        <v>38</v>
      </c>
      <c r="C5" s="2" t="s">
        <v>41</v>
      </c>
      <c r="D5" s="2" t="s">
        <v>38</v>
      </c>
      <c r="E5" s="2" t="s">
        <v>43</v>
      </c>
      <c r="F5" s="2" t="s">
        <v>46</v>
      </c>
      <c r="G5" s="2" t="s">
        <v>42</v>
      </c>
      <c r="H5" s="2" t="s">
        <v>42</v>
      </c>
      <c r="I5" s="2" t="s">
        <v>47</v>
      </c>
      <c r="J5" s="2" t="s">
        <v>44</v>
      </c>
      <c r="K5" s="2" t="s">
        <v>91</v>
      </c>
      <c r="L5" s="2" t="s">
        <v>50</v>
      </c>
      <c r="M5" s="2" t="s">
        <v>52</v>
      </c>
      <c r="N5" s="2" t="s">
        <v>92</v>
      </c>
      <c r="O5" s="2" t="s">
        <v>93</v>
      </c>
      <c r="P5" s="2" t="s">
        <v>56</v>
      </c>
      <c r="Q5" s="2">
        <v>45</v>
      </c>
      <c r="R5" s="2" t="b">
        <v>1</v>
      </c>
      <c r="S5" s="2">
        <v>0.62745098039215674</v>
      </c>
      <c r="T5" s="2">
        <v>0.60377358490566035</v>
      </c>
      <c r="U5" s="2">
        <v>0.65306122448979587</v>
      </c>
      <c r="V5" s="2" t="s">
        <v>63</v>
      </c>
      <c r="W5" s="2" t="s">
        <v>96</v>
      </c>
      <c r="X5" s="2" t="s">
        <v>97</v>
      </c>
      <c r="Y5" s="2" t="b">
        <v>0</v>
      </c>
      <c r="Z5" s="2" t="s">
        <v>67</v>
      </c>
      <c r="AA5" s="2">
        <v>111.2</v>
      </c>
    </row>
    <row r="6" spans="1:28" ht="14.4" hidden="1" x14ac:dyDescent="0.3">
      <c r="A6" s="2" t="s">
        <v>37</v>
      </c>
      <c r="B6" s="2" t="s">
        <v>38</v>
      </c>
      <c r="C6" s="2" t="s">
        <v>41</v>
      </c>
      <c r="D6" s="2" t="s">
        <v>38</v>
      </c>
      <c r="E6" s="2" t="s">
        <v>43</v>
      </c>
      <c r="F6" s="2" t="s">
        <v>46</v>
      </c>
      <c r="G6" s="2" t="s">
        <v>42</v>
      </c>
      <c r="H6" s="2" t="s">
        <v>42</v>
      </c>
      <c r="I6" s="2" t="s">
        <v>47</v>
      </c>
      <c r="J6" s="2" t="s">
        <v>44</v>
      </c>
      <c r="K6" s="2" t="s">
        <v>100</v>
      </c>
      <c r="L6" s="2" t="s">
        <v>50</v>
      </c>
      <c r="M6" s="2" t="s">
        <v>52</v>
      </c>
      <c r="N6" s="2" t="s">
        <v>102</v>
      </c>
      <c r="O6" s="2" t="s">
        <v>104</v>
      </c>
      <c r="P6" s="2" t="s">
        <v>56</v>
      </c>
      <c r="Q6" s="2">
        <v>46</v>
      </c>
      <c r="R6" s="2" t="b">
        <v>1</v>
      </c>
      <c r="S6" s="2">
        <v>0.63043478260869557</v>
      </c>
      <c r="T6" s="2">
        <v>0.60416666666666663</v>
      </c>
      <c r="U6" s="2">
        <v>0.65909090909090906</v>
      </c>
      <c r="V6" s="2" t="s">
        <v>63</v>
      </c>
      <c r="W6" s="2" t="s">
        <v>107</v>
      </c>
      <c r="X6" s="2" t="s">
        <v>108</v>
      </c>
      <c r="Y6" s="2" t="b">
        <v>0</v>
      </c>
      <c r="Z6" s="2" t="s">
        <v>67</v>
      </c>
      <c r="AA6" s="2">
        <v>107.8</v>
      </c>
    </row>
    <row r="7" spans="1:28" ht="14.4" hidden="1" x14ac:dyDescent="0.3">
      <c r="A7" s="2" t="s">
        <v>37</v>
      </c>
      <c r="B7" s="2" t="s">
        <v>38</v>
      </c>
      <c r="C7" s="2" t="s">
        <v>41</v>
      </c>
      <c r="D7" s="2" t="s">
        <v>38</v>
      </c>
      <c r="E7" s="2" t="s">
        <v>43</v>
      </c>
      <c r="F7" s="2" t="s">
        <v>46</v>
      </c>
      <c r="G7" s="2" t="s">
        <v>42</v>
      </c>
      <c r="H7" s="2" t="s">
        <v>42</v>
      </c>
      <c r="I7" s="2" t="s">
        <v>47</v>
      </c>
      <c r="J7" s="2" t="s">
        <v>44</v>
      </c>
      <c r="K7" s="2" t="s">
        <v>111</v>
      </c>
      <c r="L7" s="2" t="s">
        <v>50</v>
      </c>
      <c r="M7" s="2" t="s">
        <v>52</v>
      </c>
      <c r="N7" s="2" t="s">
        <v>112</v>
      </c>
      <c r="O7" s="2" t="s">
        <v>114</v>
      </c>
      <c r="P7" s="2" t="s">
        <v>56</v>
      </c>
      <c r="Q7" s="2">
        <v>47</v>
      </c>
      <c r="R7" s="2" t="b">
        <v>1</v>
      </c>
      <c r="S7" s="2">
        <v>0.62889518413597734</v>
      </c>
      <c r="T7" s="2">
        <v>0.6</v>
      </c>
      <c r="U7" s="2">
        <v>0.6607142857142857</v>
      </c>
      <c r="V7" s="2" t="s">
        <v>63</v>
      </c>
      <c r="W7" s="2" t="s">
        <v>117</v>
      </c>
      <c r="X7" s="2" t="s">
        <v>118</v>
      </c>
      <c r="Y7" s="2" t="b">
        <v>0</v>
      </c>
      <c r="Z7" s="2" t="s">
        <v>67</v>
      </c>
      <c r="AA7" s="2">
        <v>69.5</v>
      </c>
    </row>
    <row r="8" spans="1:28" ht="14.4" hidden="1" x14ac:dyDescent="0.3">
      <c r="A8" s="2" t="s">
        <v>37</v>
      </c>
      <c r="B8" s="2" t="s">
        <v>38</v>
      </c>
      <c r="C8" s="2" t="s">
        <v>41</v>
      </c>
      <c r="D8" s="2" t="s">
        <v>38</v>
      </c>
      <c r="E8" s="2" t="s">
        <v>43</v>
      </c>
      <c r="F8" s="2" t="s">
        <v>46</v>
      </c>
      <c r="G8" s="2" t="s">
        <v>42</v>
      </c>
      <c r="H8" s="2" t="s">
        <v>42</v>
      </c>
      <c r="I8" s="2" t="s">
        <v>47</v>
      </c>
      <c r="J8" s="2" t="s">
        <v>44</v>
      </c>
      <c r="K8" s="2" t="s">
        <v>123</v>
      </c>
      <c r="L8" s="2" t="s">
        <v>50</v>
      </c>
      <c r="M8" s="2" t="s">
        <v>52</v>
      </c>
      <c r="N8" s="2" t="s">
        <v>124</v>
      </c>
      <c r="O8" s="2" t="s">
        <v>125</v>
      </c>
      <c r="P8" s="2" t="s">
        <v>56</v>
      </c>
      <c r="Q8" s="2">
        <v>48</v>
      </c>
      <c r="R8" s="2" t="b">
        <v>1</v>
      </c>
      <c r="S8" s="2">
        <v>0.60493827160493829</v>
      </c>
      <c r="T8" s="2">
        <v>0.56321839080459768</v>
      </c>
      <c r="U8" s="2">
        <v>0.65333333333333332</v>
      </c>
      <c r="V8" s="2" t="s">
        <v>63</v>
      </c>
      <c r="W8" s="2" t="s">
        <v>128</v>
      </c>
      <c r="X8" s="2" t="s">
        <v>130</v>
      </c>
      <c r="Y8" s="2" t="b">
        <v>0</v>
      </c>
      <c r="Z8" s="2" t="s">
        <v>67</v>
      </c>
      <c r="AA8" s="2">
        <v>109.9</v>
      </c>
    </row>
    <row r="9" spans="1:28" ht="14.4" hidden="1" x14ac:dyDescent="0.3">
      <c r="A9" s="2" t="s">
        <v>37</v>
      </c>
      <c r="B9" s="2" t="s">
        <v>38</v>
      </c>
      <c r="C9" s="2" t="s">
        <v>41</v>
      </c>
      <c r="D9" s="2" t="s">
        <v>38</v>
      </c>
      <c r="E9" s="2" t="s">
        <v>43</v>
      </c>
      <c r="F9" s="2" t="s">
        <v>46</v>
      </c>
      <c r="G9" s="2" t="s">
        <v>42</v>
      </c>
      <c r="H9" s="2" t="s">
        <v>42</v>
      </c>
      <c r="I9" s="2" t="s">
        <v>47</v>
      </c>
      <c r="J9" s="2" t="s">
        <v>44</v>
      </c>
      <c r="K9" s="2" t="s">
        <v>132</v>
      </c>
      <c r="L9" s="2" t="s">
        <v>50</v>
      </c>
      <c r="M9" s="2" t="s">
        <v>52</v>
      </c>
      <c r="N9" s="2" t="s">
        <v>133</v>
      </c>
      <c r="O9" s="2" t="s">
        <v>134</v>
      </c>
      <c r="P9" s="2" t="s">
        <v>56</v>
      </c>
      <c r="Q9" s="2">
        <v>49</v>
      </c>
      <c r="R9" s="2" t="b">
        <v>1</v>
      </c>
      <c r="S9" s="2">
        <v>0.55238095238095231</v>
      </c>
      <c r="T9" s="2">
        <v>0.52727272727272723</v>
      </c>
      <c r="U9" s="2">
        <v>0.57999999999999996</v>
      </c>
      <c r="V9" s="2" t="s">
        <v>63</v>
      </c>
      <c r="W9" s="2" t="s">
        <v>139</v>
      </c>
      <c r="X9" s="2" t="s">
        <v>140</v>
      </c>
      <c r="Y9" s="2" t="b">
        <v>0</v>
      </c>
      <c r="Z9" s="2" t="s">
        <v>67</v>
      </c>
      <c r="AA9" s="2">
        <v>67.5</v>
      </c>
    </row>
    <row r="10" spans="1:28" ht="14.4" hidden="1" x14ac:dyDescent="0.3">
      <c r="A10" s="2" t="s">
        <v>37</v>
      </c>
      <c r="B10" s="2" t="s">
        <v>38</v>
      </c>
      <c r="C10" s="2" t="s">
        <v>41</v>
      </c>
      <c r="D10" s="2" t="s">
        <v>38</v>
      </c>
      <c r="E10" s="2" t="s">
        <v>43</v>
      </c>
      <c r="F10" s="2" t="s">
        <v>46</v>
      </c>
      <c r="G10" s="2" t="s">
        <v>42</v>
      </c>
      <c r="H10" s="2" t="s">
        <v>42</v>
      </c>
      <c r="I10" s="2" t="s">
        <v>47</v>
      </c>
      <c r="J10" s="2" t="s">
        <v>44</v>
      </c>
      <c r="K10" s="2" t="s">
        <v>142</v>
      </c>
      <c r="L10" s="2" t="s">
        <v>50</v>
      </c>
      <c r="M10" s="2" t="s">
        <v>52</v>
      </c>
      <c r="N10" s="2" t="s">
        <v>144</v>
      </c>
      <c r="O10" s="2" t="s">
        <v>145</v>
      </c>
      <c r="P10" s="2" t="s">
        <v>56</v>
      </c>
      <c r="Q10" s="2">
        <v>50</v>
      </c>
      <c r="R10" s="2" t="b">
        <v>1</v>
      </c>
      <c r="S10" s="2">
        <v>0.55319148936170215</v>
      </c>
      <c r="T10" s="2">
        <v>0.51655629139072845</v>
      </c>
      <c r="U10" s="2">
        <v>0.59541984732824427</v>
      </c>
      <c r="V10" s="2" t="s">
        <v>63</v>
      </c>
      <c r="W10" s="2" t="s">
        <v>148</v>
      </c>
      <c r="X10" s="2" t="s">
        <v>149</v>
      </c>
      <c r="Y10" s="2" t="b">
        <v>0</v>
      </c>
      <c r="Z10" s="2" t="s">
        <v>67</v>
      </c>
      <c r="AA10" s="2">
        <v>110.1</v>
      </c>
    </row>
    <row r="11" spans="1:28" ht="14.4" hidden="1" x14ac:dyDescent="0.3">
      <c r="A11" s="2" t="s">
        <v>37</v>
      </c>
      <c r="B11" s="2" t="s">
        <v>38</v>
      </c>
      <c r="C11" s="2" t="s">
        <v>41</v>
      </c>
      <c r="D11" s="2" t="s">
        <v>38</v>
      </c>
      <c r="E11" s="2" t="s">
        <v>43</v>
      </c>
      <c r="F11" s="2" t="s">
        <v>46</v>
      </c>
      <c r="G11" s="2" t="s">
        <v>42</v>
      </c>
      <c r="H11" s="2" t="s">
        <v>42</v>
      </c>
      <c r="I11" s="2" t="s">
        <v>47</v>
      </c>
      <c r="J11" s="2" t="s">
        <v>44</v>
      </c>
      <c r="K11" s="2" t="s">
        <v>153</v>
      </c>
      <c r="L11" s="2" t="s">
        <v>50</v>
      </c>
      <c r="M11" s="2" t="s">
        <v>52</v>
      </c>
      <c r="N11" s="2" t="s">
        <v>155</v>
      </c>
      <c r="O11" s="2" t="s">
        <v>156</v>
      </c>
      <c r="P11" s="2" t="s">
        <v>56</v>
      </c>
      <c r="Q11" s="2">
        <v>51</v>
      </c>
      <c r="R11" s="2" t="b">
        <v>1</v>
      </c>
      <c r="S11" s="2">
        <v>0.62987012987012991</v>
      </c>
      <c r="T11" s="2">
        <v>0.59146341463414631</v>
      </c>
      <c r="U11" s="2">
        <v>0.67361111111111116</v>
      </c>
      <c r="V11" s="2" t="s">
        <v>63</v>
      </c>
      <c r="W11" s="2" t="s">
        <v>157</v>
      </c>
      <c r="X11" s="2" t="s">
        <v>158</v>
      </c>
      <c r="Y11" s="2" t="b">
        <v>0</v>
      </c>
      <c r="Z11" s="2" t="s">
        <v>67</v>
      </c>
      <c r="AA11" s="2">
        <v>70.400000000000006</v>
      </c>
    </row>
    <row r="12" spans="1:28" ht="14.4" hidden="1" x14ac:dyDescent="0.3">
      <c r="A12" s="2" t="s">
        <v>37</v>
      </c>
      <c r="B12" s="2" t="s">
        <v>38</v>
      </c>
      <c r="C12" s="2" t="s">
        <v>41</v>
      </c>
      <c r="D12" s="2" t="s">
        <v>38</v>
      </c>
      <c r="E12" s="2" t="s">
        <v>43</v>
      </c>
      <c r="F12" s="2" t="s">
        <v>46</v>
      </c>
      <c r="G12" s="2" t="s">
        <v>42</v>
      </c>
      <c r="H12" s="2" t="s">
        <v>42</v>
      </c>
      <c r="I12" s="2" t="s">
        <v>47</v>
      </c>
      <c r="J12" s="2" t="s">
        <v>44</v>
      </c>
      <c r="K12" s="2" t="s">
        <v>163</v>
      </c>
      <c r="L12" s="2" t="s">
        <v>50</v>
      </c>
      <c r="M12" s="2" t="s">
        <v>52</v>
      </c>
      <c r="N12" s="2" t="s">
        <v>164</v>
      </c>
      <c r="O12" s="2" t="s">
        <v>165</v>
      </c>
      <c r="P12" s="2" t="s">
        <v>56</v>
      </c>
      <c r="Q12" s="2">
        <v>52</v>
      </c>
      <c r="R12" s="2" t="b">
        <v>1</v>
      </c>
      <c r="S12" s="2">
        <v>0.55270655270655267</v>
      </c>
      <c r="T12" s="2">
        <v>0.52717391304347827</v>
      </c>
      <c r="U12" s="2">
        <v>0.58083832335329344</v>
      </c>
      <c r="V12" s="2" t="s">
        <v>63</v>
      </c>
      <c r="W12" s="2" t="s">
        <v>169</v>
      </c>
      <c r="X12" s="2" t="s">
        <v>171</v>
      </c>
      <c r="Y12" s="2" t="b">
        <v>0</v>
      </c>
      <c r="Z12" s="2" t="s">
        <v>67</v>
      </c>
      <c r="AA12" s="2">
        <v>108.3</v>
      </c>
    </row>
    <row r="13" spans="1:28" ht="14.4" hidden="1" x14ac:dyDescent="0.3">
      <c r="A13" s="2" t="s">
        <v>37</v>
      </c>
      <c r="B13" s="2" t="s">
        <v>38</v>
      </c>
      <c r="C13" s="2" t="s">
        <v>41</v>
      </c>
      <c r="D13" s="2" t="s">
        <v>38</v>
      </c>
      <c r="E13" s="2" t="s">
        <v>43</v>
      </c>
      <c r="F13" s="2" t="s">
        <v>46</v>
      </c>
      <c r="G13" s="2" t="s">
        <v>42</v>
      </c>
      <c r="H13" s="2" t="s">
        <v>42</v>
      </c>
      <c r="I13" s="2" t="s">
        <v>47</v>
      </c>
      <c r="J13" s="2" t="s">
        <v>44</v>
      </c>
      <c r="K13" s="2" t="s">
        <v>172</v>
      </c>
      <c r="L13" s="2" t="s">
        <v>50</v>
      </c>
      <c r="M13" s="2" t="s">
        <v>52</v>
      </c>
      <c r="N13" s="2" t="s">
        <v>175</v>
      </c>
      <c r="O13" s="2" t="s">
        <v>176</v>
      </c>
      <c r="P13" s="2" t="s">
        <v>56</v>
      </c>
      <c r="Q13" s="2">
        <v>53</v>
      </c>
      <c r="R13" s="2" t="b">
        <v>1</v>
      </c>
      <c r="S13" s="2">
        <v>0.57605177993527512</v>
      </c>
      <c r="T13" s="2">
        <v>0.53293413173652693</v>
      </c>
      <c r="U13" s="2">
        <v>0.62676056338028174</v>
      </c>
      <c r="V13" s="2" t="s">
        <v>63</v>
      </c>
      <c r="W13" s="2" t="s">
        <v>179</v>
      </c>
      <c r="X13" s="2" t="s">
        <v>180</v>
      </c>
      <c r="Y13" s="2" t="b">
        <v>0</v>
      </c>
      <c r="Z13" s="2" t="s">
        <v>67</v>
      </c>
      <c r="AA13" s="2">
        <v>107.7</v>
      </c>
    </row>
    <row r="14" spans="1:28" ht="14.4" hidden="1" x14ac:dyDescent="0.3">
      <c r="A14" s="2" t="s">
        <v>37</v>
      </c>
      <c r="B14" s="2" t="s">
        <v>38</v>
      </c>
      <c r="C14" s="2" t="s">
        <v>41</v>
      </c>
      <c r="D14" s="2" t="s">
        <v>38</v>
      </c>
      <c r="E14" s="2" t="s">
        <v>43</v>
      </c>
      <c r="F14" s="2" t="s">
        <v>46</v>
      </c>
      <c r="G14" s="2" t="s">
        <v>42</v>
      </c>
      <c r="H14" s="2" t="s">
        <v>42</v>
      </c>
      <c r="I14" s="2" t="s">
        <v>47</v>
      </c>
      <c r="J14" s="2" t="s">
        <v>44</v>
      </c>
      <c r="K14" s="2" t="s">
        <v>181</v>
      </c>
      <c r="L14" s="2" t="s">
        <v>50</v>
      </c>
      <c r="M14" s="2" t="s">
        <v>52</v>
      </c>
      <c r="N14" s="2" t="s">
        <v>184</v>
      </c>
      <c r="O14" s="2" t="s">
        <v>185</v>
      </c>
      <c r="P14" s="2" t="s">
        <v>56</v>
      </c>
      <c r="Q14" s="2">
        <v>54</v>
      </c>
      <c r="R14" s="2" t="b">
        <v>1</v>
      </c>
      <c r="S14" s="2">
        <v>0.56310679611650483</v>
      </c>
      <c r="T14" s="2">
        <v>0.55414012738853502</v>
      </c>
      <c r="U14" s="2">
        <v>0.57236842105263153</v>
      </c>
      <c r="V14" s="2" t="s">
        <v>63</v>
      </c>
      <c r="W14" s="2" t="s">
        <v>187</v>
      </c>
      <c r="X14" s="2" t="s">
        <v>189</v>
      </c>
      <c r="Y14" s="2" t="b">
        <v>0</v>
      </c>
      <c r="Z14" s="2" t="s">
        <v>67</v>
      </c>
      <c r="AA14" s="2">
        <v>109.7</v>
      </c>
    </row>
    <row r="15" spans="1:28" ht="14.4" hidden="1" x14ac:dyDescent="0.3">
      <c r="A15" s="2" t="s">
        <v>37</v>
      </c>
      <c r="B15" s="2" t="s">
        <v>38</v>
      </c>
      <c r="C15" s="2" t="s">
        <v>41</v>
      </c>
      <c r="D15" s="2" t="s">
        <v>38</v>
      </c>
      <c r="E15" s="2" t="s">
        <v>43</v>
      </c>
      <c r="F15" s="2" t="s">
        <v>46</v>
      </c>
      <c r="G15" s="2" t="s">
        <v>42</v>
      </c>
      <c r="H15" s="2" t="s">
        <v>42</v>
      </c>
      <c r="I15" s="2" t="s">
        <v>47</v>
      </c>
      <c r="J15" s="2" t="s">
        <v>44</v>
      </c>
      <c r="K15" s="2" t="s">
        <v>190</v>
      </c>
      <c r="L15" s="2" t="s">
        <v>50</v>
      </c>
      <c r="M15" s="2" t="s">
        <v>52</v>
      </c>
      <c r="N15" s="2" t="s">
        <v>191</v>
      </c>
      <c r="O15" s="2" t="s">
        <v>192</v>
      </c>
      <c r="P15" s="2" t="s">
        <v>56</v>
      </c>
      <c r="Q15" s="2">
        <v>55</v>
      </c>
      <c r="R15" s="2" t="b">
        <v>1</v>
      </c>
      <c r="S15" s="2">
        <v>0.55786350148367958</v>
      </c>
      <c r="T15" s="2">
        <v>0.52222222222222225</v>
      </c>
      <c r="U15" s="2">
        <v>0.59872611464968151</v>
      </c>
      <c r="V15" s="2" t="s">
        <v>63</v>
      </c>
      <c r="W15" s="2" t="s">
        <v>195</v>
      </c>
      <c r="X15" s="2" t="s">
        <v>196</v>
      </c>
      <c r="Y15" s="2" t="b">
        <v>0</v>
      </c>
      <c r="Z15" s="2" t="s">
        <v>67</v>
      </c>
      <c r="AA15" s="2">
        <v>108.6</v>
      </c>
    </row>
    <row r="16" spans="1:28" ht="14.4" hidden="1" x14ac:dyDescent="0.3">
      <c r="A16" s="2" t="s">
        <v>37</v>
      </c>
      <c r="B16" s="2" t="s">
        <v>38</v>
      </c>
      <c r="C16" s="2" t="s">
        <v>41</v>
      </c>
      <c r="D16" s="2" t="s">
        <v>38</v>
      </c>
      <c r="E16" s="2" t="s">
        <v>43</v>
      </c>
      <c r="F16" s="2" t="s">
        <v>46</v>
      </c>
      <c r="G16" s="2" t="s">
        <v>42</v>
      </c>
      <c r="H16" s="2" t="s">
        <v>42</v>
      </c>
      <c r="I16" s="2" t="s">
        <v>47</v>
      </c>
      <c r="J16" s="2" t="s">
        <v>44</v>
      </c>
      <c r="K16" s="2" t="s">
        <v>199</v>
      </c>
      <c r="L16" s="2" t="s">
        <v>50</v>
      </c>
      <c r="M16" s="2" t="s">
        <v>52</v>
      </c>
      <c r="N16" s="2" t="s">
        <v>200</v>
      </c>
      <c r="O16" s="2" t="s">
        <v>201</v>
      </c>
      <c r="P16" s="2" t="s">
        <v>56</v>
      </c>
      <c r="Q16" s="2">
        <v>56</v>
      </c>
      <c r="R16" s="2" t="b">
        <v>1</v>
      </c>
      <c r="S16" s="2">
        <v>0.632996632996633</v>
      </c>
      <c r="T16" s="2">
        <v>0.62251655629139069</v>
      </c>
      <c r="U16" s="2">
        <v>0.64383561643835618</v>
      </c>
      <c r="V16" s="2" t="s">
        <v>63</v>
      </c>
      <c r="W16" s="2" t="s">
        <v>202</v>
      </c>
      <c r="X16" s="2" t="s">
        <v>203</v>
      </c>
      <c r="Y16" s="2" t="b">
        <v>0</v>
      </c>
      <c r="Z16" s="2" t="s">
        <v>67</v>
      </c>
      <c r="AA16" s="2">
        <v>110.6</v>
      </c>
    </row>
    <row r="17" spans="1:27" ht="14.4" hidden="1" x14ac:dyDescent="0.3">
      <c r="A17" s="2" t="s">
        <v>37</v>
      </c>
      <c r="B17" s="2" t="s">
        <v>38</v>
      </c>
      <c r="C17" s="2" t="s">
        <v>41</v>
      </c>
      <c r="D17" s="2" t="s">
        <v>38</v>
      </c>
      <c r="E17" s="2" t="s">
        <v>43</v>
      </c>
      <c r="F17" s="2" t="s">
        <v>46</v>
      </c>
      <c r="G17" s="2" t="s">
        <v>42</v>
      </c>
      <c r="H17" s="2" t="s">
        <v>42</v>
      </c>
      <c r="I17" s="2" t="s">
        <v>47</v>
      </c>
      <c r="J17" s="2" t="s">
        <v>44</v>
      </c>
      <c r="K17" s="2" t="s">
        <v>208</v>
      </c>
      <c r="L17" s="2" t="s">
        <v>50</v>
      </c>
      <c r="M17" s="2" t="s">
        <v>52</v>
      </c>
      <c r="N17" s="2" t="s">
        <v>209</v>
      </c>
      <c r="O17" s="2" t="s">
        <v>210</v>
      </c>
      <c r="P17" s="2" t="s">
        <v>56</v>
      </c>
      <c r="Q17" s="2">
        <v>57</v>
      </c>
      <c r="R17" s="2" t="b">
        <v>1</v>
      </c>
      <c r="S17" s="2">
        <v>0.60766961651917406</v>
      </c>
      <c r="T17" s="2">
        <v>0.57222222222222219</v>
      </c>
      <c r="U17" s="2">
        <v>0.64779874213836475</v>
      </c>
      <c r="V17" s="2" t="s">
        <v>63</v>
      </c>
      <c r="W17" s="2" t="s">
        <v>212</v>
      </c>
      <c r="X17" s="2" t="s">
        <v>214</v>
      </c>
      <c r="Y17" s="2" t="b">
        <v>0</v>
      </c>
      <c r="Z17" s="2" t="s">
        <v>67</v>
      </c>
      <c r="AA17" s="2">
        <v>107.5</v>
      </c>
    </row>
    <row r="18" spans="1:27" ht="14.4" hidden="1" x14ac:dyDescent="0.3">
      <c r="A18" s="2" t="s">
        <v>37</v>
      </c>
      <c r="B18" s="2" t="s">
        <v>38</v>
      </c>
      <c r="C18" s="2" t="s">
        <v>41</v>
      </c>
      <c r="D18" s="2" t="s">
        <v>38</v>
      </c>
      <c r="E18" s="2" t="s">
        <v>43</v>
      </c>
      <c r="F18" s="2" t="s">
        <v>46</v>
      </c>
      <c r="G18" s="2" t="s">
        <v>42</v>
      </c>
      <c r="H18" s="2" t="s">
        <v>42</v>
      </c>
      <c r="I18" s="2" t="s">
        <v>47</v>
      </c>
      <c r="J18" s="2" t="s">
        <v>44</v>
      </c>
      <c r="K18" s="2" t="s">
        <v>217</v>
      </c>
      <c r="L18" s="2" t="s">
        <v>50</v>
      </c>
      <c r="M18" s="2" t="s">
        <v>52</v>
      </c>
      <c r="N18" s="2" t="s">
        <v>218</v>
      </c>
      <c r="O18" s="2" t="s">
        <v>219</v>
      </c>
      <c r="P18" s="2" t="s">
        <v>56</v>
      </c>
      <c r="Q18" s="2">
        <v>58</v>
      </c>
      <c r="R18" s="2" t="b">
        <v>1</v>
      </c>
      <c r="S18" s="2">
        <v>0.55786350148367958</v>
      </c>
      <c r="T18" s="2">
        <v>0.51933701657458564</v>
      </c>
      <c r="U18" s="2">
        <v>0.60256410256410253</v>
      </c>
      <c r="V18" s="2" t="s">
        <v>63</v>
      </c>
      <c r="W18" s="2" t="s">
        <v>220</v>
      </c>
      <c r="X18" s="2" t="s">
        <v>221</v>
      </c>
      <c r="Y18" s="2" t="b">
        <v>0</v>
      </c>
      <c r="Z18" s="2" t="s">
        <v>67</v>
      </c>
      <c r="AA18" s="2">
        <v>120.3</v>
      </c>
    </row>
    <row r="19" spans="1:27" ht="14.4" hidden="1" x14ac:dyDescent="0.3">
      <c r="A19" s="2" t="s">
        <v>37</v>
      </c>
      <c r="B19" s="2" t="s">
        <v>38</v>
      </c>
      <c r="C19" s="2" t="s">
        <v>41</v>
      </c>
      <c r="D19" s="2" t="s">
        <v>38</v>
      </c>
      <c r="E19" s="2" t="s">
        <v>43</v>
      </c>
      <c r="F19" s="2" t="s">
        <v>46</v>
      </c>
      <c r="G19" s="2" t="s">
        <v>42</v>
      </c>
      <c r="H19" s="2" t="s">
        <v>42</v>
      </c>
      <c r="I19" s="2" t="s">
        <v>47</v>
      </c>
      <c r="J19" s="2" t="s">
        <v>44</v>
      </c>
      <c r="K19" s="2" t="s">
        <v>230</v>
      </c>
      <c r="L19" s="2" t="s">
        <v>50</v>
      </c>
      <c r="M19" s="2" t="s">
        <v>52</v>
      </c>
      <c r="N19" s="2" t="s">
        <v>231</v>
      </c>
      <c r="O19" s="2" t="s">
        <v>232</v>
      </c>
      <c r="P19" s="2" t="s">
        <v>56</v>
      </c>
      <c r="Q19" s="2">
        <v>59</v>
      </c>
      <c r="R19" s="2" t="b">
        <v>1</v>
      </c>
      <c r="S19" s="2">
        <v>0.55000000000000004</v>
      </c>
      <c r="T19" s="2">
        <v>0.52105263157894732</v>
      </c>
      <c r="U19" s="2">
        <v>0.58235294117647063</v>
      </c>
      <c r="V19" s="2" t="s">
        <v>63</v>
      </c>
      <c r="W19" s="2" t="s">
        <v>237</v>
      </c>
      <c r="X19" s="2" t="s">
        <v>238</v>
      </c>
      <c r="Y19" s="2" t="b">
        <v>0</v>
      </c>
      <c r="Z19" s="2" t="s">
        <v>67</v>
      </c>
      <c r="AA19" s="2">
        <v>104.5</v>
      </c>
    </row>
    <row r="20" spans="1:27" ht="14.4" hidden="1" x14ac:dyDescent="0.3">
      <c r="A20" s="2" t="s">
        <v>37</v>
      </c>
      <c r="B20" s="2" t="s">
        <v>38</v>
      </c>
      <c r="C20" s="2" t="s">
        <v>41</v>
      </c>
      <c r="D20" s="2" t="s">
        <v>38</v>
      </c>
      <c r="E20" s="2" t="s">
        <v>43</v>
      </c>
      <c r="F20" s="2" t="s">
        <v>46</v>
      </c>
      <c r="G20" s="2" t="s">
        <v>42</v>
      </c>
      <c r="H20" s="2" t="s">
        <v>42</v>
      </c>
      <c r="I20" s="2" t="s">
        <v>47</v>
      </c>
      <c r="J20" s="2" t="s">
        <v>44</v>
      </c>
      <c r="K20" s="2" t="s">
        <v>242</v>
      </c>
      <c r="L20" s="2" t="s">
        <v>50</v>
      </c>
      <c r="M20" s="2" t="s">
        <v>52</v>
      </c>
      <c r="N20" s="2" t="s">
        <v>244</v>
      </c>
      <c r="O20" s="2" t="s">
        <v>246</v>
      </c>
      <c r="P20" s="2" t="s">
        <v>56</v>
      </c>
      <c r="Q20" s="2">
        <v>60</v>
      </c>
      <c r="R20" s="2" t="b">
        <v>1</v>
      </c>
      <c r="S20" s="2">
        <v>0.53529411764705881</v>
      </c>
      <c r="T20" s="2">
        <v>0.49456521739130432</v>
      </c>
      <c r="U20" s="2">
        <v>0.58333333333333337</v>
      </c>
      <c r="V20" s="2" t="s">
        <v>63</v>
      </c>
      <c r="W20" s="2" t="s">
        <v>247</v>
      </c>
      <c r="X20" s="2" t="s">
        <v>248</v>
      </c>
      <c r="Y20" s="2" t="b">
        <v>0</v>
      </c>
      <c r="Z20" s="2" t="s">
        <v>67</v>
      </c>
      <c r="AA20" s="2">
        <v>67.099999999999994</v>
      </c>
    </row>
    <row r="21" spans="1:27" ht="15.75" hidden="1" customHeight="1" x14ac:dyDescent="0.3">
      <c r="A21" s="2" t="s">
        <v>37</v>
      </c>
      <c r="B21" s="2" t="s">
        <v>38</v>
      </c>
      <c r="C21" s="2" t="s">
        <v>41</v>
      </c>
      <c r="D21" s="2" t="s">
        <v>38</v>
      </c>
      <c r="E21" s="2" t="s">
        <v>43</v>
      </c>
      <c r="F21" s="2" t="s">
        <v>46</v>
      </c>
      <c r="G21" s="2" t="s">
        <v>42</v>
      </c>
      <c r="H21" s="2" t="s">
        <v>42</v>
      </c>
      <c r="I21" s="2" t="s">
        <v>47</v>
      </c>
      <c r="J21" s="2" t="s">
        <v>44</v>
      </c>
      <c r="K21" s="2" t="s">
        <v>253</v>
      </c>
      <c r="L21" s="2" t="s">
        <v>50</v>
      </c>
      <c r="M21" s="2" t="s">
        <v>52</v>
      </c>
      <c r="N21" s="2" t="s">
        <v>254</v>
      </c>
      <c r="O21" s="2" t="s">
        <v>255</v>
      </c>
      <c r="P21" s="2" t="s">
        <v>56</v>
      </c>
      <c r="Q21" s="2">
        <v>61</v>
      </c>
      <c r="R21" s="2" t="b">
        <v>1</v>
      </c>
      <c r="S21" s="2">
        <v>0.58745874587458735</v>
      </c>
      <c r="T21" s="2">
        <v>0.56687898089171973</v>
      </c>
      <c r="U21" s="2">
        <v>0.6095890410958904</v>
      </c>
      <c r="V21" s="2" t="s">
        <v>63</v>
      </c>
      <c r="W21" s="2" t="s">
        <v>258</v>
      </c>
      <c r="X21" s="2" t="s">
        <v>259</v>
      </c>
      <c r="Y21" s="2" t="b">
        <v>0</v>
      </c>
      <c r="Z21" s="2" t="s">
        <v>67</v>
      </c>
      <c r="AA21" s="2">
        <v>104.8</v>
      </c>
    </row>
    <row r="22" spans="1:27" ht="15.75" hidden="1" customHeight="1" x14ac:dyDescent="0.3">
      <c r="A22" s="2" t="s">
        <v>37</v>
      </c>
      <c r="B22" s="2" t="s">
        <v>38</v>
      </c>
      <c r="C22" s="2" t="s">
        <v>41</v>
      </c>
      <c r="D22" s="2" t="s">
        <v>38</v>
      </c>
      <c r="E22" s="2" t="s">
        <v>43</v>
      </c>
      <c r="F22" s="2" t="s">
        <v>46</v>
      </c>
      <c r="G22" s="2" t="s">
        <v>42</v>
      </c>
      <c r="H22" s="2" t="s">
        <v>42</v>
      </c>
      <c r="I22" s="2" t="s">
        <v>239</v>
      </c>
      <c r="J22" s="2" t="s">
        <v>71</v>
      </c>
      <c r="K22" s="2" t="s">
        <v>262</v>
      </c>
      <c r="L22" s="2" t="s">
        <v>263</v>
      </c>
      <c r="M22" s="2" t="s">
        <v>264</v>
      </c>
      <c r="N22" s="2" t="s">
        <v>265</v>
      </c>
      <c r="O22" s="2" t="s">
        <v>266</v>
      </c>
      <c r="P22" s="2" t="s">
        <v>267</v>
      </c>
      <c r="Q22" s="2">
        <v>42</v>
      </c>
      <c r="R22" s="2" t="b">
        <v>0</v>
      </c>
      <c r="S22" s="2">
        <v>0.61059190031152644</v>
      </c>
      <c r="T22" s="2">
        <v>0.59036144578313254</v>
      </c>
      <c r="U22" s="2">
        <v>0.63225806451612898</v>
      </c>
      <c r="V22" s="2" t="s">
        <v>63</v>
      </c>
      <c r="W22" s="2" t="s">
        <v>269</v>
      </c>
      <c r="X22" s="2" t="s">
        <v>271</v>
      </c>
      <c r="Y22" s="2" t="b">
        <v>0</v>
      </c>
      <c r="Z22" s="2" t="s">
        <v>67</v>
      </c>
      <c r="AA22" s="2">
        <v>108</v>
      </c>
    </row>
    <row r="23" spans="1:27" ht="15.75" hidden="1" customHeight="1" x14ac:dyDescent="0.3">
      <c r="A23" s="2" t="s">
        <v>37</v>
      </c>
      <c r="B23" s="2" t="s">
        <v>38</v>
      </c>
      <c r="C23" s="2" t="s">
        <v>41</v>
      </c>
      <c r="D23" s="2" t="s">
        <v>38</v>
      </c>
      <c r="E23" s="2" t="s">
        <v>43</v>
      </c>
      <c r="F23" s="2" t="s">
        <v>46</v>
      </c>
      <c r="G23" s="2" t="s">
        <v>42</v>
      </c>
      <c r="H23" s="2" t="s">
        <v>42</v>
      </c>
      <c r="I23" s="2" t="s">
        <v>239</v>
      </c>
      <c r="J23" s="2" t="s">
        <v>71</v>
      </c>
      <c r="K23" s="2" t="s">
        <v>274</v>
      </c>
      <c r="L23" s="2" t="s">
        <v>263</v>
      </c>
      <c r="M23" s="2" t="s">
        <v>264</v>
      </c>
      <c r="N23" s="2" t="s">
        <v>275</v>
      </c>
      <c r="O23" s="2" t="s">
        <v>276</v>
      </c>
      <c r="P23" s="2" t="s">
        <v>267</v>
      </c>
      <c r="Q23" s="2">
        <v>43</v>
      </c>
      <c r="R23" s="2" t="b">
        <v>0</v>
      </c>
      <c r="S23" s="2">
        <v>0.59800664451827246</v>
      </c>
      <c r="T23" s="2">
        <v>0.55900621118012417</v>
      </c>
      <c r="U23" s="2">
        <v>0.6428571428571429</v>
      </c>
      <c r="V23" s="2" t="s">
        <v>63</v>
      </c>
      <c r="W23" s="2" t="s">
        <v>278</v>
      </c>
      <c r="X23" s="2" t="s">
        <v>280</v>
      </c>
      <c r="Y23" s="2" t="b">
        <v>0</v>
      </c>
      <c r="Z23" s="2" t="s">
        <v>67</v>
      </c>
      <c r="AA23" s="2">
        <v>106.5</v>
      </c>
    </row>
    <row r="24" spans="1:27" ht="15.75" hidden="1" customHeight="1" x14ac:dyDescent="0.3">
      <c r="A24" s="2" t="s">
        <v>37</v>
      </c>
      <c r="B24" s="2" t="s">
        <v>38</v>
      </c>
      <c r="C24" s="2" t="s">
        <v>41</v>
      </c>
      <c r="D24" s="2" t="s">
        <v>38</v>
      </c>
      <c r="E24" s="2" t="s">
        <v>43</v>
      </c>
      <c r="F24" s="2" t="s">
        <v>46</v>
      </c>
      <c r="G24" s="2" t="s">
        <v>42</v>
      </c>
      <c r="H24" s="2" t="s">
        <v>42</v>
      </c>
      <c r="I24" s="2" t="s">
        <v>239</v>
      </c>
      <c r="J24" s="2" t="s">
        <v>71</v>
      </c>
      <c r="K24" s="2" t="s">
        <v>283</v>
      </c>
      <c r="L24" s="2" t="s">
        <v>263</v>
      </c>
      <c r="M24" s="2" t="s">
        <v>264</v>
      </c>
      <c r="N24" s="2" t="s">
        <v>284</v>
      </c>
      <c r="O24" s="2" t="s">
        <v>285</v>
      </c>
      <c r="P24" s="2" t="s">
        <v>267</v>
      </c>
      <c r="Q24" s="2">
        <v>44</v>
      </c>
      <c r="R24" s="2" t="b">
        <v>0</v>
      </c>
      <c r="S24" s="2">
        <v>0.62006079027355632</v>
      </c>
      <c r="T24" s="2">
        <v>0.57954545454545459</v>
      </c>
      <c r="U24" s="2">
        <v>0.66666666666666663</v>
      </c>
      <c r="V24" s="2" t="s">
        <v>63</v>
      </c>
      <c r="W24" s="2" t="s">
        <v>288</v>
      </c>
      <c r="X24" s="2" t="s">
        <v>289</v>
      </c>
      <c r="Y24" s="2" t="b">
        <v>0</v>
      </c>
      <c r="Z24" s="2" t="s">
        <v>67</v>
      </c>
      <c r="AA24" s="2">
        <v>104.9</v>
      </c>
    </row>
    <row r="25" spans="1:27" ht="15.75" hidden="1" customHeight="1" x14ac:dyDescent="0.3">
      <c r="A25" s="2" t="s">
        <v>37</v>
      </c>
      <c r="B25" s="2" t="s">
        <v>38</v>
      </c>
      <c r="C25" s="2" t="s">
        <v>41</v>
      </c>
      <c r="D25" s="2" t="s">
        <v>38</v>
      </c>
      <c r="E25" s="2" t="s">
        <v>43</v>
      </c>
      <c r="F25" s="2" t="s">
        <v>46</v>
      </c>
      <c r="G25" s="2" t="s">
        <v>42</v>
      </c>
      <c r="H25" s="2" t="s">
        <v>42</v>
      </c>
      <c r="I25" s="2" t="s">
        <v>239</v>
      </c>
      <c r="J25" s="2" t="s">
        <v>71</v>
      </c>
      <c r="K25" s="2" t="s">
        <v>292</v>
      </c>
      <c r="L25" s="2" t="s">
        <v>263</v>
      </c>
      <c r="M25" s="2" t="s">
        <v>264</v>
      </c>
      <c r="N25" s="2" t="s">
        <v>293</v>
      </c>
      <c r="O25" s="2" t="s">
        <v>294</v>
      </c>
      <c r="P25" s="2" t="s">
        <v>267</v>
      </c>
      <c r="Q25" s="2">
        <v>45</v>
      </c>
      <c r="R25" s="2" t="b">
        <v>0</v>
      </c>
      <c r="S25" s="2">
        <v>0.65230769230769226</v>
      </c>
      <c r="T25" s="2">
        <v>0.63095238095238093</v>
      </c>
      <c r="U25" s="2">
        <v>0.67515923566878977</v>
      </c>
      <c r="V25" s="2" t="s">
        <v>63</v>
      </c>
      <c r="W25" s="2" t="s">
        <v>295</v>
      </c>
      <c r="X25" s="2" t="s">
        <v>296</v>
      </c>
      <c r="Y25" s="2" t="b">
        <v>0</v>
      </c>
      <c r="Z25" s="2" t="s">
        <v>67</v>
      </c>
      <c r="AA25" s="2">
        <v>106.6</v>
      </c>
    </row>
    <row r="26" spans="1:27" ht="15.75" hidden="1" customHeight="1" x14ac:dyDescent="0.3">
      <c r="A26" s="2" t="s">
        <v>37</v>
      </c>
      <c r="B26" s="2" t="s">
        <v>38</v>
      </c>
      <c r="C26" s="2" t="s">
        <v>41</v>
      </c>
      <c r="D26" s="2" t="s">
        <v>38</v>
      </c>
      <c r="E26" s="2" t="s">
        <v>43</v>
      </c>
      <c r="F26" s="2" t="s">
        <v>46</v>
      </c>
      <c r="G26" s="2" t="s">
        <v>42</v>
      </c>
      <c r="H26" s="2" t="s">
        <v>42</v>
      </c>
      <c r="I26" s="2" t="s">
        <v>239</v>
      </c>
      <c r="J26" s="2" t="s">
        <v>71</v>
      </c>
      <c r="K26" s="2" t="s">
        <v>297</v>
      </c>
      <c r="L26" s="2" t="s">
        <v>263</v>
      </c>
      <c r="M26" s="2" t="s">
        <v>264</v>
      </c>
      <c r="N26" s="2" t="s">
        <v>298</v>
      </c>
      <c r="O26" s="2" t="s">
        <v>299</v>
      </c>
      <c r="P26" s="2" t="s">
        <v>267</v>
      </c>
      <c r="Q26" s="2">
        <v>46</v>
      </c>
      <c r="R26" s="2" t="b">
        <v>0</v>
      </c>
      <c r="S26" s="2">
        <v>0.63398692810457524</v>
      </c>
      <c r="T26" s="2">
        <v>0.59876543209876543</v>
      </c>
      <c r="U26" s="2">
        <v>0.67361111111111116</v>
      </c>
      <c r="V26" s="2" t="s">
        <v>63</v>
      </c>
      <c r="W26" s="2" t="s">
        <v>300</v>
      </c>
      <c r="X26" s="2" t="s">
        <v>301</v>
      </c>
      <c r="Y26" s="2" t="b">
        <v>0</v>
      </c>
      <c r="Z26" s="2" t="s">
        <v>67</v>
      </c>
      <c r="AA26" s="2">
        <v>104.7</v>
      </c>
    </row>
    <row r="27" spans="1:27" ht="15.75" hidden="1" customHeight="1" x14ac:dyDescent="0.3">
      <c r="A27" s="2" t="s">
        <v>37</v>
      </c>
      <c r="B27" s="2" t="s">
        <v>38</v>
      </c>
      <c r="C27" s="2" t="s">
        <v>41</v>
      </c>
      <c r="D27" s="2" t="s">
        <v>38</v>
      </c>
      <c r="E27" s="2" t="s">
        <v>43</v>
      </c>
      <c r="F27" s="2" t="s">
        <v>46</v>
      </c>
      <c r="G27" s="2" t="s">
        <v>42</v>
      </c>
      <c r="H27" s="2" t="s">
        <v>42</v>
      </c>
      <c r="I27" s="2" t="s">
        <v>239</v>
      </c>
      <c r="J27" s="2" t="s">
        <v>71</v>
      </c>
      <c r="K27" s="2" t="s">
        <v>303</v>
      </c>
      <c r="L27" s="2" t="s">
        <v>263</v>
      </c>
      <c r="M27" s="2" t="s">
        <v>264</v>
      </c>
      <c r="N27" s="2" t="s">
        <v>305</v>
      </c>
      <c r="O27" s="2" t="s">
        <v>306</v>
      </c>
      <c r="P27" s="2" t="s">
        <v>267</v>
      </c>
      <c r="Q27" s="2">
        <v>47</v>
      </c>
      <c r="R27" s="2" t="b">
        <v>0</v>
      </c>
      <c r="S27" s="2">
        <v>0.62089552238805978</v>
      </c>
      <c r="T27" s="2">
        <v>0.58757062146892658</v>
      </c>
      <c r="U27" s="2">
        <v>0.65822784810126578</v>
      </c>
      <c r="V27" s="2" t="s">
        <v>63</v>
      </c>
      <c r="W27" s="2" t="s">
        <v>309</v>
      </c>
      <c r="X27" s="2" t="s">
        <v>310</v>
      </c>
      <c r="Y27" s="2" t="b">
        <v>0</v>
      </c>
      <c r="Z27" s="2" t="s">
        <v>67</v>
      </c>
      <c r="AA27" s="2">
        <v>106.9</v>
      </c>
    </row>
    <row r="28" spans="1:27" ht="15.75" hidden="1" customHeight="1" x14ac:dyDescent="0.3">
      <c r="A28" s="2" t="s">
        <v>37</v>
      </c>
      <c r="B28" s="2" t="s">
        <v>38</v>
      </c>
      <c r="C28" s="2" t="s">
        <v>41</v>
      </c>
      <c r="D28" s="2" t="s">
        <v>38</v>
      </c>
      <c r="E28" s="2" t="s">
        <v>43</v>
      </c>
      <c r="F28" s="2" t="s">
        <v>46</v>
      </c>
      <c r="G28" s="2" t="s">
        <v>42</v>
      </c>
      <c r="H28" s="2" t="s">
        <v>42</v>
      </c>
      <c r="I28" s="2" t="s">
        <v>239</v>
      </c>
      <c r="J28" s="2" t="s">
        <v>71</v>
      </c>
      <c r="K28" s="2" t="s">
        <v>311</v>
      </c>
      <c r="L28" s="2" t="s">
        <v>263</v>
      </c>
      <c r="M28" s="2" t="s">
        <v>264</v>
      </c>
      <c r="N28" s="2" t="s">
        <v>314</v>
      </c>
      <c r="O28" s="2" t="s">
        <v>315</v>
      </c>
      <c r="P28" s="2" t="s">
        <v>267</v>
      </c>
      <c r="Q28" s="2">
        <v>48</v>
      </c>
      <c r="R28" s="2" t="b">
        <v>0</v>
      </c>
      <c r="S28" s="2">
        <v>0.61861861861861855</v>
      </c>
      <c r="T28" s="2">
        <v>0.58192090395480223</v>
      </c>
      <c r="U28" s="2">
        <v>0.66025641025641024</v>
      </c>
      <c r="V28" s="2" t="s">
        <v>63</v>
      </c>
      <c r="W28" s="2" t="s">
        <v>318</v>
      </c>
      <c r="X28" s="2" t="s">
        <v>319</v>
      </c>
      <c r="Y28" s="2" t="b">
        <v>0</v>
      </c>
      <c r="Z28" s="2" t="s">
        <v>67</v>
      </c>
      <c r="AA28" s="2">
        <v>106.6</v>
      </c>
    </row>
    <row r="29" spans="1:27" ht="15.75" hidden="1" customHeight="1" x14ac:dyDescent="0.3">
      <c r="A29" s="2" t="s">
        <v>37</v>
      </c>
      <c r="B29" s="2" t="s">
        <v>38</v>
      </c>
      <c r="C29" s="2" t="s">
        <v>41</v>
      </c>
      <c r="D29" s="2" t="s">
        <v>38</v>
      </c>
      <c r="E29" s="2" t="s">
        <v>43</v>
      </c>
      <c r="F29" s="2" t="s">
        <v>46</v>
      </c>
      <c r="G29" s="2" t="s">
        <v>42</v>
      </c>
      <c r="H29" s="2" t="s">
        <v>42</v>
      </c>
      <c r="I29" s="2" t="s">
        <v>239</v>
      </c>
      <c r="J29" s="2" t="s">
        <v>71</v>
      </c>
      <c r="K29" s="2" t="s">
        <v>324</v>
      </c>
      <c r="L29" s="2" t="s">
        <v>263</v>
      </c>
      <c r="M29" s="2" t="s">
        <v>264</v>
      </c>
      <c r="N29" s="2" t="s">
        <v>325</v>
      </c>
      <c r="O29" s="2" t="s">
        <v>326</v>
      </c>
      <c r="P29" s="2" t="s">
        <v>267</v>
      </c>
      <c r="Q29" s="2">
        <v>49</v>
      </c>
      <c r="R29" s="2" t="b">
        <v>0</v>
      </c>
      <c r="S29" s="2">
        <v>0.61818181818181817</v>
      </c>
      <c r="T29" s="2">
        <v>0.59649122807017541</v>
      </c>
      <c r="U29" s="2">
        <v>0.64150943396226412</v>
      </c>
      <c r="V29" s="2" t="s">
        <v>63</v>
      </c>
      <c r="W29" s="2" t="s">
        <v>328</v>
      </c>
      <c r="X29" s="2" t="s">
        <v>330</v>
      </c>
      <c r="Y29" s="2" t="b">
        <v>0</v>
      </c>
      <c r="Z29" s="2" t="s">
        <v>67</v>
      </c>
      <c r="AA29" s="2">
        <v>106</v>
      </c>
    </row>
    <row r="30" spans="1:27" ht="15.75" hidden="1" customHeight="1" x14ac:dyDescent="0.3">
      <c r="A30" s="2" t="s">
        <v>37</v>
      </c>
      <c r="B30" s="2" t="s">
        <v>38</v>
      </c>
      <c r="C30" s="2" t="s">
        <v>41</v>
      </c>
      <c r="D30" s="2" t="s">
        <v>38</v>
      </c>
      <c r="E30" s="2" t="s">
        <v>43</v>
      </c>
      <c r="F30" s="2" t="s">
        <v>46</v>
      </c>
      <c r="G30" s="2" t="s">
        <v>42</v>
      </c>
      <c r="H30" s="2" t="s">
        <v>42</v>
      </c>
      <c r="I30" s="2" t="s">
        <v>239</v>
      </c>
      <c r="J30" s="2" t="s">
        <v>71</v>
      </c>
      <c r="K30" s="2" t="s">
        <v>333</v>
      </c>
      <c r="L30" s="2" t="s">
        <v>263</v>
      </c>
      <c r="M30" s="2" t="s">
        <v>264</v>
      </c>
      <c r="N30" s="2" t="s">
        <v>334</v>
      </c>
      <c r="O30" s="2" t="s">
        <v>335</v>
      </c>
      <c r="P30" s="2" t="s">
        <v>267</v>
      </c>
      <c r="Q30" s="2">
        <v>50</v>
      </c>
      <c r="R30" s="2" t="b">
        <v>0</v>
      </c>
      <c r="S30" s="2">
        <v>0.6298701298701298</v>
      </c>
      <c r="T30" s="2">
        <v>0.60248447204968947</v>
      </c>
      <c r="U30" s="2">
        <v>0.65986394557823125</v>
      </c>
      <c r="V30" s="2" t="s">
        <v>63</v>
      </c>
      <c r="W30" s="2" t="s">
        <v>339</v>
      </c>
      <c r="X30" s="2" t="s">
        <v>340</v>
      </c>
      <c r="Y30" s="2" t="b">
        <v>0</v>
      </c>
      <c r="Z30" s="2" t="s">
        <v>67</v>
      </c>
      <c r="AA30" s="2">
        <v>106.6</v>
      </c>
    </row>
    <row r="31" spans="1:27" ht="15.75" hidden="1" customHeight="1" x14ac:dyDescent="0.3">
      <c r="A31" s="2" t="s">
        <v>37</v>
      </c>
      <c r="B31" s="2" t="s">
        <v>38</v>
      </c>
      <c r="C31" s="2" t="s">
        <v>41</v>
      </c>
      <c r="D31" s="2" t="s">
        <v>38</v>
      </c>
      <c r="E31" s="2" t="s">
        <v>43</v>
      </c>
      <c r="F31" s="2" t="s">
        <v>46</v>
      </c>
      <c r="G31" s="2" t="s">
        <v>42</v>
      </c>
      <c r="H31" s="2" t="s">
        <v>42</v>
      </c>
      <c r="I31" s="2" t="s">
        <v>239</v>
      </c>
      <c r="J31" s="2" t="s">
        <v>71</v>
      </c>
      <c r="K31" s="2" t="s">
        <v>344</v>
      </c>
      <c r="L31" s="2" t="s">
        <v>263</v>
      </c>
      <c r="M31" s="2" t="s">
        <v>264</v>
      </c>
      <c r="N31" s="2" t="s">
        <v>345</v>
      </c>
      <c r="O31" s="2" t="s">
        <v>346</v>
      </c>
      <c r="P31" s="2" t="s">
        <v>267</v>
      </c>
      <c r="Q31" s="2">
        <v>51</v>
      </c>
      <c r="R31" s="2" t="b">
        <v>0</v>
      </c>
      <c r="S31" s="2">
        <v>0.62613981762917936</v>
      </c>
      <c r="T31" s="2">
        <v>0.60946745562130178</v>
      </c>
      <c r="U31" s="2">
        <v>0.64375000000000004</v>
      </c>
      <c r="V31" s="2" t="s">
        <v>63</v>
      </c>
      <c r="W31" s="2" t="s">
        <v>351</v>
      </c>
      <c r="X31" s="2" t="s">
        <v>352</v>
      </c>
      <c r="Y31" s="2" t="b">
        <v>0</v>
      </c>
      <c r="Z31" s="2" t="s">
        <v>67</v>
      </c>
      <c r="AA31" s="2">
        <v>107</v>
      </c>
    </row>
    <row r="32" spans="1:27" ht="15.75" hidden="1" customHeight="1" x14ac:dyDescent="0.3">
      <c r="A32" s="2" t="s">
        <v>37</v>
      </c>
      <c r="B32" s="2" t="s">
        <v>38</v>
      </c>
      <c r="C32" s="2" t="s">
        <v>41</v>
      </c>
      <c r="D32" s="2" t="s">
        <v>38</v>
      </c>
      <c r="E32" s="2" t="s">
        <v>43</v>
      </c>
      <c r="F32" s="2" t="s">
        <v>46</v>
      </c>
      <c r="G32" s="2" t="s">
        <v>42</v>
      </c>
      <c r="H32" s="2" t="s">
        <v>42</v>
      </c>
      <c r="I32" s="2" t="s">
        <v>239</v>
      </c>
      <c r="J32" s="2" t="s">
        <v>71</v>
      </c>
      <c r="K32" s="2" t="s">
        <v>353</v>
      </c>
      <c r="L32" s="2" t="s">
        <v>263</v>
      </c>
      <c r="M32" s="2" t="s">
        <v>264</v>
      </c>
      <c r="N32" s="2" t="s">
        <v>356</v>
      </c>
      <c r="O32" s="2" t="s">
        <v>357</v>
      </c>
      <c r="P32" s="2" t="s">
        <v>267</v>
      </c>
      <c r="Q32" s="2">
        <v>52</v>
      </c>
      <c r="R32" s="2" t="b">
        <v>0</v>
      </c>
      <c r="S32" s="2">
        <v>0.55555555555555558</v>
      </c>
      <c r="T32" s="2">
        <v>0.52197802197802201</v>
      </c>
      <c r="U32" s="2">
        <v>0.59375</v>
      </c>
      <c r="V32" s="2" t="s">
        <v>63</v>
      </c>
      <c r="W32" s="2" t="s">
        <v>361</v>
      </c>
      <c r="X32" s="2" t="s">
        <v>362</v>
      </c>
      <c r="Y32" s="2" t="b">
        <v>0</v>
      </c>
      <c r="Z32" s="2" t="s">
        <v>67</v>
      </c>
      <c r="AA32" s="2">
        <v>107.5</v>
      </c>
    </row>
    <row r="33" spans="1:27" ht="15.75" hidden="1" customHeight="1" x14ac:dyDescent="0.3">
      <c r="A33" s="2" t="s">
        <v>37</v>
      </c>
      <c r="B33" s="2" t="s">
        <v>38</v>
      </c>
      <c r="C33" s="2" t="s">
        <v>41</v>
      </c>
      <c r="D33" s="2" t="s">
        <v>38</v>
      </c>
      <c r="E33" s="2" t="s">
        <v>43</v>
      </c>
      <c r="F33" s="2" t="s">
        <v>46</v>
      </c>
      <c r="G33" s="2" t="s">
        <v>42</v>
      </c>
      <c r="H33" s="2" t="s">
        <v>42</v>
      </c>
      <c r="I33" s="2" t="s">
        <v>239</v>
      </c>
      <c r="J33" s="2" t="s">
        <v>71</v>
      </c>
      <c r="K33" s="2" t="s">
        <v>365</v>
      </c>
      <c r="L33" s="2" t="s">
        <v>263</v>
      </c>
      <c r="M33" s="2" t="s">
        <v>264</v>
      </c>
      <c r="N33" s="2" t="s">
        <v>367</v>
      </c>
      <c r="O33" s="2" t="s">
        <v>369</v>
      </c>
      <c r="P33" s="2" t="s">
        <v>267</v>
      </c>
      <c r="Q33" s="2">
        <v>53</v>
      </c>
      <c r="R33" s="2" t="b">
        <v>0</v>
      </c>
      <c r="S33" s="2">
        <v>0.65243902439024382</v>
      </c>
      <c r="T33" s="2">
        <v>0.61494252873563215</v>
      </c>
      <c r="U33" s="2">
        <v>0.69480519480519476</v>
      </c>
      <c r="V33" s="2" t="s">
        <v>63</v>
      </c>
      <c r="W33" s="2" t="s">
        <v>370</v>
      </c>
      <c r="X33" s="2" t="s">
        <v>371</v>
      </c>
      <c r="Y33" s="2" t="b">
        <v>0</v>
      </c>
      <c r="Z33" s="2" t="s">
        <v>67</v>
      </c>
      <c r="AA33" s="2">
        <v>108.2</v>
      </c>
    </row>
    <row r="34" spans="1:27" ht="15.75" hidden="1" customHeight="1" x14ac:dyDescent="0.3">
      <c r="A34" s="2" t="s">
        <v>37</v>
      </c>
      <c r="B34" s="2" t="s">
        <v>38</v>
      </c>
      <c r="C34" s="2" t="s">
        <v>41</v>
      </c>
      <c r="D34" s="2" t="s">
        <v>38</v>
      </c>
      <c r="E34" s="2" t="s">
        <v>43</v>
      </c>
      <c r="F34" s="2" t="s">
        <v>46</v>
      </c>
      <c r="G34" s="2" t="s">
        <v>42</v>
      </c>
      <c r="H34" s="2" t="s">
        <v>42</v>
      </c>
      <c r="I34" s="2" t="s">
        <v>239</v>
      </c>
      <c r="J34" s="2" t="s">
        <v>71</v>
      </c>
      <c r="K34" s="2" t="s">
        <v>374</v>
      </c>
      <c r="L34" s="2" t="s">
        <v>263</v>
      </c>
      <c r="M34" s="2" t="s">
        <v>264</v>
      </c>
      <c r="N34" s="2" t="s">
        <v>377</v>
      </c>
      <c r="O34" s="2" t="s">
        <v>378</v>
      </c>
      <c r="P34" s="2" t="s">
        <v>267</v>
      </c>
      <c r="Q34" s="2">
        <v>54</v>
      </c>
      <c r="R34" s="2" t="b">
        <v>0</v>
      </c>
      <c r="S34" s="2">
        <v>0.63430420711974111</v>
      </c>
      <c r="T34" s="2">
        <v>0.59393939393939399</v>
      </c>
      <c r="U34" s="2">
        <v>0.68055555555555558</v>
      </c>
      <c r="V34" s="2" t="s">
        <v>63</v>
      </c>
      <c r="W34" s="2" t="s">
        <v>379</v>
      </c>
      <c r="X34" s="2" t="s">
        <v>380</v>
      </c>
      <c r="Y34" s="2" t="b">
        <v>0</v>
      </c>
      <c r="Z34" s="2" t="s">
        <v>67</v>
      </c>
      <c r="AA34" s="2">
        <v>106.7</v>
      </c>
    </row>
    <row r="35" spans="1:27" ht="15.75" hidden="1" customHeight="1" x14ac:dyDescent="0.3">
      <c r="A35" s="2" t="s">
        <v>37</v>
      </c>
      <c r="B35" s="2" t="s">
        <v>38</v>
      </c>
      <c r="C35" s="2" t="s">
        <v>41</v>
      </c>
      <c r="D35" s="2" t="s">
        <v>38</v>
      </c>
      <c r="E35" s="2" t="s">
        <v>43</v>
      </c>
      <c r="F35" s="2" t="s">
        <v>46</v>
      </c>
      <c r="G35" s="2" t="s">
        <v>42</v>
      </c>
      <c r="H35" s="2" t="s">
        <v>42</v>
      </c>
      <c r="I35" s="2" t="s">
        <v>239</v>
      </c>
      <c r="J35" s="2" t="s">
        <v>71</v>
      </c>
      <c r="K35" s="2" t="s">
        <v>385</v>
      </c>
      <c r="L35" s="2" t="s">
        <v>263</v>
      </c>
      <c r="M35" s="2" t="s">
        <v>264</v>
      </c>
      <c r="N35" s="2" t="s">
        <v>388</v>
      </c>
      <c r="O35" s="2" t="s">
        <v>390</v>
      </c>
      <c r="P35" s="2" t="s">
        <v>267</v>
      </c>
      <c r="Q35" s="2">
        <v>55</v>
      </c>
      <c r="R35" s="2" t="b">
        <v>0</v>
      </c>
      <c r="S35" s="2">
        <v>0.60843373493975905</v>
      </c>
      <c r="T35" s="2">
        <v>0.58381502890173409</v>
      </c>
      <c r="U35" s="2">
        <v>0.63522012578616349</v>
      </c>
      <c r="V35" s="2" t="s">
        <v>63</v>
      </c>
      <c r="W35" s="2" t="s">
        <v>394</v>
      </c>
      <c r="X35" s="2" t="s">
        <v>395</v>
      </c>
      <c r="Y35" s="2" t="b">
        <v>0</v>
      </c>
      <c r="Z35" s="2" t="s">
        <v>67</v>
      </c>
      <c r="AA35" s="2">
        <v>107.2</v>
      </c>
    </row>
    <row r="36" spans="1:27" ht="15.75" hidden="1" customHeight="1" x14ac:dyDescent="0.3">
      <c r="A36" s="2" t="s">
        <v>37</v>
      </c>
      <c r="B36" s="2" t="s">
        <v>38</v>
      </c>
      <c r="C36" s="2" t="s">
        <v>41</v>
      </c>
      <c r="D36" s="2" t="s">
        <v>38</v>
      </c>
      <c r="E36" s="2" t="s">
        <v>43</v>
      </c>
      <c r="F36" s="2" t="s">
        <v>46</v>
      </c>
      <c r="G36" s="2" t="s">
        <v>42</v>
      </c>
      <c r="H36" s="2" t="s">
        <v>42</v>
      </c>
      <c r="I36" s="2" t="s">
        <v>239</v>
      </c>
      <c r="J36" s="2" t="s">
        <v>71</v>
      </c>
      <c r="K36" s="2" t="s">
        <v>400</v>
      </c>
      <c r="L36" s="2" t="s">
        <v>263</v>
      </c>
      <c r="M36" s="2" t="s">
        <v>264</v>
      </c>
      <c r="N36" s="2" t="s">
        <v>403</v>
      </c>
      <c r="O36" s="2" t="s">
        <v>404</v>
      </c>
      <c r="P36" s="2" t="s">
        <v>267</v>
      </c>
      <c r="Q36" s="2">
        <v>56</v>
      </c>
      <c r="R36" s="2" t="b">
        <v>0</v>
      </c>
      <c r="S36" s="2">
        <v>0.65830721003134784</v>
      </c>
      <c r="T36" s="2">
        <v>0.62874251497005984</v>
      </c>
      <c r="U36" s="2">
        <v>0.69078947368421051</v>
      </c>
      <c r="V36" s="2" t="s">
        <v>63</v>
      </c>
      <c r="W36" s="2" t="s">
        <v>407</v>
      </c>
      <c r="X36" s="2" t="s">
        <v>408</v>
      </c>
      <c r="Y36" s="2" t="b">
        <v>0</v>
      </c>
      <c r="Z36" s="2" t="s">
        <v>67</v>
      </c>
      <c r="AA36" s="2">
        <v>105.3</v>
      </c>
    </row>
    <row r="37" spans="1:27" ht="15.75" hidden="1" customHeight="1" x14ac:dyDescent="0.3">
      <c r="A37" s="2" t="s">
        <v>37</v>
      </c>
      <c r="B37" s="2" t="s">
        <v>38</v>
      </c>
      <c r="C37" s="2" t="s">
        <v>41</v>
      </c>
      <c r="D37" s="2" t="s">
        <v>38</v>
      </c>
      <c r="E37" s="2" t="s">
        <v>43</v>
      </c>
      <c r="F37" s="2" t="s">
        <v>46</v>
      </c>
      <c r="G37" s="2" t="s">
        <v>42</v>
      </c>
      <c r="H37" s="2" t="s">
        <v>42</v>
      </c>
      <c r="I37" s="2" t="s">
        <v>239</v>
      </c>
      <c r="J37" s="2" t="s">
        <v>71</v>
      </c>
      <c r="K37" s="2" t="s">
        <v>411</v>
      </c>
      <c r="L37" s="2" t="s">
        <v>263</v>
      </c>
      <c r="M37" s="2" t="s">
        <v>264</v>
      </c>
      <c r="N37" s="2" t="s">
        <v>414</v>
      </c>
      <c r="O37" s="2" t="s">
        <v>416</v>
      </c>
      <c r="P37" s="2" t="s">
        <v>267</v>
      </c>
      <c r="Q37" s="2">
        <v>57</v>
      </c>
      <c r="R37" s="2" t="b">
        <v>0</v>
      </c>
      <c r="S37" s="2">
        <v>0.59459459459459463</v>
      </c>
      <c r="T37" s="2">
        <v>0.57558139534883723</v>
      </c>
      <c r="U37" s="2">
        <v>0.6149068322981367</v>
      </c>
      <c r="V37" s="2" t="s">
        <v>63</v>
      </c>
      <c r="W37" s="2" t="s">
        <v>421</v>
      </c>
      <c r="X37" s="2" t="s">
        <v>423</v>
      </c>
      <c r="Y37" s="2" t="b">
        <v>0</v>
      </c>
      <c r="Z37" s="2" t="s">
        <v>67</v>
      </c>
      <c r="AA37" s="2">
        <v>104.8</v>
      </c>
    </row>
    <row r="38" spans="1:27" ht="15.75" hidden="1" customHeight="1" x14ac:dyDescent="0.3">
      <c r="A38" s="2" t="s">
        <v>37</v>
      </c>
      <c r="B38" s="2" t="s">
        <v>38</v>
      </c>
      <c r="C38" s="2" t="s">
        <v>41</v>
      </c>
      <c r="D38" s="2" t="s">
        <v>38</v>
      </c>
      <c r="E38" s="2" t="s">
        <v>43</v>
      </c>
      <c r="F38" s="2" t="s">
        <v>46</v>
      </c>
      <c r="G38" s="2" t="s">
        <v>42</v>
      </c>
      <c r="H38" s="2" t="s">
        <v>42</v>
      </c>
      <c r="I38" s="2" t="s">
        <v>239</v>
      </c>
      <c r="J38" s="2" t="s">
        <v>71</v>
      </c>
      <c r="K38" s="2" t="s">
        <v>428</v>
      </c>
      <c r="L38" s="2" t="s">
        <v>263</v>
      </c>
      <c r="M38" s="2" t="s">
        <v>264</v>
      </c>
      <c r="N38" s="2" t="s">
        <v>429</v>
      </c>
      <c r="O38" s="2" t="s">
        <v>430</v>
      </c>
      <c r="P38" s="2" t="s">
        <v>267</v>
      </c>
      <c r="Q38" s="2">
        <v>58</v>
      </c>
      <c r="R38" s="2" t="b">
        <v>0</v>
      </c>
      <c r="S38" s="2">
        <v>0.63694267515923564</v>
      </c>
      <c r="T38" s="2">
        <v>0.6097560975609756</v>
      </c>
      <c r="U38" s="2">
        <v>0.66666666666666663</v>
      </c>
      <c r="V38" s="2" t="s">
        <v>63</v>
      </c>
      <c r="W38" s="2" t="s">
        <v>435</v>
      </c>
      <c r="X38" s="2" t="s">
        <v>436</v>
      </c>
      <c r="Y38" s="2" t="b">
        <v>0</v>
      </c>
      <c r="Z38" s="2" t="s">
        <v>67</v>
      </c>
      <c r="AA38" s="2">
        <v>104</v>
      </c>
    </row>
    <row r="39" spans="1:27" ht="15.75" hidden="1" customHeight="1" x14ac:dyDescent="0.3">
      <c r="A39" s="2" t="s">
        <v>37</v>
      </c>
      <c r="B39" s="2" t="s">
        <v>38</v>
      </c>
      <c r="C39" s="2" t="s">
        <v>41</v>
      </c>
      <c r="D39" s="2" t="s">
        <v>38</v>
      </c>
      <c r="E39" s="2" t="s">
        <v>43</v>
      </c>
      <c r="F39" s="2" t="s">
        <v>46</v>
      </c>
      <c r="G39" s="2" t="s">
        <v>42</v>
      </c>
      <c r="H39" s="2" t="s">
        <v>42</v>
      </c>
      <c r="I39" s="2" t="s">
        <v>239</v>
      </c>
      <c r="J39" s="2" t="s">
        <v>71</v>
      </c>
      <c r="K39" s="2" t="s">
        <v>442</v>
      </c>
      <c r="L39" s="2" t="s">
        <v>263</v>
      </c>
      <c r="M39" s="2" t="s">
        <v>264</v>
      </c>
      <c r="N39" s="2" t="s">
        <v>445</v>
      </c>
      <c r="O39" s="2" t="s">
        <v>447</v>
      </c>
      <c r="P39" s="2" t="s">
        <v>267</v>
      </c>
      <c r="Q39" s="2">
        <v>59</v>
      </c>
      <c r="R39" s="2" t="b">
        <v>0</v>
      </c>
      <c r="S39" s="2">
        <v>0.62424242424242427</v>
      </c>
      <c r="T39" s="2">
        <v>0.60588235294117643</v>
      </c>
      <c r="U39" s="2">
        <v>0.64375000000000004</v>
      </c>
      <c r="V39" s="2" t="s">
        <v>63</v>
      </c>
      <c r="W39" s="2" t="s">
        <v>448</v>
      </c>
      <c r="X39" s="2" t="s">
        <v>449</v>
      </c>
      <c r="Y39" s="2" t="b">
        <v>0</v>
      </c>
      <c r="Z39" s="2" t="s">
        <v>67</v>
      </c>
      <c r="AA39" s="2">
        <v>104.7</v>
      </c>
    </row>
    <row r="40" spans="1:27" ht="15.75" hidden="1" customHeight="1" x14ac:dyDescent="0.3">
      <c r="A40" s="2" t="s">
        <v>37</v>
      </c>
      <c r="B40" s="2" t="s">
        <v>38</v>
      </c>
      <c r="C40" s="2" t="s">
        <v>41</v>
      </c>
      <c r="D40" s="2" t="s">
        <v>38</v>
      </c>
      <c r="E40" s="2" t="s">
        <v>43</v>
      </c>
      <c r="F40" s="2" t="s">
        <v>46</v>
      </c>
      <c r="G40" s="2" t="s">
        <v>42</v>
      </c>
      <c r="H40" s="2" t="s">
        <v>42</v>
      </c>
      <c r="I40" s="2" t="s">
        <v>239</v>
      </c>
      <c r="J40" s="2" t="s">
        <v>71</v>
      </c>
      <c r="K40" s="2" t="s">
        <v>454</v>
      </c>
      <c r="L40" s="2" t="s">
        <v>263</v>
      </c>
      <c r="M40" s="2" t="s">
        <v>264</v>
      </c>
      <c r="N40" s="2" t="s">
        <v>455</v>
      </c>
      <c r="O40" s="2" t="s">
        <v>457</v>
      </c>
      <c r="P40" s="2" t="s">
        <v>267</v>
      </c>
      <c r="Q40" s="2">
        <v>60</v>
      </c>
      <c r="R40" s="2" t="b">
        <v>0</v>
      </c>
      <c r="S40" s="2">
        <v>0.55757575757575761</v>
      </c>
      <c r="T40" s="2">
        <v>0.52571428571428569</v>
      </c>
      <c r="U40" s="2">
        <v>0.59354838709677415</v>
      </c>
      <c r="V40" s="2" t="s">
        <v>63</v>
      </c>
      <c r="W40" s="2" t="s">
        <v>461</v>
      </c>
      <c r="X40" s="2" t="s">
        <v>462</v>
      </c>
      <c r="Y40" s="2" t="b">
        <v>0</v>
      </c>
      <c r="Z40" s="2" t="s">
        <v>67</v>
      </c>
      <c r="AA40" s="2">
        <v>106</v>
      </c>
    </row>
    <row r="41" spans="1:27" ht="15.75" hidden="1" customHeight="1" x14ac:dyDescent="0.3">
      <c r="A41" s="2" t="s">
        <v>37</v>
      </c>
      <c r="B41" s="2" t="s">
        <v>38</v>
      </c>
      <c r="C41" s="2" t="s">
        <v>41</v>
      </c>
      <c r="D41" s="2" t="s">
        <v>38</v>
      </c>
      <c r="E41" s="2" t="s">
        <v>43</v>
      </c>
      <c r="F41" s="2" t="s">
        <v>46</v>
      </c>
      <c r="G41" s="2" t="s">
        <v>42</v>
      </c>
      <c r="H41" s="2" t="s">
        <v>42</v>
      </c>
      <c r="I41" s="2" t="s">
        <v>239</v>
      </c>
      <c r="J41" s="2" t="s">
        <v>71</v>
      </c>
      <c r="K41" s="2" t="s">
        <v>468</v>
      </c>
      <c r="L41" s="2" t="s">
        <v>263</v>
      </c>
      <c r="M41" s="2" t="s">
        <v>264</v>
      </c>
      <c r="N41" s="2" t="s">
        <v>472</v>
      </c>
      <c r="O41" s="2" t="s">
        <v>475</v>
      </c>
      <c r="P41" s="2" t="s">
        <v>267</v>
      </c>
      <c r="Q41" s="2">
        <v>61</v>
      </c>
      <c r="R41" s="2" t="b">
        <v>0</v>
      </c>
      <c r="S41" s="2">
        <v>0.6067415730337079</v>
      </c>
      <c r="T41" s="2">
        <v>0.57754010695187163</v>
      </c>
      <c r="U41" s="2">
        <v>0.63905325443786987</v>
      </c>
      <c r="V41" s="2" t="s">
        <v>63</v>
      </c>
      <c r="W41" s="2" t="s">
        <v>487</v>
      </c>
      <c r="X41" s="2" t="s">
        <v>489</v>
      </c>
      <c r="Y41" s="2" t="b">
        <v>0</v>
      </c>
      <c r="Z41" s="2" t="s">
        <v>67</v>
      </c>
      <c r="AA41" s="2">
        <v>107</v>
      </c>
    </row>
    <row r="42" spans="1:27" ht="15.75" hidden="1" customHeight="1" x14ac:dyDescent="0.3">
      <c r="A42" s="2" t="s">
        <v>37</v>
      </c>
      <c r="B42" s="2" t="s">
        <v>38</v>
      </c>
      <c r="C42" s="2" t="s">
        <v>41</v>
      </c>
      <c r="D42" s="2" t="s">
        <v>38</v>
      </c>
      <c r="E42" s="2" t="s">
        <v>39</v>
      </c>
      <c r="F42" s="2" t="s">
        <v>496</v>
      </c>
      <c r="G42" s="2" t="s">
        <v>42</v>
      </c>
      <c r="H42" s="2" t="s">
        <v>42</v>
      </c>
      <c r="I42" s="2" t="s">
        <v>47</v>
      </c>
      <c r="J42" s="2" t="s">
        <v>44</v>
      </c>
      <c r="K42" s="2" t="s">
        <v>48</v>
      </c>
      <c r="L42" s="2" t="s">
        <v>50</v>
      </c>
      <c r="M42" s="2" t="s">
        <v>52</v>
      </c>
      <c r="N42" s="2" t="s">
        <v>53</v>
      </c>
      <c r="O42" s="2" t="s">
        <v>55</v>
      </c>
      <c r="P42" s="2" t="s">
        <v>56</v>
      </c>
      <c r="Q42" s="2">
        <v>42</v>
      </c>
      <c r="R42" s="2" t="b">
        <v>1</v>
      </c>
      <c r="S42" s="2">
        <v>0.64748201438848918</v>
      </c>
      <c r="V42" s="2" t="s">
        <v>510</v>
      </c>
      <c r="W42" s="2" t="s">
        <v>512</v>
      </c>
      <c r="X42" s="2" t="s">
        <v>513</v>
      </c>
      <c r="Y42" s="2" t="b">
        <v>1</v>
      </c>
      <c r="Z42" s="2" t="s">
        <v>67</v>
      </c>
      <c r="AA42" s="2">
        <v>0.2</v>
      </c>
    </row>
    <row r="43" spans="1:27" ht="15.75" hidden="1" customHeight="1" x14ac:dyDescent="0.3">
      <c r="A43" s="2" t="s">
        <v>37</v>
      </c>
      <c r="B43" s="2" t="s">
        <v>38</v>
      </c>
      <c r="C43" s="2" t="s">
        <v>41</v>
      </c>
      <c r="D43" s="2" t="s">
        <v>38</v>
      </c>
      <c r="E43" s="2" t="s">
        <v>39</v>
      </c>
      <c r="F43" s="2" t="s">
        <v>496</v>
      </c>
      <c r="G43" s="2" t="s">
        <v>42</v>
      </c>
      <c r="H43" s="2" t="s">
        <v>42</v>
      </c>
      <c r="I43" s="2" t="s">
        <v>47</v>
      </c>
      <c r="J43" s="2" t="s">
        <v>44</v>
      </c>
      <c r="K43" s="2" t="s">
        <v>70</v>
      </c>
      <c r="L43" s="2" t="s">
        <v>50</v>
      </c>
      <c r="M43" s="2" t="s">
        <v>52</v>
      </c>
      <c r="N43" s="2" t="s">
        <v>72</v>
      </c>
      <c r="O43" s="2" t="s">
        <v>73</v>
      </c>
      <c r="P43" s="2" t="s">
        <v>56</v>
      </c>
      <c r="Q43" s="2">
        <v>43</v>
      </c>
      <c r="R43" s="2" t="b">
        <v>1</v>
      </c>
      <c r="S43" s="2">
        <v>0.63722397476340686</v>
      </c>
      <c r="V43" s="2" t="s">
        <v>510</v>
      </c>
      <c r="W43" s="2" t="s">
        <v>522</v>
      </c>
      <c r="X43" s="2" t="s">
        <v>523</v>
      </c>
      <c r="Y43" s="2" t="b">
        <v>1</v>
      </c>
      <c r="Z43" s="2" t="s">
        <v>67</v>
      </c>
      <c r="AA43" s="2">
        <v>0.2</v>
      </c>
    </row>
    <row r="44" spans="1:27" ht="15.75" hidden="1" customHeight="1" x14ac:dyDescent="0.3">
      <c r="A44" s="2" t="s">
        <v>37</v>
      </c>
      <c r="B44" s="2" t="s">
        <v>38</v>
      </c>
      <c r="C44" s="2" t="s">
        <v>41</v>
      </c>
      <c r="D44" s="2" t="s">
        <v>38</v>
      </c>
      <c r="E44" s="2" t="s">
        <v>39</v>
      </c>
      <c r="F44" s="2" t="s">
        <v>496</v>
      </c>
      <c r="G44" s="2" t="s">
        <v>42</v>
      </c>
      <c r="H44" s="2" t="s">
        <v>42</v>
      </c>
      <c r="I44" s="2" t="s">
        <v>47</v>
      </c>
      <c r="J44" s="2" t="s">
        <v>44</v>
      </c>
      <c r="K44" s="2" t="s">
        <v>81</v>
      </c>
      <c r="L44" s="2" t="s">
        <v>50</v>
      </c>
      <c r="M44" s="2" t="s">
        <v>52</v>
      </c>
      <c r="N44" s="2" t="s">
        <v>83</v>
      </c>
      <c r="O44" s="2" t="s">
        <v>84</v>
      </c>
      <c r="P44" s="2" t="s">
        <v>56</v>
      </c>
      <c r="Q44" s="2">
        <v>44</v>
      </c>
      <c r="R44" s="2" t="b">
        <v>1</v>
      </c>
      <c r="S44" s="2">
        <v>0.5642633228840126</v>
      </c>
      <c r="V44" s="2" t="s">
        <v>510</v>
      </c>
      <c r="W44" s="2" t="s">
        <v>532</v>
      </c>
      <c r="X44" s="2" t="s">
        <v>533</v>
      </c>
      <c r="Y44" s="2" t="b">
        <v>1</v>
      </c>
      <c r="Z44" s="2" t="s">
        <v>67</v>
      </c>
      <c r="AA44" s="2">
        <v>0.2</v>
      </c>
    </row>
    <row r="45" spans="1:27" ht="15.75" hidden="1" customHeight="1" x14ac:dyDescent="0.3">
      <c r="A45" s="2" t="s">
        <v>37</v>
      </c>
      <c r="B45" s="2" t="s">
        <v>38</v>
      </c>
      <c r="C45" s="2" t="s">
        <v>41</v>
      </c>
      <c r="D45" s="2" t="s">
        <v>38</v>
      </c>
      <c r="E45" s="2" t="s">
        <v>39</v>
      </c>
      <c r="F45" s="2" t="s">
        <v>496</v>
      </c>
      <c r="G45" s="2" t="s">
        <v>42</v>
      </c>
      <c r="H45" s="2" t="s">
        <v>42</v>
      </c>
      <c r="I45" s="2" t="s">
        <v>47</v>
      </c>
      <c r="J45" s="2" t="s">
        <v>44</v>
      </c>
      <c r="K45" s="2" t="s">
        <v>91</v>
      </c>
      <c r="L45" s="2" t="s">
        <v>50</v>
      </c>
      <c r="M45" s="2" t="s">
        <v>52</v>
      </c>
      <c r="N45" s="2" t="s">
        <v>92</v>
      </c>
      <c r="O45" s="2" t="s">
        <v>93</v>
      </c>
      <c r="P45" s="2" t="s">
        <v>56</v>
      </c>
      <c r="Q45" s="2">
        <v>45</v>
      </c>
      <c r="R45" s="2" t="b">
        <v>1</v>
      </c>
      <c r="S45" s="2">
        <v>0.6262626262626263</v>
      </c>
      <c r="V45" s="2" t="s">
        <v>510</v>
      </c>
      <c r="W45" s="2" t="s">
        <v>544</v>
      </c>
      <c r="X45" s="2" t="s">
        <v>546</v>
      </c>
      <c r="Y45" s="2" t="b">
        <v>1</v>
      </c>
      <c r="Z45" s="2" t="s">
        <v>67</v>
      </c>
      <c r="AA45" s="2">
        <v>0.2</v>
      </c>
    </row>
    <row r="46" spans="1:27" ht="15.75" hidden="1" customHeight="1" x14ac:dyDescent="0.3">
      <c r="A46" s="2" t="s">
        <v>37</v>
      </c>
      <c r="B46" s="2" t="s">
        <v>38</v>
      </c>
      <c r="C46" s="2" t="s">
        <v>41</v>
      </c>
      <c r="D46" s="2" t="s">
        <v>38</v>
      </c>
      <c r="E46" s="2" t="s">
        <v>39</v>
      </c>
      <c r="F46" s="2" t="s">
        <v>496</v>
      </c>
      <c r="G46" s="2" t="s">
        <v>42</v>
      </c>
      <c r="H46" s="2" t="s">
        <v>42</v>
      </c>
      <c r="I46" s="2" t="s">
        <v>47</v>
      </c>
      <c r="J46" s="2" t="s">
        <v>44</v>
      </c>
      <c r="K46" s="2" t="s">
        <v>100</v>
      </c>
      <c r="L46" s="2" t="s">
        <v>50</v>
      </c>
      <c r="M46" s="2" t="s">
        <v>52</v>
      </c>
      <c r="N46" s="2" t="s">
        <v>102</v>
      </c>
      <c r="O46" s="2" t="s">
        <v>104</v>
      </c>
      <c r="P46" s="2" t="s">
        <v>56</v>
      </c>
      <c r="Q46" s="2">
        <v>46</v>
      </c>
      <c r="R46" s="2" t="b">
        <v>1</v>
      </c>
      <c r="S46" s="2">
        <v>0.61538461538461542</v>
      </c>
      <c r="V46" s="2" t="s">
        <v>510</v>
      </c>
      <c r="W46" s="2" t="s">
        <v>556</v>
      </c>
      <c r="X46" s="2" t="s">
        <v>557</v>
      </c>
      <c r="Y46" s="2" t="b">
        <v>1</v>
      </c>
      <c r="Z46" s="2" t="s">
        <v>67</v>
      </c>
      <c r="AA46" s="2">
        <v>0.2</v>
      </c>
    </row>
    <row r="47" spans="1:27" ht="15.75" hidden="1" customHeight="1" x14ac:dyDescent="0.3">
      <c r="A47" s="2" t="s">
        <v>37</v>
      </c>
      <c r="B47" s="2" t="s">
        <v>38</v>
      </c>
      <c r="C47" s="2" t="s">
        <v>41</v>
      </c>
      <c r="D47" s="2" t="s">
        <v>38</v>
      </c>
      <c r="E47" s="2" t="s">
        <v>39</v>
      </c>
      <c r="F47" s="2" t="s">
        <v>496</v>
      </c>
      <c r="G47" s="2" t="s">
        <v>42</v>
      </c>
      <c r="H47" s="2" t="s">
        <v>42</v>
      </c>
      <c r="I47" s="2" t="s">
        <v>47</v>
      </c>
      <c r="J47" s="2" t="s">
        <v>44</v>
      </c>
      <c r="K47" s="2" t="s">
        <v>111</v>
      </c>
      <c r="L47" s="2" t="s">
        <v>50</v>
      </c>
      <c r="M47" s="2" t="s">
        <v>52</v>
      </c>
      <c r="N47" s="2" t="s">
        <v>112</v>
      </c>
      <c r="O47" s="2" t="s">
        <v>114</v>
      </c>
      <c r="P47" s="2" t="s">
        <v>56</v>
      </c>
      <c r="Q47" s="2">
        <v>47</v>
      </c>
      <c r="R47" s="2" t="b">
        <v>1</v>
      </c>
      <c r="S47" s="2">
        <v>0.31404958677685951</v>
      </c>
      <c r="V47" s="2" t="s">
        <v>510</v>
      </c>
      <c r="W47" s="2" t="s">
        <v>562</v>
      </c>
      <c r="X47" s="2" t="s">
        <v>563</v>
      </c>
      <c r="Y47" s="2" t="b">
        <v>1</v>
      </c>
      <c r="Z47" s="2" t="s">
        <v>67</v>
      </c>
      <c r="AA47" s="2">
        <v>0.2</v>
      </c>
    </row>
    <row r="48" spans="1:27" ht="15.75" hidden="1" customHeight="1" x14ac:dyDescent="0.3">
      <c r="A48" s="2" t="s">
        <v>37</v>
      </c>
      <c r="B48" s="2" t="s">
        <v>38</v>
      </c>
      <c r="C48" s="2" t="s">
        <v>41</v>
      </c>
      <c r="D48" s="2" t="s">
        <v>38</v>
      </c>
      <c r="E48" s="2" t="s">
        <v>39</v>
      </c>
      <c r="F48" s="2" t="s">
        <v>496</v>
      </c>
      <c r="G48" s="2" t="s">
        <v>42</v>
      </c>
      <c r="H48" s="2" t="s">
        <v>42</v>
      </c>
      <c r="I48" s="2" t="s">
        <v>47</v>
      </c>
      <c r="J48" s="2" t="s">
        <v>44</v>
      </c>
      <c r="K48" s="2" t="s">
        <v>123</v>
      </c>
      <c r="L48" s="2" t="s">
        <v>50</v>
      </c>
      <c r="M48" s="2" t="s">
        <v>52</v>
      </c>
      <c r="N48" s="2" t="s">
        <v>124</v>
      </c>
      <c r="O48" s="2" t="s">
        <v>125</v>
      </c>
      <c r="P48" s="2" t="s">
        <v>56</v>
      </c>
      <c r="Q48" s="2">
        <v>48</v>
      </c>
      <c r="R48" s="2" t="b">
        <v>1</v>
      </c>
      <c r="S48" s="2">
        <v>0.61442006269592475</v>
      </c>
      <c r="V48" s="2" t="s">
        <v>510</v>
      </c>
      <c r="W48" s="2" t="s">
        <v>572</v>
      </c>
      <c r="X48" s="2" t="s">
        <v>573</v>
      </c>
      <c r="Y48" s="2" t="b">
        <v>1</v>
      </c>
      <c r="Z48" s="2" t="s">
        <v>67</v>
      </c>
      <c r="AA48" s="2">
        <v>0.2</v>
      </c>
    </row>
    <row r="49" spans="1:27" ht="15.75" hidden="1" customHeight="1" x14ac:dyDescent="0.3">
      <c r="A49" s="2" t="s">
        <v>37</v>
      </c>
      <c r="B49" s="2" t="s">
        <v>38</v>
      </c>
      <c r="C49" s="2" t="s">
        <v>41</v>
      </c>
      <c r="D49" s="2" t="s">
        <v>38</v>
      </c>
      <c r="E49" s="2" t="s">
        <v>39</v>
      </c>
      <c r="F49" s="2" t="s">
        <v>496</v>
      </c>
      <c r="G49" s="2" t="s">
        <v>42</v>
      </c>
      <c r="H49" s="2" t="s">
        <v>42</v>
      </c>
      <c r="I49" s="2" t="s">
        <v>47</v>
      </c>
      <c r="J49" s="2" t="s">
        <v>44</v>
      </c>
      <c r="K49" s="2" t="s">
        <v>132</v>
      </c>
      <c r="L49" s="2" t="s">
        <v>50</v>
      </c>
      <c r="M49" s="2" t="s">
        <v>52</v>
      </c>
      <c r="N49" s="2" t="s">
        <v>133</v>
      </c>
      <c r="O49" s="2" t="s">
        <v>134</v>
      </c>
      <c r="P49" s="2" t="s">
        <v>56</v>
      </c>
      <c r="Q49" s="2">
        <v>49</v>
      </c>
      <c r="R49" s="2" t="b">
        <v>1</v>
      </c>
      <c r="S49" s="2">
        <v>0.40663900414937759</v>
      </c>
      <c r="V49" s="2" t="s">
        <v>510</v>
      </c>
      <c r="W49" s="2" t="s">
        <v>584</v>
      </c>
      <c r="X49" s="2" t="s">
        <v>586</v>
      </c>
      <c r="Y49" s="2" t="b">
        <v>1</v>
      </c>
      <c r="Z49" s="2" t="s">
        <v>67</v>
      </c>
      <c r="AA49" s="2">
        <v>0.2</v>
      </c>
    </row>
    <row r="50" spans="1:27" ht="15.75" hidden="1" customHeight="1" x14ac:dyDescent="0.3">
      <c r="A50" s="2" t="s">
        <v>37</v>
      </c>
      <c r="B50" s="2" t="s">
        <v>38</v>
      </c>
      <c r="C50" s="2" t="s">
        <v>41</v>
      </c>
      <c r="D50" s="2" t="s">
        <v>38</v>
      </c>
      <c r="E50" s="2" t="s">
        <v>39</v>
      </c>
      <c r="F50" s="2" t="s">
        <v>496</v>
      </c>
      <c r="G50" s="2" t="s">
        <v>42</v>
      </c>
      <c r="H50" s="2" t="s">
        <v>42</v>
      </c>
      <c r="I50" s="2" t="s">
        <v>47</v>
      </c>
      <c r="J50" s="2" t="s">
        <v>44</v>
      </c>
      <c r="K50" s="2" t="s">
        <v>142</v>
      </c>
      <c r="L50" s="2" t="s">
        <v>50</v>
      </c>
      <c r="M50" s="2" t="s">
        <v>52</v>
      </c>
      <c r="N50" s="2" t="s">
        <v>144</v>
      </c>
      <c r="O50" s="2" t="s">
        <v>145</v>
      </c>
      <c r="P50" s="2" t="s">
        <v>56</v>
      </c>
      <c r="Q50" s="2">
        <v>50</v>
      </c>
      <c r="R50" s="2" t="b">
        <v>1</v>
      </c>
      <c r="S50" s="2">
        <v>0.57347670250896066</v>
      </c>
      <c r="V50" s="2" t="s">
        <v>510</v>
      </c>
      <c r="W50" s="2" t="s">
        <v>599</v>
      </c>
      <c r="X50" s="2" t="s">
        <v>601</v>
      </c>
      <c r="Y50" s="2" t="b">
        <v>1</v>
      </c>
      <c r="Z50" s="2" t="s">
        <v>67</v>
      </c>
      <c r="AA50" s="2">
        <v>0.2</v>
      </c>
    </row>
    <row r="51" spans="1:27" ht="15.75" hidden="1" customHeight="1" x14ac:dyDescent="0.3">
      <c r="A51" s="2" t="s">
        <v>37</v>
      </c>
      <c r="B51" s="2" t="s">
        <v>38</v>
      </c>
      <c r="C51" s="2" t="s">
        <v>41</v>
      </c>
      <c r="D51" s="2" t="s">
        <v>38</v>
      </c>
      <c r="E51" s="2" t="s">
        <v>39</v>
      </c>
      <c r="F51" s="2" t="s">
        <v>496</v>
      </c>
      <c r="G51" s="2" t="s">
        <v>42</v>
      </c>
      <c r="H51" s="2" t="s">
        <v>42</v>
      </c>
      <c r="I51" s="2" t="s">
        <v>47</v>
      </c>
      <c r="J51" s="2" t="s">
        <v>44</v>
      </c>
      <c r="K51" s="2" t="s">
        <v>153</v>
      </c>
      <c r="L51" s="2" t="s">
        <v>50</v>
      </c>
      <c r="M51" s="2" t="s">
        <v>52</v>
      </c>
      <c r="N51" s="2" t="s">
        <v>155</v>
      </c>
      <c r="O51" s="2" t="s">
        <v>156</v>
      </c>
      <c r="P51" s="2" t="s">
        <v>56</v>
      </c>
      <c r="Q51" s="2">
        <v>51</v>
      </c>
      <c r="R51" s="2" t="b">
        <v>1</v>
      </c>
      <c r="S51" s="2">
        <v>0.42499999999999999</v>
      </c>
      <c r="V51" s="2" t="s">
        <v>510</v>
      </c>
      <c r="W51" s="2" t="s">
        <v>608</v>
      </c>
      <c r="X51" s="2" t="s">
        <v>609</v>
      </c>
      <c r="Y51" s="2" t="b">
        <v>1</v>
      </c>
      <c r="Z51" s="2" t="s">
        <v>67</v>
      </c>
      <c r="AA51" s="2">
        <v>0.1</v>
      </c>
    </row>
    <row r="52" spans="1:27" ht="15.75" hidden="1" customHeight="1" x14ac:dyDescent="0.3">
      <c r="A52" s="2" t="s">
        <v>37</v>
      </c>
      <c r="B52" s="2" t="s">
        <v>38</v>
      </c>
      <c r="C52" s="2" t="s">
        <v>41</v>
      </c>
      <c r="D52" s="2" t="s">
        <v>38</v>
      </c>
      <c r="E52" s="2" t="s">
        <v>39</v>
      </c>
      <c r="F52" s="2" t="s">
        <v>496</v>
      </c>
      <c r="G52" s="2" t="s">
        <v>42</v>
      </c>
      <c r="H52" s="2" t="s">
        <v>42</v>
      </c>
      <c r="I52" s="2" t="s">
        <v>47</v>
      </c>
      <c r="J52" s="2" t="s">
        <v>44</v>
      </c>
      <c r="K52" s="2" t="s">
        <v>163</v>
      </c>
      <c r="L52" s="2" t="s">
        <v>50</v>
      </c>
      <c r="M52" s="2" t="s">
        <v>52</v>
      </c>
      <c r="N52" s="2" t="s">
        <v>164</v>
      </c>
      <c r="O52" s="2" t="s">
        <v>165</v>
      </c>
      <c r="P52" s="2" t="s">
        <v>56</v>
      </c>
      <c r="Q52" s="2">
        <v>52</v>
      </c>
      <c r="R52" s="2" t="b">
        <v>1</v>
      </c>
      <c r="S52" s="2">
        <v>0.64880952380952384</v>
      </c>
      <c r="V52" s="2" t="s">
        <v>510</v>
      </c>
      <c r="W52" s="2" t="s">
        <v>619</v>
      </c>
      <c r="X52" s="2" t="s">
        <v>621</v>
      </c>
      <c r="Y52" s="2" t="b">
        <v>1</v>
      </c>
      <c r="Z52" s="2" t="s">
        <v>67</v>
      </c>
      <c r="AA52" s="2">
        <v>0.2</v>
      </c>
    </row>
    <row r="53" spans="1:27" ht="15.75" hidden="1" customHeight="1" x14ac:dyDescent="0.3">
      <c r="A53" s="2" t="s">
        <v>37</v>
      </c>
      <c r="B53" s="2" t="s">
        <v>38</v>
      </c>
      <c r="C53" s="2" t="s">
        <v>41</v>
      </c>
      <c r="D53" s="2" t="s">
        <v>38</v>
      </c>
      <c r="E53" s="2" t="s">
        <v>39</v>
      </c>
      <c r="F53" s="2" t="s">
        <v>496</v>
      </c>
      <c r="G53" s="2" t="s">
        <v>42</v>
      </c>
      <c r="H53" s="2" t="s">
        <v>42</v>
      </c>
      <c r="I53" s="2" t="s">
        <v>47</v>
      </c>
      <c r="J53" s="2" t="s">
        <v>44</v>
      </c>
      <c r="K53" s="2" t="s">
        <v>172</v>
      </c>
      <c r="L53" s="2" t="s">
        <v>50</v>
      </c>
      <c r="M53" s="2" t="s">
        <v>52</v>
      </c>
      <c r="N53" s="2" t="s">
        <v>175</v>
      </c>
      <c r="O53" s="2" t="s">
        <v>176</v>
      </c>
      <c r="P53" s="2" t="s">
        <v>56</v>
      </c>
      <c r="Q53" s="2">
        <v>53</v>
      </c>
      <c r="R53" s="2" t="b">
        <v>1</v>
      </c>
      <c r="S53" s="2">
        <v>0.56862745098039202</v>
      </c>
      <c r="V53" s="2" t="s">
        <v>510</v>
      </c>
      <c r="W53" s="2" t="s">
        <v>630</v>
      </c>
      <c r="X53" s="2" t="s">
        <v>631</v>
      </c>
      <c r="Y53" s="2" t="b">
        <v>1</v>
      </c>
      <c r="Z53" s="2" t="s">
        <v>67</v>
      </c>
      <c r="AA53" s="2">
        <v>0.2</v>
      </c>
    </row>
    <row r="54" spans="1:27" ht="15.75" hidden="1" customHeight="1" x14ac:dyDescent="0.3">
      <c r="A54" s="2" t="s">
        <v>37</v>
      </c>
      <c r="B54" s="2" t="s">
        <v>38</v>
      </c>
      <c r="C54" s="2" t="s">
        <v>41</v>
      </c>
      <c r="D54" s="2" t="s">
        <v>38</v>
      </c>
      <c r="E54" s="2" t="s">
        <v>39</v>
      </c>
      <c r="F54" s="2" t="s">
        <v>496</v>
      </c>
      <c r="G54" s="2" t="s">
        <v>42</v>
      </c>
      <c r="H54" s="2" t="s">
        <v>42</v>
      </c>
      <c r="I54" s="2" t="s">
        <v>47</v>
      </c>
      <c r="J54" s="2" t="s">
        <v>44</v>
      </c>
      <c r="K54" s="2" t="s">
        <v>181</v>
      </c>
      <c r="L54" s="2" t="s">
        <v>50</v>
      </c>
      <c r="M54" s="2" t="s">
        <v>52</v>
      </c>
      <c r="N54" s="2" t="s">
        <v>184</v>
      </c>
      <c r="O54" s="2" t="s">
        <v>185</v>
      </c>
      <c r="P54" s="2" t="s">
        <v>56</v>
      </c>
      <c r="Q54" s="2">
        <v>54</v>
      </c>
      <c r="R54" s="2" t="b">
        <v>1</v>
      </c>
      <c r="S54" s="2">
        <v>0.63448275862068959</v>
      </c>
      <c r="V54" s="2" t="s">
        <v>510</v>
      </c>
      <c r="W54" s="2" t="s">
        <v>635</v>
      </c>
      <c r="X54" s="2" t="s">
        <v>637</v>
      </c>
      <c r="Y54" s="2" t="b">
        <v>1</v>
      </c>
      <c r="Z54" s="2" t="s">
        <v>67</v>
      </c>
      <c r="AA54" s="2">
        <v>0.2</v>
      </c>
    </row>
    <row r="55" spans="1:27" ht="15.75" hidden="1" customHeight="1" x14ac:dyDescent="0.3">
      <c r="A55" s="2" t="s">
        <v>37</v>
      </c>
      <c r="B55" s="2" t="s">
        <v>38</v>
      </c>
      <c r="C55" s="2" t="s">
        <v>41</v>
      </c>
      <c r="D55" s="2" t="s">
        <v>38</v>
      </c>
      <c r="E55" s="2" t="s">
        <v>39</v>
      </c>
      <c r="F55" s="2" t="s">
        <v>496</v>
      </c>
      <c r="G55" s="2" t="s">
        <v>42</v>
      </c>
      <c r="H55" s="2" t="s">
        <v>42</v>
      </c>
      <c r="I55" s="2" t="s">
        <v>47</v>
      </c>
      <c r="J55" s="2" t="s">
        <v>44</v>
      </c>
      <c r="K55" s="2" t="s">
        <v>190</v>
      </c>
      <c r="L55" s="2" t="s">
        <v>50</v>
      </c>
      <c r="M55" s="2" t="s">
        <v>52</v>
      </c>
      <c r="N55" s="2" t="s">
        <v>191</v>
      </c>
      <c r="O55" s="2" t="s">
        <v>192</v>
      </c>
      <c r="P55" s="2" t="s">
        <v>56</v>
      </c>
      <c r="Q55" s="2">
        <v>55</v>
      </c>
      <c r="R55" s="2" t="b">
        <v>1</v>
      </c>
      <c r="S55" s="2">
        <v>0.64797507788162001</v>
      </c>
      <c r="V55" s="2" t="s">
        <v>510</v>
      </c>
      <c r="W55" s="2" t="s">
        <v>642</v>
      </c>
      <c r="X55" s="2" t="s">
        <v>643</v>
      </c>
      <c r="Y55" s="2" t="b">
        <v>1</v>
      </c>
      <c r="Z55" s="2" t="s">
        <v>67</v>
      </c>
      <c r="AA55" s="2">
        <v>0.2</v>
      </c>
    </row>
    <row r="56" spans="1:27" ht="15.75" hidden="1" customHeight="1" x14ac:dyDescent="0.3">
      <c r="A56" s="2" t="s">
        <v>37</v>
      </c>
      <c r="B56" s="2" t="s">
        <v>38</v>
      </c>
      <c r="C56" s="2" t="s">
        <v>41</v>
      </c>
      <c r="D56" s="2" t="s">
        <v>38</v>
      </c>
      <c r="E56" s="2" t="s">
        <v>39</v>
      </c>
      <c r="F56" s="2" t="s">
        <v>496</v>
      </c>
      <c r="G56" s="2" t="s">
        <v>42</v>
      </c>
      <c r="H56" s="2" t="s">
        <v>42</v>
      </c>
      <c r="I56" s="2" t="s">
        <v>47</v>
      </c>
      <c r="J56" s="2" t="s">
        <v>44</v>
      </c>
      <c r="K56" s="2" t="s">
        <v>199</v>
      </c>
      <c r="L56" s="2" t="s">
        <v>50</v>
      </c>
      <c r="M56" s="2" t="s">
        <v>52</v>
      </c>
      <c r="N56" s="2" t="s">
        <v>200</v>
      </c>
      <c r="O56" s="2" t="s">
        <v>201</v>
      </c>
      <c r="P56" s="2" t="s">
        <v>56</v>
      </c>
      <c r="Q56" s="2">
        <v>56</v>
      </c>
      <c r="R56" s="2" t="b">
        <v>1</v>
      </c>
      <c r="S56" s="2">
        <v>0.64</v>
      </c>
      <c r="V56" s="2" t="s">
        <v>510</v>
      </c>
      <c r="W56" s="2" t="s">
        <v>648</v>
      </c>
      <c r="X56" s="2" t="s">
        <v>649</v>
      </c>
      <c r="Y56" s="2" t="b">
        <v>1</v>
      </c>
      <c r="Z56" s="2" t="s">
        <v>67</v>
      </c>
      <c r="AA56" s="2">
        <v>0.2</v>
      </c>
    </row>
    <row r="57" spans="1:27" ht="15.75" hidden="1" customHeight="1" x14ac:dyDescent="0.3">
      <c r="A57" s="2" t="s">
        <v>37</v>
      </c>
      <c r="B57" s="2" t="s">
        <v>38</v>
      </c>
      <c r="C57" s="2" t="s">
        <v>41</v>
      </c>
      <c r="D57" s="2" t="s">
        <v>38</v>
      </c>
      <c r="E57" s="2" t="s">
        <v>39</v>
      </c>
      <c r="F57" s="2" t="s">
        <v>496</v>
      </c>
      <c r="G57" s="2" t="s">
        <v>42</v>
      </c>
      <c r="H57" s="2" t="s">
        <v>42</v>
      </c>
      <c r="I57" s="2" t="s">
        <v>47</v>
      </c>
      <c r="J57" s="2" t="s">
        <v>44</v>
      </c>
      <c r="K57" s="2" t="s">
        <v>208</v>
      </c>
      <c r="L57" s="2" t="s">
        <v>50</v>
      </c>
      <c r="M57" s="2" t="s">
        <v>52</v>
      </c>
      <c r="N57" s="2" t="s">
        <v>209</v>
      </c>
      <c r="O57" s="2" t="s">
        <v>210</v>
      </c>
      <c r="P57" s="2" t="s">
        <v>56</v>
      </c>
      <c r="Q57" s="2">
        <v>57</v>
      </c>
      <c r="R57" s="2" t="b">
        <v>1</v>
      </c>
      <c r="S57" s="2">
        <v>0.64197530864197527</v>
      </c>
      <c r="V57" s="2" t="s">
        <v>510</v>
      </c>
      <c r="W57" s="2" t="s">
        <v>654</v>
      </c>
      <c r="X57" s="2" t="s">
        <v>659</v>
      </c>
      <c r="Y57" s="2" t="b">
        <v>1</v>
      </c>
      <c r="Z57" s="2" t="s">
        <v>67</v>
      </c>
      <c r="AA57" s="2">
        <v>0.1</v>
      </c>
    </row>
    <row r="58" spans="1:27" ht="15.75" hidden="1" customHeight="1" x14ac:dyDescent="0.3">
      <c r="A58" s="2" t="s">
        <v>37</v>
      </c>
      <c r="B58" s="2" t="s">
        <v>38</v>
      </c>
      <c r="C58" s="2" t="s">
        <v>41</v>
      </c>
      <c r="D58" s="2" t="s">
        <v>38</v>
      </c>
      <c r="E58" s="2" t="s">
        <v>39</v>
      </c>
      <c r="F58" s="2" t="s">
        <v>496</v>
      </c>
      <c r="G58" s="2" t="s">
        <v>42</v>
      </c>
      <c r="H58" s="2" t="s">
        <v>42</v>
      </c>
      <c r="I58" s="2" t="s">
        <v>47</v>
      </c>
      <c r="J58" s="2" t="s">
        <v>44</v>
      </c>
      <c r="K58" s="2" t="s">
        <v>217</v>
      </c>
      <c r="L58" s="2" t="s">
        <v>50</v>
      </c>
      <c r="M58" s="2" t="s">
        <v>52</v>
      </c>
      <c r="N58" s="2" t="s">
        <v>218</v>
      </c>
      <c r="O58" s="2" t="s">
        <v>219</v>
      </c>
      <c r="P58" s="2" t="s">
        <v>56</v>
      </c>
      <c r="Q58" s="2">
        <v>58</v>
      </c>
      <c r="R58" s="2" t="b">
        <v>1</v>
      </c>
      <c r="S58" s="2">
        <v>0.60479041916167664</v>
      </c>
      <c r="V58" s="2" t="s">
        <v>510</v>
      </c>
      <c r="W58" s="2" t="s">
        <v>664</v>
      </c>
      <c r="X58" s="2" t="s">
        <v>666</v>
      </c>
      <c r="Y58" s="2" t="b">
        <v>1</v>
      </c>
      <c r="Z58" s="2" t="s">
        <v>67</v>
      </c>
      <c r="AA58" s="2">
        <v>0</v>
      </c>
    </row>
    <row r="59" spans="1:27" ht="15.75" hidden="1" customHeight="1" x14ac:dyDescent="0.3">
      <c r="A59" s="2" t="s">
        <v>37</v>
      </c>
      <c r="B59" s="2" t="s">
        <v>38</v>
      </c>
      <c r="C59" s="2" t="s">
        <v>41</v>
      </c>
      <c r="D59" s="2" t="s">
        <v>38</v>
      </c>
      <c r="E59" s="2" t="s">
        <v>39</v>
      </c>
      <c r="F59" s="2" t="s">
        <v>496</v>
      </c>
      <c r="G59" s="2" t="s">
        <v>42</v>
      </c>
      <c r="H59" s="2" t="s">
        <v>42</v>
      </c>
      <c r="I59" s="2" t="s">
        <v>47</v>
      </c>
      <c r="J59" s="2" t="s">
        <v>44</v>
      </c>
      <c r="K59" s="2" t="s">
        <v>230</v>
      </c>
      <c r="L59" s="2" t="s">
        <v>50</v>
      </c>
      <c r="M59" s="2" t="s">
        <v>52</v>
      </c>
      <c r="N59" s="2" t="s">
        <v>231</v>
      </c>
      <c r="O59" s="2" t="s">
        <v>232</v>
      </c>
      <c r="P59" s="2" t="s">
        <v>56</v>
      </c>
      <c r="Q59" s="2">
        <v>59</v>
      </c>
      <c r="R59" s="2" t="b">
        <v>1</v>
      </c>
      <c r="S59" s="2">
        <v>0.61281337047353757</v>
      </c>
      <c r="V59" s="2" t="s">
        <v>510</v>
      </c>
      <c r="W59" s="2" t="s">
        <v>671</v>
      </c>
      <c r="X59" s="2" t="s">
        <v>672</v>
      </c>
      <c r="Y59" s="2" t="b">
        <v>1</v>
      </c>
      <c r="Z59" s="2" t="s">
        <v>67</v>
      </c>
      <c r="AA59" s="2">
        <v>0</v>
      </c>
    </row>
    <row r="60" spans="1:27" ht="15.75" hidden="1" customHeight="1" x14ac:dyDescent="0.3">
      <c r="A60" s="2" t="s">
        <v>37</v>
      </c>
      <c r="B60" s="2" t="s">
        <v>38</v>
      </c>
      <c r="C60" s="2" t="s">
        <v>41</v>
      </c>
      <c r="D60" s="2" t="s">
        <v>38</v>
      </c>
      <c r="E60" s="2" t="s">
        <v>39</v>
      </c>
      <c r="F60" s="2" t="s">
        <v>496</v>
      </c>
      <c r="G60" s="2" t="s">
        <v>42</v>
      </c>
      <c r="H60" s="2" t="s">
        <v>42</v>
      </c>
      <c r="I60" s="2" t="s">
        <v>47</v>
      </c>
      <c r="J60" s="2" t="s">
        <v>44</v>
      </c>
      <c r="K60" s="2" t="s">
        <v>242</v>
      </c>
      <c r="L60" s="2" t="s">
        <v>50</v>
      </c>
      <c r="M60" s="2" t="s">
        <v>52</v>
      </c>
      <c r="N60" s="2" t="s">
        <v>244</v>
      </c>
      <c r="O60" s="2" t="s">
        <v>246</v>
      </c>
      <c r="P60" s="2" t="s">
        <v>56</v>
      </c>
      <c r="Q60" s="2">
        <v>60</v>
      </c>
      <c r="R60" s="2" t="b">
        <v>1</v>
      </c>
      <c r="S60" s="2">
        <v>0.42499999999999999</v>
      </c>
      <c r="V60" s="2" t="s">
        <v>510</v>
      </c>
      <c r="W60" s="2" t="s">
        <v>676</v>
      </c>
      <c r="X60" s="2" t="s">
        <v>677</v>
      </c>
      <c r="Y60" s="2" t="b">
        <v>1</v>
      </c>
      <c r="Z60" s="2" t="s">
        <v>67</v>
      </c>
      <c r="AA60" s="2">
        <v>0</v>
      </c>
    </row>
    <row r="61" spans="1:27" ht="15.75" hidden="1" customHeight="1" x14ac:dyDescent="0.3">
      <c r="A61" s="2" t="s">
        <v>37</v>
      </c>
      <c r="B61" s="2" t="s">
        <v>38</v>
      </c>
      <c r="C61" s="2" t="s">
        <v>41</v>
      </c>
      <c r="D61" s="2" t="s">
        <v>38</v>
      </c>
      <c r="E61" s="2" t="s">
        <v>39</v>
      </c>
      <c r="F61" s="2" t="s">
        <v>496</v>
      </c>
      <c r="G61" s="2" t="s">
        <v>42</v>
      </c>
      <c r="H61" s="2" t="s">
        <v>42</v>
      </c>
      <c r="I61" s="2" t="s">
        <v>47</v>
      </c>
      <c r="J61" s="2" t="s">
        <v>44</v>
      </c>
      <c r="K61" s="2" t="s">
        <v>253</v>
      </c>
      <c r="L61" s="2" t="s">
        <v>50</v>
      </c>
      <c r="M61" s="2" t="s">
        <v>52</v>
      </c>
      <c r="N61" s="2" t="s">
        <v>254</v>
      </c>
      <c r="O61" s="2" t="s">
        <v>255</v>
      </c>
      <c r="P61" s="2" t="s">
        <v>56</v>
      </c>
      <c r="Q61" s="2">
        <v>61</v>
      </c>
      <c r="R61" s="2" t="b">
        <v>1</v>
      </c>
      <c r="S61" s="2">
        <v>0.63157894736842102</v>
      </c>
      <c r="V61" s="2" t="s">
        <v>510</v>
      </c>
      <c r="W61" s="2" t="s">
        <v>682</v>
      </c>
      <c r="X61" s="2" t="s">
        <v>683</v>
      </c>
      <c r="Y61" s="2" t="b">
        <v>1</v>
      </c>
      <c r="Z61" s="2" t="s">
        <v>67</v>
      </c>
      <c r="AA61" s="2">
        <v>0</v>
      </c>
    </row>
    <row r="62" spans="1:27" ht="15.75" hidden="1" customHeight="1" x14ac:dyDescent="0.3">
      <c r="A62" s="2" t="s">
        <v>37</v>
      </c>
      <c r="B62" s="2" t="s">
        <v>38</v>
      </c>
      <c r="C62" s="2" t="s">
        <v>41</v>
      </c>
      <c r="D62" s="2" t="s">
        <v>38</v>
      </c>
      <c r="E62" s="2" t="s">
        <v>39</v>
      </c>
      <c r="F62" s="2" t="s">
        <v>496</v>
      </c>
      <c r="G62" s="2" t="s">
        <v>42</v>
      </c>
      <c r="H62" s="2" t="s">
        <v>42</v>
      </c>
      <c r="I62" s="2" t="s">
        <v>239</v>
      </c>
      <c r="J62" s="2" t="s">
        <v>71</v>
      </c>
      <c r="K62" s="2" t="s">
        <v>262</v>
      </c>
      <c r="L62" s="2" t="s">
        <v>263</v>
      </c>
      <c r="M62" s="2" t="s">
        <v>264</v>
      </c>
      <c r="N62" s="2" t="s">
        <v>265</v>
      </c>
      <c r="O62" s="2" t="s">
        <v>266</v>
      </c>
      <c r="P62" s="2" t="s">
        <v>267</v>
      </c>
      <c r="Q62" s="2">
        <v>42</v>
      </c>
      <c r="R62" s="2" t="b">
        <v>0</v>
      </c>
      <c r="S62" s="2">
        <v>0.6312292358803987</v>
      </c>
      <c r="V62" s="2" t="s">
        <v>510</v>
      </c>
      <c r="W62" s="2" t="s">
        <v>685</v>
      </c>
      <c r="X62" s="2" t="s">
        <v>687</v>
      </c>
      <c r="Y62" s="2" t="b">
        <v>1</v>
      </c>
      <c r="Z62" s="2" t="s">
        <v>67</v>
      </c>
      <c r="AA62" s="2">
        <v>0</v>
      </c>
    </row>
    <row r="63" spans="1:27" ht="15.75" hidden="1" customHeight="1" x14ac:dyDescent="0.3">
      <c r="A63" s="2" t="s">
        <v>37</v>
      </c>
      <c r="B63" s="2" t="s">
        <v>38</v>
      </c>
      <c r="C63" s="2" t="s">
        <v>41</v>
      </c>
      <c r="D63" s="2" t="s">
        <v>38</v>
      </c>
      <c r="E63" s="2" t="s">
        <v>39</v>
      </c>
      <c r="F63" s="2" t="s">
        <v>496</v>
      </c>
      <c r="G63" s="2" t="s">
        <v>42</v>
      </c>
      <c r="H63" s="2" t="s">
        <v>42</v>
      </c>
      <c r="I63" s="2" t="s">
        <v>239</v>
      </c>
      <c r="J63" s="2" t="s">
        <v>71</v>
      </c>
      <c r="K63" s="2" t="s">
        <v>274</v>
      </c>
      <c r="L63" s="2" t="s">
        <v>263</v>
      </c>
      <c r="M63" s="2" t="s">
        <v>264</v>
      </c>
      <c r="N63" s="2" t="s">
        <v>275</v>
      </c>
      <c r="O63" s="2" t="s">
        <v>276</v>
      </c>
      <c r="P63" s="2" t="s">
        <v>267</v>
      </c>
      <c r="Q63" s="2">
        <v>43</v>
      </c>
      <c r="R63" s="2" t="b">
        <v>0</v>
      </c>
      <c r="S63" s="2">
        <v>0.5724137931034482</v>
      </c>
      <c r="V63" s="2" t="s">
        <v>510</v>
      </c>
      <c r="W63" s="2" t="s">
        <v>690</v>
      </c>
      <c r="X63" s="2" t="s">
        <v>691</v>
      </c>
      <c r="Y63" s="2" t="b">
        <v>1</v>
      </c>
      <c r="Z63" s="2" t="s">
        <v>67</v>
      </c>
      <c r="AA63" s="2">
        <v>0</v>
      </c>
    </row>
    <row r="64" spans="1:27" ht="15.75" hidden="1" customHeight="1" x14ac:dyDescent="0.3">
      <c r="A64" s="2" t="s">
        <v>37</v>
      </c>
      <c r="B64" s="2" t="s">
        <v>38</v>
      </c>
      <c r="C64" s="2" t="s">
        <v>41</v>
      </c>
      <c r="D64" s="2" t="s">
        <v>38</v>
      </c>
      <c r="E64" s="2" t="s">
        <v>39</v>
      </c>
      <c r="F64" s="2" t="s">
        <v>496</v>
      </c>
      <c r="G64" s="2" t="s">
        <v>42</v>
      </c>
      <c r="H64" s="2" t="s">
        <v>42</v>
      </c>
      <c r="I64" s="2" t="s">
        <v>239</v>
      </c>
      <c r="J64" s="2" t="s">
        <v>71</v>
      </c>
      <c r="K64" s="2" t="s">
        <v>283</v>
      </c>
      <c r="L64" s="2" t="s">
        <v>263</v>
      </c>
      <c r="M64" s="2" t="s">
        <v>264</v>
      </c>
      <c r="N64" s="2" t="s">
        <v>284</v>
      </c>
      <c r="O64" s="2" t="s">
        <v>285</v>
      </c>
      <c r="P64" s="2" t="s">
        <v>267</v>
      </c>
      <c r="Q64" s="2">
        <v>44</v>
      </c>
      <c r="R64" s="2" t="b">
        <v>0</v>
      </c>
      <c r="S64" s="2">
        <v>0.66043613707165105</v>
      </c>
      <c r="V64" s="2" t="s">
        <v>510</v>
      </c>
      <c r="W64" s="2" t="s">
        <v>696</v>
      </c>
      <c r="X64" s="2" t="s">
        <v>697</v>
      </c>
      <c r="Y64" s="2" t="b">
        <v>1</v>
      </c>
      <c r="Z64" s="2" t="s">
        <v>67</v>
      </c>
      <c r="AA64" s="2">
        <v>0</v>
      </c>
    </row>
    <row r="65" spans="1:27" ht="15.75" hidden="1" customHeight="1" x14ac:dyDescent="0.3">
      <c r="A65" s="2" t="s">
        <v>37</v>
      </c>
      <c r="B65" s="2" t="s">
        <v>38</v>
      </c>
      <c r="C65" s="2" t="s">
        <v>41</v>
      </c>
      <c r="D65" s="2" t="s">
        <v>38</v>
      </c>
      <c r="E65" s="2" t="s">
        <v>39</v>
      </c>
      <c r="F65" s="2" t="s">
        <v>496</v>
      </c>
      <c r="G65" s="2" t="s">
        <v>42</v>
      </c>
      <c r="H65" s="2" t="s">
        <v>42</v>
      </c>
      <c r="I65" s="2" t="s">
        <v>239</v>
      </c>
      <c r="J65" s="2" t="s">
        <v>71</v>
      </c>
      <c r="K65" s="2" t="s">
        <v>292</v>
      </c>
      <c r="L65" s="2" t="s">
        <v>263</v>
      </c>
      <c r="M65" s="2" t="s">
        <v>264</v>
      </c>
      <c r="N65" s="2" t="s">
        <v>293</v>
      </c>
      <c r="O65" s="2" t="s">
        <v>294</v>
      </c>
      <c r="P65" s="2" t="s">
        <v>267</v>
      </c>
      <c r="Q65" s="2">
        <v>45</v>
      </c>
      <c r="R65" s="2" t="b">
        <v>0</v>
      </c>
      <c r="S65" s="2">
        <v>0.68354430379746833</v>
      </c>
      <c r="V65" s="2" t="s">
        <v>510</v>
      </c>
      <c r="W65" s="2" t="s">
        <v>702</v>
      </c>
      <c r="X65" s="2" t="s">
        <v>703</v>
      </c>
      <c r="Y65" s="2" t="b">
        <v>1</v>
      </c>
      <c r="Z65" s="2" t="s">
        <v>67</v>
      </c>
      <c r="AA65" s="2">
        <v>0</v>
      </c>
    </row>
    <row r="66" spans="1:27" ht="15.75" hidden="1" customHeight="1" x14ac:dyDescent="0.3">
      <c r="A66" s="2" t="s">
        <v>37</v>
      </c>
      <c r="B66" s="2" t="s">
        <v>38</v>
      </c>
      <c r="C66" s="2" t="s">
        <v>41</v>
      </c>
      <c r="D66" s="2" t="s">
        <v>38</v>
      </c>
      <c r="E66" s="2" t="s">
        <v>39</v>
      </c>
      <c r="F66" s="2" t="s">
        <v>496</v>
      </c>
      <c r="G66" s="2" t="s">
        <v>42</v>
      </c>
      <c r="H66" s="2" t="s">
        <v>42</v>
      </c>
      <c r="I66" s="2" t="s">
        <v>239</v>
      </c>
      <c r="J66" s="2" t="s">
        <v>71</v>
      </c>
      <c r="K66" s="2" t="s">
        <v>297</v>
      </c>
      <c r="L66" s="2" t="s">
        <v>263</v>
      </c>
      <c r="M66" s="2" t="s">
        <v>264</v>
      </c>
      <c r="N66" s="2" t="s">
        <v>298</v>
      </c>
      <c r="O66" s="2" t="s">
        <v>299</v>
      </c>
      <c r="P66" s="2" t="s">
        <v>267</v>
      </c>
      <c r="Q66" s="2">
        <v>46</v>
      </c>
      <c r="R66" s="2" t="b">
        <v>0</v>
      </c>
      <c r="S66" s="2">
        <v>0.64</v>
      </c>
      <c r="V66" s="2" t="s">
        <v>510</v>
      </c>
      <c r="W66" s="2" t="s">
        <v>708</v>
      </c>
      <c r="X66" s="2" t="s">
        <v>709</v>
      </c>
      <c r="Y66" s="2" t="b">
        <v>1</v>
      </c>
      <c r="Z66" s="2" t="s">
        <v>67</v>
      </c>
      <c r="AA66" s="2">
        <v>0</v>
      </c>
    </row>
    <row r="67" spans="1:27" ht="15.75" hidden="1" customHeight="1" x14ac:dyDescent="0.3">
      <c r="A67" s="2" t="s">
        <v>37</v>
      </c>
      <c r="B67" s="2" t="s">
        <v>38</v>
      </c>
      <c r="C67" s="2" t="s">
        <v>41</v>
      </c>
      <c r="D67" s="2" t="s">
        <v>38</v>
      </c>
      <c r="E67" s="2" t="s">
        <v>39</v>
      </c>
      <c r="F67" s="2" t="s">
        <v>496</v>
      </c>
      <c r="G67" s="2" t="s">
        <v>42</v>
      </c>
      <c r="H67" s="2" t="s">
        <v>42</v>
      </c>
      <c r="I67" s="2" t="s">
        <v>239</v>
      </c>
      <c r="J67" s="2" t="s">
        <v>71</v>
      </c>
      <c r="K67" s="2" t="s">
        <v>303</v>
      </c>
      <c r="L67" s="2" t="s">
        <v>263</v>
      </c>
      <c r="M67" s="2" t="s">
        <v>264</v>
      </c>
      <c r="N67" s="2" t="s">
        <v>305</v>
      </c>
      <c r="O67" s="2" t="s">
        <v>306</v>
      </c>
      <c r="P67" s="2" t="s">
        <v>267</v>
      </c>
      <c r="Q67" s="2">
        <v>47</v>
      </c>
      <c r="R67" s="2" t="b">
        <v>0</v>
      </c>
      <c r="S67" s="2">
        <v>0.63124999999999998</v>
      </c>
      <c r="V67" s="2" t="s">
        <v>510</v>
      </c>
      <c r="W67" s="2" t="s">
        <v>714</v>
      </c>
      <c r="X67" s="2" t="s">
        <v>715</v>
      </c>
      <c r="Y67" s="2" t="b">
        <v>1</v>
      </c>
      <c r="Z67" s="2" t="s">
        <v>67</v>
      </c>
      <c r="AA67" s="2">
        <v>0</v>
      </c>
    </row>
    <row r="68" spans="1:27" ht="15.75" hidden="1" customHeight="1" x14ac:dyDescent="0.3">
      <c r="A68" s="2" t="s">
        <v>37</v>
      </c>
      <c r="B68" s="2" t="s">
        <v>38</v>
      </c>
      <c r="C68" s="2" t="s">
        <v>41</v>
      </c>
      <c r="D68" s="2" t="s">
        <v>38</v>
      </c>
      <c r="E68" s="2" t="s">
        <v>39</v>
      </c>
      <c r="F68" s="2" t="s">
        <v>496</v>
      </c>
      <c r="G68" s="2" t="s">
        <v>42</v>
      </c>
      <c r="H68" s="2" t="s">
        <v>42</v>
      </c>
      <c r="I68" s="2" t="s">
        <v>239</v>
      </c>
      <c r="J68" s="2" t="s">
        <v>71</v>
      </c>
      <c r="K68" s="2" t="s">
        <v>311</v>
      </c>
      <c r="L68" s="2" t="s">
        <v>263</v>
      </c>
      <c r="M68" s="2" t="s">
        <v>264</v>
      </c>
      <c r="N68" s="2" t="s">
        <v>314</v>
      </c>
      <c r="O68" s="2" t="s">
        <v>315</v>
      </c>
      <c r="P68" s="2" t="s">
        <v>267</v>
      </c>
      <c r="Q68" s="2">
        <v>48</v>
      </c>
      <c r="R68" s="2" t="b">
        <v>0</v>
      </c>
      <c r="S68" s="2">
        <v>0.63291139240506333</v>
      </c>
      <c r="V68" s="2" t="s">
        <v>510</v>
      </c>
      <c r="W68" s="2" t="s">
        <v>720</v>
      </c>
      <c r="X68" s="2" t="s">
        <v>721</v>
      </c>
      <c r="Y68" s="2" t="b">
        <v>1</v>
      </c>
      <c r="Z68" s="2" t="s">
        <v>67</v>
      </c>
      <c r="AA68" s="2">
        <v>0</v>
      </c>
    </row>
    <row r="69" spans="1:27" ht="15.75" hidden="1" customHeight="1" x14ac:dyDescent="0.3">
      <c r="A69" s="2" t="s">
        <v>37</v>
      </c>
      <c r="B69" s="2" t="s">
        <v>38</v>
      </c>
      <c r="C69" s="2" t="s">
        <v>41</v>
      </c>
      <c r="D69" s="2" t="s">
        <v>38</v>
      </c>
      <c r="E69" s="2" t="s">
        <v>39</v>
      </c>
      <c r="F69" s="2" t="s">
        <v>496</v>
      </c>
      <c r="G69" s="2" t="s">
        <v>42</v>
      </c>
      <c r="H69" s="2" t="s">
        <v>42</v>
      </c>
      <c r="I69" s="2" t="s">
        <v>239</v>
      </c>
      <c r="J69" s="2" t="s">
        <v>71</v>
      </c>
      <c r="K69" s="2" t="s">
        <v>324</v>
      </c>
      <c r="L69" s="2" t="s">
        <v>263</v>
      </c>
      <c r="M69" s="2" t="s">
        <v>264</v>
      </c>
      <c r="N69" s="2" t="s">
        <v>325</v>
      </c>
      <c r="O69" s="2" t="s">
        <v>326</v>
      </c>
      <c r="P69" s="2" t="s">
        <v>267</v>
      </c>
      <c r="Q69" s="2">
        <v>49</v>
      </c>
      <c r="R69" s="2" t="b">
        <v>0</v>
      </c>
      <c r="S69" s="2">
        <v>0.64150943396226412</v>
      </c>
      <c r="V69" s="2" t="s">
        <v>510</v>
      </c>
      <c r="W69" s="2" t="s">
        <v>727</v>
      </c>
      <c r="X69" s="2" t="s">
        <v>729</v>
      </c>
      <c r="Y69" s="2" t="b">
        <v>1</v>
      </c>
      <c r="Z69" s="2" t="s">
        <v>67</v>
      </c>
      <c r="AA69" s="2">
        <v>0</v>
      </c>
    </row>
    <row r="70" spans="1:27" ht="15.75" hidden="1" customHeight="1" x14ac:dyDescent="0.3">
      <c r="A70" s="2" t="s">
        <v>37</v>
      </c>
      <c r="B70" s="2" t="s">
        <v>38</v>
      </c>
      <c r="C70" s="2" t="s">
        <v>41</v>
      </c>
      <c r="D70" s="2" t="s">
        <v>38</v>
      </c>
      <c r="E70" s="2" t="s">
        <v>39</v>
      </c>
      <c r="F70" s="2" t="s">
        <v>496</v>
      </c>
      <c r="G70" s="2" t="s">
        <v>42</v>
      </c>
      <c r="H70" s="2" t="s">
        <v>42</v>
      </c>
      <c r="I70" s="2" t="s">
        <v>239</v>
      </c>
      <c r="J70" s="2" t="s">
        <v>71</v>
      </c>
      <c r="K70" s="2" t="s">
        <v>333</v>
      </c>
      <c r="L70" s="2" t="s">
        <v>263</v>
      </c>
      <c r="M70" s="2" t="s">
        <v>264</v>
      </c>
      <c r="N70" s="2" t="s">
        <v>334</v>
      </c>
      <c r="O70" s="2" t="s">
        <v>335</v>
      </c>
      <c r="P70" s="2" t="s">
        <v>267</v>
      </c>
      <c r="Q70" s="2">
        <v>50</v>
      </c>
      <c r="R70" s="2" t="b">
        <v>0</v>
      </c>
      <c r="S70" s="2">
        <v>0.68013468013468004</v>
      </c>
      <c r="V70" s="2" t="s">
        <v>510</v>
      </c>
      <c r="W70" s="2" t="s">
        <v>734</v>
      </c>
      <c r="X70" s="2" t="s">
        <v>735</v>
      </c>
      <c r="Y70" s="2" t="b">
        <v>1</v>
      </c>
      <c r="Z70" s="2" t="s">
        <v>67</v>
      </c>
      <c r="AA70" s="2">
        <v>0</v>
      </c>
    </row>
    <row r="71" spans="1:27" ht="15.75" hidden="1" customHeight="1" x14ac:dyDescent="0.3">
      <c r="A71" s="2" t="s">
        <v>37</v>
      </c>
      <c r="B71" s="2" t="s">
        <v>38</v>
      </c>
      <c r="C71" s="2" t="s">
        <v>41</v>
      </c>
      <c r="D71" s="2" t="s">
        <v>38</v>
      </c>
      <c r="E71" s="2" t="s">
        <v>39</v>
      </c>
      <c r="F71" s="2" t="s">
        <v>496</v>
      </c>
      <c r="G71" s="2" t="s">
        <v>42</v>
      </c>
      <c r="H71" s="2" t="s">
        <v>42</v>
      </c>
      <c r="I71" s="2" t="s">
        <v>239</v>
      </c>
      <c r="J71" s="2" t="s">
        <v>71</v>
      </c>
      <c r="K71" s="2" t="s">
        <v>344</v>
      </c>
      <c r="L71" s="2" t="s">
        <v>263</v>
      </c>
      <c r="M71" s="2" t="s">
        <v>264</v>
      </c>
      <c r="N71" s="2" t="s">
        <v>345</v>
      </c>
      <c r="O71" s="2" t="s">
        <v>346</v>
      </c>
      <c r="P71" s="2" t="s">
        <v>267</v>
      </c>
      <c r="Q71" s="2">
        <v>51</v>
      </c>
      <c r="R71" s="2" t="b">
        <v>0</v>
      </c>
      <c r="S71" s="2">
        <v>0.67307692307692302</v>
      </c>
      <c r="V71" s="2" t="s">
        <v>510</v>
      </c>
      <c r="W71" s="2" t="s">
        <v>740</v>
      </c>
      <c r="X71" s="2" t="s">
        <v>741</v>
      </c>
      <c r="Y71" s="2" t="b">
        <v>1</v>
      </c>
      <c r="Z71" s="2" t="s">
        <v>67</v>
      </c>
      <c r="AA71" s="2">
        <v>0</v>
      </c>
    </row>
    <row r="72" spans="1:27" ht="15.75" hidden="1" customHeight="1" x14ac:dyDescent="0.3">
      <c r="A72" s="2" t="s">
        <v>37</v>
      </c>
      <c r="B72" s="2" t="s">
        <v>38</v>
      </c>
      <c r="C72" s="2" t="s">
        <v>41</v>
      </c>
      <c r="D72" s="2" t="s">
        <v>38</v>
      </c>
      <c r="E72" s="2" t="s">
        <v>39</v>
      </c>
      <c r="F72" s="2" t="s">
        <v>496</v>
      </c>
      <c r="G72" s="2" t="s">
        <v>42</v>
      </c>
      <c r="H72" s="2" t="s">
        <v>42</v>
      </c>
      <c r="I72" s="2" t="s">
        <v>239</v>
      </c>
      <c r="J72" s="2" t="s">
        <v>71</v>
      </c>
      <c r="K72" s="2" t="s">
        <v>353</v>
      </c>
      <c r="L72" s="2" t="s">
        <v>263</v>
      </c>
      <c r="M72" s="2" t="s">
        <v>264</v>
      </c>
      <c r="N72" s="2" t="s">
        <v>356</v>
      </c>
      <c r="O72" s="2" t="s">
        <v>357</v>
      </c>
      <c r="P72" s="2" t="s">
        <v>267</v>
      </c>
      <c r="Q72" s="2">
        <v>52</v>
      </c>
      <c r="R72" s="2" t="b">
        <v>0</v>
      </c>
      <c r="S72" s="2">
        <v>0.6149068322981367</v>
      </c>
      <c r="V72" s="2" t="s">
        <v>510</v>
      </c>
      <c r="W72" s="2" t="s">
        <v>746</v>
      </c>
      <c r="X72" s="2" t="s">
        <v>747</v>
      </c>
      <c r="Y72" s="2" t="b">
        <v>1</v>
      </c>
      <c r="Z72" s="2" t="s">
        <v>67</v>
      </c>
      <c r="AA72" s="2">
        <v>0</v>
      </c>
    </row>
    <row r="73" spans="1:27" ht="15.75" hidden="1" customHeight="1" x14ac:dyDescent="0.3">
      <c r="A73" s="2" t="s">
        <v>37</v>
      </c>
      <c r="B73" s="2" t="s">
        <v>38</v>
      </c>
      <c r="C73" s="2" t="s">
        <v>41</v>
      </c>
      <c r="D73" s="2" t="s">
        <v>38</v>
      </c>
      <c r="E73" s="2" t="s">
        <v>39</v>
      </c>
      <c r="F73" s="2" t="s">
        <v>496</v>
      </c>
      <c r="G73" s="2" t="s">
        <v>42</v>
      </c>
      <c r="H73" s="2" t="s">
        <v>42</v>
      </c>
      <c r="I73" s="2" t="s">
        <v>239</v>
      </c>
      <c r="J73" s="2" t="s">
        <v>71</v>
      </c>
      <c r="K73" s="2" t="s">
        <v>365</v>
      </c>
      <c r="L73" s="2" t="s">
        <v>263</v>
      </c>
      <c r="M73" s="2" t="s">
        <v>264</v>
      </c>
      <c r="N73" s="2" t="s">
        <v>367</v>
      </c>
      <c r="O73" s="2" t="s">
        <v>369</v>
      </c>
      <c r="P73" s="2" t="s">
        <v>267</v>
      </c>
      <c r="Q73" s="2">
        <v>53</v>
      </c>
      <c r="R73" s="2" t="b">
        <v>0</v>
      </c>
      <c r="S73" s="2">
        <v>0.65846153846153843</v>
      </c>
      <c r="V73" s="2" t="s">
        <v>510</v>
      </c>
      <c r="W73" s="2" t="s">
        <v>752</v>
      </c>
      <c r="X73" s="2" t="s">
        <v>753</v>
      </c>
      <c r="Y73" s="2" t="b">
        <v>1</v>
      </c>
      <c r="Z73" s="2" t="s">
        <v>67</v>
      </c>
      <c r="AA73" s="2">
        <v>0</v>
      </c>
    </row>
    <row r="74" spans="1:27" ht="15.75" hidden="1" customHeight="1" x14ac:dyDescent="0.3">
      <c r="A74" s="2" t="s">
        <v>37</v>
      </c>
      <c r="B74" s="2" t="s">
        <v>38</v>
      </c>
      <c r="C74" s="2" t="s">
        <v>41</v>
      </c>
      <c r="D74" s="2" t="s">
        <v>38</v>
      </c>
      <c r="E74" s="2" t="s">
        <v>39</v>
      </c>
      <c r="F74" s="2" t="s">
        <v>496</v>
      </c>
      <c r="G74" s="2" t="s">
        <v>42</v>
      </c>
      <c r="H74" s="2" t="s">
        <v>42</v>
      </c>
      <c r="I74" s="2" t="s">
        <v>239</v>
      </c>
      <c r="J74" s="2" t="s">
        <v>71</v>
      </c>
      <c r="K74" s="2" t="s">
        <v>374</v>
      </c>
      <c r="L74" s="2" t="s">
        <v>263</v>
      </c>
      <c r="M74" s="2" t="s">
        <v>264</v>
      </c>
      <c r="N74" s="2" t="s">
        <v>377</v>
      </c>
      <c r="O74" s="2" t="s">
        <v>378</v>
      </c>
      <c r="P74" s="2" t="s">
        <v>267</v>
      </c>
      <c r="Q74" s="2">
        <v>54</v>
      </c>
      <c r="R74" s="2" t="b">
        <v>0</v>
      </c>
      <c r="S74" s="2">
        <v>0.6283783783783784</v>
      </c>
      <c r="V74" s="2" t="s">
        <v>510</v>
      </c>
      <c r="W74" s="2" t="s">
        <v>760</v>
      </c>
      <c r="X74" s="2" t="s">
        <v>761</v>
      </c>
      <c r="Y74" s="2" t="b">
        <v>1</v>
      </c>
      <c r="Z74" s="2" t="s">
        <v>67</v>
      </c>
      <c r="AA74" s="2">
        <v>0</v>
      </c>
    </row>
    <row r="75" spans="1:27" ht="15.75" hidden="1" customHeight="1" x14ac:dyDescent="0.3">
      <c r="A75" s="2" t="s">
        <v>37</v>
      </c>
      <c r="B75" s="2" t="s">
        <v>38</v>
      </c>
      <c r="C75" s="2" t="s">
        <v>41</v>
      </c>
      <c r="D75" s="2" t="s">
        <v>38</v>
      </c>
      <c r="E75" s="2" t="s">
        <v>39</v>
      </c>
      <c r="F75" s="2" t="s">
        <v>496</v>
      </c>
      <c r="G75" s="2" t="s">
        <v>42</v>
      </c>
      <c r="H75" s="2" t="s">
        <v>42</v>
      </c>
      <c r="I75" s="2" t="s">
        <v>239</v>
      </c>
      <c r="J75" s="2" t="s">
        <v>71</v>
      </c>
      <c r="K75" s="2" t="s">
        <v>385</v>
      </c>
      <c r="L75" s="2" t="s">
        <v>263</v>
      </c>
      <c r="M75" s="2" t="s">
        <v>264</v>
      </c>
      <c r="N75" s="2" t="s">
        <v>388</v>
      </c>
      <c r="O75" s="2" t="s">
        <v>390</v>
      </c>
      <c r="P75" s="2" t="s">
        <v>267</v>
      </c>
      <c r="Q75" s="2">
        <v>55</v>
      </c>
      <c r="R75" s="2" t="b">
        <v>0</v>
      </c>
      <c r="S75" s="2">
        <v>0.5928338762214983</v>
      </c>
      <c r="V75" s="2" t="s">
        <v>510</v>
      </c>
      <c r="W75" s="2" t="s">
        <v>764</v>
      </c>
      <c r="X75" s="2" t="s">
        <v>765</v>
      </c>
      <c r="Y75" s="2" t="b">
        <v>1</v>
      </c>
      <c r="Z75" s="2" t="s">
        <v>67</v>
      </c>
      <c r="AA75" s="2">
        <v>0</v>
      </c>
    </row>
    <row r="76" spans="1:27" ht="15.75" hidden="1" customHeight="1" x14ac:dyDescent="0.3">
      <c r="A76" s="2" t="s">
        <v>37</v>
      </c>
      <c r="B76" s="2" t="s">
        <v>38</v>
      </c>
      <c r="C76" s="2" t="s">
        <v>41</v>
      </c>
      <c r="D76" s="2" t="s">
        <v>38</v>
      </c>
      <c r="E76" s="2" t="s">
        <v>39</v>
      </c>
      <c r="F76" s="2" t="s">
        <v>496</v>
      </c>
      <c r="G76" s="2" t="s">
        <v>42</v>
      </c>
      <c r="H76" s="2" t="s">
        <v>42</v>
      </c>
      <c r="I76" s="2" t="s">
        <v>239</v>
      </c>
      <c r="J76" s="2" t="s">
        <v>71</v>
      </c>
      <c r="K76" s="2" t="s">
        <v>400</v>
      </c>
      <c r="L76" s="2" t="s">
        <v>263</v>
      </c>
      <c r="M76" s="2" t="s">
        <v>264</v>
      </c>
      <c r="N76" s="2" t="s">
        <v>403</v>
      </c>
      <c r="O76" s="2" t="s">
        <v>404</v>
      </c>
      <c r="P76" s="2" t="s">
        <v>267</v>
      </c>
      <c r="Q76" s="2">
        <v>56</v>
      </c>
      <c r="R76" s="2" t="b">
        <v>0</v>
      </c>
      <c r="S76" s="2">
        <v>0.68896321070234112</v>
      </c>
      <c r="V76" s="2" t="s">
        <v>510</v>
      </c>
      <c r="W76" s="2" t="s">
        <v>774</v>
      </c>
      <c r="X76" s="2" t="s">
        <v>775</v>
      </c>
      <c r="Y76" s="2" t="b">
        <v>1</v>
      </c>
      <c r="Z76" s="2" t="s">
        <v>67</v>
      </c>
      <c r="AA76" s="2">
        <v>0</v>
      </c>
    </row>
    <row r="77" spans="1:27" ht="15.75" hidden="1" customHeight="1" x14ac:dyDescent="0.3">
      <c r="A77" s="2" t="s">
        <v>37</v>
      </c>
      <c r="B77" s="2" t="s">
        <v>38</v>
      </c>
      <c r="C77" s="2" t="s">
        <v>41</v>
      </c>
      <c r="D77" s="2" t="s">
        <v>38</v>
      </c>
      <c r="E77" s="2" t="s">
        <v>39</v>
      </c>
      <c r="F77" s="2" t="s">
        <v>496</v>
      </c>
      <c r="G77" s="2" t="s">
        <v>42</v>
      </c>
      <c r="H77" s="2" t="s">
        <v>42</v>
      </c>
      <c r="I77" s="2" t="s">
        <v>239</v>
      </c>
      <c r="J77" s="2" t="s">
        <v>71</v>
      </c>
      <c r="K77" s="2" t="s">
        <v>411</v>
      </c>
      <c r="L77" s="2" t="s">
        <v>263</v>
      </c>
      <c r="M77" s="2" t="s">
        <v>264</v>
      </c>
      <c r="N77" s="2" t="s">
        <v>414</v>
      </c>
      <c r="O77" s="2" t="s">
        <v>416</v>
      </c>
      <c r="P77" s="2" t="s">
        <v>267</v>
      </c>
      <c r="Q77" s="2">
        <v>57</v>
      </c>
      <c r="R77" s="2" t="b">
        <v>0</v>
      </c>
      <c r="S77" s="2">
        <v>0.62305295950155759</v>
      </c>
      <c r="V77" s="2" t="s">
        <v>510</v>
      </c>
      <c r="W77" s="2" t="s">
        <v>782</v>
      </c>
      <c r="X77" s="2" t="s">
        <v>783</v>
      </c>
      <c r="Y77" s="2" t="b">
        <v>1</v>
      </c>
      <c r="Z77" s="2" t="s">
        <v>67</v>
      </c>
      <c r="AA77" s="2">
        <v>0</v>
      </c>
    </row>
    <row r="78" spans="1:27" ht="15.75" hidden="1" customHeight="1" x14ac:dyDescent="0.3">
      <c r="A78" s="2" t="s">
        <v>37</v>
      </c>
      <c r="B78" s="2" t="s">
        <v>38</v>
      </c>
      <c r="C78" s="2" t="s">
        <v>41</v>
      </c>
      <c r="D78" s="2" t="s">
        <v>38</v>
      </c>
      <c r="E78" s="2" t="s">
        <v>39</v>
      </c>
      <c r="F78" s="2" t="s">
        <v>496</v>
      </c>
      <c r="G78" s="2" t="s">
        <v>42</v>
      </c>
      <c r="H78" s="2" t="s">
        <v>42</v>
      </c>
      <c r="I78" s="2" t="s">
        <v>239</v>
      </c>
      <c r="J78" s="2" t="s">
        <v>71</v>
      </c>
      <c r="K78" s="2" t="s">
        <v>428</v>
      </c>
      <c r="L78" s="2" t="s">
        <v>263</v>
      </c>
      <c r="M78" s="2" t="s">
        <v>264</v>
      </c>
      <c r="N78" s="2" t="s">
        <v>429</v>
      </c>
      <c r="O78" s="2" t="s">
        <v>430</v>
      </c>
      <c r="P78" s="2" t="s">
        <v>267</v>
      </c>
      <c r="Q78" s="2">
        <v>58</v>
      </c>
      <c r="R78" s="2" t="b">
        <v>0</v>
      </c>
      <c r="S78" s="2">
        <v>0.67774086378737541</v>
      </c>
      <c r="V78" s="2" t="s">
        <v>510</v>
      </c>
      <c r="W78" s="2" t="s">
        <v>790</v>
      </c>
      <c r="X78" s="2" t="s">
        <v>791</v>
      </c>
      <c r="Y78" s="2" t="b">
        <v>1</v>
      </c>
      <c r="Z78" s="2" t="s">
        <v>67</v>
      </c>
      <c r="AA78" s="2">
        <v>0</v>
      </c>
    </row>
    <row r="79" spans="1:27" ht="15.75" hidden="1" customHeight="1" x14ac:dyDescent="0.3">
      <c r="A79" s="2" t="s">
        <v>37</v>
      </c>
      <c r="B79" s="2" t="s">
        <v>38</v>
      </c>
      <c r="C79" s="2" t="s">
        <v>41</v>
      </c>
      <c r="D79" s="2" t="s">
        <v>38</v>
      </c>
      <c r="E79" s="2" t="s">
        <v>39</v>
      </c>
      <c r="F79" s="2" t="s">
        <v>496</v>
      </c>
      <c r="G79" s="2" t="s">
        <v>42</v>
      </c>
      <c r="H79" s="2" t="s">
        <v>42</v>
      </c>
      <c r="I79" s="2" t="s">
        <v>239</v>
      </c>
      <c r="J79" s="2" t="s">
        <v>71</v>
      </c>
      <c r="K79" s="2" t="s">
        <v>442</v>
      </c>
      <c r="L79" s="2" t="s">
        <v>263</v>
      </c>
      <c r="M79" s="2" t="s">
        <v>264</v>
      </c>
      <c r="N79" s="2" t="s">
        <v>445</v>
      </c>
      <c r="O79" s="2" t="s">
        <v>447</v>
      </c>
      <c r="P79" s="2" t="s">
        <v>267</v>
      </c>
      <c r="Q79" s="2">
        <v>59</v>
      </c>
      <c r="R79" s="2" t="b">
        <v>0</v>
      </c>
      <c r="S79" s="2">
        <v>0.65814696485623014</v>
      </c>
      <c r="V79" s="2" t="s">
        <v>510</v>
      </c>
      <c r="W79" s="2" t="s">
        <v>796</v>
      </c>
      <c r="X79" s="2" t="s">
        <v>797</v>
      </c>
      <c r="Y79" s="2" t="b">
        <v>1</v>
      </c>
      <c r="Z79" s="2" t="s">
        <v>67</v>
      </c>
      <c r="AA79" s="2">
        <v>0</v>
      </c>
    </row>
    <row r="80" spans="1:27" ht="15.75" hidden="1" customHeight="1" x14ac:dyDescent="0.3">
      <c r="A80" s="2" t="s">
        <v>37</v>
      </c>
      <c r="B80" s="2" t="s">
        <v>38</v>
      </c>
      <c r="C80" s="2" t="s">
        <v>41</v>
      </c>
      <c r="D80" s="2" t="s">
        <v>38</v>
      </c>
      <c r="E80" s="2" t="s">
        <v>39</v>
      </c>
      <c r="F80" s="2" t="s">
        <v>496</v>
      </c>
      <c r="G80" s="2" t="s">
        <v>42</v>
      </c>
      <c r="H80" s="2" t="s">
        <v>42</v>
      </c>
      <c r="I80" s="2" t="s">
        <v>239</v>
      </c>
      <c r="J80" s="2" t="s">
        <v>71</v>
      </c>
      <c r="K80" s="2" t="s">
        <v>454</v>
      </c>
      <c r="L80" s="2" t="s">
        <v>263</v>
      </c>
      <c r="M80" s="2" t="s">
        <v>264</v>
      </c>
      <c r="N80" s="2" t="s">
        <v>455</v>
      </c>
      <c r="O80" s="2" t="s">
        <v>457</v>
      </c>
      <c r="P80" s="2" t="s">
        <v>267</v>
      </c>
      <c r="Q80" s="2">
        <v>60</v>
      </c>
      <c r="R80" s="2" t="b">
        <v>0</v>
      </c>
      <c r="S80" s="2">
        <v>0.60436137071651097</v>
      </c>
      <c r="V80" s="2" t="s">
        <v>510</v>
      </c>
      <c r="W80" s="2" t="s">
        <v>802</v>
      </c>
      <c r="X80" s="2" t="s">
        <v>803</v>
      </c>
      <c r="Y80" s="2" t="b">
        <v>1</v>
      </c>
      <c r="Z80" s="2" t="s">
        <v>67</v>
      </c>
      <c r="AA80" s="2">
        <v>0</v>
      </c>
    </row>
    <row r="81" spans="1:27" ht="15.75" hidden="1" customHeight="1" x14ac:dyDescent="0.3">
      <c r="A81" s="2" t="s">
        <v>37</v>
      </c>
      <c r="B81" s="2" t="s">
        <v>38</v>
      </c>
      <c r="C81" s="2" t="s">
        <v>41</v>
      </c>
      <c r="D81" s="2" t="s">
        <v>38</v>
      </c>
      <c r="E81" s="2" t="s">
        <v>39</v>
      </c>
      <c r="F81" s="2" t="s">
        <v>496</v>
      </c>
      <c r="G81" s="2" t="s">
        <v>42</v>
      </c>
      <c r="H81" s="2" t="s">
        <v>42</v>
      </c>
      <c r="I81" s="2" t="s">
        <v>239</v>
      </c>
      <c r="J81" s="2" t="s">
        <v>71</v>
      </c>
      <c r="K81" s="2" t="s">
        <v>468</v>
      </c>
      <c r="L81" s="2" t="s">
        <v>263</v>
      </c>
      <c r="M81" s="2" t="s">
        <v>264</v>
      </c>
      <c r="N81" s="2" t="s">
        <v>472</v>
      </c>
      <c r="O81" s="2" t="s">
        <v>475</v>
      </c>
      <c r="P81" s="2" t="s">
        <v>267</v>
      </c>
      <c r="Q81" s="2">
        <v>61</v>
      </c>
      <c r="R81" s="2" t="b">
        <v>0</v>
      </c>
      <c r="S81" s="2">
        <v>0.64880952380952384</v>
      </c>
      <c r="V81" s="2" t="s">
        <v>510</v>
      </c>
      <c r="W81" s="2" t="s">
        <v>810</v>
      </c>
      <c r="X81" s="2" t="s">
        <v>811</v>
      </c>
      <c r="Y81" s="2" t="b">
        <v>1</v>
      </c>
      <c r="Z81" s="2" t="s">
        <v>67</v>
      </c>
      <c r="AA81" s="2">
        <v>0</v>
      </c>
    </row>
    <row r="82" spans="1:27" ht="15.75" hidden="1" customHeight="1" x14ac:dyDescent="0.3">
      <c r="A82" s="2" t="s">
        <v>37</v>
      </c>
      <c r="B82" s="2" t="s">
        <v>38</v>
      </c>
      <c r="C82" s="2" t="s">
        <v>41</v>
      </c>
      <c r="D82" s="2" t="s">
        <v>38</v>
      </c>
      <c r="E82" s="2" t="s">
        <v>82</v>
      </c>
      <c r="F82" s="2" t="s">
        <v>814</v>
      </c>
      <c r="G82" s="2" t="s">
        <v>42</v>
      </c>
      <c r="H82" s="2" t="s">
        <v>42</v>
      </c>
      <c r="I82" s="2" t="s">
        <v>47</v>
      </c>
      <c r="J82" s="2" t="s">
        <v>44</v>
      </c>
      <c r="K82" s="2" t="s">
        <v>48</v>
      </c>
      <c r="L82" s="2" t="s">
        <v>50</v>
      </c>
      <c r="M82" s="2" t="s">
        <v>52</v>
      </c>
      <c r="N82" s="2" t="s">
        <v>53</v>
      </c>
      <c r="O82" s="2" t="s">
        <v>55</v>
      </c>
      <c r="P82" s="2" t="s">
        <v>56</v>
      </c>
      <c r="Q82" s="2">
        <v>42</v>
      </c>
      <c r="R82" s="2" t="b">
        <v>1</v>
      </c>
      <c r="S82" s="2">
        <v>0.69534050179211471</v>
      </c>
      <c r="T82" s="2">
        <v>0.66438356164383561</v>
      </c>
      <c r="U82" s="2">
        <v>0.72932330827067671</v>
      </c>
      <c r="V82" s="2" t="s">
        <v>63</v>
      </c>
      <c r="W82" s="2" t="s">
        <v>819</v>
      </c>
      <c r="X82" s="2" t="s">
        <v>820</v>
      </c>
      <c r="Y82" s="2" t="b">
        <v>1</v>
      </c>
      <c r="Z82" s="2" t="s">
        <v>67</v>
      </c>
      <c r="AA82" s="2">
        <v>6.3</v>
      </c>
    </row>
    <row r="83" spans="1:27" ht="15.75" hidden="1" customHeight="1" x14ac:dyDescent="0.3">
      <c r="A83" s="2" t="s">
        <v>37</v>
      </c>
      <c r="B83" s="2" t="s">
        <v>38</v>
      </c>
      <c r="C83" s="2" t="s">
        <v>41</v>
      </c>
      <c r="D83" s="2" t="s">
        <v>38</v>
      </c>
      <c r="E83" s="2" t="s">
        <v>82</v>
      </c>
      <c r="F83" s="2" t="s">
        <v>814</v>
      </c>
      <c r="G83" s="2" t="s">
        <v>42</v>
      </c>
      <c r="H83" s="2" t="s">
        <v>42</v>
      </c>
      <c r="I83" s="2" t="s">
        <v>47</v>
      </c>
      <c r="J83" s="2" t="s">
        <v>44</v>
      </c>
      <c r="K83" s="2" t="s">
        <v>70</v>
      </c>
      <c r="L83" s="2" t="s">
        <v>50</v>
      </c>
      <c r="M83" s="2" t="s">
        <v>52</v>
      </c>
      <c r="N83" s="2" t="s">
        <v>72</v>
      </c>
      <c r="O83" s="2" t="s">
        <v>73</v>
      </c>
      <c r="P83" s="2" t="s">
        <v>56</v>
      </c>
      <c r="Q83" s="2">
        <v>43</v>
      </c>
      <c r="R83" s="2" t="b">
        <v>1</v>
      </c>
      <c r="S83" s="2">
        <v>0.71028037383177567</v>
      </c>
      <c r="T83" s="2">
        <v>0.6785714285714286</v>
      </c>
      <c r="U83" s="2">
        <v>0.74509803921568629</v>
      </c>
      <c r="V83" s="2" t="s">
        <v>63</v>
      </c>
      <c r="W83" s="2" t="s">
        <v>826</v>
      </c>
      <c r="X83" s="2" t="s">
        <v>828</v>
      </c>
      <c r="Y83" s="2" t="b">
        <v>1</v>
      </c>
      <c r="Z83" s="2" t="s">
        <v>67</v>
      </c>
      <c r="AA83" s="2">
        <v>3.3</v>
      </c>
    </row>
    <row r="84" spans="1:27" ht="15.75" hidden="1" customHeight="1" x14ac:dyDescent="0.3">
      <c r="A84" s="2" t="s">
        <v>37</v>
      </c>
      <c r="B84" s="2" t="s">
        <v>38</v>
      </c>
      <c r="C84" s="2" t="s">
        <v>41</v>
      </c>
      <c r="D84" s="2" t="s">
        <v>38</v>
      </c>
      <c r="E84" s="2" t="s">
        <v>82</v>
      </c>
      <c r="F84" s="2" t="s">
        <v>814</v>
      </c>
      <c r="G84" s="2" t="s">
        <v>42</v>
      </c>
      <c r="H84" s="2" t="s">
        <v>42</v>
      </c>
      <c r="I84" s="2" t="s">
        <v>47</v>
      </c>
      <c r="J84" s="2" t="s">
        <v>44</v>
      </c>
      <c r="K84" s="2" t="s">
        <v>81</v>
      </c>
      <c r="L84" s="2" t="s">
        <v>50</v>
      </c>
      <c r="M84" s="2" t="s">
        <v>52</v>
      </c>
      <c r="N84" s="2" t="s">
        <v>83</v>
      </c>
      <c r="O84" s="2" t="s">
        <v>84</v>
      </c>
      <c r="P84" s="2" t="s">
        <v>56</v>
      </c>
      <c r="Q84" s="2">
        <v>44</v>
      </c>
      <c r="R84" s="2" t="b">
        <v>1</v>
      </c>
      <c r="S84" s="2">
        <v>0.64556962025316467</v>
      </c>
      <c r="T84" s="2">
        <v>0.61818181818181817</v>
      </c>
      <c r="U84" s="2">
        <v>0.67549668874172186</v>
      </c>
      <c r="V84" s="2" t="s">
        <v>63</v>
      </c>
      <c r="W84" s="2" t="s">
        <v>835</v>
      </c>
      <c r="X84" s="2" t="s">
        <v>836</v>
      </c>
      <c r="Y84" s="2" t="b">
        <v>1</v>
      </c>
      <c r="Z84" s="2" t="s">
        <v>67</v>
      </c>
      <c r="AA84" s="2">
        <v>2</v>
      </c>
    </row>
    <row r="85" spans="1:27" ht="15.75" hidden="1" customHeight="1" x14ac:dyDescent="0.3">
      <c r="A85" s="2" t="s">
        <v>37</v>
      </c>
      <c r="B85" s="2" t="s">
        <v>38</v>
      </c>
      <c r="C85" s="2" t="s">
        <v>41</v>
      </c>
      <c r="D85" s="2" t="s">
        <v>38</v>
      </c>
      <c r="E85" s="2" t="s">
        <v>82</v>
      </c>
      <c r="F85" s="2" t="s">
        <v>814</v>
      </c>
      <c r="G85" s="2" t="s">
        <v>42</v>
      </c>
      <c r="H85" s="2" t="s">
        <v>42</v>
      </c>
      <c r="I85" s="2" t="s">
        <v>47</v>
      </c>
      <c r="J85" s="2" t="s">
        <v>44</v>
      </c>
      <c r="K85" s="2" t="s">
        <v>91</v>
      </c>
      <c r="L85" s="2" t="s">
        <v>50</v>
      </c>
      <c r="M85" s="2" t="s">
        <v>52</v>
      </c>
      <c r="N85" s="2" t="s">
        <v>92</v>
      </c>
      <c r="O85" s="2" t="s">
        <v>93</v>
      </c>
      <c r="P85" s="2" t="s">
        <v>56</v>
      </c>
      <c r="Q85" s="2">
        <v>45</v>
      </c>
      <c r="R85" s="2" t="b">
        <v>1</v>
      </c>
      <c r="S85" s="2">
        <v>0.66666666666666663</v>
      </c>
      <c r="T85" s="2">
        <v>0.64150943396226412</v>
      </c>
      <c r="U85" s="2">
        <v>0.69387755102040816</v>
      </c>
      <c r="V85" s="2" t="s">
        <v>63</v>
      </c>
      <c r="W85" s="2" t="s">
        <v>841</v>
      </c>
      <c r="X85" s="2" t="s">
        <v>842</v>
      </c>
      <c r="Y85" s="2" t="b">
        <v>1</v>
      </c>
      <c r="Z85" s="2" t="s">
        <v>67</v>
      </c>
      <c r="AA85" s="2">
        <v>2.2999999999999998</v>
      </c>
    </row>
    <row r="86" spans="1:27" ht="15.75" hidden="1" customHeight="1" x14ac:dyDescent="0.3">
      <c r="A86" s="2" t="s">
        <v>37</v>
      </c>
      <c r="B86" s="2" t="s">
        <v>38</v>
      </c>
      <c r="C86" s="2" t="s">
        <v>41</v>
      </c>
      <c r="D86" s="2" t="s">
        <v>38</v>
      </c>
      <c r="E86" s="2" t="s">
        <v>82</v>
      </c>
      <c r="F86" s="2" t="s">
        <v>814</v>
      </c>
      <c r="G86" s="2" t="s">
        <v>42</v>
      </c>
      <c r="H86" s="2" t="s">
        <v>42</v>
      </c>
      <c r="I86" s="2" t="s">
        <v>47</v>
      </c>
      <c r="J86" s="2" t="s">
        <v>44</v>
      </c>
      <c r="K86" s="2" t="s">
        <v>100</v>
      </c>
      <c r="L86" s="2" t="s">
        <v>50</v>
      </c>
      <c r="M86" s="2" t="s">
        <v>52</v>
      </c>
      <c r="N86" s="2" t="s">
        <v>102</v>
      </c>
      <c r="O86" s="2" t="s">
        <v>104</v>
      </c>
      <c r="P86" s="2" t="s">
        <v>56</v>
      </c>
      <c r="Q86" s="2">
        <v>46</v>
      </c>
      <c r="R86" s="2" t="b">
        <v>1</v>
      </c>
      <c r="S86" s="2">
        <v>0.69117647058823528</v>
      </c>
      <c r="T86" s="2">
        <v>0.67142857142857137</v>
      </c>
      <c r="U86" s="2">
        <v>0.71212121212121215</v>
      </c>
      <c r="V86" s="2" t="s">
        <v>63</v>
      </c>
      <c r="W86" s="2" t="s">
        <v>847</v>
      </c>
      <c r="X86" s="2" t="s">
        <v>848</v>
      </c>
      <c r="Y86" s="2" t="b">
        <v>1</v>
      </c>
      <c r="Z86" s="2" t="s">
        <v>67</v>
      </c>
      <c r="AA86" s="2">
        <v>1.8</v>
      </c>
    </row>
    <row r="87" spans="1:27" ht="15.75" hidden="1" customHeight="1" x14ac:dyDescent="0.3">
      <c r="A87" s="2" t="s">
        <v>37</v>
      </c>
      <c r="B87" s="2" t="s">
        <v>38</v>
      </c>
      <c r="C87" s="2" t="s">
        <v>41</v>
      </c>
      <c r="D87" s="2" t="s">
        <v>38</v>
      </c>
      <c r="E87" s="2" t="s">
        <v>82</v>
      </c>
      <c r="F87" s="2" t="s">
        <v>814</v>
      </c>
      <c r="G87" s="2" t="s">
        <v>42</v>
      </c>
      <c r="H87" s="2" t="s">
        <v>42</v>
      </c>
      <c r="I87" s="2" t="s">
        <v>47</v>
      </c>
      <c r="J87" s="2" t="s">
        <v>44</v>
      </c>
      <c r="K87" s="2" t="s">
        <v>111</v>
      </c>
      <c r="L87" s="2" t="s">
        <v>50</v>
      </c>
      <c r="M87" s="2" t="s">
        <v>52</v>
      </c>
      <c r="N87" s="2" t="s">
        <v>112</v>
      </c>
      <c r="O87" s="2" t="s">
        <v>114</v>
      </c>
      <c r="P87" s="2" t="s">
        <v>56</v>
      </c>
      <c r="Q87" s="2">
        <v>47</v>
      </c>
      <c r="R87" s="2" t="b">
        <v>1</v>
      </c>
      <c r="S87" s="2">
        <v>0.66265060240963858</v>
      </c>
      <c r="T87" s="2">
        <v>0.67073170731707321</v>
      </c>
      <c r="U87" s="2">
        <v>0.65476190476190477</v>
      </c>
      <c r="V87" s="2" t="s">
        <v>63</v>
      </c>
      <c r="W87" s="2" t="s">
        <v>853</v>
      </c>
      <c r="X87" s="2" t="s">
        <v>854</v>
      </c>
      <c r="Y87" s="2" t="b">
        <v>1</v>
      </c>
      <c r="Z87" s="2" t="s">
        <v>67</v>
      </c>
      <c r="AA87" s="2">
        <v>1.9</v>
      </c>
    </row>
    <row r="88" spans="1:27" ht="15.75" hidden="1" customHeight="1" x14ac:dyDescent="0.3">
      <c r="A88" s="2" t="s">
        <v>37</v>
      </c>
      <c r="B88" s="2" t="s">
        <v>38</v>
      </c>
      <c r="C88" s="2" t="s">
        <v>41</v>
      </c>
      <c r="D88" s="2" t="s">
        <v>38</v>
      </c>
      <c r="E88" s="2" t="s">
        <v>82</v>
      </c>
      <c r="F88" s="2" t="s">
        <v>814</v>
      </c>
      <c r="G88" s="2" t="s">
        <v>42</v>
      </c>
      <c r="H88" s="2" t="s">
        <v>42</v>
      </c>
      <c r="I88" s="2" t="s">
        <v>47</v>
      </c>
      <c r="J88" s="2" t="s">
        <v>44</v>
      </c>
      <c r="K88" s="2" t="s">
        <v>123</v>
      </c>
      <c r="L88" s="2" t="s">
        <v>50</v>
      </c>
      <c r="M88" s="2" t="s">
        <v>52</v>
      </c>
      <c r="N88" s="2" t="s">
        <v>124</v>
      </c>
      <c r="O88" s="2" t="s">
        <v>125</v>
      </c>
      <c r="P88" s="2" t="s">
        <v>56</v>
      </c>
      <c r="Q88" s="2">
        <v>48</v>
      </c>
      <c r="R88" s="2" t="b">
        <v>1</v>
      </c>
      <c r="S88" s="2">
        <v>0.64174454828660432</v>
      </c>
      <c r="T88" s="2">
        <v>0.60233918128654973</v>
      </c>
      <c r="U88" s="2">
        <v>0.68666666666666665</v>
      </c>
      <c r="V88" s="2" t="s">
        <v>63</v>
      </c>
      <c r="W88" s="2" t="s">
        <v>862</v>
      </c>
      <c r="X88" s="2" t="s">
        <v>863</v>
      </c>
      <c r="Y88" s="2" t="b">
        <v>1</v>
      </c>
      <c r="Z88" s="2" t="s">
        <v>67</v>
      </c>
      <c r="AA88" s="2">
        <v>2.2999999999999998</v>
      </c>
    </row>
    <row r="89" spans="1:27" ht="15.75" hidden="1" customHeight="1" x14ac:dyDescent="0.3">
      <c r="A89" s="2" t="s">
        <v>37</v>
      </c>
      <c r="B89" s="2" t="s">
        <v>38</v>
      </c>
      <c r="C89" s="2" t="s">
        <v>41</v>
      </c>
      <c r="D89" s="2" t="s">
        <v>38</v>
      </c>
      <c r="E89" s="2" t="s">
        <v>82</v>
      </c>
      <c r="F89" s="2" t="s">
        <v>814</v>
      </c>
      <c r="G89" s="2" t="s">
        <v>42</v>
      </c>
      <c r="H89" s="2" t="s">
        <v>42</v>
      </c>
      <c r="I89" s="2" t="s">
        <v>47</v>
      </c>
      <c r="J89" s="2" t="s">
        <v>44</v>
      </c>
      <c r="K89" s="2" t="s">
        <v>132</v>
      </c>
      <c r="L89" s="2" t="s">
        <v>50</v>
      </c>
      <c r="M89" s="2" t="s">
        <v>52</v>
      </c>
      <c r="N89" s="2" t="s">
        <v>133</v>
      </c>
      <c r="O89" s="2" t="s">
        <v>134</v>
      </c>
      <c r="P89" s="2" t="s">
        <v>56</v>
      </c>
      <c r="Q89" s="2">
        <v>49</v>
      </c>
      <c r="R89" s="2" t="b">
        <v>1</v>
      </c>
      <c r="S89" s="2">
        <v>0.56164383561643838</v>
      </c>
      <c r="T89" s="2">
        <v>0.57746478873239437</v>
      </c>
      <c r="U89" s="2">
        <v>0.54666666666666663</v>
      </c>
      <c r="V89" s="2" t="s">
        <v>63</v>
      </c>
      <c r="W89" s="2" t="s">
        <v>869</v>
      </c>
      <c r="X89" s="2" t="s">
        <v>870</v>
      </c>
      <c r="Y89" s="2" t="b">
        <v>1</v>
      </c>
      <c r="Z89" s="2" t="s">
        <v>67</v>
      </c>
      <c r="AA89" s="2">
        <v>2.8</v>
      </c>
    </row>
    <row r="90" spans="1:27" ht="15.75" hidden="1" customHeight="1" x14ac:dyDescent="0.3">
      <c r="A90" s="2" t="s">
        <v>37</v>
      </c>
      <c r="B90" s="2" t="s">
        <v>38</v>
      </c>
      <c r="C90" s="2" t="s">
        <v>41</v>
      </c>
      <c r="D90" s="2" t="s">
        <v>38</v>
      </c>
      <c r="E90" s="2" t="s">
        <v>82</v>
      </c>
      <c r="F90" s="2" t="s">
        <v>814</v>
      </c>
      <c r="G90" s="2" t="s">
        <v>42</v>
      </c>
      <c r="H90" s="2" t="s">
        <v>42</v>
      </c>
      <c r="I90" s="2" t="s">
        <v>47</v>
      </c>
      <c r="J90" s="2" t="s">
        <v>44</v>
      </c>
      <c r="K90" s="2" t="s">
        <v>142</v>
      </c>
      <c r="L90" s="2" t="s">
        <v>50</v>
      </c>
      <c r="M90" s="2" t="s">
        <v>52</v>
      </c>
      <c r="N90" s="2" t="s">
        <v>144</v>
      </c>
      <c r="O90" s="2" t="s">
        <v>145</v>
      </c>
      <c r="P90" s="2" t="s">
        <v>56</v>
      </c>
      <c r="Q90" s="2">
        <v>50</v>
      </c>
      <c r="R90" s="2" t="b">
        <v>1</v>
      </c>
      <c r="S90" s="2">
        <v>0.63003663003662991</v>
      </c>
      <c r="T90" s="2">
        <v>0.60563380281690138</v>
      </c>
      <c r="U90" s="2">
        <v>0.65648854961832059</v>
      </c>
      <c r="V90" s="2" t="s">
        <v>63</v>
      </c>
      <c r="W90" s="2" t="s">
        <v>875</v>
      </c>
      <c r="X90" s="2" t="s">
        <v>876</v>
      </c>
      <c r="Y90" s="2" t="b">
        <v>1</v>
      </c>
      <c r="Z90" s="2" t="s">
        <v>67</v>
      </c>
      <c r="AA90" s="2">
        <v>2.5</v>
      </c>
    </row>
    <row r="91" spans="1:27" ht="15.75" hidden="1" customHeight="1" x14ac:dyDescent="0.3">
      <c r="A91" s="2" t="s">
        <v>37</v>
      </c>
      <c r="B91" s="2" t="s">
        <v>38</v>
      </c>
      <c r="C91" s="2" t="s">
        <v>41</v>
      </c>
      <c r="D91" s="2" t="s">
        <v>38</v>
      </c>
      <c r="E91" s="2" t="s">
        <v>82</v>
      </c>
      <c r="F91" s="2" t="s">
        <v>814</v>
      </c>
      <c r="G91" s="2" t="s">
        <v>42</v>
      </c>
      <c r="H91" s="2" t="s">
        <v>42</v>
      </c>
      <c r="I91" s="2" t="s">
        <v>47</v>
      </c>
      <c r="J91" s="2" t="s">
        <v>44</v>
      </c>
      <c r="K91" s="2" t="s">
        <v>153</v>
      </c>
      <c r="L91" s="2" t="s">
        <v>50</v>
      </c>
      <c r="M91" s="2" t="s">
        <v>52</v>
      </c>
      <c r="N91" s="2" t="s">
        <v>155</v>
      </c>
      <c r="O91" s="2" t="s">
        <v>156</v>
      </c>
      <c r="P91" s="2" t="s">
        <v>56</v>
      </c>
      <c r="Q91" s="2">
        <v>51</v>
      </c>
      <c r="R91" s="2" t="b">
        <v>1</v>
      </c>
      <c r="S91" s="2">
        <v>0.61591695501730104</v>
      </c>
      <c r="T91" s="2">
        <v>0.61379310344827587</v>
      </c>
      <c r="U91" s="2">
        <v>0.61805555555555558</v>
      </c>
      <c r="V91" s="2" t="s">
        <v>63</v>
      </c>
      <c r="W91" s="2" t="s">
        <v>877</v>
      </c>
      <c r="X91" s="2" t="s">
        <v>878</v>
      </c>
      <c r="Y91" s="2" t="b">
        <v>1</v>
      </c>
      <c r="Z91" s="2" t="s">
        <v>67</v>
      </c>
      <c r="AA91" s="2">
        <v>2</v>
      </c>
    </row>
    <row r="92" spans="1:27" ht="15.75" hidden="1" customHeight="1" x14ac:dyDescent="0.3">
      <c r="A92" s="2" t="s">
        <v>37</v>
      </c>
      <c r="B92" s="2" t="s">
        <v>38</v>
      </c>
      <c r="C92" s="2" t="s">
        <v>41</v>
      </c>
      <c r="D92" s="2" t="s">
        <v>38</v>
      </c>
      <c r="E92" s="2" t="s">
        <v>82</v>
      </c>
      <c r="F92" s="2" t="s">
        <v>814</v>
      </c>
      <c r="G92" s="2" t="s">
        <v>42</v>
      </c>
      <c r="H92" s="2" t="s">
        <v>42</v>
      </c>
      <c r="I92" s="2" t="s">
        <v>47</v>
      </c>
      <c r="J92" s="2" t="s">
        <v>44</v>
      </c>
      <c r="K92" s="2" t="s">
        <v>163</v>
      </c>
      <c r="L92" s="2" t="s">
        <v>50</v>
      </c>
      <c r="M92" s="2" t="s">
        <v>52</v>
      </c>
      <c r="N92" s="2" t="s">
        <v>164</v>
      </c>
      <c r="O92" s="2" t="s">
        <v>165</v>
      </c>
      <c r="P92" s="2" t="s">
        <v>56</v>
      </c>
      <c r="Q92" s="2">
        <v>52</v>
      </c>
      <c r="R92" s="2" t="b">
        <v>1</v>
      </c>
      <c r="S92" s="2">
        <v>0.67256637168141586</v>
      </c>
      <c r="T92" s="2">
        <v>0.66279069767441856</v>
      </c>
      <c r="U92" s="2">
        <v>0.68263473053892221</v>
      </c>
      <c r="V92" s="2" t="s">
        <v>63</v>
      </c>
      <c r="W92" s="2" t="s">
        <v>879</v>
      </c>
      <c r="X92" s="2" t="s">
        <v>880</v>
      </c>
      <c r="Y92" s="2" t="b">
        <v>1</v>
      </c>
      <c r="Z92" s="2" t="s">
        <v>67</v>
      </c>
      <c r="AA92" s="2">
        <v>1.9</v>
      </c>
    </row>
    <row r="93" spans="1:27" ht="15.75" hidden="1" customHeight="1" x14ac:dyDescent="0.3">
      <c r="A93" s="2" t="s">
        <v>37</v>
      </c>
      <c r="B93" s="2" t="s">
        <v>38</v>
      </c>
      <c r="C93" s="2" t="s">
        <v>41</v>
      </c>
      <c r="D93" s="2" t="s">
        <v>38</v>
      </c>
      <c r="E93" s="2" t="s">
        <v>82</v>
      </c>
      <c r="F93" s="2" t="s">
        <v>814</v>
      </c>
      <c r="G93" s="2" t="s">
        <v>42</v>
      </c>
      <c r="H93" s="2" t="s">
        <v>42</v>
      </c>
      <c r="I93" s="2" t="s">
        <v>47</v>
      </c>
      <c r="J93" s="2" t="s">
        <v>44</v>
      </c>
      <c r="K93" s="2" t="s">
        <v>172</v>
      </c>
      <c r="L93" s="2" t="s">
        <v>50</v>
      </c>
      <c r="M93" s="2" t="s">
        <v>52</v>
      </c>
      <c r="N93" s="2" t="s">
        <v>175</v>
      </c>
      <c r="O93" s="2" t="s">
        <v>176</v>
      </c>
      <c r="P93" s="2" t="s">
        <v>56</v>
      </c>
      <c r="Q93" s="2">
        <v>53</v>
      </c>
      <c r="R93" s="2" t="b">
        <v>1</v>
      </c>
      <c r="S93" s="2">
        <v>0.59546925566343056</v>
      </c>
      <c r="T93" s="2">
        <v>0.55089820359281438</v>
      </c>
      <c r="U93" s="2">
        <v>0.647887323943662</v>
      </c>
      <c r="V93" s="2" t="s">
        <v>63</v>
      </c>
      <c r="W93" s="2" t="s">
        <v>881</v>
      </c>
      <c r="X93" s="2" t="s">
        <v>882</v>
      </c>
      <c r="Y93" s="2" t="b">
        <v>1</v>
      </c>
      <c r="Z93" s="2" t="s">
        <v>67</v>
      </c>
      <c r="AA93" s="2">
        <v>2.1</v>
      </c>
    </row>
    <row r="94" spans="1:27" ht="15.75" hidden="1" customHeight="1" x14ac:dyDescent="0.3">
      <c r="A94" s="2" t="s">
        <v>37</v>
      </c>
      <c r="B94" s="2" t="s">
        <v>38</v>
      </c>
      <c r="C94" s="2" t="s">
        <v>41</v>
      </c>
      <c r="D94" s="2" t="s">
        <v>38</v>
      </c>
      <c r="E94" s="2" t="s">
        <v>82</v>
      </c>
      <c r="F94" s="2" t="s">
        <v>814</v>
      </c>
      <c r="G94" s="2" t="s">
        <v>42</v>
      </c>
      <c r="H94" s="2" t="s">
        <v>42</v>
      </c>
      <c r="I94" s="2" t="s">
        <v>47</v>
      </c>
      <c r="J94" s="2" t="s">
        <v>44</v>
      </c>
      <c r="K94" s="2" t="s">
        <v>181</v>
      </c>
      <c r="L94" s="2" t="s">
        <v>50</v>
      </c>
      <c r="M94" s="2" t="s">
        <v>52</v>
      </c>
      <c r="N94" s="2" t="s">
        <v>184</v>
      </c>
      <c r="O94" s="2" t="s">
        <v>185</v>
      </c>
      <c r="P94" s="2" t="s">
        <v>56</v>
      </c>
      <c r="Q94" s="2">
        <v>54</v>
      </c>
      <c r="R94" s="2" t="b">
        <v>1</v>
      </c>
      <c r="S94" s="2">
        <v>0.63606557377049189</v>
      </c>
      <c r="T94" s="2">
        <v>0.63398692810457513</v>
      </c>
      <c r="U94" s="2">
        <v>0.63815789473684215</v>
      </c>
      <c r="V94" s="2" t="s">
        <v>63</v>
      </c>
      <c r="W94" s="2" t="s">
        <v>883</v>
      </c>
      <c r="X94" s="2" t="s">
        <v>884</v>
      </c>
      <c r="Y94" s="2" t="b">
        <v>1</v>
      </c>
      <c r="Z94" s="2" t="s">
        <v>67</v>
      </c>
      <c r="AA94" s="2">
        <v>1.8</v>
      </c>
    </row>
    <row r="95" spans="1:27" ht="15.75" hidden="1" customHeight="1" x14ac:dyDescent="0.3">
      <c r="A95" s="2" t="s">
        <v>37</v>
      </c>
      <c r="B95" s="2" t="s">
        <v>38</v>
      </c>
      <c r="C95" s="2" t="s">
        <v>41</v>
      </c>
      <c r="D95" s="2" t="s">
        <v>38</v>
      </c>
      <c r="E95" s="2" t="s">
        <v>82</v>
      </c>
      <c r="F95" s="2" t="s">
        <v>814</v>
      </c>
      <c r="G95" s="2" t="s">
        <v>42</v>
      </c>
      <c r="H95" s="2" t="s">
        <v>42</v>
      </c>
      <c r="I95" s="2" t="s">
        <v>47</v>
      </c>
      <c r="J95" s="2" t="s">
        <v>44</v>
      </c>
      <c r="K95" s="2" t="s">
        <v>190</v>
      </c>
      <c r="L95" s="2" t="s">
        <v>50</v>
      </c>
      <c r="M95" s="2" t="s">
        <v>52</v>
      </c>
      <c r="N95" s="2" t="s">
        <v>191</v>
      </c>
      <c r="O95" s="2" t="s">
        <v>192</v>
      </c>
      <c r="P95" s="2" t="s">
        <v>56</v>
      </c>
      <c r="Q95" s="2">
        <v>55</v>
      </c>
      <c r="R95" s="2" t="b">
        <v>1</v>
      </c>
      <c r="S95" s="2">
        <v>0.66463414634146345</v>
      </c>
      <c r="T95" s="2">
        <v>0.63742690058479534</v>
      </c>
      <c r="U95" s="2">
        <v>0.69426751592356684</v>
      </c>
      <c r="V95" s="2" t="s">
        <v>63</v>
      </c>
      <c r="W95" s="2" t="s">
        <v>885</v>
      </c>
      <c r="X95" s="2" t="s">
        <v>886</v>
      </c>
      <c r="Y95" s="2" t="b">
        <v>1</v>
      </c>
      <c r="Z95" s="2" t="s">
        <v>67</v>
      </c>
      <c r="AA95" s="2">
        <v>2.6</v>
      </c>
    </row>
    <row r="96" spans="1:27" ht="15.75" hidden="1" customHeight="1" x14ac:dyDescent="0.3">
      <c r="A96" s="2" t="s">
        <v>37</v>
      </c>
      <c r="B96" s="2" t="s">
        <v>38</v>
      </c>
      <c r="C96" s="2" t="s">
        <v>41</v>
      </c>
      <c r="D96" s="2" t="s">
        <v>38</v>
      </c>
      <c r="E96" s="2" t="s">
        <v>82</v>
      </c>
      <c r="F96" s="2" t="s">
        <v>814</v>
      </c>
      <c r="G96" s="2" t="s">
        <v>42</v>
      </c>
      <c r="H96" s="2" t="s">
        <v>42</v>
      </c>
      <c r="I96" s="2" t="s">
        <v>47</v>
      </c>
      <c r="J96" s="2" t="s">
        <v>44</v>
      </c>
      <c r="K96" s="2" t="s">
        <v>199</v>
      </c>
      <c r="L96" s="2" t="s">
        <v>50</v>
      </c>
      <c r="M96" s="2" t="s">
        <v>52</v>
      </c>
      <c r="N96" s="2" t="s">
        <v>200</v>
      </c>
      <c r="O96" s="2" t="s">
        <v>201</v>
      </c>
      <c r="P96" s="2" t="s">
        <v>56</v>
      </c>
      <c r="Q96" s="2">
        <v>56</v>
      </c>
      <c r="R96" s="2" t="b">
        <v>1</v>
      </c>
      <c r="S96" s="2">
        <v>0.68211920529801329</v>
      </c>
      <c r="T96" s="2">
        <v>0.66025641025641024</v>
      </c>
      <c r="U96" s="2">
        <v>0.70547945205479456</v>
      </c>
      <c r="V96" s="2" t="s">
        <v>63</v>
      </c>
      <c r="W96" s="2" t="s">
        <v>887</v>
      </c>
      <c r="X96" s="2" t="s">
        <v>888</v>
      </c>
      <c r="Y96" s="2" t="b">
        <v>1</v>
      </c>
      <c r="Z96" s="2" t="s">
        <v>67</v>
      </c>
      <c r="AA96" s="2">
        <v>3.1</v>
      </c>
    </row>
    <row r="97" spans="1:27" ht="15.75" hidden="1" customHeight="1" x14ac:dyDescent="0.3">
      <c r="A97" s="2" t="s">
        <v>37</v>
      </c>
      <c r="B97" s="2" t="s">
        <v>38</v>
      </c>
      <c r="C97" s="2" t="s">
        <v>41</v>
      </c>
      <c r="D97" s="2" t="s">
        <v>38</v>
      </c>
      <c r="E97" s="2" t="s">
        <v>82</v>
      </c>
      <c r="F97" s="2" t="s">
        <v>814</v>
      </c>
      <c r="G97" s="2" t="s">
        <v>42</v>
      </c>
      <c r="H97" s="2" t="s">
        <v>42</v>
      </c>
      <c r="I97" s="2" t="s">
        <v>47</v>
      </c>
      <c r="J97" s="2" t="s">
        <v>44</v>
      </c>
      <c r="K97" s="2" t="s">
        <v>208</v>
      </c>
      <c r="L97" s="2" t="s">
        <v>50</v>
      </c>
      <c r="M97" s="2" t="s">
        <v>52</v>
      </c>
      <c r="N97" s="2" t="s">
        <v>209</v>
      </c>
      <c r="O97" s="2" t="s">
        <v>210</v>
      </c>
      <c r="P97" s="2" t="s">
        <v>56</v>
      </c>
      <c r="Q97" s="2">
        <v>57</v>
      </c>
      <c r="R97" s="2" t="b">
        <v>1</v>
      </c>
      <c r="S97" s="2">
        <v>0.67655786350148372</v>
      </c>
      <c r="T97" s="2">
        <v>0.6404494382022472</v>
      </c>
      <c r="U97" s="2">
        <v>0.71698113207547165</v>
      </c>
      <c r="V97" s="2" t="s">
        <v>63</v>
      </c>
      <c r="W97" s="2" t="s">
        <v>889</v>
      </c>
      <c r="X97" s="2" t="s">
        <v>890</v>
      </c>
      <c r="Y97" s="2" t="b">
        <v>1</v>
      </c>
      <c r="Z97" s="2" t="s">
        <v>67</v>
      </c>
      <c r="AA97" s="2">
        <v>2</v>
      </c>
    </row>
    <row r="98" spans="1:27" ht="15.75" hidden="1" customHeight="1" x14ac:dyDescent="0.3">
      <c r="A98" s="2" t="s">
        <v>37</v>
      </c>
      <c r="B98" s="2" t="s">
        <v>38</v>
      </c>
      <c r="C98" s="2" t="s">
        <v>41</v>
      </c>
      <c r="D98" s="2" t="s">
        <v>38</v>
      </c>
      <c r="E98" s="2" t="s">
        <v>82</v>
      </c>
      <c r="F98" s="2" t="s">
        <v>814</v>
      </c>
      <c r="G98" s="2" t="s">
        <v>42</v>
      </c>
      <c r="H98" s="2" t="s">
        <v>42</v>
      </c>
      <c r="I98" s="2" t="s">
        <v>47</v>
      </c>
      <c r="J98" s="2" t="s">
        <v>44</v>
      </c>
      <c r="K98" s="2" t="s">
        <v>217</v>
      </c>
      <c r="L98" s="2" t="s">
        <v>50</v>
      </c>
      <c r="M98" s="2" t="s">
        <v>52</v>
      </c>
      <c r="N98" s="2" t="s">
        <v>218</v>
      </c>
      <c r="O98" s="2" t="s">
        <v>219</v>
      </c>
      <c r="P98" s="2" t="s">
        <v>56</v>
      </c>
      <c r="Q98" s="2">
        <v>58</v>
      </c>
      <c r="R98" s="2" t="b">
        <v>1</v>
      </c>
      <c r="S98" s="2">
        <v>0.64264264264264259</v>
      </c>
      <c r="T98" s="2">
        <v>0.60451977401129942</v>
      </c>
      <c r="U98" s="2">
        <v>0.6858974358974359</v>
      </c>
      <c r="V98" s="2" t="s">
        <v>63</v>
      </c>
      <c r="W98" s="2" t="s">
        <v>891</v>
      </c>
      <c r="X98" s="2" t="s">
        <v>892</v>
      </c>
      <c r="Y98" s="2" t="b">
        <v>1</v>
      </c>
      <c r="Z98" s="2" t="s">
        <v>67</v>
      </c>
      <c r="AA98" s="2">
        <v>1.5</v>
      </c>
    </row>
    <row r="99" spans="1:27" ht="15.75" hidden="1" customHeight="1" x14ac:dyDescent="0.3">
      <c r="A99" s="2" t="s">
        <v>37</v>
      </c>
      <c r="B99" s="2" t="s">
        <v>38</v>
      </c>
      <c r="C99" s="2" t="s">
        <v>41</v>
      </c>
      <c r="D99" s="2" t="s">
        <v>38</v>
      </c>
      <c r="E99" s="2" t="s">
        <v>82</v>
      </c>
      <c r="F99" s="2" t="s">
        <v>814</v>
      </c>
      <c r="G99" s="2" t="s">
        <v>42</v>
      </c>
      <c r="H99" s="2" t="s">
        <v>42</v>
      </c>
      <c r="I99" s="2" t="s">
        <v>47</v>
      </c>
      <c r="J99" s="2" t="s">
        <v>44</v>
      </c>
      <c r="K99" s="2" t="s">
        <v>230</v>
      </c>
      <c r="L99" s="2" t="s">
        <v>50</v>
      </c>
      <c r="M99" s="2" t="s">
        <v>52</v>
      </c>
      <c r="N99" s="2" t="s">
        <v>231</v>
      </c>
      <c r="O99" s="2" t="s">
        <v>232</v>
      </c>
      <c r="P99" s="2" t="s">
        <v>56</v>
      </c>
      <c r="Q99" s="2">
        <v>59</v>
      </c>
      <c r="R99" s="2" t="b">
        <v>1</v>
      </c>
      <c r="S99" s="2">
        <v>0.65</v>
      </c>
      <c r="T99" s="2">
        <v>0.61578947368421055</v>
      </c>
      <c r="U99" s="2">
        <v>0.68823529411764706</v>
      </c>
      <c r="V99" s="2" t="s">
        <v>63</v>
      </c>
      <c r="W99" s="2" t="s">
        <v>893</v>
      </c>
      <c r="X99" s="2" t="s">
        <v>894</v>
      </c>
      <c r="Y99" s="2" t="b">
        <v>1</v>
      </c>
      <c r="Z99" s="2" t="s">
        <v>67</v>
      </c>
      <c r="AA99" s="2">
        <v>2</v>
      </c>
    </row>
    <row r="100" spans="1:27" ht="15.75" hidden="1" customHeight="1" x14ac:dyDescent="0.3">
      <c r="A100" s="2" t="s">
        <v>37</v>
      </c>
      <c r="B100" s="2" t="s">
        <v>38</v>
      </c>
      <c r="C100" s="2" t="s">
        <v>41</v>
      </c>
      <c r="D100" s="2" t="s">
        <v>38</v>
      </c>
      <c r="E100" s="2" t="s">
        <v>82</v>
      </c>
      <c r="F100" s="2" t="s">
        <v>814</v>
      </c>
      <c r="G100" s="2" t="s">
        <v>42</v>
      </c>
      <c r="H100" s="2" t="s">
        <v>42</v>
      </c>
      <c r="I100" s="2" t="s">
        <v>47</v>
      </c>
      <c r="J100" s="2" t="s">
        <v>44</v>
      </c>
      <c r="K100" s="2" t="s">
        <v>242</v>
      </c>
      <c r="L100" s="2" t="s">
        <v>50</v>
      </c>
      <c r="M100" s="2" t="s">
        <v>52</v>
      </c>
      <c r="N100" s="2" t="s">
        <v>244</v>
      </c>
      <c r="O100" s="2" t="s">
        <v>246</v>
      </c>
      <c r="P100" s="2" t="s">
        <v>56</v>
      </c>
      <c r="Q100" s="2">
        <v>60</v>
      </c>
      <c r="R100" s="2" t="b">
        <v>1</v>
      </c>
      <c r="S100" s="2">
        <v>0.55445544554455439</v>
      </c>
      <c r="T100" s="2">
        <v>0.5714285714285714</v>
      </c>
      <c r="U100" s="2">
        <v>0.53846153846153844</v>
      </c>
      <c r="V100" s="2" t="s">
        <v>63</v>
      </c>
      <c r="W100" s="2" t="s">
        <v>895</v>
      </c>
      <c r="X100" s="2" t="s">
        <v>896</v>
      </c>
      <c r="Y100" s="2" t="b">
        <v>1</v>
      </c>
      <c r="Z100" s="2" t="s">
        <v>67</v>
      </c>
      <c r="AA100" s="2">
        <v>1.4</v>
      </c>
    </row>
    <row r="101" spans="1:27" ht="15.75" hidden="1" customHeight="1" x14ac:dyDescent="0.3">
      <c r="A101" s="2" t="s">
        <v>37</v>
      </c>
      <c r="B101" s="2" t="s">
        <v>38</v>
      </c>
      <c r="C101" s="2" t="s">
        <v>41</v>
      </c>
      <c r="D101" s="2" t="s">
        <v>38</v>
      </c>
      <c r="E101" s="2" t="s">
        <v>82</v>
      </c>
      <c r="F101" s="2" t="s">
        <v>814</v>
      </c>
      <c r="G101" s="2" t="s">
        <v>42</v>
      </c>
      <c r="H101" s="2" t="s">
        <v>42</v>
      </c>
      <c r="I101" s="2" t="s">
        <v>47</v>
      </c>
      <c r="J101" s="2" t="s">
        <v>44</v>
      </c>
      <c r="K101" s="2" t="s">
        <v>253</v>
      </c>
      <c r="L101" s="2" t="s">
        <v>50</v>
      </c>
      <c r="M101" s="2" t="s">
        <v>52</v>
      </c>
      <c r="N101" s="2" t="s">
        <v>254</v>
      </c>
      <c r="O101" s="2" t="s">
        <v>255</v>
      </c>
      <c r="P101" s="2" t="s">
        <v>56</v>
      </c>
      <c r="Q101" s="2">
        <v>61</v>
      </c>
      <c r="R101" s="2" t="b">
        <v>1</v>
      </c>
      <c r="S101" s="2">
        <v>0.66666666666666663</v>
      </c>
      <c r="T101" s="2">
        <v>0.63749999999999996</v>
      </c>
      <c r="U101" s="2">
        <v>0.69863013698630139</v>
      </c>
      <c r="V101" s="2" t="s">
        <v>63</v>
      </c>
      <c r="W101" s="2" t="s">
        <v>897</v>
      </c>
      <c r="X101" s="2" t="s">
        <v>898</v>
      </c>
      <c r="Y101" s="2" t="b">
        <v>1</v>
      </c>
      <c r="Z101" s="2" t="s">
        <v>67</v>
      </c>
      <c r="AA101" s="2">
        <v>1.6</v>
      </c>
    </row>
    <row r="102" spans="1:27" ht="15.75" hidden="1" customHeight="1" x14ac:dyDescent="0.3">
      <c r="A102" s="2" t="s">
        <v>37</v>
      </c>
      <c r="B102" s="2" t="s">
        <v>38</v>
      </c>
      <c r="C102" s="2" t="s">
        <v>41</v>
      </c>
      <c r="D102" s="2" t="s">
        <v>38</v>
      </c>
      <c r="E102" s="2" t="s">
        <v>82</v>
      </c>
      <c r="F102" s="2" t="s">
        <v>814</v>
      </c>
      <c r="G102" s="2" t="s">
        <v>42</v>
      </c>
      <c r="H102" s="2" t="s">
        <v>42</v>
      </c>
      <c r="I102" s="2" t="s">
        <v>239</v>
      </c>
      <c r="J102" s="2" t="s">
        <v>71</v>
      </c>
      <c r="K102" s="2" t="s">
        <v>262</v>
      </c>
      <c r="L102" s="2" t="s">
        <v>263</v>
      </c>
      <c r="M102" s="2" t="s">
        <v>264</v>
      </c>
      <c r="N102" s="2" t="s">
        <v>265</v>
      </c>
      <c r="O102" s="2" t="s">
        <v>266</v>
      </c>
      <c r="P102" s="2" t="s">
        <v>267</v>
      </c>
      <c r="Q102" s="2">
        <v>42</v>
      </c>
      <c r="R102" s="2" t="b">
        <v>0</v>
      </c>
      <c r="S102" s="2">
        <v>0.63949843260188088</v>
      </c>
      <c r="T102" s="2">
        <v>0.62195121951219512</v>
      </c>
      <c r="U102" s="2">
        <v>0.65806451612903227</v>
      </c>
      <c r="V102" s="2" t="s">
        <v>63</v>
      </c>
      <c r="W102" s="2" t="s">
        <v>899</v>
      </c>
      <c r="X102" s="2" t="s">
        <v>900</v>
      </c>
      <c r="Y102" s="2" t="b">
        <v>1</v>
      </c>
      <c r="Z102" s="2" t="s">
        <v>67</v>
      </c>
      <c r="AA102" s="2">
        <v>2.9</v>
      </c>
    </row>
    <row r="103" spans="1:27" ht="15.75" hidden="1" customHeight="1" x14ac:dyDescent="0.3">
      <c r="A103" s="2" t="s">
        <v>37</v>
      </c>
      <c r="B103" s="2" t="s">
        <v>38</v>
      </c>
      <c r="C103" s="2" t="s">
        <v>41</v>
      </c>
      <c r="D103" s="2" t="s">
        <v>38</v>
      </c>
      <c r="E103" s="2" t="s">
        <v>82</v>
      </c>
      <c r="F103" s="2" t="s">
        <v>814</v>
      </c>
      <c r="G103" s="2" t="s">
        <v>42</v>
      </c>
      <c r="H103" s="2" t="s">
        <v>42</v>
      </c>
      <c r="I103" s="2" t="s">
        <v>239</v>
      </c>
      <c r="J103" s="2" t="s">
        <v>71</v>
      </c>
      <c r="K103" s="2" t="s">
        <v>274</v>
      </c>
      <c r="L103" s="2" t="s">
        <v>263</v>
      </c>
      <c r="M103" s="2" t="s">
        <v>264</v>
      </c>
      <c r="N103" s="2" t="s">
        <v>275</v>
      </c>
      <c r="O103" s="2" t="s">
        <v>276</v>
      </c>
      <c r="P103" s="2" t="s">
        <v>267</v>
      </c>
      <c r="Q103" s="2">
        <v>43</v>
      </c>
      <c r="R103" s="2" t="b">
        <v>0</v>
      </c>
      <c r="S103" s="2">
        <v>0.65993265993265982</v>
      </c>
      <c r="T103" s="2">
        <v>0.62420382165605093</v>
      </c>
      <c r="U103" s="2">
        <v>0.7</v>
      </c>
      <c r="V103" s="2" t="s">
        <v>63</v>
      </c>
      <c r="W103" s="2" t="s">
        <v>901</v>
      </c>
      <c r="X103" s="2" t="s">
        <v>902</v>
      </c>
      <c r="Y103" s="2" t="b">
        <v>1</v>
      </c>
      <c r="Z103" s="2" t="s">
        <v>67</v>
      </c>
      <c r="AA103" s="2">
        <v>2.2999999999999998</v>
      </c>
    </row>
    <row r="104" spans="1:27" ht="15.75" hidden="1" customHeight="1" x14ac:dyDescent="0.3">
      <c r="A104" s="2" t="s">
        <v>37</v>
      </c>
      <c r="B104" s="2" t="s">
        <v>38</v>
      </c>
      <c r="C104" s="2" t="s">
        <v>41</v>
      </c>
      <c r="D104" s="2" t="s">
        <v>38</v>
      </c>
      <c r="E104" s="2" t="s">
        <v>82</v>
      </c>
      <c r="F104" s="2" t="s">
        <v>814</v>
      </c>
      <c r="G104" s="2" t="s">
        <v>42</v>
      </c>
      <c r="H104" s="2" t="s">
        <v>42</v>
      </c>
      <c r="I104" s="2" t="s">
        <v>239</v>
      </c>
      <c r="J104" s="2" t="s">
        <v>71</v>
      </c>
      <c r="K104" s="2" t="s">
        <v>283</v>
      </c>
      <c r="L104" s="2" t="s">
        <v>263</v>
      </c>
      <c r="M104" s="2" t="s">
        <v>264</v>
      </c>
      <c r="N104" s="2" t="s">
        <v>284</v>
      </c>
      <c r="O104" s="2" t="s">
        <v>285</v>
      </c>
      <c r="P104" s="2" t="s">
        <v>267</v>
      </c>
      <c r="Q104" s="2">
        <v>44</v>
      </c>
      <c r="R104" s="2" t="b">
        <v>0</v>
      </c>
      <c r="S104" s="2">
        <v>0.68098159509202449</v>
      </c>
      <c r="T104" s="2">
        <v>0.64161849710982655</v>
      </c>
      <c r="U104" s="2">
        <v>0.72549019607843135</v>
      </c>
      <c r="V104" s="2" t="s">
        <v>63</v>
      </c>
      <c r="W104" s="2" t="s">
        <v>903</v>
      </c>
      <c r="X104" s="2" t="s">
        <v>904</v>
      </c>
      <c r="Y104" s="2" t="b">
        <v>1</v>
      </c>
      <c r="Z104" s="2" t="s">
        <v>67</v>
      </c>
      <c r="AA104" s="2">
        <v>1.5</v>
      </c>
    </row>
    <row r="105" spans="1:27" ht="15.75" hidden="1" customHeight="1" x14ac:dyDescent="0.3">
      <c r="A105" s="2" t="s">
        <v>37</v>
      </c>
      <c r="B105" s="2" t="s">
        <v>38</v>
      </c>
      <c r="C105" s="2" t="s">
        <v>41</v>
      </c>
      <c r="D105" s="2" t="s">
        <v>38</v>
      </c>
      <c r="E105" s="2" t="s">
        <v>82</v>
      </c>
      <c r="F105" s="2" t="s">
        <v>814</v>
      </c>
      <c r="G105" s="2" t="s">
        <v>42</v>
      </c>
      <c r="H105" s="2" t="s">
        <v>42</v>
      </c>
      <c r="I105" s="2" t="s">
        <v>239</v>
      </c>
      <c r="J105" s="2" t="s">
        <v>71</v>
      </c>
      <c r="K105" s="2" t="s">
        <v>292</v>
      </c>
      <c r="L105" s="2" t="s">
        <v>263</v>
      </c>
      <c r="M105" s="2" t="s">
        <v>264</v>
      </c>
      <c r="N105" s="2" t="s">
        <v>293</v>
      </c>
      <c r="O105" s="2" t="s">
        <v>294</v>
      </c>
      <c r="P105" s="2" t="s">
        <v>267</v>
      </c>
      <c r="Q105" s="2">
        <v>45</v>
      </c>
      <c r="R105" s="2" t="b">
        <v>0</v>
      </c>
      <c r="S105" s="2">
        <v>0.69349845201238391</v>
      </c>
      <c r="T105" s="2">
        <v>0.67469879518072284</v>
      </c>
      <c r="U105" s="2">
        <v>0.7133757961783439</v>
      </c>
      <c r="V105" s="2" t="s">
        <v>63</v>
      </c>
      <c r="W105" s="2" t="s">
        <v>905</v>
      </c>
      <c r="X105" s="2" t="s">
        <v>906</v>
      </c>
      <c r="Y105" s="2" t="b">
        <v>1</v>
      </c>
      <c r="Z105" s="2" t="s">
        <v>67</v>
      </c>
      <c r="AA105" s="2">
        <v>1.9</v>
      </c>
    </row>
    <row r="106" spans="1:27" ht="15.75" hidden="1" customHeight="1" x14ac:dyDescent="0.3">
      <c r="A106" s="2" t="s">
        <v>37</v>
      </c>
      <c r="B106" s="2" t="s">
        <v>38</v>
      </c>
      <c r="C106" s="2" t="s">
        <v>41</v>
      </c>
      <c r="D106" s="2" t="s">
        <v>38</v>
      </c>
      <c r="E106" s="2" t="s">
        <v>82</v>
      </c>
      <c r="F106" s="2" t="s">
        <v>814</v>
      </c>
      <c r="G106" s="2" t="s">
        <v>42</v>
      </c>
      <c r="H106" s="2" t="s">
        <v>42</v>
      </c>
      <c r="I106" s="2" t="s">
        <v>239</v>
      </c>
      <c r="J106" s="2" t="s">
        <v>71</v>
      </c>
      <c r="K106" s="2" t="s">
        <v>297</v>
      </c>
      <c r="L106" s="2" t="s">
        <v>263</v>
      </c>
      <c r="M106" s="2" t="s">
        <v>264</v>
      </c>
      <c r="N106" s="2" t="s">
        <v>298</v>
      </c>
      <c r="O106" s="2" t="s">
        <v>299</v>
      </c>
      <c r="P106" s="2" t="s">
        <v>267</v>
      </c>
      <c r="Q106" s="2">
        <v>46</v>
      </c>
      <c r="R106" s="2" t="b">
        <v>0</v>
      </c>
      <c r="S106" s="2">
        <v>0.67326732673267331</v>
      </c>
      <c r="T106" s="2">
        <v>0.64150943396226412</v>
      </c>
      <c r="U106" s="2">
        <v>0.70833333333333337</v>
      </c>
      <c r="V106" s="2" t="s">
        <v>63</v>
      </c>
      <c r="W106" s="2" t="s">
        <v>907</v>
      </c>
      <c r="X106" s="2" t="s">
        <v>908</v>
      </c>
      <c r="Y106" s="2" t="b">
        <v>1</v>
      </c>
      <c r="Z106" s="2" t="s">
        <v>67</v>
      </c>
      <c r="AA106" s="2">
        <v>1.4</v>
      </c>
    </row>
    <row r="107" spans="1:27" ht="15.75" hidden="1" customHeight="1" x14ac:dyDescent="0.3">
      <c r="A107" s="2" t="s">
        <v>37</v>
      </c>
      <c r="B107" s="2" t="s">
        <v>38</v>
      </c>
      <c r="C107" s="2" t="s">
        <v>41</v>
      </c>
      <c r="D107" s="2" t="s">
        <v>38</v>
      </c>
      <c r="E107" s="2" t="s">
        <v>82</v>
      </c>
      <c r="F107" s="2" t="s">
        <v>814</v>
      </c>
      <c r="G107" s="2" t="s">
        <v>42</v>
      </c>
      <c r="H107" s="2" t="s">
        <v>42</v>
      </c>
      <c r="I107" s="2" t="s">
        <v>239</v>
      </c>
      <c r="J107" s="2" t="s">
        <v>71</v>
      </c>
      <c r="K107" s="2" t="s">
        <v>303</v>
      </c>
      <c r="L107" s="2" t="s">
        <v>263</v>
      </c>
      <c r="M107" s="2" t="s">
        <v>264</v>
      </c>
      <c r="N107" s="2" t="s">
        <v>305</v>
      </c>
      <c r="O107" s="2" t="s">
        <v>306</v>
      </c>
      <c r="P107" s="2" t="s">
        <v>267</v>
      </c>
      <c r="Q107" s="2">
        <v>47</v>
      </c>
      <c r="R107" s="2" t="b">
        <v>0</v>
      </c>
      <c r="S107" s="2">
        <v>0.67462686567164176</v>
      </c>
      <c r="T107" s="2">
        <v>0.6384180790960452</v>
      </c>
      <c r="U107" s="2">
        <v>0.71518987341772156</v>
      </c>
      <c r="V107" s="2" t="s">
        <v>63</v>
      </c>
      <c r="W107" s="2" t="s">
        <v>909</v>
      </c>
      <c r="X107" s="2" t="s">
        <v>910</v>
      </c>
      <c r="Y107" s="2" t="b">
        <v>1</v>
      </c>
      <c r="Z107" s="2" t="s">
        <v>67</v>
      </c>
      <c r="AA107" s="2">
        <v>1.5</v>
      </c>
    </row>
    <row r="108" spans="1:27" ht="15.75" hidden="1" customHeight="1" x14ac:dyDescent="0.3">
      <c r="A108" s="2" t="s">
        <v>37</v>
      </c>
      <c r="B108" s="2" t="s">
        <v>38</v>
      </c>
      <c r="C108" s="2" t="s">
        <v>41</v>
      </c>
      <c r="D108" s="2" t="s">
        <v>38</v>
      </c>
      <c r="E108" s="2" t="s">
        <v>82</v>
      </c>
      <c r="F108" s="2" t="s">
        <v>814</v>
      </c>
      <c r="G108" s="2" t="s">
        <v>42</v>
      </c>
      <c r="H108" s="2" t="s">
        <v>42</v>
      </c>
      <c r="I108" s="2" t="s">
        <v>239</v>
      </c>
      <c r="J108" s="2" t="s">
        <v>71</v>
      </c>
      <c r="K108" s="2" t="s">
        <v>311</v>
      </c>
      <c r="L108" s="2" t="s">
        <v>263</v>
      </c>
      <c r="M108" s="2" t="s">
        <v>264</v>
      </c>
      <c r="N108" s="2" t="s">
        <v>314</v>
      </c>
      <c r="O108" s="2" t="s">
        <v>315</v>
      </c>
      <c r="P108" s="2" t="s">
        <v>267</v>
      </c>
      <c r="Q108" s="2">
        <v>48</v>
      </c>
      <c r="R108" s="2" t="b">
        <v>0</v>
      </c>
      <c r="S108" s="2">
        <v>0.66871165644171771</v>
      </c>
      <c r="T108" s="2">
        <v>0.64117647058823535</v>
      </c>
      <c r="U108" s="2">
        <v>0.69871794871794868</v>
      </c>
      <c r="V108" s="2" t="s">
        <v>63</v>
      </c>
      <c r="W108" s="2" t="s">
        <v>911</v>
      </c>
      <c r="X108" s="2" t="s">
        <v>912</v>
      </c>
      <c r="Y108" s="2" t="b">
        <v>1</v>
      </c>
      <c r="Z108" s="2" t="s">
        <v>67</v>
      </c>
      <c r="AA108" s="2">
        <v>2</v>
      </c>
    </row>
    <row r="109" spans="1:27" ht="15.75" hidden="1" customHeight="1" x14ac:dyDescent="0.3">
      <c r="A109" s="2" t="s">
        <v>37</v>
      </c>
      <c r="B109" s="2" t="s">
        <v>38</v>
      </c>
      <c r="C109" s="2" t="s">
        <v>41</v>
      </c>
      <c r="D109" s="2" t="s">
        <v>38</v>
      </c>
      <c r="E109" s="2" t="s">
        <v>82</v>
      </c>
      <c r="F109" s="2" t="s">
        <v>814</v>
      </c>
      <c r="G109" s="2" t="s">
        <v>42</v>
      </c>
      <c r="H109" s="2" t="s">
        <v>42</v>
      </c>
      <c r="I109" s="2" t="s">
        <v>239</v>
      </c>
      <c r="J109" s="2" t="s">
        <v>71</v>
      </c>
      <c r="K109" s="2" t="s">
        <v>324</v>
      </c>
      <c r="L109" s="2" t="s">
        <v>263</v>
      </c>
      <c r="M109" s="2" t="s">
        <v>264</v>
      </c>
      <c r="N109" s="2" t="s">
        <v>325</v>
      </c>
      <c r="O109" s="2" t="s">
        <v>326</v>
      </c>
      <c r="P109" s="2" t="s">
        <v>267</v>
      </c>
      <c r="Q109" s="2">
        <v>49</v>
      </c>
      <c r="R109" s="2" t="b">
        <v>0</v>
      </c>
      <c r="S109" s="2">
        <v>0.67492260061919507</v>
      </c>
      <c r="T109" s="2">
        <v>0.66463414634146345</v>
      </c>
      <c r="U109" s="2">
        <v>0.68553459119496851</v>
      </c>
      <c r="V109" s="2" t="s">
        <v>63</v>
      </c>
      <c r="W109" s="2" t="s">
        <v>913</v>
      </c>
      <c r="X109" s="2" t="s">
        <v>914</v>
      </c>
      <c r="Y109" s="2" t="b">
        <v>1</v>
      </c>
      <c r="Z109" s="2" t="s">
        <v>67</v>
      </c>
      <c r="AA109" s="2">
        <v>2</v>
      </c>
    </row>
    <row r="110" spans="1:27" ht="15.75" hidden="1" customHeight="1" x14ac:dyDescent="0.3">
      <c r="A110" s="2" t="s">
        <v>37</v>
      </c>
      <c r="B110" s="2" t="s">
        <v>38</v>
      </c>
      <c r="C110" s="2" t="s">
        <v>41</v>
      </c>
      <c r="D110" s="2" t="s">
        <v>38</v>
      </c>
      <c r="E110" s="2" t="s">
        <v>82</v>
      </c>
      <c r="F110" s="2" t="s">
        <v>814</v>
      </c>
      <c r="G110" s="2" t="s">
        <v>42</v>
      </c>
      <c r="H110" s="2" t="s">
        <v>42</v>
      </c>
      <c r="I110" s="2" t="s">
        <v>239</v>
      </c>
      <c r="J110" s="2" t="s">
        <v>71</v>
      </c>
      <c r="K110" s="2" t="s">
        <v>333</v>
      </c>
      <c r="L110" s="2" t="s">
        <v>263</v>
      </c>
      <c r="M110" s="2" t="s">
        <v>264</v>
      </c>
      <c r="N110" s="2" t="s">
        <v>334</v>
      </c>
      <c r="O110" s="2" t="s">
        <v>335</v>
      </c>
      <c r="P110" s="2" t="s">
        <v>267</v>
      </c>
      <c r="Q110" s="2">
        <v>50</v>
      </c>
      <c r="R110" s="2" t="b">
        <v>0</v>
      </c>
      <c r="S110" s="2">
        <v>0.70779220779220775</v>
      </c>
      <c r="T110" s="2">
        <v>0.67701863354037262</v>
      </c>
      <c r="U110" s="2">
        <v>0.74149659863945583</v>
      </c>
      <c r="V110" s="2" t="s">
        <v>63</v>
      </c>
      <c r="W110" s="2" t="s">
        <v>915</v>
      </c>
      <c r="X110" s="2" t="s">
        <v>916</v>
      </c>
      <c r="Y110" s="2" t="b">
        <v>1</v>
      </c>
      <c r="Z110" s="2" t="s">
        <v>67</v>
      </c>
      <c r="AA110" s="2">
        <v>2.2999999999999998</v>
      </c>
    </row>
    <row r="111" spans="1:27" ht="15.75" hidden="1" customHeight="1" x14ac:dyDescent="0.3">
      <c r="A111" s="2" t="s">
        <v>37</v>
      </c>
      <c r="B111" s="2" t="s">
        <v>38</v>
      </c>
      <c r="C111" s="2" t="s">
        <v>41</v>
      </c>
      <c r="D111" s="2" t="s">
        <v>38</v>
      </c>
      <c r="E111" s="2" t="s">
        <v>82</v>
      </c>
      <c r="F111" s="2" t="s">
        <v>814</v>
      </c>
      <c r="G111" s="2" t="s">
        <v>42</v>
      </c>
      <c r="H111" s="2" t="s">
        <v>42</v>
      </c>
      <c r="I111" s="2" t="s">
        <v>239</v>
      </c>
      <c r="J111" s="2" t="s">
        <v>71</v>
      </c>
      <c r="K111" s="2" t="s">
        <v>344</v>
      </c>
      <c r="L111" s="2" t="s">
        <v>263</v>
      </c>
      <c r="M111" s="2" t="s">
        <v>264</v>
      </c>
      <c r="N111" s="2" t="s">
        <v>345</v>
      </c>
      <c r="O111" s="2" t="s">
        <v>346</v>
      </c>
      <c r="P111" s="2" t="s">
        <v>267</v>
      </c>
      <c r="Q111" s="2">
        <v>51</v>
      </c>
      <c r="R111" s="2" t="b">
        <v>0</v>
      </c>
      <c r="S111" s="2">
        <v>0.68693009118541037</v>
      </c>
      <c r="T111" s="2">
        <v>0.66863905325443784</v>
      </c>
      <c r="U111" s="2">
        <v>0.70625000000000004</v>
      </c>
      <c r="V111" s="2" t="s">
        <v>63</v>
      </c>
      <c r="W111" s="2" t="s">
        <v>917</v>
      </c>
      <c r="X111" s="2" t="s">
        <v>918</v>
      </c>
      <c r="Y111" s="2" t="b">
        <v>1</v>
      </c>
      <c r="Z111" s="2" t="s">
        <v>67</v>
      </c>
      <c r="AA111" s="2">
        <v>2.2000000000000002</v>
      </c>
    </row>
    <row r="112" spans="1:27" ht="15.75" hidden="1" customHeight="1" x14ac:dyDescent="0.3">
      <c r="A112" s="2" t="s">
        <v>37</v>
      </c>
      <c r="B112" s="2" t="s">
        <v>38</v>
      </c>
      <c r="C112" s="2" t="s">
        <v>41</v>
      </c>
      <c r="D112" s="2" t="s">
        <v>38</v>
      </c>
      <c r="E112" s="2" t="s">
        <v>82</v>
      </c>
      <c r="F112" s="2" t="s">
        <v>814</v>
      </c>
      <c r="G112" s="2" t="s">
        <v>42</v>
      </c>
      <c r="H112" s="2" t="s">
        <v>42</v>
      </c>
      <c r="I112" s="2" t="s">
        <v>239</v>
      </c>
      <c r="J112" s="2" t="s">
        <v>71</v>
      </c>
      <c r="K112" s="2" t="s">
        <v>353</v>
      </c>
      <c r="L112" s="2" t="s">
        <v>263</v>
      </c>
      <c r="M112" s="2" t="s">
        <v>264</v>
      </c>
      <c r="N112" s="2" t="s">
        <v>356</v>
      </c>
      <c r="O112" s="2" t="s">
        <v>357</v>
      </c>
      <c r="P112" s="2" t="s">
        <v>267</v>
      </c>
      <c r="Q112" s="2">
        <v>52</v>
      </c>
      <c r="R112" s="2" t="b">
        <v>0</v>
      </c>
      <c r="S112" s="2">
        <v>0.64864864864864857</v>
      </c>
      <c r="T112" s="2">
        <v>0.62427745664739887</v>
      </c>
      <c r="U112" s="2">
        <v>0.67500000000000004</v>
      </c>
      <c r="V112" s="2" t="s">
        <v>63</v>
      </c>
      <c r="W112" s="2" t="s">
        <v>919</v>
      </c>
      <c r="X112" s="2" t="s">
        <v>920</v>
      </c>
      <c r="Y112" s="2" t="b">
        <v>1</v>
      </c>
      <c r="Z112" s="2" t="s">
        <v>67</v>
      </c>
      <c r="AA112" s="2">
        <v>1.6</v>
      </c>
    </row>
    <row r="113" spans="1:27" ht="15.75" hidden="1" customHeight="1" x14ac:dyDescent="0.3">
      <c r="A113" s="2" t="s">
        <v>37</v>
      </c>
      <c r="B113" s="2" t="s">
        <v>38</v>
      </c>
      <c r="C113" s="2" t="s">
        <v>41</v>
      </c>
      <c r="D113" s="2" t="s">
        <v>38</v>
      </c>
      <c r="E113" s="2" t="s">
        <v>82</v>
      </c>
      <c r="F113" s="2" t="s">
        <v>814</v>
      </c>
      <c r="G113" s="2" t="s">
        <v>42</v>
      </c>
      <c r="H113" s="2" t="s">
        <v>42</v>
      </c>
      <c r="I113" s="2" t="s">
        <v>239</v>
      </c>
      <c r="J113" s="2" t="s">
        <v>71</v>
      </c>
      <c r="K113" s="2" t="s">
        <v>365</v>
      </c>
      <c r="L113" s="2" t="s">
        <v>263</v>
      </c>
      <c r="M113" s="2" t="s">
        <v>264</v>
      </c>
      <c r="N113" s="2" t="s">
        <v>367</v>
      </c>
      <c r="O113" s="2" t="s">
        <v>369</v>
      </c>
      <c r="P113" s="2" t="s">
        <v>267</v>
      </c>
      <c r="Q113" s="2">
        <v>53</v>
      </c>
      <c r="R113" s="2" t="b">
        <v>0</v>
      </c>
      <c r="S113" s="2">
        <v>0.70948012232415913</v>
      </c>
      <c r="T113" s="2">
        <v>0.67052023121387283</v>
      </c>
      <c r="U113" s="2">
        <v>0.75324675324675328</v>
      </c>
      <c r="V113" s="2" t="s">
        <v>63</v>
      </c>
      <c r="W113" s="2" t="s">
        <v>921</v>
      </c>
      <c r="X113" s="2" t="s">
        <v>922</v>
      </c>
      <c r="Y113" s="2" t="b">
        <v>1</v>
      </c>
      <c r="Z113" s="2" t="s">
        <v>67</v>
      </c>
      <c r="AA113" s="2">
        <v>2</v>
      </c>
    </row>
    <row r="114" spans="1:27" ht="15.75" hidden="1" customHeight="1" x14ac:dyDescent="0.3">
      <c r="A114" s="2" t="s">
        <v>37</v>
      </c>
      <c r="B114" s="2" t="s">
        <v>38</v>
      </c>
      <c r="C114" s="2" t="s">
        <v>41</v>
      </c>
      <c r="D114" s="2" t="s">
        <v>38</v>
      </c>
      <c r="E114" s="2" t="s">
        <v>82</v>
      </c>
      <c r="F114" s="2" t="s">
        <v>814</v>
      </c>
      <c r="G114" s="2" t="s">
        <v>42</v>
      </c>
      <c r="H114" s="2" t="s">
        <v>42</v>
      </c>
      <c r="I114" s="2" t="s">
        <v>239</v>
      </c>
      <c r="J114" s="2" t="s">
        <v>71</v>
      </c>
      <c r="K114" s="2" t="s">
        <v>374</v>
      </c>
      <c r="L114" s="2" t="s">
        <v>263</v>
      </c>
      <c r="M114" s="2" t="s">
        <v>264</v>
      </c>
      <c r="N114" s="2" t="s">
        <v>377</v>
      </c>
      <c r="O114" s="2" t="s">
        <v>378</v>
      </c>
      <c r="P114" s="2" t="s">
        <v>267</v>
      </c>
      <c r="Q114" s="2">
        <v>54</v>
      </c>
      <c r="R114" s="2" t="b">
        <v>0</v>
      </c>
      <c r="S114" s="2">
        <v>0.67741935483870963</v>
      </c>
      <c r="T114" s="2">
        <v>0.63253012048192769</v>
      </c>
      <c r="U114" s="2">
        <v>0.72916666666666663</v>
      </c>
      <c r="V114" s="2" t="s">
        <v>63</v>
      </c>
      <c r="W114" s="2" t="s">
        <v>923</v>
      </c>
      <c r="X114" s="2" t="s">
        <v>924</v>
      </c>
      <c r="Y114" s="2" t="b">
        <v>1</v>
      </c>
      <c r="Z114" s="2" t="s">
        <v>67</v>
      </c>
      <c r="AA114" s="2">
        <v>1.6</v>
      </c>
    </row>
    <row r="115" spans="1:27" ht="15.75" hidden="1" customHeight="1" x14ac:dyDescent="0.3">
      <c r="A115" s="2" t="s">
        <v>37</v>
      </c>
      <c r="B115" s="2" t="s">
        <v>38</v>
      </c>
      <c r="C115" s="2" t="s">
        <v>41</v>
      </c>
      <c r="D115" s="2" t="s">
        <v>38</v>
      </c>
      <c r="E115" s="2" t="s">
        <v>82</v>
      </c>
      <c r="F115" s="2" t="s">
        <v>814</v>
      </c>
      <c r="G115" s="2" t="s">
        <v>42</v>
      </c>
      <c r="H115" s="2" t="s">
        <v>42</v>
      </c>
      <c r="I115" s="2" t="s">
        <v>239</v>
      </c>
      <c r="J115" s="2" t="s">
        <v>71</v>
      </c>
      <c r="K115" s="2" t="s">
        <v>385</v>
      </c>
      <c r="L115" s="2" t="s">
        <v>263</v>
      </c>
      <c r="M115" s="2" t="s">
        <v>264</v>
      </c>
      <c r="N115" s="2" t="s">
        <v>388</v>
      </c>
      <c r="O115" s="2" t="s">
        <v>390</v>
      </c>
      <c r="P115" s="2" t="s">
        <v>267</v>
      </c>
      <c r="Q115" s="2">
        <v>55</v>
      </c>
      <c r="R115" s="2" t="b">
        <v>0</v>
      </c>
      <c r="S115" s="2">
        <v>0.63829787234042545</v>
      </c>
      <c r="T115" s="2">
        <v>0.61764705882352944</v>
      </c>
      <c r="U115" s="2">
        <v>0.660377358490566</v>
      </c>
      <c r="V115" s="2" t="s">
        <v>63</v>
      </c>
      <c r="W115" s="2" t="s">
        <v>925</v>
      </c>
      <c r="X115" s="2" t="s">
        <v>926</v>
      </c>
      <c r="Y115" s="2" t="b">
        <v>1</v>
      </c>
      <c r="Z115" s="2" t="s">
        <v>67</v>
      </c>
      <c r="AA115" s="2">
        <v>2</v>
      </c>
    </row>
    <row r="116" spans="1:27" ht="15.75" hidden="1" customHeight="1" x14ac:dyDescent="0.3">
      <c r="A116" s="2" t="s">
        <v>37</v>
      </c>
      <c r="B116" s="2" t="s">
        <v>38</v>
      </c>
      <c r="C116" s="2" t="s">
        <v>41</v>
      </c>
      <c r="D116" s="2" t="s">
        <v>38</v>
      </c>
      <c r="E116" s="2" t="s">
        <v>82</v>
      </c>
      <c r="F116" s="2" t="s">
        <v>814</v>
      </c>
      <c r="G116" s="2" t="s">
        <v>42</v>
      </c>
      <c r="H116" s="2" t="s">
        <v>42</v>
      </c>
      <c r="I116" s="2" t="s">
        <v>239</v>
      </c>
      <c r="J116" s="2" t="s">
        <v>71</v>
      </c>
      <c r="K116" s="2" t="s">
        <v>400</v>
      </c>
      <c r="L116" s="2" t="s">
        <v>263</v>
      </c>
      <c r="M116" s="2" t="s">
        <v>264</v>
      </c>
      <c r="N116" s="2" t="s">
        <v>403</v>
      </c>
      <c r="O116" s="2" t="s">
        <v>404</v>
      </c>
      <c r="P116" s="2" t="s">
        <v>267</v>
      </c>
      <c r="Q116" s="2">
        <v>56</v>
      </c>
      <c r="R116" s="2" t="b">
        <v>0</v>
      </c>
      <c r="S116" s="2">
        <v>0.72435897435897445</v>
      </c>
      <c r="T116" s="2">
        <v>0.70625000000000004</v>
      </c>
      <c r="U116" s="2">
        <v>0.74342105263157898</v>
      </c>
      <c r="V116" s="2" t="s">
        <v>63</v>
      </c>
      <c r="W116" s="2" t="s">
        <v>927</v>
      </c>
      <c r="X116" s="2" t="s">
        <v>928</v>
      </c>
      <c r="Y116" s="2" t="b">
        <v>1</v>
      </c>
      <c r="Z116" s="2" t="s">
        <v>67</v>
      </c>
      <c r="AA116" s="2">
        <v>1.9</v>
      </c>
    </row>
    <row r="117" spans="1:27" ht="15.75" hidden="1" customHeight="1" x14ac:dyDescent="0.3">
      <c r="A117" s="2" t="s">
        <v>37</v>
      </c>
      <c r="B117" s="2" t="s">
        <v>38</v>
      </c>
      <c r="C117" s="2" t="s">
        <v>41</v>
      </c>
      <c r="D117" s="2" t="s">
        <v>38</v>
      </c>
      <c r="E117" s="2" t="s">
        <v>82</v>
      </c>
      <c r="F117" s="2" t="s">
        <v>814</v>
      </c>
      <c r="G117" s="2" t="s">
        <v>42</v>
      </c>
      <c r="H117" s="2" t="s">
        <v>42</v>
      </c>
      <c r="I117" s="2" t="s">
        <v>239</v>
      </c>
      <c r="J117" s="2" t="s">
        <v>71</v>
      </c>
      <c r="K117" s="2" t="s">
        <v>411</v>
      </c>
      <c r="L117" s="2" t="s">
        <v>263</v>
      </c>
      <c r="M117" s="2" t="s">
        <v>264</v>
      </c>
      <c r="N117" s="2" t="s">
        <v>414</v>
      </c>
      <c r="O117" s="2" t="s">
        <v>416</v>
      </c>
      <c r="P117" s="2" t="s">
        <v>267</v>
      </c>
      <c r="Q117" s="2">
        <v>57</v>
      </c>
      <c r="R117" s="2" t="b">
        <v>0</v>
      </c>
      <c r="S117" s="2">
        <v>0.66265060240963858</v>
      </c>
      <c r="T117" s="2">
        <v>0.64327485380116955</v>
      </c>
      <c r="U117" s="2">
        <v>0.68322981366459623</v>
      </c>
      <c r="V117" s="2" t="s">
        <v>63</v>
      </c>
      <c r="W117" s="2" t="s">
        <v>929</v>
      </c>
      <c r="X117" s="2" t="s">
        <v>930</v>
      </c>
      <c r="Y117" s="2" t="b">
        <v>1</v>
      </c>
      <c r="Z117" s="2" t="s">
        <v>67</v>
      </c>
      <c r="AA117" s="2">
        <v>2.4</v>
      </c>
    </row>
    <row r="118" spans="1:27" ht="15.75" hidden="1" customHeight="1" x14ac:dyDescent="0.3">
      <c r="A118" s="2" t="s">
        <v>37</v>
      </c>
      <c r="B118" s="2" t="s">
        <v>38</v>
      </c>
      <c r="C118" s="2" t="s">
        <v>41</v>
      </c>
      <c r="D118" s="2" t="s">
        <v>38</v>
      </c>
      <c r="E118" s="2" t="s">
        <v>82</v>
      </c>
      <c r="F118" s="2" t="s">
        <v>814</v>
      </c>
      <c r="G118" s="2" t="s">
        <v>42</v>
      </c>
      <c r="H118" s="2" t="s">
        <v>42</v>
      </c>
      <c r="I118" s="2" t="s">
        <v>239</v>
      </c>
      <c r="J118" s="2" t="s">
        <v>71</v>
      </c>
      <c r="K118" s="2" t="s">
        <v>428</v>
      </c>
      <c r="L118" s="2" t="s">
        <v>263</v>
      </c>
      <c r="M118" s="2" t="s">
        <v>264</v>
      </c>
      <c r="N118" s="2" t="s">
        <v>429</v>
      </c>
      <c r="O118" s="2" t="s">
        <v>430</v>
      </c>
      <c r="P118" s="2" t="s">
        <v>267</v>
      </c>
      <c r="Q118" s="2">
        <v>58</v>
      </c>
      <c r="R118" s="2" t="b">
        <v>0</v>
      </c>
      <c r="S118" s="2">
        <v>0.69255663430420711</v>
      </c>
      <c r="T118" s="2">
        <v>0.67295597484276726</v>
      </c>
      <c r="U118" s="2">
        <v>0.71333333333333337</v>
      </c>
      <c r="V118" s="2" t="s">
        <v>63</v>
      </c>
      <c r="W118" s="2" t="s">
        <v>931</v>
      </c>
      <c r="X118" s="2" t="s">
        <v>932</v>
      </c>
      <c r="Y118" s="2" t="b">
        <v>1</v>
      </c>
      <c r="Z118" s="2" t="s">
        <v>67</v>
      </c>
      <c r="AA118" s="2">
        <v>2.4</v>
      </c>
    </row>
    <row r="119" spans="1:27" ht="15.75" hidden="1" customHeight="1" x14ac:dyDescent="0.3">
      <c r="A119" s="2" t="s">
        <v>37</v>
      </c>
      <c r="B119" s="2" t="s">
        <v>38</v>
      </c>
      <c r="C119" s="2" t="s">
        <v>41</v>
      </c>
      <c r="D119" s="2" t="s">
        <v>38</v>
      </c>
      <c r="E119" s="2" t="s">
        <v>82</v>
      </c>
      <c r="F119" s="2" t="s">
        <v>814</v>
      </c>
      <c r="G119" s="2" t="s">
        <v>42</v>
      </c>
      <c r="H119" s="2" t="s">
        <v>42</v>
      </c>
      <c r="I119" s="2" t="s">
        <v>239</v>
      </c>
      <c r="J119" s="2" t="s">
        <v>71</v>
      </c>
      <c r="K119" s="2" t="s">
        <v>442</v>
      </c>
      <c r="L119" s="2" t="s">
        <v>263</v>
      </c>
      <c r="M119" s="2" t="s">
        <v>264</v>
      </c>
      <c r="N119" s="2" t="s">
        <v>445</v>
      </c>
      <c r="O119" s="2" t="s">
        <v>447</v>
      </c>
      <c r="P119" s="2" t="s">
        <v>267</v>
      </c>
      <c r="Q119" s="2">
        <v>59</v>
      </c>
      <c r="R119" s="2" t="b">
        <v>0</v>
      </c>
      <c r="S119" s="2">
        <v>0.69724770642201839</v>
      </c>
      <c r="T119" s="2">
        <v>0.68263473053892221</v>
      </c>
      <c r="U119" s="2">
        <v>0.71250000000000002</v>
      </c>
      <c r="V119" s="2" t="s">
        <v>63</v>
      </c>
      <c r="W119" s="2" t="s">
        <v>933</v>
      </c>
      <c r="X119" s="2" t="s">
        <v>934</v>
      </c>
      <c r="Y119" s="2" t="b">
        <v>1</v>
      </c>
      <c r="Z119" s="2" t="s">
        <v>67</v>
      </c>
      <c r="AA119" s="2">
        <v>1.5</v>
      </c>
    </row>
    <row r="120" spans="1:27" ht="15.75" hidden="1" customHeight="1" x14ac:dyDescent="0.3">
      <c r="A120" s="2" t="s">
        <v>37</v>
      </c>
      <c r="B120" s="2" t="s">
        <v>38</v>
      </c>
      <c r="C120" s="2" t="s">
        <v>41</v>
      </c>
      <c r="D120" s="2" t="s">
        <v>38</v>
      </c>
      <c r="E120" s="2" t="s">
        <v>82</v>
      </c>
      <c r="F120" s="2" t="s">
        <v>814</v>
      </c>
      <c r="G120" s="2" t="s">
        <v>42</v>
      </c>
      <c r="H120" s="2" t="s">
        <v>42</v>
      </c>
      <c r="I120" s="2" t="s">
        <v>239</v>
      </c>
      <c r="J120" s="2" t="s">
        <v>71</v>
      </c>
      <c r="K120" s="2" t="s">
        <v>454</v>
      </c>
      <c r="L120" s="2" t="s">
        <v>263</v>
      </c>
      <c r="M120" s="2" t="s">
        <v>264</v>
      </c>
      <c r="N120" s="2" t="s">
        <v>455</v>
      </c>
      <c r="O120" s="2" t="s">
        <v>457</v>
      </c>
      <c r="P120" s="2" t="s">
        <v>267</v>
      </c>
      <c r="Q120" s="2">
        <v>60</v>
      </c>
      <c r="R120" s="2" t="b">
        <v>0</v>
      </c>
      <c r="S120" s="2">
        <v>0.61773700305810397</v>
      </c>
      <c r="T120" s="2">
        <v>0.58720930232558144</v>
      </c>
      <c r="U120" s="2">
        <v>0.65161290322580645</v>
      </c>
      <c r="V120" s="2" t="s">
        <v>63</v>
      </c>
      <c r="W120" s="2" t="s">
        <v>935</v>
      </c>
      <c r="X120" s="2" t="s">
        <v>936</v>
      </c>
      <c r="Y120" s="2" t="b">
        <v>1</v>
      </c>
      <c r="Z120" s="2" t="s">
        <v>67</v>
      </c>
      <c r="AA120" s="2">
        <v>1.6</v>
      </c>
    </row>
    <row r="121" spans="1:27" ht="15.75" hidden="1" customHeight="1" x14ac:dyDescent="0.3">
      <c r="A121" s="2" t="s">
        <v>37</v>
      </c>
      <c r="B121" s="2" t="s">
        <v>38</v>
      </c>
      <c r="C121" s="2" t="s">
        <v>41</v>
      </c>
      <c r="D121" s="2" t="s">
        <v>38</v>
      </c>
      <c r="E121" s="2" t="s">
        <v>82</v>
      </c>
      <c r="F121" s="2" t="s">
        <v>814</v>
      </c>
      <c r="G121" s="2" t="s">
        <v>42</v>
      </c>
      <c r="H121" s="2" t="s">
        <v>42</v>
      </c>
      <c r="I121" s="2" t="s">
        <v>239</v>
      </c>
      <c r="J121" s="2" t="s">
        <v>71</v>
      </c>
      <c r="K121" s="2" t="s">
        <v>468</v>
      </c>
      <c r="L121" s="2" t="s">
        <v>263</v>
      </c>
      <c r="M121" s="2" t="s">
        <v>264</v>
      </c>
      <c r="N121" s="2" t="s">
        <v>472</v>
      </c>
      <c r="O121" s="2" t="s">
        <v>475</v>
      </c>
      <c r="P121" s="2" t="s">
        <v>267</v>
      </c>
      <c r="Q121" s="2">
        <v>61</v>
      </c>
      <c r="R121" s="2" t="b">
        <v>0</v>
      </c>
      <c r="S121" s="2">
        <v>0.68945868945868938</v>
      </c>
      <c r="T121" s="2">
        <v>0.6648351648351648</v>
      </c>
      <c r="U121" s="2">
        <v>0.71597633136094674</v>
      </c>
      <c r="V121" s="2" t="s">
        <v>63</v>
      </c>
      <c r="W121" s="2" t="s">
        <v>937</v>
      </c>
      <c r="X121" s="2" t="s">
        <v>938</v>
      </c>
      <c r="Y121" s="2" t="b">
        <v>1</v>
      </c>
      <c r="Z121" s="2" t="s">
        <v>67</v>
      </c>
      <c r="AA121" s="2">
        <v>2</v>
      </c>
    </row>
    <row r="122" spans="1:27" ht="15.75" hidden="1" customHeight="1" x14ac:dyDescent="0.3">
      <c r="A122" s="2" t="s">
        <v>360</v>
      </c>
      <c r="B122" s="2" t="s">
        <v>116</v>
      </c>
      <c r="C122" s="2" t="s">
        <v>939</v>
      </c>
      <c r="D122" s="2" t="s">
        <v>116</v>
      </c>
      <c r="E122" s="2" t="s">
        <v>43</v>
      </c>
      <c r="F122" s="2" t="s">
        <v>46</v>
      </c>
      <c r="G122" s="2" t="s">
        <v>42</v>
      </c>
      <c r="H122" s="2" t="s">
        <v>42</v>
      </c>
      <c r="I122" s="2" t="s">
        <v>47</v>
      </c>
      <c r="J122" s="2" t="s">
        <v>44</v>
      </c>
      <c r="K122" s="2" t="s">
        <v>940</v>
      </c>
      <c r="L122" s="2" t="s">
        <v>941</v>
      </c>
      <c r="M122" s="2" t="s">
        <v>52</v>
      </c>
      <c r="N122" s="2" t="s">
        <v>942</v>
      </c>
      <c r="O122" s="2" t="s">
        <v>55</v>
      </c>
      <c r="P122" s="2" t="s">
        <v>56</v>
      </c>
      <c r="Q122" s="2">
        <v>42</v>
      </c>
      <c r="R122" s="2" t="b">
        <v>1</v>
      </c>
      <c r="S122" s="2">
        <v>0.62325581395348839</v>
      </c>
      <c r="T122" s="2">
        <v>0.62037037037037035</v>
      </c>
      <c r="U122" s="2">
        <v>0.62616822429906538</v>
      </c>
      <c r="V122" s="2" t="s">
        <v>63</v>
      </c>
      <c r="W122" s="2" t="s">
        <v>943</v>
      </c>
      <c r="X122" s="2" t="s">
        <v>944</v>
      </c>
      <c r="Y122" s="2" t="b">
        <v>0</v>
      </c>
      <c r="Z122" s="2" t="s">
        <v>67</v>
      </c>
      <c r="AA122" s="2">
        <v>90.9</v>
      </c>
    </row>
    <row r="123" spans="1:27" ht="15.75" hidden="1" customHeight="1" x14ac:dyDescent="0.3">
      <c r="A123" s="2" t="s">
        <v>360</v>
      </c>
      <c r="B123" s="2" t="s">
        <v>116</v>
      </c>
      <c r="C123" s="2" t="s">
        <v>939</v>
      </c>
      <c r="D123" s="2" t="s">
        <v>116</v>
      </c>
      <c r="E123" s="2" t="s">
        <v>43</v>
      </c>
      <c r="F123" s="2" t="s">
        <v>46</v>
      </c>
      <c r="G123" s="2" t="s">
        <v>42</v>
      </c>
      <c r="H123" s="2" t="s">
        <v>42</v>
      </c>
      <c r="I123" s="2" t="s">
        <v>47</v>
      </c>
      <c r="J123" s="2" t="s">
        <v>44</v>
      </c>
      <c r="K123" s="2" t="s">
        <v>945</v>
      </c>
      <c r="L123" s="2" t="s">
        <v>941</v>
      </c>
      <c r="M123" s="2" t="s">
        <v>52</v>
      </c>
      <c r="N123" s="2" t="s">
        <v>946</v>
      </c>
      <c r="O123" s="2" t="s">
        <v>73</v>
      </c>
      <c r="P123" s="2" t="s">
        <v>56</v>
      </c>
      <c r="Q123" s="2">
        <v>43</v>
      </c>
      <c r="R123" s="2" t="b">
        <v>1</v>
      </c>
      <c r="S123" s="2">
        <v>0.55652173913043479</v>
      </c>
      <c r="T123" s="2">
        <v>0.56140350877192979</v>
      </c>
      <c r="U123" s="2">
        <v>0.55172413793103448</v>
      </c>
      <c r="V123" s="2" t="s">
        <v>63</v>
      </c>
      <c r="W123" s="2" t="s">
        <v>947</v>
      </c>
      <c r="X123" s="2" t="s">
        <v>948</v>
      </c>
      <c r="Y123" s="2" t="b">
        <v>0</v>
      </c>
      <c r="Z123" s="2" t="s">
        <v>67</v>
      </c>
      <c r="AA123" s="2">
        <v>80.099999999999994</v>
      </c>
    </row>
    <row r="124" spans="1:27" ht="15.75" hidden="1" customHeight="1" x14ac:dyDescent="0.3">
      <c r="A124" s="2" t="s">
        <v>360</v>
      </c>
      <c r="B124" s="2" t="s">
        <v>116</v>
      </c>
      <c r="C124" s="2" t="s">
        <v>939</v>
      </c>
      <c r="D124" s="2" t="s">
        <v>116</v>
      </c>
      <c r="E124" s="2" t="s">
        <v>43</v>
      </c>
      <c r="F124" s="2" t="s">
        <v>46</v>
      </c>
      <c r="G124" s="2" t="s">
        <v>42</v>
      </c>
      <c r="H124" s="2" t="s">
        <v>42</v>
      </c>
      <c r="I124" s="2" t="s">
        <v>47</v>
      </c>
      <c r="J124" s="2" t="s">
        <v>44</v>
      </c>
      <c r="K124" s="2" t="s">
        <v>949</v>
      </c>
      <c r="L124" s="2" t="s">
        <v>941</v>
      </c>
      <c r="M124" s="2" t="s">
        <v>52</v>
      </c>
      <c r="N124" s="2" t="s">
        <v>950</v>
      </c>
      <c r="O124" s="2" t="s">
        <v>84</v>
      </c>
      <c r="P124" s="2" t="s">
        <v>56</v>
      </c>
      <c r="Q124" s="2">
        <v>44</v>
      </c>
      <c r="R124" s="2" t="b">
        <v>1</v>
      </c>
      <c r="S124" s="2">
        <v>0.61710037174721188</v>
      </c>
      <c r="T124" s="2">
        <v>0.59712230215827333</v>
      </c>
      <c r="U124" s="2">
        <v>0.63846153846153841</v>
      </c>
      <c r="V124" s="2" t="s">
        <v>63</v>
      </c>
      <c r="W124" s="2" t="s">
        <v>951</v>
      </c>
      <c r="X124" s="2" t="s">
        <v>952</v>
      </c>
      <c r="Y124" s="2" t="b">
        <v>0</v>
      </c>
      <c r="Z124" s="2" t="s">
        <v>67</v>
      </c>
      <c r="AA124" s="2">
        <v>80.099999999999994</v>
      </c>
    </row>
    <row r="125" spans="1:27" ht="15.75" hidden="1" customHeight="1" x14ac:dyDescent="0.3">
      <c r="A125" s="2" t="s">
        <v>360</v>
      </c>
      <c r="B125" s="2" t="s">
        <v>116</v>
      </c>
      <c r="C125" s="2" t="s">
        <v>939</v>
      </c>
      <c r="D125" s="2" t="s">
        <v>116</v>
      </c>
      <c r="E125" s="2" t="s">
        <v>43</v>
      </c>
      <c r="F125" s="2" t="s">
        <v>46</v>
      </c>
      <c r="G125" s="2" t="s">
        <v>42</v>
      </c>
      <c r="H125" s="2" t="s">
        <v>42</v>
      </c>
      <c r="I125" s="2" t="s">
        <v>47</v>
      </c>
      <c r="J125" s="2" t="s">
        <v>44</v>
      </c>
      <c r="K125" s="2" t="s">
        <v>953</v>
      </c>
      <c r="L125" s="2" t="s">
        <v>941</v>
      </c>
      <c r="M125" s="2" t="s">
        <v>52</v>
      </c>
      <c r="N125" s="2" t="s">
        <v>954</v>
      </c>
      <c r="O125" s="2" t="s">
        <v>93</v>
      </c>
      <c r="P125" s="2" t="s">
        <v>56</v>
      </c>
      <c r="Q125" s="2">
        <v>45</v>
      </c>
      <c r="R125" s="2" t="b">
        <v>1</v>
      </c>
      <c r="S125" s="2">
        <v>0.68634686346863472</v>
      </c>
      <c r="T125" s="2">
        <v>0.67391304347826086</v>
      </c>
      <c r="U125" s="2">
        <v>0.6992481203007519</v>
      </c>
      <c r="V125" s="2" t="s">
        <v>63</v>
      </c>
      <c r="W125" s="2" t="s">
        <v>955</v>
      </c>
      <c r="X125" s="2" t="s">
        <v>956</v>
      </c>
      <c r="Y125" s="2" t="b">
        <v>0</v>
      </c>
      <c r="Z125" s="2" t="s">
        <v>67</v>
      </c>
      <c r="AA125" s="2">
        <v>79.8</v>
      </c>
    </row>
    <row r="126" spans="1:27" ht="15.75" hidden="1" customHeight="1" x14ac:dyDescent="0.3">
      <c r="A126" s="2" t="s">
        <v>360</v>
      </c>
      <c r="B126" s="2" t="s">
        <v>116</v>
      </c>
      <c r="C126" s="2" t="s">
        <v>939</v>
      </c>
      <c r="D126" s="2" t="s">
        <v>116</v>
      </c>
      <c r="E126" s="2" t="s">
        <v>43</v>
      </c>
      <c r="F126" s="2" t="s">
        <v>46</v>
      </c>
      <c r="G126" s="2" t="s">
        <v>42</v>
      </c>
      <c r="H126" s="2" t="s">
        <v>42</v>
      </c>
      <c r="I126" s="2" t="s">
        <v>47</v>
      </c>
      <c r="J126" s="2" t="s">
        <v>44</v>
      </c>
      <c r="K126" s="2" t="s">
        <v>957</v>
      </c>
      <c r="L126" s="2" t="s">
        <v>941</v>
      </c>
      <c r="M126" s="2" t="s">
        <v>52</v>
      </c>
      <c r="N126" s="2" t="s">
        <v>958</v>
      </c>
      <c r="O126" s="2" t="s">
        <v>104</v>
      </c>
      <c r="P126" s="2" t="s">
        <v>56</v>
      </c>
      <c r="Q126" s="2">
        <v>46</v>
      </c>
      <c r="R126" s="2" t="b">
        <v>1</v>
      </c>
      <c r="S126" s="2">
        <v>0.63345195729537374</v>
      </c>
      <c r="T126" s="2">
        <v>0.64492753623188404</v>
      </c>
      <c r="U126" s="2">
        <v>0.6223776223776224</v>
      </c>
      <c r="V126" s="2" t="s">
        <v>63</v>
      </c>
      <c r="W126" s="2" t="s">
        <v>959</v>
      </c>
      <c r="X126" s="2" t="s">
        <v>960</v>
      </c>
      <c r="Y126" s="2" t="b">
        <v>0</v>
      </c>
      <c r="Z126" s="2" t="s">
        <v>67</v>
      </c>
      <c r="AA126" s="2">
        <v>78</v>
      </c>
    </row>
    <row r="127" spans="1:27" ht="15.75" hidden="1" customHeight="1" x14ac:dyDescent="0.3">
      <c r="A127" s="2" t="s">
        <v>360</v>
      </c>
      <c r="B127" s="2" t="s">
        <v>116</v>
      </c>
      <c r="C127" s="2" t="s">
        <v>939</v>
      </c>
      <c r="D127" s="2" t="s">
        <v>116</v>
      </c>
      <c r="E127" s="2" t="s">
        <v>43</v>
      </c>
      <c r="F127" s="2" t="s">
        <v>46</v>
      </c>
      <c r="G127" s="2" t="s">
        <v>42</v>
      </c>
      <c r="H127" s="2" t="s">
        <v>42</v>
      </c>
      <c r="I127" s="2" t="s">
        <v>47</v>
      </c>
      <c r="J127" s="2" t="s">
        <v>44</v>
      </c>
      <c r="K127" s="2" t="s">
        <v>961</v>
      </c>
      <c r="L127" s="2" t="s">
        <v>941</v>
      </c>
      <c r="M127" s="2" t="s">
        <v>52</v>
      </c>
      <c r="N127" s="2" t="s">
        <v>962</v>
      </c>
      <c r="O127" s="2" t="s">
        <v>114</v>
      </c>
      <c r="P127" s="2" t="s">
        <v>56</v>
      </c>
      <c r="Q127" s="2">
        <v>47</v>
      </c>
      <c r="R127" s="2" t="b">
        <v>1</v>
      </c>
      <c r="S127" s="2">
        <v>0.69260700389105068</v>
      </c>
      <c r="T127" s="2">
        <v>0.72357723577235777</v>
      </c>
      <c r="U127" s="2">
        <v>0.66417910447761197</v>
      </c>
      <c r="V127" s="2" t="s">
        <v>63</v>
      </c>
      <c r="W127" s="2" t="s">
        <v>963</v>
      </c>
      <c r="X127" s="2" t="s">
        <v>964</v>
      </c>
      <c r="Y127" s="2" t="b">
        <v>0</v>
      </c>
      <c r="Z127" s="2" t="s">
        <v>67</v>
      </c>
      <c r="AA127" s="2">
        <v>80</v>
      </c>
    </row>
    <row r="128" spans="1:27" ht="15.75" hidden="1" customHeight="1" x14ac:dyDescent="0.3">
      <c r="A128" s="2" t="s">
        <v>360</v>
      </c>
      <c r="B128" s="2" t="s">
        <v>116</v>
      </c>
      <c r="C128" s="2" t="s">
        <v>939</v>
      </c>
      <c r="D128" s="2" t="s">
        <v>116</v>
      </c>
      <c r="E128" s="2" t="s">
        <v>43</v>
      </c>
      <c r="F128" s="2" t="s">
        <v>46</v>
      </c>
      <c r="G128" s="2" t="s">
        <v>42</v>
      </c>
      <c r="H128" s="2" t="s">
        <v>42</v>
      </c>
      <c r="I128" s="2" t="s">
        <v>47</v>
      </c>
      <c r="J128" s="2" t="s">
        <v>44</v>
      </c>
      <c r="K128" s="2" t="s">
        <v>965</v>
      </c>
      <c r="L128" s="2" t="s">
        <v>941</v>
      </c>
      <c r="M128" s="2" t="s">
        <v>52</v>
      </c>
      <c r="N128" s="2" t="s">
        <v>966</v>
      </c>
      <c r="O128" s="2" t="s">
        <v>125</v>
      </c>
      <c r="P128" s="2" t="s">
        <v>56</v>
      </c>
      <c r="Q128" s="2">
        <v>48</v>
      </c>
      <c r="R128" s="2" t="b">
        <v>1</v>
      </c>
      <c r="S128" s="2">
        <v>0.56557377049180324</v>
      </c>
      <c r="T128" s="2">
        <v>0.55645161290322576</v>
      </c>
      <c r="U128" s="2">
        <v>0.57499999999999996</v>
      </c>
      <c r="V128" s="2" t="s">
        <v>63</v>
      </c>
      <c r="W128" s="2" t="s">
        <v>967</v>
      </c>
      <c r="X128" s="2" t="s">
        <v>968</v>
      </c>
      <c r="Y128" s="2" t="b">
        <v>0</v>
      </c>
      <c r="Z128" s="2" t="s">
        <v>67</v>
      </c>
      <c r="AA128" s="2">
        <v>79.8</v>
      </c>
    </row>
    <row r="129" spans="1:27" ht="15.75" hidden="1" customHeight="1" x14ac:dyDescent="0.3">
      <c r="A129" s="2" t="s">
        <v>360</v>
      </c>
      <c r="B129" s="2" t="s">
        <v>116</v>
      </c>
      <c r="C129" s="2" t="s">
        <v>939</v>
      </c>
      <c r="D129" s="2" t="s">
        <v>116</v>
      </c>
      <c r="E129" s="2" t="s">
        <v>43</v>
      </c>
      <c r="F129" s="2" t="s">
        <v>46</v>
      </c>
      <c r="G129" s="2" t="s">
        <v>42</v>
      </c>
      <c r="H129" s="2" t="s">
        <v>42</v>
      </c>
      <c r="I129" s="2" t="s">
        <v>47</v>
      </c>
      <c r="J129" s="2" t="s">
        <v>44</v>
      </c>
      <c r="K129" s="2" t="s">
        <v>969</v>
      </c>
      <c r="L129" s="2" t="s">
        <v>941</v>
      </c>
      <c r="M129" s="2" t="s">
        <v>52</v>
      </c>
      <c r="N129" s="2" t="s">
        <v>970</v>
      </c>
      <c r="O129" s="2" t="s">
        <v>134</v>
      </c>
      <c r="P129" s="2" t="s">
        <v>56</v>
      </c>
      <c r="Q129" s="2">
        <v>49</v>
      </c>
      <c r="R129" s="2" t="b">
        <v>1</v>
      </c>
      <c r="S129" s="2">
        <v>0.61187214611872154</v>
      </c>
      <c r="T129" s="2">
        <v>0.60360360360360366</v>
      </c>
      <c r="U129" s="2">
        <v>0.62037037037037035</v>
      </c>
      <c r="V129" s="2" t="s">
        <v>63</v>
      </c>
      <c r="W129" s="2" t="s">
        <v>971</v>
      </c>
      <c r="X129" s="2" t="s">
        <v>972</v>
      </c>
      <c r="Y129" s="2" t="b">
        <v>0</v>
      </c>
      <c r="Z129" s="2" t="s">
        <v>67</v>
      </c>
      <c r="AA129" s="2">
        <v>79.2</v>
      </c>
    </row>
    <row r="130" spans="1:27" ht="15.75" hidden="1" customHeight="1" x14ac:dyDescent="0.3">
      <c r="A130" s="2" t="s">
        <v>360</v>
      </c>
      <c r="B130" s="2" t="s">
        <v>116</v>
      </c>
      <c r="C130" s="2" t="s">
        <v>939</v>
      </c>
      <c r="D130" s="2" t="s">
        <v>116</v>
      </c>
      <c r="E130" s="2" t="s">
        <v>43</v>
      </c>
      <c r="F130" s="2" t="s">
        <v>46</v>
      </c>
      <c r="G130" s="2" t="s">
        <v>42</v>
      </c>
      <c r="H130" s="2" t="s">
        <v>42</v>
      </c>
      <c r="I130" s="2" t="s">
        <v>47</v>
      </c>
      <c r="J130" s="2" t="s">
        <v>44</v>
      </c>
      <c r="K130" s="2" t="s">
        <v>973</v>
      </c>
      <c r="L130" s="2" t="s">
        <v>941</v>
      </c>
      <c r="M130" s="2" t="s">
        <v>52</v>
      </c>
      <c r="N130" s="2" t="s">
        <v>974</v>
      </c>
      <c r="O130" s="2" t="s">
        <v>145</v>
      </c>
      <c r="P130" s="2" t="s">
        <v>56</v>
      </c>
      <c r="Q130" s="2">
        <v>50</v>
      </c>
      <c r="R130" s="2" t="b">
        <v>1</v>
      </c>
      <c r="S130" s="2">
        <v>0.53968253968253976</v>
      </c>
      <c r="T130" s="2">
        <v>0.53543307086614178</v>
      </c>
      <c r="U130" s="2">
        <v>0.54400000000000004</v>
      </c>
      <c r="V130" s="2" t="s">
        <v>63</v>
      </c>
      <c r="W130" s="2" t="s">
        <v>975</v>
      </c>
      <c r="X130" s="2" t="s">
        <v>976</v>
      </c>
      <c r="Y130" s="2" t="b">
        <v>0</v>
      </c>
      <c r="Z130" s="2" t="s">
        <v>67</v>
      </c>
      <c r="AA130" s="2">
        <v>79.900000000000006</v>
      </c>
    </row>
    <row r="131" spans="1:27" ht="15.75" hidden="1" customHeight="1" x14ac:dyDescent="0.3">
      <c r="A131" s="2" t="s">
        <v>360</v>
      </c>
      <c r="B131" s="2" t="s">
        <v>116</v>
      </c>
      <c r="C131" s="2" t="s">
        <v>939</v>
      </c>
      <c r="D131" s="2" t="s">
        <v>116</v>
      </c>
      <c r="E131" s="2" t="s">
        <v>43</v>
      </c>
      <c r="F131" s="2" t="s">
        <v>46</v>
      </c>
      <c r="G131" s="2" t="s">
        <v>42</v>
      </c>
      <c r="H131" s="2" t="s">
        <v>42</v>
      </c>
      <c r="I131" s="2" t="s">
        <v>47</v>
      </c>
      <c r="J131" s="2" t="s">
        <v>44</v>
      </c>
      <c r="K131" s="2" t="s">
        <v>977</v>
      </c>
      <c r="L131" s="2" t="s">
        <v>941</v>
      </c>
      <c r="M131" s="2" t="s">
        <v>52</v>
      </c>
      <c r="N131" s="2" t="s">
        <v>978</v>
      </c>
      <c r="O131" s="2" t="s">
        <v>156</v>
      </c>
      <c r="P131" s="2" t="s">
        <v>56</v>
      </c>
      <c r="Q131" s="2">
        <v>51</v>
      </c>
      <c r="R131" s="2" t="b">
        <v>1</v>
      </c>
      <c r="S131" s="2">
        <v>0.60869565217391308</v>
      </c>
      <c r="T131" s="2">
        <v>0.56451612903225812</v>
      </c>
      <c r="U131" s="2">
        <v>0.660377358490566</v>
      </c>
      <c r="V131" s="2" t="s">
        <v>63</v>
      </c>
      <c r="W131" s="2" t="s">
        <v>979</v>
      </c>
      <c r="X131" s="2" t="s">
        <v>980</v>
      </c>
      <c r="Y131" s="2" t="b">
        <v>0</v>
      </c>
      <c r="Z131" s="2" t="s">
        <v>67</v>
      </c>
      <c r="AA131" s="2">
        <v>80.3</v>
      </c>
    </row>
    <row r="132" spans="1:27" ht="15.75" hidden="1" customHeight="1" x14ac:dyDescent="0.3">
      <c r="A132" s="2" t="s">
        <v>360</v>
      </c>
      <c r="B132" s="2" t="s">
        <v>116</v>
      </c>
      <c r="C132" s="2" t="s">
        <v>939</v>
      </c>
      <c r="D132" s="2" t="s">
        <v>116</v>
      </c>
      <c r="E132" s="2" t="s">
        <v>43</v>
      </c>
      <c r="F132" s="2" t="s">
        <v>46</v>
      </c>
      <c r="G132" s="2" t="s">
        <v>42</v>
      </c>
      <c r="H132" s="2" t="s">
        <v>42</v>
      </c>
      <c r="I132" s="2" t="s">
        <v>47</v>
      </c>
      <c r="J132" s="2" t="s">
        <v>44</v>
      </c>
      <c r="K132" s="2" t="s">
        <v>981</v>
      </c>
      <c r="L132" s="2" t="s">
        <v>941</v>
      </c>
      <c r="M132" s="2" t="s">
        <v>52</v>
      </c>
      <c r="N132" s="2" t="s">
        <v>982</v>
      </c>
      <c r="O132" s="2" t="s">
        <v>165</v>
      </c>
      <c r="P132" s="2" t="s">
        <v>56</v>
      </c>
      <c r="Q132" s="2">
        <v>52</v>
      </c>
      <c r="R132" s="2" t="b">
        <v>1</v>
      </c>
      <c r="S132" s="2">
        <v>0.68181818181818188</v>
      </c>
      <c r="T132" s="2">
        <v>0.68807339449541283</v>
      </c>
      <c r="U132" s="2">
        <v>0.67567567567567566</v>
      </c>
      <c r="V132" s="2" t="s">
        <v>63</v>
      </c>
      <c r="W132" s="2" t="s">
        <v>983</v>
      </c>
      <c r="X132" s="2" t="s">
        <v>984</v>
      </c>
      <c r="Y132" s="2" t="b">
        <v>0</v>
      </c>
      <c r="Z132" s="2" t="s">
        <v>67</v>
      </c>
      <c r="AA132" s="2">
        <v>78.7</v>
      </c>
    </row>
    <row r="133" spans="1:27" ht="15.75" hidden="1" customHeight="1" x14ac:dyDescent="0.3">
      <c r="A133" s="2" t="s">
        <v>360</v>
      </c>
      <c r="B133" s="2" t="s">
        <v>116</v>
      </c>
      <c r="C133" s="2" t="s">
        <v>939</v>
      </c>
      <c r="D133" s="2" t="s">
        <v>116</v>
      </c>
      <c r="E133" s="2" t="s">
        <v>43</v>
      </c>
      <c r="F133" s="2" t="s">
        <v>46</v>
      </c>
      <c r="G133" s="2" t="s">
        <v>42</v>
      </c>
      <c r="H133" s="2" t="s">
        <v>42</v>
      </c>
      <c r="I133" s="2" t="s">
        <v>47</v>
      </c>
      <c r="J133" s="2" t="s">
        <v>44</v>
      </c>
      <c r="K133" s="2" t="s">
        <v>985</v>
      </c>
      <c r="L133" s="2" t="s">
        <v>941</v>
      </c>
      <c r="M133" s="2" t="s">
        <v>52</v>
      </c>
      <c r="N133" s="2" t="s">
        <v>986</v>
      </c>
      <c r="O133" s="2" t="s">
        <v>176</v>
      </c>
      <c r="P133" s="2" t="s">
        <v>56</v>
      </c>
      <c r="Q133" s="2">
        <v>53</v>
      </c>
      <c r="R133" s="2" t="b">
        <v>1</v>
      </c>
      <c r="S133" s="2">
        <v>0.5714285714285714</v>
      </c>
      <c r="T133" s="2">
        <v>0.58992805755395683</v>
      </c>
      <c r="U133" s="2">
        <v>0.55405405405405406</v>
      </c>
      <c r="V133" s="2" t="s">
        <v>63</v>
      </c>
      <c r="W133" s="2" t="s">
        <v>987</v>
      </c>
      <c r="X133" s="2" t="s">
        <v>988</v>
      </c>
      <c r="Y133" s="2" t="b">
        <v>0</v>
      </c>
      <c r="Z133" s="2" t="s">
        <v>67</v>
      </c>
      <c r="AA133" s="2">
        <v>79.099999999999994</v>
      </c>
    </row>
    <row r="134" spans="1:27" ht="15.75" hidden="1" customHeight="1" x14ac:dyDescent="0.3">
      <c r="A134" s="2" t="s">
        <v>360</v>
      </c>
      <c r="B134" s="2" t="s">
        <v>116</v>
      </c>
      <c r="C134" s="2" t="s">
        <v>939</v>
      </c>
      <c r="D134" s="2" t="s">
        <v>116</v>
      </c>
      <c r="E134" s="2" t="s">
        <v>43</v>
      </c>
      <c r="F134" s="2" t="s">
        <v>46</v>
      </c>
      <c r="G134" s="2" t="s">
        <v>42</v>
      </c>
      <c r="H134" s="2" t="s">
        <v>42</v>
      </c>
      <c r="I134" s="2" t="s">
        <v>47</v>
      </c>
      <c r="J134" s="2" t="s">
        <v>44</v>
      </c>
      <c r="K134" s="2" t="s">
        <v>989</v>
      </c>
      <c r="L134" s="2" t="s">
        <v>941</v>
      </c>
      <c r="M134" s="2" t="s">
        <v>52</v>
      </c>
      <c r="N134" s="2" t="s">
        <v>990</v>
      </c>
      <c r="O134" s="2" t="s">
        <v>185</v>
      </c>
      <c r="P134" s="2" t="s">
        <v>56</v>
      </c>
      <c r="Q134" s="2">
        <v>54</v>
      </c>
      <c r="R134" s="2" t="b">
        <v>1</v>
      </c>
      <c r="S134" s="2">
        <v>0.625</v>
      </c>
      <c r="T134" s="2">
        <v>0.625</v>
      </c>
      <c r="U134" s="2">
        <v>0.625</v>
      </c>
      <c r="V134" s="2" t="s">
        <v>63</v>
      </c>
      <c r="W134" s="2" t="s">
        <v>991</v>
      </c>
      <c r="X134" s="2" t="s">
        <v>992</v>
      </c>
      <c r="Y134" s="2" t="b">
        <v>0</v>
      </c>
      <c r="Z134" s="2" t="s">
        <v>67</v>
      </c>
      <c r="AA134" s="2">
        <v>78.900000000000006</v>
      </c>
    </row>
    <row r="135" spans="1:27" ht="15.75" hidden="1" customHeight="1" x14ac:dyDescent="0.3">
      <c r="A135" s="2" t="s">
        <v>360</v>
      </c>
      <c r="B135" s="2" t="s">
        <v>116</v>
      </c>
      <c r="C135" s="2" t="s">
        <v>939</v>
      </c>
      <c r="D135" s="2" t="s">
        <v>116</v>
      </c>
      <c r="E135" s="2" t="s">
        <v>43</v>
      </c>
      <c r="F135" s="2" t="s">
        <v>46</v>
      </c>
      <c r="G135" s="2" t="s">
        <v>42</v>
      </c>
      <c r="H135" s="2" t="s">
        <v>42</v>
      </c>
      <c r="I135" s="2" t="s">
        <v>47</v>
      </c>
      <c r="J135" s="2" t="s">
        <v>44</v>
      </c>
      <c r="K135" s="2" t="s">
        <v>993</v>
      </c>
      <c r="L135" s="2" t="s">
        <v>941</v>
      </c>
      <c r="M135" s="2" t="s">
        <v>52</v>
      </c>
      <c r="N135" s="2" t="s">
        <v>994</v>
      </c>
      <c r="O135" s="2" t="s">
        <v>192</v>
      </c>
      <c r="P135" s="2" t="s">
        <v>56</v>
      </c>
      <c r="Q135" s="2">
        <v>55</v>
      </c>
      <c r="R135" s="2" t="b">
        <v>1</v>
      </c>
      <c r="S135" s="2">
        <v>0.60869565217391297</v>
      </c>
      <c r="T135" s="2">
        <v>0.61403508771929827</v>
      </c>
      <c r="U135" s="2">
        <v>0.60344827586206895</v>
      </c>
      <c r="V135" s="2" t="s">
        <v>63</v>
      </c>
      <c r="W135" s="2" t="s">
        <v>995</v>
      </c>
      <c r="X135" s="2" t="s">
        <v>996</v>
      </c>
      <c r="Y135" s="2" t="b">
        <v>0</v>
      </c>
      <c r="Z135" s="2" t="s">
        <v>67</v>
      </c>
      <c r="AA135" s="2">
        <v>79.8</v>
      </c>
    </row>
    <row r="136" spans="1:27" ht="15.75" hidden="1" customHeight="1" x14ac:dyDescent="0.3">
      <c r="A136" s="2" t="s">
        <v>360</v>
      </c>
      <c r="B136" s="2" t="s">
        <v>116</v>
      </c>
      <c r="C136" s="2" t="s">
        <v>939</v>
      </c>
      <c r="D136" s="2" t="s">
        <v>116</v>
      </c>
      <c r="E136" s="2" t="s">
        <v>43</v>
      </c>
      <c r="F136" s="2" t="s">
        <v>46</v>
      </c>
      <c r="G136" s="2" t="s">
        <v>42</v>
      </c>
      <c r="H136" s="2" t="s">
        <v>42</v>
      </c>
      <c r="I136" s="2" t="s">
        <v>47</v>
      </c>
      <c r="J136" s="2" t="s">
        <v>44</v>
      </c>
      <c r="K136" s="2" t="s">
        <v>997</v>
      </c>
      <c r="L136" s="2" t="s">
        <v>941</v>
      </c>
      <c r="M136" s="2" t="s">
        <v>52</v>
      </c>
      <c r="N136" s="2" t="s">
        <v>998</v>
      </c>
      <c r="O136" s="2" t="s">
        <v>201</v>
      </c>
      <c r="P136" s="2" t="s">
        <v>56</v>
      </c>
      <c r="Q136" s="2">
        <v>56</v>
      </c>
      <c r="R136" s="2" t="b">
        <v>1</v>
      </c>
      <c r="S136" s="2">
        <v>0.63291139240506344</v>
      </c>
      <c r="T136" s="2">
        <v>0.6198347107438017</v>
      </c>
      <c r="U136" s="2">
        <v>0.64655172413793105</v>
      </c>
      <c r="V136" s="2" t="s">
        <v>63</v>
      </c>
      <c r="W136" s="2" t="s">
        <v>999</v>
      </c>
      <c r="X136" s="2" t="s">
        <v>1000</v>
      </c>
      <c r="Y136" s="2" t="b">
        <v>0</v>
      </c>
      <c r="Z136" s="2" t="s">
        <v>67</v>
      </c>
      <c r="AA136" s="2">
        <v>78.8</v>
      </c>
    </row>
    <row r="137" spans="1:27" ht="15.75" hidden="1" customHeight="1" x14ac:dyDescent="0.3">
      <c r="A137" s="2" t="s">
        <v>360</v>
      </c>
      <c r="B137" s="2" t="s">
        <v>116</v>
      </c>
      <c r="C137" s="2" t="s">
        <v>939</v>
      </c>
      <c r="D137" s="2" t="s">
        <v>116</v>
      </c>
      <c r="E137" s="2" t="s">
        <v>43</v>
      </c>
      <c r="F137" s="2" t="s">
        <v>46</v>
      </c>
      <c r="G137" s="2" t="s">
        <v>42</v>
      </c>
      <c r="H137" s="2" t="s">
        <v>42</v>
      </c>
      <c r="I137" s="2" t="s">
        <v>47</v>
      </c>
      <c r="J137" s="2" t="s">
        <v>44</v>
      </c>
      <c r="K137" s="2" t="s">
        <v>1001</v>
      </c>
      <c r="L137" s="2" t="s">
        <v>941</v>
      </c>
      <c r="M137" s="2" t="s">
        <v>52</v>
      </c>
      <c r="N137" s="2" t="s">
        <v>1002</v>
      </c>
      <c r="O137" s="2" t="s">
        <v>210</v>
      </c>
      <c r="P137" s="2" t="s">
        <v>56</v>
      </c>
      <c r="Q137" s="2">
        <v>57</v>
      </c>
      <c r="R137" s="2" t="b">
        <v>1</v>
      </c>
      <c r="S137" s="2">
        <v>0.59836065573770492</v>
      </c>
      <c r="T137" s="2">
        <v>0.60330578512396693</v>
      </c>
      <c r="U137" s="2">
        <v>0.5934959349593496</v>
      </c>
      <c r="V137" s="2" t="s">
        <v>63</v>
      </c>
      <c r="W137" s="2" t="s">
        <v>1003</v>
      </c>
      <c r="X137" s="2" t="s">
        <v>1004</v>
      </c>
      <c r="Y137" s="2" t="b">
        <v>0</v>
      </c>
      <c r="Z137" s="2" t="s">
        <v>67</v>
      </c>
      <c r="AA137" s="2">
        <v>78.8</v>
      </c>
    </row>
    <row r="138" spans="1:27" ht="15.75" hidden="1" customHeight="1" x14ac:dyDescent="0.3">
      <c r="A138" s="2" t="s">
        <v>360</v>
      </c>
      <c r="B138" s="2" t="s">
        <v>116</v>
      </c>
      <c r="C138" s="2" t="s">
        <v>939</v>
      </c>
      <c r="D138" s="2" t="s">
        <v>116</v>
      </c>
      <c r="E138" s="2" t="s">
        <v>43</v>
      </c>
      <c r="F138" s="2" t="s">
        <v>46</v>
      </c>
      <c r="G138" s="2" t="s">
        <v>42</v>
      </c>
      <c r="H138" s="2" t="s">
        <v>42</v>
      </c>
      <c r="I138" s="2" t="s">
        <v>47</v>
      </c>
      <c r="J138" s="2" t="s">
        <v>44</v>
      </c>
      <c r="K138" s="2" t="s">
        <v>1005</v>
      </c>
      <c r="L138" s="2" t="s">
        <v>941</v>
      </c>
      <c r="M138" s="2" t="s">
        <v>52</v>
      </c>
      <c r="N138" s="2" t="s">
        <v>1006</v>
      </c>
      <c r="O138" s="2" t="s">
        <v>219</v>
      </c>
      <c r="P138" s="2" t="s">
        <v>56</v>
      </c>
      <c r="Q138" s="2">
        <v>58</v>
      </c>
      <c r="R138" s="2" t="b">
        <v>1</v>
      </c>
      <c r="S138" s="2">
        <v>0.57777777777777772</v>
      </c>
      <c r="T138" s="2">
        <v>0.5977011494252874</v>
      </c>
      <c r="U138" s="2">
        <v>0.55913978494623651</v>
      </c>
      <c r="V138" s="2" t="s">
        <v>63</v>
      </c>
      <c r="W138" s="2" t="s">
        <v>1007</v>
      </c>
      <c r="X138" s="2" t="s">
        <v>1008</v>
      </c>
      <c r="Y138" s="2" t="b">
        <v>0</v>
      </c>
      <c r="Z138" s="2" t="s">
        <v>67</v>
      </c>
      <c r="AA138" s="2">
        <v>78.900000000000006</v>
      </c>
    </row>
    <row r="139" spans="1:27" ht="15.75" hidden="1" customHeight="1" x14ac:dyDescent="0.3">
      <c r="A139" s="2" t="s">
        <v>360</v>
      </c>
      <c r="B139" s="2" t="s">
        <v>116</v>
      </c>
      <c r="C139" s="2" t="s">
        <v>939</v>
      </c>
      <c r="D139" s="2" t="s">
        <v>116</v>
      </c>
      <c r="E139" s="2" t="s">
        <v>43</v>
      </c>
      <c r="F139" s="2" t="s">
        <v>46</v>
      </c>
      <c r="G139" s="2" t="s">
        <v>42</v>
      </c>
      <c r="H139" s="2" t="s">
        <v>42</v>
      </c>
      <c r="I139" s="2" t="s">
        <v>47</v>
      </c>
      <c r="J139" s="2" t="s">
        <v>44</v>
      </c>
      <c r="K139" s="2" t="s">
        <v>1009</v>
      </c>
      <c r="L139" s="2" t="s">
        <v>941</v>
      </c>
      <c r="M139" s="2" t="s">
        <v>52</v>
      </c>
      <c r="N139" s="2" t="s">
        <v>1010</v>
      </c>
      <c r="O139" s="2" t="s">
        <v>232</v>
      </c>
      <c r="P139" s="2" t="s">
        <v>56</v>
      </c>
      <c r="Q139" s="2">
        <v>59</v>
      </c>
      <c r="R139" s="2" t="b">
        <v>1</v>
      </c>
      <c r="S139" s="2">
        <v>0.66995073891625612</v>
      </c>
      <c r="T139" s="2">
        <v>0.69387755102040816</v>
      </c>
      <c r="U139" s="2">
        <v>0.64761904761904765</v>
      </c>
      <c r="V139" s="2" t="s">
        <v>63</v>
      </c>
      <c r="W139" s="2" t="s">
        <v>1011</v>
      </c>
      <c r="X139" s="2" t="s">
        <v>1012</v>
      </c>
      <c r="Y139" s="2" t="b">
        <v>0</v>
      </c>
      <c r="Z139" s="2" t="s">
        <v>67</v>
      </c>
      <c r="AA139" s="2">
        <v>81</v>
      </c>
    </row>
    <row r="140" spans="1:27" ht="15.75" hidden="1" customHeight="1" x14ac:dyDescent="0.3">
      <c r="A140" s="2" t="s">
        <v>360</v>
      </c>
      <c r="B140" s="2" t="s">
        <v>116</v>
      </c>
      <c r="C140" s="2" t="s">
        <v>939</v>
      </c>
      <c r="D140" s="2" t="s">
        <v>116</v>
      </c>
      <c r="E140" s="2" t="s">
        <v>43</v>
      </c>
      <c r="F140" s="2" t="s">
        <v>46</v>
      </c>
      <c r="G140" s="2" t="s">
        <v>42</v>
      </c>
      <c r="H140" s="2" t="s">
        <v>42</v>
      </c>
      <c r="I140" s="2" t="s">
        <v>47</v>
      </c>
      <c r="J140" s="2" t="s">
        <v>44</v>
      </c>
      <c r="K140" s="2" t="s">
        <v>1013</v>
      </c>
      <c r="L140" s="2" t="s">
        <v>941</v>
      </c>
      <c r="M140" s="2" t="s">
        <v>52</v>
      </c>
      <c r="N140" s="2" t="s">
        <v>1014</v>
      </c>
      <c r="O140" s="2" t="s">
        <v>246</v>
      </c>
      <c r="P140" s="2" t="s">
        <v>56</v>
      </c>
      <c r="Q140" s="2">
        <v>60</v>
      </c>
      <c r="R140" s="2" t="b">
        <v>1</v>
      </c>
      <c r="S140" s="2">
        <v>0.62008733624454149</v>
      </c>
      <c r="T140" s="2">
        <v>0.61739130434782608</v>
      </c>
      <c r="U140" s="2">
        <v>0.6228070175438597</v>
      </c>
      <c r="V140" s="2" t="s">
        <v>63</v>
      </c>
      <c r="W140" s="2" t="s">
        <v>1015</v>
      </c>
      <c r="X140" s="2" t="s">
        <v>1016</v>
      </c>
      <c r="Y140" s="2" t="b">
        <v>0</v>
      </c>
      <c r="Z140" s="2" t="s">
        <v>67</v>
      </c>
      <c r="AA140" s="2">
        <v>78.400000000000006</v>
      </c>
    </row>
    <row r="141" spans="1:27" ht="15.75" hidden="1" customHeight="1" x14ac:dyDescent="0.3">
      <c r="A141" s="2" t="s">
        <v>360</v>
      </c>
      <c r="B141" s="2" t="s">
        <v>116</v>
      </c>
      <c r="C141" s="2" t="s">
        <v>939</v>
      </c>
      <c r="D141" s="2" t="s">
        <v>116</v>
      </c>
      <c r="E141" s="2" t="s">
        <v>43</v>
      </c>
      <c r="F141" s="2" t="s">
        <v>46</v>
      </c>
      <c r="G141" s="2" t="s">
        <v>42</v>
      </c>
      <c r="H141" s="2" t="s">
        <v>42</v>
      </c>
      <c r="I141" s="2" t="s">
        <v>47</v>
      </c>
      <c r="J141" s="2" t="s">
        <v>44</v>
      </c>
      <c r="K141" s="2" t="s">
        <v>1017</v>
      </c>
      <c r="L141" s="2" t="s">
        <v>941</v>
      </c>
      <c r="M141" s="2" t="s">
        <v>52</v>
      </c>
      <c r="N141" s="2" t="s">
        <v>1018</v>
      </c>
      <c r="O141" s="2" t="s">
        <v>255</v>
      </c>
      <c r="P141" s="2" t="s">
        <v>56</v>
      </c>
      <c r="Q141" s="2">
        <v>61</v>
      </c>
      <c r="R141" s="2" t="b">
        <v>1</v>
      </c>
      <c r="S141" s="2">
        <v>0.56224899598393574</v>
      </c>
      <c r="T141" s="2">
        <v>0.53846153846153844</v>
      </c>
      <c r="U141" s="2">
        <v>0.58823529411764708</v>
      </c>
      <c r="V141" s="2" t="s">
        <v>63</v>
      </c>
      <c r="W141" s="2" t="s">
        <v>1019</v>
      </c>
      <c r="X141" s="2" t="s">
        <v>1020</v>
      </c>
      <c r="Y141" s="2" t="b">
        <v>0</v>
      </c>
      <c r="Z141" s="2" t="s">
        <v>67</v>
      </c>
      <c r="AA141" s="2">
        <v>78.2</v>
      </c>
    </row>
    <row r="142" spans="1:27" ht="15.75" hidden="1" customHeight="1" x14ac:dyDescent="0.3">
      <c r="A142" s="2" t="s">
        <v>360</v>
      </c>
      <c r="B142" s="2" t="s">
        <v>116</v>
      </c>
      <c r="C142" s="2" t="s">
        <v>939</v>
      </c>
      <c r="D142" s="2" t="s">
        <v>116</v>
      </c>
      <c r="E142" s="2" t="s">
        <v>43</v>
      </c>
      <c r="F142" s="2" t="s">
        <v>46</v>
      </c>
      <c r="G142" s="2" t="s">
        <v>42</v>
      </c>
      <c r="H142" s="2" t="s">
        <v>42</v>
      </c>
      <c r="I142" s="2" t="s">
        <v>239</v>
      </c>
      <c r="J142" s="2" t="s">
        <v>71</v>
      </c>
      <c r="K142" s="2" t="s">
        <v>1021</v>
      </c>
      <c r="L142" s="2" t="s">
        <v>1022</v>
      </c>
      <c r="M142" s="2" t="s">
        <v>264</v>
      </c>
      <c r="N142" s="2" t="s">
        <v>1023</v>
      </c>
      <c r="O142" s="2" t="s">
        <v>266</v>
      </c>
      <c r="P142" s="2" t="s">
        <v>267</v>
      </c>
      <c r="Q142" s="2">
        <v>42</v>
      </c>
      <c r="R142" s="2" t="b">
        <v>0</v>
      </c>
      <c r="S142" s="2">
        <v>0.65271966527196656</v>
      </c>
      <c r="T142" s="2">
        <v>0.67826086956521736</v>
      </c>
      <c r="U142" s="2">
        <v>0.62903225806451613</v>
      </c>
      <c r="V142" s="2" t="s">
        <v>63</v>
      </c>
      <c r="W142" s="2" t="s">
        <v>1024</v>
      </c>
      <c r="X142" s="2" t="s">
        <v>1025</v>
      </c>
      <c r="Y142" s="2" t="b">
        <v>0</v>
      </c>
      <c r="Z142" s="2" t="s">
        <v>67</v>
      </c>
      <c r="AA142" s="2">
        <v>77.8</v>
      </c>
    </row>
    <row r="143" spans="1:27" ht="15.75" hidden="1" customHeight="1" x14ac:dyDescent="0.3">
      <c r="A143" s="2" t="s">
        <v>360</v>
      </c>
      <c r="B143" s="2" t="s">
        <v>116</v>
      </c>
      <c r="C143" s="2" t="s">
        <v>939</v>
      </c>
      <c r="D143" s="2" t="s">
        <v>116</v>
      </c>
      <c r="E143" s="2" t="s">
        <v>43</v>
      </c>
      <c r="F143" s="2" t="s">
        <v>46</v>
      </c>
      <c r="G143" s="2" t="s">
        <v>42</v>
      </c>
      <c r="H143" s="2" t="s">
        <v>42</v>
      </c>
      <c r="I143" s="2" t="s">
        <v>239</v>
      </c>
      <c r="J143" s="2" t="s">
        <v>71</v>
      </c>
      <c r="K143" s="2" t="s">
        <v>1026</v>
      </c>
      <c r="L143" s="2" t="s">
        <v>1022</v>
      </c>
      <c r="M143" s="2" t="s">
        <v>264</v>
      </c>
      <c r="N143" s="2" t="s">
        <v>1027</v>
      </c>
      <c r="O143" s="2" t="s">
        <v>276</v>
      </c>
      <c r="P143" s="2" t="s">
        <v>267</v>
      </c>
      <c r="Q143" s="2">
        <v>43</v>
      </c>
      <c r="R143" s="2" t="b">
        <v>0</v>
      </c>
      <c r="S143" s="2">
        <v>0.70204081632653059</v>
      </c>
      <c r="T143" s="2">
        <v>0.70491803278688525</v>
      </c>
      <c r="U143" s="2">
        <v>0.69918699186991873</v>
      </c>
      <c r="V143" s="2" t="s">
        <v>63</v>
      </c>
      <c r="W143" s="2" t="s">
        <v>1028</v>
      </c>
      <c r="X143" s="2" t="s">
        <v>1029</v>
      </c>
      <c r="Y143" s="2" t="b">
        <v>0</v>
      </c>
      <c r="Z143" s="2" t="s">
        <v>67</v>
      </c>
      <c r="AA143" s="2">
        <v>79.5</v>
      </c>
    </row>
    <row r="144" spans="1:27" ht="15.75" hidden="1" customHeight="1" x14ac:dyDescent="0.3">
      <c r="A144" s="2" t="s">
        <v>360</v>
      </c>
      <c r="B144" s="2" t="s">
        <v>116</v>
      </c>
      <c r="C144" s="2" t="s">
        <v>939</v>
      </c>
      <c r="D144" s="2" t="s">
        <v>116</v>
      </c>
      <c r="E144" s="2" t="s">
        <v>43</v>
      </c>
      <c r="F144" s="2" t="s">
        <v>46</v>
      </c>
      <c r="G144" s="2" t="s">
        <v>42</v>
      </c>
      <c r="H144" s="2" t="s">
        <v>42</v>
      </c>
      <c r="I144" s="2" t="s">
        <v>239</v>
      </c>
      <c r="J144" s="2" t="s">
        <v>71</v>
      </c>
      <c r="K144" s="2" t="s">
        <v>1030</v>
      </c>
      <c r="L144" s="2" t="s">
        <v>1022</v>
      </c>
      <c r="M144" s="2" t="s">
        <v>264</v>
      </c>
      <c r="N144" s="2" t="s">
        <v>1031</v>
      </c>
      <c r="O144" s="2" t="s">
        <v>285</v>
      </c>
      <c r="P144" s="2" t="s">
        <v>267</v>
      </c>
      <c r="Q144" s="2">
        <v>44</v>
      </c>
      <c r="R144" s="2" t="b">
        <v>0</v>
      </c>
      <c r="S144" s="2">
        <v>0.59071729957805919</v>
      </c>
      <c r="T144" s="2">
        <v>0.58823529411764708</v>
      </c>
      <c r="U144" s="2">
        <v>0.59322033898305082</v>
      </c>
      <c r="V144" s="2" t="s">
        <v>63</v>
      </c>
      <c r="W144" s="2" t="s">
        <v>1032</v>
      </c>
      <c r="X144" s="2" t="s">
        <v>1033</v>
      </c>
      <c r="Y144" s="2" t="b">
        <v>0</v>
      </c>
      <c r="Z144" s="2" t="s">
        <v>67</v>
      </c>
      <c r="AA144" s="2">
        <v>78.8</v>
      </c>
    </row>
    <row r="145" spans="1:27" ht="15.75" hidden="1" customHeight="1" x14ac:dyDescent="0.3">
      <c r="A145" s="2" t="s">
        <v>360</v>
      </c>
      <c r="B145" s="2" t="s">
        <v>116</v>
      </c>
      <c r="C145" s="2" t="s">
        <v>939</v>
      </c>
      <c r="D145" s="2" t="s">
        <v>116</v>
      </c>
      <c r="E145" s="2" t="s">
        <v>43</v>
      </c>
      <c r="F145" s="2" t="s">
        <v>46</v>
      </c>
      <c r="G145" s="2" t="s">
        <v>42</v>
      </c>
      <c r="H145" s="2" t="s">
        <v>42</v>
      </c>
      <c r="I145" s="2" t="s">
        <v>239</v>
      </c>
      <c r="J145" s="2" t="s">
        <v>71</v>
      </c>
      <c r="K145" s="2" t="s">
        <v>1034</v>
      </c>
      <c r="L145" s="2" t="s">
        <v>1022</v>
      </c>
      <c r="M145" s="2" t="s">
        <v>264</v>
      </c>
      <c r="N145" s="2" t="s">
        <v>1035</v>
      </c>
      <c r="O145" s="2" t="s">
        <v>294</v>
      </c>
      <c r="P145" s="2" t="s">
        <v>267</v>
      </c>
      <c r="Q145" s="2">
        <v>45</v>
      </c>
      <c r="R145" s="2" t="b">
        <v>0</v>
      </c>
      <c r="S145" s="2">
        <v>0.63374485596707808</v>
      </c>
      <c r="T145" s="2">
        <v>0.65254237288135597</v>
      </c>
      <c r="U145" s="2">
        <v>0.61599999999999999</v>
      </c>
      <c r="V145" s="2" t="s">
        <v>63</v>
      </c>
      <c r="W145" s="2" t="s">
        <v>1036</v>
      </c>
      <c r="X145" s="2" t="s">
        <v>1037</v>
      </c>
      <c r="Y145" s="2" t="b">
        <v>0</v>
      </c>
      <c r="Z145" s="2" t="s">
        <v>67</v>
      </c>
      <c r="AA145" s="2">
        <v>78.2</v>
      </c>
    </row>
    <row r="146" spans="1:27" ht="15.75" hidden="1" customHeight="1" x14ac:dyDescent="0.3">
      <c r="A146" s="2" t="s">
        <v>360</v>
      </c>
      <c r="B146" s="2" t="s">
        <v>116</v>
      </c>
      <c r="C146" s="2" t="s">
        <v>939</v>
      </c>
      <c r="D146" s="2" t="s">
        <v>116</v>
      </c>
      <c r="E146" s="2" t="s">
        <v>43</v>
      </c>
      <c r="F146" s="2" t="s">
        <v>46</v>
      </c>
      <c r="G146" s="2" t="s">
        <v>42</v>
      </c>
      <c r="H146" s="2" t="s">
        <v>42</v>
      </c>
      <c r="I146" s="2" t="s">
        <v>239</v>
      </c>
      <c r="J146" s="2" t="s">
        <v>71</v>
      </c>
      <c r="K146" s="2" t="s">
        <v>1038</v>
      </c>
      <c r="L146" s="2" t="s">
        <v>1022</v>
      </c>
      <c r="M146" s="2" t="s">
        <v>264</v>
      </c>
      <c r="N146" s="2" t="s">
        <v>1039</v>
      </c>
      <c r="O146" s="2" t="s">
        <v>299</v>
      </c>
      <c r="P146" s="2" t="s">
        <v>267</v>
      </c>
      <c r="Q146" s="2">
        <v>46</v>
      </c>
      <c r="R146" s="2" t="b">
        <v>0</v>
      </c>
      <c r="S146" s="2">
        <v>0.63601532567049812</v>
      </c>
      <c r="T146" s="2">
        <v>0.62878787878787878</v>
      </c>
      <c r="U146" s="2">
        <v>0.64341085271317833</v>
      </c>
      <c r="V146" s="2" t="s">
        <v>63</v>
      </c>
      <c r="W146" s="2" t="s">
        <v>1040</v>
      </c>
      <c r="X146" s="2" t="s">
        <v>1041</v>
      </c>
      <c r="Y146" s="2" t="b">
        <v>0</v>
      </c>
      <c r="Z146" s="2" t="s">
        <v>67</v>
      </c>
      <c r="AA146" s="2">
        <v>78.099999999999994</v>
      </c>
    </row>
    <row r="147" spans="1:27" ht="15.75" hidden="1" customHeight="1" x14ac:dyDescent="0.3">
      <c r="A147" s="2" t="s">
        <v>360</v>
      </c>
      <c r="B147" s="2" t="s">
        <v>116</v>
      </c>
      <c r="C147" s="2" t="s">
        <v>939</v>
      </c>
      <c r="D147" s="2" t="s">
        <v>116</v>
      </c>
      <c r="E147" s="2" t="s">
        <v>43</v>
      </c>
      <c r="F147" s="2" t="s">
        <v>46</v>
      </c>
      <c r="G147" s="2" t="s">
        <v>42</v>
      </c>
      <c r="H147" s="2" t="s">
        <v>42</v>
      </c>
      <c r="I147" s="2" t="s">
        <v>239</v>
      </c>
      <c r="J147" s="2" t="s">
        <v>71</v>
      </c>
      <c r="K147" s="2" t="s">
        <v>1042</v>
      </c>
      <c r="L147" s="2" t="s">
        <v>1022</v>
      </c>
      <c r="M147" s="2" t="s">
        <v>264</v>
      </c>
      <c r="N147" s="2" t="s">
        <v>1043</v>
      </c>
      <c r="O147" s="2" t="s">
        <v>306</v>
      </c>
      <c r="P147" s="2" t="s">
        <v>267</v>
      </c>
      <c r="Q147" s="2">
        <v>47</v>
      </c>
      <c r="R147" s="2" t="b">
        <v>0</v>
      </c>
      <c r="S147" s="2">
        <v>0.53112033195020747</v>
      </c>
      <c r="T147" s="2">
        <v>0.5161290322580645</v>
      </c>
      <c r="U147" s="2">
        <v>0.54700854700854706</v>
      </c>
      <c r="V147" s="2" t="s">
        <v>63</v>
      </c>
      <c r="W147" s="2" t="s">
        <v>1044</v>
      </c>
      <c r="X147" s="2" t="s">
        <v>1045</v>
      </c>
      <c r="Y147" s="2" t="b">
        <v>0</v>
      </c>
      <c r="Z147" s="2" t="s">
        <v>67</v>
      </c>
      <c r="AA147" s="2">
        <v>78.900000000000006</v>
      </c>
    </row>
    <row r="148" spans="1:27" ht="15.75" hidden="1" customHeight="1" x14ac:dyDescent="0.3">
      <c r="A148" s="2" t="s">
        <v>360</v>
      </c>
      <c r="B148" s="2" t="s">
        <v>116</v>
      </c>
      <c r="C148" s="2" t="s">
        <v>939</v>
      </c>
      <c r="D148" s="2" t="s">
        <v>116</v>
      </c>
      <c r="E148" s="2" t="s">
        <v>43</v>
      </c>
      <c r="F148" s="2" t="s">
        <v>46</v>
      </c>
      <c r="G148" s="2" t="s">
        <v>42</v>
      </c>
      <c r="H148" s="2" t="s">
        <v>42</v>
      </c>
      <c r="I148" s="2" t="s">
        <v>239</v>
      </c>
      <c r="J148" s="2" t="s">
        <v>71</v>
      </c>
      <c r="K148" s="2" t="s">
        <v>1046</v>
      </c>
      <c r="L148" s="2" t="s">
        <v>1022</v>
      </c>
      <c r="M148" s="2" t="s">
        <v>264</v>
      </c>
      <c r="N148" s="2" t="s">
        <v>1047</v>
      </c>
      <c r="O148" s="2" t="s">
        <v>315</v>
      </c>
      <c r="P148" s="2" t="s">
        <v>267</v>
      </c>
      <c r="Q148" s="2">
        <v>48</v>
      </c>
      <c r="R148" s="2" t="b">
        <v>0</v>
      </c>
      <c r="S148" s="2">
        <v>0.6785714285714286</v>
      </c>
      <c r="T148" s="2">
        <v>0.66433566433566438</v>
      </c>
      <c r="U148" s="2">
        <v>0.69343065693430661</v>
      </c>
      <c r="V148" s="2" t="s">
        <v>63</v>
      </c>
      <c r="W148" s="2" t="s">
        <v>1048</v>
      </c>
      <c r="X148" s="2" t="s">
        <v>1049</v>
      </c>
      <c r="Y148" s="2" t="b">
        <v>0</v>
      </c>
      <c r="Z148" s="2" t="s">
        <v>67</v>
      </c>
      <c r="AA148" s="2">
        <v>78.599999999999994</v>
      </c>
    </row>
    <row r="149" spans="1:27" ht="15.75" hidden="1" customHeight="1" x14ac:dyDescent="0.3">
      <c r="A149" s="2" t="s">
        <v>360</v>
      </c>
      <c r="B149" s="2" t="s">
        <v>116</v>
      </c>
      <c r="C149" s="2" t="s">
        <v>939</v>
      </c>
      <c r="D149" s="2" t="s">
        <v>116</v>
      </c>
      <c r="E149" s="2" t="s">
        <v>43</v>
      </c>
      <c r="F149" s="2" t="s">
        <v>46</v>
      </c>
      <c r="G149" s="2" t="s">
        <v>42</v>
      </c>
      <c r="H149" s="2" t="s">
        <v>42</v>
      </c>
      <c r="I149" s="2" t="s">
        <v>239</v>
      </c>
      <c r="J149" s="2" t="s">
        <v>71</v>
      </c>
      <c r="K149" s="2" t="s">
        <v>1050</v>
      </c>
      <c r="L149" s="2" t="s">
        <v>1022</v>
      </c>
      <c r="M149" s="2" t="s">
        <v>264</v>
      </c>
      <c r="N149" s="2" t="s">
        <v>1051</v>
      </c>
      <c r="O149" s="2" t="s">
        <v>326</v>
      </c>
      <c r="P149" s="2" t="s">
        <v>267</v>
      </c>
      <c r="Q149" s="2">
        <v>49</v>
      </c>
      <c r="R149" s="2" t="b">
        <v>0</v>
      </c>
      <c r="S149" s="2">
        <v>0.53600000000000003</v>
      </c>
      <c r="T149" s="2">
        <v>0.53600000000000003</v>
      </c>
      <c r="U149" s="2">
        <v>0.53600000000000003</v>
      </c>
      <c r="V149" s="2" t="s">
        <v>63</v>
      </c>
      <c r="W149" s="2" t="s">
        <v>1052</v>
      </c>
      <c r="X149" s="2" t="s">
        <v>1053</v>
      </c>
      <c r="Y149" s="2" t="b">
        <v>0</v>
      </c>
      <c r="Z149" s="2" t="s">
        <v>67</v>
      </c>
      <c r="AA149" s="2">
        <v>77.3</v>
      </c>
    </row>
    <row r="150" spans="1:27" ht="15.75" hidden="1" customHeight="1" x14ac:dyDescent="0.3">
      <c r="A150" s="2" t="s">
        <v>360</v>
      </c>
      <c r="B150" s="2" t="s">
        <v>116</v>
      </c>
      <c r="C150" s="2" t="s">
        <v>939</v>
      </c>
      <c r="D150" s="2" t="s">
        <v>116</v>
      </c>
      <c r="E150" s="2" t="s">
        <v>43</v>
      </c>
      <c r="F150" s="2" t="s">
        <v>46</v>
      </c>
      <c r="G150" s="2" t="s">
        <v>42</v>
      </c>
      <c r="H150" s="2" t="s">
        <v>42</v>
      </c>
      <c r="I150" s="2" t="s">
        <v>239</v>
      </c>
      <c r="J150" s="2" t="s">
        <v>71</v>
      </c>
      <c r="K150" s="2" t="s">
        <v>1054</v>
      </c>
      <c r="L150" s="2" t="s">
        <v>1022</v>
      </c>
      <c r="M150" s="2" t="s">
        <v>264</v>
      </c>
      <c r="N150" s="2" t="s">
        <v>1055</v>
      </c>
      <c r="O150" s="2" t="s">
        <v>335</v>
      </c>
      <c r="P150" s="2" t="s">
        <v>267</v>
      </c>
      <c r="Q150" s="2">
        <v>50</v>
      </c>
      <c r="R150" s="2" t="b">
        <v>0</v>
      </c>
      <c r="S150" s="2">
        <v>0.66949152542372881</v>
      </c>
      <c r="T150" s="2">
        <v>0.66386554621848737</v>
      </c>
      <c r="U150" s="2">
        <v>0.67521367521367526</v>
      </c>
      <c r="V150" s="2" t="s">
        <v>63</v>
      </c>
      <c r="W150" s="2" t="s">
        <v>1056</v>
      </c>
      <c r="X150" s="2" t="s">
        <v>1057</v>
      </c>
      <c r="Y150" s="2" t="b">
        <v>0</v>
      </c>
      <c r="Z150" s="2" t="s">
        <v>67</v>
      </c>
      <c r="AA150" s="2">
        <v>77.7</v>
      </c>
    </row>
    <row r="151" spans="1:27" ht="15.75" hidden="1" customHeight="1" x14ac:dyDescent="0.3">
      <c r="A151" s="2" t="s">
        <v>360</v>
      </c>
      <c r="B151" s="2" t="s">
        <v>116</v>
      </c>
      <c r="C151" s="2" t="s">
        <v>939</v>
      </c>
      <c r="D151" s="2" t="s">
        <v>116</v>
      </c>
      <c r="E151" s="2" t="s">
        <v>43</v>
      </c>
      <c r="F151" s="2" t="s">
        <v>46</v>
      </c>
      <c r="G151" s="2" t="s">
        <v>42</v>
      </c>
      <c r="H151" s="2" t="s">
        <v>42</v>
      </c>
      <c r="I151" s="2" t="s">
        <v>239</v>
      </c>
      <c r="J151" s="2" t="s">
        <v>71</v>
      </c>
      <c r="K151" s="2" t="s">
        <v>1058</v>
      </c>
      <c r="L151" s="2" t="s">
        <v>1022</v>
      </c>
      <c r="M151" s="2" t="s">
        <v>264</v>
      </c>
      <c r="N151" s="2" t="s">
        <v>1059</v>
      </c>
      <c r="O151" s="2" t="s">
        <v>346</v>
      </c>
      <c r="P151" s="2" t="s">
        <v>267</v>
      </c>
      <c r="Q151" s="2">
        <v>51</v>
      </c>
      <c r="R151" s="2" t="b">
        <v>0</v>
      </c>
      <c r="S151" s="2">
        <v>0.59715639810426546</v>
      </c>
      <c r="T151" s="2">
        <v>0.59433962264150941</v>
      </c>
      <c r="U151" s="2">
        <v>0.6</v>
      </c>
      <c r="V151" s="2" t="s">
        <v>63</v>
      </c>
      <c r="W151" s="2" t="s">
        <v>1060</v>
      </c>
      <c r="X151" s="2" t="s">
        <v>1061</v>
      </c>
      <c r="Y151" s="2" t="b">
        <v>0</v>
      </c>
      <c r="Z151" s="2" t="s">
        <v>67</v>
      </c>
      <c r="AA151" s="2">
        <v>78.5</v>
      </c>
    </row>
    <row r="152" spans="1:27" ht="15.75" hidden="1" customHeight="1" x14ac:dyDescent="0.3">
      <c r="A152" s="2" t="s">
        <v>360</v>
      </c>
      <c r="B152" s="2" t="s">
        <v>116</v>
      </c>
      <c r="C152" s="2" t="s">
        <v>939</v>
      </c>
      <c r="D152" s="2" t="s">
        <v>116</v>
      </c>
      <c r="E152" s="2" t="s">
        <v>43</v>
      </c>
      <c r="F152" s="2" t="s">
        <v>46</v>
      </c>
      <c r="G152" s="2" t="s">
        <v>42</v>
      </c>
      <c r="H152" s="2" t="s">
        <v>42</v>
      </c>
      <c r="I152" s="2" t="s">
        <v>239</v>
      </c>
      <c r="J152" s="2" t="s">
        <v>71</v>
      </c>
      <c r="K152" s="2" t="s">
        <v>1062</v>
      </c>
      <c r="L152" s="2" t="s">
        <v>1022</v>
      </c>
      <c r="M152" s="2" t="s">
        <v>264</v>
      </c>
      <c r="N152" s="2" t="s">
        <v>1063</v>
      </c>
      <c r="O152" s="2" t="s">
        <v>357</v>
      </c>
      <c r="P152" s="2" t="s">
        <v>267</v>
      </c>
      <c r="Q152" s="2">
        <v>52</v>
      </c>
      <c r="R152" s="2" t="b">
        <v>0</v>
      </c>
      <c r="S152" s="2">
        <v>0.58407079646017701</v>
      </c>
      <c r="T152" s="2">
        <v>0.6</v>
      </c>
      <c r="U152" s="2">
        <v>0.56896551724137934</v>
      </c>
      <c r="V152" s="2" t="s">
        <v>63</v>
      </c>
      <c r="W152" s="2" t="s">
        <v>1064</v>
      </c>
      <c r="X152" s="2" t="s">
        <v>1065</v>
      </c>
      <c r="Y152" s="2" t="b">
        <v>0</v>
      </c>
      <c r="Z152" s="2" t="s">
        <v>67</v>
      </c>
      <c r="AA152" s="2">
        <v>77.5</v>
      </c>
    </row>
    <row r="153" spans="1:27" ht="15.75" hidden="1" customHeight="1" x14ac:dyDescent="0.3">
      <c r="A153" s="2" t="s">
        <v>360</v>
      </c>
      <c r="B153" s="2" t="s">
        <v>116</v>
      </c>
      <c r="C153" s="2" t="s">
        <v>939</v>
      </c>
      <c r="D153" s="2" t="s">
        <v>116</v>
      </c>
      <c r="E153" s="2" t="s">
        <v>43</v>
      </c>
      <c r="F153" s="2" t="s">
        <v>46</v>
      </c>
      <c r="G153" s="2" t="s">
        <v>42</v>
      </c>
      <c r="H153" s="2" t="s">
        <v>42</v>
      </c>
      <c r="I153" s="2" t="s">
        <v>239</v>
      </c>
      <c r="J153" s="2" t="s">
        <v>71</v>
      </c>
      <c r="K153" s="2" t="s">
        <v>1066</v>
      </c>
      <c r="L153" s="2" t="s">
        <v>1022</v>
      </c>
      <c r="M153" s="2" t="s">
        <v>264</v>
      </c>
      <c r="N153" s="2" t="s">
        <v>1067</v>
      </c>
      <c r="O153" s="2" t="s">
        <v>369</v>
      </c>
      <c r="P153" s="2" t="s">
        <v>267</v>
      </c>
      <c r="Q153" s="2">
        <v>53</v>
      </c>
      <c r="R153" s="2" t="b">
        <v>0</v>
      </c>
      <c r="S153" s="2">
        <v>0.60000000000000009</v>
      </c>
      <c r="T153" s="2">
        <v>0.60576923076923073</v>
      </c>
      <c r="U153" s="2">
        <v>0.59433962264150941</v>
      </c>
      <c r="V153" s="2" t="s">
        <v>63</v>
      </c>
      <c r="W153" s="2" t="s">
        <v>1068</v>
      </c>
      <c r="X153" s="2" t="s">
        <v>1069</v>
      </c>
      <c r="Y153" s="2" t="b">
        <v>0</v>
      </c>
      <c r="Z153" s="2" t="s">
        <v>67</v>
      </c>
      <c r="AA153" s="2">
        <v>78.599999999999994</v>
      </c>
    </row>
    <row r="154" spans="1:27" ht="15.75" hidden="1" customHeight="1" x14ac:dyDescent="0.3">
      <c r="A154" s="2" t="s">
        <v>360</v>
      </c>
      <c r="B154" s="2" t="s">
        <v>116</v>
      </c>
      <c r="C154" s="2" t="s">
        <v>939</v>
      </c>
      <c r="D154" s="2" t="s">
        <v>116</v>
      </c>
      <c r="E154" s="2" t="s">
        <v>43</v>
      </c>
      <c r="F154" s="2" t="s">
        <v>46</v>
      </c>
      <c r="G154" s="2" t="s">
        <v>42</v>
      </c>
      <c r="H154" s="2" t="s">
        <v>42</v>
      </c>
      <c r="I154" s="2" t="s">
        <v>239</v>
      </c>
      <c r="J154" s="2" t="s">
        <v>71</v>
      </c>
      <c r="K154" s="2" t="s">
        <v>1070</v>
      </c>
      <c r="L154" s="2" t="s">
        <v>1022</v>
      </c>
      <c r="M154" s="2" t="s">
        <v>264</v>
      </c>
      <c r="N154" s="2" t="s">
        <v>1071</v>
      </c>
      <c r="O154" s="2" t="s">
        <v>378</v>
      </c>
      <c r="P154" s="2" t="s">
        <v>267</v>
      </c>
      <c r="Q154" s="2">
        <v>54</v>
      </c>
      <c r="R154" s="2" t="b">
        <v>0</v>
      </c>
      <c r="S154" s="2">
        <v>0.57723577235772361</v>
      </c>
      <c r="T154" s="2">
        <v>0.58196721311475408</v>
      </c>
      <c r="U154" s="2">
        <v>0.57258064516129037</v>
      </c>
      <c r="V154" s="2" t="s">
        <v>63</v>
      </c>
      <c r="W154" s="2" t="s">
        <v>1072</v>
      </c>
      <c r="X154" s="2" t="s">
        <v>1073</v>
      </c>
      <c r="Y154" s="2" t="b">
        <v>0</v>
      </c>
      <c r="Z154" s="2" t="s">
        <v>67</v>
      </c>
      <c r="AA154" s="2">
        <v>76.900000000000006</v>
      </c>
    </row>
    <row r="155" spans="1:27" ht="15.75" hidden="1" customHeight="1" x14ac:dyDescent="0.3">
      <c r="A155" s="2" t="s">
        <v>360</v>
      </c>
      <c r="B155" s="2" t="s">
        <v>116</v>
      </c>
      <c r="C155" s="2" t="s">
        <v>939</v>
      </c>
      <c r="D155" s="2" t="s">
        <v>116</v>
      </c>
      <c r="E155" s="2" t="s">
        <v>43</v>
      </c>
      <c r="F155" s="2" t="s">
        <v>46</v>
      </c>
      <c r="G155" s="2" t="s">
        <v>42</v>
      </c>
      <c r="H155" s="2" t="s">
        <v>42</v>
      </c>
      <c r="I155" s="2" t="s">
        <v>239</v>
      </c>
      <c r="J155" s="2" t="s">
        <v>71</v>
      </c>
      <c r="K155" s="2" t="s">
        <v>1074</v>
      </c>
      <c r="L155" s="2" t="s">
        <v>1022</v>
      </c>
      <c r="M155" s="2" t="s">
        <v>264</v>
      </c>
      <c r="N155" s="2" t="s">
        <v>1075</v>
      </c>
      <c r="O155" s="2" t="s">
        <v>390</v>
      </c>
      <c r="P155" s="2" t="s">
        <v>267</v>
      </c>
      <c r="Q155" s="2">
        <v>55</v>
      </c>
      <c r="R155" s="2" t="b">
        <v>0</v>
      </c>
      <c r="S155" s="2">
        <v>0.66412213740458015</v>
      </c>
      <c r="T155" s="2">
        <v>0.64444444444444449</v>
      </c>
      <c r="U155" s="2">
        <v>0.68503937007874016</v>
      </c>
      <c r="V155" s="2" t="s">
        <v>63</v>
      </c>
      <c r="W155" s="2" t="s">
        <v>1076</v>
      </c>
      <c r="X155" s="2" t="s">
        <v>1077</v>
      </c>
      <c r="Y155" s="2" t="b">
        <v>0</v>
      </c>
      <c r="Z155" s="2" t="s">
        <v>67</v>
      </c>
      <c r="AA155" s="2">
        <v>77.8</v>
      </c>
    </row>
    <row r="156" spans="1:27" ht="15.75" hidden="1" customHeight="1" x14ac:dyDescent="0.3">
      <c r="A156" s="2" t="s">
        <v>360</v>
      </c>
      <c r="B156" s="2" t="s">
        <v>116</v>
      </c>
      <c r="C156" s="2" t="s">
        <v>939</v>
      </c>
      <c r="D156" s="2" t="s">
        <v>116</v>
      </c>
      <c r="E156" s="2" t="s">
        <v>43</v>
      </c>
      <c r="F156" s="2" t="s">
        <v>46</v>
      </c>
      <c r="G156" s="2" t="s">
        <v>42</v>
      </c>
      <c r="H156" s="2" t="s">
        <v>42</v>
      </c>
      <c r="I156" s="2" t="s">
        <v>239</v>
      </c>
      <c r="J156" s="2" t="s">
        <v>71</v>
      </c>
      <c r="K156" s="2" t="s">
        <v>1078</v>
      </c>
      <c r="L156" s="2" t="s">
        <v>1022</v>
      </c>
      <c r="M156" s="2" t="s">
        <v>264</v>
      </c>
      <c r="N156" s="2" t="s">
        <v>1079</v>
      </c>
      <c r="O156" s="2" t="s">
        <v>404</v>
      </c>
      <c r="P156" s="2" t="s">
        <v>267</v>
      </c>
      <c r="Q156" s="2">
        <v>56</v>
      </c>
      <c r="R156" s="2" t="b">
        <v>0</v>
      </c>
      <c r="S156" s="2">
        <v>0.62295081967213128</v>
      </c>
      <c r="T156" s="2">
        <v>0.62809917355371903</v>
      </c>
      <c r="U156" s="2">
        <v>0.61788617886178865</v>
      </c>
      <c r="V156" s="2" t="s">
        <v>63</v>
      </c>
      <c r="W156" s="2" t="s">
        <v>1080</v>
      </c>
      <c r="X156" s="2" t="s">
        <v>1081</v>
      </c>
      <c r="Y156" s="2" t="b">
        <v>0</v>
      </c>
      <c r="Z156" s="2" t="s">
        <v>67</v>
      </c>
      <c r="AA156" s="2">
        <v>78</v>
      </c>
    </row>
    <row r="157" spans="1:27" ht="15.75" hidden="1" customHeight="1" x14ac:dyDescent="0.3">
      <c r="A157" s="2" t="s">
        <v>360</v>
      </c>
      <c r="B157" s="2" t="s">
        <v>116</v>
      </c>
      <c r="C157" s="2" t="s">
        <v>939</v>
      </c>
      <c r="D157" s="2" t="s">
        <v>116</v>
      </c>
      <c r="E157" s="2" t="s">
        <v>43</v>
      </c>
      <c r="F157" s="2" t="s">
        <v>46</v>
      </c>
      <c r="G157" s="2" t="s">
        <v>42</v>
      </c>
      <c r="H157" s="2" t="s">
        <v>42</v>
      </c>
      <c r="I157" s="2" t="s">
        <v>239</v>
      </c>
      <c r="J157" s="2" t="s">
        <v>71</v>
      </c>
      <c r="K157" s="2" t="s">
        <v>1082</v>
      </c>
      <c r="L157" s="2" t="s">
        <v>1022</v>
      </c>
      <c r="M157" s="2" t="s">
        <v>264</v>
      </c>
      <c r="N157" s="2" t="s">
        <v>1083</v>
      </c>
      <c r="O157" s="2" t="s">
        <v>416</v>
      </c>
      <c r="P157" s="2" t="s">
        <v>267</v>
      </c>
      <c r="Q157" s="2">
        <v>57</v>
      </c>
      <c r="R157" s="2" t="b">
        <v>0</v>
      </c>
      <c r="S157" s="2">
        <v>0.62295081967213117</v>
      </c>
      <c r="T157" s="2">
        <v>0.62295081967213117</v>
      </c>
      <c r="U157" s="2">
        <v>0.62295081967213117</v>
      </c>
      <c r="V157" s="2" t="s">
        <v>63</v>
      </c>
      <c r="W157" s="2" t="s">
        <v>1084</v>
      </c>
      <c r="X157" s="2" t="s">
        <v>1085</v>
      </c>
      <c r="Y157" s="2" t="b">
        <v>0</v>
      </c>
      <c r="Z157" s="2" t="s">
        <v>67</v>
      </c>
      <c r="AA157" s="2">
        <v>76.599999999999994</v>
      </c>
    </row>
    <row r="158" spans="1:27" ht="15.75" hidden="1" customHeight="1" x14ac:dyDescent="0.3">
      <c r="A158" s="2" t="s">
        <v>360</v>
      </c>
      <c r="B158" s="2" t="s">
        <v>116</v>
      </c>
      <c r="C158" s="2" t="s">
        <v>939</v>
      </c>
      <c r="D158" s="2" t="s">
        <v>116</v>
      </c>
      <c r="E158" s="2" t="s">
        <v>43</v>
      </c>
      <c r="F158" s="2" t="s">
        <v>46</v>
      </c>
      <c r="G158" s="2" t="s">
        <v>42</v>
      </c>
      <c r="H158" s="2" t="s">
        <v>42</v>
      </c>
      <c r="I158" s="2" t="s">
        <v>239</v>
      </c>
      <c r="J158" s="2" t="s">
        <v>71</v>
      </c>
      <c r="K158" s="2" t="s">
        <v>1086</v>
      </c>
      <c r="L158" s="2" t="s">
        <v>1022</v>
      </c>
      <c r="M158" s="2" t="s">
        <v>264</v>
      </c>
      <c r="N158" s="2" t="s">
        <v>1087</v>
      </c>
      <c r="O158" s="2" t="s">
        <v>430</v>
      </c>
      <c r="P158" s="2" t="s">
        <v>267</v>
      </c>
      <c r="Q158" s="2">
        <v>58</v>
      </c>
      <c r="R158" s="2" t="b">
        <v>0</v>
      </c>
      <c r="S158" s="2">
        <v>0.65094339622641506</v>
      </c>
      <c r="T158" s="2">
        <v>0.63888888888888884</v>
      </c>
      <c r="U158" s="2">
        <v>0.66346153846153844</v>
      </c>
      <c r="V158" s="2" t="s">
        <v>63</v>
      </c>
      <c r="W158" s="2" t="s">
        <v>1088</v>
      </c>
      <c r="X158" s="2" t="s">
        <v>1089</v>
      </c>
      <c r="Y158" s="2" t="b">
        <v>0</v>
      </c>
      <c r="Z158" s="2" t="s">
        <v>67</v>
      </c>
      <c r="AA158" s="2">
        <v>78.3</v>
      </c>
    </row>
    <row r="159" spans="1:27" ht="15.75" hidden="1" customHeight="1" x14ac:dyDescent="0.3">
      <c r="A159" s="2" t="s">
        <v>360</v>
      </c>
      <c r="B159" s="2" t="s">
        <v>116</v>
      </c>
      <c r="C159" s="2" t="s">
        <v>939</v>
      </c>
      <c r="D159" s="2" t="s">
        <v>116</v>
      </c>
      <c r="E159" s="2" t="s">
        <v>43</v>
      </c>
      <c r="F159" s="2" t="s">
        <v>46</v>
      </c>
      <c r="G159" s="2" t="s">
        <v>42</v>
      </c>
      <c r="H159" s="2" t="s">
        <v>42</v>
      </c>
      <c r="I159" s="2" t="s">
        <v>239</v>
      </c>
      <c r="J159" s="2" t="s">
        <v>71</v>
      </c>
      <c r="K159" s="2" t="s">
        <v>1090</v>
      </c>
      <c r="L159" s="2" t="s">
        <v>1022</v>
      </c>
      <c r="M159" s="2" t="s">
        <v>264</v>
      </c>
      <c r="N159" s="2" t="s">
        <v>1091</v>
      </c>
      <c r="O159" s="2" t="s">
        <v>447</v>
      </c>
      <c r="P159" s="2" t="s">
        <v>267</v>
      </c>
      <c r="Q159" s="2">
        <v>59</v>
      </c>
      <c r="R159" s="2" t="b">
        <v>0</v>
      </c>
      <c r="S159" s="2">
        <v>0.65020576131687247</v>
      </c>
      <c r="T159" s="2">
        <v>0.65833333333333333</v>
      </c>
      <c r="U159" s="2">
        <v>0.64227642276422769</v>
      </c>
      <c r="V159" s="2" t="s">
        <v>63</v>
      </c>
      <c r="W159" s="2" t="s">
        <v>1092</v>
      </c>
      <c r="X159" s="2" t="s">
        <v>1093</v>
      </c>
      <c r="Y159" s="2" t="b">
        <v>0</v>
      </c>
      <c r="Z159" s="2" t="s">
        <v>67</v>
      </c>
      <c r="AA159" s="2">
        <v>78.7</v>
      </c>
    </row>
    <row r="160" spans="1:27" ht="15.75" hidden="1" customHeight="1" x14ac:dyDescent="0.3">
      <c r="A160" s="2" t="s">
        <v>360</v>
      </c>
      <c r="B160" s="2" t="s">
        <v>116</v>
      </c>
      <c r="C160" s="2" t="s">
        <v>939</v>
      </c>
      <c r="D160" s="2" t="s">
        <v>116</v>
      </c>
      <c r="E160" s="2" t="s">
        <v>43</v>
      </c>
      <c r="F160" s="2" t="s">
        <v>46</v>
      </c>
      <c r="G160" s="2" t="s">
        <v>42</v>
      </c>
      <c r="H160" s="2" t="s">
        <v>42</v>
      </c>
      <c r="I160" s="2" t="s">
        <v>239</v>
      </c>
      <c r="J160" s="2" t="s">
        <v>71</v>
      </c>
      <c r="K160" s="2" t="s">
        <v>1094</v>
      </c>
      <c r="L160" s="2" t="s">
        <v>1022</v>
      </c>
      <c r="M160" s="2" t="s">
        <v>264</v>
      </c>
      <c r="N160" s="2" t="s">
        <v>1095</v>
      </c>
      <c r="O160" s="2" t="s">
        <v>457</v>
      </c>
      <c r="P160" s="2" t="s">
        <v>267</v>
      </c>
      <c r="Q160" s="2">
        <v>60</v>
      </c>
      <c r="R160" s="2" t="b">
        <v>0</v>
      </c>
      <c r="S160" s="2">
        <v>0.51351351351351338</v>
      </c>
      <c r="T160" s="2">
        <v>0.51818181818181819</v>
      </c>
      <c r="U160" s="2">
        <v>0.5089285714285714</v>
      </c>
      <c r="V160" s="2" t="s">
        <v>63</v>
      </c>
      <c r="W160" s="2" t="s">
        <v>1096</v>
      </c>
      <c r="X160" s="2" t="s">
        <v>1097</v>
      </c>
      <c r="Y160" s="2" t="b">
        <v>0</v>
      </c>
      <c r="Z160" s="2" t="s">
        <v>67</v>
      </c>
      <c r="AA160" s="2">
        <v>77.3</v>
      </c>
    </row>
    <row r="161" spans="1:27" ht="15.75" hidden="1" customHeight="1" x14ac:dyDescent="0.3">
      <c r="A161" s="2" t="s">
        <v>360</v>
      </c>
      <c r="B161" s="2" t="s">
        <v>116</v>
      </c>
      <c r="C161" s="2" t="s">
        <v>939</v>
      </c>
      <c r="D161" s="2" t="s">
        <v>116</v>
      </c>
      <c r="E161" s="2" t="s">
        <v>43</v>
      </c>
      <c r="F161" s="2" t="s">
        <v>46</v>
      </c>
      <c r="G161" s="2" t="s">
        <v>42</v>
      </c>
      <c r="H161" s="2" t="s">
        <v>42</v>
      </c>
      <c r="I161" s="2" t="s">
        <v>239</v>
      </c>
      <c r="J161" s="2" t="s">
        <v>71</v>
      </c>
      <c r="K161" s="2" t="s">
        <v>1098</v>
      </c>
      <c r="L161" s="2" t="s">
        <v>1022</v>
      </c>
      <c r="M161" s="2" t="s">
        <v>264</v>
      </c>
      <c r="N161" s="2" t="s">
        <v>1099</v>
      </c>
      <c r="O161" s="2" t="s">
        <v>475</v>
      </c>
      <c r="P161" s="2" t="s">
        <v>267</v>
      </c>
      <c r="Q161" s="2">
        <v>61</v>
      </c>
      <c r="R161" s="2" t="b">
        <v>0</v>
      </c>
      <c r="S161" s="2">
        <v>0.58986175115207373</v>
      </c>
      <c r="T161" s="2">
        <v>0.58715596330275233</v>
      </c>
      <c r="U161" s="2">
        <v>0.59259259259259256</v>
      </c>
      <c r="V161" s="2" t="s">
        <v>63</v>
      </c>
      <c r="W161" s="2" t="s">
        <v>1100</v>
      </c>
      <c r="X161" s="2" t="s">
        <v>1101</v>
      </c>
      <c r="Y161" s="2" t="b">
        <v>0</v>
      </c>
      <c r="Z161" s="2" t="s">
        <v>67</v>
      </c>
      <c r="AA161" s="2">
        <v>78</v>
      </c>
    </row>
    <row r="162" spans="1:27" ht="15.75" customHeight="1" x14ac:dyDescent="0.3">
      <c r="A162" s="2" t="s">
        <v>360</v>
      </c>
      <c r="B162" s="2" t="s">
        <v>116</v>
      </c>
      <c r="C162" s="2" t="s">
        <v>939</v>
      </c>
      <c r="D162" s="2" t="s">
        <v>116</v>
      </c>
      <c r="E162" s="2" t="s">
        <v>39</v>
      </c>
      <c r="F162" s="2" t="s">
        <v>496</v>
      </c>
      <c r="G162" s="2" t="s">
        <v>42</v>
      </c>
      <c r="H162" s="2" t="s">
        <v>42</v>
      </c>
      <c r="I162" s="2" t="s">
        <v>47</v>
      </c>
      <c r="J162" s="2" t="s">
        <v>44</v>
      </c>
      <c r="K162" s="2" t="s">
        <v>940</v>
      </c>
      <c r="L162" s="2" t="s">
        <v>941</v>
      </c>
      <c r="M162" s="2" t="s">
        <v>52</v>
      </c>
      <c r="N162" s="2" t="s">
        <v>942</v>
      </c>
      <c r="O162" s="2" t="s">
        <v>55</v>
      </c>
      <c r="P162" s="2" t="s">
        <v>56</v>
      </c>
      <c r="Q162" s="2">
        <v>42</v>
      </c>
      <c r="R162" s="2" t="b">
        <v>1</v>
      </c>
      <c r="S162" s="2">
        <v>0.23255813953488369</v>
      </c>
      <c r="V162" s="2" t="s">
        <v>510</v>
      </c>
      <c r="W162" s="2" t="s">
        <v>1102</v>
      </c>
      <c r="X162" s="2" t="s">
        <v>1103</v>
      </c>
      <c r="Y162" s="2" t="b">
        <v>1</v>
      </c>
      <c r="Z162" s="2" t="s">
        <v>67</v>
      </c>
      <c r="AA162" s="2">
        <v>0</v>
      </c>
    </row>
    <row r="163" spans="1:27" ht="15.75" customHeight="1" x14ac:dyDescent="0.3">
      <c r="A163" s="2" t="s">
        <v>360</v>
      </c>
      <c r="B163" s="2" t="s">
        <v>116</v>
      </c>
      <c r="C163" s="2" t="s">
        <v>939</v>
      </c>
      <c r="D163" s="2" t="s">
        <v>116</v>
      </c>
      <c r="E163" s="2" t="s">
        <v>39</v>
      </c>
      <c r="F163" s="2" t="s">
        <v>496</v>
      </c>
      <c r="G163" s="2" t="s">
        <v>42</v>
      </c>
      <c r="H163" s="2" t="s">
        <v>42</v>
      </c>
      <c r="I163" s="2" t="s">
        <v>47</v>
      </c>
      <c r="J163" s="2" t="s">
        <v>44</v>
      </c>
      <c r="K163" s="2" t="s">
        <v>945</v>
      </c>
      <c r="L163" s="2" t="s">
        <v>941</v>
      </c>
      <c r="M163" s="2" t="s">
        <v>52</v>
      </c>
      <c r="N163" s="2" t="s">
        <v>946</v>
      </c>
      <c r="O163" s="2" t="s">
        <v>73</v>
      </c>
      <c r="P163" s="2" t="s">
        <v>56</v>
      </c>
      <c r="Q163" s="2">
        <v>43</v>
      </c>
      <c r="R163" s="2" t="b">
        <v>1</v>
      </c>
      <c r="S163" s="2">
        <v>0.1951219512195122</v>
      </c>
      <c r="V163" s="2" t="s">
        <v>510</v>
      </c>
      <c r="W163" s="2" t="s">
        <v>1104</v>
      </c>
      <c r="X163" s="2" t="s">
        <v>1105</v>
      </c>
      <c r="Y163" s="2" t="b">
        <v>1</v>
      </c>
      <c r="Z163" s="2" t="s">
        <v>67</v>
      </c>
      <c r="AA163" s="2">
        <v>0</v>
      </c>
    </row>
    <row r="164" spans="1:27" ht="15.75" customHeight="1" x14ac:dyDescent="0.3">
      <c r="A164" s="2" t="s">
        <v>360</v>
      </c>
      <c r="B164" s="2" t="s">
        <v>116</v>
      </c>
      <c r="C164" s="2" t="s">
        <v>939</v>
      </c>
      <c r="D164" s="2" t="s">
        <v>116</v>
      </c>
      <c r="E164" s="2" t="s">
        <v>39</v>
      </c>
      <c r="F164" s="2" t="s">
        <v>496</v>
      </c>
      <c r="G164" s="2" t="s">
        <v>42</v>
      </c>
      <c r="H164" s="2" t="s">
        <v>42</v>
      </c>
      <c r="I164" s="2" t="s">
        <v>47</v>
      </c>
      <c r="J164" s="2" t="s">
        <v>44</v>
      </c>
      <c r="K164" s="2" t="s">
        <v>949</v>
      </c>
      <c r="L164" s="2" t="s">
        <v>941</v>
      </c>
      <c r="M164" s="2" t="s">
        <v>52</v>
      </c>
      <c r="N164" s="2" t="s">
        <v>950</v>
      </c>
      <c r="O164" s="2" t="s">
        <v>84</v>
      </c>
      <c r="P164" s="2" t="s">
        <v>56</v>
      </c>
      <c r="Q164" s="2">
        <v>44</v>
      </c>
      <c r="R164" s="2" t="b">
        <v>1</v>
      </c>
      <c r="S164" s="2">
        <v>0.19047619047619049</v>
      </c>
      <c r="V164" s="2" t="s">
        <v>510</v>
      </c>
      <c r="W164" s="2" t="s">
        <v>1106</v>
      </c>
      <c r="X164" s="2" t="s">
        <v>1107</v>
      </c>
      <c r="Y164" s="2" t="b">
        <v>1</v>
      </c>
      <c r="Z164" s="2" t="s">
        <v>67</v>
      </c>
      <c r="AA164" s="2">
        <v>0</v>
      </c>
    </row>
    <row r="165" spans="1:27" ht="15.75" customHeight="1" x14ac:dyDescent="0.3">
      <c r="A165" s="2" t="s">
        <v>360</v>
      </c>
      <c r="B165" s="2" t="s">
        <v>116</v>
      </c>
      <c r="C165" s="2" t="s">
        <v>939</v>
      </c>
      <c r="D165" s="2" t="s">
        <v>116</v>
      </c>
      <c r="E165" s="2" t="s">
        <v>39</v>
      </c>
      <c r="F165" s="2" t="s">
        <v>496</v>
      </c>
      <c r="G165" s="2" t="s">
        <v>42</v>
      </c>
      <c r="H165" s="2" t="s">
        <v>42</v>
      </c>
      <c r="I165" s="2" t="s">
        <v>47</v>
      </c>
      <c r="J165" s="2" t="s">
        <v>44</v>
      </c>
      <c r="K165" s="2" t="s">
        <v>953</v>
      </c>
      <c r="L165" s="2" t="s">
        <v>941</v>
      </c>
      <c r="M165" s="2" t="s">
        <v>52</v>
      </c>
      <c r="N165" s="2" t="s">
        <v>954</v>
      </c>
      <c r="O165" s="2" t="s">
        <v>93</v>
      </c>
      <c r="P165" s="2" t="s">
        <v>56</v>
      </c>
      <c r="Q165" s="2">
        <v>45</v>
      </c>
      <c r="R165" s="2" t="b">
        <v>1</v>
      </c>
      <c r="S165" s="2">
        <v>0</v>
      </c>
      <c r="V165" s="2" t="s">
        <v>510</v>
      </c>
      <c r="W165" s="2" t="s">
        <v>1108</v>
      </c>
      <c r="X165" s="2" t="s">
        <v>1109</v>
      </c>
      <c r="Y165" s="2" t="b">
        <v>1</v>
      </c>
      <c r="Z165" s="2" t="s">
        <v>67</v>
      </c>
      <c r="AA165" s="2">
        <v>0</v>
      </c>
    </row>
    <row r="166" spans="1:27" ht="15.75" customHeight="1" x14ac:dyDescent="0.3">
      <c r="A166" s="2" t="s">
        <v>360</v>
      </c>
      <c r="B166" s="2" t="s">
        <v>116</v>
      </c>
      <c r="C166" s="2" t="s">
        <v>939</v>
      </c>
      <c r="D166" s="2" t="s">
        <v>116</v>
      </c>
      <c r="E166" s="2" t="s">
        <v>39</v>
      </c>
      <c r="F166" s="2" t="s">
        <v>496</v>
      </c>
      <c r="G166" s="2" t="s">
        <v>42</v>
      </c>
      <c r="H166" s="2" t="s">
        <v>42</v>
      </c>
      <c r="I166" s="2" t="s">
        <v>47</v>
      </c>
      <c r="J166" s="2" t="s">
        <v>44</v>
      </c>
      <c r="K166" s="2" t="s">
        <v>957</v>
      </c>
      <c r="L166" s="2" t="s">
        <v>941</v>
      </c>
      <c r="M166" s="2" t="s">
        <v>52</v>
      </c>
      <c r="N166" s="2" t="s">
        <v>958</v>
      </c>
      <c r="O166" s="2" t="s">
        <v>104</v>
      </c>
      <c r="P166" s="2" t="s">
        <v>56</v>
      </c>
      <c r="Q166" s="2">
        <v>46</v>
      </c>
      <c r="R166" s="2" t="b">
        <v>1</v>
      </c>
      <c r="S166" s="2">
        <v>0</v>
      </c>
      <c r="V166" s="2" t="s">
        <v>510</v>
      </c>
      <c r="W166" s="2" t="s">
        <v>1110</v>
      </c>
      <c r="X166" s="2" t="s">
        <v>1111</v>
      </c>
      <c r="Y166" s="2" t="b">
        <v>1</v>
      </c>
      <c r="Z166" s="2" t="s">
        <v>67</v>
      </c>
      <c r="AA166" s="2">
        <v>0</v>
      </c>
    </row>
    <row r="167" spans="1:27" ht="15.75" customHeight="1" x14ac:dyDescent="0.3">
      <c r="A167" s="2" t="s">
        <v>360</v>
      </c>
      <c r="B167" s="2" t="s">
        <v>116</v>
      </c>
      <c r="C167" s="2" t="s">
        <v>939</v>
      </c>
      <c r="D167" s="2" t="s">
        <v>116</v>
      </c>
      <c r="E167" s="2" t="s">
        <v>39</v>
      </c>
      <c r="F167" s="2" t="s">
        <v>496</v>
      </c>
      <c r="G167" s="2" t="s">
        <v>42</v>
      </c>
      <c r="H167" s="2" t="s">
        <v>42</v>
      </c>
      <c r="I167" s="2" t="s">
        <v>47</v>
      </c>
      <c r="J167" s="2" t="s">
        <v>44</v>
      </c>
      <c r="K167" s="2" t="s">
        <v>961</v>
      </c>
      <c r="L167" s="2" t="s">
        <v>941</v>
      </c>
      <c r="M167" s="2" t="s">
        <v>52</v>
      </c>
      <c r="N167" s="2" t="s">
        <v>962</v>
      </c>
      <c r="O167" s="2" t="s">
        <v>114</v>
      </c>
      <c r="P167" s="2" t="s">
        <v>56</v>
      </c>
      <c r="Q167" s="2">
        <v>47</v>
      </c>
      <c r="R167" s="2" t="b">
        <v>1</v>
      </c>
      <c r="S167" s="2">
        <v>0.26666666666666672</v>
      </c>
      <c r="V167" s="2" t="s">
        <v>510</v>
      </c>
      <c r="W167" s="2" t="s">
        <v>1112</v>
      </c>
      <c r="X167" s="2" t="s">
        <v>1113</v>
      </c>
      <c r="Y167" s="2" t="b">
        <v>1</v>
      </c>
      <c r="Z167" s="2" t="s">
        <v>67</v>
      </c>
      <c r="AA167" s="2">
        <v>0</v>
      </c>
    </row>
    <row r="168" spans="1:27" ht="15.75" customHeight="1" x14ac:dyDescent="0.3">
      <c r="A168" s="2" t="s">
        <v>360</v>
      </c>
      <c r="B168" s="2" t="s">
        <v>116</v>
      </c>
      <c r="C168" s="2" t="s">
        <v>939</v>
      </c>
      <c r="D168" s="2" t="s">
        <v>116</v>
      </c>
      <c r="E168" s="2" t="s">
        <v>39</v>
      </c>
      <c r="F168" s="2" t="s">
        <v>496</v>
      </c>
      <c r="G168" s="2" t="s">
        <v>42</v>
      </c>
      <c r="H168" s="2" t="s">
        <v>42</v>
      </c>
      <c r="I168" s="2" t="s">
        <v>47</v>
      </c>
      <c r="J168" s="2" t="s">
        <v>44</v>
      </c>
      <c r="K168" s="2" t="s">
        <v>965</v>
      </c>
      <c r="L168" s="2" t="s">
        <v>941</v>
      </c>
      <c r="M168" s="2" t="s">
        <v>52</v>
      </c>
      <c r="N168" s="2" t="s">
        <v>966</v>
      </c>
      <c r="O168" s="2" t="s">
        <v>125</v>
      </c>
      <c r="P168" s="2" t="s">
        <v>56</v>
      </c>
      <c r="Q168" s="2">
        <v>48</v>
      </c>
      <c r="R168" s="2" t="b">
        <v>1</v>
      </c>
      <c r="S168" s="2">
        <v>0.34482758620689657</v>
      </c>
      <c r="V168" s="2" t="s">
        <v>510</v>
      </c>
      <c r="W168" s="2" t="s">
        <v>1114</v>
      </c>
      <c r="X168" s="2" t="s">
        <v>1115</v>
      </c>
      <c r="Y168" s="2" t="b">
        <v>1</v>
      </c>
      <c r="Z168" s="2" t="s">
        <v>67</v>
      </c>
      <c r="AA168" s="2">
        <v>0</v>
      </c>
    </row>
    <row r="169" spans="1:27" ht="15.75" customHeight="1" x14ac:dyDescent="0.3">
      <c r="A169" s="2" t="s">
        <v>360</v>
      </c>
      <c r="B169" s="2" t="s">
        <v>116</v>
      </c>
      <c r="C169" s="2" t="s">
        <v>939</v>
      </c>
      <c r="D169" s="2" t="s">
        <v>116</v>
      </c>
      <c r="E169" s="2" t="s">
        <v>39</v>
      </c>
      <c r="F169" s="2" t="s">
        <v>496</v>
      </c>
      <c r="G169" s="2" t="s">
        <v>42</v>
      </c>
      <c r="H169" s="2" t="s">
        <v>42</v>
      </c>
      <c r="I169" s="2" t="s">
        <v>47</v>
      </c>
      <c r="J169" s="2" t="s">
        <v>44</v>
      </c>
      <c r="K169" s="2" t="s">
        <v>969</v>
      </c>
      <c r="L169" s="2" t="s">
        <v>941</v>
      </c>
      <c r="M169" s="2" t="s">
        <v>52</v>
      </c>
      <c r="N169" s="2" t="s">
        <v>970</v>
      </c>
      <c r="O169" s="2" t="s">
        <v>134</v>
      </c>
      <c r="P169" s="2" t="s">
        <v>56</v>
      </c>
      <c r="Q169" s="2">
        <v>49</v>
      </c>
      <c r="R169" s="2" t="b">
        <v>1</v>
      </c>
      <c r="S169" s="2">
        <v>0.2</v>
      </c>
      <c r="V169" s="2" t="s">
        <v>510</v>
      </c>
      <c r="W169" s="2" t="s">
        <v>1116</v>
      </c>
      <c r="X169" s="2" t="s">
        <v>1117</v>
      </c>
      <c r="Y169" s="2" t="b">
        <v>1</v>
      </c>
      <c r="Z169" s="2" t="s">
        <v>67</v>
      </c>
      <c r="AA169" s="2">
        <v>0</v>
      </c>
    </row>
    <row r="170" spans="1:27" ht="15.75" customHeight="1" x14ac:dyDescent="0.3">
      <c r="A170" s="2" t="s">
        <v>360</v>
      </c>
      <c r="B170" s="2" t="s">
        <v>116</v>
      </c>
      <c r="C170" s="2" t="s">
        <v>939</v>
      </c>
      <c r="D170" s="2" t="s">
        <v>116</v>
      </c>
      <c r="E170" s="2" t="s">
        <v>39</v>
      </c>
      <c r="F170" s="2" t="s">
        <v>496</v>
      </c>
      <c r="G170" s="2" t="s">
        <v>42</v>
      </c>
      <c r="H170" s="2" t="s">
        <v>42</v>
      </c>
      <c r="I170" s="2" t="s">
        <v>47</v>
      </c>
      <c r="J170" s="2" t="s">
        <v>44</v>
      </c>
      <c r="K170" s="2" t="s">
        <v>973</v>
      </c>
      <c r="L170" s="2" t="s">
        <v>941</v>
      </c>
      <c r="M170" s="2" t="s">
        <v>52</v>
      </c>
      <c r="N170" s="2" t="s">
        <v>974</v>
      </c>
      <c r="O170" s="2" t="s">
        <v>145</v>
      </c>
      <c r="P170" s="2" t="s">
        <v>56</v>
      </c>
      <c r="Q170" s="2">
        <v>50</v>
      </c>
      <c r="R170" s="2" t="b">
        <v>1</v>
      </c>
      <c r="S170" s="2">
        <v>8.1632653061224483E-2</v>
      </c>
      <c r="V170" s="2" t="s">
        <v>510</v>
      </c>
      <c r="W170" s="2" t="s">
        <v>1118</v>
      </c>
      <c r="X170" s="2" t="s">
        <v>1119</v>
      </c>
      <c r="Y170" s="2" t="b">
        <v>1</v>
      </c>
      <c r="Z170" s="2" t="s">
        <v>67</v>
      </c>
      <c r="AA170" s="2">
        <v>0</v>
      </c>
    </row>
    <row r="171" spans="1:27" ht="15.75" customHeight="1" x14ac:dyDescent="0.3">
      <c r="A171" s="2" t="s">
        <v>360</v>
      </c>
      <c r="B171" s="2" t="s">
        <v>116</v>
      </c>
      <c r="C171" s="2" t="s">
        <v>939</v>
      </c>
      <c r="D171" s="2" t="s">
        <v>116</v>
      </c>
      <c r="E171" s="2" t="s">
        <v>39</v>
      </c>
      <c r="F171" s="2" t="s">
        <v>496</v>
      </c>
      <c r="G171" s="2" t="s">
        <v>42</v>
      </c>
      <c r="H171" s="2" t="s">
        <v>42</v>
      </c>
      <c r="I171" s="2" t="s">
        <v>47</v>
      </c>
      <c r="J171" s="2" t="s">
        <v>44</v>
      </c>
      <c r="K171" s="2" t="s">
        <v>977</v>
      </c>
      <c r="L171" s="2" t="s">
        <v>941</v>
      </c>
      <c r="M171" s="2" t="s">
        <v>52</v>
      </c>
      <c r="N171" s="2" t="s">
        <v>978</v>
      </c>
      <c r="O171" s="2" t="s">
        <v>156</v>
      </c>
      <c r="P171" s="2" t="s">
        <v>56</v>
      </c>
      <c r="Q171" s="2">
        <v>51</v>
      </c>
      <c r="R171" s="2" t="b">
        <v>1</v>
      </c>
      <c r="S171" s="2">
        <v>8.1632653061224483E-2</v>
      </c>
      <c r="V171" s="2" t="s">
        <v>510</v>
      </c>
      <c r="W171" s="2" t="s">
        <v>1120</v>
      </c>
      <c r="X171" s="2" t="s">
        <v>1121</v>
      </c>
      <c r="Y171" s="2" t="b">
        <v>1</v>
      </c>
      <c r="Z171" s="2" t="s">
        <v>67</v>
      </c>
      <c r="AA171" s="2">
        <v>0</v>
      </c>
    </row>
    <row r="172" spans="1:27" ht="15.75" customHeight="1" x14ac:dyDescent="0.3">
      <c r="A172" s="2" t="s">
        <v>360</v>
      </c>
      <c r="B172" s="2" t="s">
        <v>116</v>
      </c>
      <c r="C172" s="2" t="s">
        <v>939</v>
      </c>
      <c r="D172" s="2" t="s">
        <v>116</v>
      </c>
      <c r="E172" s="2" t="s">
        <v>39</v>
      </c>
      <c r="F172" s="2" t="s">
        <v>496</v>
      </c>
      <c r="G172" s="2" t="s">
        <v>42</v>
      </c>
      <c r="H172" s="2" t="s">
        <v>42</v>
      </c>
      <c r="I172" s="2" t="s">
        <v>47</v>
      </c>
      <c r="J172" s="2" t="s">
        <v>44</v>
      </c>
      <c r="K172" s="2" t="s">
        <v>981</v>
      </c>
      <c r="L172" s="2" t="s">
        <v>941</v>
      </c>
      <c r="M172" s="2" t="s">
        <v>52</v>
      </c>
      <c r="N172" s="2" t="s">
        <v>982</v>
      </c>
      <c r="O172" s="2" t="s">
        <v>165</v>
      </c>
      <c r="P172" s="2" t="s">
        <v>56</v>
      </c>
      <c r="Q172" s="2">
        <v>52</v>
      </c>
      <c r="R172" s="2" t="b">
        <v>1</v>
      </c>
      <c r="S172" s="2">
        <v>8.8888888888888878E-2</v>
      </c>
      <c r="V172" s="2" t="s">
        <v>510</v>
      </c>
      <c r="W172" s="2" t="s">
        <v>1122</v>
      </c>
      <c r="X172" s="2" t="s">
        <v>1123</v>
      </c>
      <c r="Y172" s="2" t="b">
        <v>1</v>
      </c>
      <c r="Z172" s="2" t="s">
        <v>67</v>
      </c>
      <c r="AA172" s="2">
        <v>0</v>
      </c>
    </row>
    <row r="173" spans="1:27" ht="15.75" customHeight="1" x14ac:dyDescent="0.3">
      <c r="A173" s="2" t="s">
        <v>360</v>
      </c>
      <c r="B173" s="2" t="s">
        <v>116</v>
      </c>
      <c r="C173" s="2" t="s">
        <v>939</v>
      </c>
      <c r="D173" s="2" t="s">
        <v>116</v>
      </c>
      <c r="E173" s="2" t="s">
        <v>39</v>
      </c>
      <c r="F173" s="2" t="s">
        <v>496</v>
      </c>
      <c r="G173" s="2" t="s">
        <v>42</v>
      </c>
      <c r="H173" s="2" t="s">
        <v>42</v>
      </c>
      <c r="I173" s="2" t="s">
        <v>47</v>
      </c>
      <c r="J173" s="2" t="s">
        <v>44</v>
      </c>
      <c r="K173" s="2" t="s">
        <v>985</v>
      </c>
      <c r="L173" s="2" t="s">
        <v>941</v>
      </c>
      <c r="M173" s="2" t="s">
        <v>52</v>
      </c>
      <c r="N173" s="2" t="s">
        <v>986</v>
      </c>
      <c r="O173" s="2" t="s">
        <v>176</v>
      </c>
      <c r="P173" s="2" t="s">
        <v>56</v>
      </c>
      <c r="Q173" s="2">
        <v>53</v>
      </c>
      <c r="R173" s="2" t="b">
        <v>1</v>
      </c>
      <c r="S173" s="2">
        <v>0.29508196721311469</v>
      </c>
      <c r="V173" s="2" t="s">
        <v>510</v>
      </c>
      <c r="W173" s="2" t="s">
        <v>1124</v>
      </c>
      <c r="X173" s="2" t="s">
        <v>1125</v>
      </c>
      <c r="Y173" s="2" t="b">
        <v>1</v>
      </c>
      <c r="Z173" s="2" t="s">
        <v>67</v>
      </c>
      <c r="AA173" s="2">
        <v>0</v>
      </c>
    </row>
    <row r="174" spans="1:27" ht="15.75" customHeight="1" x14ac:dyDescent="0.3">
      <c r="A174" s="2" t="s">
        <v>360</v>
      </c>
      <c r="B174" s="2" t="s">
        <v>116</v>
      </c>
      <c r="C174" s="2" t="s">
        <v>939</v>
      </c>
      <c r="D174" s="2" t="s">
        <v>116</v>
      </c>
      <c r="E174" s="2" t="s">
        <v>39</v>
      </c>
      <c r="F174" s="2" t="s">
        <v>496</v>
      </c>
      <c r="G174" s="2" t="s">
        <v>42</v>
      </c>
      <c r="H174" s="2" t="s">
        <v>42</v>
      </c>
      <c r="I174" s="2" t="s">
        <v>47</v>
      </c>
      <c r="J174" s="2" t="s">
        <v>44</v>
      </c>
      <c r="K174" s="2" t="s">
        <v>989</v>
      </c>
      <c r="L174" s="2" t="s">
        <v>941</v>
      </c>
      <c r="M174" s="2" t="s">
        <v>52</v>
      </c>
      <c r="N174" s="2" t="s">
        <v>990</v>
      </c>
      <c r="O174" s="2" t="s">
        <v>185</v>
      </c>
      <c r="P174" s="2" t="s">
        <v>56</v>
      </c>
      <c r="Q174" s="2">
        <v>54</v>
      </c>
      <c r="R174" s="2" t="b">
        <v>1</v>
      </c>
      <c r="S174" s="2">
        <v>4.3478260869565223E-2</v>
      </c>
      <c r="V174" s="2" t="s">
        <v>510</v>
      </c>
      <c r="W174" s="2" t="s">
        <v>1126</v>
      </c>
      <c r="X174" s="2" t="s">
        <v>1127</v>
      </c>
      <c r="Y174" s="2" t="b">
        <v>1</v>
      </c>
      <c r="Z174" s="2" t="s">
        <v>67</v>
      </c>
      <c r="AA174" s="2">
        <v>0</v>
      </c>
    </row>
    <row r="175" spans="1:27" ht="15.75" customHeight="1" x14ac:dyDescent="0.3">
      <c r="A175" s="2" t="s">
        <v>360</v>
      </c>
      <c r="B175" s="2" t="s">
        <v>116</v>
      </c>
      <c r="C175" s="2" t="s">
        <v>939</v>
      </c>
      <c r="D175" s="2" t="s">
        <v>116</v>
      </c>
      <c r="E175" s="2" t="s">
        <v>39</v>
      </c>
      <c r="F175" s="2" t="s">
        <v>496</v>
      </c>
      <c r="G175" s="2" t="s">
        <v>42</v>
      </c>
      <c r="H175" s="2" t="s">
        <v>42</v>
      </c>
      <c r="I175" s="2" t="s">
        <v>47</v>
      </c>
      <c r="J175" s="2" t="s">
        <v>44</v>
      </c>
      <c r="K175" s="2" t="s">
        <v>993</v>
      </c>
      <c r="L175" s="2" t="s">
        <v>941</v>
      </c>
      <c r="M175" s="2" t="s">
        <v>52</v>
      </c>
      <c r="N175" s="2" t="s">
        <v>994</v>
      </c>
      <c r="O175" s="2" t="s">
        <v>192</v>
      </c>
      <c r="P175" s="2" t="s">
        <v>56</v>
      </c>
      <c r="Q175" s="2">
        <v>55</v>
      </c>
      <c r="R175" s="2" t="b">
        <v>1</v>
      </c>
      <c r="S175" s="2">
        <v>0.2745098039215686</v>
      </c>
      <c r="V175" s="2" t="s">
        <v>510</v>
      </c>
      <c r="W175" s="2" t="s">
        <v>1128</v>
      </c>
      <c r="X175" s="2" t="s">
        <v>1129</v>
      </c>
      <c r="Y175" s="2" t="b">
        <v>1</v>
      </c>
      <c r="Z175" s="2" t="s">
        <v>67</v>
      </c>
      <c r="AA175" s="2">
        <v>0</v>
      </c>
    </row>
    <row r="176" spans="1:27" ht="15.75" customHeight="1" x14ac:dyDescent="0.3">
      <c r="A176" s="2" t="s">
        <v>360</v>
      </c>
      <c r="B176" s="2" t="s">
        <v>116</v>
      </c>
      <c r="C176" s="2" t="s">
        <v>939</v>
      </c>
      <c r="D176" s="2" t="s">
        <v>116</v>
      </c>
      <c r="E176" s="2" t="s">
        <v>39</v>
      </c>
      <c r="F176" s="2" t="s">
        <v>496</v>
      </c>
      <c r="G176" s="2" t="s">
        <v>42</v>
      </c>
      <c r="H176" s="2" t="s">
        <v>42</v>
      </c>
      <c r="I176" s="2" t="s">
        <v>47</v>
      </c>
      <c r="J176" s="2" t="s">
        <v>44</v>
      </c>
      <c r="K176" s="2" t="s">
        <v>997</v>
      </c>
      <c r="L176" s="2" t="s">
        <v>941</v>
      </c>
      <c r="M176" s="2" t="s">
        <v>52</v>
      </c>
      <c r="N176" s="2" t="s">
        <v>998</v>
      </c>
      <c r="O176" s="2" t="s">
        <v>201</v>
      </c>
      <c r="P176" s="2" t="s">
        <v>56</v>
      </c>
      <c r="Q176" s="2">
        <v>56</v>
      </c>
      <c r="R176" s="2" t="b">
        <v>1</v>
      </c>
      <c r="S176" s="2">
        <v>8.6956521739130446E-2</v>
      </c>
      <c r="V176" s="2" t="s">
        <v>510</v>
      </c>
      <c r="W176" s="2" t="s">
        <v>1130</v>
      </c>
      <c r="X176" s="2" t="s">
        <v>1131</v>
      </c>
      <c r="Y176" s="2" t="b">
        <v>1</v>
      </c>
      <c r="Z176" s="2" t="s">
        <v>67</v>
      </c>
      <c r="AA176" s="2">
        <v>0</v>
      </c>
    </row>
    <row r="177" spans="1:27" ht="15.75" customHeight="1" x14ac:dyDescent="0.3">
      <c r="A177" s="2" t="s">
        <v>360</v>
      </c>
      <c r="B177" s="2" t="s">
        <v>116</v>
      </c>
      <c r="C177" s="2" t="s">
        <v>939</v>
      </c>
      <c r="D177" s="2" t="s">
        <v>116</v>
      </c>
      <c r="E177" s="2" t="s">
        <v>39</v>
      </c>
      <c r="F177" s="2" t="s">
        <v>496</v>
      </c>
      <c r="G177" s="2" t="s">
        <v>42</v>
      </c>
      <c r="H177" s="2" t="s">
        <v>42</v>
      </c>
      <c r="I177" s="2" t="s">
        <v>47</v>
      </c>
      <c r="J177" s="2" t="s">
        <v>44</v>
      </c>
      <c r="K177" s="2" t="s">
        <v>1001</v>
      </c>
      <c r="L177" s="2" t="s">
        <v>941</v>
      </c>
      <c r="M177" s="2" t="s">
        <v>52</v>
      </c>
      <c r="N177" s="2" t="s">
        <v>1002</v>
      </c>
      <c r="O177" s="2" t="s">
        <v>210</v>
      </c>
      <c r="P177" s="2" t="s">
        <v>56</v>
      </c>
      <c r="Q177" s="2">
        <v>57</v>
      </c>
      <c r="R177" s="2" t="b">
        <v>1</v>
      </c>
      <c r="S177" s="2">
        <v>0.17391304347826089</v>
      </c>
      <c r="V177" s="2" t="s">
        <v>510</v>
      </c>
      <c r="W177" s="2" t="s">
        <v>1132</v>
      </c>
      <c r="X177" s="2" t="s">
        <v>1133</v>
      </c>
      <c r="Y177" s="2" t="b">
        <v>1</v>
      </c>
      <c r="Z177" s="2" t="s">
        <v>67</v>
      </c>
      <c r="AA177" s="2">
        <v>0</v>
      </c>
    </row>
    <row r="178" spans="1:27" ht="15.75" customHeight="1" x14ac:dyDescent="0.3">
      <c r="A178" s="2" t="s">
        <v>360</v>
      </c>
      <c r="B178" s="2" t="s">
        <v>116</v>
      </c>
      <c r="C178" s="2" t="s">
        <v>939</v>
      </c>
      <c r="D178" s="2" t="s">
        <v>116</v>
      </c>
      <c r="E178" s="2" t="s">
        <v>39</v>
      </c>
      <c r="F178" s="2" t="s">
        <v>496</v>
      </c>
      <c r="G178" s="2" t="s">
        <v>42</v>
      </c>
      <c r="H178" s="2" t="s">
        <v>42</v>
      </c>
      <c r="I178" s="2" t="s">
        <v>47</v>
      </c>
      <c r="J178" s="2" t="s">
        <v>44</v>
      </c>
      <c r="K178" s="2" t="s">
        <v>1005</v>
      </c>
      <c r="L178" s="2" t="s">
        <v>941</v>
      </c>
      <c r="M178" s="2" t="s">
        <v>52</v>
      </c>
      <c r="N178" s="2" t="s">
        <v>1006</v>
      </c>
      <c r="O178" s="2" t="s">
        <v>219</v>
      </c>
      <c r="P178" s="2" t="s">
        <v>56</v>
      </c>
      <c r="Q178" s="2">
        <v>58</v>
      </c>
      <c r="R178" s="2" t="b">
        <v>1</v>
      </c>
      <c r="S178" s="2">
        <v>9.0909090909090898E-2</v>
      </c>
      <c r="V178" s="2" t="s">
        <v>510</v>
      </c>
      <c r="W178" s="2" t="s">
        <v>1134</v>
      </c>
      <c r="X178" s="2" t="s">
        <v>1135</v>
      </c>
      <c r="Y178" s="2" t="b">
        <v>1</v>
      </c>
      <c r="Z178" s="2" t="s">
        <v>67</v>
      </c>
      <c r="AA178" s="2">
        <v>0</v>
      </c>
    </row>
    <row r="179" spans="1:27" ht="15.75" customHeight="1" x14ac:dyDescent="0.3">
      <c r="A179" s="2" t="s">
        <v>360</v>
      </c>
      <c r="B179" s="2" t="s">
        <v>116</v>
      </c>
      <c r="C179" s="2" t="s">
        <v>939</v>
      </c>
      <c r="D179" s="2" t="s">
        <v>116</v>
      </c>
      <c r="E179" s="2" t="s">
        <v>39</v>
      </c>
      <c r="F179" s="2" t="s">
        <v>496</v>
      </c>
      <c r="G179" s="2" t="s">
        <v>42</v>
      </c>
      <c r="H179" s="2" t="s">
        <v>42</v>
      </c>
      <c r="I179" s="2" t="s">
        <v>47</v>
      </c>
      <c r="J179" s="2" t="s">
        <v>44</v>
      </c>
      <c r="K179" s="2" t="s">
        <v>1009</v>
      </c>
      <c r="L179" s="2" t="s">
        <v>941</v>
      </c>
      <c r="M179" s="2" t="s">
        <v>52</v>
      </c>
      <c r="N179" s="2" t="s">
        <v>1010</v>
      </c>
      <c r="O179" s="2" t="s">
        <v>232</v>
      </c>
      <c r="P179" s="2" t="s">
        <v>56</v>
      </c>
      <c r="Q179" s="2">
        <v>59</v>
      </c>
      <c r="R179" s="2" t="b">
        <v>1</v>
      </c>
      <c r="S179" s="2">
        <v>0.16666666666666671</v>
      </c>
      <c r="V179" s="2" t="s">
        <v>510</v>
      </c>
      <c r="W179" s="2" t="s">
        <v>1136</v>
      </c>
      <c r="X179" s="2" t="s">
        <v>1137</v>
      </c>
      <c r="Y179" s="2" t="b">
        <v>1</v>
      </c>
      <c r="Z179" s="2" t="s">
        <v>67</v>
      </c>
      <c r="AA179" s="2">
        <v>0</v>
      </c>
    </row>
    <row r="180" spans="1:27" ht="15.75" customHeight="1" x14ac:dyDescent="0.3">
      <c r="A180" s="2" t="s">
        <v>360</v>
      </c>
      <c r="B180" s="2" t="s">
        <v>116</v>
      </c>
      <c r="C180" s="2" t="s">
        <v>939</v>
      </c>
      <c r="D180" s="2" t="s">
        <v>116</v>
      </c>
      <c r="E180" s="2" t="s">
        <v>39</v>
      </c>
      <c r="F180" s="2" t="s">
        <v>496</v>
      </c>
      <c r="G180" s="2" t="s">
        <v>42</v>
      </c>
      <c r="H180" s="2" t="s">
        <v>42</v>
      </c>
      <c r="I180" s="2" t="s">
        <v>47</v>
      </c>
      <c r="J180" s="2" t="s">
        <v>44</v>
      </c>
      <c r="K180" s="2" t="s">
        <v>1013</v>
      </c>
      <c r="L180" s="2" t="s">
        <v>941</v>
      </c>
      <c r="M180" s="2" t="s">
        <v>52</v>
      </c>
      <c r="N180" s="2" t="s">
        <v>1014</v>
      </c>
      <c r="O180" s="2" t="s">
        <v>246</v>
      </c>
      <c r="P180" s="2" t="s">
        <v>56</v>
      </c>
      <c r="Q180" s="2">
        <v>60</v>
      </c>
      <c r="R180" s="2" t="b">
        <v>1</v>
      </c>
      <c r="S180" s="2">
        <v>4.2553191489361687E-2</v>
      </c>
      <c r="V180" s="2" t="s">
        <v>510</v>
      </c>
      <c r="W180" s="2" t="s">
        <v>1138</v>
      </c>
      <c r="X180" s="2" t="s">
        <v>1139</v>
      </c>
      <c r="Y180" s="2" t="b">
        <v>1</v>
      </c>
      <c r="Z180" s="2" t="s">
        <v>67</v>
      </c>
      <c r="AA180" s="2">
        <v>0</v>
      </c>
    </row>
    <row r="181" spans="1:27" ht="15.75" customHeight="1" x14ac:dyDescent="0.3">
      <c r="A181" s="2" t="s">
        <v>360</v>
      </c>
      <c r="B181" s="2" t="s">
        <v>116</v>
      </c>
      <c r="C181" s="2" t="s">
        <v>939</v>
      </c>
      <c r="D181" s="2" t="s">
        <v>116</v>
      </c>
      <c r="E181" s="2" t="s">
        <v>39</v>
      </c>
      <c r="F181" s="2" t="s">
        <v>496</v>
      </c>
      <c r="G181" s="2" t="s">
        <v>42</v>
      </c>
      <c r="H181" s="2" t="s">
        <v>42</v>
      </c>
      <c r="I181" s="2" t="s">
        <v>47</v>
      </c>
      <c r="J181" s="2" t="s">
        <v>44</v>
      </c>
      <c r="K181" s="2" t="s">
        <v>1017</v>
      </c>
      <c r="L181" s="2" t="s">
        <v>941</v>
      </c>
      <c r="M181" s="2" t="s">
        <v>52</v>
      </c>
      <c r="N181" s="2" t="s">
        <v>1018</v>
      </c>
      <c r="O181" s="2" t="s">
        <v>255</v>
      </c>
      <c r="P181" s="2" t="s">
        <v>56</v>
      </c>
      <c r="Q181" s="2">
        <v>61</v>
      </c>
      <c r="R181" s="2" t="b">
        <v>1</v>
      </c>
      <c r="S181" s="2">
        <v>0.22641509433962259</v>
      </c>
      <c r="V181" s="2" t="s">
        <v>510</v>
      </c>
      <c r="W181" s="2" t="s">
        <v>1140</v>
      </c>
      <c r="X181" s="2" t="s">
        <v>1141</v>
      </c>
      <c r="Y181" s="2" t="b">
        <v>1</v>
      </c>
      <c r="Z181" s="2" t="s">
        <v>67</v>
      </c>
      <c r="AA181" s="2">
        <v>0</v>
      </c>
    </row>
    <row r="182" spans="1:27" ht="15.75" hidden="1" customHeight="1" x14ac:dyDescent="0.3">
      <c r="A182" s="2" t="s">
        <v>360</v>
      </c>
      <c r="B182" s="2" t="s">
        <v>116</v>
      </c>
      <c r="C182" s="2" t="s">
        <v>939</v>
      </c>
      <c r="D182" s="2" t="s">
        <v>116</v>
      </c>
      <c r="E182" s="2" t="s">
        <v>39</v>
      </c>
      <c r="F182" s="2" t="s">
        <v>496</v>
      </c>
      <c r="G182" s="2" t="s">
        <v>42</v>
      </c>
      <c r="H182" s="2" t="s">
        <v>42</v>
      </c>
      <c r="I182" s="2" t="s">
        <v>239</v>
      </c>
      <c r="J182" s="2" t="s">
        <v>71</v>
      </c>
      <c r="K182" s="2" t="s">
        <v>1021</v>
      </c>
      <c r="L182" s="2" t="s">
        <v>1022</v>
      </c>
      <c r="M182" s="2" t="s">
        <v>264</v>
      </c>
      <c r="N182" s="2" t="s">
        <v>1023</v>
      </c>
      <c r="O182" s="2" t="s">
        <v>266</v>
      </c>
      <c r="P182" s="2" t="s">
        <v>267</v>
      </c>
      <c r="Q182" s="2">
        <v>42</v>
      </c>
      <c r="R182" s="2" t="b">
        <v>0</v>
      </c>
      <c r="S182" s="2">
        <v>0.23076923076923081</v>
      </c>
      <c r="V182" s="2" t="s">
        <v>510</v>
      </c>
      <c r="W182" s="2" t="s">
        <v>1142</v>
      </c>
      <c r="X182" s="2" t="s">
        <v>1143</v>
      </c>
      <c r="Y182" s="2" t="b">
        <v>1</v>
      </c>
      <c r="Z182" s="2" t="s">
        <v>67</v>
      </c>
      <c r="AA182" s="2">
        <v>0</v>
      </c>
    </row>
    <row r="183" spans="1:27" ht="15.75" hidden="1" customHeight="1" x14ac:dyDescent="0.3">
      <c r="A183" s="2" t="s">
        <v>360</v>
      </c>
      <c r="B183" s="2" t="s">
        <v>116</v>
      </c>
      <c r="C183" s="2" t="s">
        <v>939</v>
      </c>
      <c r="D183" s="2" t="s">
        <v>116</v>
      </c>
      <c r="E183" s="2" t="s">
        <v>39</v>
      </c>
      <c r="F183" s="2" t="s">
        <v>496</v>
      </c>
      <c r="G183" s="2" t="s">
        <v>42</v>
      </c>
      <c r="H183" s="2" t="s">
        <v>42</v>
      </c>
      <c r="I183" s="2" t="s">
        <v>239</v>
      </c>
      <c r="J183" s="2" t="s">
        <v>71</v>
      </c>
      <c r="K183" s="2" t="s">
        <v>1026</v>
      </c>
      <c r="L183" s="2" t="s">
        <v>1022</v>
      </c>
      <c r="M183" s="2" t="s">
        <v>264</v>
      </c>
      <c r="N183" s="2" t="s">
        <v>1027</v>
      </c>
      <c r="O183" s="2" t="s">
        <v>276</v>
      </c>
      <c r="P183" s="2" t="s">
        <v>267</v>
      </c>
      <c r="Q183" s="2">
        <v>43</v>
      </c>
      <c r="R183" s="2" t="b">
        <v>0</v>
      </c>
      <c r="S183" s="2">
        <v>0</v>
      </c>
      <c r="V183" s="2" t="s">
        <v>510</v>
      </c>
      <c r="W183" s="2" t="s">
        <v>1144</v>
      </c>
      <c r="X183" s="2" t="s">
        <v>1145</v>
      </c>
      <c r="Y183" s="2" t="b">
        <v>1</v>
      </c>
      <c r="Z183" s="2" t="s">
        <v>67</v>
      </c>
      <c r="AA183" s="2">
        <v>0</v>
      </c>
    </row>
    <row r="184" spans="1:27" ht="15.75" hidden="1" customHeight="1" x14ac:dyDescent="0.3">
      <c r="A184" s="2" t="s">
        <v>360</v>
      </c>
      <c r="B184" s="2" t="s">
        <v>116</v>
      </c>
      <c r="C184" s="2" t="s">
        <v>939</v>
      </c>
      <c r="D184" s="2" t="s">
        <v>116</v>
      </c>
      <c r="E184" s="2" t="s">
        <v>39</v>
      </c>
      <c r="F184" s="2" t="s">
        <v>496</v>
      </c>
      <c r="G184" s="2" t="s">
        <v>42</v>
      </c>
      <c r="H184" s="2" t="s">
        <v>42</v>
      </c>
      <c r="I184" s="2" t="s">
        <v>239</v>
      </c>
      <c r="J184" s="2" t="s">
        <v>71</v>
      </c>
      <c r="K184" s="2" t="s">
        <v>1030</v>
      </c>
      <c r="L184" s="2" t="s">
        <v>1022</v>
      </c>
      <c r="M184" s="2" t="s">
        <v>264</v>
      </c>
      <c r="N184" s="2" t="s">
        <v>1031</v>
      </c>
      <c r="O184" s="2" t="s">
        <v>285</v>
      </c>
      <c r="P184" s="2" t="s">
        <v>267</v>
      </c>
      <c r="Q184" s="2">
        <v>44</v>
      </c>
      <c r="R184" s="2" t="b">
        <v>0</v>
      </c>
      <c r="S184" s="2">
        <v>0.13043478260869559</v>
      </c>
      <c r="V184" s="2" t="s">
        <v>510</v>
      </c>
      <c r="W184" s="2" t="s">
        <v>1146</v>
      </c>
      <c r="X184" s="2" t="s">
        <v>1147</v>
      </c>
      <c r="Y184" s="2" t="b">
        <v>1</v>
      </c>
      <c r="Z184" s="2" t="s">
        <v>67</v>
      </c>
      <c r="AA184" s="2">
        <v>0</v>
      </c>
    </row>
    <row r="185" spans="1:27" ht="15.75" hidden="1" customHeight="1" x14ac:dyDescent="0.3">
      <c r="A185" s="2" t="s">
        <v>360</v>
      </c>
      <c r="B185" s="2" t="s">
        <v>116</v>
      </c>
      <c r="C185" s="2" t="s">
        <v>939</v>
      </c>
      <c r="D185" s="2" t="s">
        <v>116</v>
      </c>
      <c r="E185" s="2" t="s">
        <v>39</v>
      </c>
      <c r="F185" s="2" t="s">
        <v>496</v>
      </c>
      <c r="G185" s="2" t="s">
        <v>42</v>
      </c>
      <c r="H185" s="2" t="s">
        <v>42</v>
      </c>
      <c r="I185" s="2" t="s">
        <v>239</v>
      </c>
      <c r="J185" s="2" t="s">
        <v>71</v>
      </c>
      <c r="K185" s="2" t="s">
        <v>1034</v>
      </c>
      <c r="L185" s="2" t="s">
        <v>1022</v>
      </c>
      <c r="M185" s="2" t="s">
        <v>264</v>
      </c>
      <c r="N185" s="2" t="s">
        <v>1035</v>
      </c>
      <c r="O185" s="2" t="s">
        <v>294</v>
      </c>
      <c r="P185" s="2" t="s">
        <v>267</v>
      </c>
      <c r="Q185" s="2">
        <v>45</v>
      </c>
      <c r="R185" s="2" t="b">
        <v>0</v>
      </c>
      <c r="S185" s="2">
        <v>0.13636363636363641</v>
      </c>
      <c r="V185" s="2" t="s">
        <v>510</v>
      </c>
      <c r="W185" s="2" t="s">
        <v>1148</v>
      </c>
      <c r="X185" s="2" t="s">
        <v>1149</v>
      </c>
      <c r="Y185" s="2" t="b">
        <v>1</v>
      </c>
      <c r="Z185" s="2" t="s">
        <v>67</v>
      </c>
      <c r="AA185" s="2">
        <v>0</v>
      </c>
    </row>
    <row r="186" spans="1:27" ht="15.75" hidden="1" customHeight="1" x14ac:dyDescent="0.3">
      <c r="A186" s="2" t="s">
        <v>360</v>
      </c>
      <c r="B186" s="2" t="s">
        <v>116</v>
      </c>
      <c r="C186" s="2" t="s">
        <v>939</v>
      </c>
      <c r="D186" s="2" t="s">
        <v>116</v>
      </c>
      <c r="E186" s="2" t="s">
        <v>39</v>
      </c>
      <c r="F186" s="2" t="s">
        <v>496</v>
      </c>
      <c r="G186" s="2" t="s">
        <v>42</v>
      </c>
      <c r="H186" s="2" t="s">
        <v>42</v>
      </c>
      <c r="I186" s="2" t="s">
        <v>239</v>
      </c>
      <c r="J186" s="2" t="s">
        <v>71</v>
      </c>
      <c r="K186" s="2" t="s">
        <v>1038</v>
      </c>
      <c r="L186" s="2" t="s">
        <v>1022</v>
      </c>
      <c r="M186" s="2" t="s">
        <v>264</v>
      </c>
      <c r="N186" s="2" t="s">
        <v>1039</v>
      </c>
      <c r="O186" s="2" t="s">
        <v>299</v>
      </c>
      <c r="P186" s="2" t="s">
        <v>267</v>
      </c>
      <c r="Q186" s="2">
        <v>46</v>
      </c>
      <c r="R186" s="2" t="b">
        <v>0</v>
      </c>
      <c r="S186" s="2">
        <v>8.3333333333333329E-2</v>
      </c>
      <c r="V186" s="2" t="s">
        <v>510</v>
      </c>
      <c r="W186" s="2" t="s">
        <v>1150</v>
      </c>
      <c r="X186" s="2" t="s">
        <v>1151</v>
      </c>
      <c r="Y186" s="2" t="b">
        <v>1</v>
      </c>
      <c r="Z186" s="2" t="s">
        <v>67</v>
      </c>
      <c r="AA186" s="2">
        <v>0</v>
      </c>
    </row>
    <row r="187" spans="1:27" ht="15.75" hidden="1" customHeight="1" x14ac:dyDescent="0.3">
      <c r="A187" s="2" t="s">
        <v>360</v>
      </c>
      <c r="B187" s="2" t="s">
        <v>116</v>
      </c>
      <c r="C187" s="2" t="s">
        <v>939</v>
      </c>
      <c r="D187" s="2" t="s">
        <v>116</v>
      </c>
      <c r="E187" s="2" t="s">
        <v>39</v>
      </c>
      <c r="F187" s="2" t="s">
        <v>496</v>
      </c>
      <c r="G187" s="2" t="s">
        <v>42</v>
      </c>
      <c r="H187" s="2" t="s">
        <v>42</v>
      </c>
      <c r="I187" s="2" t="s">
        <v>239</v>
      </c>
      <c r="J187" s="2" t="s">
        <v>71</v>
      </c>
      <c r="K187" s="2" t="s">
        <v>1042</v>
      </c>
      <c r="L187" s="2" t="s">
        <v>1022</v>
      </c>
      <c r="M187" s="2" t="s">
        <v>264</v>
      </c>
      <c r="N187" s="2" t="s">
        <v>1043</v>
      </c>
      <c r="O187" s="2" t="s">
        <v>306</v>
      </c>
      <c r="P187" s="2" t="s">
        <v>267</v>
      </c>
      <c r="Q187" s="2">
        <v>47</v>
      </c>
      <c r="R187" s="2" t="b">
        <v>0</v>
      </c>
      <c r="S187" s="2">
        <v>7.9999999999999988E-2</v>
      </c>
      <c r="V187" s="2" t="s">
        <v>510</v>
      </c>
      <c r="W187" s="2" t="s">
        <v>1152</v>
      </c>
      <c r="X187" s="2" t="s">
        <v>1153</v>
      </c>
      <c r="Y187" s="2" t="b">
        <v>1</v>
      </c>
      <c r="Z187" s="2" t="s">
        <v>67</v>
      </c>
      <c r="AA187" s="2">
        <v>0</v>
      </c>
    </row>
    <row r="188" spans="1:27" ht="15.75" hidden="1" customHeight="1" x14ac:dyDescent="0.3">
      <c r="A188" s="2" t="s">
        <v>360</v>
      </c>
      <c r="B188" s="2" t="s">
        <v>116</v>
      </c>
      <c r="C188" s="2" t="s">
        <v>939</v>
      </c>
      <c r="D188" s="2" t="s">
        <v>116</v>
      </c>
      <c r="E188" s="2" t="s">
        <v>39</v>
      </c>
      <c r="F188" s="2" t="s">
        <v>496</v>
      </c>
      <c r="G188" s="2" t="s">
        <v>42</v>
      </c>
      <c r="H188" s="2" t="s">
        <v>42</v>
      </c>
      <c r="I188" s="2" t="s">
        <v>239</v>
      </c>
      <c r="J188" s="2" t="s">
        <v>71</v>
      </c>
      <c r="K188" s="2" t="s">
        <v>1046</v>
      </c>
      <c r="L188" s="2" t="s">
        <v>1022</v>
      </c>
      <c r="M188" s="2" t="s">
        <v>264</v>
      </c>
      <c r="N188" s="2" t="s">
        <v>1047</v>
      </c>
      <c r="O188" s="2" t="s">
        <v>315</v>
      </c>
      <c r="P188" s="2" t="s">
        <v>267</v>
      </c>
      <c r="Q188" s="2">
        <v>48</v>
      </c>
      <c r="R188" s="2" t="b">
        <v>0</v>
      </c>
      <c r="S188" s="2">
        <v>0.1153846153846154</v>
      </c>
      <c r="V188" s="2" t="s">
        <v>510</v>
      </c>
      <c r="W188" s="2" t="s">
        <v>1154</v>
      </c>
      <c r="X188" s="2" t="s">
        <v>1155</v>
      </c>
      <c r="Y188" s="2" t="b">
        <v>1</v>
      </c>
      <c r="Z188" s="2" t="s">
        <v>67</v>
      </c>
      <c r="AA188" s="2">
        <v>0</v>
      </c>
    </row>
    <row r="189" spans="1:27" ht="15.75" hidden="1" customHeight="1" x14ac:dyDescent="0.3">
      <c r="A189" s="2" t="s">
        <v>360</v>
      </c>
      <c r="B189" s="2" t="s">
        <v>116</v>
      </c>
      <c r="C189" s="2" t="s">
        <v>939</v>
      </c>
      <c r="D189" s="2" t="s">
        <v>116</v>
      </c>
      <c r="E189" s="2" t="s">
        <v>39</v>
      </c>
      <c r="F189" s="2" t="s">
        <v>496</v>
      </c>
      <c r="G189" s="2" t="s">
        <v>42</v>
      </c>
      <c r="H189" s="2" t="s">
        <v>42</v>
      </c>
      <c r="I189" s="2" t="s">
        <v>239</v>
      </c>
      <c r="J189" s="2" t="s">
        <v>71</v>
      </c>
      <c r="K189" s="2" t="s">
        <v>1050</v>
      </c>
      <c r="L189" s="2" t="s">
        <v>1022</v>
      </c>
      <c r="M189" s="2" t="s">
        <v>264</v>
      </c>
      <c r="N189" s="2" t="s">
        <v>1051</v>
      </c>
      <c r="O189" s="2" t="s">
        <v>326</v>
      </c>
      <c r="P189" s="2" t="s">
        <v>267</v>
      </c>
      <c r="Q189" s="2">
        <v>49</v>
      </c>
      <c r="R189" s="2" t="b">
        <v>0</v>
      </c>
      <c r="S189" s="2">
        <v>0.15384615384615391</v>
      </c>
      <c r="V189" s="2" t="s">
        <v>510</v>
      </c>
      <c r="W189" s="2" t="s">
        <v>1156</v>
      </c>
      <c r="X189" s="2" t="s">
        <v>1157</v>
      </c>
      <c r="Y189" s="2" t="b">
        <v>1</v>
      </c>
      <c r="Z189" s="2" t="s">
        <v>67</v>
      </c>
      <c r="AA189" s="2">
        <v>0</v>
      </c>
    </row>
    <row r="190" spans="1:27" ht="15.75" hidden="1" customHeight="1" x14ac:dyDescent="0.3">
      <c r="A190" s="2" t="s">
        <v>360</v>
      </c>
      <c r="B190" s="2" t="s">
        <v>116</v>
      </c>
      <c r="C190" s="2" t="s">
        <v>939</v>
      </c>
      <c r="D190" s="2" t="s">
        <v>116</v>
      </c>
      <c r="E190" s="2" t="s">
        <v>39</v>
      </c>
      <c r="F190" s="2" t="s">
        <v>496</v>
      </c>
      <c r="G190" s="2" t="s">
        <v>42</v>
      </c>
      <c r="H190" s="2" t="s">
        <v>42</v>
      </c>
      <c r="I190" s="2" t="s">
        <v>239</v>
      </c>
      <c r="J190" s="2" t="s">
        <v>71</v>
      </c>
      <c r="K190" s="2" t="s">
        <v>1054</v>
      </c>
      <c r="L190" s="2" t="s">
        <v>1022</v>
      </c>
      <c r="M190" s="2" t="s">
        <v>264</v>
      </c>
      <c r="N190" s="2" t="s">
        <v>1055</v>
      </c>
      <c r="O190" s="2" t="s">
        <v>335</v>
      </c>
      <c r="P190" s="2" t="s">
        <v>267</v>
      </c>
      <c r="Q190" s="2">
        <v>50</v>
      </c>
      <c r="R190" s="2" t="b">
        <v>0</v>
      </c>
      <c r="S190" s="2">
        <v>0.16</v>
      </c>
      <c r="V190" s="2" t="s">
        <v>510</v>
      </c>
      <c r="W190" s="2" t="s">
        <v>1158</v>
      </c>
      <c r="X190" s="2" t="s">
        <v>1159</v>
      </c>
      <c r="Y190" s="2" t="b">
        <v>1</v>
      </c>
      <c r="Z190" s="2" t="s">
        <v>67</v>
      </c>
      <c r="AA190" s="2">
        <v>0</v>
      </c>
    </row>
    <row r="191" spans="1:27" ht="15.75" hidden="1" customHeight="1" x14ac:dyDescent="0.3">
      <c r="A191" s="2" t="s">
        <v>360</v>
      </c>
      <c r="B191" s="2" t="s">
        <v>116</v>
      </c>
      <c r="C191" s="2" t="s">
        <v>939</v>
      </c>
      <c r="D191" s="2" t="s">
        <v>116</v>
      </c>
      <c r="E191" s="2" t="s">
        <v>39</v>
      </c>
      <c r="F191" s="2" t="s">
        <v>496</v>
      </c>
      <c r="G191" s="2" t="s">
        <v>42</v>
      </c>
      <c r="H191" s="2" t="s">
        <v>42</v>
      </c>
      <c r="I191" s="2" t="s">
        <v>239</v>
      </c>
      <c r="J191" s="2" t="s">
        <v>71</v>
      </c>
      <c r="K191" s="2" t="s">
        <v>1058</v>
      </c>
      <c r="L191" s="2" t="s">
        <v>1022</v>
      </c>
      <c r="M191" s="2" t="s">
        <v>264</v>
      </c>
      <c r="N191" s="2" t="s">
        <v>1059</v>
      </c>
      <c r="O191" s="2" t="s">
        <v>346</v>
      </c>
      <c r="P191" s="2" t="s">
        <v>267</v>
      </c>
      <c r="Q191" s="2">
        <v>51</v>
      </c>
      <c r="R191" s="2" t="b">
        <v>0</v>
      </c>
      <c r="S191" s="2">
        <v>9.0909090909090898E-2</v>
      </c>
      <c r="V191" s="2" t="s">
        <v>510</v>
      </c>
      <c r="W191" s="2" t="s">
        <v>1160</v>
      </c>
      <c r="X191" s="2" t="s">
        <v>1161</v>
      </c>
      <c r="Y191" s="2" t="b">
        <v>1</v>
      </c>
      <c r="Z191" s="2" t="s">
        <v>67</v>
      </c>
      <c r="AA191" s="2">
        <v>0</v>
      </c>
    </row>
    <row r="192" spans="1:27" ht="15.75" hidden="1" customHeight="1" x14ac:dyDescent="0.3">
      <c r="A192" s="2" t="s">
        <v>360</v>
      </c>
      <c r="B192" s="2" t="s">
        <v>116</v>
      </c>
      <c r="C192" s="2" t="s">
        <v>939</v>
      </c>
      <c r="D192" s="2" t="s">
        <v>116</v>
      </c>
      <c r="E192" s="2" t="s">
        <v>39</v>
      </c>
      <c r="F192" s="2" t="s">
        <v>496</v>
      </c>
      <c r="G192" s="2" t="s">
        <v>42</v>
      </c>
      <c r="H192" s="2" t="s">
        <v>42</v>
      </c>
      <c r="I192" s="2" t="s">
        <v>239</v>
      </c>
      <c r="J192" s="2" t="s">
        <v>71</v>
      </c>
      <c r="K192" s="2" t="s">
        <v>1062</v>
      </c>
      <c r="L192" s="2" t="s">
        <v>1022</v>
      </c>
      <c r="M192" s="2" t="s">
        <v>264</v>
      </c>
      <c r="N192" s="2" t="s">
        <v>1063</v>
      </c>
      <c r="O192" s="2" t="s">
        <v>357</v>
      </c>
      <c r="P192" s="2" t="s">
        <v>267</v>
      </c>
      <c r="Q192" s="2">
        <v>52</v>
      </c>
      <c r="R192" s="2" t="b">
        <v>0</v>
      </c>
      <c r="S192" s="2">
        <v>0</v>
      </c>
      <c r="V192" s="2" t="s">
        <v>510</v>
      </c>
      <c r="W192" s="2" t="s">
        <v>1162</v>
      </c>
      <c r="X192" s="2" t="s">
        <v>1163</v>
      </c>
      <c r="Y192" s="2" t="b">
        <v>1</v>
      </c>
      <c r="Z192" s="2" t="s">
        <v>67</v>
      </c>
      <c r="AA192" s="2">
        <v>0</v>
      </c>
    </row>
    <row r="193" spans="1:27" ht="15.75" hidden="1" customHeight="1" x14ac:dyDescent="0.3">
      <c r="A193" s="2" t="s">
        <v>360</v>
      </c>
      <c r="B193" s="2" t="s">
        <v>116</v>
      </c>
      <c r="C193" s="2" t="s">
        <v>939</v>
      </c>
      <c r="D193" s="2" t="s">
        <v>116</v>
      </c>
      <c r="E193" s="2" t="s">
        <v>39</v>
      </c>
      <c r="F193" s="2" t="s">
        <v>496</v>
      </c>
      <c r="G193" s="2" t="s">
        <v>42</v>
      </c>
      <c r="H193" s="2" t="s">
        <v>42</v>
      </c>
      <c r="I193" s="2" t="s">
        <v>239</v>
      </c>
      <c r="J193" s="2" t="s">
        <v>71</v>
      </c>
      <c r="K193" s="2" t="s">
        <v>1066</v>
      </c>
      <c r="L193" s="2" t="s">
        <v>1022</v>
      </c>
      <c r="M193" s="2" t="s">
        <v>264</v>
      </c>
      <c r="N193" s="2" t="s">
        <v>1067</v>
      </c>
      <c r="O193" s="2" t="s">
        <v>369</v>
      </c>
      <c r="P193" s="2" t="s">
        <v>267</v>
      </c>
      <c r="Q193" s="2">
        <v>53</v>
      </c>
      <c r="R193" s="2" t="b">
        <v>0</v>
      </c>
      <c r="S193" s="2">
        <v>4.5454545454545449E-2</v>
      </c>
      <c r="V193" s="2" t="s">
        <v>510</v>
      </c>
      <c r="W193" s="2" t="s">
        <v>1164</v>
      </c>
      <c r="X193" s="2" t="s">
        <v>1165</v>
      </c>
      <c r="Y193" s="2" t="b">
        <v>1</v>
      </c>
      <c r="Z193" s="2" t="s">
        <v>67</v>
      </c>
      <c r="AA193" s="2">
        <v>0</v>
      </c>
    </row>
    <row r="194" spans="1:27" ht="15.75" hidden="1" customHeight="1" x14ac:dyDescent="0.3">
      <c r="A194" s="2" t="s">
        <v>360</v>
      </c>
      <c r="B194" s="2" t="s">
        <v>116</v>
      </c>
      <c r="C194" s="2" t="s">
        <v>939</v>
      </c>
      <c r="D194" s="2" t="s">
        <v>116</v>
      </c>
      <c r="E194" s="2" t="s">
        <v>39</v>
      </c>
      <c r="F194" s="2" t="s">
        <v>496</v>
      </c>
      <c r="G194" s="2" t="s">
        <v>42</v>
      </c>
      <c r="H194" s="2" t="s">
        <v>42</v>
      </c>
      <c r="I194" s="2" t="s">
        <v>239</v>
      </c>
      <c r="J194" s="2" t="s">
        <v>71</v>
      </c>
      <c r="K194" s="2" t="s">
        <v>1070</v>
      </c>
      <c r="L194" s="2" t="s">
        <v>1022</v>
      </c>
      <c r="M194" s="2" t="s">
        <v>264</v>
      </c>
      <c r="N194" s="2" t="s">
        <v>1071</v>
      </c>
      <c r="O194" s="2" t="s">
        <v>378</v>
      </c>
      <c r="P194" s="2" t="s">
        <v>267</v>
      </c>
      <c r="Q194" s="2">
        <v>54</v>
      </c>
      <c r="R194" s="2" t="b">
        <v>0</v>
      </c>
      <c r="S194" s="2">
        <v>3.9999999999999987E-2</v>
      </c>
      <c r="V194" s="2" t="s">
        <v>510</v>
      </c>
      <c r="W194" s="2" t="s">
        <v>1166</v>
      </c>
      <c r="X194" s="2" t="s">
        <v>1167</v>
      </c>
      <c r="Y194" s="2" t="b">
        <v>1</v>
      </c>
      <c r="Z194" s="2" t="s">
        <v>67</v>
      </c>
      <c r="AA194" s="2">
        <v>0</v>
      </c>
    </row>
    <row r="195" spans="1:27" ht="15.75" hidden="1" customHeight="1" x14ac:dyDescent="0.3">
      <c r="A195" s="2" t="s">
        <v>360</v>
      </c>
      <c r="B195" s="2" t="s">
        <v>116</v>
      </c>
      <c r="C195" s="2" t="s">
        <v>939</v>
      </c>
      <c r="D195" s="2" t="s">
        <v>116</v>
      </c>
      <c r="E195" s="2" t="s">
        <v>39</v>
      </c>
      <c r="F195" s="2" t="s">
        <v>496</v>
      </c>
      <c r="G195" s="2" t="s">
        <v>42</v>
      </c>
      <c r="H195" s="2" t="s">
        <v>42</v>
      </c>
      <c r="I195" s="2" t="s">
        <v>239</v>
      </c>
      <c r="J195" s="2" t="s">
        <v>71</v>
      </c>
      <c r="K195" s="2" t="s">
        <v>1074</v>
      </c>
      <c r="L195" s="2" t="s">
        <v>1022</v>
      </c>
      <c r="M195" s="2" t="s">
        <v>264</v>
      </c>
      <c r="N195" s="2" t="s">
        <v>1075</v>
      </c>
      <c r="O195" s="2" t="s">
        <v>390</v>
      </c>
      <c r="P195" s="2" t="s">
        <v>267</v>
      </c>
      <c r="Q195" s="2">
        <v>55</v>
      </c>
      <c r="R195" s="2" t="b">
        <v>0</v>
      </c>
      <c r="S195" s="2">
        <v>0.15094339622641509</v>
      </c>
      <c r="V195" s="2" t="s">
        <v>510</v>
      </c>
      <c r="W195" s="2" t="s">
        <v>1168</v>
      </c>
      <c r="X195" s="2" t="s">
        <v>1169</v>
      </c>
      <c r="Y195" s="2" t="b">
        <v>1</v>
      </c>
      <c r="Z195" s="2" t="s">
        <v>67</v>
      </c>
      <c r="AA195" s="2">
        <v>0</v>
      </c>
    </row>
    <row r="196" spans="1:27" ht="15.75" hidden="1" customHeight="1" x14ac:dyDescent="0.3">
      <c r="A196" s="2" t="s">
        <v>360</v>
      </c>
      <c r="B196" s="2" t="s">
        <v>116</v>
      </c>
      <c r="C196" s="2" t="s">
        <v>939</v>
      </c>
      <c r="D196" s="2" t="s">
        <v>116</v>
      </c>
      <c r="E196" s="2" t="s">
        <v>39</v>
      </c>
      <c r="F196" s="2" t="s">
        <v>496</v>
      </c>
      <c r="G196" s="2" t="s">
        <v>42</v>
      </c>
      <c r="H196" s="2" t="s">
        <v>42</v>
      </c>
      <c r="I196" s="2" t="s">
        <v>239</v>
      </c>
      <c r="J196" s="2" t="s">
        <v>71</v>
      </c>
      <c r="K196" s="2" t="s">
        <v>1078</v>
      </c>
      <c r="L196" s="2" t="s">
        <v>1022</v>
      </c>
      <c r="M196" s="2" t="s">
        <v>264</v>
      </c>
      <c r="N196" s="2" t="s">
        <v>1079</v>
      </c>
      <c r="O196" s="2" t="s">
        <v>404</v>
      </c>
      <c r="P196" s="2" t="s">
        <v>267</v>
      </c>
      <c r="Q196" s="2">
        <v>56</v>
      </c>
      <c r="R196" s="2" t="b">
        <v>0</v>
      </c>
      <c r="S196" s="2">
        <v>0.1276595744680851</v>
      </c>
      <c r="V196" s="2" t="s">
        <v>510</v>
      </c>
      <c r="W196" s="2" t="s">
        <v>1170</v>
      </c>
      <c r="X196" s="2" t="s">
        <v>1171</v>
      </c>
      <c r="Y196" s="2" t="b">
        <v>1</v>
      </c>
      <c r="Z196" s="2" t="s">
        <v>67</v>
      </c>
      <c r="AA196" s="2">
        <v>0</v>
      </c>
    </row>
    <row r="197" spans="1:27" ht="15.75" hidden="1" customHeight="1" x14ac:dyDescent="0.3">
      <c r="A197" s="2" t="s">
        <v>360</v>
      </c>
      <c r="B197" s="2" t="s">
        <v>116</v>
      </c>
      <c r="C197" s="2" t="s">
        <v>939</v>
      </c>
      <c r="D197" s="2" t="s">
        <v>116</v>
      </c>
      <c r="E197" s="2" t="s">
        <v>39</v>
      </c>
      <c r="F197" s="2" t="s">
        <v>496</v>
      </c>
      <c r="G197" s="2" t="s">
        <v>42</v>
      </c>
      <c r="H197" s="2" t="s">
        <v>42</v>
      </c>
      <c r="I197" s="2" t="s">
        <v>239</v>
      </c>
      <c r="J197" s="2" t="s">
        <v>71</v>
      </c>
      <c r="K197" s="2" t="s">
        <v>1082</v>
      </c>
      <c r="L197" s="2" t="s">
        <v>1022</v>
      </c>
      <c r="M197" s="2" t="s">
        <v>264</v>
      </c>
      <c r="N197" s="2" t="s">
        <v>1083</v>
      </c>
      <c r="O197" s="2" t="s">
        <v>416</v>
      </c>
      <c r="P197" s="2" t="s">
        <v>267</v>
      </c>
      <c r="Q197" s="2">
        <v>57</v>
      </c>
      <c r="R197" s="2" t="b">
        <v>0</v>
      </c>
      <c r="S197" s="2">
        <v>0.15686274509803921</v>
      </c>
      <c r="V197" s="2" t="s">
        <v>510</v>
      </c>
      <c r="W197" s="2" t="s">
        <v>1172</v>
      </c>
      <c r="X197" s="2" t="s">
        <v>1173</v>
      </c>
      <c r="Y197" s="2" t="b">
        <v>1</v>
      </c>
      <c r="Z197" s="2" t="s">
        <v>67</v>
      </c>
      <c r="AA197" s="2">
        <v>0</v>
      </c>
    </row>
    <row r="198" spans="1:27" ht="15.75" hidden="1" customHeight="1" x14ac:dyDescent="0.3">
      <c r="A198" s="2" t="s">
        <v>360</v>
      </c>
      <c r="B198" s="2" t="s">
        <v>116</v>
      </c>
      <c r="C198" s="2" t="s">
        <v>939</v>
      </c>
      <c r="D198" s="2" t="s">
        <v>116</v>
      </c>
      <c r="E198" s="2" t="s">
        <v>39</v>
      </c>
      <c r="F198" s="2" t="s">
        <v>496</v>
      </c>
      <c r="G198" s="2" t="s">
        <v>42</v>
      </c>
      <c r="H198" s="2" t="s">
        <v>42</v>
      </c>
      <c r="I198" s="2" t="s">
        <v>239</v>
      </c>
      <c r="J198" s="2" t="s">
        <v>71</v>
      </c>
      <c r="K198" s="2" t="s">
        <v>1086</v>
      </c>
      <c r="L198" s="2" t="s">
        <v>1022</v>
      </c>
      <c r="M198" s="2" t="s">
        <v>264</v>
      </c>
      <c r="N198" s="2" t="s">
        <v>1087</v>
      </c>
      <c r="O198" s="2" t="s">
        <v>430</v>
      </c>
      <c r="P198" s="2" t="s">
        <v>267</v>
      </c>
      <c r="Q198" s="2">
        <v>58</v>
      </c>
      <c r="R198" s="2" t="b">
        <v>0</v>
      </c>
      <c r="S198" s="2">
        <v>0.25</v>
      </c>
      <c r="V198" s="2" t="s">
        <v>510</v>
      </c>
      <c r="W198" s="2" t="s">
        <v>1174</v>
      </c>
      <c r="X198" s="2" t="s">
        <v>1175</v>
      </c>
      <c r="Y198" s="2" t="b">
        <v>1</v>
      </c>
      <c r="Z198" s="2" t="s">
        <v>67</v>
      </c>
      <c r="AA198" s="2">
        <v>0</v>
      </c>
    </row>
    <row r="199" spans="1:27" ht="15.75" hidden="1" customHeight="1" x14ac:dyDescent="0.3">
      <c r="A199" s="2" t="s">
        <v>360</v>
      </c>
      <c r="B199" s="2" t="s">
        <v>116</v>
      </c>
      <c r="C199" s="2" t="s">
        <v>939</v>
      </c>
      <c r="D199" s="2" t="s">
        <v>116</v>
      </c>
      <c r="E199" s="2" t="s">
        <v>39</v>
      </c>
      <c r="F199" s="2" t="s">
        <v>496</v>
      </c>
      <c r="G199" s="2" t="s">
        <v>42</v>
      </c>
      <c r="H199" s="2" t="s">
        <v>42</v>
      </c>
      <c r="I199" s="2" t="s">
        <v>239</v>
      </c>
      <c r="J199" s="2" t="s">
        <v>71</v>
      </c>
      <c r="K199" s="2" t="s">
        <v>1090</v>
      </c>
      <c r="L199" s="2" t="s">
        <v>1022</v>
      </c>
      <c r="M199" s="2" t="s">
        <v>264</v>
      </c>
      <c r="N199" s="2" t="s">
        <v>1091</v>
      </c>
      <c r="O199" s="2" t="s">
        <v>447</v>
      </c>
      <c r="P199" s="2" t="s">
        <v>267</v>
      </c>
      <c r="Q199" s="2">
        <v>59</v>
      </c>
      <c r="R199" s="2" t="b">
        <v>0</v>
      </c>
      <c r="S199" s="2">
        <v>0.13636363636363641</v>
      </c>
      <c r="V199" s="2" t="s">
        <v>510</v>
      </c>
      <c r="W199" s="2" t="s">
        <v>1176</v>
      </c>
      <c r="X199" s="2" t="s">
        <v>1177</v>
      </c>
      <c r="Y199" s="2" t="b">
        <v>1</v>
      </c>
      <c r="Z199" s="2" t="s">
        <v>67</v>
      </c>
      <c r="AA199" s="2">
        <v>0</v>
      </c>
    </row>
    <row r="200" spans="1:27" ht="15.75" hidden="1" customHeight="1" x14ac:dyDescent="0.3">
      <c r="A200" s="2" t="s">
        <v>360</v>
      </c>
      <c r="B200" s="2" t="s">
        <v>116</v>
      </c>
      <c r="C200" s="2" t="s">
        <v>939</v>
      </c>
      <c r="D200" s="2" t="s">
        <v>116</v>
      </c>
      <c r="E200" s="2" t="s">
        <v>39</v>
      </c>
      <c r="F200" s="2" t="s">
        <v>496</v>
      </c>
      <c r="G200" s="2" t="s">
        <v>42</v>
      </c>
      <c r="H200" s="2" t="s">
        <v>42</v>
      </c>
      <c r="I200" s="2" t="s">
        <v>239</v>
      </c>
      <c r="J200" s="2" t="s">
        <v>71</v>
      </c>
      <c r="K200" s="2" t="s">
        <v>1094</v>
      </c>
      <c r="L200" s="2" t="s">
        <v>1022</v>
      </c>
      <c r="M200" s="2" t="s">
        <v>264</v>
      </c>
      <c r="N200" s="2" t="s">
        <v>1095</v>
      </c>
      <c r="O200" s="2" t="s">
        <v>457</v>
      </c>
      <c r="P200" s="2" t="s">
        <v>267</v>
      </c>
      <c r="Q200" s="2">
        <v>60</v>
      </c>
      <c r="R200" s="2" t="b">
        <v>0</v>
      </c>
      <c r="S200" s="2">
        <v>0.33333333333333343</v>
      </c>
      <c r="V200" s="2" t="s">
        <v>510</v>
      </c>
      <c r="W200" s="2" t="s">
        <v>1178</v>
      </c>
      <c r="X200" s="2" t="s">
        <v>1179</v>
      </c>
      <c r="Y200" s="2" t="b">
        <v>1</v>
      </c>
      <c r="Z200" s="2" t="s">
        <v>67</v>
      </c>
      <c r="AA200" s="2">
        <v>0</v>
      </c>
    </row>
    <row r="201" spans="1:27" ht="15.75" hidden="1" customHeight="1" x14ac:dyDescent="0.3">
      <c r="A201" s="2" t="s">
        <v>360</v>
      </c>
      <c r="B201" s="2" t="s">
        <v>116</v>
      </c>
      <c r="C201" s="2" t="s">
        <v>939</v>
      </c>
      <c r="D201" s="2" t="s">
        <v>116</v>
      </c>
      <c r="E201" s="2" t="s">
        <v>39</v>
      </c>
      <c r="F201" s="2" t="s">
        <v>496</v>
      </c>
      <c r="G201" s="2" t="s">
        <v>42</v>
      </c>
      <c r="H201" s="2" t="s">
        <v>42</v>
      </c>
      <c r="I201" s="2" t="s">
        <v>239</v>
      </c>
      <c r="J201" s="2" t="s">
        <v>71</v>
      </c>
      <c r="K201" s="2" t="s">
        <v>1098</v>
      </c>
      <c r="L201" s="2" t="s">
        <v>1022</v>
      </c>
      <c r="M201" s="2" t="s">
        <v>264</v>
      </c>
      <c r="N201" s="2" t="s">
        <v>1099</v>
      </c>
      <c r="O201" s="2" t="s">
        <v>475</v>
      </c>
      <c r="P201" s="2" t="s">
        <v>267</v>
      </c>
      <c r="Q201" s="2">
        <v>61</v>
      </c>
      <c r="R201" s="2" t="b">
        <v>0</v>
      </c>
      <c r="S201" s="2">
        <v>4.3478260869565223E-2</v>
      </c>
      <c r="V201" s="2" t="s">
        <v>510</v>
      </c>
      <c r="W201" s="2" t="s">
        <v>1180</v>
      </c>
      <c r="X201" s="2" t="s">
        <v>1181</v>
      </c>
      <c r="Y201" s="2" t="b">
        <v>1</v>
      </c>
      <c r="Z201" s="2" t="s">
        <v>67</v>
      </c>
      <c r="AA201" s="2">
        <v>0</v>
      </c>
    </row>
    <row r="202" spans="1:27" ht="15.75" hidden="1" customHeight="1" x14ac:dyDescent="0.3">
      <c r="A202" s="2" t="s">
        <v>360</v>
      </c>
      <c r="B202" s="2" t="s">
        <v>116</v>
      </c>
      <c r="C202" s="2" t="s">
        <v>939</v>
      </c>
      <c r="D202" s="2" t="s">
        <v>116</v>
      </c>
      <c r="E202" s="2" t="s">
        <v>82</v>
      </c>
      <c r="F202" s="2" t="s">
        <v>814</v>
      </c>
      <c r="G202" s="2" t="s">
        <v>42</v>
      </c>
      <c r="H202" s="2" t="s">
        <v>42</v>
      </c>
      <c r="I202" s="2" t="s">
        <v>47</v>
      </c>
      <c r="J202" s="2" t="s">
        <v>44</v>
      </c>
      <c r="K202" s="2" t="s">
        <v>940</v>
      </c>
      <c r="L202" s="2" t="s">
        <v>941</v>
      </c>
      <c r="M202" s="2" t="s">
        <v>52</v>
      </c>
      <c r="N202" s="2" t="s">
        <v>942</v>
      </c>
      <c r="O202" s="2" t="s">
        <v>55</v>
      </c>
      <c r="P202" s="2" t="s">
        <v>56</v>
      </c>
      <c r="Q202" s="2">
        <v>42</v>
      </c>
      <c r="R202" s="2" t="b">
        <v>1</v>
      </c>
      <c r="S202" s="2">
        <v>0.6033519553072626</v>
      </c>
      <c r="T202" s="2">
        <v>0.75</v>
      </c>
      <c r="U202" s="2">
        <v>0.50467289719626163</v>
      </c>
      <c r="V202" s="2" t="s">
        <v>63</v>
      </c>
      <c r="W202" s="2" t="s">
        <v>1182</v>
      </c>
      <c r="X202" s="2" t="s">
        <v>1183</v>
      </c>
      <c r="Y202" s="2" t="b">
        <v>1</v>
      </c>
      <c r="Z202" s="2" t="s">
        <v>67</v>
      </c>
      <c r="AA202" s="2">
        <v>2.4</v>
      </c>
    </row>
    <row r="203" spans="1:27" ht="15.75" hidden="1" customHeight="1" x14ac:dyDescent="0.3">
      <c r="A203" s="2" t="s">
        <v>360</v>
      </c>
      <c r="B203" s="2" t="s">
        <v>116</v>
      </c>
      <c r="C203" s="2" t="s">
        <v>939</v>
      </c>
      <c r="D203" s="2" t="s">
        <v>116</v>
      </c>
      <c r="E203" s="2" t="s">
        <v>82</v>
      </c>
      <c r="F203" s="2" t="s">
        <v>814</v>
      </c>
      <c r="G203" s="2" t="s">
        <v>42</v>
      </c>
      <c r="H203" s="2" t="s">
        <v>42</v>
      </c>
      <c r="I203" s="2" t="s">
        <v>47</v>
      </c>
      <c r="J203" s="2" t="s">
        <v>44</v>
      </c>
      <c r="K203" s="2" t="s">
        <v>945</v>
      </c>
      <c r="L203" s="2" t="s">
        <v>941</v>
      </c>
      <c r="M203" s="2" t="s">
        <v>52</v>
      </c>
      <c r="N203" s="2" t="s">
        <v>946</v>
      </c>
      <c r="O203" s="2" t="s">
        <v>73</v>
      </c>
      <c r="P203" s="2" t="s">
        <v>56</v>
      </c>
      <c r="Q203" s="2">
        <v>43</v>
      </c>
      <c r="R203" s="2" t="b">
        <v>1</v>
      </c>
      <c r="S203" s="2">
        <v>0.586046511627907</v>
      </c>
      <c r="T203" s="2">
        <v>0.63636363636363635</v>
      </c>
      <c r="U203" s="2">
        <v>0.5431034482758621</v>
      </c>
      <c r="V203" s="2" t="s">
        <v>63</v>
      </c>
      <c r="W203" s="2" t="s">
        <v>1184</v>
      </c>
      <c r="X203" s="2" t="s">
        <v>1185</v>
      </c>
      <c r="Y203" s="2" t="b">
        <v>1</v>
      </c>
      <c r="Z203" s="2" t="s">
        <v>67</v>
      </c>
      <c r="AA203" s="2">
        <v>2.4</v>
      </c>
    </row>
    <row r="204" spans="1:27" ht="15.75" hidden="1" customHeight="1" x14ac:dyDescent="0.3">
      <c r="A204" s="2" t="s">
        <v>360</v>
      </c>
      <c r="B204" s="2" t="s">
        <v>116</v>
      </c>
      <c r="C204" s="2" t="s">
        <v>939</v>
      </c>
      <c r="D204" s="2" t="s">
        <v>116</v>
      </c>
      <c r="E204" s="2" t="s">
        <v>82</v>
      </c>
      <c r="F204" s="2" t="s">
        <v>814</v>
      </c>
      <c r="G204" s="2" t="s">
        <v>42</v>
      </c>
      <c r="H204" s="2" t="s">
        <v>42</v>
      </c>
      <c r="I204" s="2" t="s">
        <v>47</v>
      </c>
      <c r="J204" s="2" t="s">
        <v>44</v>
      </c>
      <c r="K204" s="2" t="s">
        <v>949</v>
      </c>
      <c r="L204" s="2" t="s">
        <v>941</v>
      </c>
      <c r="M204" s="2" t="s">
        <v>52</v>
      </c>
      <c r="N204" s="2" t="s">
        <v>950</v>
      </c>
      <c r="O204" s="2" t="s">
        <v>84</v>
      </c>
      <c r="P204" s="2" t="s">
        <v>56</v>
      </c>
      <c r="Q204" s="2">
        <v>44</v>
      </c>
      <c r="R204" s="2" t="b">
        <v>1</v>
      </c>
      <c r="S204" s="2">
        <v>0.62711864406779672</v>
      </c>
      <c r="T204" s="2">
        <v>0.69811320754716977</v>
      </c>
      <c r="U204" s="2">
        <v>0.56923076923076921</v>
      </c>
      <c r="V204" s="2" t="s">
        <v>63</v>
      </c>
      <c r="W204" s="2" t="s">
        <v>1186</v>
      </c>
      <c r="X204" s="2" t="s">
        <v>1187</v>
      </c>
      <c r="Y204" s="2" t="b">
        <v>1</v>
      </c>
      <c r="Z204" s="2" t="s">
        <v>67</v>
      </c>
      <c r="AA204" s="2">
        <v>3.4</v>
      </c>
    </row>
    <row r="205" spans="1:27" ht="15.75" hidden="1" customHeight="1" x14ac:dyDescent="0.3">
      <c r="A205" s="2" t="s">
        <v>360</v>
      </c>
      <c r="B205" s="2" t="s">
        <v>116</v>
      </c>
      <c r="C205" s="2" t="s">
        <v>939</v>
      </c>
      <c r="D205" s="2" t="s">
        <v>116</v>
      </c>
      <c r="E205" s="2" t="s">
        <v>82</v>
      </c>
      <c r="F205" s="2" t="s">
        <v>814</v>
      </c>
      <c r="G205" s="2" t="s">
        <v>42</v>
      </c>
      <c r="H205" s="2" t="s">
        <v>42</v>
      </c>
      <c r="I205" s="2" t="s">
        <v>47</v>
      </c>
      <c r="J205" s="2" t="s">
        <v>44</v>
      </c>
      <c r="K205" s="2" t="s">
        <v>953</v>
      </c>
      <c r="L205" s="2" t="s">
        <v>941</v>
      </c>
      <c r="M205" s="2" t="s">
        <v>52</v>
      </c>
      <c r="N205" s="2" t="s">
        <v>954</v>
      </c>
      <c r="O205" s="2" t="s">
        <v>93</v>
      </c>
      <c r="P205" s="2" t="s">
        <v>56</v>
      </c>
      <c r="Q205" s="2">
        <v>45</v>
      </c>
      <c r="R205" s="2" t="b">
        <v>1</v>
      </c>
      <c r="S205" s="2">
        <v>0.65900383141762453</v>
      </c>
      <c r="T205" s="2">
        <v>0.671875</v>
      </c>
      <c r="U205" s="2">
        <v>0.64661654135338342</v>
      </c>
      <c r="V205" s="2" t="s">
        <v>63</v>
      </c>
      <c r="W205" s="2" t="s">
        <v>1188</v>
      </c>
      <c r="X205" s="2" t="s">
        <v>1189</v>
      </c>
      <c r="Y205" s="2" t="b">
        <v>1</v>
      </c>
      <c r="Z205" s="2" t="s">
        <v>67</v>
      </c>
      <c r="AA205" s="2">
        <v>1.9</v>
      </c>
    </row>
    <row r="206" spans="1:27" ht="15.75" hidden="1" customHeight="1" x14ac:dyDescent="0.3">
      <c r="A206" s="2" t="s">
        <v>360</v>
      </c>
      <c r="B206" s="2" t="s">
        <v>116</v>
      </c>
      <c r="C206" s="2" t="s">
        <v>939</v>
      </c>
      <c r="D206" s="2" t="s">
        <v>116</v>
      </c>
      <c r="E206" s="2" t="s">
        <v>82</v>
      </c>
      <c r="F206" s="2" t="s">
        <v>814</v>
      </c>
      <c r="G206" s="2" t="s">
        <v>42</v>
      </c>
      <c r="H206" s="2" t="s">
        <v>42</v>
      </c>
      <c r="I206" s="2" t="s">
        <v>47</v>
      </c>
      <c r="J206" s="2" t="s">
        <v>44</v>
      </c>
      <c r="K206" s="2" t="s">
        <v>957</v>
      </c>
      <c r="L206" s="2" t="s">
        <v>941</v>
      </c>
      <c r="M206" s="2" t="s">
        <v>52</v>
      </c>
      <c r="N206" s="2" t="s">
        <v>958</v>
      </c>
      <c r="O206" s="2" t="s">
        <v>104</v>
      </c>
      <c r="P206" s="2" t="s">
        <v>56</v>
      </c>
      <c r="Q206" s="2">
        <v>46</v>
      </c>
      <c r="R206" s="2" t="b">
        <v>1</v>
      </c>
      <c r="S206" s="2">
        <v>0.5799256505576208</v>
      </c>
      <c r="T206" s="2">
        <v>0.61904761904761907</v>
      </c>
      <c r="U206" s="2">
        <v>0.54545454545454541</v>
      </c>
      <c r="V206" s="2" t="s">
        <v>63</v>
      </c>
      <c r="W206" s="2" t="s">
        <v>1190</v>
      </c>
      <c r="X206" s="2" t="s">
        <v>1191</v>
      </c>
      <c r="Y206" s="2" t="b">
        <v>1</v>
      </c>
      <c r="Z206" s="2" t="s">
        <v>67</v>
      </c>
      <c r="AA206" s="2">
        <v>2.4</v>
      </c>
    </row>
    <row r="207" spans="1:27" ht="15.75" hidden="1" customHeight="1" x14ac:dyDescent="0.3">
      <c r="A207" s="2" t="s">
        <v>360</v>
      </c>
      <c r="B207" s="2" t="s">
        <v>116</v>
      </c>
      <c r="C207" s="2" t="s">
        <v>939</v>
      </c>
      <c r="D207" s="2" t="s">
        <v>116</v>
      </c>
      <c r="E207" s="2" t="s">
        <v>82</v>
      </c>
      <c r="F207" s="2" t="s">
        <v>814</v>
      </c>
      <c r="G207" s="2" t="s">
        <v>42</v>
      </c>
      <c r="H207" s="2" t="s">
        <v>42</v>
      </c>
      <c r="I207" s="2" t="s">
        <v>47</v>
      </c>
      <c r="J207" s="2" t="s">
        <v>44</v>
      </c>
      <c r="K207" s="2" t="s">
        <v>961</v>
      </c>
      <c r="L207" s="2" t="s">
        <v>941</v>
      </c>
      <c r="M207" s="2" t="s">
        <v>52</v>
      </c>
      <c r="N207" s="2" t="s">
        <v>962</v>
      </c>
      <c r="O207" s="2" t="s">
        <v>114</v>
      </c>
      <c r="P207" s="2" t="s">
        <v>56</v>
      </c>
      <c r="Q207" s="2">
        <v>47</v>
      </c>
      <c r="R207" s="2" t="b">
        <v>1</v>
      </c>
      <c r="S207" s="2">
        <v>0.67826086956521736</v>
      </c>
      <c r="T207" s="2">
        <v>0.8125</v>
      </c>
      <c r="U207" s="2">
        <v>0.58208955223880599</v>
      </c>
      <c r="V207" s="2" t="s">
        <v>63</v>
      </c>
      <c r="W207" s="2" t="s">
        <v>1192</v>
      </c>
      <c r="X207" s="2" t="s">
        <v>1193</v>
      </c>
      <c r="Y207" s="2" t="b">
        <v>1</v>
      </c>
      <c r="Z207" s="2" t="s">
        <v>67</v>
      </c>
      <c r="AA207" s="2">
        <v>2</v>
      </c>
    </row>
    <row r="208" spans="1:27" ht="15.75" hidden="1" customHeight="1" x14ac:dyDescent="0.3">
      <c r="A208" s="2" t="s">
        <v>360</v>
      </c>
      <c r="B208" s="2" t="s">
        <v>116</v>
      </c>
      <c r="C208" s="2" t="s">
        <v>939</v>
      </c>
      <c r="D208" s="2" t="s">
        <v>116</v>
      </c>
      <c r="E208" s="2" t="s">
        <v>82</v>
      </c>
      <c r="F208" s="2" t="s">
        <v>814</v>
      </c>
      <c r="G208" s="2" t="s">
        <v>42</v>
      </c>
      <c r="H208" s="2" t="s">
        <v>42</v>
      </c>
      <c r="I208" s="2" t="s">
        <v>47</v>
      </c>
      <c r="J208" s="2" t="s">
        <v>44</v>
      </c>
      <c r="K208" s="2" t="s">
        <v>965</v>
      </c>
      <c r="L208" s="2" t="s">
        <v>941</v>
      </c>
      <c r="M208" s="2" t="s">
        <v>52</v>
      </c>
      <c r="N208" s="2" t="s">
        <v>966</v>
      </c>
      <c r="O208" s="2" t="s">
        <v>125</v>
      </c>
      <c r="P208" s="2" t="s">
        <v>56</v>
      </c>
      <c r="Q208" s="2">
        <v>48</v>
      </c>
      <c r="R208" s="2" t="b">
        <v>1</v>
      </c>
      <c r="S208" s="2">
        <v>0.48484848484848492</v>
      </c>
      <c r="T208" s="2">
        <v>0.61538461538461542</v>
      </c>
      <c r="U208" s="2">
        <v>0.4</v>
      </c>
      <c r="V208" s="2" t="s">
        <v>63</v>
      </c>
      <c r="W208" s="2" t="s">
        <v>1194</v>
      </c>
      <c r="X208" s="2" t="s">
        <v>1195</v>
      </c>
      <c r="Y208" s="2" t="b">
        <v>1</v>
      </c>
      <c r="Z208" s="2" t="s">
        <v>67</v>
      </c>
      <c r="AA208" s="2">
        <v>2.5</v>
      </c>
    </row>
    <row r="209" spans="1:27" ht="15.75" hidden="1" customHeight="1" x14ac:dyDescent="0.3">
      <c r="A209" s="2" t="s">
        <v>360</v>
      </c>
      <c r="B209" s="2" t="s">
        <v>116</v>
      </c>
      <c r="C209" s="2" t="s">
        <v>939</v>
      </c>
      <c r="D209" s="2" t="s">
        <v>116</v>
      </c>
      <c r="E209" s="2" t="s">
        <v>82</v>
      </c>
      <c r="F209" s="2" t="s">
        <v>814</v>
      </c>
      <c r="G209" s="2" t="s">
        <v>42</v>
      </c>
      <c r="H209" s="2" t="s">
        <v>42</v>
      </c>
      <c r="I209" s="2" t="s">
        <v>47</v>
      </c>
      <c r="J209" s="2" t="s">
        <v>44</v>
      </c>
      <c r="K209" s="2" t="s">
        <v>969</v>
      </c>
      <c r="L209" s="2" t="s">
        <v>941</v>
      </c>
      <c r="M209" s="2" t="s">
        <v>52</v>
      </c>
      <c r="N209" s="2" t="s">
        <v>970</v>
      </c>
      <c r="O209" s="2" t="s">
        <v>134</v>
      </c>
      <c r="P209" s="2" t="s">
        <v>56</v>
      </c>
      <c r="Q209" s="2">
        <v>49</v>
      </c>
      <c r="R209" s="2" t="b">
        <v>1</v>
      </c>
      <c r="S209" s="2">
        <v>0.58947368421052626</v>
      </c>
      <c r="T209" s="2">
        <v>0.68292682926829273</v>
      </c>
      <c r="U209" s="2">
        <v>0.51851851851851849</v>
      </c>
      <c r="V209" s="2" t="s">
        <v>63</v>
      </c>
      <c r="W209" s="2" t="s">
        <v>1196</v>
      </c>
      <c r="X209" s="2" t="s">
        <v>1197</v>
      </c>
      <c r="Y209" s="2" t="b">
        <v>1</v>
      </c>
      <c r="Z209" s="2" t="s">
        <v>67</v>
      </c>
      <c r="AA209" s="2">
        <v>3</v>
      </c>
    </row>
    <row r="210" spans="1:27" ht="15.75" hidden="1" customHeight="1" x14ac:dyDescent="0.3">
      <c r="A210" s="2" t="s">
        <v>360</v>
      </c>
      <c r="B210" s="2" t="s">
        <v>116</v>
      </c>
      <c r="C210" s="2" t="s">
        <v>939</v>
      </c>
      <c r="D210" s="2" t="s">
        <v>116</v>
      </c>
      <c r="E210" s="2" t="s">
        <v>82</v>
      </c>
      <c r="F210" s="2" t="s">
        <v>814</v>
      </c>
      <c r="G210" s="2" t="s">
        <v>42</v>
      </c>
      <c r="H210" s="2" t="s">
        <v>42</v>
      </c>
      <c r="I210" s="2" t="s">
        <v>47</v>
      </c>
      <c r="J210" s="2" t="s">
        <v>44</v>
      </c>
      <c r="K210" s="2" t="s">
        <v>973</v>
      </c>
      <c r="L210" s="2" t="s">
        <v>941</v>
      </c>
      <c r="M210" s="2" t="s">
        <v>52</v>
      </c>
      <c r="N210" s="2" t="s">
        <v>974</v>
      </c>
      <c r="O210" s="2" t="s">
        <v>145</v>
      </c>
      <c r="P210" s="2" t="s">
        <v>56</v>
      </c>
      <c r="Q210" s="2">
        <v>50</v>
      </c>
      <c r="R210" s="2" t="b">
        <v>1</v>
      </c>
      <c r="S210" s="2">
        <v>0.39805825242718451</v>
      </c>
      <c r="T210" s="2">
        <v>0.50617283950617287</v>
      </c>
      <c r="U210" s="2">
        <v>0.32800000000000001</v>
      </c>
      <c r="V210" s="2" t="s">
        <v>63</v>
      </c>
      <c r="W210" s="2" t="s">
        <v>1198</v>
      </c>
      <c r="X210" s="2" t="s">
        <v>1199</v>
      </c>
      <c r="Y210" s="2" t="b">
        <v>1</v>
      </c>
      <c r="Z210" s="2" t="s">
        <v>67</v>
      </c>
      <c r="AA210" s="2">
        <v>2.7</v>
      </c>
    </row>
    <row r="211" spans="1:27" ht="15.75" hidden="1" customHeight="1" x14ac:dyDescent="0.3">
      <c r="A211" s="2" t="s">
        <v>360</v>
      </c>
      <c r="B211" s="2" t="s">
        <v>116</v>
      </c>
      <c r="C211" s="2" t="s">
        <v>939</v>
      </c>
      <c r="D211" s="2" t="s">
        <v>116</v>
      </c>
      <c r="E211" s="2" t="s">
        <v>82</v>
      </c>
      <c r="F211" s="2" t="s">
        <v>814</v>
      </c>
      <c r="G211" s="2" t="s">
        <v>42</v>
      </c>
      <c r="H211" s="2" t="s">
        <v>42</v>
      </c>
      <c r="I211" s="2" t="s">
        <v>47</v>
      </c>
      <c r="J211" s="2" t="s">
        <v>44</v>
      </c>
      <c r="K211" s="2" t="s">
        <v>977</v>
      </c>
      <c r="L211" s="2" t="s">
        <v>941</v>
      </c>
      <c r="M211" s="2" t="s">
        <v>52</v>
      </c>
      <c r="N211" s="2" t="s">
        <v>978</v>
      </c>
      <c r="O211" s="2" t="s">
        <v>156</v>
      </c>
      <c r="P211" s="2" t="s">
        <v>56</v>
      </c>
      <c r="Q211" s="2">
        <v>51</v>
      </c>
      <c r="R211" s="2" t="b">
        <v>1</v>
      </c>
      <c r="S211" s="2">
        <v>0.53886010362694303</v>
      </c>
      <c r="T211" s="2">
        <v>0.5977011494252874</v>
      </c>
      <c r="U211" s="2">
        <v>0.49056603773584911</v>
      </c>
      <c r="V211" s="2" t="s">
        <v>63</v>
      </c>
      <c r="W211" s="2" t="s">
        <v>1200</v>
      </c>
      <c r="X211" s="2" t="s">
        <v>1201</v>
      </c>
      <c r="Y211" s="2" t="b">
        <v>1</v>
      </c>
      <c r="Z211" s="2" t="s">
        <v>67</v>
      </c>
      <c r="AA211" s="2">
        <v>2.4</v>
      </c>
    </row>
    <row r="212" spans="1:27" ht="15.75" hidden="1" customHeight="1" x14ac:dyDescent="0.3">
      <c r="A212" s="2" t="s">
        <v>360</v>
      </c>
      <c r="B212" s="2" t="s">
        <v>116</v>
      </c>
      <c r="C212" s="2" t="s">
        <v>939</v>
      </c>
      <c r="D212" s="2" t="s">
        <v>116</v>
      </c>
      <c r="E212" s="2" t="s">
        <v>82</v>
      </c>
      <c r="F212" s="2" t="s">
        <v>814</v>
      </c>
      <c r="G212" s="2" t="s">
        <v>42</v>
      </c>
      <c r="H212" s="2" t="s">
        <v>42</v>
      </c>
      <c r="I212" s="2" t="s">
        <v>47</v>
      </c>
      <c r="J212" s="2" t="s">
        <v>44</v>
      </c>
      <c r="K212" s="2" t="s">
        <v>981</v>
      </c>
      <c r="L212" s="2" t="s">
        <v>941</v>
      </c>
      <c r="M212" s="2" t="s">
        <v>52</v>
      </c>
      <c r="N212" s="2" t="s">
        <v>982</v>
      </c>
      <c r="O212" s="2" t="s">
        <v>165</v>
      </c>
      <c r="P212" s="2" t="s">
        <v>56</v>
      </c>
      <c r="Q212" s="2">
        <v>52</v>
      </c>
      <c r="R212" s="2" t="b">
        <v>1</v>
      </c>
      <c r="S212" s="2">
        <v>0.65686274509803932</v>
      </c>
      <c r="T212" s="2">
        <v>0.72043010752688175</v>
      </c>
      <c r="U212" s="2">
        <v>0.60360360360360366</v>
      </c>
      <c r="V212" s="2" t="s">
        <v>63</v>
      </c>
      <c r="W212" s="2" t="s">
        <v>1202</v>
      </c>
      <c r="X212" s="2" t="s">
        <v>1203</v>
      </c>
      <c r="Y212" s="2" t="b">
        <v>1</v>
      </c>
      <c r="Z212" s="2" t="s">
        <v>67</v>
      </c>
      <c r="AA212" s="2">
        <v>1.9</v>
      </c>
    </row>
    <row r="213" spans="1:27" ht="15.75" hidden="1" customHeight="1" x14ac:dyDescent="0.3">
      <c r="A213" s="2" t="s">
        <v>360</v>
      </c>
      <c r="B213" s="2" t="s">
        <v>116</v>
      </c>
      <c r="C213" s="2" t="s">
        <v>939</v>
      </c>
      <c r="D213" s="2" t="s">
        <v>116</v>
      </c>
      <c r="E213" s="2" t="s">
        <v>82</v>
      </c>
      <c r="F213" s="2" t="s">
        <v>814</v>
      </c>
      <c r="G213" s="2" t="s">
        <v>42</v>
      </c>
      <c r="H213" s="2" t="s">
        <v>42</v>
      </c>
      <c r="I213" s="2" t="s">
        <v>47</v>
      </c>
      <c r="J213" s="2" t="s">
        <v>44</v>
      </c>
      <c r="K213" s="2" t="s">
        <v>985</v>
      </c>
      <c r="L213" s="2" t="s">
        <v>941</v>
      </c>
      <c r="M213" s="2" t="s">
        <v>52</v>
      </c>
      <c r="N213" s="2" t="s">
        <v>986</v>
      </c>
      <c r="O213" s="2" t="s">
        <v>176</v>
      </c>
      <c r="P213" s="2" t="s">
        <v>56</v>
      </c>
      <c r="Q213" s="2">
        <v>53</v>
      </c>
      <c r="R213" s="2" t="b">
        <v>1</v>
      </c>
      <c r="S213" s="2">
        <v>0.51851851851851838</v>
      </c>
      <c r="T213" s="2">
        <v>0.66315789473684206</v>
      </c>
      <c r="U213" s="2">
        <v>0.42567567567567571</v>
      </c>
      <c r="V213" s="2" t="s">
        <v>63</v>
      </c>
      <c r="W213" s="2" t="s">
        <v>1204</v>
      </c>
      <c r="X213" s="2" t="s">
        <v>1205</v>
      </c>
      <c r="Y213" s="2" t="b">
        <v>1</v>
      </c>
      <c r="Z213" s="2" t="s">
        <v>67</v>
      </c>
      <c r="AA213" s="2">
        <v>2.5</v>
      </c>
    </row>
    <row r="214" spans="1:27" ht="15.75" hidden="1" customHeight="1" x14ac:dyDescent="0.3">
      <c r="A214" s="2" t="s">
        <v>360</v>
      </c>
      <c r="B214" s="2" t="s">
        <v>116</v>
      </c>
      <c r="C214" s="2" t="s">
        <v>939</v>
      </c>
      <c r="D214" s="2" t="s">
        <v>116</v>
      </c>
      <c r="E214" s="2" t="s">
        <v>82</v>
      </c>
      <c r="F214" s="2" t="s">
        <v>814</v>
      </c>
      <c r="G214" s="2" t="s">
        <v>42</v>
      </c>
      <c r="H214" s="2" t="s">
        <v>42</v>
      </c>
      <c r="I214" s="2" t="s">
        <v>47</v>
      </c>
      <c r="J214" s="2" t="s">
        <v>44</v>
      </c>
      <c r="K214" s="2" t="s">
        <v>989</v>
      </c>
      <c r="L214" s="2" t="s">
        <v>941</v>
      </c>
      <c r="M214" s="2" t="s">
        <v>52</v>
      </c>
      <c r="N214" s="2" t="s">
        <v>990</v>
      </c>
      <c r="O214" s="2" t="s">
        <v>185</v>
      </c>
      <c r="P214" s="2" t="s">
        <v>56</v>
      </c>
      <c r="Q214" s="2">
        <v>54</v>
      </c>
      <c r="R214" s="2" t="b">
        <v>1</v>
      </c>
      <c r="S214" s="2">
        <v>0.54358974358974366</v>
      </c>
      <c r="T214" s="2">
        <v>0.63855421686746983</v>
      </c>
      <c r="U214" s="2">
        <v>0.4732142857142857</v>
      </c>
      <c r="V214" s="2" t="s">
        <v>63</v>
      </c>
      <c r="W214" s="2" t="s">
        <v>1206</v>
      </c>
      <c r="X214" s="2" t="s">
        <v>1207</v>
      </c>
      <c r="Y214" s="2" t="b">
        <v>1</v>
      </c>
      <c r="Z214" s="2" t="s">
        <v>67</v>
      </c>
      <c r="AA214" s="2">
        <v>1.9</v>
      </c>
    </row>
    <row r="215" spans="1:27" ht="15.75" hidden="1" customHeight="1" x14ac:dyDescent="0.3">
      <c r="A215" s="2" t="s">
        <v>360</v>
      </c>
      <c r="B215" s="2" t="s">
        <v>116</v>
      </c>
      <c r="C215" s="2" t="s">
        <v>939</v>
      </c>
      <c r="D215" s="2" t="s">
        <v>116</v>
      </c>
      <c r="E215" s="2" t="s">
        <v>82</v>
      </c>
      <c r="F215" s="2" t="s">
        <v>814</v>
      </c>
      <c r="G215" s="2" t="s">
        <v>42</v>
      </c>
      <c r="H215" s="2" t="s">
        <v>42</v>
      </c>
      <c r="I215" s="2" t="s">
        <v>47</v>
      </c>
      <c r="J215" s="2" t="s">
        <v>44</v>
      </c>
      <c r="K215" s="2" t="s">
        <v>993</v>
      </c>
      <c r="L215" s="2" t="s">
        <v>941</v>
      </c>
      <c r="M215" s="2" t="s">
        <v>52</v>
      </c>
      <c r="N215" s="2" t="s">
        <v>994</v>
      </c>
      <c r="O215" s="2" t="s">
        <v>192</v>
      </c>
      <c r="P215" s="2" t="s">
        <v>56</v>
      </c>
      <c r="Q215" s="2">
        <v>55</v>
      </c>
      <c r="R215" s="2" t="b">
        <v>1</v>
      </c>
      <c r="S215" s="2">
        <v>0.60194174757281549</v>
      </c>
      <c r="T215" s="2">
        <v>0.68888888888888888</v>
      </c>
      <c r="U215" s="2">
        <v>0.53448275862068961</v>
      </c>
      <c r="V215" s="2" t="s">
        <v>63</v>
      </c>
      <c r="W215" s="2" t="s">
        <v>1208</v>
      </c>
      <c r="X215" s="2" t="s">
        <v>1209</v>
      </c>
      <c r="Y215" s="2" t="b">
        <v>1</v>
      </c>
      <c r="Z215" s="2" t="s">
        <v>67</v>
      </c>
      <c r="AA215" s="2">
        <v>3.7</v>
      </c>
    </row>
    <row r="216" spans="1:27" ht="15.75" hidden="1" customHeight="1" x14ac:dyDescent="0.3">
      <c r="A216" s="2" t="s">
        <v>360</v>
      </c>
      <c r="B216" s="2" t="s">
        <v>116</v>
      </c>
      <c r="C216" s="2" t="s">
        <v>939</v>
      </c>
      <c r="D216" s="2" t="s">
        <v>116</v>
      </c>
      <c r="E216" s="2" t="s">
        <v>82</v>
      </c>
      <c r="F216" s="2" t="s">
        <v>814</v>
      </c>
      <c r="G216" s="2" t="s">
        <v>42</v>
      </c>
      <c r="H216" s="2" t="s">
        <v>42</v>
      </c>
      <c r="I216" s="2" t="s">
        <v>47</v>
      </c>
      <c r="J216" s="2" t="s">
        <v>44</v>
      </c>
      <c r="K216" s="2" t="s">
        <v>997</v>
      </c>
      <c r="L216" s="2" t="s">
        <v>941</v>
      </c>
      <c r="M216" s="2" t="s">
        <v>52</v>
      </c>
      <c r="N216" s="2" t="s">
        <v>998</v>
      </c>
      <c r="O216" s="2" t="s">
        <v>201</v>
      </c>
      <c r="P216" s="2" t="s">
        <v>56</v>
      </c>
      <c r="Q216" s="2">
        <v>56</v>
      </c>
      <c r="R216" s="2" t="b">
        <v>1</v>
      </c>
      <c r="S216" s="2">
        <v>0.61139896373057001</v>
      </c>
      <c r="T216" s="2">
        <v>0.76623376623376627</v>
      </c>
      <c r="U216" s="2">
        <v>0.50862068965517238</v>
      </c>
      <c r="V216" s="2" t="s">
        <v>63</v>
      </c>
      <c r="W216" s="2" t="s">
        <v>1210</v>
      </c>
      <c r="X216" s="2" t="s">
        <v>1211</v>
      </c>
      <c r="Y216" s="2" t="b">
        <v>1</v>
      </c>
      <c r="Z216" s="2" t="s">
        <v>67</v>
      </c>
      <c r="AA216" s="2">
        <v>2.4</v>
      </c>
    </row>
    <row r="217" spans="1:27" ht="15.75" hidden="1" customHeight="1" x14ac:dyDescent="0.3">
      <c r="A217" s="2" t="s">
        <v>360</v>
      </c>
      <c r="B217" s="2" t="s">
        <v>116</v>
      </c>
      <c r="C217" s="2" t="s">
        <v>939</v>
      </c>
      <c r="D217" s="2" t="s">
        <v>116</v>
      </c>
      <c r="E217" s="2" t="s">
        <v>82</v>
      </c>
      <c r="F217" s="2" t="s">
        <v>814</v>
      </c>
      <c r="G217" s="2" t="s">
        <v>42</v>
      </c>
      <c r="H217" s="2" t="s">
        <v>42</v>
      </c>
      <c r="I217" s="2" t="s">
        <v>47</v>
      </c>
      <c r="J217" s="2" t="s">
        <v>44</v>
      </c>
      <c r="K217" s="2" t="s">
        <v>1001</v>
      </c>
      <c r="L217" s="2" t="s">
        <v>941</v>
      </c>
      <c r="M217" s="2" t="s">
        <v>52</v>
      </c>
      <c r="N217" s="2" t="s">
        <v>1002</v>
      </c>
      <c r="O217" s="2" t="s">
        <v>210</v>
      </c>
      <c r="P217" s="2" t="s">
        <v>56</v>
      </c>
      <c r="Q217" s="2">
        <v>57</v>
      </c>
      <c r="R217" s="2" t="b">
        <v>1</v>
      </c>
      <c r="S217" s="2">
        <v>0.55999999999999994</v>
      </c>
      <c r="T217" s="2">
        <v>0.72727272727272729</v>
      </c>
      <c r="U217" s="2">
        <v>0.45528455284552838</v>
      </c>
      <c r="V217" s="2" t="s">
        <v>63</v>
      </c>
      <c r="W217" s="2" t="s">
        <v>1212</v>
      </c>
      <c r="X217" s="2" t="s">
        <v>1213</v>
      </c>
      <c r="Y217" s="2" t="b">
        <v>1</v>
      </c>
      <c r="Z217" s="2" t="s">
        <v>67</v>
      </c>
      <c r="AA217" s="2">
        <v>2</v>
      </c>
    </row>
    <row r="218" spans="1:27" ht="15.75" hidden="1" customHeight="1" x14ac:dyDescent="0.3">
      <c r="A218" s="2" t="s">
        <v>360</v>
      </c>
      <c r="B218" s="2" t="s">
        <v>116</v>
      </c>
      <c r="C218" s="2" t="s">
        <v>939</v>
      </c>
      <c r="D218" s="2" t="s">
        <v>116</v>
      </c>
      <c r="E218" s="2" t="s">
        <v>82</v>
      </c>
      <c r="F218" s="2" t="s">
        <v>814</v>
      </c>
      <c r="G218" s="2" t="s">
        <v>42</v>
      </c>
      <c r="H218" s="2" t="s">
        <v>42</v>
      </c>
      <c r="I218" s="2" t="s">
        <v>47</v>
      </c>
      <c r="J218" s="2" t="s">
        <v>44</v>
      </c>
      <c r="K218" s="2" t="s">
        <v>1005</v>
      </c>
      <c r="L218" s="2" t="s">
        <v>941</v>
      </c>
      <c r="M218" s="2" t="s">
        <v>52</v>
      </c>
      <c r="N218" s="2" t="s">
        <v>1006</v>
      </c>
      <c r="O218" s="2" t="s">
        <v>219</v>
      </c>
      <c r="P218" s="2" t="s">
        <v>56</v>
      </c>
      <c r="Q218" s="2">
        <v>58</v>
      </c>
      <c r="R218" s="2" t="b">
        <v>1</v>
      </c>
      <c r="S218" s="2">
        <v>0</v>
      </c>
      <c r="T218" s="2">
        <v>0</v>
      </c>
      <c r="U218" s="2">
        <v>0</v>
      </c>
      <c r="V218" s="2" t="s">
        <v>63</v>
      </c>
      <c r="W218" s="2" t="s">
        <v>1214</v>
      </c>
      <c r="X218" s="2" t="s">
        <v>1215</v>
      </c>
      <c r="Y218" s="2" t="b">
        <v>1</v>
      </c>
      <c r="Z218" s="2" t="s">
        <v>67</v>
      </c>
      <c r="AA218" s="2">
        <v>1.9</v>
      </c>
    </row>
    <row r="219" spans="1:27" ht="15.75" hidden="1" customHeight="1" x14ac:dyDescent="0.3">
      <c r="A219" s="2" t="s">
        <v>360</v>
      </c>
      <c r="B219" s="2" t="s">
        <v>116</v>
      </c>
      <c r="C219" s="2" t="s">
        <v>939</v>
      </c>
      <c r="D219" s="2" t="s">
        <v>116</v>
      </c>
      <c r="E219" s="2" t="s">
        <v>82</v>
      </c>
      <c r="F219" s="2" t="s">
        <v>814</v>
      </c>
      <c r="G219" s="2" t="s">
        <v>42</v>
      </c>
      <c r="H219" s="2" t="s">
        <v>42</v>
      </c>
      <c r="I219" s="2" t="s">
        <v>47</v>
      </c>
      <c r="J219" s="2" t="s">
        <v>44</v>
      </c>
      <c r="K219" s="2" t="s">
        <v>1009</v>
      </c>
      <c r="L219" s="2" t="s">
        <v>941</v>
      </c>
      <c r="M219" s="2" t="s">
        <v>52</v>
      </c>
      <c r="N219" s="2" t="s">
        <v>1010</v>
      </c>
      <c r="O219" s="2" t="s">
        <v>232</v>
      </c>
      <c r="P219" s="2" t="s">
        <v>56</v>
      </c>
      <c r="Q219" s="2">
        <v>59</v>
      </c>
      <c r="R219" s="2" t="b">
        <v>1</v>
      </c>
      <c r="S219" s="2">
        <v>0.63959390862944165</v>
      </c>
      <c r="T219" s="2">
        <v>0.68478260869565222</v>
      </c>
      <c r="U219" s="2">
        <v>0.6</v>
      </c>
      <c r="V219" s="2" t="s">
        <v>63</v>
      </c>
      <c r="W219" s="2" t="s">
        <v>1216</v>
      </c>
      <c r="X219" s="2" t="s">
        <v>1217</v>
      </c>
      <c r="Y219" s="2" t="b">
        <v>1</v>
      </c>
      <c r="Z219" s="2" t="s">
        <v>67</v>
      </c>
      <c r="AA219" s="2">
        <v>2.2999999999999998</v>
      </c>
    </row>
    <row r="220" spans="1:27" ht="15.75" hidden="1" customHeight="1" x14ac:dyDescent="0.3">
      <c r="A220" s="2" t="s">
        <v>360</v>
      </c>
      <c r="B220" s="2" t="s">
        <v>116</v>
      </c>
      <c r="C220" s="2" t="s">
        <v>939</v>
      </c>
      <c r="D220" s="2" t="s">
        <v>116</v>
      </c>
      <c r="E220" s="2" t="s">
        <v>82</v>
      </c>
      <c r="F220" s="2" t="s">
        <v>814</v>
      </c>
      <c r="G220" s="2" t="s">
        <v>42</v>
      </c>
      <c r="H220" s="2" t="s">
        <v>42</v>
      </c>
      <c r="I220" s="2" t="s">
        <v>47</v>
      </c>
      <c r="J220" s="2" t="s">
        <v>44</v>
      </c>
      <c r="K220" s="2" t="s">
        <v>1013</v>
      </c>
      <c r="L220" s="2" t="s">
        <v>941</v>
      </c>
      <c r="M220" s="2" t="s">
        <v>52</v>
      </c>
      <c r="N220" s="2" t="s">
        <v>1014</v>
      </c>
      <c r="O220" s="2" t="s">
        <v>246</v>
      </c>
      <c r="P220" s="2" t="s">
        <v>56</v>
      </c>
      <c r="Q220" s="2">
        <v>60</v>
      </c>
      <c r="R220" s="2" t="b">
        <v>1</v>
      </c>
      <c r="S220" s="2">
        <v>0.52475247524752477</v>
      </c>
      <c r="T220" s="2">
        <v>0.60227272727272729</v>
      </c>
      <c r="U220" s="2">
        <v>0.46491228070175439</v>
      </c>
      <c r="V220" s="2" t="s">
        <v>63</v>
      </c>
      <c r="W220" s="2" t="s">
        <v>1218</v>
      </c>
      <c r="X220" s="2" t="s">
        <v>1219</v>
      </c>
      <c r="Y220" s="2" t="b">
        <v>1</v>
      </c>
      <c r="Z220" s="2" t="s">
        <v>67</v>
      </c>
      <c r="AA220" s="2">
        <v>3.1</v>
      </c>
    </row>
    <row r="221" spans="1:27" ht="15.75" hidden="1" customHeight="1" x14ac:dyDescent="0.3">
      <c r="A221" s="2" t="s">
        <v>360</v>
      </c>
      <c r="B221" s="2" t="s">
        <v>116</v>
      </c>
      <c r="C221" s="2" t="s">
        <v>939</v>
      </c>
      <c r="D221" s="2" t="s">
        <v>116</v>
      </c>
      <c r="E221" s="2" t="s">
        <v>82</v>
      </c>
      <c r="F221" s="2" t="s">
        <v>814</v>
      </c>
      <c r="G221" s="2" t="s">
        <v>42</v>
      </c>
      <c r="H221" s="2" t="s">
        <v>42</v>
      </c>
      <c r="I221" s="2" t="s">
        <v>47</v>
      </c>
      <c r="J221" s="2" t="s">
        <v>44</v>
      </c>
      <c r="K221" s="2" t="s">
        <v>1017</v>
      </c>
      <c r="L221" s="2" t="s">
        <v>941</v>
      </c>
      <c r="M221" s="2" t="s">
        <v>52</v>
      </c>
      <c r="N221" s="2" t="s">
        <v>1018</v>
      </c>
      <c r="O221" s="2" t="s">
        <v>255</v>
      </c>
      <c r="P221" s="2" t="s">
        <v>56</v>
      </c>
      <c r="Q221" s="2">
        <v>61</v>
      </c>
      <c r="R221" s="2" t="b">
        <v>1</v>
      </c>
      <c r="S221" s="2">
        <v>0.55555555555555558</v>
      </c>
      <c r="T221" s="2">
        <v>0.69620253164556967</v>
      </c>
      <c r="U221" s="2">
        <v>0.46218487394957991</v>
      </c>
      <c r="V221" s="2" t="s">
        <v>63</v>
      </c>
      <c r="W221" s="2" t="s">
        <v>1220</v>
      </c>
      <c r="X221" s="2" t="s">
        <v>1221</v>
      </c>
      <c r="Y221" s="2" t="b">
        <v>1</v>
      </c>
      <c r="Z221" s="2" t="s">
        <v>67</v>
      </c>
      <c r="AA221" s="2">
        <v>3.1</v>
      </c>
    </row>
    <row r="222" spans="1:27" ht="15.75" hidden="1" customHeight="1" x14ac:dyDescent="0.3">
      <c r="A222" s="2" t="s">
        <v>360</v>
      </c>
      <c r="B222" s="2" t="s">
        <v>116</v>
      </c>
      <c r="C222" s="2" t="s">
        <v>939</v>
      </c>
      <c r="D222" s="2" t="s">
        <v>116</v>
      </c>
      <c r="E222" s="2" t="s">
        <v>82</v>
      </c>
      <c r="F222" s="2" t="s">
        <v>814</v>
      </c>
      <c r="G222" s="2" t="s">
        <v>42</v>
      </c>
      <c r="H222" s="2" t="s">
        <v>42</v>
      </c>
      <c r="I222" s="2" t="s">
        <v>239</v>
      </c>
      <c r="J222" s="2" t="s">
        <v>71</v>
      </c>
      <c r="K222" s="2" t="s">
        <v>1021</v>
      </c>
      <c r="L222" s="2" t="s">
        <v>1022</v>
      </c>
      <c r="M222" s="2" t="s">
        <v>264</v>
      </c>
      <c r="N222" s="2" t="s">
        <v>1023</v>
      </c>
      <c r="O222" s="2" t="s">
        <v>266</v>
      </c>
      <c r="P222" s="2" t="s">
        <v>267</v>
      </c>
      <c r="Q222" s="2">
        <v>42</v>
      </c>
      <c r="R222" s="2" t="b">
        <v>0</v>
      </c>
      <c r="S222" s="2">
        <v>0.50980392156862742</v>
      </c>
      <c r="T222" s="2">
        <v>0.65</v>
      </c>
      <c r="U222" s="2">
        <v>0.41935483870967738</v>
      </c>
      <c r="V222" s="2" t="s">
        <v>63</v>
      </c>
      <c r="W222" s="2" t="s">
        <v>1222</v>
      </c>
      <c r="X222" s="2" t="s">
        <v>1223</v>
      </c>
      <c r="Y222" s="2" t="b">
        <v>1</v>
      </c>
      <c r="Z222" s="2" t="s">
        <v>67</v>
      </c>
      <c r="AA222" s="2">
        <v>2.4</v>
      </c>
    </row>
    <row r="223" spans="1:27" ht="15.75" hidden="1" customHeight="1" x14ac:dyDescent="0.3">
      <c r="A223" s="2" t="s">
        <v>360</v>
      </c>
      <c r="B223" s="2" t="s">
        <v>116</v>
      </c>
      <c r="C223" s="2" t="s">
        <v>939</v>
      </c>
      <c r="D223" s="2" t="s">
        <v>116</v>
      </c>
      <c r="E223" s="2" t="s">
        <v>82</v>
      </c>
      <c r="F223" s="2" t="s">
        <v>814</v>
      </c>
      <c r="G223" s="2" t="s">
        <v>42</v>
      </c>
      <c r="H223" s="2" t="s">
        <v>42</v>
      </c>
      <c r="I223" s="2" t="s">
        <v>239</v>
      </c>
      <c r="J223" s="2" t="s">
        <v>71</v>
      </c>
      <c r="K223" s="2" t="s">
        <v>1026</v>
      </c>
      <c r="L223" s="2" t="s">
        <v>1022</v>
      </c>
      <c r="M223" s="2" t="s">
        <v>264</v>
      </c>
      <c r="N223" s="2" t="s">
        <v>1027</v>
      </c>
      <c r="O223" s="2" t="s">
        <v>276</v>
      </c>
      <c r="P223" s="2" t="s">
        <v>267</v>
      </c>
      <c r="Q223" s="2">
        <v>43</v>
      </c>
      <c r="R223" s="2" t="b">
        <v>0</v>
      </c>
      <c r="S223" s="2">
        <v>0.69709543568464738</v>
      </c>
      <c r="T223" s="2">
        <v>0.71186440677966101</v>
      </c>
      <c r="U223" s="2">
        <v>0.68292682926829273</v>
      </c>
      <c r="V223" s="2" t="s">
        <v>63</v>
      </c>
      <c r="W223" s="2" t="s">
        <v>1224</v>
      </c>
      <c r="X223" s="2" t="s">
        <v>1225</v>
      </c>
      <c r="Y223" s="2" t="b">
        <v>1</v>
      </c>
      <c r="Z223" s="2" t="s">
        <v>67</v>
      </c>
      <c r="AA223" s="2">
        <v>2.1</v>
      </c>
    </row>
    <row r="224" spans="1:27" ht="15.75" hidden="1" customHeight="1" x14ac:dyDescent="0.3">
      <c r="A224" s="2" t="s">
        <v>360</v>
      </c>
      <c r="B224" s="2" t="s">
        <v>116</v>
      </c>
      <c r="C224" s="2" t="s">
        <v>939</v>
      </c>
      <c r="D224" s="2" t="s">
        <v>116</v>
      </c>
      <c r="E224" s="2" t="s">
        <v>82</v>
      </c>
      <c r="F224" s="2" t="s">
        <v>814</v>
      </c>
      <c r="G224" s="2" t="s">
        <v>42</v>
      </c>
      <c r="H224" s="2" t="s">
        <v>42</v>
      </c>
      <c r="I224" s="2" t="s">
        <v>239</v>
      </c>
      <c r="J224" s="2" t="s">
        <v>71</v>
      </c>
      <c r="K224" s="2" t="s">
        <v>1030</v>
      </c>
      <c r="L224" s="2" t="s">
        <v>1022</v>
      </c>
      <c r="M224" s="2" t="s">
        <v>264</v>
      </c>
      <c r="N224" s="2" t="s">
        <v>1031</v>
      </c>
      <c r="O224" s="2" t="s">
        <v>285</v>
      </c>
      <c r="P224" s="2" t="s">
        <v>267</v>
      </c>
      <c r="Q224" s="2">
        <v>44</v>
      </c>
      <c r="R224" s="2" t="b">
        <v>0</v>
      </c>
      <c r="S224" s="2">
        <v>0.48780487804878048</v>
      </c>
      <c r="T224" s="2">
        <v>0.57471264367816088</v>
      </c>
      <c r="U224" s="2">
        <v>0.42372881355932202</v>
      </c>
      <c r="V224" s="2" t="s">
        <v>63</v>
      </c>
      <c r="W224" s="2" t="s">
        <v>1226</v>
      </c>
      <c r="X224" s="2" t="s">
        <v>1227</v>
      </c>
      <c r="Y224" s="2" t="b">
        <v>1</v>
      </c>
      <c r="Z224" s="2" t="s">
        <v>67</v>
      </c>
      <c r="AA224" s="2">
        <v>2.2999999999999998</v>
      </c>
    </row>
    <row r="225" spans="1:27" ht="15.75" hidden="1" customHeight="1" x14ac:dyDescent="0.3">
      <c r="A225" s="2" t="s">
        <v>360</v>
      </c>
      <c r="B225" s="2" t="s">
        <v>116</v>
      </c>
      <c r="C225" s="2" t="s">
        <v>939</v>
      </c>
      <c r="D225" s="2" t="s">
        <v>116</v>
      </c>
      <c r="E225" s="2" t="s">
        <v>82</v>
      </c>
      <c r="F225" s="2" t="s">
        <v>814</v>
      </c>
      <c r="G225" s="2" t="s">
        <v>42</v>
      </c>
      <c r="H225" s="2" t="s">
        <v>42</v>
      </c>
      <c r="I225" s="2" t="s">
        <v>239</v>
      </c>
      <c r="J225" s="2" t="s">
        <v>71</v>
      </c>
      <c r="K225" s="2" t="s">
        <v>1034</v>
      </c>
      <c r="L225" s="2" t="s">
        <v>1022</v>
      </c>
      <c r="M225" s="2" t="s">
        <v>264</v>
      </c>
      <c r="N225" s="2" t="s">
        <v>1035</v>
      </c>
      <c r="O225" s="2" t="s">
        <v>294</v>
      </c>
      <c r="P225" s="2" t="s">
        <v>267</v>
      </c>
      <c r="Q225" s="2">
        <v>45</v>
      </c>
      <c r="R225" s="2" t="b">
        <v>0</v>
      </c>
      <c r="S225" s="2">
        <v>0.61061946902654862</v>
      </c>
      <c r="T225" s="2">
        <v>0.68316831683168322</v>
      </c>
      <c r="U225" s="2">
        <v>0.55200000000000005</v>
      </c>
      <c r="V225" s="2" t="s">
        <v>63</v>
      </c>
      <c r="W225" s="2" t="s">
        <v>1228</v>
      </c>
      <c r="X225" s="2" t="s">
        <v>1229</v>
      </c>
      <c r="Y225" s="2" t="b">
        <v>1</v>
      </c>
      <c r="Z225" s="2" t="s">
        <v>67</v>
      </c>
      <c r="AA225" s="2">
        <v>2</v>
      </c>
    </row>
    <row r="226" spans="1:27" ht="15.75" hidden="1" customHeight="1" x14ac:dyDescent="0.3">
      <c r="A226" s="2" t="s">
        <v>360</v>
      </c>
      <c r="B226" s="2" t="s">
        <v>116</v>
      </c>
      <c r="C226" s="2" t="s">
        <v>939</v>
      </c>
      <c r="D226" s="2" t="s">
        <v>116</v>
      </c>
      <c r="E226" s="2" t="s">
        <v>82</v>
      </c>
      <c r="F226" s="2" t="s">
        <v>814</v>
      </c>
      <c r="G226" s="2" t="s">
        <v>42</v>
      </c>
      <c r="H226" s="2" t="s">
        <v>42</v>
      </c>
      <c r="I226" s="2" t="s">
        <v>239</v>
      </c>
      <c r="J226" s="2" t="s">
        <v>71</v>
      </c>
      <c r="K226" s="2" t="s">
        <v>1038</v>
      </c>
      <c r="L226" s="2" t="s">
        <v>1022</v>
      </c>
      <c r="M226" s="2" t="s">
        <v>264</v>
      </c>
      <c r="N226" s="2" t="s">
        <v>1039</v>
      </c>
      <c r="O226" s="2" t="s">
        <v>299</v>
      </c>
      <c r="P226" s="2" t="s">
        <v>267</v>
      </c>
      <c r="Q226" s="2">
        <v>46</v>
      </c>
      <c r="R226" s="2" t="b">
        <v>0</v>
      </c>
      <c r="S226" s="2">
        <v>0.63829787234042556</v>
      </c>
      <c r="T226" s="2">
        <v>0.70754716981132071</v>
      </c>
      <c r="U226" s="2">
        <v>0.58139534883720934</v>
      </c>
      <c r="V226" s="2" t="s">
        <v>63</v>
      </c>
      <c r="W226" s="2" t="s">
        <v>1230</v>
      </c>
      <c r="X226" s="2" t="s">
        <v>1231</v>
      </c>
      <c r="Y226" s="2" t="b">
        <v>1</v>
      </c>
      <c r="Z226" s="2" t="s">
        <v>67</v>
      </c>
      <c r="AA226" s="2">
        <v>3.4</v>
      </c>
    </row>
    <row r="227" spans="1:27" ht="15.75" hidden="1" customHeight="1" x14ac:dyDescent="0.3">
      <c r="A227" s="2" t="s">
        <v>360</v>
      </c>
      <c r="B227" s="2" t="s">
        <v>116</v>
      </c>
      <c r="C227" s="2" t="s">
        <v>939</v>
      </c>
      <c r="D227" s="2" t="s">
        <v>116</v>
      </c>
      <c r="E227" s="2" t="s">
        <v>82</v>
      </c>
      <c r="F227" s="2" t="s">
        <v>814</v>
      </c>
      <c r="G227" s="2" t="s">
        <v>42</v>
      </c>
      <c r="H227" s="2" t="s">
        <v>42</v>
      </c>
      <c r="I227" s="2" t="s">
        <v>239</v>
      </c>
      <c r="J227" s="2" t="s">
        <v>71</v>
      </c>
      <c r="K227" s="2" t="s">
        <v>1042</v>
      </c>
      <c r="L227" s="2" t="s">
        <v>1022</v>
      </c>
      <c r="M227" s="2" t="s">
        <v>264</v>
      </c>
      <c r="N227" s="2" t="s">
        <v>1043</v>
      </c>
      <c r="O227" s="2" t="s">
        <v>306</v>
      </c>
      <c r="P227" s="2" t="s">
        <v>267</v>
      </c>
      <c r="Q227" s="2">
        <v>47</v>
      </c>
      <c r="R227" s="2" t="b">
        <v>0</v>
      </c>
      <c r="S227" s="2">
        <v>0.46788990825688082</v>
      </c>
      <c r="T227" s="2">
        <v>0.50495049504950495</v>
      </c>
      <c r="U227" s="2">
        <v>0.4358974358974359</v>
      </c>
      <c r="V227" s="2" t="s">
        <v>63</v>
      </c>
      <c r="W227" s="2" t="s">
        <v>1232</v>
      </c>
      <c r="X227" s="2" t="s">
        <v>1233</v>
      </c>
      <c r="Y227" s="2" t="b">
        <v>1</v>
      </c>
      <c r="Z227" s="2" t="s">
        <v>67</v>
      </c>
      <c r="AA227" s="2">
        <v>2.4</v>
      </c>
    </row>
    <row r="228" spans="1:27" ht="15.75" hidden="1" customHeight="1" x14ac:dyDescent="0.3">
      <c r="A228" s="2" t="s">
        <v>360</v>
      </c>
      <c r="B228" s="2" t="s">
        <v>116</v>
      </c>
      <c r="C228" s="2" t="s">
        <v>939</v>
      </c>
      <c r="D228" s="2" t="s">
        <v>116</v>
      </c>
      <c r="E228" s="2" t="s">
        <v>82</v>
      </c>
      <c r="F228" s="2" t="s">
        <v>814</v>
      </c>
      <c r="G228" s="2" t="s">
        <v>42</v>
      </c>
      <c r="H228" s="2" t="s">
        <v>42</v>
      </c>
      <c r="I228" s="2" t="s">
        <v>239</v>
      </c>
      <c r="J228" s="2" t="s">
        <v>71</v>
      </c>
      <c r="K228" s="2" t="s">
        <v>1046</v>
      </c>
      <c r="L228" s="2" t="s">
        <v>1022</v>
      </c>
      <c r="M228" s="2" t="s">
        <v>264</v>
      </c>
      <c r="N228" s="2" t="s">
        <v>1047</v>
      </c>
      <c r="O228" s="2" t="s">
        <v>315</v>
      </c>
      <c r="P228" s="2" t="s">
        <v>267</v>
      </c>
      <c r="Q228" s="2">
        <v>48</v>
      </c>
      <c r="R228" s="2" t="b">
        <v>0</v>
      </c>
      <c r="S228" s="2">
        <v>0.6617100371747211</v>
      </c>
      <c r="T228" s="2">
        <v>0.6742424242424242</v>
      </c>
      <c r="U228" s="2">
        <v>0.64963503649635035</v>
      </c>
      <c r="V228" s="2" t="s">
        <v>63</v>
      </c>
      <c r="W228" s="2" t="s">
        <v>1234</v>
      </c>
      <c r="X228" s="2" t="s">
        <v>1235</v>
      </c>
      <c r="Y228" s="2" t="b">
        <v>1</v>
      </c>
      <c r="Z228" s="2" t="s">
        <v>67</v>
      </c>
      <c r="AA228" s="2">
        <v>2.4</v>
      </c>
    </row>
    <row r="229" spans="1:27" ht="15.75" hidden="1" customHeight="1" x14ac:dyDescent="0.3">
      <c r="A229" s="2" t="s">
        <v>360</v>
      </c>
      <c r="B229" s="2" t="s">
        <v>116</v>
      </c>
      <c r="C229" s="2" t="s">
        <v>939</v>
      </c>
      <c r="D229" s="2" t="s">
        <v>116</v>
      </c>
      <c r="E229" s="2" t="s">
        <v>82</v>
      </c>
      <c r="F229" s="2" t="s">
        <v>814</v>
      </c>
      <c r="G229" s="2" t="s">
        <v>42</v>
      </c>
      <c r="H229" s="2" t="s">
        <v>42</v>
      </c>
      <c r="I229" s="2" t="s">
        <v>239</v>
      </c>
      <c r="J229" s="2" t="s">
        <v>71</v>
      </c>
      <c r="K229" s="2" t="s">
        <v>1050</v>
      </c>
      <c r="L229" s="2" t="s">
        <v>1022</v>
      </c>
      <c r="M229" s="2" t="s">
        <v>264</v>
      </c>
      <c r="N229" s="2" t="s">
        <v>1051</v>
      </c>
      <c r="O229" s="2" t="s">
        <v>326</v>
      </c>
      <c r="P229" s="2" t="s">
        <v>267</v>
      </c>
      <c r="Q229" s="2">
        <v>49</v>
      </c>
      <c r="R229" s="2" t="b">
        <v>0</v>
      </c>
      <c r="S229" s="2">
        <v>0.5321100917431193</v>
      </c>
      <c r="T229" s="2">
        <v>0.62365591397849462</v>
      </c>
      <c r="U229" s="2">
        <v>0.46400000000000002</v>
      </c>
      <c r="V229" s="2" t="s">
        <v>63</v>
      </c>
      <c r="W229" s="2" t="s">
        <v>1236</v>
      </c>
      <c r="X229" s="2" t="s">
        <v>1237</v>
      </c>
      <c r="Y229" s="2" t="b">
        <v>1</v>
      </c>
      <c r="Z229" s="2" t="s">
        <v>67</v>
      </c>
      <c r="AA229" s="2">
        <v>2</v>
      </c>
    </row>
    <row r="230" spans="1:27" ht="15.75" hidden="1" customHeight="1" x14ac:dyDescent="0.3">
      <c r="A230" s="2" t="s">
        <v>360</v>
      </c>
      <c r="B230" s="2" t="s">
        <v>116</v>
      </c>
      <c r="C230" s="2" t="s">
        <v>939</v>
      </c>
      <c r="D230" s="2" t="s">
        <v>116</v>
      </c>
      <c r="E230" s="2" t="s">
        <v>82</v>
      </c>
      <c r="F230" s="2" t="s">
        <v>814</v>
      </c>
      <c r="G230" s="2" t="s">
        <v>42</v>
      </c>
      <c r="H230" s="2" t="s">
        <v>42</v>
      </c>
      <c r="I230" s="2" t="s">
        <v>239</v>
      </c>
      <c r="J230" s="2" t="s">
        <v>71</v>
      </c>
      <c r="K230" s="2" t="s">
        <v>1054</v>
      </c>
      <c r="L230" s="2" t="s">
        <v>1022</v>
      </c>
      <c r="M230" s="2" t="s">
        <v>264</v>
      </c>
      <c r="N230" s="2" t="s">
        <v>1055</v>
      </c>
      <c r="O230" s="2" t="s">
        <v>335</v>
      </c>
      <c r="P230" s="2" t="s">
        <v>267</v>
      </c>
      <c r="Q230" s="2">
        <v>50</v>
      </c>
      <c r="R230" s="2" t="b">
        <v>0</v>
      </c>
      <c r="S230" s="2">
        <v>0.52631578947368418</v>
      </c>
      <c r="T230" s="2">
        <v>0.59782608695652173</v>
      </c>
      <c r="U230" s="2">
        <v>0.47008547008547008</v>
      </c>
      <c r="V230" s="2" t="s">
        <v>63</v>
      </c>
      <c r="W230" s="2" t="s">
        <v>1238</v>
      </c>
      <c r="X230" s="2" t="s">
        <v>1239</v>
      </c>
      <c r="Y230" s="2" t="b">
        <v>1</v>
      </c>
      <c r="Z230" s="2" t="s">
        <v>67</v>
      </c>
      <c r="AA230" s="2">
        <v>2.5</v>
      </c>
    </row>
    <row r="231" spans="1:27" ht="15.75" hidden="1" customHeight="1" x14ac:dyDescent="0.3">
      <c r="A231" s="2" t="s">
        <v>360</v>
      </c>
      <c r="B231" s="2" t="s">
        <v>116</v>
      </c>
      <c r="C231" s="2" t="s">
        <v>939</v>
      </c>
      <c r="D231" s="2" t="s">
        <v>116</v>
      </c>
      <c r="E231" s="2" t="s">
        <v>82</v>
      </c>
      <c r="F231" s="2" t="s">
        <v>814</v>
      </c>
      <c r="G231" s="2" t="s">
        <v>42</v>
      </c>
      <c r="H231" s="2" t="s">
        <v>42</v>
      </c>
      <c r="I231" s="2" t="s">
        <v>239</v>
      </c>
      <c r="J231" s="2" t="s">
        <v>71</v>
      </c>
      <c r="K231" s="2" t="s">
        <v>1058</v>
      </c>
      <c r="L231" s="2" t="s">
        <v>1022</v>
      </c>
      <c r="M231" s="2" t="s">
        <v>264</v>
      </c>
      <c r="N231" s="2" t="s">
        <v>1059</v>
      </c>
      <c r="O231" s="2" t="s">
        <v>346</v>
      </c>
      <c r="P231" s="2" t="s">
        <v>267</v>
      </c>
      <c r="Q231" s="2">
        <v>51</v>
      </c>
      <c r="R231" s="2" t="b">
        <v>0</v>
      </c>
      <c r="S231" s="2">
        <v>0.61306532663316582</v>
      </c>
      <c r="T231" s="2">
        <v>0.64893617021276595</v>
      </c>
      <c r="U231" s="2">
        <v>0.580952380952381</v>
      </c>
      <c r="V231" s="2" t="s">
        <v>63</v>
      </c>
      <c r="W231" s="2" t="s">
        <v>1240</v>
      </c>
      <c r="X231" s="2" t="s">
        <v>1241</v>
      </c>
      <c r="Y231" s="2" t="b">
        <v>1</v>
      </c>
      <c r="Z231" s="2" t="s">
        <v>67</v>
      </c>
      <c r="AA231" s="2">
        <v>1.9</v>
      </c>
    </row>
    <row r="232" spans="1:27" ht="15.75" hidden="1" customHeight="1" x14ac:dyDescent="0.3">
      <c r="A232" s="2" t="s">
        <v>360</v>
      </c>
      <c r="B232" s="2" t="s">
        <v>116</v>
      </c>
      <c r="C232" s="2" t="s">
        <v>939</v>
      </c>
      <c r="D232" s="2" t="s">
        <v>116</v>
      </c>
      <c r="E232" s="2" t="s">
        <v>82</v>
      </c>
      <c r="F232" s="2" t="s">
        <v>814</v>
      </c>
      <c r="G232" s="2" t="s">
        <v>42</v>
      </c>
      <c r="H232" s="2" t="s">
        <v>42</v>
      </c>
      <c r="I232" s="2" t="s">
        <v>239</v>
      </c>
      <c r="J232" s="2" t="s">
        <v>71</v>
      </c>
      <c r="K232" s="2" t="s">
        <v>1062</v>
      </c>
      <c r="L232" s="2" t="s">
        <v>1022</v>
      </c>
      <c r="M232" s="2" t="s">
        <v>264</v>
      </c>
      <c r="N232" s="2" t="s">
        <v>1063</v>
      </c>
      <c r="O232" s="2" t="s">
        <v>357</v>
      </c>
      <c r="P232" s="2" t="s">
        <v>267</v>
      </c>
      <c r="Q232" s="2">
        <v>52</v>
      </c>
      <c r="R232" s="2" t="b">
        <v>0</v>
      </c>
      <c r="S232" s="2">
        <v>0.50505050505050508</v>
      </c>
      <c r="T232" s="2">
        <v>0.6097560975609756</v>
      </c>
      <c r="U232" s="2">
        <v>0.43103448275862072</v>
      </c>
      <c r="V232" s="2" t="s">
        <v>63</v>
      </c>
      <c r="W232" s="2" t="s">
        <v>1242</v>
      </c>
      <c r="X232" s="2" t="s">
        <v>1243</v>
      </c>
      <c r="Y232" s="2" t="b">
        <v>1</v>
      </c>
      <c r="Z232" s="2" t="s">
        <v>67</v>
      </c>
      <c r="AA232" s="2">
        <v>3.8</v>
      </c>
    </row>
    <row r="233" spans="1:27" ht="15.75" hidden="1" customHeight="1" x14ac:dyDescent="0.3">
      <c r="A233" s="2" t="s">
        <v>360</v>
      </c>
      <c r="B233" s="2" t="s">
        <v>116</v>
      </c>
      <c r="C233" s="2" t="s">
        <v>939</v>
      </c>
      <c r="D233" s="2" t="s">
        <v>116</v>
      </c>
      <c r="E233" s="2" t="s">
        <v>82</v>
      </c>
      <c r="F233" s="2" t="s">
        <v>814</v>
      </c>
      <c r="G233" s="2" t="s">
        <v>42</v>
      </c>
      <c r="H233" s="2" t="s">
        <v>42</v>
      </c>
      <c r="I233" s="2" t="s">
        <v>239</v>
      </c>
      <c r="J233" s="2" t="s">
        <v>71</v>
      </c>
      <c r="K233" s="2" t="s">
        <v>1066</v>
      </c>
      <c r="L233" s="2" t="s">
        <v>1022</v>
      </c>
      <c r="M233" s="2" t="s">
        <v>264</v>
      </c>
      <c r="N233" s="2" t="s">
        <v>1067</v>
      </c>
      <c r="O233" s="2" t="s">
        <v>369</v>
      </c>
      <c r="P233" s="2" t="s">
        <v>267</v>
      </c>
      <c r="Q233" s="2">
        <v>53</v>
      </c>
      <c r="R233" s="2" t="b">
        <v>0</v>
      </c>
      <c r="S233" s="2">
        <v>0.5536723163841808</v>
      </c>
      <c r="T233" s="2">
        <v>0.6901408450704225</v>
      </c>
      <c r="U233" s="2">
        <v>0.46226415094339618</v>
      </c>
      <c r="V233" s="2" t="s">
        <v>63</v>
      </c>
      <c r="W233" s="2" t="s">
        <v>1244</v>
      </c>
      <c r="X233" s="2" t="s">
        <v>1245</v>
      </c>
      <c r="Y233" s="2" t="b">
        <v>1</v>
      </c>
      <c r="Z233" s="2" t="s">
        <v>67</v>
      </c>
      <c r="AA233" s="2">
        <v>1.9</v>
      </c>
    </row>
    <row r="234" spans="1:27" ht="15.75" hidden="1" customHeight="1" x14ac:dyDescent="0.3">
      <c r="A234" s="2" t="s">
        <v>360</v>
      </c>
      <c r="B234" s="2" t="s">
        <v>116</v>
      </c>
      <c r="C234" s="2" t="s">
        <v>939</v>
      </c>
      <c r="D234" s="2" t="s">
        <v>116</v>
      </c>
      <c r="E234" s="2" t="s">
        <v>82</v>
      </c>
      <c r="F234" s="2" t="s">
        <v>814</v>
      </c>
      <c r="G234" s="2" t="s">
        <v>42</v>
      </c>
      <c r="H234" s="2" t="s">
        <v>42</v>
      </c>
      <c r="I234" s="2" t="s">
        <v>239</v>
      </c>
      <c r="J234" s="2" t="s">
        <v>71</v>
      </c>
      <c r="K234" s="2" t="s">
        <v>1070</v>
      </c>
      <c r="L234" s="2" t="s">
        <v>1022</v>
      </c>
      <c r="M234" s="2" t="s">
        <v>264</v>
      </c>
      <c r="N234" s="2" t="s">
        <v>1071</v>
      </c>
      <c r="O234" s="2" t="s">
        <v>378</v>
      </c>
      <c r="P234" s="2" t="s">
        <v>267</v>
      </c>
      <c r="Q234" s="2">
        <v>54</v>
      </c>
      <c r="R234" s="2" t="b">
        <v>0</v>
      </c>
      <c r="S234" s="2">
        <v>0.57407407407407418</v>
      </c>
      <c r="T234" s="2">
        <v>0.67391304347826086</v>
      </c>
      <c r="U234" s="2">
        <v>0.5</v>
      </c>
      <c r="V234" s="2" t="s">
        <v>63</v>
      </c>
      <c r="W234" s="2" t="s">
        <v>1246</v>
      </c>
      <c r="X234" s="2" t="s">
        <v>1247</v>
      </c>
      <c r="Y234" s="2" t="b">
        <v>1</v>
      </c>
      <c r="Z234" s="2" t="s">
        <v>67</v>
      </c>
      <c r="AA234" s="2">
        <v>2.4</v>
      </c>
    </row>
    <row r="235" spans="1:27" ht="15.75" hidden="1" customHeight="1" x14ac:dyDescent="0.3">
      <c r="A235" s="2" t="s">
        <v>360</v>
      </c>
      <c r="B235" s="2" t="s">
        <v>116</v>
      </c>
      <c r="C235" s="2" t="s">
        <v>939</v>
      </c>
      <c r="D235" s="2" t="s">
        <v>116</v>
      </c>
      <c r="E235" s="2" t="s">
        <v>82</v>
      </c>
      <c r="F235" s="2" t="s">
        <v>814</v>
      </c>
      <c r="G235" s="2" t="s">
        <v>42</v>
      </c>
      <c r="H235" s="2" t="s">
        <v>42</v>
      </c>
      <c r="I235" s="2" t="s">
        <v>239</v>
      </c>
      <c r="J235" s="2" t="s">
        <v>71</v>
      </c>
      <c r="K235" s="2" t="s">
        <v>1074</v>
      </c>
      <c r="L235" s="2" t="s">
        <v>1022</v>
      </c>
      <c r="M235" s="2" t="s">
        <v>264</v>
      </c>
      <c r="N235" s="2" t="s">
        <v>1075</v>
      </c>
      <c r="O235" s="2" t="s">
        <v>390</v>
      </c>
      <c r="P235" s="2" t="s">
        <v>267</v>
      </c>
      <c r="Q235" s="2">
        <v>55</v>
      </c>
      <c r="R235" s="2" t="b">
        <v>0</v>
      </c>
      <c r="S235" s="2">
        <v>0.63111111111111118</v>
      </c>
      <c r="T235" s="2">
        <v>0.72448979591836737</v>
      </c>
      <c r="U235" s="2">
        <v>0.55905511811023623</v>
      </c>
      <c r="V235" s="2" t="s">
        <v>63</v>
      </c>
      <c r="W235" s="2" t="s">
        <v>1248</v>
      </c>
      <c r="X235" s="2" t="s">
        <v>1249</v>
      </c>
      <c r="Y235" s="2" t="b">
        <v>1</v>
      </c>
      <c r="Z235" s="2" t="s">
        <v>67</v>
      </c>
      <c r="AA235" s="2">
        <v>2</v>
      </c>
    </row>
    <row r="236" spans="1:27" ht="15.75" hidden="1" customHeight="1" x14ac:dyDescent="0.3">
      <c r="A236" s="2" t="s">
        <v>360</v>
      </c>
      <c r="B236" s="2" t="s">
        <v>116</v>
      </c>
      <c r="C236" s="2" t="s">
        <v>939</v>
      </c>
      <c r="D236" s="2" t="s">
        <v>116</v>
      </c>
      <c r="E236" s="2" t="s">
        <v>82</v>
      </c>
      <c r="F236" s="2" t="s">
        <v>814</v>
      </c>
      <c r="G236" s="2" t="s">
        <v>42</v>
      </c>
      <c r="H236" s="2" t="s">
        <v>42</v>
      </c>
      <c r="I236" s="2" t="s">
        <v>239</v>
      </c>
      <c r="J236" s="2" t="s">
        <v>71</v>
      </c>
      <c r="K236" s="2" t="s">
        <v>1078</v>
      </c>
      <c r="L236" s="2" t="s">
        <v>1022</v>
      </c>
      <c r="M236" s="2" t="s">
        <v>264</v>
      </c>
      <c r="N236" s="2" t="s">
        <v>1079</v>
      </c>
      <c r="O236" s="2" t="s">
        <v>404</v>
      </c>
      <c r="P236" s="2" t="s">
        <v>267</v>
      </c>
      <c r="Q236" s="2">
        <v>56</v>
      </c>
      <c r="R236" s="2" t="b">
        <v>0</v>
      </c>
      <c r="S236" s="2">
        <v>0.60465116279069764</v>
      </c>
      <c r="T236" s="2">
        <v>0.70652173913043481</v>
      </c>
      <c r="U236" s="2">
        <v>0.52845528455284552</v>
      </c>
      <c r="V236" s="2" t="s">
        <v>63</v>
      </c>
      <c r="W236" s="2" t="s">
        <v>1250</v>
      </c>
      <c r="X236" s="2" t="s">
        <v>1251</v>
      </c>
      <c r="Y236" s="2" t="b">
        <v>1</v>
      </c>
      <c r="Z236" s="2" t="s">
        <v>67</v>
      </c>
      <c r="AA236" s="2">
        <v>2.2999999999999998</v>
      </c>
    </row>
    <row r="237" spans="1:27" ht="15.75" hidden="1" customHeight="1" x14ac:dyDescent="0.3">
      <c r="A237" s="2" t="s">
        <v>360</v>
      </c>
      <c r="B237" s="2" t="s">
        <v>116</v>
      </c>
      <c r="C237" s="2" t="s">
        <v>939</v>
      </c>
      <c r="D237" s="2" t="s">
        <v>116</v>
      </c>
      <c r="E237" s="2" t="s">
        <v>82</v>
      </c>
      <c r="F237" s="2" t="s">
        <v>814</v>
      </c>
      <c r="G237" s="2" t="s">
        <v>42</v>
      </c>
      <c r="H237" s="2" t="s">
        <v>42</v>
      </c>
      <c r="I237" s="2" t="s">
        <v>239</v>
      </c>
      <c r="J237" s="2" t="s">
        <v>71</v>
      </c>
      <c r="K237" s="2" t="s">
        <v>1082</v>
      </c>
      <c r="L237" s="2" t="s">
        <v>1022</v>
      </c>
      <c r="M237" s="2" t="s">
        <v>264</v>
      </c>
      <c r="N237" s="2" t="s">
        <v>1083</v>
      </c>
      <c r="O237" s="2" t="s">
        <v>416</v>
      </c>
      <c r="P237" s="2" t="s">
        <v>267</v>
      </c>
      <c r="Q237" s="2">
        <v>57</v>
      </c>
      <c r="R237" s="2" t="b">
        <v>0</v>
      </c>
      <c r="S237" s="2">
        <v>0.53</v>
      </c>
      <c r="T237" s="2">
        <v>0.67948717948717952</v>
      </c>
      <c r="U237" s="2">
        <v>0.4344262295081967</v>
      </c>
      <c r="V237" s="2" t="s">
        <v>63</v>
      </c>
      <c r="W237" s="2" t="s">
        <v>1252</v>
      </c>
      <c r="X237" s="2" t="s">
        <v>1253</v>
      </c>
      <c r="Y237" s="2" t="b">
        <v>1</v>
      </c>
      <c r="Z237" s="2" t="s">
        <v>67</v>
      </c>
      <c r="AA237" s="2">
        <v>3.2</v>
      </c>
    </row>
    <row r="238" spans="1:27" ht="15.75" hidden="1" customHeight="1" x14ac:dyDescent="0.3">
      <c r="A238" s="2" t="s">
        <v>360</v>
      </c>
      <c r="B238" s="2" t="s">
        <v>116</v>
      </c>
      <c r="C238" s="2" t="s">
        <v>939</v>
      </c>
      <c r="D238" s="2" t="s">
        <v>116</v>
      </c>
      <c r="E238" s="2" t="s">
        <v>82</v>
      </c>
      <c r="F238" s="2" t="s">
        <v>814</v>
      </c>
      <c r="G238" s="2" t="s">
        <v>42</v>
      </c>
      <c r="H238" s="2" t="s">
        <v>42</v>
      </c>
      <c r="I238" s="2" t="s">
        <v>239</v>
      </c>
      <c r="J238" s="2" t="s">
        <v>71</v>
      </c>
      <c r="K238" s="2" t="s">
        <v>1086</v>
      </c>
      <c r="L238" s="2" t="s">
        <v>1022</v>
      </c>
      <c r="M238" s="2" t="s">
        <v>264</v>
      </c>
      <c r="N238" s="2" t="s">
        <v>1087</v>
      </c>
      <c r="O238" s="2" t="s">
        <v>430</v>
      </c>
      <c r="P238" s="2" t="s">
        <v>267</v>
      </c>
      <c r="Q238" s="2">
        <v>58</v>
      </c>
      <c r="R238" s="2" t="b">
        <v>0</v>
      </c>
      <c r="S238" s="2">
        <v>0.5106382978723405</v>
      </c>
      <c r="T238" s="2">
        <v>0.5714285714285714</v>
      </c>
      <c r="U238" s="2">
        <v>0.46153846153846162</v>
      </c>
      <c r="V238" s="2" t="s">
        <v>63</v>
      </c>
      <c r="W238" s="2" t="s">
        <v>1254</v>
      </c>
      <c r="X238" s="2" t="s">
        <v>1255</v>
      </c>
      <c r="Y238" s="2" t="b">
        <v>1</v>
      </c>
      <c r="Z238" s="2" t="s">
        <v>67</v>
      </c>
      <c r="AA238" s="2">
        <v>2.7</v>
      </c>
    </row>
    <row r="239" spans="1:27" ht="15.75" hidden="1" customHeight="1" x14ac:dyDescent="0.3">
      <c r="A239" s="2" t="s">
        <v>360</v>
      </c>
      <c r="B239" s="2" t="s">
        <v>116</v>
      </c>
      <c r="C239" s="2" t="s">
        <v>939</v>
      </c>
      <c r="D239" s="2" t="s">
        <v>116</v>
      </c>
      <c r="E239" s="2" t="s">
        <v>82</v>
      </c>
      <c r="F239" s="2" t="s">
        <v>814</v>
      </c>
      <c r="G239" s="2" t="s">
        <v>42</v>
      </c>
      <c r="H239" s="2" t="s">
        <v>42</v>
      </c>
      <c r="I239" s="2" t="s">
        <v>239</v>
      </c>
      <c r="J239" s="2" t="s">
        <v>71</v>
      </c>
      <c r="K239" s="2" t="s">
        <v>1090</v>
      </c>
      <c r="L239" s="2" t="s">
        <v>1022</v>
      </c>
      <c r="M239" s="2" t="s">
        <v>264</v>
      </c>
      <c r="N239" s="2" t="s">
        <v>1091</v>
      </c>
      <c r="O239" s="2" t="s">
        <v>447</v>
      </c>
      <c r="P239" s="2" t="s">
        <v>267</v>
      </c>
      <c r="Q239" s="2">
        <v>59</v>
      </c>
      <c r="R239" s="2" t="b">
        <v>0</v>
      </c>
      <c r="S239" s="2">
        <v>0.65560165975103735</v>
      </c>
      <c r="T239" s="2">
        <v>0.66949152542372881</v>
      </c>
      <c r="U239" s="2">
        <v>0.64227642276422769</v>
      </c>
      <c r="V239" s="2" t="s">
        <v>63</v>
      </c>
      <c r="W239" s="2" t="s">
        <v>1256</v>
      </c>
      <c r="X239" s="2" t="s">
        <v>1257</v>
      </c>
      <c r="Y239" s="2" t="b">
        <v>1</v>
      </c>
      <c r="Z239" s="2" t="s">
        <v>67</v>
      </c>
      <c r="AA239" s="2">
        <v>2</v>
      </c>
    </row>
    <row r="240" spans="1:27" ht="15.75" hidden="1" customHeight="1" x14ac:dyDescent="0.3">
      <c r="A240" s="2" t="s">
        <v>360</v>
      </c>
      <c r="B240" s="2" t="s">
        <v>116</v>
      </c>
      <c r="C240" s="2" t="s">
        <v>939</v>
      </c>
      <c r="D240" s="2" t="s">
        <v>116</v>
      </c>
      <c r="E240" s="2" t="s">
        <v>82</v>
      </c>
      <c r="F240" s="2" t="s">
        <v>814</v>
      </c>
      <c r="G240" s="2" t="s">
        <v>42</v>
      </c>
      <c r="H240" s="2" t="s">
        <v>42</v>
      </c>
      <c r="I240" s="2" t="s">
        <v>239</v>
      </c>
      <c r="J240" s="2" t="s">
        <v>71</v>
      </c>
      <c r="K240" s="2" t="s">
        <v>1094</v>
      </c>
      <c r="L240" s="2" t="s">
        <v>1022</v>
      </c>
      <c r="M240" s="2" t="s">
        <v>264</v>
      </c>
      <c r="N240" s="2" t="s">
        <v>1095</v>
      </c>
      <c r="O240" s="2" t="s">
        <v>457</v>
      </c>
      <c r="P240" s="2" t="s">
        <v>267</v>
      </c>
      <c r="Q240" s="2">
        <v>60</v>
      </c>
      <c r="R240" s="2" t="b">
        <v>0</v>
      </c>
      <c r="S240" s="2">
        <v>0.48167539267015708</v>
      </c>
      <c r="T240" s="2">
        <v>0.58227848101265822</v>
      </c>
      <c r="U240" s="2">
        <v>0.4107142857142857</v>
      </c>
      <c r="V240" s="2" t="s">
        <v>63</v>
      </c>
      <c r="W240" s="2" t="s">
        <v>1258</v>
      </c>
      <c r="X240" s="2" t="s">
        <v>1259</v>
      </c>
      <c r="Y240" s="2" t="b">
        <v>1</v>
      </c>
      <c r="Z240" s="2" t="s">
        <v>67</v>
      </c>
      <c r="AA240" s="2">
        <v>2.4</v>
      </c>
    </row>
    <row r="241" spans="1:28" ht="15.75" hidden="1" customHeight="1" x14ac:dyDescent="0.3">
      <c r="A241" s="2" t="s">
        <v>360</v>
      </c>
      <c r="B241" s="2" t="s">
        <v>116</v>
      </c>
      <c r="C241" s="2" t="s">
        <v>939</v>
      </c>
      <c r="D241" s="2" t="s">
        <v>116</v>
      </c>
      <c r="E241" s="2" t="s">
        <v>82</v>
      </c>
      <c r="F241" s="2" t="s">
        <v>814</v>
      </c>
      <c r="G241" s="2" t="s">
        <v>42</v>
      </c>
      <c r="H241" s="2" t="s">
        <v>42</v>
      </c>
      <c r="I241" s="2" t="s">
        <v>239</v>
      </c>
      <c r="J241" s="2" t="s">
        <v>71</v>
      </c>
      <c r="K241" s="2" t="s">
        <v>1098</v>
      </c>
      <c r="L241" s="2" t="s">
        <v>1022</v>
      </c>
      <c r="M241" s="2" t="s">
        <v>264</v>
      </c>
      <c r="N241" s="2" t="s">
        <v>1099</v>
      </c>
      <c r="O241" s="2" t="s">
        <v>475</v>
      </c>
      <c r="P241" s="2" t="s">
        <v>267</v>
      </c>
      <c r="Q241" s="2">
        <v>61</v>
      </c>
      <c r="R241" s="2" t="b">
        <v>0</v>
      </c>
      <c r="S241" s="2">
        <v>0.54644808743169404</v>
      </c>
      <c r="T241" s="2">
        <v>0.66666666666666663</v>
      </c>
      <c r="U241" s="2">
        <v>0.46296296296296302</v>
      </c>
      <c r="V241" s="2" t="s">
        <v>63</v>
      </c>
      <c r="W241" s="2" t="s">
        <v>1260</v>
      </c>
      <c r="X241" s="2" t="s">
        <v>1261</v>
      </c>
      <c r="Y241" s="2" t="b">
        <v>1</v>
      </c>
      <c r="Z241" s="2" t="s">
        <v>67</v>
      </c>
      <c r="AA241" s="2">
        <v>1.9</v>
      </c>
    </row>
    <row r="242" spans="1:28" ht="15.75" hidden="1" customHeight="1" x14ac:dyDescent="0.3">
      <c r="A242" s="2" t="s">
        <v>45</v>
      </c>
      <c r="B242" s="2" t="s">
        <v>32</v>
      </c>
      <c r="C242" s="2" t="s">
        <v>1262</v>
      </c>
      <c r="D242" s="2" t="s">
        <v>32</v>
      </c>
      <c r="E242" s="2" t="s">
        <v>43</v>
      </c>
      <c r="F242" s="2" t="s">
        <v>46</v>
      </c>
      <c r="G242" s="2" t="s">
        <v>42</v>
      </c>
      <c r="H242" s="2" t="s">
        <v>42</v>
      </c>
      <c r="I242" s="2" t="s">
        <v>47</v>
      </c>
      <c r="J242" s="2" t="s">
        <v>44</v>
      </c>
      <c r="K242" s="2" t="s">
        <v>1263</v>
      </c>
      <c r="L242" s="2" t="s">
        <v>1264</v>
      </c>
      <c r="M242" s="2" t="s">
        <v>52</v>
      </c>
      <c r="N242" s="2" t="s">
        <v>1265</v>
      </c>
      <c r="O242" s="2" t="s">
        <v>55</v>
      </c>
      <c r="P242" s="2" t="s">
        <v>56</v>
      </c>
      <c r="Q242" s="2">
        <v>42</v>
      </c>
      <c r="R242" s="2" t="b">
        <v>1</v>
      </c>
      <c r="S242" s="2">
        <v>0.68749999999999989</v>
      </c>
      <c r="T242" s="2">
        <v>0.76063829787234039</v>
      </c>
      <c r="U242" s="2">
        <v>0.6271929824561403</v>
      </c>
      <c r="V242" s="2" t="s">
        <v>63</v>
      </c>
      <c r="W242" s="2" t="s">
        <v>1266</v>
      </c>
      <c r="X242" s="2" t="s">
        <v>1267</v>
      </c>
      <c r="Y242" s="2" t="b">
        <v>0</v>
      </c>
      <c r="Z242" s="2" t="s">
        <v>67</v>
      </c>
      <c r="AA242" s="2">
        <v>86.7</v>
      </c>
    </row>
    <row r="243" spans="1:28" ht="15.75" hidden="1" customHeight="1" x14ac:dyDescent="0.3">
      <c r="A243" s="2" t="s">
        <v>45</v>
      </c>
      <c r="B243" s="2" t="s">
        <v>32</v>
      </c>
      <c r="C243" s="2" t="s">
        <v>1262</v>
      </c>
      <c r="D243" s="2" t="s">
        <v>32</v>
      </c>
      <c r="E243" s="2" t="s">
        <v>43</v>
      </c>
      <c r="F243" s="2" t="s">
        <v>46</v>
      </c>
      <c r="G243" s="2" t="s">
        <v>42</v>
      </c>
      <c r="H243" s="2" t="s">
        <v>42</v>
      </c>
      <c r="I243" s="2" t="s">
        <v>47</v>
      </c>
      <c r="J243" s="2" t="s">
        <v>44</v>
      </c>
      <c r="K243" s="2" t="s">
        <v>1268</v>
      </c>
      <c r="L243" s="2" t="s">
        <v>1264</v>
      </c>
      <c r="M243" s="2" t="s">
        <v>52</v>
      </c>
      <c r="N243" s="2" t="s">
        <v>1269</v>
      </c>
      <c r="O243" s="2" t="s">
        <v>73</v>
      </c>
      <c r="P243" s="2" t="s">
        <v>56</v>
      </c>
      <c r="Q243" s="2">
        <v>43</v>
      </c>
      <c r="R243" s="2" t="b">
        <v>1</v>
      </c>
      <c r="S243" s="2">
        <v>0.69209809264305189</v>
      </c>
      <c r="T243" s="2">
        <v>0.76506024096385539</v>
      </c>
      <c r="U243" s="2">
        <v>0.63184079601990051</v>
      </c>
      <c r="V243" s="2" t="s">
        <v>63</v>
      </c>
      <c r="W243" s="2" t="s">
        <v>1270</v>
      </c>
      <c r="X243" s="2" t="s">
        <v>1271</v>
      </c>
      <c r="Y243" s="2" t="b">
        <v>0</v>
      </c>
      <c r="Z243" s="2" t="s">
        <v>67</v>
      </c>
      <c r="AA243" s="2">
        <v>132.80000000000001</v>
      </c>
    </row>
    <row r="244" spans="1:28" ht="15.75" hidden="1" customHeight="1" x14ac:dyDescent="0.3">
      <c r="A244" s="2" t="s">
        <v>45</v>
      </c>
      <c r="B244" s="2" t="s">
        <v>32</v>
      </c>
      <c r="C244" s="2" t="s">
        <v>1262</v>
      </c>
      <c r="D244" s="2" t="s">
        <v>32</v>
      </c>
      <c r="E244" s="2" t="s">
        <v>43</v>
      </c>
      <c r="F244" s="2" t="s">
        <v>46</v>
      </c>
      <c r="G244" s="2" t="s">
        <v>42</v>
      </c>
      <c r="H244" s="2" t="s">
        <v>42</v>
      </c>
      <c r="I244" s="2" t="s">
        <v>47</v>
      </c>
      <c r="J244" s="2" t="s">
        <v>44</v>
      </c>
      <c r="K244" s="2" t="s">
        <v>1272</v>
      </c>
      <c r="L244" s="2" t="s">
        <v>1264</v>
      </c>
      <c r="M244" s="2" t="s">
        <v>52</v>
      </c>
      <c r="N244" s="2" t="s">
        <v>1273</v>
      </c>
      <c r="O244" s="2" t="s">
        <v>84</v>
      </c>
      <c r="P244" s="2" t="s">
        <v>56</v>
      </c>
      <c r="Q244" s="2">
        <v>44</v>
      </c>
      <c r="R244" s="2" t="b">
        <v>1</v>
      </c>
      <c r="S244" s="2">
        <v>0.69610389610389611</v>
      </c>
      <c r="T244" s="2">
        <v>0.76571428571428568</v>
      </c>
      <c r="U244" s="2">
        <v>0.63809523809523805</v>
      </c>
      <c r="V244" s="2" t="s">
        <v>63</v>
      </c>
      <c r="W244" s="2" t="s">
        <v>1274</v>
      </c>
      <c r="X244" s="2" t="s">
        <v>1275</v>
      </c>
      <c r="Y244" s="2" t="b">
        <v>0</v>
      </c>
      <c r="Z244" s="2" t="s">
        <v>67</v>
      </c>
      <c r="AA244" s="2">
        <v>80.5</v>
      </c>
    </row>
    <row r="245" spans="1:28" ht="15.75" hidden="1" customHeight="1" x14ac:dyDescent="0.3">
      <c r="A245" s="2" t="s">
        <v>45</v>
      </c>
      <c r="B245" s="2" t="s">
        <v>32</v>
      </c>
      <c r="C245" s="2" t="s">
        <v>1262</v>
      </c>
      <c r="D245" s="2" t="s">
        <v>32</v>
      </c>
      <c r="E245" s="2" t="s">
        <v>43</v>
      </c>
      <c r="F245" s="2" t="s">
        <v>46</v>
      </c>
      <c r="G245" s="2" t="s">
        <v>42</v>
      </c>
      <c r="H245" s="2" t="s">
        <v>42</v>
      </c>
      <c r="I245" s="2" t="s">
        <v>47</v>
      </c>
      <c r="J245" s="2" t="s">
        <v>44</v>
      </c>
      <c r="K245" s="2" t="s">
        <v>1276</v>
      </c>
      <c r="L245" s="2" t="s">
        <v>1264</v>
      </c>
      <c r="M245" s="2" t="s">
        <v>52</v>
      </c>
      <c r="N245" s="2" t="s">
        <v>1277</v>
      </c>
      <c r="O245" s="2" t="s">
        <v>93</v>
      </c>
      <c r="P245" s="2" t="s">
        <v>56</v>
      </c>
      <c r="Q245" s="2">
        <v>45</v>
      </c>
      <c r="R245" s="2" t="b">
        <v>1</v>
      </c>
      <c r="S245" s="2">
        <v>0.72533333333333339</v>
      </c>
      <c r="T245" s="2">
        <v>0.79532163742690054</v>
      </c>
      <c r="U245" s="2">
        <v>0.66666666666666663</v>
      </c>
      <c r="V245" s="2" t="s">
        <v>63</v>
      </c>
      <c r="W245" s="2" t="s">
        <v>1278</v>
      </c>
      <c r="X245" s="2" t="s">
        <v>1279</v>
      </c>
      <c r="Y245" s="2" t="b">
        <v>0</v>
      </c>
      <c r="Z245" s="2" t="s">
        <v>67</v>
      </c>
      <c r="AA245" s="2">
        <v>80.7</v>
      </c>
    </row>
    <row r="246" spans="1:28" ht="15.75" hidden="1" customHeight="1" x14ac:dyDescent="0.3">
      <c r="A246" s="2" t="s">
        <v>45</v>
      </c>
      <c r="B246" s="2" t="s">
        <v>32</v>
      </c>
      <c r="C246" s="2" t="s">
        <v>1262</v>
      </c>
      <c r="D246" s="2" t="s">
        <v>32</v>
      </c>
      <c r="E246" s="2" t="s">
        <v>43</v>
      </c>
      <c r="F246" s="2" t="s">
        <v>46</v>
      </c>
      <c r="G246" s="2" t="s">
        <v>42</v>
      </c>
      <c r="H246" s="2" t="s">
        <v>42</v>
      </c>
      <c r="I246" s="2" t="s">
        <v>47</v>
      </c>
      <c r="J246" s="2" t="s">
        <v>44</v>
      </c>
      <c r="K246" s="2" t="s">
        <v>1280</v>
      </c>
      <c r="L246" s="2" t="s">
        <v>1264</v>
      </c>
      <c r="M246" s="2" t="s">
        <v>52</v>
      </c>
      <c r="N246" s="2" t="s">
        <v>1281</v>
      </c>
      <c r="O246" s="2" t="s">
        <v>104</v>
      </c>
      <c r="P246" s="2" t="s">
        <v>56</v>
      </c>
      <c r="Q246" s="2">
        <v>46</v>
      </c>
      <c r="R246" s="2" t="b">
        <v>1</v>
      </c>
      <c r="S246" s="2">
        <v>0.6846361185983828</v>
      </c>
      <c r="T246" s="2">
        <v>0.78395061728395066</v>
      </c>
      <c r="U246" s="2">
        <v>0.60765550239234445</v>
      </c>
      <c r="V246" s="2" t="s">
        <v>63</v>
      </c>
      <c r="W246" s="2" t="s">
        <v>1282</v>
      </c>
      <c r="X246" s="2" t="s">
        <v>1283</v>
      </c>
      <c r="Y246" s="2" t="b">
        <v>0</v>
      </c>
      <c r="Z246" s="2" t="s">
        <v>67</v>
      </c>
      <c r="AA246" s="2">
        <v>133.6</v>
      </c>
    </row>
    <row r="247" spans="1:28" ht="15.75" hidden="1" customHeight="1" x14ac:dyDescent="0.3">
      <c r="A247" s="2" t="s">
        <v>45</v>
      </c>
      <c r="B247" s="2" t="s">
        <v>32</v>
      </c>
      <c r="C247" s="2" t="s">
        <v>1262</v>
      </c>
      <c r="D247" s="2" t="s">
        <v>32</v>
      </c>
      <c r="E247" s="2" t="s">
        <v>43</v>
      </c>
      <c r="F247" s="2" t="s">
        <v>46</v>
      </c>
      <c r="G247" s="2" t="s">
        <v>42</v>
      </c>
      <c r="H247" s="2" t="s">
        <v>42</v>
      </c>
      <c r="I247" s="2" t="s">
        <v>47</v>
      </c>
      <c r="J247" s="2" t="s">
        <v>44</v>
      </c>
      <c r="K247" s="2" t="s">
        <v>1284</v>
      </c>
      <c r="L247" s="2" t="s">
        <v>1264</v>
      </c>
      <c r="M247" s="2" t="s">
        <v>52</v>
      </c>
      <c r="N247" s="2" t="s">
        <v>1285</v>
      </c>
      <c r="O247" s="2" t="s">
        <v>114</v>
      </c>
      <c r="P247" s="2" t="s">
        <v>56</v>
      </c>
      <c r="Q247" s="2">
        <v>47</v>
      </c>
      <c r="R247" s="2" t="b">
        <v>1</v>
      </c>
      <c r="S247" s="2">
        <v>0.72499999999999998</v>
      </c>
      <c r="T247" s="2">
        <v>0.78378378378378377</v>
      </c>
      <c r="U247" s="2">
        <v>0.67441860465116277</v>
      </c>
      <c r="V247" s="2" t="s">
        <v>63</v>
      </c>
      <c r="W247" s="2" t="s">
        <v>1286</v>
      </c>
      <c r="X247" s="2" t="s">
        <v>1287</v>
      </c>
      <c r="Y247" s="2" t="b">
        <v>0</v>
      </c>
      <c r="Z247" s="2" t="s">
        <v>67</v>
      </c>
      <c r="AA247" s="2">
        <v>80.599999999999994</v>
      </c>
    </row>
    <row r="248" spans="1:28" ht="15.75" hidden="1" customHeight="1" x14ac:dyDescent="0.3">
      <c r="A248" s="2" t="s">
        <v>45</v>
      </c>
      <c r="B248" s="2" t="s">
        <v>32</v>
      </c>
      <c r="C248" s="2" t="s">
        <v>1262</v>
      </c>
      <c r="D248" s="2" t="s">
        <v>32</v>
      </c>
      <c r="E248" s="2" t="s">
        <v>43</v>
      </c>
      <c r="F248" s="2" t="s">
        <v>46</v>
      </c>
      <c r="G248" s="2" t="s">
        <v>42</v>
      </c>
      <c r="H248" s="2" t="s">
        <v>42</v>
      </c>
      <c r="I248" s="2" t="s">
        <v>47</v>
      </c>
      <c r="J248" s="2" t="s">
        <v>44</v>
      </c>
      <c r="K248" s="2" t="s">
        <v>1288</v>
      </c>
      <c r="L248" s="2" t="s">
        <v>1264</v>
      </c>
      <c r="M248" s="2" t="s">
        <v>52</v>
      </c>
      <c r="N248" s="2" t="s">
        <v>1289</v>
      </c>
      <c r="O248" s="2" t="s">
        <v>125</v>
      </c>
      <c r="P248" s="2" t="s">
        <v>56</v>
      </c>
      <c r="Q248" s="2">
        <v>48</v>
      </c>
      <c r="R248" s="2" t="b">
        <v>1</v>
      </c>
      <c r="S248" s="2">
        <v>0.62589928057553956</v>
      </c>
      <c r="T248" s="2">
        <v>0.65413533834586468</v>
      </c>
      <c r="U248" s="2">
        <v>0.6</v>
      </c>
      <c r="V248" s="2" t="s">
        <v>63</v>
      </c>
      <c r="W248" s="2" t="s">
        <v>1290</v>
      </c>
      <c r="X248" s="2" t="s">
        <v>1291</v>
      </c>
      <c r="Y248" s="2" t="b">
        <v>0</v>
      </c>
      <c r="Z248" s="2" t="s">
        <v>67</v>
      </c>
      <c r="AA248" s="2">
        <v>79.900000000000006</v>
      </c>
    </row>
    <row r="249" spans="1:28" ht="15.75" hidden="1" customHeight="1" x14ac:dyDescent="0.3">
      <c r="A249" s="2" t="s">
        <v>45</v>
      </c>
      <c r="B249" s="2" t="s">
        <v>32</v>
      </c>
      <c r="C249" s="2" t="s">
        <v>1262</v>
      </c>
      <c r="D249" s="2" t="s">
        <v>32</v>
      </c>
      <c r="E249" s="2" t="s">
        <v>43</v>
      </c>
      <c r="F249" s="2" t="s">
        <v>46</v>
      </c>
      <c r="G249" s="2" t="s">
        <v>42</v>
      </c>
      <c r="H249" s="2" t="s">
        <v>42</v>
      </c>
      <c r="I249" s="2" t="s">
        <v>47</v>
      </c>
      <c r="J249" s="2" t="s">
        <v>44</v>
      </c>
      <c r="K249" s="2" t="s">
        <v>1292</v>
      </c>
      <c r="L249" s="2" t="s">
        <v>1264</v>
      </c>
      <c r="M249" s="2" t="s">
        <v>52</v>
      </c>
      <c r="N249" s="2" t="s">
        <v>1293</v>
      </c>
      <c r="O249" s="2" t="s">
        <v>134</v>
      </c>
      <c r="P249" s="2" t="s">
        <v>56</v>
      </c>
      <c r="Q249" s="2">
        <v>49</v>
      </c>
      <c r="R249" s="2" t="b">
        <v>1</v>
      </c>
      <c r="S249" s="2">
        <v>0.65274151436031325</v>
      </c>
      <c r="T249" s="2">
        <v>0.73964497041420119</v>
      </c>
      <c r="U249" s="2">
        <v>0.58411214953271029</v>
      </c>
      <c r="V249" s="2" t="s">
        <v>63</v>
      </c>
      <c r="W249" s="2" t="s">
        <v>1294</v>
      </c>
      <c r="X249" s="2" t="s">
        <v>1295</v>
      </c>
      <c r="Y249" s="2" t="b">
        <v>0</v>
      </c>
      <c r="Z249" s="2" t="s">
        <v>67</v>
      </c>
      <c r="AA249" s="2">
        <v>128.9</v>
      </c>
    </row>
    <row r="250" spans="1:28" ht="15.75" hidden="1" customHeight="1" x14ac:dyDescent="0.3">
      <c r="A250" s="2" t="s">
        <v>45</v>
      </c>
      <c r="B250" s="2" t="s">
        <v>32</v>
      </c>
      <c r="C250" s="2" t="s">
        <v>1262</v>
      </c>
      <c r="D250" s="2" t="s">
        <v>32</v>
      </c>
      <c r="E250" s="2" t="s">
        <v>43</v>
      </c>
      <c r="F250" s="2" t="s">
        <v>46</v>
      </c>
      <c r="G250" s="2" t="s">
        <v>42</v>
      </c>
      <c r="H250" s="2" t="s">
        <v>42</v>
      </c>
      <c r="I250" s="2" t="s">
        <v>47</v>
      </c>
      <c r="J250" s="2" t="s">
        <v>44</v>
      </c>
      <c r="K250" s="2" t="s">
        <v>1296</v>
      </c>
      <c r="L250" s="2" t="s">
        <v>1297</v>
      </c>
      <c r="M250" s="2" t="s">
        <v>1298</v>
      </c>
      <c r="N250" s="2" t="s">
        <v>1299</v>
      </c>
      <c r="O250" s="2" t="s">
        <v>145</v>
      </c>
      <c r="P250" s="2" t="s">
        <v>1300</v>
      </c>
      <c r="Q250" s="2">
        <v>50</v>
      </c>
      <c r="R250" s="2" t="b">
        <v>1</v>
      </c>
      <c r="S250" s="2">
        <v>0.7386934673366834</v>
      </c>
      <c r="T250" s="2">
        <v>0.76963350785340312</v>
      </c>
      <c r="U250" s="2">
        <v>0.71014492753623193</v>
      </c>
      <c r="V250" s="2" t="s">
        <v>63</v>
      </c>
      <c r="W250" s="2" t="s">
        <v>1301</v>
      </c>
      <c r="X250" s="2" t="s">
        <v>1302</v>
      </c>
      <c r="Y250" s="2" t="b">
        <v>0</v>
      </c>
      <c r="Z250" s="2" t="s">
        <v>67</v>
      </c>
      <c r="AA250" s="2">
        <v>133.30000000000001</v>
      </c>
      <c r="AB250" s="2" t="s">
        <v>74</v>
      </c>
    </row>
    <row r="251" spans="1:28" ht="15.75" hidden="1" customHeight="1" x14ac:dyDescent="0.3">
      <c r="A251" s="2" t="s">
        <v>45</v>
      </c>
      <c r="B251" s="2" t="s">
        <v>32</v>
      </c>
      <c r="C251" s="2" t="s">
        <v>1262</v>
      </c>
      <c r="D251" s="2" t="s">
        <v>32</v>
      </c>
      <c r="E251" s="2" t="s">
        <v>43</v>
      </c>
      <c r="F251" s="2" t="s">
        <v>46</v>
      </c>
      <c r="G251" s="2" t="s">
        <v>42</v>
      </c>
      <c r="H251" s="2" t="s">
        <v>42</v>
      </c>
      <c r="I251" s="2" t="s">
        <v>47</v>
      </c>
      <c r="J251" s="2" t="s">
        <v>44</v>
      </c>
      <c r="K251" s="2" t="s">
        <v>1303</v>
      </c>
      <c r="L251" s="2" t="s">
        <v>1297</v>
      </c>
      <c r="M251" s="2" t="s">
        <v>1298</v>
      </c>
      <c r="N251" s="2" t="s">
        <v>1304</v>
      </c>
      <c r="O251" s="2" t="s">
        <v>156</v>
      </c>
      <c r="P251" s="2" t="s">
        <v>1300</v>
      </c>
      <c r="Q251" s="2">
        <v>51</v>
      </c>
      <c r="R251" s="2" t="b">
        <v>1</v>
      </c>
      <c r="S251" s="2">
        <v>0.6785714285714286</v>
      </c>
      <c r="T251" s="2">
        <v>0.77325581395348841</v>
      </c>
      <c r="U251" s="2">
        <v>0.6045454545454545</v>
      </c>
      <c r="V251" s="2" t="s">
        <v>63</v>
      </c>
      <c r="W251" s="2" t="s">
        <v>1305</v>
      </c>
      <c r="X251" s="2" t="s">
        <v>1306</v>
      </c>
      <c r="Y251" s="2" t="b">
        <v>0</v>
      </c>
      <c r="Z251" s="2" t="s">
        <v>67</v>
      </c>
      <c r="AA251" s="2">
        <v>131.9</v>
      </c>
      <c r="AB251" s="2" t="s">
        <v>74</v>
      </c>
    </row>
    <row r="252" spans="1:28" ht="15.75" hidden="1" customHeight="1" x14ac:dyDescent="0.3">
      <c r="A252" s="2" t="s">
        <v>45</v>
      </c>
      <c r="B252" s="2" t="s">
        <v>32</v>
      </c>
      <c r="C252" s="2" t="s">
        <v>1262</v>
      </c>
      <c r="D252" s="2" t="s">
        <v>32</v>
      </c>
      <c r="E252" s="2" t="s">
        <v>43</v>
      </c>
      <c r="F252" s="2" t="s">
        <v>46</v>
      </c>
      <c r="G252" s="2" t="s">
        <v>42</v>
      </c>
      <c r="H252" s="2" t="s">
        <v>42</v>
      </c>
      <c r="I252" s="2" t="s">
        <v>47</v>
      </c>
      <c r="J252" s="2" t="s">
        <v>44</v>
      </c>
      <c r="K252" s="2" t="s">
        <v>1307</v>
      </c>
      <c r="L252" s="2" t="s">
        <v>1297</v>
      </c>
      <c r="M252" s="2" t="s">
        <v>1298</v>
      </c>
      <c r="N252" s="2" t="s">
        <v>1308</v>
      </c>
      <c r="O252" s="2" t="s">
        <v>165</v>
      </c>
      <c r="P252" s="2" t="s">
        <v>1300</v>
      </c>
      <c r="Q252" s="2">
        <v>52</v>
      </c>
      <c r="R252" s="2" t="b">
        <v>1</v>
      </c>
      <c r="S252" s="2">
        <v>0.7142857142857143</v>
      </c>
      <c r="T252" s="2">
        <v>0.7458563535911602</v>
      </c>
      <c r="U252" s="2">
        <v>0.68527918781725883</v>
      </c>
      <c r="V252" s="2" t="s">
        <v>63</v>
      </c>
      <c r="W252" s="2" t="s">
        <v>1309</v>
      </c>
      <c r="X252" s="2" t="s">
        <v>1310</v>
      </c>
      <c r="Y252" s="2" t="b">
        <v>0</v>
      </c>
      <c r="Z252" s="2" t="s">
        <v>67</v>
      </c>
      <c r="AA252" s="2">
        <v>132.1</v>
      </c>
      <c r="AB252" s="2" t="s">
        <v>74</v>
      </c>
    </row>
    <row r="253" spans="1:28" ht="15.75" hidden="1" customHeight="1" x14ac:dyDescent="0.3">
      <c r="A253" s="2" t="s">
        <v>45</v>
      </c>
      <c r="B253" s="2" t="s">
        <v>32</v>
      </c>
      <c r="C253" s="2" t="s">
        <v>1262</v>
      </c>
      <c r="D253" s="2" t="s">
        <v>32</v>
      </c>
      <c r="E253" s="2" t="s">
        <v>43</v>
      </c>
      <c r="F253" s="2" t="s">
        <v>46</v>
      </c>
      <c r="G253" s="2" t="s">
        <v>42</v>
      </c>
      <c r="H253" s="2" t="s">
        <v>42</v>
      </c>
      <c r="I253" s="2" t="s">
        <v>47</v>
      </c>
      <c r="J253" s="2" t="s">
        <v>44</v>
      </c>
      <c r="K253" s="2" t="s">
        <v>1311</v>
      </c>
      <c r="L253" s="2" t="s">
        <v>1297</v>
      </c>
      <c r="M253" s="2" t="s">
        <v>1298</v>
      </c>
      <c r="N253" s="2" t="s">
        <v>1312</v>
      </c>
      <c r="O253" s="2" t="s">
        <v>176</v>
      </c>
      <c r="P253" s="2" t="s">
        <v>1300</v>
      </c>
      <c r="Q253" s="2">
        <v>53</v>
      </c>
      <c r="R253" s="2" t="b">
        <v>1</v>
      </c>
      <c r="S253" s="2">
        <v>0.67716535433070857</v>
      </c>
      <c r="T253" s="2">
        <v>0.77710843373493976</v>
      </c>
      <c r="U253" s="2">
        <v>0.6</v>
      </c>
      <c r="V253" s="2" t="s">
        <v>63</v>
      </c>
      <c r="W253" s="2" t="s">
        <v>1313</v>
      </c>
      <c r="X253" s="2" t="s">
        <v>1314</v>
      </c>
      <c r="Y253" s="2" t="b">
        <v>0</v>
      </c>
      <c r="Z253" s="2" t="s">
        <v>67</v>
      </c>
      <c r="AA253" s="2">
        <v>134.19999999999999</v>
      </c>
      <c r="AB253" s="2" t="s">
        <v>74</v>
      </c>
    </row>
    <row r="254" spans="1:28" ht="15.75" hidden="1" customHeight="1" x14ac:dyDescent="0.3">
      <c r="A254" s="2" t="s">
        <v>45</v>
      </c>
      <c r="B254" s="2" t="s">
        <v>32</v>
      </c>
      <c r="C254" s="2" t="s">
        <v>1262</v>
      </c>
      <c r="D254" s="2" t="s">
        <v>32</v>
      </c>
      <c r="E254" s="2" t="s">
        <v>43</v>
      </c>
      <c r="F254" s="2" t="s">
        <v>46</v>
      </c>
      <c r="G254" s="2" t="s">
        <v>42</v>
      </c>
      <c r="H254" s="2" t="s">
        <v>42</v>
      </c>
      <c r="I254" s="2" t="s">
        <v>47</v>
      </c>
      <c r="J254" s="2" t="s">
        <v>44</v>
      </c>
      <c r="K254" s="2" t="s">
        <v>1315</v>
      </c>
      <c r="L254" s="2" t="s">
        <v>1297</v>
      </c>
      <c r="M254" s="2" t="s">
        <v>1298</v>
      </c>
      <c r="N254" s="2" t="s">
        <v>1316</v>
      </c>
      <c r="O254" s="2" t="s">
        <v>185</v>
      </c>
      <c r="P254" s="2" t="s">
        <v>1300</v>
      </c>
      <c r="Q254" s="2">
        <v>54</v>
      </c>
      <c r="R254" s="2" t="b">
        <v>1</v>
      </c>
      <c r="S254" s="2">
        <v>0.71325301204819269</v>
      </c>
      <c r="T254" s="2">
        <v>0.79569892473118276</v>
      </c>
      <c r="U254" s="2">
        <v>0.64628820960698685</v>
      </c>
      <c r="V254" s="2" t="s">
        <v>63</v>
      </c>
      <c r="W254" s="2" t="s">
        <v>1317</v>
      </c>
      <c r="X254" s="2" t="s">
        <v>1318</v>
      </c>
      <c r="Y254" s="2" t="b">
        <v>0</v>
      </c>
      <c r="Z254" s="2" t="s">
        <v>67</v>
      </c>
      <c r="AA254" s="2">
        <v>81.400000000000006</v>
      </c>
      <c r="AB254" s="2" t="s">
        <v>74</v>
      </c>
    </row>
    <row r="255" spans="1:28" ht="15.75" hidden="1" customHeight="1" x14ac:dyDescent="0.3">
      <c r="A255" s="2" t="s">
        <v>45</v>
      </c>
      <c r="B255" s="2" t="s">
        <v>32</v>
      </c>
      <c r="C255" s="2" t="s">
        <v>1262</v>
      </c>
      <c r="D255" s="2" t="s">
        <v>32</v>
      </c>
      <c r="E255" s="2" t="s">
        <v>43</v>
      </c>
      <c r="F255" s="2" t="s">
        <v>46</v>
      </c>
      <c r="G255" s="2" t="s">
        <v>42</v>
      </c>
      <c r="H255" s="2" t="s">
        <v>42</v>
      </c>
      <c r="I255" s="2" t="s">
        <v>47</v>
      </c>
      <c r="J255" s="2" t="s">
        <v>44</v>
      </c>
      <c r="K255" s="2" t="s">
        <v>1319</v>
      </c>
      <c r="L255" s="2" t="s">
        <v>1297</v>
      </c>
      <c r="M255" s="2" t="s">
        <v>1298</v>
      </c>
      <c r="N255" s="2" t="s">
        <v>1320</v>
      </c>
      <c r="O255" s="2" t="s">
        <v>192</v>
      </c>
      <c r="P255" s="2" t="s">
        <v>1300</v>
      </c>
      <c r="Q255" s="2">
        <v>55</v>
      </c>
      <c r="R255" s="2" t="b">
        <v>1</v>
      </c>
      <c r="S255" s="2">
        <v>0.7451923076923076</v>
      </c>
      <c r="T255" s="2">
        <v>0.82887700534759357</v>
      </c>
      <c r="U255" s="2">
        <v>0.67685589519650657</v>
      </c>
      <c r="V255" s="2" t="s">
        <v>63</v>
      </c>
      <c r="W255" s="2" t="s">
        <v>1321</v>
      </c>
      <c r="X255" s="2" t="s">
        <v>1322</v>
      </c>
      <c r="Y255" s="2" t="b">
        <v>0</v>
      </c>
      <c r="Z255" s="2" t="s">
        <v>67</v>
      </c>
      <c r="AA255" s="2">
        <v>81.3</v>
      </c>
      <c r="AB255" s="2" t="s">
        <v>74</v>
      </c>
    </row>
    <row r="256" spans="1:28" ht="15.75" hidden="1" customHeight="1" x14ac:dyDescent="0.3">
      <c r="A256" s="2" t="s">
        <v>45</v>
      </c>
      <c r="B256" s="2" t="s">
        <v>32</v>
      </c>
      <c r="C256" s="2" t="s">
        <v>1262</v>
      </c>
      <c r="D256" s="2" t="s">
        <v>32</v>
      </c>
      <c r="E256" s="2" t="s">
        <v>43</v>
      </c>
      <c r="F256" s="2" t="s">
        <v>46</v>
      </c>
      <c r="G256" s="2" t="s">
        <v>42</v>
      </c>
      <c r="H256" s="2" t="s">
        <v>42</v>
      </c>
      <c r="I256" s="2" t="s">
        <v>47</v>
      </c>
      <c r="J256" s="2" t="s">
        <v>44</v>
      </c>
      <c r="K256" s="2" t="s">
        <v>1323</v>
      </c>
      <c r="L256" s="2" t="s">
        <v>1297</v>
      </c>
      <c r="M256" s="2" t="s">
        <v>1298</v>
      </c>
      <c r="N256" s="2" t="s">
        <v>1324</v>
      </c>
      <c r="O256" s="2" t="s">
        <v>201</v>
      </c>
      <c r="P256" s="2" t="s">
        <v>1300</v>
      </c>
      <c r="Q256" s="2">
        <v>56</v>
      </c>
      <c r="R256" s="2" t="b">
        <v>1</v>
      </c>
      <c r="S256" s="2">
        <v>0.67005076142131981</v>
      </c>
      <c r="T256" s="2">
        <v>0.7857142857142857</v>
      </c>
      <c r="U256" s="2">
        <v>0.58407079646017701</v>
      </c>
      <c r="V256" s="2" t="s">
        <v>63</v>
      </c>
      <c r="W256" s="2" t="s">
        <v>1325</v>
      </c>
      <c r="X256" s="2" t="s">
        <v>1326</v>
      </c>
      <c r="Y256" s="2" t="b">
        <v>0</v>
      </c>
      <c r="Z256" s="2" t="s">
        <v>67</v>
      </c>
      <c r="AA256" s="2">
        <v>81.099999999999994</v>
      </c>
      <c r="AB256" s="2" t="s">
        <v>74</v>
      </c>
    </row>
    <row r="257" spans="1:28" ht="15.75" hidden="1" customHeight="1" x14ac:dyDescent="0.3">
      <c r="A257" s="2" t="s">
        <v>45</v>
      </c>
      <c r="B257" s="2" t="s">
        <v>32</v>
      </c>
      <c r="C257" s="2" t="s">
        <v>1262</v>
      </c>
      <c r="D257" s="2" t="s">
        <v>32</v>
      </c>
      <c r="E257" s="2" t="s">
        <v>43</v>
      </c>
      <c r="F257" s="2" t="s">
        <v>46</v>
      </c>
      <c r="G257" s="2" t="s">
        <v>42</v>
      </c>
      <c r="H257" s="2" t="s">
        <v>42</v>
      </c>
      <c r="I257" s="2" t="s">
        <v>47</v>
      </c>
      <c r="J257" s="2" t="s">
        <v>44</v>
      </c>
      <c r="K257" s="2" t="s">
        <v>1327</v>
      </c>
      <c r="L257" s="2" t="s">
        <v>1297</v>
      </c>
      <c r="M257" s="2" t="s">
        <v>1298</v>
      </c>
      <c r="N257" s="2" t="s">
        <v>1328</v>
      </c>
      <c r="O257" s="2" t="s">
        <v>210</v>
      </c>
      <c r="P257" s="2" t="s">
        <v>1300</v>
      </c>
      <c r="Q257" s="2">
        <v>57</v>
      </c>
      <c r="R257" s="2" t="b">
        <v>1</v>
      </c>
      <c r="S257" s="2">
        <v>0.70370370370370372</v>
      </c>
      <c r="T257" s="2">
        <v>0.78235294117647058</v>
      </c>
      <c r="U257" s="2">
        <v>0.63942307692307687</v>
      </c>
      <c r="V257" s="2" t="s">
        <v>63</v>
      </c>
      <c r="W257" s="2" t="s">
        <v>1329</v>
      </c>
      <c r="X257" s="2" t="s">
        <v>1330</v>
      </c>
      <c r="Y257" s="2" t="b">
        <v>0</v>
      </c>
      <c r="Z257" s="2" t="s">
        <v>67</v>
      </c>
      <c r="AA257" s="2">
        <v>81.5</v>
      </c>
      <c r="AB257" s="2" t="s">
        <v>74</v>
      </c>
    </row>
    <row r="258" spans="1:28" ht="15.75" hidden="1" customHeight="1" x14ac:dyDescent="0.3">
      <c r="A258" s="2" t="s">
        <v>45</v>
      </c>
      <c r="B258" s="2" t="s">
        <v>32</v>
      </c>
      <c r="C258" s="2" t="s">
        <v>1262</v>
      </c>
      <c r="D258" s="2" t="s">
        <v>32</v>
      </c>
      <c r="E258" s="2" t="s">
        <v>43</v>
      </c>
      <c r="F258" s="2" t="s">
        <v>46</v>
      </c>
      <c r="G258" s="2" t="s">
        <v>42</v>
      </c>
      <c r="H258" s="2" t="s">
        <v>42</v>
      </c>
      <c r="I258" s="2" t="s">
        <v>47</v>
      </c>
      <c r="J258" s="2" t="s">
        <v>44</v>
      </c>
      <c r="K258" s="2" t="s">
        <v>1331</v>
      </c>
      <c r="L258" s="2" t="s">
        <v>1297</v>
      </c>
      <c r="M258" s="2" t="s">
        <v>1298</v>
      </c>
      <c r="N258" s="2" t="s">
        <v>1332</v>
      </c>
      <c r="O258" s="2" t="s">
        <v>219</v>
      </c>
      <c r="P258" s="2" t="s">
        <v>1300</v>
      </c>
      <c r="Q258" s="2">
        <v>58</v>
      </c>
      <c r="R258" s="2" t="b">
        <v>1</v>
      </c>
      <c r="S258" s="2">
        <v>0.67320261437908491</v>
      </c>
      <c r="T258" s="2">
        <v>0.7862595419847328</v>
      </c>
      <c r="U258" s="2">
        <v>0.58857142857142852</v>
      </c>
      <c r="V258" s="2" t="s">
        <v>63</v>
      </c>
      <c r="W258" s="2" t="s">
        <v>1333</v>
      </c>
      <c r="X258" s="2" t="s">
        <v>1334</v>
      </c>
      <c r="Y258" s="2" t="b">
        <v>0</v>
      </c>
      <c r="Z258" s="2" t="s">
        <v>67</v>
      </c>
      <c r="AA258" s="2">
        <v>132.19999999999999</v>
      </c>
      <c r="AB258" s="2" t="s">
        <v>74</v>
      </c>
    </row>
    <row r="259" spans="1:28" ht="15.75" hidden="1" customHeight="1" x14ac:dyDescent="0.3">
      <c r="A259" s="2" t="s">
        <v>45</v>
      </c>
      <c r="B259" s="2" t="s">
        <v>32</v>
      </c>
      <c r="C259" s="2" t="s">
        <v>1262</v>
      </c>
      <c r="D259" s="2" t="s">
        <v>32</v>
      </c>
      <c r="E259" s="2" t="s">
        <v>43</v>
      </c>
      <c r="F259" s="2" t="s">
        <v>46</v>
      </c>
      <c r="G259" s="2" t="s">
        <v>42</v>
      </c>
      <c r="H259" s="2" t="s">
        <v>42</v>
      </c>
      <c r="I259" s="2" t="s">
        <v>47</v>
      </c>
      <c r="J259" s="2" t="s">
        <v>44</v>
      </c>
      <c r="K259" s="2" t="s">
        <v>1335</v>
      </c>
      <c r="L259" s="2" t="s">
        <v>1297</v>
      </c>
      <c r="M259" s="2" t="s">
        <v>1298</v>
      </c>
      <c r="N259" s="2" t="s">
        <v>1336</v>
      </c>
      <c r="O259" s="2" t="s">
        <v>232</v>
      </c>
      <c r="P259" s="2" t="s">
        <v>1300</v>
      </c>
      <c r="Q259" s="2">
        <v>59</v>
      </c>
      <c r="R259" s="2" t="b">
        <v>1</v>
      </c>
      <c r="S259" s="2">
        <v>0.63730569948186533</v>
      </c>
      <c r="T259" s="2">
        <v>0.62436548223350252</v>
      </c>
      <c r="U259" s="2">
        <v>0.65079365079365081</v>
      </c>
      <c r="V259" s="2" t="s">
        <v>63</v>
      </c>
      <c r="W259" s="2" t="s">
        <v>1337</v>
      </c>
      <c r="X259" s="2" t="s">
        <v>1338</v>
      </c>
      <c r="Y259" s="2" t="b">
        <v>0</v>
      </c>
      <c r="Z259" s="2" t="s">
        <v>67</v>
      </c>
      <c r="AA259" s="2">
        <v>81.8</v>
      </c>
      <c r="AB259" s="2" t="s">
        <v>74</v>
      </c>
    </row>
    <row r="260" spans="1:28" ht="15.75" hidden="1" customHeight="1" x14ac:dyDescent="0.3">
      <c r="A260" s="2" t="s">
        <v>45</v>
      </c>
      <c r="B260" s="2" t="s">
        <v>32</v>
      </c>
      <c r="C260" s="2" t="s">
        <v>1262</v>
      </c>
      <c r="D260" s="2" t="s">
        <v>32</v>
      </c>
      <c r="E260" s="2" t="s">
        <v>43</v>
      </c>
      <c r="F260" s="2" t="s">
        <v>46</v>
      </c>
      <c r="G260" s="2" t="s">
        <v>42</v>
      </c>
      <c r="H260" s="2" t="s">
        <v>42</v>
      </c>
      <c r="I260" s="2" t="s">
        <v>47</v>
      </c>
      <c r="J260" s="2" t="s">
        <v>44</v>
      </c>
      <c r="K260" s="2" t="s">
        <v>1339</v>
      </c>
      <c r="L260" s="2" t="s">
        <v>1297</v>
      </c>
      <c r="M260" s="2" t="s">
        <v>1298</v>
      </c>
      <c r="N260" s="2" t="s">
        <v>1340</v>
      </c>
      <c r="O260" s="2" t="s">
        <v>246</v>
      </c>
      <c r="P260" s="2" t="s">
        <v>1300</v>
      </c>
      <c r="Q260" s="2">
        <v>60</v>
      </c>
      <c r="R260" s="2" t="b">
        <v>1</v>
      </c>
      <c r="S260" s="2">
        <v>0.66508313539192387</v>
      </c>
      <c r="T260" s="2">
        <v>0.72916666666666663</v>
      </c>
      <c r="U260" s="2">
        <v>0.611353711790393</v>
      </c>
      <c r="V260" s="2" t="s">
        <v>63</v>
      </c>
      <c r="W260" s="2" t="s">
        <v>1341</v>
      </c>
      <c r="X260" s="2" t="s">
        <v>1342</v>
      </c>
      <c r="Y260" s="2" t="b">
        <v>0</v>
      </c>
      <c r="Z260" s="2" t="s">
        <v>67</v>
      </c>
      <c r="AA260" s="2">
        <v>80.900000000000006</v>
      </c>
      <c r="AB260" s="2" t="s">
        <v>74</v>
      </c>
    </row>
    <row r="261" spans="1:28" ht="15.75" hidden="1" customHeight="1" x14ac:dyDescent="0.3">
      <c r="A261" s="2" t="s">
        <v>45</v>
      </c>
      <c r="B261" s="2" t="s">
        <v>32</v>
      </c>
      <c r="C261" s="2" t="s">
        <v>1262</v>
      </c>
      <c r="D261" s="2" t="s">
        <v>32</v>
      </c>
      <c r="E261" s="2" t="s">
        <v>43</v>
      </c>
      <c r="F261" s="2" t="s">
        <v>46</v>
      </c>
      <c r="G261" s="2" t="s">
        <v>42</v>
      </c>
      <c r="H261" s="2" t="s">
        <v>42</v>
      </c>
      <c r="I261" s="2" t="s">
        <v>47</v>
      </c>
      <c r="J261" s="2" t="s">
        <v>44</v>
      </c>
      <c r="K261" s="2" t="s">
        <v>1343</v>
      </c>
      <c r="L261" s="2" t="s">
        <v>1297</v>
      </c>
      <c r="M261" s="2" t="s">
        <v>1298</v>
      </c>
      <c r="N261" s="2" t="s">
        <v>1344</v>
      </c>
      <c r="O261" s="2" t="s">
        <v>255</v>
      </c>
      <c r="P261" s="2" t="s">
        <v>1300</v>
      </c>
      <c r="Q261" s="2">
        <v>61</v>
      </c>
      <c r="R261" s="2" t="b">
        <v>1</v>
      </c>
      <c r="S261" s="2">
        <v>0.65238095238095239</v>
      </c>
      <c r="T261" s="2">
        <v>0.72872340425531912</v>
      </c>
      <c r="U261" s="2">
        <v>0.59051724137931039</v>
      </c>
      <c r="V261" s="2" t="s">
        <v>63</v>
      </c>
      <c r="W261" s="2" t="s">
        <v>1345</v>
      </c>
      <c r="X261" s="2" t="s">
        <v>1346</v>
      </c>
      <c r="Y261" s="2" t="b">
        <v>0</v>
      </c>
      <c r="Z261" s="2" t="s">
        <v>67</v>
      </c>
      <c r="AA261" s="2">
        <v>129.4</v>
      </c>
      <c r="AB261" s="2" t="s">
        <v>74</v>
      </c>
    </row>
    <row r="262" spans="1:28" ht="15.75" hidden="1" customHeight="1" x14ac:dyDescent="0.3">
      <c r="A262" s="2" t="s">
        <v>45</v>
      </c>
      <c r="B262" s="2" t="s">
        <v>32</v>
      </c>
      <c r="C262" s="2" t="s">
        <v>1262</v>
      </c>
      <c r="D262" s="2" t="s">
        <v>32</v>
      </c>
      <c r="E262" s="2" t="s">
        <v>43</v>
      </c>
      <c r="F262" s="2" t="s">
        <v>46</v>
      </c>
      <c r="G262" s="2" t="s">
        <v>42</v>
      </c>
      <c r="H262" s="2" t="s">
        <v>42</v>
      </c>
      <c r="I262" s="2" t="s">
        <v>239</v>
      </c>
      <c r="J262" s="2" t="s">
        <v>71</v>
      </c>
      <c r="K262" s="2" t="s">
        <v>1347</v>
      </c>
      <c r="L262" s="2" t="s">
        <v>1348</v>
      </c>
      <c r="M262" s="2" t="s">
        <v>1349</v>
      </c>
      <c r="N262" s="2" t="s">
        <v>1350</v>
      </c>
      <c r="O262" s="2" t="s">
        <v>266</v>
      </c>
      <c r="P262" s="2" t="s">
        <v>1351</v>
      </c>
      <c r="Q262" s="2">
        <v>42</v>
      </c>
      <c r="R262" s="2" t="b">
        <v>0</v>
      </c>
      <c r="S262" s="2">
        <v>0.6133333333333334</v>
      </c>
      <c r="T262" s="2">
        <v>0.74675324675324672</v>
      </c>
      <c r="U262" s="2">
        <v>0.52036199095022628</v>
      </c>
      <c r="V262" s="2" t="s">
        <v>63</v>
      </c>
      <c r="W262" s="2" t="s">
        <v>1352</v>
      </c>
      <c r="X262" s="2" t="s">
        <v>1353</v>
      </c>
      <c r="Y262" s="2" t="b">
        <v>0</v>
      </c>
      <c r="Z262" s="2" t="s">
        <v>67</v>
      </c>
      <c r="AA262" s="2">
        <v>80.7</v>
      </c>
      <c r="AB262" s="2" t="s">
        <v>74</v>
      </c>
    </row>
    <row r="263" spans="1:28" ht="15.75" hidden="1" customHeight="1" x14ac:dyDescent="0.3">
      <c r="A263" s="2" t="s">
        <v>45</v>
      </c>
      <c r="B263" s="2" t="s">
        <v>32</v>
      </c>
      <c r="C263" s="2" t="s">
        <v>1262</v>
      </c>
      <c r="D263" s="2" t="s">
        <v>32</v>
      </c>
      <c r="E263" s="2" t="s">
        <v>43</v>
      </c>
      <c r="F263" s="2" t="s">
        <v>46</v>
      </c>
      <c r="G263" s="2" t="s">
        <v>42</v>
      </c>
      <c r="H263" s="2" t="s">
        <v>42</v>
      </c>
      <c r="I263" s="2" t="s">
        <v>239</v>
      </c>
      <c r="J263" s="2" t="s">
        <v>71</v>
      </c>
      <c r="K263" s="2" t="s">
        <v>1354</v>
      </c>
      <c r="L263" s="2" t="s">
        <v>1348</v>
      </c>
      <c r="M263" s="2" t="s">
        <v>1349</v>
      </c>
      <c r="N263" s="2" t="s">
        <v>1355</v>
      </c>
      <c r="O263" s="2" t="s">
        <v>276</v>
      </c>
      <c r="P263" s="2" t="s">
        <v>1351</v>
      </c>
      <c r="Q263" s="2">
        <v>43</v>
      </c>
      <c r="R263" s="2" t="b">
        <v>0</v>
      </c>
      <c r="S263" s="2">
        <v>0.67567567567567577</v>
      </c>
      <c r="T263" s="2">
        <v>0.74850299401197606</v>
      </c>
      <c r="U263" s="2">
        <v>0.61576354679802958</v>
      </c>
      <c r="V263" s="2" t="s">
        <v>63</v>
      </c>
      <c r="W263" s="2" t="s">
        <v>1356</v>
      </c>
      <c r="X263" s="2" t="s">
        <v>1357</v>
      </c>
      <c r="Y263" s="2" t="b">
        <v>0</v>
      </c>
      <c r="Z263" s="2" t="s">
        <v>67</v>
      </c>
      <c r="AA263" s="2">
        <v>129.1</v>
      </c>
      <c r="AB263" s="2" t="s">
        <v>74</v>
      </c>
    </row>
    <row r="264" spans="1:28" ht="15.75" hidden="1" customHeight="1" x14ac:dyDescent="0.3">
      <c r="A264" s="2" t="s">
        <v>45</v>
      </c>
      <c r="B264" s="2" t="s">
        <v>32</v>
      </c>
      <c r="C264" s="2" t="s">
        <v>1262</v>
      </c>
      <c r="D264" s="2" t="s">
        <v>32</v>
      </c>
      <c r="E264" s="2" t="s">
        <v>43</v>
      </c>
      <c r="F264" s="2" t="s">
        <v>46</v>
      </c>
      <c r="G264" s="2" t="s">
        <v>42</v>
      </c>
      <c r="H264" s="2" t="s">
        <v>42</v>
      </c>
      <c r="I264" s="2" t="s">
        <v>239</v>
      </c>
      <c r="J264" s="2" t="s">
        <v>71</v>
      </c>
      <c r="K264" s="2" t="s">
        <v>1358</v>
      </c>
      <c r="L264" s="2" t="s">
        <v>1348</v>
      </c>
      <c r="M264" s="2" t="s">
        <v>1349</v>
      </c>
      <c r="N264" s="2" t="s">
        <v>1359</v>
      </c>
      <c r="O264" s="2" t="s">
        <v>285</v>
      </c>
      <c r="P264" s="2" t="s">
        <v>1351</v>
      </c>
      <c r="Q264" s="2">
        <v>44</v>
      </c>
      <c r="R264" s="2" t="b">
        <v>0</v>
      </c>
      <c r="S264" s="2">
        <v>0.76392572944297077</v>
      </c>
      <c r="T264" s="2">
        <v>0.8089887640449438</v>
      </c>
      <c r="U264" s="2">
        <v>0.72361809045226133</v>
      </c>
      <c r="V264" s="2" t="s">
        <v>63</v>
      </c>
      <c r="W264" s="2" t="s">
        <v>1360</v>
      </c>
      <c r="X264" s="2" t="s">
        <v>1361</v>
      </c>
      <c r="Y264" s="2" t="b">
        <v>0</v>
      </c>
      <c r="Z264" s="2" t="s">
        <v>67</v>
      </c>
      <c r="AA264" s="2">
        <v>79</v>
      </c>
      <c r="AB264" s="2" t="s">
        <v>74</v>
      </c>
    </row>
    <row r="265" spans="1:28" ht="15.75" hidden="1" customHeight="1" x14ac:dyDescent="0.3">
      <c r="A265" s="2" t="s">
        <v>45</v>
      </c>
      <c r="B265" s="2" t="s">
        <v>32</v>
      </c>
      <c r="C265" s="2" t="s">
        <v>1262</v>
      </c>
      <c r="D265" s="2" t="s">
        <v>32</v>
      </c>
      <c r="E265" s="2" t="s">
        <v>43</v>
      </c>
      <c r="F265" s="2" t="s">
        <v>46</v>
      </c>
      <c r="G265" s="2" t="s">
        <v>42</v>
      </c>
      <c r="H265" s="2" t="s">
        <v>42</v>
      </c>
      <c r="I265" s="2" t="s">
        <v>239</v>
      </c>
      <c r="J265" s="2" t="s">
        <v>71</v>
      </c>
      <c r="K265" s="2" t="s">
        <v>1362</v>
      </c>
      <c r="L265" s="2" t="s">
        <v>1348</v>
      </c>
      <c r="M265" s="2" t="s">
        <v>1349</v>
      </c>
      <c r="N265" s="2" t="s">
        <v>1363</v>
      </c>
      <c r="O265" s="2" t="s">
        <v>294</v>
      </c>
      <c r="P265" s="2" t="s">
        <v>1351</v>
      </c>
      <c r="Q265" s="2">
        <v>45</v>
      </c>
      <c r="R265" s="2" t="b">
        <v>0</v>
      </c>
      <c r="S265" s="2">
        <v>0.63681592039800994</v>
      </c>
      <c r="T265" s="2">
        <v>0.7191011235955056</v>
      </c>
      <c r="U265" s="2">
        <v>0.5714285714285714</v>
      </c>
      <c r="V265" s="2" t="s">
        <v>63</v>
      </c>
      <c r="W265" s="2" t="s">
        <v>1364</v>
      </c>
      <c r="X265" s="2" t="s">
        <v>1365</v>
      </c>
      <c r="Y265" s="2" t="b">
        <v>0</v>
      </c>
      <c r="Z265" s="2" t="s">
        <v>67</v>
      </c>
      <c r="AA265" s="2">
        <v>129.30000000000001</v>
      </c>
      <c r="AB265" s="2" t="s">
        <v>74</v>
      </c>
    </row>
    <row r="266" spans="1:28" ht="15.75" hidden="1" customHeight="1" x14ac:dyDescent="0.3">
      <c r="A266" s="2" t="s">
        <v>45</v>
      </c>
      <c r="B266" s="2" t="s">
        <v>32</v>
      </c>
      <c r="C266" s="2" t="s">
        <v>1262</v>
      </c>
      <c r="D266" s="2" t="s">
        <v>32</v>
      </c>
      <c r="E266" s="2" t="s">
        <v>43</v>
      </c>
      <c r="F266" s="2" t="s">
        <v>46</v>
      </c>
      <c r="G266" s="2" t="s">
        <v>42</v>
      </c>
      <c r="H266" s="2" t="s">
        <v>42</v>
      </c>
      <c r="I266" s="2" t="s">
        <v>239</v>
      </c>
      <c r="J266" s="2" t="s">
        <v>71</v>
      </c>
      <c r="K266" s="2" t="s">
        <v>1366</v>
      </c>
      <c r="L266" s="2" t="s">
        <v>1348</v>
      </c>
      <c r="M266" s="2" t="s">
        <v>1349</v>
      </c>
      <c r="N266" s="2" t="s">
        <v>1367</v>
      </c>
      <c r="O266" s="2" t="s">
        <v>299</v>
      </c>
      <c r="P266" s="2" t="s">
        <v>1351</v>
      </c>
      <c r="Q266" s="2">
        <v>46</v>
      </c>
      <c r="R266" s="2" t="b">
        <v>0</v>
      </c>
      <c r="S266" s="2">
        <v>0.66312997347480096</v>
      </c>
      <c r="T266" s="2">
        <v>0.74850299401197606</v>
      </c>
      <c r="U266" s="2">
        <v>0.59523809523809523</v>
      </c>
      <c r="V266" s="2" t="s">
        <v>63</v>
      </c>
      <c r="W266" s="2" t="s">
        <v>1368</v>
      </c>
      <c r="X266" s="2" t="s">
        <v>1369</v>
      </c>
      <c r="Y266" s="2" t="b">
        <v>0</v>
      </c>
      <c r="Z266" s="2" t="s">
        <v>67</v>
      </c>
      <c r="AA266" s="2">
        <v>78.400000000000006</v>
      </c>
      <c r="AB266" s="2" t="s">
        <v>74</v>
      </c>
    </row>
    <row r="267" spans="1:28" ht="15.75" hidden="1" customHeight="1" x14ac:dyDescent="0.3">
      <c r="A267" s="2" t="s">
        <v>45</v>
      </c>
      <c r="B267" s="2" t="s">
        <v>32</v>
      </c>
      <c r="C267" s="2" t="s">
        <v>1262</v>
      </c>
      <c r="D267" s="2" t="s">
        <v>32</v>
      </c>
      <c r="E267" s="2" t="s">
        <v>43</v>
      </c>
      <c r="F267" s="2" t="s">
        <v>46</v>
      </c>
      <c r="G267" s="2" t="s">
        <v>42</v>
      </c>
      <c r="H267" s="2" t="s">
        <v>42</v>
      </c>
      <c r="I267" s="2" t="s">
        <v>239</v>
      </c>
      <c r="J267" s="2" t="s">
        <v>71</v>
      </c>
      <c r="K267" s="2" t="s">
        <v>1370</v>
      </c>
      <c r="L267" s="2" t="s">
        <v>1348</v>
      </c>
      <c r="M267" s="2" t="s">
        <v>1349</v>
      </c>
      <c r="N267" s="2" t="s">
        <v>1371</v>
      </c>
      <c r="O267" s="2" t="s">
        <v>306</v>
      </c>
      <c r="P267" s="2" t="s">
        <v>1351</v>
      </c>
      <c r="Q267" s="2">
        <v>47</v>
      </c>
      <c r="R267" s="2" t="b">
        <v>0</v>
      </c>
      <c r="S267" s="2">
        <v>0.7531806615776081</v>
      </c>
      <c r="T267" s="2">
        <v>0.82222222222222219</v>
      </c>
      <c r="U267" s="2">
        <v>0.69483568075117375</v>
      </c>
      <c r="V267" s="2" t="s">
        <v>63</v>
      </c>
      <c r="W267" s="2" t="s">
        <v>1372</v>
      </c>
      <c r="X267" s="2" t="s">
        <v>1373</v>
      </c>
      <c r="Y267" s="2" t="b">
        <v>0</v>
      </c>
      <c r="Z267" s="2" t="s">
        <v>67</v>
      </c>
      <c r="AA267" s="2">
        <v>79.099999999999994</v>
      </c>
      <c r="AB267" s="2" t="s">
        <v>74</v>
      </c>
    </row>
    <row r="268" spans="1:28" ht="15.75" hidden="1" customHeight="1" x14ac:dyDescent="0.3">
      <c r="A268" s="2" t="s">
        <v>45</v>
      </c>
      <c r="B268" s="2" t="s">
        <v>32</v>
      </c>
      <c r="C268" s="2" t="s">
        <v>1262</v>
      </c>
      <c r="D268" s="2" t="s">
        <v>32</v>
      </c>
      <c r="E268" s="2" t="s">
        <v>43</v>
      </c>
      <c r="F268" s="2" t="s">
        <v>46</v>
      </c>
      <c r="G268" s="2" t="s">
        <v>42</v>
      </c>
      <c r="H268" s="2" t="s">
        <v>42</v>
      </c>
      <c r="I268" s="2" t="s">
        <v>239</v>
      </c>
      <c r="J268" s="2" t="s">
        <v>71</v>
      </c>
      <c r="K268" s="2" t="s">
        <v>1374</v>
      </c>
      <c r="L268" s="2" t="s">
        <v>1348</v>
      </c>
      <c r="M268" s="2" t="s">
        <v>1349</v>
      </c>
      <c r="N268" s="2" t="s">
        <v>1375</v>
      </c>
      <c r="O268" s="2" t="s">
        <v>315</v>
      </c>
      <c r="P268" s="2" t="s">
        <v>1351</v>
      </c>
      <c r="Q268" s="2">
        <v>48</v>
      </c>
      <c r="R268" s="2" t="b">
        <v>0</v>
      </c>
      <c r="S268" s="2">
        <v>0.65989847715736039</v>
      </c>
      <c r="T268" s="2">
        <v>0.7344632768361582</v>
      </c>
      <c r="U268" s="2">
        <v>0.59907834101382484</v>
      </c>
      <c r="V268" s="2" t="s">
        <v>63</v>
      </c>
      <c r="W268" s="2" t="s">
        <v>1376</v>
      </c>
      <c r="X268" s="2" t="s">
        <v>1377</v>
      </c>
      <c r="Y268" s="2" t="b">
        <v>0</v>
      </c>
      <c r="Z268" s="2" t="s">
        <v>67</v>
      </c>
      <c r="AA268" s="2">
        <v>79.2</v>
      </c>
      <c r="AB268" s="2" t="s">
        <v>74</v>
      </c>
    </row>
    <row r="269" spans="1:28" ht="15.75" hidden="1" customHeight="1" x14ac:dyDescent="0.3">
      <c r="A269" s="2" t="s">
        <v>45</v>
      </c>
      <c r="B269" s="2" t="s">
        <v>32</v>
      </c>
      <c r="C269" s="2" t="s">
        <v>1262</v>
      </c>
      <c r="D269" s="2" t="s">
        <v>32</v>
      </c>
      <c r="E269" s="2" t="s">
        <v>43</v>
      </c>
      <c r="F269" s="2" t="s">
        <v>46</v>
      </c>
      <c r="G269" s="2" t="s">
        <v>42</v>
      </c>
      <c r="H269" s="2" t="s">
        <v>42</v>
      </c>
      <c r="I269" s="2" t="s">
        <v>239</v>
      </c>
      <c r="J269" s="2" t="s">
        <v>71</v>
      </c>
      <c r="K269" s="2" t="s">
        <v>1378</v>
      </c>
      <c r="L269" s="2" t="s">
        <v>1348</v>
      </c>
      <c r="M269" s="2" t="s">
        <v>1349</v>
      </c>
      <c r="N269" s="2" t="s">
        <v>1379</v>
      </c>
      <c r="O269" s="2" t="s">
        <v>326</v>
      </c>
      <c r="P269" s="2" t="s">
        <v>1351</v>
      </c>
      <c r="Q269" s="2">
        <v>49</v>
      </c>
      <c r="R269" s="2" t="b">
        <v>0</v>
      </c>
      <c r="S269" s="2">
        <v>0.64974619289340108</v>
      </c>
      <c r="T269" s="2">
        <v>0.67015706806282727</v>
      </c>
      <c r="U269" s="2">
        <v>0.63054187192118227</v>
      </c>
      <c r="V269" s="2" t="s">
        <v>63</v>
      </c>
      <c r="W269" s="2" t="s">
        <v>1380</v>
      </c>
      <c r="X269" s="2" t="s">
        <v>1381</v>
      </c>
      <c r="Y269" s="2" t="b">
        <v>0</v>
      </c>
      <c r="Z269" s="2" t="s">
        <v>67</v>
      </c>
      <c r="AA269" s="2">
        <v>77.599999999999994</v>
      </c>
      <c r="AB269" s="2" t="s">
        <v>74</v>
      </c>
    </row>
    <row r="270" spans="1:28" ht="15.75" hidden="1" customHeight="1" x14ac:dyDescent="0.3">
      <c r="A270" s="2" t="s">
        <v>45</v>
      </c>
      <c r="B270" s="2" t="s">
        <v>32</v>
      </c>
      <c r="C270" s="2" t="s">
        <v>1262</v>
      </c>
      <c r="D270" s="2" t="s">
        <v>32</v>
      </c>
      <c r="E270" s="2" t="s">
        <v>43</v>
      </c>
      <c r="F270" s="2" t="s">
        <v>46</v>
      </c>
      <c r="G270" s="2" t="s">
        <v>42</v>
      </c>
      <c r="H270" s="2" t="s">
        <v>42</v>
      </c>
      <c r="I270" s="2" t="s">
        <v>239</v>
      </c>
      <c r="J270" s="2" t="s">
        <v>71</v>
      </c>
      <c r="K270" s="2" t="s">
        <v>1382</v>
      </c>
      <c r="L270" s="2" t="s">
        <v>1348</v>
      </c>
      <c r="M270" s="2" t="s">
        <v>1349</v>
      </c>
      <c r="N270" s="2" t="s">
        <v>1383</v>
      </c>
      <c r="O270" s="2" t="s">
        <v>335</v>
      </c>
      <c r="P270" s="2" t="s">
        <v>1351</v>
      </c>
      <c r="Q270" s="2">
        <v>50</v>
      </c>
      <c r="R270" s="2" t="b">
        <v>0</v>
      </c>
      <c r="S270" s="2">
        <v>0.72237196765498657</v>
      </c>
      <c r="T270" s="2">
        <v>0.80722891566265065</v>
      </c>
      <c r="U270" s="2">
        <v>0.65365853658536588</v>
      </c>
      <c r="V270" s="2" t="s">
        <v>63</v>
      </c>
      <c r="W270" s="2" t="s">
        <v>1384</v>
      </c>
      <c r="X270" s="2" t="s">
        <v>1385</v>
      </c>
      <c r="Y270" s="2" t="b">
        <v>0</v>
      </c>
      <c r="Z270" s="2" t="s">
        <v>67</v>
      </c>
      <c r="AA270" s="2">
        <v>129.4</v>
      </c>
      <c r="AB270" s="2" t="s">
        <v>74</v>
      </c>
    </row>
    <row r="271" spans="1:28" ht="15.75" hidden="1" customHeight="1" x14ac:dyDescent="0.3">
      <c r="A271" s="2" t="s">
        <v>45</v>
      </c>
      <c r="B271" s="2" t="s">
        <v>32</v>
      </c>
      <c r="C271" s="2" t="s">
        <v>1262</v>
      </c>
      <c r="D271" s="2" t="s">
        <v>32</v>
      </c>
      <c r="E271" s="2" t="s">
        <v>43</v>
      </c>
      <c r="F271" s="2" t="s">
        <v>46</v>
      </c>
      <c r="G271" s="2" t="s">
        <v>42</v>
      </c>
      <c r="H271" s="2" t="s">
        <v>42</v>
      </c>
      <c r="I271" s="2" t="s">
        <v>239</v>
      </c>
      <c r="J271" s="2" t="s">
        <v>71</v>
      </c>
      <c r="K271" s="2" t="s">
        <v>1386</v>
      </c>
      <c r="L271" s="2" t="s">
        <v>1348</v>
      </c>
      <c r="M271" s="2" t="s">
        <v>1349</v>
      </c>
      <c r="N271" s="2" t="s">
        <v>1387</v>
      </c>
      <c r="O271" s="2" t="s">
        <v>346</v>
      </c>
      <c r="P271" s="2" t="s">
        <v>1351</v>
      </c>
      <c r="Q271" s="2">
        <v>51</v>
      </c>
      <c r="R271" s="2" t="b">
        <v>0</v>
      </c>
      <c r="S271" s="2">
        <v>0.65608465608465605</v>
      </c>
      <c r="T271" s="2">
        <v>0.77987421383647804</v>
      </c>
      <c r="U271" s="2">
        <v>0.56621004566210043</v>
      </c>
      <c r="V271" s="2" t="s">
        <v>63</v>
      </c>
      <c r="W271" s="2" t="s">
        <v>1388</v>
      </c>
      <c r="X271" s="2" t="s">
        <v>1389</v>
      </c>
      <c r="Y271" s="2" t="b">
        <v>0</v>
      </c>
      <c r="Z271" s="2" t="s">
        <v>67</v>
      </c>
      <c r="AA271" s="2">
        <v>130</v>
      </c>
      <c r="AB271" s="2" t="s">
        <v>74</v>
      </c>
    </row>
    <row r="272" spans="1:28" ht="15.75" hidden="1" customHeight="1" x14ac:dyDescent="0.3">
      <c r="A272" s="2" t="s">
        <v>45</v>
      </c>
      <c r="B272" s="2" t="s">
        <v>32</v>
      </c>
      <c r="C272" s="2" t="s">
        <v>1262</v>
      </c>
      <c r="D272" s="2" t="s">
        <v>32</v>
      </c>
      <c r="E272" s="2" t="s">
        <v>43</v>
      </c>
      <c r="F272" s="2" t="s">
        <v>46</v>
      </c>
      <c r="G272" s="2" t="s">
        <v>42</v>
      </c>
      <c r="H272" s="2" t="s">
        <v>42</v>
      </c>
      <c r="I272" s="2" t="s">
        <v>239</v>
      </c>
      <c r="J272" s="2" t="s">
        <v>71</v>
      </c>
      <c r="K272" s="2" t="s">
        <v>1390</v>
      </c>
      <c r="L272" s="2" t="s">
        <v>1348</v>
      </c>
      <c r="M272" s="2" t="s">
        <v>1349</v>
      </c>
      <c r="N272" s="2" t="s">
        <v>1391</v>
      </c>
      <c r="O272" s="2" t="s">
        <v>357</v>
      </c>
      <c r="P272" s="2" t="s">
        <v>1351</v>
      </c>
      <c r="Q272" s="2">
        <v>52</v>
      </c>
      <c r="R272" s="2" t="b">
        <v>0</v>
      </c>
      <c r="S272" s="2">
        <v>0.72340425531914898</v>
      </c>
      <c r="T272" s="2">
        <v>0.78612716763005785</v>
      </c>
      <c r="U272" s="2">
        <v>0.66995073891625612</v>
      </c>
      <c r="V272" s="2" t="s">
        <v>63</v>
      </c>
      <c r="W272" s="2" t="s">
        <v>1392</v>
      </c>
      <c r="X272" s="2" t="s">
        <v>1393</v>
      </c>
      <c r="Y272" s="2" t="b">
        <v>0</v>
      </c>
      <c r="Z272" s="2" t="s">
        <v>67</v>
      </c>
      <c r="AA272" s="2">
        <v>129.4</v>
      </c>
      <c r="AB272" s="2" t="s">
        <v>74</v>
      </c>
    </row>
    <row r="273" spans="1:28" ht="15.75" hidden="1" customHeight="1" x14ac:dyDescent="0.3">
      <c r="A273" s="2" t="s">
        <v>45</v>
      </c>
      <c r="B273" s="2" t="s">
        <v>32</v>
      </c>
      <c r="C273" s="2" t="s">
        <v>1262</v>
      </c>
      <c r="D273" s="2" t="s">
        <v>32</v>
      </c>
      <c r="E273" s="2" t="s">
        <v>43</v>
      </c>
      <c r="F273" s="2" t="s">
        <v>46</v>
      </c>
      <c r="G273" s="2" t="s">
        <v>42</v>
      </c>
      <c r="H273" s="2" t="s">
        <v>42</v>
      </c>
      <c r="I273" s="2" t="s">
        <v>239</v>
      </c>
      <c r="J273" s="2" t="s">
        <v>71</v>
      </c>
      <c r="K273" s="2" t="s">
        <v>1394</v>
      </c>
      <c r="L273" s="2" t="s">
        <v>1348</v>
      </c>
      <c r="M273" s="2" t="s">
        <v>1349</v>
      </c>
      <c r="N273" s="2" t="s">
        <v>1395</v>
      </c>
      <c r="O273" s="2" t="s">
        <v>369</v>
      </c>
      <c r="P273" s="2" t="s">
        <v>1351</v>
      </c>
      <c r="Q273" s="2">
        <v>53</v>
      </c>
      <c r="R273" s="2" t="b">
        <v>0</v>
      </c>
      <c r="S273" s="2">
        <v>0.68137254901960786</v>
      </c>
      <c r="T273" s="2">
        <v>0.75135135135135134</v>
      </c>
      <c r="U273" s="2">
        <v>0.62331838565022424</v>
      </c>
      <c r="V273" s="2" t="s">
        <v>63</v>
      </c>
      <c r="W273" s="2" t="s">
        <v>1396</v>
      </c>
      <c r="X273" s="2" t="s">
        <v>1397</v>
      </c>
      <c r="Y273" s="2" t="b">
        <v>0</v>
      </c>
      <c r="Z273" s="2" t="s">
        <v>67</v>
      </c>
      <c r="AA273" s="2">
        <v>80.7</v>
      </c>
      <c r="AB273" s="2" t="s">
        <v>74</v>
      </c>
    </row>
    <row r="274" spans="1:28" ht="15.75" hidden="1" customHeight="1" x14ac:dyDescent="0.3">
      <c r="A274" s="2" t="s">
        <v>45</v>
      </c>
      <c r="B274" s="2" t="s">
        <v>32</v>
      </c>
      <c r="C274" s="2" t="s">
        <v>1262</v>
      </c>
      <c r="D274" s="2" t="s">
        <v>32</v>
      </c>
      <c r="E274" s="2" t="s">
        <v>43</v>
      </c>
      <c r="F274" s="2" t="s">
        <v>46</v>
      </c>
      <c r="G274" s="2" t="s">
        <v>42</v>
      </c>
      <c r="H274" s="2" t="s">
        <v>42</v>
      </c>
      <c r="I274" s="2" t="s">
        <v>239</v>
      </c>
      <c r="J274" s="2" t="s">
        <v>71</v>
      </c>
      <c r="K274" s="2" t="s">
        <v>1398</v>
      </c>
      <c r="L274" s="2" t="s">
        <v>1348</v>
      </c>
      <c r="M274" s="2" t="s">
        <v>1349</v>
      </c>
      <c r="N274" s="2" t="s">
        <v>1399</v>
      </c>
      <c r="O274" s="2" t="s">
        <v>378</v>
      </c>
      <c r="P274" s="2" t="s">
        <v>1351</v>
      </c>
      <c r="Q274" s="2">
        <v>54</v>
      </c>
      <c r="R274" s="2" t="b">
        <v>0</v>
      </c>
      <c r="S274" s="2">
        <v>0.65193370165745856</v>
      </c>
      <c r="T274" s="2">
        <v>0.7239263803680982</v>
      </c>
      <c r="U274" s="2">
        <v>0.59296482412060303</v>
      </c>
      <c r="V274" s="2" t="s">
        <v>63</v>
      </c>
      <c r="W274" s="2" t="s">
        <v>1400</v>
      </c>
      <c r="X274" s="2" t="s">
        <v>1401</v>
      </c>
      <c r="Y274" s="2" t="b">
        <v>0</v>
      </c>
      <c r="Z274" s="2" t="s">
        <v>67</v>
      </c>
      <c r="AA274" s="2">
        <v>83</v>
      </c>
      <c r="AB274" s="2" t="s">
        <v>74</v>
      </c>
    </row>
    <row r="275" spans="1:28" ht="15.75" hidden="1" customHeight="1" x14ac:dyDescent="0.3">
      <c r="A275" s="2" t="s">
        <v>45</v>
      </c>
      <c r="B275" s="2" t="s">
        <v>32</v>
      </c>
      <c r="C275" s="2" t="s">
        <v>1262</v>
      </c>
      <c r="D275" s="2" t="s">
        <v>32</v>
      </c>
      <c r="E275" s="2" t="s">
        <v>43</v>
      </c>
      <c r="F275" s="2" t="s">
        <v>46</v>
      </c>
      <c r="G275" s="2" t="s">
        <v>42</v>
      </c>
      <c r="H275" s="2" t="s">
        <v>42</v>
      </c>
      <c r="I275" s="2" t="s">
        <v>239</v>
      </c>
      <c r="J275" s="2" t="s">
        <v>71</v>
      </c>
      <c r="K275" s="2" t="s">
        <v>1402</v>
      </c>
      <c r="L275" s="2" t="s">
        <v>1348</v>
      </c>
      <c r="M275" s="2" t="s">
        <v>1349</v>
      </c>
      <c r="N275" s="2" t="s">
        <v>1403</v>
      </c>
      <c r="O275" s="2" t="s">
        <v>390</v>
      </c>
      <c r="P275" s="2" t="s">
        <v>1351</v>
      </c>
      <c r="Q275" s="2">
        <v>55</v>
      </c>
      <c r="R275" s="2" t="b">
        <v>0</v>
      </c>
      <c r="S275" s="2">
        <v>0.73316708229426431</v>
      </c>
      <c r="T275" s="2">
        <v>0.79032258064516125</v>
      </c>
      <c r="U275" s="2">
        <v>0.68372093023255809</v>
      </c>
      <c r="V275" s="2" t="s">
        <v>63</v>
      </c>
      <c r="W275" s="2" t="s">
        <v>1404</v>
      </c>
      <c r="X275" s="2" t="s">
        <v>1405</v>
      </c>
      <c r="Y275" s="2" t="b">
        <v>0</v>
      </c>
      <c r="Z275" s="2" t="s">
        <v>67</v>
      </c>
      <c r="AA275" s="2">
        <v>136.19999999999999</v>
      </c>
      <c r="AB275" s="2" t="s">
        <v>74</v>
      </c>
    </row>
    <row r="276" spans="1:28" ht="15.75" hidden="1" customHeight="1" x14ac:dyDescent="0.3">
      <c r="A276" s="2" t="s">
        <v>45</v>
      </c>
      <c r="B276" s="2" t="s">
        <v>32</v>
      </c>
      <c r="C276" s="2" t="s">
        <v>1262</v>
      </c>
      <c r="D276" s="2" t="s">
        <v>32</v>
      </c>
      <c r="E276" s="2" t="s">
        <v>43</v>
      </c>
      <c r="F276" s="2" t="s">
        <v>46</v>
      </c>
      <c r="G276" s="2" t="s">
        <v>42</v>
      </c>
      <c r="H276" s="2" t="s">
        <v>42</v>
      </c>
      <c r="I276" s="2" t="s">
        <v>239</v>
      </c>
      <c r="J276" s="2" t="s">
        <v>71</v>
      </c>
      <c r="K276" s="2" t="s">
        <v>1406</v>
      </c>
      <c r="L276" s="2" t="s">
        <v>1348</v>
      </c>
      <c r="M276" s="2" t="s">
        <v>1349</v>
      </c>
      <c r="N276" s="2" t="s">
        <v>1407</v>
      </c>
      <c r="O276" s="2" t="s">
        <v>404</v>
      </c>
      <c r="P276" s="2" t="s">
        <v>1351</v>
      </c>
      <c r="Q276" s="2">
        <v>56</v>
      </c>
      <c r="R276" s="2" t="b">
        <v>0</v>
      </c>
      <c r="S276" s="2">
        <v>0.64343163538874004</v>
      </c>
      <c r="T276" s="2">
        <v>0.75471698113207553</v>
      </c>
      <c r="U276" s="2">
        <v>0.56074766355140182</v>
      </c>
      <c r="V276" s="2" t="s">
        <v>63</v>
      </c>
      <c r="W276" s="2" t="s">
        <v>1408</v>
      </c>
      <c r="X276" s="2" t="s">
        <v>1409</v>
      </c>
      <c r="Y276" s="2" t="b">
        <v>0</v>
      </c>
      <c r="Z276" s="2" t="s">
        <v>67</v>
      </c>
      <c r="AA276" s="2">
        <v>85.3</v>
      </c>
      <c r="AB276" s="2" t="s">
        <v>74</v>
      </c>
    </row>
    <row r="277" spans="1:28" ht="15.75" hidden="1" customHeight="1" x14ac:dyDescent="0.3">
      <c r="A277" s="2" t="s">
        <v>45</v>
      </c>
      <c r="B277" s="2" t="s">
        <v>32</v>
      </c>
      <c r="C277" s="2" t="s">
        <v>1262</v>
      </c>
      <c r="D277" s="2" t="s">
        <v>32</v>
      </c>
      <c r="E277" s="2" t="s">
        <v>43</v>
      </c>
      <c r="F277" s="2" t="s">
        <v>46</v>
      </c>
      <c r="G277" s="2" t="s">
        <v>42</v>
      </c>
      <c r="H277" s="2" t="s">
        <v>42</v>
      </c>
      <c r="I277" s="2" t="s">
        <v>239</v>
      </c>
      <c r="J277" s="2" t="s">
        <v>71</v>
      </c>
      <c r="K277" s="2" t="s">
        <v>1410</v>
      </c>
      <c r="L277" s="2" t="s">
        <v>1348</v>
      </c>
      <c r="M277" s="2" t="s">
        <v>1349</v>
      </c>
      <c r="N277" s="2" t="s">
        <v>1411</v>
      </c>
      <c r="O277" s="2" t="s">
        <v>416</v>
      </c>
      <c r="P277" s="2" t="s">
        <v>1351</v>
      </c>
      <c r="Q277" s="2">
        <v>57</v>
      </c>
      <c r="R277" s="2" t="b">
        <v>0</v>
      </c>
      <c r="S277" s="2">
        <v>0.65104166666666663</v>
      </c>
      <c r="T277" s="2">
        <v>0.7142857142857143</v>
      </c>
      <c r="U277" s="2">
        <v>0.59808612440191389</v>
      </c>
      <c r="V277" s="2" t="s">
        <v>63</v>
      </c>
      <c r="W277" s="2" t="s">
        <v>1412</v>
      </c>
      <c r="X277" s="2" t="s">
        <v>1413</v>
      </c>
      <c r="Y277" s="2" t="b">
        <v>0</v>
      </c>
      <c r="Z277" s="2" t="s">
        <v>67</v>
      </c>
      <c r="AA277" s="2">
        <v>134.5</v>
      </c>
      <c r="AB277" s="2" t="s">
        <v>74</v>
      </c>
    </row>
    <row r="278" spans="1:28" ht="15.75" hidden="1" customHeight="1" x14ac:dyDescent="0.3">
      <c r="A278" s="2" t="s">
        <v>45</v>
      </c>
      <c r="B278" s="2" t="s">
        <v>32</v>
      </c>
      <c r="C278" s="2" t="s">
        <v>1262</v>
      </c>
      <c r="D278" s="2" t="s">
        <v>32</v>
      </c>
      <c r="E278" s="2" t="s">
        <v>43</v>
      </c>
      <c r="F278" s="2" t="s">
        <v>46</v>
      </c>
      <c r="G278" s="2" t="s">
        <v>42</v>
      </c>
      <c r="H278" s="2" t="s">
        <v>42</v>
      </c>
      <c r="I278" s="2" t="s">
        <v>239</v>
      </c>
      <c r="J278" s="2" t="s">
        <v>71</v>
      </c>
      <c r="K278" s="2" t="s">
        <v>1414</v>
      </c>
      <c r="L278" s="2" t="s">
        <v>1348</v>
      </c>
      <c r="M278" s="2" t="s">
        <v>1349</v>
      </c>
      <c r="N278" s="2" t="s">
        <v>1415</v>
      </c>
      <c r="O278" s="2" t="s">
        <v>430</v>
      </c>
      <c r="P278" s="2" t="s">
        <v>1351</v>
      </c>
      <c r="Q278" s="2">
        <v>58</v>
      </c>
      <c r="R278" s="2" t="b">
        <v>0</v>
      </c>
      <c r="S278" s="2">
        <v>0.75647668393782397</v>
      </c>
      <c r="T278" s="2">
        <v>0.80219780219780223</v>
      </c>
      <c r="U278" s="2">
        <v>0.71568627450980393</v>
      </c>
      <c r="V278" s="2" t="s">
        <v>63</v>
      </c>
      <c r="W278" s="2" t="s">
        <v>1416</v>
      </c>
      <c r="X278" s="2" t="s">
        <v>1417</v>
      </c>
      <c r="Y278" s="2" t="b">
        <v>0</v>
      </c>
      <c r="Z278" s="2" t="s">
        <v>67</v>
      </c>
      <c r="AA278" s="2">
        <v>134.4</v>
      </c>
      <c r="AB278" s="2" t="s">
        <v>74</v>
      </c>
    </row>
    <row r="279" spans="1:28" ht="15.75" hidden="1" customHeight="1" x14ac:dyDescent="0.3">
      <c r="A279" s="2" t="s">
        <v>45</v>
      </c>
      <c r="B279" s="2" t="s">
        <v>32</v>
      </c>
      <c r="C279" s="2" t="s">
        <v>1262</v>
      </c>
      <c r="D279" s="2" t="s">
        <v>32</v>
      </c>
      <c r="E279" s="2" t="s">
        <v>43</v>
      </c>
      <c r="F279" s="2" t="s">
        <v>46</v>
      </c>
      <c r="G279" s="2" t="s">
        <v>42</v>
      </c>
      <c r="H279" s="2" t="s">
        <v>42</v>
      </c>
      <c r="I279" s="2" t="s">
        <v>239</v>
      </c>
      <c r="J279" s="2" t="s">
        <v>71</v>
      </c>
      <c r="K279" s="2" t="s">
        <v>1418</v>
      </c>
      <c r="L279" s="2" t="s">
        <v>1348</v>
      </c>
      <c r="M279" s="2" t="s">
        <v>1349</v>
      </c>
      <c r="N279" s="2" t="s">
        <v>1419</v>
      </c>
      <c r="O279" s="2" t="s">
        <v>447</v>
      </c>
      <c r="P279" s="2" t="s">
        <v>1351</v>
      </c>
      <c r="Q279" s="2">
        <v>59</v>
      </c>
      <c r="R279" s="2" t="b">
        <v>0</v>
      </c>
      <c r="S279" s="2">
        <v>0.70000000000000007</v>
      </c>
      <c r="T279" s="2">
        <v>0.79166666666666663</v>
      </c>
      <c r="U279" s="2">
        <v>0.62735849056603776</v>
      </c>
      <c r="V279" s="2" t="s">
        <v>63</v>
      </c>
      <c r="W279" s="2" t="s">
        <v>1420</v>
      </c>
      <c r="X279" s="2" t="s">
        <v>1421</v>
      </c>
      <c r="Y279" s="2" t="b">
        <v>0</v>
      </c>
      <c r="Z279" s="2" t="s">
        <v>67</v>
      </c>
      <c r="AA279" s="2">
        <v>82.9</v>
      </c>
      <c r="AB279" s="2" t="s">
        <v>74</v>
      </c>
    </row>
    <row r="280" spans="1:28" ht="15.75" hidden="1" customHeight="1" x14ac:dyDescent="0.3">
      <c r="A280" s="2" t="s">
        <v>45</v>
      </c>
      <c r="B280" s="2" t="s">
        <v>32</v>
      </c>
      <c r="C280" s="2" t="s">
        <v>1262</v>
      </c>
      <c r="D280" s="2" t="s">
        <v>32</v>
      </c>
      <c r="E280" s="2" t="s">
        <v>43</v>
      </c>
      <c r="F280" s="2" t="s">
        <v>46</v>
      </c>
      <c r="G280" s="2" t="s">
        <v>42</v>
      </c>
      <c r="H280" s="2" t="s">
        <v>42</v>
      </c>
      <c r="I280" s="2" t="s">
        <v>239</v>
      </c>
      <c r="J280" s="2" t="s">
        <v>71</v>
      </c>
      <c r="K280" s="2" t="s">
        <v>1422</v>
      </c>
      <c r="L280" s="2" t="s">
        <v>1348</v>
      </c>
      <c r="M280" s="2" t="s">
        <v>1349</v>
      </c>
      <c r="N280" s="2" t="s">
        <v>1423</v>
      </c>
      <c r="O280" s="2" t="s">
        <v>457</v>
      </c>
      <c r="P280" s="2" t="s">
        <v>1351</v>
      </c>
      <c r="Q280" s="2">
        <v>60</v>
      </c>
      <c r="R280" s="2" t="b">
        <v>0</v>
      </c>
      <c r="S280" s="2">
        <v>0.70555555555555538</v>
      </c>
      <c r="T280" s="2">
        <v>0.77439024390243905</v>
      </c>
      <c r="U280" s="2">
        <v>0.64795918367346939</v>
      </c>
      <c r="V280" s="2" t="s">
        <v>63</v>
      </c>
      <c r="W280" s="2" t="s">
        <v>1424</v>
      </c>
      <c r="X280" s="2" t="s">
        <v>1425</v>
      </c>
      <c r="Y280" s="2" t="b">
        <v>0</v>
      </c>
      <c r="Z280" s="2" t="s">
        <v>67</v>
      </c>
      <c r="AA280" s="2">
        <v>83.3</v>
      </c>
      <c r="AB280" s="2" t="s">
        <v>74</v>
      </c>
    </row>
    <row r="281" spans="1:28" ht="15.75" hidden="1" customHeight="1" x14ac:dyDescent="0.3">
      <c r="A281" s="2" t="s">
        <v>45</v>
      </c>
      <c r="B281" s="2" t="s">
        <v>32</v>
      </c>
      <c r="C281" s="2" t="s">
        <v>1262</v>
      </c>
      <c r="D281" s="2" t="s">
        <v>32</v>
      </c>
      <c r="E281" s="2" t="s">
        <v>43</v>
      </c>
      <c r="F281" s="2" t="s">
        <v>46</v>
      </c>
      <c r="G281" s="2" t="s">
        <v>42</v>
      </c>
      <c r="H281" s="2" t="s">
        <v>42</v>
      </c>
      <c r="I281" s="2" t="s">
        <v>239</v>
      </c>
      <c r="J281" s="2" t="s">
        <v>71</v>
      </c>
      <c r="K281" s="2" t="s">
        <v>1426</v>
      </c>
      <c r="L281" s="2" t="s">
        <v>1348</v>
      </c>
      <c r="M281" s="2" t="s">
        <v>1349</v>
      </c>
      <c r="N281" s="2" t="s">
        <v>1427</v>
      </c>
      <c r="O281" s="2" t="s">
        <v>475</v>
      </c>
      <c r="P281" s="2" t="s">
        <v>1351</v>
      </c>
      <c r="Q281" s="2">
        <v>61</v>
      </c>
      <c r="R281" s="2" t="b">
        <v>0</v>
      </c>
      <c r="S281" s="2">
        <v>0.62015503875968991</v>
      </c>
      <c r="T281" s="2">
        <v>0.68965517241379315</v>
      </c>
      <c r="U281" s="2">
        <v>0.56338028169014087</v>
      </c>
      <c r="V281" s="2" t="s">
        <v>63</v>
      </c>
      <c r="W281" s="2" t="s">
        <v>1428</v>
      </c>
      <c r="X281" s="2" t="s">
        <v>1429</v>
      </c>
      <c r="Y281" s="2" t="b">
        <v>0</v>
      </c>
      <c r="Z281" s="2" t="s">
        <v>67</v>
      </c>
      <c r="AA281" s="2">
        <v>132.80000000000001</v>
      </c>
      <c r="AB281" s="2" t="s">
        <v>74</v>
      </c>
    </row>
    <row r="282" spans="1:28" ht="15.75" hidden="1" customHeight="1" x14ac:dyDescent="0.3">
      <c r="A282" s="2" t="s">
        <v>45</v>
      </c>
      <c r="B282" s="2" t="s">
        <v>32</v>
      </c>
      <c r="C282" s="2" t="s">
        <v>1262</v>
      </c>
      <c r="D282" s="2" t="s">
        <v>32</v>
      </c>
      <c r="E282" s="2" t="s">
        <v>39</v>
      </c>
      <c r="F282" s="2" t="s">
        <v>496</v>
      </c>
      <c r="G282" s="2" t="s">
        <v>42</v>
      </c>
      <c r="H282" s="2" t="s">
        <v>42</v>
      </c>
      <c r="I282" s="2" t="s">
        <v>47</v>
      </c>
      <c r="J282" s="2" t="s">
        <v>44</v>
      </c>
      <c r="K282" s="2" t="s">
        <v>1263</v>
      </c>
      <c r="L282" s="2" t="s">
        <v>1297</v>
      </c>
      <c r="M282" s="2" t="s">
        <v>1298</v>
      </c>
      <c r="N282" s="2" t="s">
        <v>1430</v>
      </c>
      <c r="O282" s="2" t="s">
        <v>55</v>
      </c>
      <c r="P282" s="2" t="s">
        <v>1300</v>
      </c>
      <c r="Q282" s="2">
        <v>42</v>
      </c>
      <c r="R282" s="2" t="b">
        <v>1</v>
      </c>
      <c r="S282" s="2">
        <v>0.63436123348017626</v>
      </c>
      <c r="V282" s="2" t="s">
        <v>510</v>
      </c>
      <c r="W282" s="2" t="s">
        <v>1431</v>
      </c>
      <c r="X282" s="2" t="s">
        <v>1432</v>
      </c>
      <c r="Y282" s="2" t="b">
        <v>1</v>
      </c>
      <c r="Z282" s="2" t="s">
        <v>67</v>
      </c>
      <c r="AA282" s="2">
        <v>0</v>
      </c>
      <c r="AB282" s="2" t="s">
        <v>74</v>
      </c>
    </row>
    <row r="283" spans="1:28" ht="15.75" hidden="1" customHeight="1" x14ac:dyDescent="0.3">
      <c r="A283" s="2" t="s">
        <v>45</v>
      </c>
      <c r="B283" s="2" t="s">
        <v>32</v>
      </c>
      <c r="C283" s="2" t="s">
        <v>1262</v>
      </c>
      <c r="D283" s="2" t="s">
        <v>32</v>
      </c>
      <c r="E283" s="2" t="s">
        <v>39</v>
      </c>
      <c r="F283" s="2" t="s">
        <v>496</v>
      </c>
      <c r="G283" s="2" t="s">
        <v>42</v>
      </c>
      <c r="H283" s="2" t="s">
        <v>42</v>
      </c>
      <c r="I283" s="2" t="s">
        <v>47</v>
      </c>
      <c r="J283" s="2" t="s">
        <v>44</v>
      </c>
      <c r="K283" s="2" t="s">
        <v>1268</v>
      </c>
      <c r="L283" s="2" t="s">
        <v>1297</v>
      </c>
      <c r="M283" s="2" t="s">
        <v>1298</v>
      </c>
      <c r="N283" s="2" t="s">
        <v>1433</v>
      </c>
      <c r="O283" s="2" t="s">
        <v>73</v>
      </c>
      <c r="P283" s="2" t="s">
        <v>1300</v>
      </c>
      <c r="Q283" s="2">
        <v>43</v>
      </c>
      <c r="R283" s="2" t="b">
        <v>1</v>
      </c>
      <c r="S283" s="2">
        <v>0.61794019933554822</v>
      </c>
      <c r="V283" s="2" t="s">
        <v>510</v>
      </c>
      <c r="W283" s="2" t="s">
        <v>1434</v>
      </c>
      <c r="X283" s="2" t="s">
        <v>1435</v>
      </c>
      <c r="Y283" s="2" t="b">
        <v>1</v>
      </c>
      <c r="Z283" s="2" t="s">
        <v>67</v>
      </c>
      <c r="AA283" s="2">
        <v>0</v>
      </c>
      <c r="AB283" s="2" t="s">
        <v>74</v>
      </c>
    </row>
    <row r="284" spans="1:28" ht="15.75" hidden="1" customHeight="1" x14ac:dyDescent="0.3">
      <c r="A284" s="2" t="s">
        <v>45</v>
      </c>
      <c r="B284" s="2" t="s">
        <v>32</v>
      </c>
      <c r="C284" s="2" t="s">
        <v>1262</v>
      </c>
      <c r="D284" s="2" t="s">
        <v>32</v>
      </c>
      <c r="E284" s="2" t="s">
        <v>39</v>
      </c>
      <c r="F284" s="2" t="s">
        <v>496</v>
      </c>
      <c r="G284" s="2" t="s">
        <v>42</v>
      </c>
      <c r="H284" s="2" t="s">
        <v>42</v>
      </c>
      <c r="I284" s="2" t="s">
        <v>47</v>
      </c>
      <c r="J284" s="2" t="s">
        <v>44</v>
      </c>
      <c r="K284" s="2" t="s">
        <v>1272</v>
      </c>
      <c r="L284" s="2" t="s">
        <v>1297</v>
      </c>
      <c r="M284" s="2" t="s">
        <v>1298</v>
      </c>
      <c r="N284" s="2" t="s">
        <v>1436</v>
      </c>
      <c r="O284" s="2" t="s">
        <v>84</v>
      </c>
      <c r="P284" s="2" t="s">
        <v>1300</v>
      </c>
      <c r="Q284" s="2">
        <v>44</v>
      </c>
      <c r="R284" s="2" t="b">
        <v>1</v>
      </c>
      <c r="S284" s="2">
        <v>0.66956521739130437</v>
      </c>
      <c r="V284" s="2" t="s">
        <v>510</v>
      </c>
      <c r="W284" s="2" t="s">
        <v>1437</v>
      </c>
      <c r="X284" s="2" t="s">
        <v>1438</v>
      </c>
      <c r="Y284" s="2" t="b">
        <v>1</v>
      </c>
      <c r="Z284" s="2" t="s">
        <v>67</v>
      </c>
      <c r="AA284" s="2">
        <v>0</v>
      </c>
      <c r="AB284" s="2" t="s">
        <v>74</v>
      </c>
    </row>
    <row r="285" spans="1:28" ht="15.75" hidden="1" customHeight="1" x14ac:dyDescent="0.3">
      <c r="A285" s="2" t="s">
        <v>45</v>
      </c>
      <c r="B285" s="2" t="s">
        <v>32</v>
      </c>
      <c r="C285" s="2" t="s">
        <v>1262</v>
      </c>
      <c r="D285" s="2" t="s">
        <v>32</v>
      </c>
      <c r="E285" s="2" t="s">
        <v>39</v>
      </c>
      <c r="F285" s="2" t="s">
        <v>496</v>
      </c>
      <c r="G285" s="2" t="s">
        <v>42</v>
      </c>
      <c r="H285" s="2" t="s">
        <v>42</v>
      </c>
      <c r="I285" s="2" t="s">
        <v>47</v>
      </c>
      <c r="J285" s="2" t="s">
        <v>44</v>
      </c>
      <c r="K285" s="2" t="s">
        <v>1276</v>
      </c>
      <c r="L285" s="2" t="s">
        <v>1297</v>
      </c>
      <c r="M285" s="2" t="s">
        <v>1298</v>
      </c>
      <c r="N285" s="2" t="s">
        <v>1439</v>
      </c>
      <c r="O285" s="2" t="s">
        <v>93</v>
      </c>
      <c r="P285" s="2" t="s">
        <v>1300</v>
      </c>
      <c r="Q285" s="2">
        <v>45</v>
      </c>
      <c r="R285" s="2" t="b">
        <v>1</v>
      </c>
      <c r="S285" s="2">
        <v>0.625</v>
      </c>
      <c r="V285" s="2" t="s">
        <v>510</v>
      </c>
      <c r="W285" s="2" t="s">
        <v>1440</v>
      </c>
      <c r="X285" s="2" t="s">
        <v>1441</v>
      </c>
      <c r="Y285" s="2" t="b">
        <v>1</v>
      </c>
      <c r="Z285" s="2" t="s">
        <v>67</v>
      </c>
      <c r="AA285" s="2">
        <v>0</v>
      </c>
      <c r="AB285" s="2" t="s">
        <v>74</v>
      </c>
    </row>
    <row r="286" spans="1:28" ht="15.75" hidden="1" customHeight="1" x14ac:dyDescent="0.3">
      <c r="A286" s="2" t="s">
        <v>45</v>
      </c>
      <c r="B286" s="2" t="s">
        <v>32</v>
      </c>
      <c r="C286" s="2" t="s">
        <v>1262</v>
      </c>
      <c r="D286" s="2" t="s">
        <v>32</v>
      </c>
      <c r="E286" s="2" t="s">
        <v>39</v>
      </c>
      <c r="F286" s="2" t="s">
        <v>496</v>
      </c>
      <c r="G286" s="2" t="s">
        <v>42</v>
      </c>
      <c r="H286" s="2" t="s">
        <v>42</v>
      </c>
      <c r="I286" s="2" t="s">
        <v>47</v>
      </c>
      <c r="J286" s="2" t="s">
        <v>44</v>
      </c>
      <c r="K286" s="2" t="s">
        <v>1280</v>
      </c>
      <c r="L286" s="2" t="s">
        <v>1297</v>
      </c>
      <c r="M286" s="2" t="s">
        <v>1298</v>
      </c>
      <c r="N286" s="2" t="s">
        <v>1442</v>
      </c>
      <c r="O286" s="2" t="s">
        <v>104</v>
      </c>
      <c r="P286" s="2" t="s">
        <v>1300</v>
      </c>
      <c r="Q286" s="2">
        <v>46</v>
      </c>
      <c r="R286" s="2" t="b">
        <v>1</v>
      </c>
      <c r="S286" s="2">
        <v>0.6006600660066006</v>
      </c>
      <c r="V286" s="2" t="s">
        <v>510</v>
      </c>
      <c r="W286" s="2" t="s">
        <v>1443</v>
      </c>
      <c r="X286" s="2" t="s">
        <v>1444</v>
      </c>
      <c r="Y286" s="2" t="b">
        <v>1</v>
      </c>
      <c r="Z286" s="2" t="s">
        <v>67</v>
      </c>
      <c r="AA286" s="2">
        <v>0</v>
      </c>
      <c r="AB286" s="2" t="s">
        <v>74</v>
      </c>
    </row>
    <row r="287" spans="1:28" ht="15.75" hidden="1" customHeight="1" x14ac:dyDescent="0.3">
      <c r="A287" s="2" t="s">
        <v>45</v>
      </c>
      <c r="B287" s="2" t="s">
        <v>32</v>
      </c>
      <c r="C287" s="2" t="s">
        <v>1262</v>
      </c>
      <c r="D287" s="2" t="s">
        <v>32</v>
      </c>
      <c r="E287" s="2" t="s">
        <v>39</v>
      </c>
      <c r="F287" s="2" t="s">
        <v>496</v>
      </c>
      <c r="G287" s="2" t="s">
        <v>42</v>
      </c>
      <c r="H287" s="2" t="s">
        <v>42</v>
      </c>
      <c r="I287" s="2" t="s">
        <v>47</v>
      </c>
      <c r="J287" s="2" t="s">
        <v>44</v>
      </c>
      <c r="K287" s="2" t="s">
        <v>1284</v>
      </c>
      <c r="L287" s="2" t="s">
        <v>1297</v>
      </c>
      <c r="M287" s="2" t="s">
        <v>1298</v>
      </c>
      <c r="N287" s="2" t="s">
        <v>1445</v>
      </c>
      <c r="O287" s="2" t="s">
        <v>114</v>
      </c>
      <c r="P287" s="2" t="s">
        <v>1300</v>
      </c>
      <c r="Q287" s="2">
        <v>47</v>
      </c>
      <c r="R287" s="2" t="b">
        <v>1</v>
      </c>
      <c r="S287" s="2">
        <v>0.53703703703703709</v>
      </c>
      <c r="V287" s="2" t="s">
        <v>510</v>
      </c>
      <c r="W287" s="2" t="s">
        <v>1446</v>
      </c>
      <c r="X287" s="2" t="s">
        <v>1447</v>
      </c>
      <c r="Y287" s="2" t="b">
        <v>1</v>
      </c>
      <c r="Z287" s="2" t="s">
        <v>67</v>
      </c>
      <c r="AA287" s="2">
        <v>0</v>
      </c>
      <c r="AB287" s="2" t="s">
        <v>74</v>
      </c>
    </row>
    <row r="288" spans="1:28" ht="15.75" hidden="1" customHeight="1" x14ac:dyDescent="0.3">
      <c r="A288" s="2" t="s">
        <v>45</v>
      </c>
      <c r="B288" s="2" t="s">
        <v>32</v>
      </c>
      <c r="C288" s="2" t="s">
        <v>1262</v>
      </c>
      <c r="D288" s="2" t="s">
        <v>32</v>
      </c>
      <c r="E288" s="2" t="s">
        <v>39</v>
      </c>
      <c r="F288" s="2" t="s">
        <v>496</v>
      </c>
      <c r="G288" s="2" t="s">
        <v>42</v>
      </c>
      <c r="H288" s="2" t="s">
        <v>42</v>
      </c>
      <c r="I288" s="2" t="s">
        <v>47</v>
      </c>
      <c r="J288" s="2" t="s">
        <v>44</v>
      </c>
      <c r="K288" s="2" t="s">
        <v>1288</v>
      </c>
      <c r="L288" s="2" t="s">
        <v>1297</v>
      </c>
      <c r="M288" s="2" t="s">
        <v>1298</v>
      </c>
      <c r="N288" s="2" t="s">
        <v>1448</v>
      </c>
      <c r="O288" s="2" t="s">
        <v>125</v>
      </c>
      <c r="P288" s="2" t="s">
        <v>1300</v>
      </c>
      <c r="Q288" s="2">
        <v>48</v>
      </c>
      <c r="R288" s="2" t="b">
        <v>1</v>
      </c>
      <c r="S288" s="2">
        <v>0.64900662251655639</v>
      </c>
      <c r="V288" s="2" t="s">
        <v>510</v>
      </c>
      <c r="W288" s="2" t="s">
        <v>1449</v>
      </c>
      <c r="X288" s="2" t="s">
        <v>1450</v>
      </c>
      <c r="Y288" s="2" t="b">
        <v>1</v>
      </c>
      <c r="Z288" s="2" t="s">
        <v>67</v>
      </c>
      <c r="AA288" s="2">
        <v>0</v>
      </c>
      <c r="AB288" s="2" t="s">
        <v>74</v>
      </c>
    </row>
    <row r="289" spans="1:28" ht="15.75" hidden="1" customHeight="1" x14ac:dyDescent="0.3">
      <c r="A289" s="2" t="s">
        <v>45</v>
      </c>
      <c r="B289" s="2" t="s">
        <v>32</v>
      </c>
      <c r="C289" s="2" t="s">
        <v>1262</v>
      </c>
      <c r="D289" s="2" t="s">
        <v>32</v>
      </c>
      <c r="E289" s="2" t="s">
        <v>39</v>
      </c>
      <c r="F289" s="2" t="s">
        <v>496</v>
      </c>
      <c r="G289" s="2" t="s">
        <v>42</v>
      </c>
      <c r="H289" s="2" t="s">
        <v>42</v>
      </c>
      <c r="I289" s="2" t="s">
        <v>47</v>
      </c>
      <c r="J289" s="2" t="s">
        <v>44</v>
      </c>
      <c r="K289" s="2" t="s">
        <v>1292</v>
      </c>
      <c r="L289" s="2" t="s">
        <v>1297</v>
      </c>
      <c r="M289" s="2" t="s">
        <v>1298</v>
      </c>
      <c r="N289" s="2" t="s">
        <v>1451</v>
      </c>
      <c r="O289" s="2" t="s">
        <v>134</v>
      </c>
      <c r="P289" s="2" t="s">
        <v>1300</v>
      </c>
      <c r="Q289" s="2">
        <v>49</v>
      </c>
      <c r="R289" s="2" t="b">
        <v>1</v>
      </c>
      <c r="S289" s="2">
        <v>0.58193979933110374</v>
      </c>
      <c r="V289" s="2" t="s">
        <v>510</v>
      </c>
      <c r="W289" s="2" t="s">
        <v>1452</v>
      </c>
      <c r="X289" s="2" t="s">
        <v>1453</v>
      </c>
      <c r="Y289" s="2" t="b">
        <v>1</v>
      </c>
      <c r="Z289" s="2" t="s">
        <v>67</v>
      </c>
      <c r="AA289" s="2">
        <v>0</v>
      </c>
      <c r="AB289" s="2" t="s">
        <v>74</v>
      </c>
    </row>
    <row r="290" spans="1:28" ht="15.75" hidden="1" customHeight="1" x14ac:dyDescent="0.3">
      <c r="A290" s="2" t="s">
        <v>45</v>
      </c>
      <c r="B290" s="2" t="s">
        <v>32</v>
      </c>
      <c r="C290" s="2" t="s">
        <v>1262</v>
      </c>
      <c r="D290" s="2" t="s">
        <v>32</v>
      </c>
      <c r="E290" s="2" t="s">
        <v>39</v>
      </c>
      <c r="F290" s="2" t="s">
        <v>496</v>
      </c>
      <c r="G290" s="2" t="s">
        <v>42</v>
      </c>
      <c r="H290" s="2" t="s">
        <v>42</v>
      </c>
      <c r="I290" s="2" t="s">
        <v>47</v>
      </c>
      <c r="J290" s="2" t="s">
        <v>44</v>
      </c>
      <c r="K290" s="2" t="s">
        <v>1296</v>
      </c>
      <c r="L290" s="2" t="s">
        <v>1297</v>
      </c>
      <c r="M290" s="2" t="s">
        <v>1298</v>
      </c>
      <c r="N290" s="2" t="s">
        <v>1299</v>
      </c>
      <c r="O290" s="2" t="s">
        <v>145</v>
      </c>
      <c r="P290" s="2" t="s">
        <v>1300</v>
      </c>
      <c r="Q290" s="2">
        <v>50</v>
      </c>
      <c r="R290" s="2" t="b">
        <v>1</v>
      </c>
      <c r="S290" s="2">
        <v>0.65084745762711871</v>
      </c>
      <c r="V290" s="2" t="s">
        <v>510</v>
      </c>
      <c r="W290" s="2" t="s">
        <v>1454</v>
      </c>
      <c r="X290" s="2" t="s">
        <v>1455</v>
      </c>
      <c r="Y290" s="2" t="b">
        <v>1</v>
      </c>
      <c r="Z290" s="2" t="s">
        <v>67</v>
      </c>
      <c r="AA290" s="2">
        <v>0</v>
      </c>
      <c r="AB290" s="2" t="s">
        <v>74</v>
      </c>
    </row>
    <row r="291" spans="1:28" ht="15.75" hidden="1" customHeight="1" x14ac:dyDescent="0.3">
      <c r="A291" s="2" t="s">
        <v>45</v>
      </c>
      <c r="B291" s="2" t="s">
        <v>32</v>
      </c>
      <c r="C291" s="2" t="s">
        <v>1262</v>
      </c>
      <c r="D291" s="2" t="s">
        <v>32</v>
      </c>
      <c r="E291" s="2" t="s">
        <v>39</v>
      </c>
      <c r="F291" s="2" t="s">
        <v>496</v>
      </c>
      <c r="G291" s="2" t="s">
        <v>42</v>
      </c>
      <c r="H291" s="2" t="s">
        <v>42</v>
      </c>
      <c r="I291" s="2" t="s">
        <v>47</v>
      </c>
      <c r="J291" s="2" t="s">
        <v>44</v>
      </c>
      <c r="K291" s="2" t="s">
        <v>1303</v>
      </c>
      <c r="L291" s="2" t="s">
        <v>1297</v>
      </c>
      <c r="M291" s="2" t="s">
        <v>1298</v>
      </c>
      <c r="N291" s="2" t="s">
        <v>1304</v>
      </c>
      <c r="O291" s="2" t="s">
        <v>156</v>
      </c>
      <c r="P291" s="2" t="s">
        <v>1300</v>
      </c>
      <c r="Q291" s="2">
        <v>51</v>
      </c>
      <c r="R291" s="2" t="b">
        <v>1</v>
      </c>
      <c r="S291" s="2">
        <v>0.64174454828660432</v>
      </c>
      <c r="V291" s="2" t="s">
        <v>510</v>
      </c>
      <c r="W291" s="2" t="s">
        <v>1456</v>
      </c>
      <c r="X291" s="2" t="s">
        <v>1457</v>
      </c>
      <c r="Y291" s="2" t="b">
        <v>1</v>
      </c>
      <c r="Z291" s="2" t="s">
        <v>67</v>
      </c>
      <c r="AA291" s="2">
        <v>0</v>
      </c>
      <c r="AB291" s="2" t="s">
        <v>74</v>
      </c>
    </row>
    <row r="292" spans="1:28" ht="15.75" hidden="1" customHeight="1" x14ac:dyDescent="0.3">
      <c r="A292" s="2" t="s">
        <v>45</v>
      </c>
      <c r="B292" s="2" t="s">
        <v>32</v>
      </c>
      <c r="C292" s="2" t="s">
        <v>1262</v>
      </c>
      <c r="D292" s="2" t="s">
        <v>32</v>
      </c>
      <c r="E292" s="2" t="s">
        <v>39</v>
      </c>
      <c r="F292" s="2" t="s">
        <v>496</v>
      </c>
      <c r="G292" s="2" t="s">
        <v>42</v>
      </c>
      <c r="H292" s="2" t="s">
        <v>42</v>
      </c>
      <c r="I292" s="2" t="s">
        <v>47</v>
      </c>
      <c r="J292" s="2" t="s">
        <v>44</v>
      </c>
      <c r="K292" s="2" t="s">
        <v>1307</v>
      </c>
      <c r="L292" s="2" t="s">
        <v>1297</v>
      </c>
      <c r="M292" s="2" t="s">
        <v>1298</v>
      </c>
      <c r="N292" s="2" t="s">
        <v>1308</v>
      </c>
      <c r="O292" s="2" t="s">
        <v>165</v>
      </c>
      <c r="P292" s="2" t="s">
        <v>1300</v>
      </c>
      <c r="Q292" s="2">
        <v>52</v>
      </c>
      <c r="R292" s="2" t="b">
        <v>1</v>
      </c>
      <c r="S292" s="2">
        <v>0.66211604095563137</v>
      </c>
      <c r="V292" s="2" t="s">
        <v>510</v>
      </c>
      <c r="W292" s="2" t="s">
        <v>1458</v>
      </c>
      <c r="X292" s="2" t="s">
        <v>1459</v>
      </c>
      <c r="Y292" s="2" t="b">
        <v>1</v>
      </c>
      <c r="Z292" s="2" t="s">
        <v>67</v>
      </c>
      <c r="AA292" s="2">
        <v>0</v>
      </c>
      <c r="AB292" s="2" t="s">
        <v>74</v>
      </c>
    </row>
    <row r="293" spans="1:28" ht="15.75" hidden="1" customHeight="1" x14ac:dyDescent="0.3">
      <c r="A293" s="2" t="s">
        <v>45</v>
      </c>
      <c r="B293" s="2" t="s">
        <v>32</v>
      </c>
      <c r="C293" s="2" t="s">
        <v>1262</v>
      </c>
      <c r="D293" s="2" t="s">
        <v>32</v>
      </c>
      <c r="E293" s="2" t="s">
        <v>39</v>
      </c>
      <c r="F293" s="2" t="s">
        <v>496</v>
      </c>
      <c r="G293" s="2" t="s">
        <v>42</v>
      </c>
      <c r="H293" s="2" t="s">
        <v>42</v>
      </c>
      <c r="I293" s="2" t="s">
        <v>47</v>
      </c>
      <c r="J293" s="2" t="s">
        <v>44</v>
      </c>
      <c r="K293" s="2" t="s">
        <v>1311</v>
      </c>
      <c r="L293" s="2" t="s">
        <v>1297</v>
      </c>
      <c r="M293" s="2" t="s">
        <v>1298</v>
      </c>
      <c r="N293" s="2" t="s">
        <v>1312</v>
      </c>
      <c r="O293" s="2" t="s">
        <v>176</v>
      </c>
      <c r="P293" s="2" t="s">
        <v>1300</v>
      </c>
      <c r="Q293" s="2">
        <v>53</v>
      </c>
      <c r="R293" s="2" t="b">
        <v>1</v>
      </c>
      <c r="S293" s="2">
        <v>0.5714285714285714</v>
      </c>
      <c r="V293" s="2" t="s">
        <v>510</v>
      </c>
      <c r="W293" s="2" t="s">
        <v>1460</v>
      </c>
      <c r="X293" s="2" t="s">
        <v>1461</v>
      </c>
      <c r="Y293" s="2" t="b">
        <v>1</v>
      </c>
      <c r="Z293" s="2" t="s">
        <v>67</v>
      </c>
      <c r="AA293" s="2">
        <v>0</v>
      </c>
      <c r="AB293" s="2" t="s">
        <v>74</v>
      </c>
    </row>
    <row r="294" spans="1:28" ht="15.75" hidden="1" customHeight="1" x14ac:dyDescent="0.3">
      <c r="A294" s="2" t="s">
        <v>45</v>
      </c>
      <c r="B294" s="2" t="s">
        <v>32</v>
      </c>
      <c r="C294" s="2" t="s">
        <v>1262</v>
      </c>
      <c r="D294" s="2" t="s">
        <v>32</v>
      </c>
      <c r="E294" s="2" t="s">
        <v>39</v>
      </c>
      <c r="F294" s="2" t="s">
        <v>496</v>
      </c>
      <c r="G294" s="2" t="s">
        <v>42</v>
      </c>
      <c r="H294" s="2" t="s">
        <v>42</v>
      </c>
      <c r="I294" s="2" t="s">
        <v>47</v>
      </c>
      <c r="J294" s="2" t="s">
        <v>44</v>
      </c>
      <c r="K294" s="2" t="s">
        <v>1315</v>
      </c>
      <c r="L294" s="2" t="s">
        <v>1297</v>
      </c>
      <c r="M294" s="2" t="s">
        <v>1298</v>
      </c>
      <c r="N294" s="2" t="s">
        <v>1316</v>
      </c>
      <c r="O294" s="2" t="s">
        <v>185</v>
      </c>
      <c r="P294" s="2" t="s">
        <v>1300</v>
      </c>
      <c r="Q294" s="2">
        <v>54</v>
      </c>
      <c r="R294" s="2" t="b">
        <v>1</v>
      </c>
      <c r="S294" s="2">
        <v>0.61538461538461542</v>
      </c>
      <c r="V294" s="2" t="s">
        <v>510</v>
      </c>
      <c r="W294" s="2" t="s">
        <v>1462</v>
      </c>
      <c r="X294" s="2" t="s">
        <v>1463</v>
      </c>
      <c r="Y294" s="2" t="b">
        <v>1</v>
      </c>
      <c r="Z294" s="2" t="s">
        <v>67</v>
      </c>
      <c r="AA294" s="2">
        <v>0</v>
      </c>
      <c r="AB294" s="2" t="s">
        <v>74</v>
      </c>
    </row>
    <row r="295" spans="1:28" ht="15.75" hidden="1" customHeight="1" x14ac:dyDescent="0.3">
      <c r="A295" s="2" t="s">
        <v>45</v>
      </c>
      <c r="B295" s="2" t="s">
        <v>32</v>
      </c>
      <c r="C295" s="2" t="s">
        <v>1262</v>
      </c>
      <c r="D295" s="2" t="s">
        <v>32</v>
      </c>
      <c r="E295" s="2" t="s">
        <v>39</v>
      </c>
      <c r="F295" s="2" t="s">
        <v>496</v>
      </c>
      <c r="G295" s="2" t="s">
        <v>42</v>
      </c>
      <c r="H295" s="2" t="s">
        <v>42</v>
      </c>
      <c r="I295" s="2" t="s">
        <v>47</v>
      </c>
      <c r="J295" s="2" t="s">
        <v>44</v>
      </c>
      <c r="K295" s="2" t="s">
        <v>1319</v>
      </c>
      <c r="L295" s="2" t="s">
        <v>1297</v>
      </c>
      <c r="M295" s="2" t="s">
        <v>1298</v>
      </c>
      <c r="N295" s="2" t="s">
        <v>1320</v>
      </c>
      <c r="O295" s="2" t="s">
        <v>192</v>
      </c>
      <c r="P295" s="2" t="s">
        <v>1300</v>
      </c>
      <c r="Q295" s="2">
        <v>55</v>
      </c>
      <c r="R295" s="2" t="b">
        <v>1</v>
      </c>
      <c r="S295" s="2">
        <v>0.56730769230769229</v>
      </c>
      <c r="V295" s="2" t="s">
        <v>510</v>
      </c>
      <c r="W295" s="2" t="s">
        <v>1464</v>
      </c>
      <c r="X295" s="2" t="s">
        <v>1465</v>
      </c>
      <c r="Y295" s="2" t="b">
        <v>1</v>
      </c>
      <c r="Z295" s="2" t="s">
        <v>67</v>
      </c>
      <c r="AA295" s="2">
        <v>0</v>
      </c>
      <c r="AB295" s="2" t="s">
        <v>74</v>
      </c>
    </row>
    <row r="296" spans="1:28" ht="15.75" hidden="1" customHeight="1" x14ac:dyDescent="0.3">
      <c r="A296" s="2" t="s">
        <v>45</v>
      </c>
      <c r="B296" s="2" t="s">
        <v>32</v>
      </c>
      <c r="C296" s="2" t="s">
        <v>1262</v>
      </c>
      <c r="D296" s="2" t="s">
        <v>32</v>
      </c>
      <c r="E296" s="2" t="s">
        <v>39</v>
      </c>
      <c r="F296" s="2" t="s">
        <v>496</v>
      </c>
      <c r="G296" s="2" t="s">
        <v>42</v>
      </c>
      <c r="H296" s="2" t="s">
        <v>42</v>
      </c>
      <c r="I296" s="2" t="s">
        <v>47</v>
      </c>
      <c r="J296" s="2" t="s">
        <v>44</v>
      </c>
      <c r="K296" s="2" t="s">
        <v>1323</v>
      </c>
      <c r="L296" s="2" t="s">
        <v>1297</v>
      </c>
      <c r="M296" s="2" t="s">
        <v>1298</v>
      </c>
      <c r="N296" s="2" t="s">
        <v>1324</v>
      </c>
      <c r="O296" s="2" t="s">
        <v>201</v>
      </c>
      <c r="P296" s="2" t="s">
        <v>1300</v>
      </c>
      <c r="Q296" s="2">
        <v>56</v>
      </c>
      <c r="R296" s="2" t="b">
        <v>1</v>
      </c>
      <c r="S296" s="2">
        <v>0.48962655601659749</v>
      </c>
      <c r="V296" s="2" t="s">
        <v>510</v>
      </c>
      <c r="W296" s="2" t="s">
        <v>1466</v>
      </c>
      <c r="X296" s="2" t="s">
        <v>1467</v>
      </c>
      <c r="Y296" s="2" t="b">
        <v>1</v>
      </c>
      <c r="Z296" s="2" t="s">
        <v>67</v>
      </c>
      <c r="AA296" s="2">
        <v>0</v>
      </c>
      <c r="AB296" s="2" t="s">
        <v>74</v>
      </c>
    </row>
    <row r="297" spans="1:28" ht="15.75" hidden="1" customHeight="1" x14ac:dyDescent="0.3">
      <c r="A297" s="2" t="s">
        <v>45</v>
      </c>
      <c r="B297" s="2" t="s">
        <v>32</v>
      </c>
      <c r="C297" s="2" t="s">
        <v>1262</v>
      </c>
      <c r="D297" s="2" t="s">
        <v>32</v>
      </c>
      <c r="E297" s="2" t="s">
        <v>39</v>
      </c>
      <c r="F297" s="2" t="s">
        <v>496</v>
      </c>
      <c r="G297" s="2" t="s">
        <v>42</v>
      </c>
      <c r="H297" s="2" t="s">
        <v>42</v>
      </c>
      <c r="I297" s="2" t="s">
        <v>47</v>
      </c>
      <c r="J297" s="2" t="s">
        <v>44</v>
      </c>
      <c r="K297" s="2" t="s">
        <v>1327</v>
      </c>
      <c r="L297" s="2" t="s">
        <v>1297</v>
      </c>
      <c r="M297" s="2" t="s">
        <v>1298</v>
      </c>
      <c r="N297" s="2" t="s">
        <v>1328</v>
      </c>
      <c r="O297" s="2" t="s">
        <v>210</v>
      </c>
      <c r="P297" s="2" t="s">
        <v>1300</v>
      </c>
      <c r="Q297" s="2">
        <v>57</v>
      </c>
      <c r="R297" s="2" t="b">
        <v>1</v>
      </c>
      <c r="S297" s="2">
        <v>0.62264150943396224</v>
      </c>
      <c r="V297" s="2" t="s">
        <v>510</v>
      </c>
      <c r="W297" s="2" t="s">
        <v>1468</v>
      </c>
      <c r="X297" s="2" t="s">
        <v>1469</v>
      </c>
      <c r="Y297" s="2" t="b">
        <v>1</v>
      </c>
      <c r="Z297" s="2" t="s">
        <v>67</v>
      </c>
      <c r="AA297" s="2">
        <v>0</v>
      </c>
      <c r="AB297" s="2" t="s">
        <v>74</v>
      </c>
    </row>
    <row r="298" spans="1:28" ht="15.75" hidden="1" customHeight="1" x14ac:dyDescent="0.3">
      <c r="A298" s="2" t="s">
        <v>45</v>
      </c>
      <c r="B298" s="2" t="s">
        <v>32</v>
      </c>
      <c r="C298" s="2" t="s">
        <v>1262</v>
      </c>
      <c r="D298" s="2" t="s">
        <v>32</v>
      </c>
      <c r="E298" s="2" t="s">
        <v>39</v>
      </c>
      <c r="F298" s="2" t="s">
        <v>496</v>
      </c>
      <c r="G298" s="2" t="s">
        <v>42</v>
      </c>
      <c r="H298" s="2" t="s">
        <v>42</v>
      </c>
      <c r="I298" s="2" t="s">
        <v>47</v>
      </c>
      <c r="J298" s="2" t="s">
        <v>44</v>
      </c>
      <c r="K298" s="2" t="s">
        <v>1331</v>
      </c>
      <c r="L298" s="2" t="s">
        <v>1297</v>
      </c>
      <c r="M298" s="2" t="s">
        <v>1298</v>
      </c>
      <c r="N298" s="2" t="s">
        <v>1332</v>
      </c>
      <c r="O298" s="2" t="s">
        <v>219</v>
      </c>
      <c r="P298" s="2" t="s">
        <v>1300</v>
      </c>
      <c r="Q298" s="2">
        <v>58</v>
      </c>
      <c r="R298" s="2" t="b">
        <v>1</v>
      </c>
      <c r="S298" s="2">
        <v>0.60408163265306114</v>
      </c>
      <c r="V298" s="2" t="s">
        <v>510</v>
      </c>
      <c r="W298" s="2" t="s">
        <v>1470</v>
      </c>
      <c r="X298" s="2" t="s">
        <v>1471</v>
      </c>
      <c r="Y298" s="2" t="b">
        <v>1</v>
      </c>
      <c r="Z298" s="2" t="s">
        <v>67</v>
      </c>
      <c r="AA298" s="2">
        <v>0</v>
      </c>
      <c r="AB298" s="2" t="s">
        <v>74</v>
      </c>
    </row>
    <row r="299" spans="1:28" ht="15.75" hidden="1" customHeight="1" x14ac:dyDescent="0.3">
      <c r="A299" s="2" t="s">
        <v>45</v>
      </c>
      <c r="B299" s="2" t="s">
        <v>32</v>
      </c>
      <c r="C299" s="2" t="s">
        <v>1262</v>
      </c>
      <c r="D299" s="2" t="s">
        <v>32</v>
      </c>
      <c r="E299" s="2" t="s">
        <v>39</v>
      </c>
      <c r="F299" s="2" t="s">
        <v>496</v>
      </c>
      <c r="G299" s="2" t="s">
        <v>42</v>
      </c>
      <c r="H299" s="2" t="s">
        <v>42</v>
      </c>
      <c r="I299" s="2" t="s">
        <v>47</v>
      </c>
      <c r="J299" s="2" t="s">
        <v>44</v>
      </c>
      <c r="K299" s="2" t="s">
        <v>1335</v>
      </c>
      <c r="L299" s="2" t="s">
        <v>1297</v>
      </c>
      <c r="M299" s="2" t="s">
        <v>1298</v>
      </c>
      <c r="N299" s="2" t="s">
        <v>1336</v>
      </c>
      <c r="O299" s="2" t="s">
        <v>232</v>
      </c>
      <c r="P299" s="2" t="s">
        <v>1300</v>
      </c>
      <c r="Q299" s="2">
        <v>59</v>
      </c>
      <c r="R299" s="2" t="b">
        <v>1</v>
      </c>
      <c r="S299" s="2">
        <v>0.6244343891402715</v>
      </c>
      <c r="V299" s="2" t="s">
        <v>510</v>
      </c>
      <c r="W299" s="2" t="s">
        <v>1472</v>
      </c>
      <c r="X299" s="2" t="s">
        <v>1473</v>
      </c>
      <c r="Y299" s="2" t="b">
        <v>1</v>
      </c>
      <c r="Z299" s="2" t="s">
        <v>67</v>
      </c>
      <c r="AA299" s="2">
        <v>0</v>
      </c>
      <c r="AB299" s="2" t="s">
        <v>74</v>
      </c>
    </row>
    <row r="300" spans="1:28" ht="15.75" hidden="1" customHeight="1" x14ac:dyDescent="0.3">
      <c r="A300" s="2" t="s">
        <v>45</v>
      </c>
      <c r="B300" s="2" t="s">
        <v>32</v>
      </c>
      <c r="C300" s="2" t="s">
        <v>1262</v>
      </c>
      <c r="D300" s="2" t="s">
        <v>32</v>
      </c>
      <c r="E300" s="2" t="s">
        <v>39</v>
      </c>
      <c r="F300" s="2" t="s">
        <v>496</v>
      </c>
      <c r="G300" s="2" t="s">
        <v>42</v>
      </c>
      <c r="H300" s="2" t="s">
        <v>42</v>
      </c>
      <c r="I300" s="2" t="s">
        <v>47</v>
      </c>
      <c r="J300" s="2" t="s">
        <v>44</v>
      </c>
      <c r="K300" s="2" t="s">
        <v>1339</v>
      </c>
      <c r="L300" s="2" t="s">
        <v>1297</v>
      </c>
      <c r="M300" s="2" t="s">
        <v>1298</v>
      </c>
      <c r="N300" s="2" t="s">
        <v>1340</v>
      </c>
      <c r="O300" s="2" t="s">
        <v>246</v>
      </c>
      <c r="P300" s="2" t="s">
        <v>1300</v>
      </c>
      <c r="Q300" s="2">
        <v>60</v>
      </c>
      <c r="R300" s="2" t="b">
        <v>1</v>
      </c>
      <c r="S300" s="2">
        <v>0.47761194029850751</v>
      </c>
      <c r="V300" s="2" t="s">
        <v>510</v>
      </c>
      <c r="W300" s="2" t="s">
        <v>1474</v>
      </c>
      <c r="X300" s="2" t="s">
        <v>1475</v>
      </c>
      <c r="Y300" s="2" t="b">
        <v>1</v>
      </c>
      <c r="Z300" s="2" t="s">
        <v>67</v>
      </c>
      <c r="AA300" s="2">
        <v>0</v>
      </c>
      <c r="AB300" s="2" t="s">
        <v>74</v>
      </c>
    </row>
    <row r="301" spans="1:28" ht="15.75" hidden="1" customHeight="1" x14ac:dyDescent="0.3">
      <c r="A301" s="2" t="s">
        <v>45</v>
      </c>
      <c r="B301" s="2" t="s">
        <v>32</v>
      </c>
      <c r="C301" s="2" t="s">
        <v>1262</v>
      </c>
      <c r="D301" s="2" t="s">
        <v>32</v>
      </c>
      <c r="E301" s="2" t="s">
        <v>39</v>
      </c>
      <c r="F301" s="2" t="s">
        <v>496</v>
      </c>
      <c r="G301" s="2" t="s">
        <v>42</v>
      </c>
      <c r="H301" s="2" t="s">
        <v>42</v>
      </c>
      <c r="I301" s="2" t="s">
        <v>47</v>
      </c>
      <c r="J301" s="2" t="s">
        <v>44</v>
      </c>
      <c r="K301" s="2" t="s">
        <v>1343</v>
      </c>
      <c r="L301" s="2" t="s">
        <v>1297</v>
      </c>
      <c r="M301" s="2" t="s">
        <v>1298</v>
      </c>
      <c r="N301" s="2" t="s">
        <v>1344</v>
      </c>
      <c r="O301" s="2" t="s">
        <v>255</v>
      </c>
      <c r="P301" s="2" t="s">
        <v>1300</v>
      </c>
      <c r="Q301" s="2">
        <v>61</v>
      </c>
      <c r="R301" s="2" t="b">
        <v>1</v>
      </c>
      <c r="S301" s="2">
        <v>0.60660660660660659</v>
      </c>
      <c r="V301" s="2" t="s">
        <v>510</v>
      </c>
      <c r="W301" s="2" t="s">
        <v>1476</v>
      </c>
      <c r="X301" s="2" t="s">
        <v>1477</v>
      </c>
      <c r="Y301" s="2" t="b">
        <v>1</v>
      </c>
      <c r="Z301" s="2" t="s">
        <v>67</v>
      </c>
      <c r="AA301" s="2">
        <v>0</v>
      </c>
      <c r="AB301" s="2" t="s">
        <v>74</v>
      </c>
    </row>
    <row r="302" spans="1:28" ht="15.75" hidden="1" customHeight="1" x14ac:dyDescent="0.3">
      <c r="A302" s="2" t="s">
        <v>45</v>
      </c>
      <c r="B302" s="2" t="s">
        <v>32</v>
      </c>
      <c r="C302" s="2" t="s">
        <v>1262</v>
      </c>
      <c r="D302" s="2" t="s">
        <v>32</v>
      </c>
      <c r="E302" s="2" t="s">
        <v>39</v>
      </c>
      <c r="F302" s="2" t="s">
        <v>496</v>
      </c>
      <c r="G302" s="2" t="s">
        <v>42</v>
      </c>
      <c r="H302" s="2" t="s">
        <v>42</v>
      </c>
      <c r="I302" s="2" t="s">
        <v>239</v>
      </c>
      <c r="J302" s="2" t="s">
        <v>71</v>
      </c>
      <c r="K302" s="2" t="s">
        <v>1347</v>
      </c>
      <c r="L302" s="2" t="s">
        <v>1348</v>
      </c>
      <c r="M302" s="2" t="s">
        <v>1349</v>
      </c>
      <c r="N302" s="2" t="s">
        <v>1350</v>
      </c>
      <c r="O302" s="2" t="s">
        <v>266</v>
      </c>
      <c r="P302" s="2" t="s">
        <v>1351</v>
      </c>
      <c r="Q302" s="2">
        <v>42</v>
      </c>
      <c r="R302" s="2" t="b">
        <v>0</v>
      </c>
      <c r="S302" s="2">
        <v>0.57798165137614677</v>
      </c>
      <c r="V302" s="2" t="s">
        <v>510</v>
      </c>
      <c r="W302" s="2" t="s">
        <v>1478</v>
      </c>
      <c r="X302" s="2" t="s">
        <v>1479</v>
      </c>
      <c r="Y302" s="2" t="b">
        <v>1</v>
      </c>
      <c r="Z302" s="2" t="s">
        <v>67</v>
      </c>
      <c r="AA302" s="2">
        <v>0</v>
      </c>
      <c r="AB302" s="2" t="s">
        <v>74</v>
      </c>
    </row>
    <row r="303" spans="1:28" ht="15.75" hidden="1" customHeight="1" x14ac:dyDescent="0.3">
      <c r="A303" s="2" t="s">
        <v>45</v>
      </c>
      <c r="B303" s="2" t="s">
        <v>32</v>
      </c>
      <c r="C303" s="2" t="s">
        <v>1262</v>
      </c>
      <c r="D303" s="2" t="s">
        <v>32</v>
      </c>
      <c r="E303" s="2" t="s">
        <v>39</v>
      </c>
      <c r="F303" s="2" t="s">
        <v>496</v>
      </c>
      <c r="G303" s="2" t="s">
        <v>42</v>
      </c>
      <c r="H303" s="2" t="s">
        <v>42</v>
      </c>
      <c r="I303" s="2" t="s">
        <v>239</v>
      </c>
      <c r="J303" s="2" t="s">
        <v>71</v>
      </c>
      <c r="K303" s="2" t="s">
        <v>1354</v>
      </c>
      <c r="L303" s="2" t="s">
        <v>1348</v>
      </c>
      <c r="M303" s="2" t="s">
        <v>1349</v>
      </c>
      <c r="N303" s="2" t="s">
        <v>1355</v>
      </c>
      <c r="O303" s="2" t="s">
        <v>276</v>
      </c>
      <c r="P303" s="2" t="s">
        <v>1351</v>
      </c>
      <c r="Q303" s="2">
        <v>43</v>
      </c>
      <c r="R303" s="2" t="b">
        <v>0</v>
      </c>
      <c r="S303" s="2">
        <v>0.58745874587458746</v>
      </c>
      <c r="V303" s="2" t="s">
        <v>510</v>
      </c>
      <c r="W303" s="2" t="s">
        <v>1480</v>
      </c>
      <c r="X303" s="2" t="s">
        <v>1481</v>
      </c>
      <c r="Y303" s="2" t="b">
        <v>1</v>
      </c>
      <c r="Z303" s="2" t="s">
        <v>67</v>
      </c>
      <c r="AA303" s="2">
        <v>0</v>
      </c>
      <c r="AB303" s="2" t="s">
        <v>74</v>
      </c>
    </row>
    <row r="304" spans="1:28" ht="15.75" hidden="1" customHeight="1" x14ac:dyDescent="0.3">
      <c r="A304" s="2" t="s">
        <v>45</v>
      </c>
      <c r="B304" s="2" t="s">
        <v>32</v>
      </c>
      <c r="C304" s="2" t="s">
        <v>1262</v>
      </c>
      <c r="D304" s="2" t="s">
        <v>32</v>
      </c>
      <c r="E304" s="2" t="s">
        <v>39</v>
      </c>
      <c r="F304" s="2" t="s">
        <v>496</v>
      </c>
      <c r="G304" s="2" t="s">
        <v>42</v>
      </c>
      <c r="H304" s="2" t="s">
        <v>42</v>
      </c>
      <c r="I304" s="2" t="s">
        <v>239</v>
      </c>
      <c r="J304" s="2" t="s">
        <v>71</v>
      </c>
      <c r="K304" s="2" t="s">
        <v>1358</v>
      </c>
      <c r="L304" s="2" t="s">
        <v>1348</v>
      </c>
      <c r="M304" s="2" t="s">
        <v>1349</v>
      </c>
      <c r="N304" s="2" t="s">
        <v>1359</v>
      </c>
      <c r="O304" s="2" t="s">
        <v>285</v>
      </c>
      <c r="P304" s="2" t="s">
        <v>1351</v>
      </c>
      <c r="Q304" s="2">
        <v>44</v>
      </c>
      <c r="R304" s="2" t="b">
        <v>0</v>
      </c>
      <c r="S304" s="2">
        <v>0.62702702702702706</v>
      </c>
      <c r="V304" s="2" t="s">
        <v>510</v>
      </c>
      <c r="W304" s="2" t="s">
        <v>1482</v>
      </c>
      <c r="X304" s="2" t="s">
        <v>1483</v>
      </c>
      <c r="Y304" s="2" t="b">
        <v>1</v>
      </c>
      <c r="Z304" s="2" t="s">
        <v>67</v>
      </c>
      <c r="AA304" s="2">
        <v>0</v>
      </c>
      <c r="AB304" s="2" t="s">
        <v>74</v>
      </c>
    </row>
    <row r="305" spans="1:28" ht="15.75" hidden="1" customHeight="1" x14ac:dyDescent="0.3">
      <c r="A305" s="2" t="s">
        <v>45</v>
      </c>
      <c r="B305" s="2" t="s">
        <v>32</v>
      </c>
      <c r="C305" s="2" t="s">
        <v>1262</v>
      </c>
      <c r="D305" s="2" t="s">
        <v>32</v>
      </c>
      <c r="E305" s="2" t="s">
        <v>39</v>
      </c>
      <c r="F305" s="2" t="s">
        <v>496</v>
      </c>
      <c r="G305" s="2" t="s">
        <v>42</v>
      </c>
      <c r="H305" s="2" t="s">
        <v>42</v>
      </c>
      <c r="I305" s="2" t="s">
        <v>239</v>
      </c>
      <c r="J305" s="2" t="s">
        <v>71</v>
      </c>
      <c r="K305" s="2" t="s">
        <v>1362</v>
      </c>
      <c r="L305" s="2" t="s">
        <v>1348</v>
      </c>
      <c r="M305" s="2" t="s">
        <v>1349</v>
      </c>
      <c r="N305" s="2" t="s">
        <v>1363</v>
      </c>
      <c r="O305" s="2" t="s">
        <v>294</v>
      </c>
      <c r="P305" s="2" t="s">
        <v>1351</v>
      </c>
      <c r="Q305" s="2">
        <v>45</v>
      </c>
      <c r="R305" s="2" t="b">
        <v>0</v>
      </c>
      <c r="S305" s="2">
        <v>0.60897435897435903</v>
      </c>
      <c r="V305" s="2" t="s">
        <v>510</v>
      </c>
      <c r="W305" s="2" t="s">
        <v>1484</v>
      </c>
      <c r="X305" s="2" t="s">
        <v>1485</v>
      </c>
      <c r="Y305" s="2" t="b">
        <v>1</v>
      </c>
      <c r="Z305" s="2" t="s">
        <v>67</v>
      </c>
      <c r="AA305" s="2">
        <v>0</v>
      </c>
      <c r="AB305" s="2" t="s">
        <v>74</v>
      </c>
    </row>
    <row r="306" spans="1:28" ht="15.75" hidden="1" customHeight="1" x14ac:dyDescent="0.3">
      <c r="A306" s="2" t="s">
        <v>45</v>
      </c>
      <c r="B306" s="2" t="s">
        <v>32</v>
      </c>
      <c r="C306" s="2" t="s">
        <v>1262</v>
      </c>
      <c r="D306" s="2" t="s">
        <v>32</v>
      </c>
      <c r="E306" s="2" t="s">
        <v>39</v>
      </c>
      <c r="F306" s="2" t="s">
        <v>496</v>
      </c>
      <c r="G306" s="2" t="s">
        <v>42</v>
      </c>
      <c r="H306" s="2" t="s">
        <v>42</v>
      </c>
      <c r="I306" s="2" t="s">
        <v>239</v>
      </c>
      <c r="J306" s="2" t="s">
        <v>71</v>
      </c>
      <c r="K306" s="2" t="s">
        <v>1366</v>
      </c>
      <c r="L306" s="2" t="s">
        <v>1348</v>
      </c>
      <c r="M306" s="2" t="s">
        <v>1349</v>
      </c>
      <c r="N306" s="2" t="s">
        <v>1367</v>
      </c>
      <c r="O306" s="2" t="s">
        <v>299</v>
      </c>
      <c r="P306" s="2" t="s">
        <v>1351</v>
      </c>
      <c r="Q306" s="2">
        <v>46</v>
      </c>
      <c r="R306" s="2" t="b">
        <v>0</v>
      </c>
      <c r="S306" s="2">
        <v>0.59555555555555562</v>
      </c>
      <c r="V306" s="2" t="s">
        <v>510</v>
      </c>
      <c r="W306" s="2" t="s">
        <v>1486</v>
      </c>
      <c r="X306" s="2" t="s">
        <v>1487</v>
      </c>
      <c r="Y306" s="2" t="b">
        <v>1</v>
      </c>
      <c r="Z306" s="2" t="s">
        <v>67</v>
      </c>
      <c r="AA306" s="2">
        <v>0</v>
      </c>
      <c r="AB306" s="2" t="s">
        <v>74</v>
      </c>
    </row>
    <row r="307" spans="1:28" ht="15.75" hidden="1" customHeight="1" x14ac:dyDescent="0.3">
      <c r="A307" s="2" t="s">
        <v>45</v>
      </c>
      <c r="B307" s="2" t="s">
        <v>32</v>
      </c>
      <c r="C307" s="2" t="s">
        <v>1262</v>
      </c>
      <c r="D307" s="2" t="s">
        <v>32</v>
      </c>
      <c r="E307" s="2" t="s">
        <v>39</v>
      </c>
      <c r="F307" s="2" t="s">
        <v>496</v>
      </c>
      <c r="G307" s="2" t="s">
        <v>42</v>
      </c>
      <c r="H307" s="2" t="s">
        <v>42</v>
      </c>
      <c r="I307" s="2" t="s">
        <v>239</v>
      </c>
      <c r="J307" s="2" t="s">
        <v>71</v>
      </c>
      <c r="K307" s="2" t="s">
        <v>1370</v>
      </c>
      <c r="L307" s="2" t="s">
        <v>1348</v>
      </c>
      <c r="M307" s="2" t="s">
        <v>1349</v>
      </c>
      <c r="N307" s="2" t="s">
        <v>1371</v>
      </c>
      <c r="O307" s="2" t="s">
        <v>306</v>
      </c>
      <c r="P307" s="2" t="s">
        <v>1351</v>
      </c>
      <c r="Q307" s="2">
        <v>47</v>
      </c>
      <c r="R307" s="2" t="b">
        <v>0</v>
      </c>
      <c r="S307" s="2">
        <v>0.60550458715596334</v>
      </c>
      <c r="V307" s="2" t="s">
        <v>510</v>
      </c>
      <c r="W307" s="2" t="s">
        <v>1488</v>
      </c>
      <c r="X307" s="2" t="s">
        <v>1489</v>
      </c>
      <c r="Y307" s="2" t="b">
        <v>1</v>
      </c>
      <c r="Z307" s="2" t="s">
        <v>67</v>
      </c>
      <c r="AA307" s="2">
        <v>0</v>
      </c>
      <c r="AB307" s="2" t="s">
        <v>74</v>
      </c>
    </row>
    <row r="308" spans="1:28" ht="15.75" hidden="1" customHeight="1" x14ac:dyDescent="0.3">
      <c r="A308" s="2" t="s">
        <v>45</v>
      </c>
      <c r="B308" s="2" t="s">
        <v>32</v>
      </c>
      <c r="C308" s="2" t="s">
        <v>1262</v>
      </c>
      <c r="D308" s="2" t="s">
        <v>32</v>
      </c>
      <c r="E308" s="2" t="s">
        <v>39</v>
      </c>
      <c r="F308" s="2" t="s">
        <v>496</v>
      </c>
      <c r="G308" s="2" t="s">
        <v>42</v>
      </c>
      <c r="H308" s="2" t="s">
        <v>42</v>
      </c>
      <c r="I308" s="2" t="s">
        <v>239</v>
      </c>
      <c r="J308" s="2" t="s">
        <v>71</v>
      </c>
      <c r="K308" s="2" t="s">
        <v>1374</v>
      </c>
      <c r="L308" s="2" t="s">
        <v>1348</v>
      </c>
      <c r="M308" s="2" t="s">
        <v>1349</v>
      </c>
      <c r="N308" s="2" t="s">
        <v>1375</v>
      </c>
      <c r="O308" s="2" t="s">
        <v>315</v>
      </c>
      <c r="P308" s="2" t="s">
        <v>1351</v>
      </c>
      <c r="Q308" s="2">
        <v>48</v>
      </c>
      <c r="R308" s="2" t="b">
        <v>0</v>
      </c>
      <c r="S308" s="2">
        <v>0.57731958762886604</v>
      </c>
      <c r="V308" s="2" t="s">
        <v>510</v>
      </c>
      <c r="W308" s="2" t="s">
        <v>1490</v>
      </c>
      <c r="X308" s="2" t="s">
        <v>1491</v>
      </c>
      <c r="Y308" s="2" t="b">
        <v>1</v>
      </c>
      <c r="Z308" s="2" t="s">
        <v>67</v>
      </c>
      <c r="AA308" s="2">
        <v>0</v>
      </c>
      <c r="AB308" s="2" t="s">
        <v>74</v>
      </c>
    </row>
    <row r="309" spans="1:28" ht="15.75" hidden="1" customHeight="1" x14ac:dyDescent="0.3">
      <c r="A309" s="2" t="s">
        <v>45</v>
      </c>
      <c r="B309" s="2" t="s">
        <v>32</v>
      </c>
      <c r="C309" s="2" t="s">
        <v>1262</v>
      </c>
      <c r="D309" s="2" t="s">
        <v>32</v>
      </c>
      <c r="E309" s="2" t="s">
        <v>39</v>
      </c>
      <c r="F309" s="2" t="s">
        <v>496</v>
      </c>
      <c r="G309" s="2" t="s">
        <v>42</v>
      </c>
      <c r="H309" s="2" t="s">
        <v>42</v>
      </c>
      <c r="I309" s="2" t="s">
        <v>239</v>
      </c>
      <c r="J309" s="2" t="s">
        <v>71</v>
      </c>
      <c r="K309" s="2" t="s">
        <v>1378</v>
      </c>
      <c r="L309" s="2" t="s">
        <v>1348</v>
      </c>
      <c r="M309" s="2" t="s">
        <v>1349</v>
      </c>
      <c r="N309" s="2" t="s">
        <v>1379</v>
      </c>
      <c r="O309" s="2" t="s">
        <v>326</v>
      </c>
      <c r="P309" s="2" t="s">
        <v>1351</v>
      </c>
      <c r="Q309" s="2">
        <v>49</v>
      </c>
      <c r="R309" s="2" t="b">
        <v>0</v>
      </c>
      <c r="S309" s="2">
        <v>0.59534883720930232</v>
      </c>
      <c r="V309" s="2" t="s">
        <v>510</v>
      </c>
      <c r="W309" s="2" t="s">
        <v>1492</v>
      </c>
      <c r="X309" s="2" t="s">
        <v>1493</v>
      </c>
      <c r="Y309" s="2" t="b">
        <v>1</v>
      </c>
      <c r="Z309" s="2" t="s">
        <v>67</v>
      </c>
      <c r="AA309" s="2">
        <v>0</v>
      </c>
      <c r="AB309" s="2" t="s">
        <v>74</v>
      </c>
    </row>
    <row r="310" spans="1:28" ht="15.75" hidden="1" customHeight="1" x14ac:dyDescent="0.3">
      <c r="A310" s="2" t="s">
        <v>45</v>
      </c>
      <c r="B310" s="2" t="s">
        <v>32</v>
      </c>
      <c r="C310" s="2" t="s">
        <v>1262</v>
      </c>
      <c r="D310" s="2" t="s">
        <v>32</v>
      </c>
      <c r="E310" s="2" t="s">
        <v>39</v>
      </c>
      <c r="F310" s="2" t="s">
        <v>496</v>
      </c>
      <c r="G310" s="2" t="s">
        <v>42</v>
      </c>
      <c r="H310" s="2" t="s">
        <v>42</v>
      </c>
      <c r="I310" s="2" t="s">
        <v>239</v>
      </c>
      <c r="J310" s="2" t="s">
        <v>71</v>
      </c>
      <c r="K310" s="2" t="s">
        <v>1382</v>
      </c>
      <c r="L310" s="2" t="s">
        <v>1348</v>
      </c>
      <c r="M310" s="2" t="s">
        <v>1349</v>
      </c>
      <c r="N310" s="2" t="s">
        <v>1383</v>
      </c>
      <c r="O310" s="2" t="s">
        <v>335</v>
      </c>
      <c r="P310" s="2" t="s">
        <v>1351</v>
      </c>
      <c r="Q310" s="2">
        <v>50</v>
      </c>
      <c r="R310" s="2" t="b">
        <v>0</v>
      </c>
      <c r="S310" s="2">
        <v>0.632996632996633</v>
      </c>
      <c r="V310" s="2" t="s">
        <v>510</v>
      </c>
      <c r="W310" s="2" t="s">
        <v>1494</v>
      </c>
      <c r="X310" s="2" t="s">
        <v>1495</v>
      </c>
      <c r="Y310" s="2" t="b">
        <v>1</v>
      </c>
      <c r="Z310" s="2" t="s">
        <v>67</v>
      </c>
      <c r="AA310" s="2">
        <v>0</v>
      </c>
      <c r="AB310" s="2" t="s">
        <v>74</v>
      </c>
    </row>
    <row r="311" spans="1:28" ht="15.75" hidden="1" customHeight="1" x14ac:dyDescent="0.3">
      <c r="A311" s="2" t="s">
        <v>45</v>
      </c>
      <c r="B311" s="2" t="s">
        <v>32</v>
      </c>
      <c r="C311" s="2" t="s">
        <v>1262</v>
      </c>
      <c r="D311" s="2" t="s">
        <v>32</v>
      </c>
      <c r="E311" s="2" t="s">
        <v>39</v>
      </c>
      <c r="F311" s="2" t="s">
        <v>496</v>
      </c>
      <c r="G311" s="2" t="s">
        <v>42</v>
      </c>
      <c r="H311" s="2" t="s">
        <v>42</v>
      </c>
      <c r="I311" s="2" t="s">
        <v>239</v>
      </c>
      <c r="J311" s="2" t="s">
        <v>71</v>
      </c>
      <c r="K311" s="2" t="s">
        <v>1386</v>
      </c>
      <c r="L311" s="2" t="s">
        <v>1348</v>
      </c>
      <c r="M311" s="2" t="s">
        <v>1349</v>
      </c>
      <c r="N311" s="2" t="s">
        <v>1387</v>
      </c>
      <c r="O311" s="2" t="s">
        <v>346</v>
      </c>
      <c r="P311" s="2" t="s">
        <v>1351</v>
      </c>
      <c r="Q311" s="2">
        <v>51</v>
      </c>
      <c r="R311" s="2" t="b">
        <v>0</v>
      </c>
      <c r="S311" s="2">
        <v>0.55862068965517253</v>
      </c>
      <c r="V311" s="2" t="s">
        <v>510</v>
      </c>
      <c r="W311" s="2" t="s">
        <v>1496</v>
      </c>
      <c r="X311" s="2" t="s">
        <v>1497</v>
      </c>
      <c r="Y311" s="2" t="b">
        <v>1</v>
      </c>
      <c r="Z311" s="2" t="s">
        <v>67</v>
      </c>
      <c r="AA311" s="2">
        <v>0</v>
      </c>
      <c r="AB311" s="2" t="s">
        <v>74</v>
      </c>
    </row>
    <row r="312" spans="1:28" ht="15.75" hidden="1" customHeight="1" x14ac:dyDescent="0.3">
      <c r="A312" s="2" t="s">
        <v>45</v>
      </c>
      <c r="B312" s="2" t="s">
        <v>32</v>
      </c>
      <c r="C312" s="2" t="s">
        <v>1262</v>
      </c>
      <c r="D312" s="2" t="s">
        <v>32</v>
      </c>
      <c r="E312" s="2" t="s">
        <v>39</v>
      </c>
      <c r="F312" s="2" t="s">
        <v>496</v>
      </c>
      <c r="G312" s="2" t="s">
        <v>42</v>
      </c>
      <c r="H312" s="2" t="s">
        <v>42</v>
      </c>
      <c r="I312" s="2" t="s">
        <v>239</v>
      </c>
      <c r="J312" s="2" t="s">
        <v>71</v>
      </c>
      <c r="K312" s="2" t="s">
        <v>1390</v>
      </c>
      <c r="L312" s="2" t="s">
        <v>1348</v>
      </c>
      <c r="M312" s="2" t="s">
        <v>1349</v>
      </c>
      <c r="N312" s="2" t="s">
        <v>1391</v>
      </c>
      <c r="O312" s="2" t="s">
        <v>357</v>
      </c>
      <c r="P312" s="2" t="s">
        <v>1351</v>
      </c>
      <c r="Q312" s="2">
        <v>52</v>
      </c>
      <c r="R312" s="2" t="b">
        <v>0</v>
      </c>
      <c r="S312" s="2">
        <v>0.61971830985915499</v>
      </c>
      <c r="V312" s="2" t="s">
        <v>510</v>
      </c>
      <c r="W312" s="2" t="s">
        <v>1498</v>
      </c>
      <c r="X312" s="2" t="s">
        <v>1499</v>
      </c>
      <c r="Y312" s="2" t="b">
        <v>1</v>
      </c>
      <c r="Z312" s="2" t="s">
        <v>67</v>
      </c>
      <c r="AA312" s="2">
        <v>0</v>
      </c>
      <c r="AB312" s="2" t="s">
        <v>74</v>
      </c>
    </row>
    <row r="313" spans="1:28" ht="15.75" hidden="1" customHeight="1" x14ac:dyDescent="0.3">
      <c r="A313" s="2" t="s">
        <v>45</v>
      </c>
      <c r="B313" s="2" t="s">
        <v>32</v>
      </c>
      <c r="C313" s="2" t="s">
        <v>1262</v>
      </c>
      <c r="D313" s="2" t="s">
        <v>32</v>
      </c>
      <c r="E313" s="2" t="s">
        <v>39</v>
      </c>
      <c r="F313" s="2" t="s">
        <v>496</v>
      </c>
      <c r="G313" s="2" t="s">
        <v>42</v>
      </c>
      <c r="H313" s="2" t="s">
        <v>42</v>
      </c>
      <c r="I313" s="2" t="s">
        <v>239</v>
      </c>
      <c r="J313" s="2" t="s">
        <v>71</v>
      </c>
      <c r="K313" s="2" t="s">
        <v>1394</v>
      </c>
      <c r="L313" s="2" t="s">
        <v>1348</v>
      </c>
      <c r="M313" s="2" t="s">
        <v>1349</v>
      </c>
      <c r="N313" s="2" t="s">
        <v>1395</v>
      </c>
      <c r="O313" s="2" t="s">
        <v>369</v>
      </c>
      <c r="P313" s="2" t="s">
        <v>1351</v>
      </c>
      <c r="Q313" s="2">
        <v>53</v>
      </c>
      <c r="R313" s="2" t="b">
        <v>0</v>
      </c>
      <c r="S313" s="2">
        <v>0.6216216216216216</v>
      </c>
      <c r="V313" s="2" t="s">
        <v>510</v>
      </c>
      <c r="W313" s="2" t="s">
        <v>1500</v>
      </c>
      <c r="X313" s="2" t="s">
        <v>1501</v>
      </c>
      <c r="Y313" s="2" t="b">
        <v>1</v>
      </c>
      <c r="Z313" s="2" t="s">
        <v>67</v>
      </c>
      <c r="AA313" s="2">
        <v>0</v>
      </c>
      <c r="AB313" s="2" t="s">
        <v>74</v>
      </c>
    </row>
    <row r="314" spans="1:28" ht="15.75" hidden="1" customHeight="1" x14ac:dyDescent="0.3">
      <c r="A314" s="2" t="s">
        <v>45</v>
      </c>
      <c r="B314" s="2" t="s">
        <v>32</v>
      </c>
      <c r="C314" s="2" t="s">
        <v>1262</v>
      </c>
      <c r="D314" s="2" t="s">
        <v>32</v>
      </c>
      <c r="E314" s="2" t="s">
        <v>39</v>
      </c>
      <c r="F314" s="2" t="s">
        <v>496</v>
      </c>
      <c r="G314" s="2" t="s">
        <v>42</v>
      </c>
      <c r="H314" s="2" t="s">
        <v>42</v>
      </c>
      <c r="I314" s="2" t="s">
        <v>239</v>
      </c>
      <c r="J314" s="2" t="s">
        <v>71</v>
      </c>
      <c r="K314" s="2" t="s">
        <v>1398</v>
      </c>
      <c r="L314" s="2" t="s">
        <v>1348</v>
      </c>
      <c r="M314" s="2" t="s">
        <v>1349</v>
      </c>
      <c r="N314" s="2" t="s">
        <v>1399</v>
      </c>
      <c r="O314" s="2" t="s">
        <v>378</v>
      </c>
      <c r="P314" s="2" t="s">
        <v>1351</v>
      </c>
      <c r="Q314" s="2">
        <v>54</v>
      </c>
      <c r="R314" s="2" t="b">
        <v>0</v>
      </c>
      <c r="S314" s="2">
        <v>0.586046511627907</v>
      </c>
      <c r="V314" s="2" t="s">
        <v>510</v>
      </c>
      <c r="W314" s="2" t="s">
        <v>1502</v>
      </c>
      <c r="X314" s="2" t="s">
        <v>1503</v>
      </c>
      <c r="Y314" s="2" t="b">
        <v>1</v>
      </c>
      <c r="Z314" s="2" t="s">
        <v>67</v>
      </c>
      <c r="AA314" s="2">
        <v>0</v>
      </c>
      <c r="AB314" s="2" t="s">
        <v>74</v>
      </c>
    </row>
    <row r="315" spans="1:28" ht="15.75" hidden="1" customHeight="1" x14ac:dyDescent="0.3">
      <c r="A315" s="2" t="s">
        <v>45</v>
      </c>
      <c r="B315" s="2" t="s">
        <v>32</v>
      </c>
      <c r="C315" s="2" t="s">
        <v>1262</v>
      </c>
      <c r="D315" s="2" t="s">
        <v>32</v>
      </c>
      <c r="E315" s="2" t="s">
        <v>39</v>
      </c>
      <c r="F315" s="2" t="s">
        <v>496</v>
      </c>
      <c r="G315" s="2" t="s">
        <v>42</v>
      </c>
      <c r="H315" s="2" t="s">
        <v>42</v>
      </c>
      <c r="I315" s="2" t="s">
        <v>239</v>
      </c>
      <c r="J315" s="2" t="s">
        <v>71</v>
      </c>
      <c r="K315" s="2" t="s">
        <v>1402</v>
      </c>
      <c r="L315" s="2" t="s">
        <v>1348</v>
      </c>
      <c r="M315" s="2" t="s">
        <v>1349</v>
      </c>
      <c r="N315" s="2" t="s">
        <v>1403</v>
      </c>
      <c r="O315" s="2" t="s">
        <v>390</v>
      </c>
      <c r="P315" s="2" t="s">
        <v>1351</v>
      </c>
      <c r="Q315" s="2">
        <v>55</v>
      </c>
      <c r="R315" s="2" t="b">
        <v>0</v>
      </c>
      <c r="S315" s="2">
        <v>0.61963190184049077</v>
      </c>
      <c r="V315" s="2" t="s">
        <v>510</v>
      </c>
      <c r="W315" s="2" t="s">
        <v>1504</v>
      </c>
      <c r="X315" s="2" t="s">
        <v>1505</v>
      </c>
      <c r="Y315" s="2" t="b">
        <v>1</v>
      </c>
      <c r="Z315" s="2" t="s">
        <v>67</v>
      </c>
      <c r="AA315" s="2">
        <v>0</v>
      </c>
      <c r="AB315" s="2" t="s">
        <v>74</v>
      </c>
    </row>
    <row r="316" spans="1:28" ht="15.75" hidden="1" customHeight="1" x14ac:dyDescent="0.3">
      <c r="A316" s="2" t="s">
        <v>45</v>
      </c>
      <c r="B316" s="2" t="s">
        <v>32</v>
      </c>
      <c r="C316" s="2" t="s">
        <v>1262</v>
      </c>
      <c r="D316" s="2" t="s">
        <v>32</v>
      </c>
      <c r="E316" s="2" t="s">
        <v>39</v>
      </c>
      <c r="F316" s="2" t="s">
        <v>496</v>
      </c>
      <c r="G316" s="2" t="s">
        <v>42</v>
      </c>
      <c r="H316" s="2" t="s">
        <v>42</v>
      </c>
      <c r="I316" s="2" t="s">
        <v>239</v>
      </c>
      <c r="J316" s="2" t="s">
        <v>71</v>
      </c>
      <c r="K316" s="2" t="s">
        <v>1406</v>
      </c>
      <c r="L316" s="2" t="s">
        <v>1348</v>
      </c>
      <c r="M316" s="2" t="s">
        <v>1349</v>
      </c>
      <c r="N316" s="2" t="s">
        <v>1407</v>
      </c>
      <c r="O316" s="2" t="s">
        <v>404</v>
      </c>
      <c r="P316" s="2" t="s">
        <v>1351</v>
      </c>
      <c r="Q316" s="2">
        <v>56</v>
      </c>
      <c r="R316" s="2" t="b">
        <v>0</v>
      </c>
      <c r="S316" s="2">
        <v>0.63519313304721026</v>
      </c>
      <c r="V316" s="2" t="s">
        <v>510</v>
      </c>
      <c r="W316" s="2" t="s">
        <v>1506</v>
      </c>
      <c r="X316" s="2" t="s">
        <v>1507</v>
      </c>
      <c r="Y316" s="2" t="b">
        <v>1</v>
      </c>
      <c r="Z316" s="2" t="s">
        <v>67</v>
      </c>
      <c r="AA316" s="2">
        <v>0</v>
      </c>
      <c r="AB316" s="2" t="s">
        <v>74</v>
      </c>
    </row>
    <row r="317" spans="1:28" ht="15.75" hidden="1" customHeight="1" x14ac:dyDescent="0.3">
      <c r="A317" s="2" t="s">
        <v>45</v>
      </c>
      <c r="B317" s="2" t="s">
        <v>32</v>
      </c>
      <c r="C317" s="2" t="s">
        <v>1262</v>
      </c>
      <c r="D317" s="2" t="s">
        <v>32</v>
      </c>
      <c r="E317" s="2" t="s">
        <v>39</v>
      </c>
      <c r="F317" s="2" t="s">
        <v>496</v>
      </c>
      <c r="G317" s="2" t="s">
        <v>42</v>
      </c>
      <c r="H317" s="2" t="s">
        <v>42</v>
      </c>
      <c r="I317" s="2" t="s">
        <v>239</v>
      </c>
      <c r="J317" s="2" t="s">
        <v>71</v>
      </c>
      <c r="K317" s="2" t="s">
        <v>1410</v>
      </c>
      <c r="L317" s="2" t="s">
        <v>1348</v>
      </c>
      <c r="M317" s="2" t="s">
        <v>1349</v>
      </c>
      <c r="N317" s="2" t="s">
        <v>1411</v>
      </c>
      <c r="O317" s="2" t="s">
        <v>416</v>
      </c>
      <c r="P317" s="2" t="s">
        <v>1351</v>
      </c>
      <c r="Q317" s="2">
        <v>57</v>
      </c>
      <c r="R317" s="2" t="b">
        <v>0</v>
      </c>
      <c r="S317" s="2">
        <v>0.65780730897009965</v>
      </c>
      <c r="V317" s="2" t="s">
        <v>510</v>
      </c>
      <c r="W317" s="2" t="s">
        <v>1508</v>
      </c>
      <c r="X317" s="2" t="s">
        <v>1509</v>
      </c>
      <c r="Y317" s="2" t="b">
        <v>1</v>
      </c>
      <c r="Z317" s="2" t="s">
        <v>67</v>
      </c>
      <c r="AA317" s="2">
        <v>0</v>
      </c>
      <c r="AB317" s="2" t="s">
        <v>74</v>
      </c>
    </row>
    <row r="318" spans="1:28" ht="15.75" hidden="1" customHeight="1" x14ac:dyDescent="0.3">
      <c r="A318" s="2" t="s">
        <v>45</v>
      </c>
      <c r="B318" s="2" t="s">
        <v>32</v>
      </c>
      <c r="C318" s="2" t="s">
        <v>1262</v>
      </c>
      <c r="D318" s="2" t="s">
        <v>32</v>
      </c>
      <c r="E318" s="2" t="s">
        <v>39</v>
      </c>
      <c r="F318" s="2" t="s">
        <v>496</v>
      </c>
      <c r="G318" s="2" t="s">
        <v>42</v>
      </c>
      <c r="H318" s="2" t="s">
        <v>42</v>
      </c>
      <c r="I318" s="2" t="s">
        <v>239</v>
      </c>
      <c r="J318" s="2" t="s">
        <v>71</v>
      </c>
      <c r="K318" s="2" t="s">
        <v>1414</v>
      </c>
      <c r="L318" s="2" t="s">
        <v>1348</v>
      </c>
      <c r="M318" s="2" t="s">
        <v>1349</v>
      </c>
      <c r="N318" s="2" t="s">
        <v>1415</v>
      </c>
      <c r="O318" s="2" t="s">
        <v>430</v>
      </c>
      <c r="P318" s="2" t="s">
        <v>1351</v>
      </c>
      <c r="Q318" s="2">
        <v>58</v>
      </c>
      <c r="R318" s="2" t="b">
        <v>0</v>
      </c>
      <c r="S318" s="2">
        <v>0.61794019933554822</v>
      </c>
      <c r="V318" s="2" t="s">
        <v>510</v>
      </c>
      <c r="W318" s="2" t="s">
        <v>1510</v>
      </c>
      <c r="X318" s="2" t="s">
        <v>1511</v>
      </c>
      <c r="Y318" s="2" t="b">
        <v>1</v>
      </c>
      <c r="Z318" s="2" t="s">
        <v>67</v>
      </c>
      <c r="AA318" s="2">
        <v>0</v>
      </c>
      <c r="AB318" s="2" t="s">
        <v>74</v>
      </c>
    </row>
    <row r="319" spans="1:28" ht="15.75" hidden="1" customHeight="1" x14ac:dyDescent="0.3">
      <c r="A319" s="2" t="s">
        <v>45</v>
      </c>
      <c r="B319" s="2" t="s">
        <v>32</v>
      </c>
      <c r="C319" s="2" t="s">
        <v>1262</v>
      </c>
      <c r="D319" s="2" t="s">
        <v>32</v>
      </c>
      <c r="E319" s="2" t="s">
        <v>39</v>
      </c>
      <c r="F319" s="2" t="s">
        <v>496</v>
      </c>
      <c r="G319" s="2" t="s">
        <v>42</v>
      </c>
      <c r="H319" s="2" t="s">
        <v>42</v>
      </c>
      <c r="I319" s="2" t="s">
        <v>239</v>
      </c>
      <c r="J319" s="2" t="s">
        <v>71</v>
      </c>
      <c r="K319" s="2" t="s">
        <v>1418</v>
      </c>
      <c r="L319" s="2" t="s">
        <v>1348</v>
      </c>
      <c r="M319" s="2" t="s">
        <v>1349</v>
      </c>
      <c r="N319" s="2" t="s">
        <v>1419</v>
      </c>
      <c r="O319" s="2" t="s">
        <v>447</v>
      </c>
      <c r="P319" s="2" t="s">
        <v>1351</v>
      </c>
      <c r="Q319" s="2">
        <v>59</v>
      </c>
      <c r="R319" s="2" t="b">
        <v>0</v>
      </c>
      <c r="S319" s="2">
        <v>0.59154929577464788</v>
      </c>
      <c r="V319" s="2" t="s">
        <v>510</v>
      </c>
      <c r="W319" s="2" t="s">
        <v>1512</v>
      </c>
      <c r="X319" s="2" t="s">
        <v>1513</v>
      </c>
      <c r="Y319" s="2" t="b">
        <v>1</v>
      </c>
      <c r="Z319" s="2" t="s">
        <v>67</v>
      </c>
      <c r="AA319" s="2">
        <v>0</v>
      </c>
      <c r="AB319" s="2" t="s">
        <v>74</v>
      </c>
    </row>
    <row r="320" spans="1:28" ht="15.75" hidden="1" customHeight="1" x14ac:dyDescent="0.3">
      <c r="A320" s="2" t="s">
        <v>45</v>
      </c>
      <c r="B320" s="2" t="s">
        <v>32</v>
      </c>
      <c r="C320" s="2" t="s">
        <v>1262</v>
      </c>
      <c r="D320" s="2" t="s">
        <v>32</v>
      </c>
      <c r="E320" s="2" t="s">
        <v>39</v>
      </c>
      <c r="F320" s="2" t="s">
        <v>496</v>
      </c>
      <c r="G320" s="2" t="s">
        <v>42</v>
      </c>
      <c r="H320" s="2" t="s">
        <v>42</v>
      </c>
      <c r="I320" s="2" t="s">
        <v>239</v>
      </c>
      <c r="J320" s="2" t="s">
        <v>71</v>
      </c>
      <c r="K320" s="2" t="s">
        <v>1422</v>
      </c>
      <c r="L320" s="2" t="s">
        <v>1348</v>
      </c>
      <c r="M320" s="2" t="s">
        <v>1349</v>
      </c>
      <c r="N320" s="2" t="s">
        <v>1423</v>
      </c>
      <c r="O320" s="2" t="s">
        <v>457</v>
      </c>
      <c r="P320" s="2" t="s">
        <v>1351</v>
      </c>
      <c r="Q320" s="2">
        <v>60</v>
      </c>
      <c r="R320" s="2" t="b">
        <v>0</v>
      </c>
      <c r="S320" s="2">
        <v>0.58461538461538465</v>
      </c>
      <c r="V320" s="2" t="s">
        <v>510</v>
      </c>
      <c r="W320" s="2" t="s">
        <v>1514</v>
      </c>
      <c r="X320" s="2" t="s">
        <v>1515</v>
      </c>
      <c r="Y320" s="2" t="b">
        <v>1</v>
      </c>
      <c r="Z320" s="2" t="s">
        <v>67</v>
      </c>
      <c r="AA320" s="2">
        <v>0</v>
      </c>
      <c r="AB320" s="2" t="s">
        <v>74</v>
      </c>
    </row>
    <row r="321" spans="1:28" ht="15.75" hidden="1" customHeight="1" x14ac:dyDescent="0.3">
      <c r="A321" s="2" t="s">
        <v>45</v>
      </c>
      <c r="B321" s="2" t="s">
        <v>32</v>
      </c>
      <c r="C321" s="2" t="s">
        <v>1262</v>
      </c>
      <c r="D321" s="2" t="s">
        <v>32</v>
      </c>
      <c r="E321" s="2" t="s">
        <v>39</v>
      </c>
      <c r="F321" s="2" t="s">
        <v>496</v>
      </c>
      <c r="G321" s="2" t="s">
        <v>42</v>
      </c>
      <c r="H321" s="2" t="s">
        <v>42</v>
      </c>
      <c r="I321" s="2" t="s">
        <v>239</v>
      </c>
      <c r="J321" s="2" t="s">
        <v>71</v>
      </c>
      <c r="K321" s="2" t="s">
        <v>1426</v>
      </c>
      <c r="L321" s="2" t="s">
        <v>1348</v>
      </c>
      <c r="M321" s="2" t="s">
        <v>1349</v>
      </c>
      <c r="N321" s="2" t="s">
        <v>1427</v>
      </c>
      <c r="O321" s="2" t="s">
        <v>475</v>
      </c>
      <c r="P321" s="2" t="s">
        <v>1351</v>
      </c>
      <c r="Q321" s="2">
        <v>61</v>
      </c>
      <c r="R321" s="2" t="b">
        <v>0</v>
      </c>
      <c r="S321" s="2">
        <v>0.62706270627062699</v>
      </c>
      <c r="V321" s="2" t="s">
        <v>510</v>
      </c>
      <c r="W321" s="2" t="s">
        <v>1516</v>
      </c>
      <c r="X321" s="2" t="s">
        <v>1517</v>
      </c>
      <c r="Y321" s="2" t="b">
        <v>1</v>
      </c>
      <c r="Z321" s="2" t="s">
        <v>67</v>
      </c>
      <c r="AA321" s="2">
        <v>0</v>
      </c>
      <c r="AB321" s="2" t="s">
        <v>74</v>
      </c>
    </row>
    <row r="322" spans="1:28" ht="15.75" hidden="1" customHeight="1" x14ac:dyDescent="0.3">
      <c r="A322" s="2" t="s">
        <v>45</v>
      </c>
      <c r="B322" s="2" t="s">
        <v>32</v>
      </c>
      <c r="C322" s="2" t="s">
        <v>1262</v>
      </c>
      <c r="D322" s="2" t="s">
        <v>32</v>
      </c>
      <c r="E322" s="2" t="s">
        <v>82</v>
      </c>
      <c r="F322" s="2" t="s">
        <v>814</v>
      </c>
      <c r="G322" s="2" t="s">
        <v>42</v>
      </c>
      <c r="H322" s="2" t="s">
        <v>42</v>
      </c>
      <c r="I322" s="2" t="s">
        <v>47</v>
      </c>
      <c r="J322" s="2" t="s">
        <v>44</v>
      </c>
      <c r="K322" s="2" t="s">
        <v>1263</v>
      </c>
      <c r="L322" s="2" t="s">
        <v>1297</v>
      </c>
      <c r="M322" s="2" t="s">
        <v>1298</v>
      </c>
      <c r="N322" s="2" t="s">
        <v>1430</v>
      </c>
      <c r="O322" s="2" t="s">
        <v>55</v>
      </c>
      <c r="P322" s="2" t="s">
        <v>1300</v>
      </c>
      <c r="Q322" s="2">
        <v>42</v>
      </c>
      <c r="R322" s="2" t="b">
        <v>1</v>
      </c>
      <c r="S322" s="2">
        <v>0.71099744245524299</v>
      </c>
      <c r="T322" s="2">
        <v>0.85276073619631898</v>
      </c>
      <c r="U322" s="2">
        <v>0.60964912280701755</v>
      </c>
      <c r="V322" s="2" t="s">
        <v>63</v>
      </c>
      <c r="W322" s="2" t="s">
        <v>1518</v>
      </c>
      <c r="X322" s="2" t="s">
        <v>1519</v>
      </c>
      <c r="Y322" s="2" t="b">
        <v>1</v>
      </c>
      <c r="Z322" s="2" t="s">
        <v>67</v>
      </c>
      <c r="AA322" s="2">
        <v>4.0999999999999996</v>
      </c>
      <c r="AB322" s="2" t="s">
        <v>74</v>
      </c>
    </row>
    <row r="323" spans="1:28" ht="15.75" hidden="1" customHeight="1" x14ac:dyDescent="0.3">
      <c r="A323" s="2" t="s">
        <v>45</v>
      </c>
      <c r="B323" s="2" t="s">
        <v>32</v>
      </c>
      <c r="C323" s="2" t="s">
        <v>1262</v>
      </c>
      <c r="D323" s="2" t="s">
        <v>32</v>
      </c>
      <c r="E323" s="2" t="s">
        <v>82</v>
      </c>
      <c r="F323" s="2" t="s">
        <v>814</v>
      </c>
      <c r="G323" s="2" t="s">
        <v>42</v>
      </c>
      <c r="H323" s="2" t="s">
        <v>42</v>
      </c>
      <c r="I323" s="2" t="s">
        <v>47</v>
      </c>
      <c r="J323" s="2" t="s">
        <v>44</v>
      </c>
      <c r="K323" s="2" t="s">
        <v>1268</v>
      </c>
      <c r="L323" s="2" t="s">
        <v>1297</v>
      </c>
      <c r="M323" s="2" t="s">
        <v>1298</v>
      </c>
      <c r="N323" s="2" t="s">
        <v>1433</v>
      </c>
      <c r="O323" s="2" t="s">
        <v>73</v>
      </c>
      <c r="P323" s="2" t="s">
        <v>1300</v>
      </c>
      <c r="Q323" s="2">
        <v>43</v>
      </c>
      <c r="R323" s="2" t="b">
        <v>1</v>
      </c>
      <c r="S323" s="2">
        <v>0.7466666666666667</v>
      </c>
      <c r="T323" s="2">
        <v>0.8045977011494253</v>
      </c>
      <c r="U323" s="2">
        <v>0.69651741293532343</v>
      </c>
      <c r="V323" s="2" t="s">
        <v>63</v>
      </c>
      <c r="W323" s="2" t="s">
        <v>1520</v>
      </c>
      <c r="X323" s="2" t="s">
        <v>1521</v>
      </c>
      <c r="Y323" s="2" t="b">
        <v>1</v>
      </c>
      <c r="Z323" s="2" t="s">
        <v>67</v>
      </c>
      <c r="AA323" s="2">
        <v>2</v>
      </c>
      <c r="AB323" s="2" t="s">
        <v>74</v>
      </c>
    </row>
    <row r="324" spans="1:28" ht="15.75" hidden="1" customHeight="1" x14ac:dyDescent="0.3">
      <c r="A324" s="2" t="s">
        <v>45</v>
      </c>
      <c r="B324" s="2" t="s">
        <v>32</v>
      </c>
      <c r="C324" s="2" t="s">
        <v>1262</v>
      </c>
      <c r="D324" s="2" t="s">
        <v>32</v>
      </c>
      <c r="E324" s="2" t="s">
        <v>82</v>
      </c>
      <c r="F324" s="2" t="s">
        <v>814</v>
      </c>
      <c r="G324" s="2" t="s">
        <v>42</v>
      </c>
      <c r="H324" s="2" t="s">
        <v>42</v>
      </c>
      <c r="I324" s="2" t="s">
        <v>47</v>
      </c>
      <c r="J324" s="2" t="s">
        <v>44</v>
      </c>
      <c r="K324" s="2" t="s">
        <v>1272</v>
      </c>
      <c r="L324" s="2" t="s">
        <v>1297</v>
      </c>
      <c r="M324" s="2" t="s">
        <v>1298</v>
      </c>
      <c r="N324" s="2" t="s">
        <v>1436</v>
      </c>
      <c r="O324" s="2" t="s">
        <v>84</v>
      </c>
      <c r="P324" s="2" t="s">
        <v>1300</v>
      </c>
      <c r="Q324" s="2">
        <v>44</v>
      </c>
      <c r="R324" s="2" t="b">
        <v>1</v>
      </c>
      <c r="S324" s="2">
        <v>0.69101123595505609</v>
      </c>
      <c r="T324" s="2">
        <v>0.84246575342465757</v>
      </c>
      <c r="U324" s="2">
        <v>0.58571428571428574</v>
      </c>
      <c r="V324" s="2" t="s">
        <v>63</v>
      </c>
      <c r="W324" s="2" t="s">
        <v>1522</v>
      </c>
      <c r="X324" s="2" t="s">
        <v>1523</v>
      </c>
      <c r="Y324" s="2" t="b">
        <v>1</v>
      </c>
      <c r="Z324" s="2" t="s">
        <v>67</v>
      </c>
      <c r="AA324" s="2">
        <v>2.6</v>
      </c>
      <c r="AB324" s="2" t="s">
        <v>74</v>
      </c>
    </row>
    <row r="325" spans="1:28" ht="15.75" hidden="1" customHeight="1" x14ac:dyDescent="0.3">
      <c r="A325" s="2" t="s">
        <v>45</v>
      </c>
      <c r="B325" s="2" t="s">
        <v>32</v>
      </c>
      <c r="C325" s="2" t="s">
        <v>1262</v>
      </c>
      <c r="D325" s="2" t="s">
        <v>32</v>
      </c>
      <c r="E325" s="2" t="s">
        <v>82</v>
      </c>
      <c r="F325" s="2" t="s">
        <v>814</v>
      </c>
      <c r="G325" s="2" t="s">
        <v>42</v>
      </c>
      <c r="H325" s="2" t="s">
        <v>42</v>
      </c>
      <c r="I325" s="2" t="s">
        <v>47</v>
      </c>
      <c r="J325" s="2" t="s">
        <v>44</v>
      </c>
      <c r="K325" s="2" t="s">
        <v>1276</v>
      </c>
      <c r="L325" s="2" t="s">
        <v>1297</v>
      </c>
      <c r="M325" s="2" t="s">
        <v>1298</v>
      </c>
      <c r="N325" s="2" t="s">
        <v>1439</v>
      </c>
      <c r="O325" s="2" t="s">
        <v>93</v>
      </c>
      <c r="P325" s="2" t="s">
        <v>1300</v>
      </c>
      <c r="Q325" s="2">
        <v>45</v>
      </c>
      <c r="R325" s="2" t="b">
        <v>1</v>
      </c>
      <c r="S325" s="2">
        <v>0.73626373626373631</v>
      </c>
      <c r="T325" s="2">
        <v>0.83750000000000002</v>
      </c>
      <c r="U325" s="2">
        <v>0.65686274509803921</v>
      </c>
      <c r="V325" s="2" t="s">
        <v>63</v>
      </c>
      <c r="W325" s="2" t="s">
        <v>1524</v>
      </c>
      <c r="X325" s="2" t="s">
        <v>1525</v>
      </c>
      <c r="Y325" s="2" t="b">
        <v>1</v>
      </c>
      <c r="Z325" s="2" t="s">
        <v>67</v>
      </c>
      <c r="AA325" s="2">
        <v>1.9</v>
      </c>
      <c r="AB325" s="2" t="s">
        <v>74</v>
      </c>
    </row>
    <row r="326" spans="1:28" ht="15.75" hidden="1" customHeight="1" x14ac:dyDescent="0.3">
      <c r="A326" s="2" t="s">
        <v>45</v>
      </c>
      <c r="B326" s="2" t="s">
        <v>32</v>
      </c>
      <c r="C326" s="2" t="s">
        <v>1262</v>
      </c>
      <c r="D326" s="2" t="s">
        <v>32</v>
      </c>
      <c r="E326" s="2" t="s">
        <v>82</v>
      </c>
      <c r="F326" s="2" t="s">
        <v>814</v>
      </c>
      <c r="G326" s="2" t="s">
        <v>42</v>
      </c>
      <c r="H326" s="2" t="s">
        <v>42</v>
      </c>
      <c r="I326" s="2" t="s">
        <v>47</v>
      </c>
      <c r="J326" s="2" t="s">
        <v>44</v>
      </c>
      <c r="K326" s="2" t="s">
        <v>1280</v>
      </c>
      <c r="L326" s="2" t="s">
        <v>1297</v>
      </c>
      <c r="M326" s="2" t="s">
        <v>1298</v>
      </c>
      <c r="N326" s="2" t="s">
        <v>1442</v>
      </c>
      <c r="O326" s="2" t="s">
        <v>104</v>
      </c>
      <c r="P326" s="2" t="s">
        <v>1300</v>
      </c>
      <c r="Q326" s="2">
        <v>46</v>
      </c>
      <c r="R326" s="2" t="b">
        <v>1</v>
      </c>
      <c r="S326" s="2">
        <v>0.72823218997361472</v>
      </c>
      <c r="T326" s="2">
        <v>0.81176470588235294</v>
      </c>
      <c r="U326" s="2">
        <v>0.66028708133971292</v>
      </c>
      <c r="V326" s="2" t="s">
        <v>63</v>
      </c>
      <c r="W326" s="2" t="s">
        <v>1526</v>
      </c>
      <c r="X326" s="2" t="s">
        <v>1527</v>
      </c>
      <c r="Y326" s="2" t="b">
        <v>1</v>
      </c>
      <c r="Z326" s="2" t="s">
        <v>67</v>
      </c>
      <c r="AA326" s="2">
        <v>2.5</v>
      </c>
      <c r="AB326" s="2" t="s">
        <v>74</v>
      </c>
    </row>
    <row r="327" spans="1:28" ht="15.75" hidden="1" customHeight="1" x14ac:dyDescent="0.3">
      <c r="A327" s="2" t="s">
        <v>45</v>
      </c>
      <c r="B327" s="2" t="s">
        <v>32</v>
      </c>
      <c r="C327" s="2" t="s">
        <v>1262</v>
      </c>
      <c r="D327" s="2" t="s">
        <v>32</v>
      </c>
      <c r="E327" s="2" t="s">
        <v>82</v>
      </c>
      <c r="F327" s="2" t="s">
        <v>814</v>
      </c>
      <c r="G327" s="2" t="s">
        <v>42</v>
      </c>
      <c r="H327" s="2" t="s">
        <v>42</v>
      </c>
      <c r="I327" s="2" t="s">
        <v>47</v>
      </c>
      <c r="J327" s="2" t="s">
        <v>44</v>
      </c>
      <c r="K327" s="2" t="s">
        <v>1284</v>
      </c>
      <c r="L327" s="2" t="s">
        <v>1297</v>
      </c>
      <c r="M327" s="2" t="s">
        <v>1298</v>
      </c>
      <c r="N327" s="2" t="s">
        <v>1445</v>
      </c>
      <c r="O327" s="2" t="s">
        <v>114</v>
      </c>
      <c r="P327" s="2" t="s">
        <v>1300</v>
      </c>
      <c r="Q327" s="2">
        <v>47</v>
      </c>
      <c r="R327" s="2" t="b">
        <v>1</v>
      </c>
      <c r="S327" s="2">
        <v>0.70136986301369852</v>
      </c>
      <c r="T327" s="2">
        <v>0.85333333333333339</v>
      </c>
      <c r="U327" s="2">
        <v>0.59534883720930232</v>
      </c>
      <c r="V327" s="2" t="s">
        <v>63</v>
      </c>
      <c r="W327" s="2" t="s">
        <v>1528</v>
      </c>
      <c r="X327" s="2" t="s">
        <v>1529</v>
      </c>
      <c r="Y327" s="2" t="b">
        <v>1</v>
      </c>
      <c r="Z327" s="2" t="s">
        <v>67</v>
      </c>
      <c r="AA327" s="2">
        <v>3.3</v>
      </c>
      <c r="AB327" s="2" t="s">
        <v>74</v>
      </c>
    </row>
    <row r="328" spans="1:28" ht="15.75" hidden="1" customHeight="1" x14ac:dyDescent="0.3">
      <c r="A328" s="2" t="s">
        <v>45</v>
      </c>
      <c r="B328" s="2" t="s">
        <v>32</v>
      </c>
      <c r="C328" s="2" t="s">
        <v>1262</v>
      </c>
      <c r="D328" s="2" t="s">
        <v>32</v>
      </c>
      <c r="E328" s="2" t="s">
        <v>82</v>
      </c>
      <c r="F328" s="2" t="s">
        <v>814</v>
      </c>
      <c r="G328" s="2" t="s">
        <v>42</v>
      </c>
      <c r="H328" s="2" t="s">
        <v>42</v>
      </c>
      <c r="I328" s="2" t="s">
        <v>47</v>
      </c>
      <c r="J328" s="2" t="s">
        <v>44</v>
      </c>
      <c r="K328" s="2" t="s">
        <v>1288</v>
      </c>
      <c r="L328" s="2" t="s">
        <v>1297</v>
      </c>
      <c r="M328" s="2" t="s">
        <v>1298</v>
      </c>
      <c r="N328" s="2" t="s">
        <v>1448</v>
      </c>
      <c r="O328" s="2" t="s">
        <v>125</v>
      </c>
      <c r="P328" s="2" t="s">
        <v>1300</v>
      </c>
      <c r="Q328" s="2">
        <v>48</v>
      </c>
      <c r="R328" s="2" t="b">
        <v>1</v>
      </c>
      <c r="S328" s="2">
        <v>0.63200000000000001</v>
      </c>
      <c r="T328" s="2">
        <v>0.75238095238095237</v>
      </c>
      <c r="U328" s="2">
        <v>0.54482758620689653</v>
      </c>
      <c r="V328" s="2" t="s">
        <v>63</v>
      </c>
      <c r="W328" s="2" t="s">
        <v>1530</v>
      </c>
      <c r="X328" s="2" t="s">
        <v>1531</v>
      </c>
      <c r="Y328" s="2" t="b">
        <v>1</v>
      </c>
      <c r="Z328" s="2" t="s">
        <v>67</v>
      </c>
      <c r="AA328" s="2">
        <v>2.5</v>
      </c>
      <c r="AB328" s="2" t="s">
        <v>74</v>
      </c>
    </row>
    <row r="329" spans="1:28" ht="15.75" hidden="1" customHeight="1" x14ac:dyDescent="0.3">
      <c r="A329" s="2" t="s">
        <v>45</v>
      </c>
      <c r="B329" s="2" t="s">
        <v>32</v>
      </c>
      <c r="C329" s="2" t="s">
        <v>1262</v>
      </c>
      <c r="D329" s="2" t="s">
        <v>32</v>
      </c>
      <c r="E329" s="2" t="s">
        <v>82</v>
      </c>
      <c r="F329" s="2" t="s">
        <v>814</v>
      </c>
      <c r="G329" s="2" t="s">
        <v>42</v>
      </c>
      <c r="H329" s="2" t="s">
        <v>42</v>
      </c>
      <c r="I329" s="2" t="s">
        <v>47</v>
      </c>
      <c r="J329" s="2" t="s">
        <v>44</v>
      </c>
      <c r="K329" s="2" t="s">
        <v>1292</v>
      </c>
      <c r="L329" s="2" t="s">
        <v>1297</v>
      </c>
      <c r="M329" s="2" t="s">
        <v>1298</v>
      </c>
      <c r="N329" s="2" t="s">
        <v>1451</v>
      </c>
      <c r="O329" s="2" t="s">
        <v>134</v>
      </c>
      <c r="P329" s="2" t="s">
        <v>1300</v>
      </c>
      <c r="Q329" s="2">
        <v>49</v>
      </c>
      <c r="R329" s="2" t="b">
        <v>1</v>
      </c>
      <c r="S329" s="2">
        <v>0.71018276762402088</v>
      </c>
      <c r="T329" s="2">
        <v>0.80473372781065089</v>
      </c>
      <c r="U329" s="2">
        <v>0.63551401869158874</v>
      </c>
      <c r="V329" s="2" t="s">
        <v>63</v>
      </c>
      <c r="W329" s="2" t="s">
        <v>1532</v>
      </c>
      <c r="X329" s="2" t="s">
        <v>1533</v>
      </c>
      <c r="Y329" s="2" t="b">
        <v>1</v>
      </c>
      <c r="Z329" s="2" t="s">
        <v>67</v>
      </c>
      <c r="AA329" s="2">
        <v>2.4</v>
      </c>
      <c r="AB329" s="2" t="s">
        <v>74</v>
      </c>
    </row>
    <row r="330" spans="1:28" ht="15.75" hidden="1" customHeight="1" x14ac:dyDescent="0.3">
      <c r="A330" s="2" t="s">
        <v>45</v>
      </c>
      <c r="B330" s="2" t="s">
        <v>32</v>
      </c>
      <c r="C330" s="2" t="s">
        <v>1262</v>
      </c>
      <c r="D330" s="2" t="s">
        <v>32</v>
      </c>
      <c r="E330" s="2" t="s">
        <v>82</v>
      </c>
      <c r="F330" s="2" t="s">
        <v>814</v>
      </c>
      <c r="G330" s="2" t="s">
        <v>42</v>
      </c>
      <c r="H330" s="2" t="s">
        <v>42</v>
      </c>
      <c r="I330" s="2" t="s">
        <v>47</v>
      </c>
      <c r="J330" s="2" t="s">
        <v>44</v>
      </c>
      <c r="K330" s="2" t="s">
        <v>1296</v>
      </c>
      <c r="L330" s="2" t="s">
        <v>1297</v>
      </c>
      <c r="M330" s="2" t="s">
        <v>1298</v>
      </c>
      <c r="N330" s="2" t="s">
        <v>1299</v>
      </c>
      <c r="O330" s="2" t="s">
        <v>145</v>
      </c>
      <c r="P330" s="2" t="s">
        <v>1300</v>
      </c>
      <c r="Q330" s="2">
        <v>50</v>
      </c>
      <c r="R330" s="2" t="b">
        <v>1</v>
      </c>
      <c r="S330" s="2">
        <v>0.77333333333333343</v>
      </c>
      <c r="T330" s="2">
        <v>0.86309523809523814</v>
      </c>
      <c r="U330" s="2">
        <v>0.70048309178743962</v>
      </c>
      <c r="V330" s="2" t="s">
        <v>63</v>
      </c>
      <c r="W330" s="2" t="s">
        <v>1534</v>
      </c>
      <c r="X330" s="2" t="s">
        <v>1535</v>
      </c>
      <c r="Y330" s="2" t="b">
        <v>1</v>
      </c>
      <c r="Z330" s="2" t="s">
        <v>67</v>
      </c>
      <c r="AA330" s="2">
        <v>2.1</v>
      </c>
      <c r="AB330" s="2" t="s">
        <v>74</v>
      </c>
    </row>
    <row r="331" spans="1:28" ht="15.75" hidden="1" customHeight="1" x14ac:dyDescent="0.3">
      <c r="A331" s="2" t="s">
        <v>45</v>
      </c>
      <c r="B331" s="2" t="s">
        <v>32</v>
      </c>
      <c r="C331" s="2" t="s">
        <v>1262</v>
      </c>
      <c r="D331" s="2" t="s">
        <v>32</v>
      </c>
      <c r="E331" s="2" t="s">
        <v>82</v>
      </c>
      <c r="F331" s="2" t="s">
        <v>814</v>
      </c>
      <c r="G331" s="2" t="s">
        <v>42</v>
      </c>
      <c r="H331" s="2" t="s">
        <v>42</v>
      </c>
      <c r="I331" s="2" t="s">
        <v>47</v>
      </c>
      <c r="J331" s="2" t="s">
        <v>44</v>
      </c>
      <c r="K331" s="2" t="s">
        <v>1303</v>
      </c>
      <c r="L331" s="2" t="s">
        <v>1297</v>
      </c>
      <c r="M331" s="2" t="s">
        <v>1298</v>
      </c>
      <c r="N331" s="2" t="s">
        <v>1304</v>
      </c>
      <c r="O331" s="2" t="s">
        <v>156</v>
      </c>
      <c r="P331" s="2" t="s">
        <v>1300</v>
      </c>
      <c r="Q331" s="2">
        <v>51</v>
      </c>
      <c r="R331" s="2" t="b">
        <v>1</v>
      </c>
      <c r="S331" s="2">
        <v>0.75062972292191421</v>
      </c>
      <c r="T331" s="2">
        <v>0.84180790960451979</v>
      </c>
      <c r="U331" s="2">
        <v>0.67727272727272725</v>
      </c>
      <c r="V331" s="2" t="s">
        <v>63</v>
      </c>
      <c r="W331" s="2" t="s">
        <v>1536</v>
      </c>
      <c r="X331" s="2" t="s">
        <v>1537</v>
      </c>
      <c r="Y331" s="2" t="b">
        <v>1</v>
      </c>
      <c r="Z331" s="2" t="s">
        <v>67</v>
      </c>
      <c r="AA331" s="2">
        <v>2.5</v>
      </c>
      <c r="AB331" s="2" t="s">
        <v>74</v>
      </c>
    </row>
    <row r="332" spans="1:28" ht="15.75" hidden="1" customHeight="1" x14ac:dyDescent="0.3">
      <c r="A332" s="2" t="s">
        <v>45</v>
      </c>
      <c r="B332" s="2" t="s">
        <v>32</v>
      </c>
      <c r="C332" s="2" t="s">
        <v>1262</v>
      </c>
      <c r="D332" s="2" t="s">
        <v>32</v>
      </c>
      <c r="E332" s="2" t="s">
        <v>82</v>
      </c>
      <c r="F332" s="2" t="s">
        <v>814</v>
      </c>
      <c r="G332" s="2" t="s">
        <v>42</v>
      </c>
      <c r="H332" s="2" t="s">
        <v>42</v>
      </c>
      <c r="I332" s="2" t="s">
        <v>47</v>
      </c>
      <c r="J332" s="2" t="s">
        <v>44</v>
      </c>
      <c r="K332" s="2" t="s">
        <v>1307</v>
      </c>
      <c r="L332" s="2" t="s">
        <v>1297</v>
      </c>
      <c r="M332" s="2" t="s">
        <v>1298</v>
      </c>
      <c r="N332" s="2" t="s">
        <v>1308</v>
      </c>
      <c r="O332" s="2" t="s">
        <v>165</v>
      </c>
      <c r="P332" s="2" t="s">
        <v>1300</v>
      </c>
      <c r="Q332" s="2">
        <v>52</v>
      </c>
      <c r="R332" s="2" t="b">
        <v>1</v>
      </c>
      <c r="S332" s="2">
        <v>0.77595628415300555</v>
      </c>
      <c r="T332" s="2">
        <v>0.84023668639053251</v>
      </c>
      <c r="U332" s="2">
        <v>0.7208121827411168</v>
      </c>
      <c r="V332" s="2" t="s">
        <v>63</v>
      </c>
      <c r="W332" s="2" t="s">
        <v>1538</v>
      </c>
      <c r="X332" s="2" t="s">
        <v>1539</v>
      </c>
      <c r="Y332" s="2" t="b">
        <v>1</v>
      </c>
      <c r="Z332" s="2" t="s">
        <v>67</v>
      </c>
      <c r="AA332" s="2">
        <v>2</v>
      </c>
      <c r="AB332" s="2" t="s">
        <v>74</v>
      </c>
    </row>
    <row r="333" spans="1:28" ht="15.75" hidden="1" customHeight="1" x14ac:dyDescent="0.3">
      <c r="A333" s="2" t="s">
        <v>45</v>
      </c>
      <c r="B333" s="2" t="s">
        <v>32</v>
      </c>
      <c r="C333" s="2" t="s">
        <v>1262</v>
      </c>
      <c r="D333" s="2" t="s">
        <v>32</v>
      </c>
      <c r="E333" s="2" t="s">
        <v>82</v>
      </c>
      <c r="F333" s="2" t="s">
        <v>814</v>
      </c>
      <c r="G333" s="2" t="s">
        <v>42</v>
      </c>
      <c r="H333" s="2" t="s">
        <v>42</v>
      </c>
      <c r="I333" s="2" t="s">
        <v>47</v>
      </c>
      <c r="J333" s="2" t="s">
        <v>44</v>
      </c>
      <c r="K333" s="2" t="s">
        <v>1311</v>
      </c>
      <c r="L333" s="2" t="s">
        <v>1297</v>
      </c>
      <c r="M333" s="2" t="s">
        <v>1298</v>
      </c>
      <c r="N333" s="2" t="s">
        <v>1312</v>
      </c>
      <c r="O333" s="2" t="s">
        <v>176</v>
      </c>
      <c r="P333" s="2" t="s">
        <v>1300</v>
      </c>
      <c r="Q333" s="2">
        <v>53</v>
      </c>
      <c r="R333" s="2" t="b">
        <v>1</v>
      </c>
      <c r="S333" s="2">
        <v>0.74489795918367341</v>
      </c>
      <c r="T333" s="2">
        <v>0.82485875706214684</v>
      </c>
      <c r="U333" s="2">
        <v>0.67906976744186043</v>
      </c>
      <c r="V333" s="2" t="s">
        <v>63</v>
      </c>
      <c r="W333" s="2" t="s">
        <v>1540</v>
      </c>
      <c r="X333" s="2" t="s">
        <v>1541</v>
      </c>
      <c r="Y333" s="2" t="b">
        <v>1</v>
      </c>
      <c r="Z333" s="2" t="s">
        <v>67</v>
      </c>
      <c r="AA333" s="2">
        <v>3.9</v>
      </c>
      <c r="AB333" s="2" t="s">
        <v>74</v>
      </c>
    </row>
    <row r="334" spans="1:28" ht="15.75" hidden="1" customHeight="1" x14ac:dyDescent="0.3">
      <c r="A334" s="2" t="s">
        <v>45</v>
      </c>
      <c r="B334" s="2" t="s">
        <v>32</v>
      </c>
      <c r="C334" s="2" t="s">
        <v>1262</v>
      </c>
      <c r="D334" s="2" t="s">
        <v>32</v>
      </c>
      <c r="E334" s="2" t="s">
        <v>82</v>
      </c>
      <c r="F334" s="2" t="s">
        <v>814</v>
      </c>
      <c r="G334" s="2" t="s">
        <v>42</v>
      </c>
      <c r="H334" s="2" t="s">
        <v>42</v>
      </c>
      <c r="I334" s="2" t="s">
        <v>47</v>
      </c>
      <c r="J334" s="2" t="s">
        <v>44</v>
      </c>
      <c r="K334" s="2" t="s">
        <v>1315</v>
      </c>
      <c r="L334" s="2" t="s">
        <v>1297</v>
      </c>
      <c r="M334" s="2" t="s">
        <v>1298</v>
      </c>
      <c r="N334" s="2" t="s">
        <v>1316</v>
      </c>
      <c r="O334" s="2" t="s">
        <v>185</v>
      </c>
      <c r="P334" s="2" t="s">
        <v>1300</v>
      </c>
      <c r="Q334" s="2">
        <v>54</v>
      </c>
      <c r="R334" s="2" t="b">
        <v>1</v>
      </c>
      <c r="S334" s="2">
        <v>0.68632707774798918</v>
      </c>
      <c r="T334" s="2">
        <v>0.88888888888888884</v>
      </c>
      <c r="U334" s="2">
        <v>0.55895196506550215</v>
      </c>
      <c r="V334" s="2" t="s">
        <v>63</v>
      </c>
      <c r="W334" s="2" t="s">
        <v>1542</v>
      </c>
      <c r="X334" s="2" t="s">
        <v>1543</v>
      </c>
      <c r="Y334" s="2" t="b">
        <v>1</v>
      </c>
      <c r="Z334" s="2" t="s">
        <v>67</v>
      </c>
      <c r="AA334" s="2">
        <v>2.1</v>
      </c>
      <c r="AB334" s="2" t="s">
        <v>74</v>
      </c>
    </row>
    <row r="335" spans="1:28" ht="15.75" hidden="1" customHeight="1" x14ac:dyDescent="0.3">
      <c r="A335" s="2" t="s">
        <v>45</v>
      </c>
      <c r="B335" s="2" t="s">
        <v>32</v>
      </c>
      <c r="C335" s="2" t="s">
        <v>1262</v>
      </c>
      <c r="D335" s="2" t="s">
        <v>32</v>
      </c>
      <c r="E335" s="2" t="s">
        <v>82</v>
      </c>
      <c r="F335" s="2" t="s">
        <v>814</v>
      </c>
      <c r="G335" s="2" t="s">
        <v>42</v>
      </c>
      <c r="H335" s="2" t="s">
        <v>42</v>
      </c>
      <c r="I335" s="2" t="s">
        <v>47</v>
      </c>
      <c r="J335" s="2" t="s">
        <v>44</v>
      </c>
      <c r="K335" s="2" t="s">
        <v>1319</v>
      </c>
      <c r="L335" s="2" t="s">
        <v>1297</v>
      </c>
      <c r="M335" s="2" t="s">
        <v>1298</v>
      </c>
      <c r="N335" s="2" t="s">
        <v>1320</v>
      </c>
      <c r="O335" s="2" t="s">
        <v>192</v>
      </c>
      <c r="P335" s="2" t="s">
        <v>1300</v>
      </c>
      <c r="Q335" s="2">
        <v>55</v>
      </c>
      <c r="R335" s="2" t="b">
        <v>1</v>
      </c>
      <c r="S335" s="2">
        <v>0.71573604060913709</v>
      </c>
      <c r="T335" s="2">
        <v>0.8545454545454545</v>
      </c>
      <c r="U335" s="2">
        <v>0.61572052401746724</v>
      </c>
      <c r="V335" s="2" t="s">
        <v>63</v>
      </c>
      <c r="W335" s="2" t="s">
        <v>1544</v>
      </c>
      <c r="X335" s="2" t="s">
        <v>1545</v>
      </c>
      <c r="Y335" s="2" t="b">
        <v>1</v>
      </c>
      <c r="Z335" s="2" t="s">
        <v>67</v>
      </c>
      <c r="AA335" s="2">
        <v>2.6</v>
      </c>
      <c r="AB335" s="2" t="s">
        <v>74</v>
      </c>
    </row>
    <row r="336" spans="1:28" ht="15.75" hidden="1" customHeight="1" x14ac:dyDescent="0.3">
      <c r="A336" s="2" t="s">
        <v>45</v>
      </c>
      <c r="B336" s="2" t="s">
        <v>32</v>
      </c>
      <c r="C336" s="2" t="s">
        <v>1262</v>
      </c>
      <c r="D336" s="2" t="s">
        <v>32</v>
      </c>
      <c r="E336" s="2" t="s">
        <v>82</v>
      </c>
      <c r="F336" s="2" t="s">
        <v>814</v>
      </c>
      <c r="G336" s="2" t="s">
        <v>42</v>
      </c>
      <c r="H336" s="2" t="s">
        <v>42</v>
      </c>
      <c r="I336" s="2" t="s">
        <v>47</v>
      </c>
      <c r="J336" s="2" t="s">
        <v>44</v>
      </c>
      <c r="K336" s="2" t="s">
        <v>1323</v>
      </c>
      <c r="L336" s="2" t="s">
        <v>1297</v>
      </c>
      <c r="M336" s="2" t="s">
        <v>1298</v>
      </c>
      <c r="N336" s="2" t="s">
        <v>1324</v>
      </c>
      <c r="O336" s="2" t="s">
        <v>201</v>
      </c>
      <c r="P336" s="2" t="s">
        <v>1300</v>
      </c>
      <c r="Q336" s="2">
        <v>56</v>
      </c>
      <c r="R336" s="2" t="b">
        <v>1</v>
      </c>
      <c r="S336" s="2">
        <v>0.58333333333333326</v>
      </c>
      <c r="T336" s="2">
        <v>0.78358208955223885</v>
      </c>
      <c r="U336" s="2">
        <v>0.46460176991150443</v>
      </c>
      <c r="V336" s="2" t="s">
        <v>63</v>
      </c>
      <c r="W336" s="2" t="s">
        <v>1546</v>
      </c>
      <c r="X336" s="2" t="s">
        <v>1547</v>
      </c>
      <c r="Y336" s="2" t="b">
        <v>1</v>
      </c>
      <c r="Z336" s="2" t="s">
        <v>67</v>
      </c>
      <c r="AA336" s="2">
        <v>2.4</v>
      </c>
      <c r="AB336" s="2" t="s">
        <v>74</v>
      </c>
    </row>
    <row r="337" spans="1:28" ht="15.75" hidden="1" customHeight="1" x14ac:dyDescent="0.3">
      <c r="A337" s="2" t="s">
        <v>45</v>
      </c>
      <c r="B337" s="2" t="s">
        <v>32</v>
      </c>
      <c r="C337" s="2" t="s">
        <v>1262</v>
      </c>
      <c r="D337" s="2" t="s">
        <v>32</v>
      </c>
      <c r="E337" s="2" t="s">
        <v>82</v>
      </c>
      <c r="F337" s="2" t="s">
        <v>814</v>
      </c>
      <c r="G337" s="2" t="s">
        <v>42</v>
      </c>
      <c r="H337" s="2" t="s">
        <v>42</v>
      </c>
      <c r="I337" s="2" t="s">
        <v>47</v>
      </c>
      <c r="J337" s="2" t="s">
        <v>44</v>
      </c>
      <c r="K337" s="2" t="s">
        <v>1327</v>
      </c>
      <c r="L337" s="2" t="s">
        <v>1297</v>
      </c>
      <c r="M337" s="2" t="s">
        <v>1298</v>
      </c>
      <c r="N337" s="2" t="s">
        <v>1328</v>
      </c>
      <c r="O337" s="2" t="s">
        <v>210</v>
      </c>
      <c r="P337" s="2" t="s">
        <v>1300</v>
      </c>
      <c r="Q337" s="2">
        <v>57</v>
      </c>
      <c r="R337" s="2" t="b">
        <v>1</v>
      </c>
      <c r="S337" s="2">
        <v>0.66282420749279547</v>
      </c>
      <c r="T337" s="2">
        <v>0.82733812949640284</v>
      </c>
      <c r="U337" s="2">
        <v>0.55288461538461542</v>
      </c>
      <c r="V337" s="2" t="s">
        <v>63</v>
      </c>
      <c r="W337" s="2" t="s">
        <v>1548</v>
      </c>
      <c r="X337" s="2" t="s">
        <v>1549</v>
      </c>
      <c r="Y337" s="2" t="b">
        <v>1</v>
      </c>
      <c r="Z337" s="2" t="s">
        <v>67</v>
      </c>
      <c r="AA337" s="2">
        <v>2</v>
      </c>
      <c r="AB337" s="2" t="s">
        <v>74</v>
      </c>
    </row>
    <row r="338" spans="1:28" ht="15.75" hidden="1" customHeight="1" x14ac:dyDescent="0.3">
      <c r="A338" s="2" t="s">
        <v>45</v>
      </c>
      <c r="B338" s="2" t="s">
        <v>32</v>
      </c>
      <c r="C338" s="2" t="s">
        <v>1262</v>
      </c>
      <c r="D338" s="2" t="s">
        <v>32</v>
      </c>
      <c r="E338" s="2" t="s">
        <v>82</v>
      </c>
      <c r="F338" s="2" t="s">
        <v>814</v>
      </c>
      <c r="G338" s="2" t="s">
        <v>42</v>
      </c>
      <c r="H338" s="2" t="s">
        <v>42</v>
      </c>
      <c r="I338" s="2" t="s">
        <v>47</v>
      </c>
      <c r="J338" s="2" t="s">
        <v>44</v>
      </c>
      <c r="K338" s="2" t="s">
        <v>1331</v>
      </c>
      <c r="L338" s="2" t="s">
        <v>1297</v>
      </c>
      <c r="M338" s="2" t="s">
        <v>1298</v>
      </c>
      <c r="N338" s="2" t="s">
        <v>1332</v>
      </c>
      <c r="O338" s="2" t="s">
        <v>219</v>
      </c>
      <c r="P338" s="2" t="s">
        <v>1300</v>
      </c>
      <c r="Q338" s="2">
        <v>58</v>
      </c>
      <c r="R338" s="2" t="b">
        <v>1</v>
      </c>
      <c r="S338" s="2">
        <v>0.7711598746081505</v>
      </c>
      <c r="T338" s="2">
        <v>0.85416666666666663</v>
      </c>
      <c r="U338" s="2">
        <v>0.70285714285714285</v>
      </c>
      <c r="V338" s="2" t="s">
        <v>63</v>
      </c>
      <c r="W338" s="2" t="s">
        <v>1550</v>
      </c>
      <c r="X338" s="2" t="s">
        <v>1551</v>
      </c>
      <c r="Y338" s="2" t="b">
        <v>1</v>
      </c>
      <c r="Z338" s="2" t="s">
        <v>67</v>
      </c>
      <c r="AA338" s="2">
        <v>3</v>
      </c>
      <c r="AB338" s="2" t="s">
        <v>74</v>
      </c>
    </row>
    <row r="339" spans="1:28" ht="15.75" hidden="1" customHeight="1" x14ac:dyDescent="0.3">
      <c r="A339" s="2" t="s">
        <v>45</v>
      </c>
      <c r="B339" s="2" t="s">
        <v>32</v>
      </c>
      <c r="C339" s="2" t="s">
        <v>1262</v>
      </c>
      <c r="D339" s="2" t="s">
        <v>32</v>
      </c>
      <c r="E339" s="2" t="s">
        <v>82</v>
      </c>
      <c r="F339" s="2" t="s">
        <v>814</v>
      </c>
      <c r="G339" s="2" t="s">
        <v>42</v>
      </c>
      <c r="H339" s="2" t="s">
        <v>42</v>
      </c>
      <c r="I339" s="2" t="s">
        <v>47</v>
      </c>
      <c r="J339" s="2" t="s">
        <v>44</v>
      </c>
      <c r="K339" s="2" t="s">
        <v>1335</v>
      </c>
      <c r="L339" s="2" t="s">
        <v>1297</v>
      </c>
      <c r="M339" s="2" t="s">
        <v>1298</v>
      </c>
      <c r="N339" s="2" t="s">
        <v>1336</v>
      </c>
      <c r="O339" s="2" t="s">
        <v>232</v>
      </c>
      <c r="P339" s="2" t="s">
        <v>1300</v>
      </c>
      <c r="Q339" s="2">
        <v>59</v>
      </c>
      <c r="R339" s="2" t="b">
        <v>1</v>
      </c>
      <c r="S339" s="2">
        <v>0.66855524079320106</v>
      </c>
      <c r="T339" s="2">
        <v>0.71951219512195119</v>
      </c>
      <c r="U339" s="2">
        <v>0.6243386243386243</v>
      </c>
      <c r="V339" s="2" t="s">
        <v>63</v>
      </c>
      <c r="W339" s="2" t="s">
        <v>1552</v>
      </c>
      <c r="X339" s="2" t="s">
        <v>1553</v>
      </c>
      <c r="Y339" s="2" t="b">
        <v>1</v>
      </c>
      <c r="Z339" s="2" t="s">
        <v>67</v>
      </c>
      <c r="AA339" s="2">
        <v>2.8</v>
      </c>
      <c r="AB339" s="2" t="s">
        <v>74</v>
      </c>
    </row>
    <row r="340" spans="1:28" ht="15.75" hidden="1" customHeight="1" x14ac:dyDescent="0.3">
      <c r="A340" s="2" t="s">
        <v>45</v>
      </c>
      <c r="B340" s="2" t="s">
        <v>32</v>
      </c>
      <c r="C340" s="2" t="s">
        <v>1262</v>
      </c>
      <c r="D340" s="2" t="s">
        <v>32</v>
      </c>
      <c r="E340" s="2" t="s">
        <v>82</v>
      </c>
      <c r="F340" s="2" t="s">
        <v>814</v>
      </c>
      <c r="G340" s="2" t="s">
        <v>42</v>
      </c>
      <c r="H340" s="2" t="s">
        <v>42</v>
      </c>
      <c r="I340" s="2" t="s">
        <v>47</v>
      </c>
      <c r="J340" s="2" t="s">
        <v>44</v>
      </c>
      <c r="K340" s="2" t="s">
        <v>1339</v>
      </c>
      <c r="L340" s="2" t="s">
        <v>1297</v>
      </c>
      <c r="M340" s="2" t="s">
        <v>1298</v>
      </c>
      <c r="N340" s="2" t="s">
        <v>1340</v>
      </c>
      <c r="O340" s="2" t="s">
        <v>246</v>
      </c>
      <c r="P340" s="2" t="s">
        <v>1300</v>
      </c>
      <c r="Q340" s="2">
        <v>60</v>
      </c>
      <c r="R340" s="2" t="b">
        <v>1</v>
      </c>
      <c r="S340" s="2">
        <v>0.63684210526315788</v>
      </c>
      <c r="T340" s="2">
        <v>0.80132450331125826</v>
      </c>
      <c r="U340" s="2">
        <v>0.52838427947598254</v>
      </c>
      <c r="V340" s="2" t="s">
        <v>63</v>
      </c>
      <c r="W340" s="2" t="s">
        <v>1554</v>
      </c>
      <c r="X340" s="2" t="s">
        <v>1555</v>
      </c>
      <c r="Y340" s="2" t="b">
        <v>1</v>
      </c>
      <c r="Z340" s="2" t="s">
        <v>67</v>
      </c>
      <c r="AA340" s="2">
        <v>2.8</v>
      </c>
      <c r="AB340" s="2" t="s">
        <v>74</v>
      </c>
    </row>
    <row r="341" spans="1:28" ht="15.75" hidden="1" customHeight="1" x14ac:dyDescent="0.3">
      <c r="A341" s="2" t="s">
        <v>45</v>
      </c>
      <c r="B341" s="2" t="s">
        <v>32</v>
      </c>
      <c r="C341" s="2" t="s">
        <v>1262</v>
      </c>
      <c r="D341" s="2" t="s">
        <v>32</v>
      </c>
      <c r="E341" s="2" t="s">
        <v>82</v>
      </c>
      <c r="F341" s="2" t="s">
        <v>814</v>
      </c>
      <c r="G341" s="2" t="s">
        <v>42</v>
      </c>
      <c r="H341" s="2" t="s">
        <v>42</v>
      </c>
      <c r="I341" s="2" t="s">
        <v>47</v>
      </c>
      <c r="J341" s="2" t="s">
        <v>44</v>
      </c>
      <c r="K341" s="2" t="s">
        <v>1343</v>
      </c>
      <c r="L341" s="2" t="s">
        <v>1297</v>
      </c>
      <c r="M341" s="2" t="s">
        <v>1298</v>
      </c>
      <c r="N341" s="2" t="s">
        <v>1344</v>
      </c>
      <c r="O341" s="2" t="s">
        <v>255</v>
      </c>
      <c r="P341" s="2" t="s">
        <v>1300</v>
      </c>
      <c r="Q341" s="2">
        <v>61</v>
      </c>
      <c r="R341" s="2" t="b">
        <v>1</v>
      </c>
      <c r="S341" s="2">
        <v>0.73459715639810419</v>
      </c>
      <c r="T341" s="2">
        <v>0.81578947368421051</v>
      </c>
      <c r="U341" s="2">
        <v>0.6681034482758621</v>
      </c>
      <c r="V341" s="2" t="s">
        <v>63</v>
      </c>
      <c r="W341" s="2" t="s">
        <v>1556</v>
      </c>
      <c r="X341" s="2" t="s">
        <v>1557</v>
      </c>
      <c r="Y341" s="2" t="b">
        <v>1</v>
      </c>
      <c r="Z341" s="2" t="s">
        <v>67</v>
      </c>
      <c r="AA341" s="2">
        <v>2.1</v>
      </c>
      <c r="AB341" s="2" t="s">
        <v>74</v>
      </c>
    </row>
    <row r="342" spans="1:28" ht="15.75" hidden="1" customHeight="1" x14ac:dyDescent="0.3">
      <c r="A342" s="2" t="s">
        <v>45</v>
      </c>
      <c r="B342" s="2" t="s">
        <v>32</v>
      </c>
      <c r="C342" s="2" t="s">
        <v>1262</v>
      </c>
      <c r="D342" s="2" t="s">
        <v>32</v>
      </c>
      <c r="E342" s="2" t="s">
        <v>82</v>
      </c>
      <c r="F342" s="2" t="s">
        <v>814</v>
      </c>
      <c r="G342" s="2" t="s">
        <v>42</v>
      </c>
      <c r="H342" s="2" t="s">
        <v>42</v>
      </c>
      <c r="I342" s="2" t="s">
        <v>239</v>
      </c>
      <c r="J342" s="2" t="s">
        <v>71</v>
      </c>
      <c r="K342" s="2" t="s">
        <v>1347</v>
      </c>
      <c r="L342" s="2" t="s">
        <v>1348</v>
      </c>
      <c r="M342" s="2" t="s">
        <v>1349</v>
      </c>
      <c r="N342" s="2" t="s">
        <v>1350</v>
      </c>
      <c r="O342" s="2" t="s">
        <v>266</v>
      </c>
      <c r="P342" s="2" t="s">
        <v>1351</v>
      </c>
      <c r="Q342" s="2">
        <v>42</v>
      </c>
      <c r="R342" s="2" t="b">
        <v>0</v>
      </c>
      <c r="S342" s="2">
        <v>0.63736263736263732</v>
      </c>
      <c r="T342" s="2">
        <v>0.81118881118881114</v>
      </c>
      <c r="U342" s="2">
        <v>0.52488687782805432</v>
      </c>
      <c r="V342" s="2" t="s">
        <v>63</v>
      </c>
      <c r="W342" s="2" t="s">
        <v>1558</v>
      </c>
      <c r="X342" s="2" t="s">
        <v>1559</v>
      </c>
      <c r="Y342" s="2" t="b">
        <v>1</v>
      </c>
      <c r="Z342" s="2" t="s">
        <v>67</v>
      </c>
      <c r="AA342" s="2">
        <v>2.6</v>
      </c>
      <c r="AB342" s="2" t="s">
        <v>74</v>
      </c>
    </row>
    <row r="343" spans="1:28" ht="15.75" hidden="1" customHeight="1" x14ac:dyDescent="0.3">
      <c r="A343" s="2" t="s">
        <v>45</v>
      </c>
      <c r="B343" s="2" t="s">
        <v>32</v>
      </c>
      <c r="C343" s="2" t="s">
        <v>1262</v>
      </c>
      <c r="D343" s="2" t="s">
        <v>32</v>
      </c>
      <c r="E343" s="2" t="s">
        <v>82</v>
      </c>
      <c r="F343" s="2" t="s">
        <v>814</v>
      </c>
      <c r="G343" s="2" t="s">
        <v>42</v>
      </c>
      <c r="H343" s="2" t="s">
        <v>42</v>
      </c>
      <c r="I343" s="2" t="s">
        <v>239</v>
      </c>
      <c r="J343" s="2" t="s">
        <v>71</v>
      </c>
      <c r="K343" s="2" t="s">
        <v>1354</v>
      </c>
      <c r="L343" s="2" t="s">
        <v>1348</v>
      </c>
      <c r="M343" s="2" t="s">
        <v>1349</v>
      </c>
      <c r="N343" s="2" t="s">
        <v>1355</v>
      </c>
      <c r="O343" s="2" t="s">
        <v>276</v>
      </c>
      <c r="P343" s="2" t="s">
        <v>1351</v>
      </c>
      <c r="Q343" s="2">
        <v>43</v>
      </c>
      <c r="R343" s="2" t="b">
        <v>0</v>
      </c>
      <c r="S343" s="2">
        <v>0.71351351351351344</v>
      </c>
      <c r="T343" s="2">
        <v>0.79041916167664672</v>
      </c>
      <c r="U343" s="2">
        <v>0.65024630541871919</v>
      </c>
      <c r="V343" s="2" t="s">
        <v>63</v>
      </c>
      <c r="W343" s="2" t="s">
        <v>1560</v>
      </c>
      <c r="X343" s="2" t="s">
        <v>1561</v>
      </c>
      <c r="Y343" s="2" t="b">
        <v>1</v>
      </c>
      <c r="Z343" s="2" t="s">
        <v>67</v>
      </c>
      <c r="AA343" s="2">
        <v>3.1</v>
      </c>
      <c r="AB343" s="2" t="s">
        <v>74</v>
      </c>
    </row>
    <row r="344" spans="1:28" ht="15.75" hidden="1" customHeight="1" x14ac:dyDescent="0.3">
      <c r="A344" s="2" t="s">
        <v>45</v>
      </c>
      <c r="B344" s="2" t="s">
        <v>32</v>
      </c>
      <c r="C344" s="2" t="s">
        <v>1262</v>
      </c>
      <c r="D344" s="2" t="s">
        <v>32</v>
      </c>
      <c r="E344" s="2" t="s">
        <v>82</v>
      </c>
      <c r="F344" s="2" t="s">
        <v>814</v>
      </c>
      <c r="G344" s="2" t="s">
        <v>42</v>
      </c>
      <c r="H344" s="2" t="s">
        <v>42</v>
      </c>
      <c r="I344" s="2" t="s">
        <v>239</v>
      </c>
      <c r="J344" s="2" t="s">
        <v>71</v>
      </c>
      <c r="K344" s="2" t="s">
        <v>1358</v>
      </c>
      <c r="L344" s="2" t="s">
        <v>1348</v>
      </c>
      <c r="M344" s="2" t="s">
        <v>1349</v>
      </c>
      <c r="N344" s="2" t="s">
        <v>1359</v>
      </c>
      <c r="O344" s="2" t="s">
        <v>285</v>
      </c>
      <c r="P344" s="2" t="s">
        <v>1351</v>
      </c>
      <c r="Q344" s="2">
        <v>44</v>
      </c>
      <c r="R344" s="2" t="b">
        <v>0</v>
      </c>
      <c r="S344" s="2">
        <v>0.73529411764705888</v>
      </c>
      <c r="T344" s="2">
        <v>0.88652482269503541</v>
      </c>
      <c r="U344" s="2">
        <v>0.62814070351758799</v>
      </c>
      <c r="V344" s="2" t="s">
        <v>63</v>
      </c>
      <c r="W344" s="2" t="s">
        <v>1562</v>
      </c>
      <c r="X344" s="2" t="s">
        <v>1563</v>
      </c>
      <c r="Y344" s="2" t="b">
        <v>1</v>
      </c>
      <c r="Z344" s="2" t="s">
        <v>67</v>
      </c>
      <c r="AA344" s="2">
        <v>3.1</v>
      </c>
      <c r="AB344" s="2" t="s">
        <v>74</v>
      </c>
    </row>
    <row r="345" spans="1:28" ht="15.75" hidden="1" customHeight="1" x14ac:dyDescent="0.3">
      <c r="A345" s="2" t="s">
        <v>45</v>
      </c>
      <c r="B345" s="2" t="s">
        <v>32</v>
      </c>
      <c r="C345" s="2" t="s">
        <v>1262</v>
      </c>
      <c r="D345" s="2" t="s">
        <v>32</v>
      </c>
      <c r="E345" s="2" t="s">
        <v>82</v>
      </c>
      <c r="F345" s="2" t="s">
        <v>814</v>
      </c>
      <c r="G345" s="2" t="s">
        <v>42</v>
      </c>
      <c r="H345" s="2" t="s">
        <v>42</v>
      </c>
      <c r="I345" s="2" t="s">
        <v>239</v>
      </c>
      <c r="J345" s="2" t="s">
        <v>71</v>
      </c>
      <c r="K345" s="2" t="s">
        <v>1362</v>
      </c>
      <c r="L345" s="2" t="s">
        <v>1348</v>
      </c>
      <c r="M345" s="2" t="s">
        <v>1349</v>
      </c>
      <c r="N345" s="2" t="s">
        <v>1363</v>
      </c>
      <c r="O345" s="2" t="s">
        <v>294</v>
      </c>
      <c r="P345" s="2" t="s">
        <v>1351</v>
      </c>
      <c r="Q345" s="2">
        <v>45</v>
      </c>
      <c r="R345" s="2" t="b">
        <v>0</v>
      </c>
      <c r="S345" s="2">
        <v>0.75490196078431382</v>
      </c>
      <c r="T345" s="2">
        <v>0.83695652173913049</v>
      </c>
      <c r="U345" s="2">
        <v>0.6875</v>
      </c>
      <c r="V345" s="2" t="s">
        <v>63</v>
      </c>
      <c r="W345" s="2" t="s">
        <v>1564</v>
      </c>
      <c r="X345" s="2" t="s">
        <v>1565</v>
      </c>
      <c r="Y345" s="2" t="b">
        <v>1</v>
      </c>
      <c r="Z345" s="2" t="s">
        <v>67</v>
      </c>
      <c r="AA345" s="2">
        <v>2.1</v>
      </c>
      <c r="AB345" s="2" t="s">
        <v>74</v>
      </c>
    </row>
    <row r="346" spans="1:28" ht="15.75" hidden="1" customHeight="1" x14ac:dyDescent="0.3">
      <c r="A346" s="2" t="s">
        <v>45</v>
      </c>
      <c r="B346" s="2" t="s">
        <v>32</v>
      </c>
      <c r="C346" s="2" t="s">
        <v>1262</v>
      </c>
      <c r="D346" s="2" t="s">
        <v>32</v>
      </c>
      <c r="E346" s="2" t="s">
        <v>82</v>
      </c>
      <c r="F346" s="2" t="s">
        <v>814</v>
      </c>
      <c r="G346" s="2" t="s">
        <v>42</v>
      </c>
      <c r="H346" s="2" t="s">
        <v>42</v>
      </c>
      <c r="I346" s="2" t="s">
        <v>239</v>
      </c>
      <c r="J346" s="2" t="s">
        <v>71</v>
      </c>
      <c r="K346" s="2" t="s">
        <v>1366</v>
      </c>
      <c r="L346" s="2" t="s">
        <v>1348</v>
      </c>
      <c r="M346" s="2" t="s">
        <v>1349</v>
      </c>
      <c r="N346" s="2" t="s">
        <v>1367</v>
      </c>
      <c r="O346" s="2" t="s">
        <v>299</v>
      </c>
      <c r="P346" s="2" t="s">
        <v>1351</v>
      </c>
      <c r="Q346" s="2">
        <v>46</v>
      </c>
      <c r="R346" s="2" t="b">
        <v>0</v>
      </c>
      <c r="S346" s="2">
        <v>0.60410557184750735</v>
      </c>
      <c r="T346" s="2">
        <v>0.7862595419847328</v>
      </c>
      <c r="U346" s="2">
        <v>0.49047619047619051</v>
      </c>
      <c r="V346" s="2" t="s">
        <v>63</v>
      </c>
      <c r="W346" s="2" t="s">
        <v>1566</v>
      </c>
      <c r="X346" s="2" t="s">
        <v>1567</v>
      </c>
      <c r="Y346" s="2" t="b">
        <v>1</v>
      </c>
      <c r="Z346" s="2" t="s">
        <v>67</v>
      </c>
      <c r="AA346" s="2">
        <v>2.4</v>
      </c>
      <c r="AB346" s="2" t="s">
        <v>74</v>
      </c>
    </row>
    <row r="347" spans="1:28" ht="15.75" hidden="1" customHeight="1" x14ac:dyDescent="0.3">
      <c r="A347" s="2" t="s">
        <v>45</v>
      </c>
      <c r="B347" s="2" t="s">
        <v>32</v>
      </c>
      <c r="C347" s="2" t="s">
        <v>1262</v>
      </c>
      <c r="D347" s="2" t="s">
        <v>32</v>
      </c>
      <c r="E347" s="2" t="s">
        <v>82</v>
      </c>
      <c r="F347" s="2" t="s">
        <v>814</v>
      </c>
      <c r="G347" s="2" t="s">
        <v>42</v>
      </c>
      <c r="H347" s="2" t="s">
        <v>42</v>
      </c>
      <c r="I347" s="2" t="s">
        <v>239</v>
      </c>
      <c r="J347" s="2" t="s">
        <v>71</v>
      </c>
      <c r="K347" s="2" t="s">
        <v>1370</v>
      </c>
      <c r="L347" s="2" t="s">
        <v>1348</v>
      </c>
      <c r="M347" s="2" t="s">
        <v>1349</v>
      </c>
      <c r="N347" s="2" t="s">
        <v>1371</v>
      </c>
      <c r="O347" s="2" t="s">
        <v>306</v>
      </c>
      <c r="P347" s="2" t="s">
        <v>1351</v>
      </c>
      <c r="Q347" s="2">
        <v>47</v>
      </c>
      <c r="R347" s="2" t="b">
        <v>0</v>
      </c>
      <c r="S347" s="2">
        <v>0.71309192200557103</v>
      </c>
      <c r="T347" s="2">
        <v>0.87671232876712324</v>
      </c>
      <c r="U347" s="2">
        <v>0.60093896713615025</v>
      </c>
      <c r="V347" s="2" t="s">
        <v>63</v>
      </c>
      <c r="W347" s="2" t="s">
        <v>1568</v>
      </c>
      <c r="X347" s="2" t="s">
        <v>1569</v>
      </c>
      <c r="Y347" s="2" t="b">
        <v>1</v>
      </c>
      <c r="Z347" s="2" t="s">
        <v>67</v>
      </c>
      <c r="AA347" s="2">
        <v>2.5</v>
      </c>
      <c r="AB347" s="2" t="s">
        <v>74</v>
      </c>
    </row>
    <row r="348" spans="1:28" ht="15.75" hidden="1" customHeight="1" x14ac:dyDescent="0.3">
      <c r="A348" s="2" t="s">
        <v>45</v>
      </c>
      <c r="B348" s="2" t="s">
        <v>32</v>
      </c>
      <c r="C348" s="2" t="s">
        <v>1262</v>
      </c>
      <c r="D348" s="2" t="s">
        <v>32</v>
      </c>
      <c r="E348" s="2" t="s">
        <v>82</v>
      </c>
      <c r="F348" s="2" t="s">
        <v>814</v>
      </c>
      <c r="G348" s="2" t="s">
        <v>42</v>
      </c>
      <c r="H348" s="2" t="s">
        <v>42</v>
      </c>
      <c r="I348" s="2" t="s">
        <v>239</v>
      </c>
      <c r="J348" s="2" t="s">
        <v>71</v>
      </c>
      <c r="K348" s="2" t="s">
        <v>1374</v>
      </c>
      <c r="L348" s="2" t="s">
        <v>1348</v>
      </c>
      <c r="M348" s="2" t="s">
        <v>1349</v>
      </c>
      <c r="N348" s="2" t="s">
        <v>1375</v>
      </c>
      <c r="O348" s="2" t="s">
        <v>315</v>
      </c>
      <c r="P348" s="2" t="s">
        <v>1351</v>
      </c>
      <c r="Q348" s="2">
        <v>48</v>
      </c>
      <c r="R348" s="2" t="b">
        <v>0</v>
      </c>
      <c r="S348" s="2">
        <v>0.67787114845938368</v>
      </c>
      <c r="T348" s="2">
        <v>0.86428571428571432</v>
      </c>
      <c r="U348" s="2">
        <v>0.55760368663594473</v>
      </c>
      <c r="V348" s="2" t="s">
        <v>63</v>
      </c>
      <c r="W348" s="2" t="s">
        <v>1570</v>
      </c>
      <c r="X348" s="2" t="s">
        <v>1571</v>
      </c>
      <c r="Y348" s="2" t="b">
        <v>1</v>
      </c>
      <c r="Z348" s="2" t="s">
        <v>67</v>
      </c>
      <c r="AA348" s="2">
        <v>2.9</v>
      </c>
      <c r="AB348" s="2" t="s">
        <v>74</v>
      </c>
    </row>
    <row r="349" spans="1:28" ht="15.75" hidden="1" customHeight="1" x14ac:dyDescent="0.3">
      <c r="A349" s="2" t="s">
        <v>45</v>
      </c>
      <c r="B349" s="2" t="s">
        <v>32</v>
      </c>
      <c r="C349" s="2" t="s">
        <v>1262</v>
      </c>
      <c r="D349" s="2" t="s">
        <v>32</v>
      </c>
      <c r="E349" s="2" t="s">
        <v>82</v>
      </c>
      <c r="F349" s="2" t="s">
        <v>814</v>
      </c>
      <c r="G349" s="2" t="s">
        <v>42</v>
      </c>
      <c r="H349" s="2" t="s">
        <v>42</v>
      </c>
      <c r="I349" s="2" t="s">
        <v>239</v>
      </c>
      <c r="J349" s="2" t="s">
        <v>71</v>
      </c>
      <c r="K349" s="2" t="s">
        <v>1378</v>
      </c>
      <c r="L349" s="2" t="s">
        <v>1348</v>
      </c>
      <c r="M349" s="2" t="s">
        <v>1349</v>
      </c>
      <c r="N349" s="2" t="s">
        <v>1379</v>
      </c>
      <c r="O349" s="2" t="s">
        <v>326</v>
      </c>
      <c r="P349" s="2" t="s">
        <v>1351</v>
      </c>
      <c r="Q349" s="2">
        <v>49</v>
      </c>
      <c r="R349" s="2" t="b">
        <v>0</v>
      </c>
      <c r="S349" s="2">
        <v>0.62983425414364647</v>
      </c>
      <c r="T349" s="2">
        <v>0.71698113207547165</v>
      </c>
      <c r="U349" s="2">
        <v>0.56157635467980294</v>
      </c>
      <c r="V349" s="2" t="s">
        <v>63</v>
      </c>
      <c r="W349" s="2" t="s">
        <v>1572</v>
      </c>
      <c r="X349" s="2" t="s">
        <v>1573</v>
      </c>
      <c r="Y349" s="2" t="b">
        <v>1</v>
      </c>
      <c r="Z349" s="2" t="s">
        <v>67</v>
      </c>
      <c r="AA349" s="2">
        <v>3.2</v>
      </c>
      <c r="AB349" s="2" t="s">
        <v>74</v>
      </c>
    </row>
    <row r="350" spans="1:28" ht="15.75" hidden="1" customHeight="1" x14ac:dyDescent="0.3">
      <c r="A350" s="2" t="s">
        <v>45</v>
      </c>
      <c r="B350" s="2" t="s">
        <v>32</v>
      </c>
      <c r="C350" s="2" t="s">
        <v>1262</v>
      </c>
      <c r="D350" s="2" t="s">
        <v>32</v>
      </c>
      <c r="E350" s="2" t="s">
        <v>82</v>
      </c>
      <c r="F350" s="2" t="s">
        <v>814</v>
      </c>
      <c r="G350" s="2" t="s">
        <v>42</v>
      </c>
      <c r="H350" s="2" t="s">
        <v>42</v>
      </c>
      <c r="I350" s="2" t="s">
        <v>239</v>
      </c>
      <c r="J350" s="2" t="s">
        <v>71</v>
      </c>
      <c r="K350" s="2" t="s">
        <v>1382</v>
      </c>
      <c r="L350" s="2" t="s">
        <v>1348</v>
      </c>
      <c r="M350" s="2" t="s">
        <v>1349</v>
      </c>
      <c r="N350" s="2" t="s">
        <v>1383</v>
      </c>
      <c r="O350" s="2" t="s">
        <v>335</v>
      </c>
      <c r="P350" s="2" t="s">
        <v>1351</v>
      </c>
      <c r="Q350" s="2">
        <v>50</v>
      </c>
      <c r="R350" s="2" t="b">
        <v>0</v>
      </c>
      <c r="S350" s="2">
        <v>0.78740157480314965</v>
      </c>
      <c r="T350" s="2">
        <v>0.85227272727272729</v>
      </c>
      <c r="U350" s="2">
        <v>0.73170731707317072</v>
      </c>
      <c r="V350" s="2" t="s">
        <v>63</v>
      </c>
      <c r="W350" s="2" t="s">
        <v>1574</v>
      </c>
      <c r="X350" s="2" t="s">
        <v>1575</v>
      </c>
      <c r="Y350" s="2" t="b">
        <v>1</v>
      </c>
      <c r="Z350" s="2" t="s">
        <v>67</v>
      </c>
      <c r="AA350" s="2">
        <v>2.1</v>
      </c>
      <c r="AB350" s="2" t="s">
        <v>74</v>
      </c>
    </row>
    <row r="351" spans="1:28" ht="15.75" hidden="1" customHeight="1" x14ac:dyDescent="0.3">
      <c r="A351" s="2" t="s">
        <v>45</v>
      </c>
      <c r="B351" s="2" t="s">
        <v>32</v>
      </c>
      <c r="C351" s="2" t="s">
        <v>1262</v>
      </c>
      <c r="D351" s="2" t="s">
        <v>32</v>
      </c>
      <c r="E351" s="2" t="s">
        <v>82</v>
      </c>
      <c r="F351" s="2" t="s">
        <v>814</v>
      </c>
      <c r="G351" s="2" t="s">
        <v>42</v>
      </c>
      <c r="H351" s="2" t="s">
        <v>42</v>
      </c>
      <c r="I351" s="2" t="s">
        <v>239</v>
      </c>
      <c r="J351" s="2" t="s">
        <v>71</v>
      </c>
      <c r="K351" s="2" t="s">
        <v>1386</v>
      </c>
      <c r="L351" s="2" t="s">
        <v>1348</v>
      </c>
      <c r="M351" s="2" t="s">
        <v>1349</v>
      </c>
      <c r="N351" s="2" t="s">
        <v>1387</v>
      </c>
      <c r="O351" s="2" t="s">
        <v>346</v>
      </c>
      <c r="P351" s="2" t="s">
        <v>1351</v>
      </c>
      <c r="Q351" s="2">
        <v>51</v>
      </c>
      <c r="R351" s="2" t="b">
        <v>0</v>
      </c>
      <c r="S351" s="2">
        <v>0.67553191489361708</v>
      </c>
      <c r="T351" s="2">
        <v>0.80891719745222934</v>
      </c>
      <c r="U351" s="2">
        <v>0.57990867579908678</v>
      </c>
      <c r="V351" s="2" t="s">
        <v>63</v>
      </c>
      <c r="W351" s="2" t="s">
        <v>1576</v>
      </c>
      <c r="X351" s="2" t="s">
        <v>1577</v>
      </c>
      <c r="Y351" s="2" t="b">
        <v>1</v>
      </c>
      <c r="Z351" s="2" t="s">
        <v>67</v>
      </c>
      <c r="AA351" s="2">
        <v>2</v>
      </c>
      <c r="AB351" s="2" t="s">
        <v>74</v>
      </c>
    </row>
    <row r="352" spans="1:28" ht="15.75" hidden="1" customHeight="1" x14ac:dyDescent="0.3">
      <c r="A352" s="2" t="s">
        <v>45</v>
      </c>
      <c r="B352" s="2" t="s">
        <v>32</v>
      </c>
      <c r="C352" s="2" t="s">
        <v>1262</v>
      </c>
      <c r="D352" s="2" t="s">
        <v>32</v>
      </c>
      <c r="E352" s="2" t="s">
        <v>82</v>
      </c>
      <c r="F352" s="2" t="s">
        <v>814</v>
      </c>
      <c r="G352" s="2" t="s">
        <v>42</v>
      </c>
      <c r="H352" s="2" t="s">
        <v>42</v>
      </c>
      <c r="I352" s="2" t="s">
        <v>239</v>
      </c>
      <c r="J352" s="2" t="s">
        <v>71</v>
      </c>
      <c r="K352" s="2" t="s">
        <v>1390</v>
      </c>
      <c r="L352" s="2" t="s">
        <v>1348</v>
      </c>
      <c r="M352" s="2" t="s">
        <v>1349</v>
      </c>
      <c r="N352" s="2" t="s">
        <v>1391</v>
      </c>
      <c r="O352" s="2" t="s">
        <v>357</v>
      </c>
      <c r="P352" s="2" t="s">
        <v>1351</v>
      </c>
      <c r="Q352" s="2">
        <v>52</v>
      </c>
      <c r="R352" s="2" t="b">
        <v>0</v>
      </c>
      <c r="S352" s="2">
        <v>0.77134986225895308</v>
      </c>
      <c r="T352" s="2">
        <v>0.875</v>
      </c>
      <c r="U352" s="2">
        <v>0.68965517241379315</v>
      </c>
      <c r="V352" s="2" t="s">
        <v>63</v>
      </c>
      <c r="W352" s="2" t="s">
        <v>1578</v>
      </c>
      <c r="X352" s="2" t="s">
        <v>1579</v>
      </c>
      <c r="Y352" s="2" t="b">
        <v>1</v>
      </c>
      <c r="Z352" s="2" t="s">
        <v>67</v>
      </c>
      <c r="AA352" s="2">
        <v>2.6</v>
      </c>
      <c r="AB352" s="2" t="s">
        <v>74</v>
      </c>
    </row>
    <row r="353" spans="1:28" ht="15.75" hidden="1" customHeight="1" x14ac:dyDescent="0.3">
      <c r="A353" s="2" t="s">
        <v>45</v>
      </c>
      <c r="B353" s="2" t="s">
        <v>32</v>
      </c>
      <c r="C353" s="2" t="s">
        <v>1262</v>
      </c>
      <c r="D353" s="2" t="s">
        <v>32</v>
      </c>
      <c r="E353" s="2" t="s">
        <v>82</v>
      </c>
      <c r="F353" s="2" t="s">
        <v>814</v>
      </c>
      <c r="G353" s="2" t="s">
        <v>42</v>
      </c>
      <c r="H353" s="2" t="s">
        <v>42</v>
      </c>
      <c r="I353" s="2" t="s">
        <v>239</v>
      </c>
      <c r="J353" s="2" t="s">
        <v>71</v>
      </c>
      <c r="K353" s="2" t="s">
        <v>1394</v>
      </c>
      <c r="L353" s="2" t="s">
        <v>1348</v>
      </c>
      <c r="M353" s="2" t="s">
        <v>1349</v>
      </c>
      <c r="N353" s="2" t="s">
        <v>1395</v>
      </c>
      <c r="O353" s="2" t="s">
        <v>369</v>
      </c>
      <c r="P353" s="2" t="s">
        <v>1351</v>
      </c>
      <c r="Q353" s="2">
        <v>53</v>
      </c>
      <c r="R353" s="2" t="b">
        <v>0</v>
      </c>
      <c r="S353" s="2">
        <v>0.68766404199475062</v>
      </c>
      <c r="T353" s="2">
        <v>0.82911392405063289</v>
      </c>
      <c r="U353" s="2">
        <v>0.58744394618834084</v>
      </c>
      <c r="V353" s="2" t="s">
        <v>63</v>
      </c>
      <c r="W353" s="2" t="s">
        <v>1580</v>
      </c>
      <c r="X353" s="2" t="s">
        <v>1581</v>
      </c>
      <c r="Y353" s="2" t="b">
        <v>1</v>
      </c>
      <c r="Z353" s="2" t="s">
        <v>67</v>
      </c>
      <c r="AA353" s="2">
        <v>2.9</v>
      </c>
      <c r="AB353" s="2" t="s">
        <v>74</v>
      </c>
    </row>
    <row r="354" spans="1:28" ht="15.75" hidden="1" customHeight="1" x14ac:dyDescent="0.3">
      <c r="A354" s="2" t="s">
        <v>45</v>
      </c>
      <c r="B354" s="2" t="s">
        <v>32</v>
      </c>
      <c r="C354" s="2" t="s">
        <v>1262</v>
      </c>
      <c r="D354" s="2" t="s">
        <v>32</v>
      </c>
      <c r="E354" s="2" t="s">
        <v>82</v>
      </c>
      <c r="F354" s="2" t="s">
        <v>814</v>
      </c>
      <c r="G354" s="2" t="s">
        <v>42</v>
      </c>
      <c r="H354" s="2" t="s">
        <v>42</v>
      </c>
      <c r="I354" s="2" t="s">
        <v>239</v>
      </c>
      <c r="J354" s="2" t="s">
        <v>71</v>
      </c>
      <c r="K354" s="2" t="s">
        <v>1398</v>
      </c>
      <c r="L354" s="2" t="s">
        <v>1348</v>
      </c>
      <c r="M354" s="2" t="s">
        <v>1349</v>
      </c>
      <c r="N354" s="2" t="s">
        <v>1399</v>
      </c>
      <c r="O354" s="2" t="s">
        <v>378</v>
      </c>
      <c r="P354" s="2" t="s">
        <v>1351</v>
      </c>
      <c r="Q354" s="2">
        <v>54</v>
      </c>
      <c r="R354" s="2" t="b">
        <v>0</v>
      </c>
      <c r="S354" s="2">
        <v>0.69364161849710981</v>
      </c>
      <c r="T354" s="2">
        <v>0.81632653061224492</v>
      </c>
      <c r="U354" s="2">
        <v>0.60301507537688437</v>
      </c>
      <c r="V354" s="2" t="s">
        <v>63</v>
      </c>
      <c r="W354" s="2" t="s">
        <v>1582</v>
      </c>
      <c r="X354" s="2" t="s">
        <v>1583</v>
      </c>
      <c r="Y354" s="2" t="b">
        <v>1</v>
      </c>
      <c r="Z354" s="2" t="s">
        <v>67</v>
      </c>
      <c r="AA354" s="2">
        <v>3.1</v>
      </c>
      <c r="AB354" s="2" t="s">
        <v>74</v>
      </c>
    </row>
    <row r="355" spans="1:28" ht="15.75" hidden="1" customHeight="1" x14ac:dyDescent="0.3">
      <c r="A355" s="2" t="s">
        <v>45</v>
      </c>
      <c r="B355" s="2" t="s">
        <v>32</v>
      </c>
      <c r="C355" s="2" t="s">
        <v>1262</v>
      </c>
      <c r="D355" s="2" t="s">
        <v>32</v>
      </c>
      <c r="E355" s="2" t="s">
        <v>82</v>
      </c>
      <c r="F355" s="2" t="s">
        <v>814</v>
      </c>
      <c r="G355" s="2" t="s">
        <v>42</v>
      </c>
      <c r="H355" s="2" t="s">
        <v>42</v>
      </c>
      <c r="I355" s="2" t="s">
        <v>239</v>
      </c>
      <c r="J355" s="2" t="s">
        <v>71</v>
      </c>
      <c r="K355" s="2" t="s">
        <v>1402</v>
      </c>
      <c r="L355" s="2" t="s">
        <v>1348</v>
      </c>
      <c r="M355" s="2" t="s">
        <v>1349</v>
      </c>
      <c r="N355" s="2" t="s">
        <v>1403</v>
      </c>
      <c r="O355" s="2" t="s">
        <v>390</v>
      </c>
      <c r="P355" s="2" t="s">
        <v>1351</v>
      </c>
      <c r="Q355" s="2">
        <v>55</v>
      </c>
      <c r="R355" s="2" t="b">
        <v>0</v>
      </c>
      <c r="S355" s="2">
        <v>0.77694235588972427</v>
      </c>
      <c r="T355" s="2">
        <v>0.84239130434782605</v>
      </c>
      <c r="U355" s="2">
        <v>0.72093023255813948</v>
      </c>
      <c r="V355" s="2" t="s">
        <v>63</v>
      </c>
      <c r="W355" s="2" t="s">
        <v>1584</v>
      </c>
      <c r="X355" s="2" t="s">
        <v>1585</v>
      </c>
      <c r="Y355" s="2" t="b">
        <v>1</v>
      </c>
      <c r="Z355" s="2" t="s">
        <v>67</v>
      </c>
      <c r="AA355" s="2">
        <v>2.4</v>
      </c>
      <c r="AB355" s="2" t="s">
        <v>74</v>
      </c>
    </row>
    <row r="356" spans="1:28" ht="15.75" hidden="1" customHeight="1" x14ac:dyDescent="0.3">
      <c r="A356" s="2" t="s">
        <v>45</v>
      </c>
      <c r="B356" s="2" t="s">
        <v>32</v>
      </c>
      <c r="C356" s="2" t="s">
        <v>1262</v>
      </c>
      <c r="D356" s="2" t="s">
        <v>32</v>
      </c>
      <c r="E356" s="2" t="s">
        <v>82</v>
      </c>
      <c r="F356" s="2" t="s">
        <v>814</v>
      </c>
      <c r="G356" s="2" t="s">
        <v>42</v>
      </c>
      <c r="H356" s="2" t="s">
        <v>42</v>
      </c>
      <c r="I356" s="2" t="s">
        <v>239</v>
      </c>
      <c r="J356" s="2" t="s">
        <v>71</v>
      </c>
      <c r="K356" s="2" t="s">
        <v>1406</v>
      </c>
      <c r="L356" s="2" t="s">
        <v>1348</v>
      </c>
      <c r="M356" s="2" t="s">
        <v>1349</v>
      </c>
      <c r="N356" s="2" t="s">
        <v>1407</v>
      </c>
      <c r="O356" s="2" t="s">
        <v>404</v>
      </c>
      <c r="P356" s="2" t="s">
        <v>1351</v>
      </c>
      <c r="Q356" s="2">
        <v>56</v>
      </c>
      <c r="R356" s="2" t="b">
        <v>0</v>
      </c>
      <c r="S356" s="2">
        <v>0.65927977839335183</v>
      </c>
      <c r="T356" s="2">
        <v>0.80952380952380953</v>
      </c>
      <c r="U356" s="2">
        <v>0.55607476635514019</v>
      </c>
      <c r="V356" s="2" t="s">
        <v>63</v>
      </c>
      <c r="W356" s="2" t="s">
        <v>1586</v>
      </c>
      <c r="X356" s="2" t="s">
        <v>1587</v>
      </c>
      <c r="Y356" s="2" t="b">
        <v>1</v>
      </c>
      <c r="Z356" s="2" t="s">
        <v>67</v>
      </c>
      <c r="AA356" s="2">
        <v>2.2999999999999998</v>
      </c>
      <c r="AB356" s="2" t="s">
        <v>74</v>
      </c>
    </row>
    <row r="357" spans="1:28" ht="15.75" hidden="1" customHeight="1" x14ac:dyDescent="0.3">
      <c r="A357" s="2" t="s">
        <v>45</v>
      </c>
      <c r="B357" s="2" t="s">
        <v>32</v>
      </c>
      <c r="C357" s="2" t="s">
        <v>1262</v>
      </c>
      <c r="D357" s="2" t="s">
        <v>32</v>
      </c>
      <c r="E357" s="2" t="s">
        <v>82</v>
      </c>
      <c r="F357" s="2" t="s">
        <v>814</v>
      </c>
      <c r="G357" s="2" t="s">
        <v>42</v>
      </c>
      <c r="H357" s="2" t="s">
        <v>42</v>
      </c>
      <c r="I357" s="2" t="s">
        <v>239</v>
      </c>
      <c r="J357" s="2" t="s">
        <v>71</v>
      </c>
      <c r="K357" s="2" t="s">
        <v>1410</v>
      </c>
      <c r="L357" s="2" t="s">
        <v>1348</v>
      </c>
      <c r="M357" s="2" t="s">
        <v>1349</v>
      </c>
      <c r="N357" s="2" t="s">
        <v>1411</v>
      </c>
      <c r="O357" s="2" t="s">
        <v>416</v>
      </c>
      <c r="P357" s="2" t="s">
        <v>1351</v>
      </c>
      <c r="Q357" s="2">
        <v>57</v>
      </c>
      <c r="R357" s="2" t="b">
        <v>0</v>
      </c>
      <c r="S357" s="2">
        <v>0.75862068965517238</v>
      </c>
      <c r="T357" s="2">
        <v>0.85119047619047616</v>
      </c>
      <c r="U357" s="2">
        <v>0.68421052631578949</v>
      </c>
      <c r="V357" s="2" t="s">
        <v>63</v>
      </c>
      <c r="W357" s="2" t="s">
        <v>1588</v>
      </c>
      <c r="X357" s="2" t="s">
        <v>1589</v>
      </c>
      <c r="Y357" s="2" t="b">
        <v>1</v>
      </c>
      <c r="Z357" s="2" t="s">
        <v>67</v>
      </c>
      <c r="AA357" s="2">
        <v>2.7</v>
      </c>
      <c r="AB357" s="2" t="s">
        <v>74</v>
      </c>
    </row>
    <row r="358" spans="1:28" ht="15.75" hidden="1" customHeight="1" x14ac:dyDescent="0.3">
      <c r="A358" s="2" t="s">
        <v>45</v>
      </c>
      <c r="B358" s="2" t="s">
        <v>32</v>
      </c>
      <c r="C358" s="2" t="s">
        <v>1262</v>
      </c>
      <c r="D358" s="2" t="s">
        <v>32</v>
      </c>
      <c r="E358" s="2" t="s">
        <v>82</v>
      </c>
      <c r="F358" s="2" t="s">
        <v>814</v>
      </c>
      <c r="G358" s="2" t="s">
        <v>42</v>
      </c>
      <c r="H358" s="2" t="s">
        <v>42</v>
      </c>
      <c r="I358" s="2" t="s">
        <v>239</v>
      </c>
      <c r="J358" s="2" t="s">
        <v>71</v>
      </c>
      <c r="K358" s="2" t="s">
        <v>1414</v>
      </c>
      <c r="L358" s="2" t="s">
        <v>1348</v>
      </c>
      <c r="M358" s="2" t="s">
        <v>1349</v>
      </c>
      <c r="N358" s="2" t="s">
        <v>1415</v>
      </c>
      <c r="O358" s="2" t="s">
        <v>430</v>
      </c>
      <c r="P358" s="2" t="s">
        <v>1351</v>
      </c>
      <c r="Q358" s="2">
        <v>58</v>
      </c>
      <c r="R358" s="2" t="b">
        <v>0</v>
      </c>
      <c r="S358" s="2">
        <v>0.75862068965517238</v>
      </c>
      <c r="T358" s="2">
        <v>0.82658959537572252</v>
      </c>
      <c r="U358" s="2">
        <v>0.7009803921568627</v>
      </c>
      <c r="V358" s="2" t="s">
        <v>63</v>
      </c>
      <c r="W358" s="2" t="s">
        <v>1590</v>
      </c>
      <c r="X358" s="2" t="s">
        <v>1591</v>
      </c>
      <c r="Y358" s="2" t="b">
        <v>1</v>
      </c>
      <c r="Z358" s="2" t="s">
        <v>67</v>
      </c>
      <c r="AA358" s="2">
        <v>2</v>
      </c>
      <c r="AB358" s="2" t="s">
        <v>74</v>
      </c>
    </row>
    <row r="359" spans="1:28" ht="15.75" hidden="1" customHeight="1" x14ac:dyDescent="0.3">
      <c r="A359" s="2" t="s">
        <v>45</v>
      </c>
      <c r="B359" s="2" t="s">
        <v>32</v>
      </c>
      <c r="C359" s="2" t="s">
        <v>1262</v>
      </c>
      <c r="D359" s="2" t="s">
        <v>32</v>
      </c>
      <c r="E359" s="2" t="s">
        <v>82</v>
      </c>
      <c r="F359" s="2" t="s">
        <v>814</v>
      </c>
      <c r="G359" s="2" t="s">
        <v>42</v>
      </c>
      <c r="H359" s="2" t="s">
        <v>42</v>
      </c>
      <c r="I359" s="2" t="s">
        <v>239</v>
      </c>
      <c r="J359" s="2" t="s">
        <v>71</v>
      </c>
      <c r="K359" s="2" t="s">
        <v>1418</v>
      </c>
      <c r="L359" s="2" t="s">
        <v>1348</v>
      </c>
      <c r="M359" s="2" t="s">
        <v>1349</v>
      </c>
      <c r="N359" s="2" t="s">
        <v>1419</v>
      </c>
      <c r="O359" s="2" t="s">
        <v>447</v>
      </c>
      <c r="P359" s="2" t="s">
        <v>1351</v>
      </c>
      <c r="Q359" s="2">
        <v>59</v>
      </c>
      <c r="R359" s="2" t="b">
        <v>0</v>
      </c>
      <c r="S359" s="2">
        <v>0.71148459383753504</v>
      </c>
      <c r="T359" s="2">
        <v>0.87586206896551722</v>
      </c>
      <c r="U359" s="2">
        <v>0.59905660377358494</v>
      </c>
      <c r="V359" s="2" t="s">
        <v>63</v>
      </c>
      <c r="W359" s="2" t="s">
        <v>1592</v>
      </c>
      <c r="X359" s="2" t="s">
        <v>1593</v>
      </c>
      <c r="Y359" s="2" t="b">
        <v>1</v>
      </c>
      <c r="Z359" s="2" t="s">
        <v>67</v>
      </c>
      <c r="AA359" s="2">
        <v>3.9</v>
      </c>
      <c r="AB359" s="2" t="s">
        <v>74</v>
      </c>
    </row>
    <row r="360" spans="1:28" ht="15.75" hidden="1" customHeight="1" x14ac:dyDescent="0.3">
      <c r="A360" s="2" t="s">
        <v>45</v>
      </c>
      <c r="B360" s="2" t="s">
        <v>32</v>
      </c>
      <c r="C360" s="2" t="s">
        <v>1262</v>
      </c>
      <c r="D360" s="2" t="s">
        <v>32</v>
      </c>
      <c r="E360" s="2" t="s">
        <v>82</v>
      </c>
      <c r="F360" s="2" t="s">
        <v>814</v>
      </c>
      <c r="G360" s="2" t="s">
        <v>42</v>
      </c>
      <c r="H360" s="2" t="s">
        <v>42</v>
      </c>
      <c r="I360" s="2" t="s">
        <v>239</v>
      </c>
      <c r="J360" s="2" t="s">
        <v>71</v>
      </c>
      <c r="K360" s="2" t="s">
        <v>1422</v>
      </c>
      <c r="L360" s="2" t="s">
        <v>1348</v>
      </c>
      <c r="M360" s="2" t="s">
        <v>1349</v>
      </c>
      <c r="N360" s="2" t="s">
        <v>1423</v>
      </c>
      <c r="O360" s="2" t="s">
        <v>457</v>
      </c>
      <c r="P360" s="2" t="s">
        <v>1351</v>
      </c>
      <c r="Q360" s="2">
        <v>60</v>
      </c>
      <c r="R360" s="2" t="b">
        <v>0</v>
      </c>
      <c r="S360" s="2">
        <v>0.70285714285714285</v>
      </c>
      <c r="T360" s="2">
        <v>0.79870129870129869</v>
      </c>
      <c r="U360" s="2">
        <v>0.62755102040816324</v>
      </c>
      <c r="V360" s="2" t="s">
        <v>63</v>
      </c>
      <c r="W360" s="2" t="s">
        <v>1594</v>
      </c>
      <c r="X360" s="2" t="s">
        <v>1595</v>
      </c>
      <c r="Y360" s="2" t="b">
        <v>1</v>
      </c>
      <c r="Z360" s="2" t="s">
        <v>67</v>
      </c>
      <c r="AA360" s="2">
        <v>2.2000000000000002</v>
      </c>
      <c r="AB360" s="2" t="s">
        <v>74</v>
      </c>
    </row>
    <row r="361" spans="1:28" ht="15.75" hidden="1" customHeight="1" x14ac:dyDescent="0.3">
      <c r="A361" s="2" t="s">
        <v>45</v>
      </c>
      <c r="B361" s="2" t="s">
        <v>32</v>
      </c>
      <c r="C361" s="2" t="s">
        <v>1262</v>
      </c>
      <c r="D361" s="2" t="s">
        <v>32</v>
      </c>
      <c r="E361" s="2" t="s">
        <v>82</v>
      </c>
      <c r="F361" s="2" t="s">
        <v>814</v>
      </c>
      <c r="G361" s="2" t="s">
        <v>42</v>
      </c>
      <c r="H361" s="2" t="s">
        <v>42</v>
      </c>
      <c r="I361" s="2" t="s">
        <v>239</v>
      </c>
      <c r="J361" s="2" t="s">
        <v>71</v>
      </c>
      <c r="K361" s="2" t="s">
        <v>1426</v>
      </c>
      <c r="L361" s="2" t="s">
        <v>1348</v>
      </c>
      <c r="M361" s="2" t="s">
        <v>1349</v>
      </c>
      <c r="N361" s="2" t="s">
        <v>1427</v>
      </c>
      <c r="O361" s="2" t="s">
        <v>475</v>
      </c>
      <c r="P361" s="2" t="s">
        <v>1351</v>
      </c>
      <c r="Q361" s="2">
        <v>61</v>
      </c>
      <c r="R361" s="2" t="b">
        <v>0</v>
      </c>
      <c r="S361" s="2">
        <v>0.71240105540897103</v>
      </c>
      <c r="T361" s="2">
        <v>0.81325301204819278</v>
      </c>
      <c r="U361" s="2">
        <v>0.63380281690140849</v>
      </c>
      <c r="V361" s="2" t="s">
        <v>63</v>
      </c>
      <c r="W361" s="2" t="s">
        <v>1596</v>
      </c>
      <c r="X361" s="2" t="s">
        <v>1597</v>
      </c>
      <c r="Y361" s="2" t="b">
        <v>1</v>
      </c>
      <c r="Z361" s="2" t="s">
        <v>67</v>
      </c>
      <c r="AA361" s="2">
        <v>2.5</v>
      </c>
      <c r="AB361" s="2" t="s">
        <v>74</v>
      </c>
    </row>
    <row r="362" spans="1:28" ht="15.75" hidden="1" customHeight="1" x14ac:dyDescent="0.3">
      <c r="A362" s="2" t="s">
        <v>37</v>
      </c>
      <c r="B362" s="2" t="s">
        <v>38</v>
      </c>
      <c r="C362" s="2" t="s">
        <v>41</v>
      </c>
      <c r="D362" s="2" t="s">
        <v>38</v>
      </c>
      <c r="E362" s="2" t="s">
        <v>43</v>
      </c>
      <c r="F362" s="2" t="s">
        <v>46</v>
      </c>
      <c r="G362" s="2" t="s">
        <v>42</v>
      </c>
      <c r="H362" s="2" t="s">
        <v>42</v>
      </c>
      <c r="I362" s="2" t="s">
        <v>47</v>
      </c>
      <c r="J362" s="2" t="s">
        <v>44</v>
      </c>
      <c r="K362" s="2" t="s">
        <v>1598</v>
      </c>
      <c r="L362" s="2" t="s">
        <v>1599</v>
      </c>
      <c r="M362" s="2" t="s">
        <v>1600</v>
      </c>
      <c r="N362" s="2" t="s">
        <v>1601</v>
      </c>
      <c r="O362" s="2" t="s">
        <v>1602</v>
      </c>
      <c r="P362" s="2" t="s">
        <v>1603</v>
      </c>
      <c r="Q362" s="2">
        <v>42</v>
      </c>
      <c r="R362" s="2" t="b">
        <v>1</v>
      </c>
      <c r="S362" s="2">
        <v>0.80434782608695654</v>
      </c>
      <c r="T362" s="2">
        <v>0.77622377622377625</v>
      </c>
      <c r="U362" s="2">
        <v>0.83458646616541354</v>
      </c>
      <c r="V362" s="2" t="s">
        <v>63</v>
      </c>
      <c r="W362" s="2" t="s">
        <v>1604</v>
      </c>
      <c r="X362" s="2" t="s">
        <v>1605</v>
      </c>
      <c r="Y362" s="2" t="b">
        <v>0</v>
      </c>
      <c r="Z362" s="2" t="s">
        <v>67</v>
      </c>
      <c r="AA362" s="2">
        <v>217.2</v>
      </c>
      <c r="AB362" s="2" t="s">
        <v>49</v>
      </c>
    </row>
    <row r="363" spans="1:28" ht="15.75" hidden="1" customHeight="1" x14ac:dyDescent="0.3">
      <c r="A363" s="2" t="s">
        <v>37</v>
      </c>
      <c r="B363" s="2" t="s">
        <v>38</v>
      </c>
      <c r="C363" s="2" t="s">
        <v>41</v>
      </c>
      <c r="D363" s="2" t="s">
        <v>38</v>
      </c>
      <c r="E363" s="2" t="s">
        <v>43</v>
      </c>
      <c r="F363" s="2" t="s">
        <v>46</v>
      </c>
      <c r="G363" s="2" t="s">
        <v>42</v>
      </c>
      <c r="H363" s="2" t="s">
        <v>42</v>
      </c>
      <c r="I363" s="2" t="s">
        <v>47</v>
      </c>
      <c r="J363" s="2" t="s">
        <v>44</v>
      </c>
      <c r="K363" s="2" t="s">
        <v>1606</v>
      </c>
      <c r="L363" s="2" t="s">
        <v>1599</v>
      </c>
      <c r="M363" s="2" t="s">
        <v>1600</v>
      </c>
      <c r="N363" s="2" t="s">
        <v>1607</v>
      </c>
      <c r="O363" s="2" t="s">
        <v>1608</v>
      </c>
      <c r="P363" s="2" t="s">
        <v>1603</v>
      </c>
      <c r="Q363" s="2">
        <v>43</v>
      </c>
      <c r="R363" s="2" t="b">
        <v>1</v>
      </c>
      <c r="S363" s="2">
        <v>0.75316455696202533</v>
      </c>
      <c r="T363" s="2">
        <v>0.73006134969325154</v>
      </c>
      <c r="U363" s="2">
        <v>0.77777777777777779</v>
      </c>
      <c r="V363" s="2" t="s">
        <v>63</v>
      </c>
      <c r="W363" s="2" t="s">
        <v>1609</v>
      </c>
      <c r="X363" s="2" t="s">
        <v>1610</v>
      </c>
      <c r="Y363" s="2" t="b">
        <v>0</v>
      </c>
      <c r="Z363" s="2" t="s">
        <v>67</v>
      </c>
      <c r="AA363" s="2">
        <v>214.8</v>
      </c>
      <c r="AB363" s="2" t="s">
        <v>49</v>
      </c>
    </row>
    <row r="364" spans="1:28" ht="15.75" hidden="1" customHeight="1" x14ac:dyDescent="0.3">
      <c r="A364" s="2" t="s">
        <v>37</v>
      </c>
      <c r="B364" s="2" t="s">
        <v>38</v>
      </c>
      <c r="C364" s="2" t="s">
        <v>41</v>
      </c>
      <c r="D364" s="2" t="s">
        <v>38</v>
      </c>
      <c r="E364" s="2" t="s">
        <v>43</v>
      </c>
      <c r="F364" s="2" t="s">
        <v>46</v>
      </c>
      <c r="G364" s="2" t="s">
        <v>42</v>
      </c>
      <c r="H364" s="2" t="s">
        <v>42</v>
      </c>
      <c r="I364" s="2" t="s">
        <v>47</v>
      </c>
      <c r="J364" s="2" t="s">
        <v>44</v>
      </c>
      <c r="K364" s="2" t="s">
        <v>1611</v>
      </c>
      <c r="L364" s="2" t="s">
        <v>1599</v>
      </c>
      <c r="M364" s="2" t="s">
        <v>1600</v>
      </c>
      <c r="N364" s="2" t="s">
        <v>1612</v>
      </c>
      <c r="O364" s="2" t="s">
        <v>1613</v>
      </c>
      <c r="P364" s="2" t="s">
        <v>1603</v>
      </c>
      <c r="Q364" s="2">
        <v>44</v>
      </c>
      <c r="R364" s="2" t="b">
        <v>1</v>
      </c>
      <c r="S364" s="2">
        <v>0.77848101265822789</v>
      </c>
      <c r="T364" s="2">
        <v>0.74545454545454548</v>
      </c>
      <c r="U364" s="2">
        <v>0.81456953642384111</v>
      </c>
      <c r="V364" s="2" t="s">
        <v>63</v>
      </c>
      <c r="W364" s="2" t="s">
        <v>1614</v>
      </c>
      <c r="X364" s="2" t="s">
        <v>1615</v>
      </c>
      <c r="Y364" s="2" t="b">
        <v>0</v>
      </c>
      <c r="Z364" s="2" t="s">
        <v>67</v>
      </c>
      <c r="AA364" s="2">
        <v>202.4</v>
      </c>
      <c r="AB364" s="2" t="s">
        <v>49</v>
      </c>
    </row>
    <row r="365" spans="1:28" ht="15.75" hidden="1" customHeight="1" x14ac:dyDescent="0.3">
      <c r="A365" s="2" t="s">
        <v>37</v>
      </c>
      <c r="B365" s="2" t="s">
        <v>38</v>
      </c>
      <c r="C365" s="2" t="s">
        <v>41</v>
      </c>
      <c r="D365" s="2" t="s">
        <v>38</v>
      </c>
      <c r="E365" s="2" t="s">
        <v>43</v>
      </c>
      <c r="F365" s="2" t="s">
        <v>46</v>
      </c>
      <c r="G365" s="2" t="s">
        <v>42</v>
      </c>
      <c r="H365" s="2" t="s">
        <v>42</v>
      </c>
      <c r="I365" s="2" t="s">
        <v>47</v>
      </c>
      <c r="J365" s="2" t="s">
        <v>44</v>
      </c>
      <c r="K365" s="2" t="s">
        <v>1616</v>
      </c>
      <c r="L365" s="2" t="s">
        <v>1599</v>
      </c>
      <c r="M365" s="2" t="s">
        <v>1600</v>
      </c>
      <c r="N365" s="2" t="s">
        <v>1617</v>
      </c>
      <c r="O365" s="2" t="s">
        <v>1618</v>
      </c>
      <c r="P365" s="2" t="s">
        <v>1603</v>
      </c>
      <c r="Q365" s="2">
        <v>45</v>
      </c>
      <c r="R365" s="2" t="b">
        <v>1</v>
      </c>
      <c r="S365" s="2">
        <v>0.78431372549019618</v>
      </c>
      <c r="T365" s="2">
        <v>0.75471698113207553</v>
      </c>
      <c r="U365" s="2">
        <v>0.81632653061224492</v>
      </c>
      <c r="V365" s="2" t="s">
        <v>63</v>
      </c>
      <c r="W365" s="2" t="s">
        <v>1619</v>
      </c>
      <c r="X365" s="2" t="s">
        <v>1620</v>
      </c>
      <c r="Y365" s="2" t="b">
        <v>0</v>
      </c>
      <c r="Z365" s="2" t="s">
        <v>67</v>
      </c>
      <c r="AA365" s="2">
        <v>206.1</v>
      </c>
      <c r="AB365" s="2" t="s">
        <v>49</v>
      </c>
    </row>
    <row r="366" spans="1:28" ht="15.75" hidden="1" customHeight="1" x14ac:dyDescent="0.3">
      <c r="A366" s="2" t="s">
        <v>37</v>
      </c>
      <c r="B366" s="2" t="s">
        <v>38</v>
      </c>
      <c r="C366" s="2" t="s">
        <v>41</v>
      </c>
      <c r="D366" s="2" t="s">
        <v>38</v>
      </c>
      <c r="E366" s="2" t="s">
        <v>43</v>
      </c>
      <c r="F366" s="2" t="s">
        <v>46</v>
      </c>
      <c r="G366" s="2" t="s">
        <v>42</v>
      </c>
      <c r="H366" s="2" t="s">
        <v>42</v>
      </c>
      <c r="I366" s="2" t="s">
        <v>47</v>
      </c>
      <c r="J366" s="2" t="s">
        <v>44</v>
      </c>
      <c r="K366" s="2" t="s">
        <v>1621</v>
      </c>
      <c r="L366" s="2" t="s">
        <v>1599</v>
      </c>
      <c r="M366" s="2" t="s">
        <v>1600</v>
      </c>
      <c r="N366" s="2" t="s">
        <v>1622</v>
      </c>
      <c r="O366" s="2" t="s">
        <v>1623</v>
      </c>
      <c r="P366" s="2" t="s">
        <v>1603</v>
      </c>
      <c r="Q366" s="2">
        <v>46</v>
      </c>
      <c r="R366" s="2" t="b">
        <v>1</v>
      </c>
      <c r="S366" s="2">
        <v>0.79259259259259263</v>
      </c>
      <c r="T366" s="2">
        <v>0.77536231884057971</v>
      </c>
      <c r="U366" s="2">
        <v>0.81060606060606055</v>
      </c>
      <c r="V366" s="2" t="s">
        <v>63</v>
      </c>
      <c r="W366" s="2" t="s">
        <v>1624</v>
      </c>
      <c r="X366" s="2" t="s">
        <v>1625</v>
      </c>
      <c r="Y366" s="2" t="b">
        <v>0</v>
      </c>
      <c r="Z366" s="2" t="s">
        <v>67</v>
      </c>
      <c r="AA366" s="2">
        <v>182.2</v>
      </c>
      <c r="AB366" s="2" t="s">
        <v>49</v>
      </c>
    </row>
    <row r="367" spans="1:28" ht="15.75" hidden="1" customHeight="1" x14ac:dyDescent="0.3">
      <c r="A367" s="2" t="s">
        <v>37</v>
      </c>
      <c r="B367" s="2" t="s">
        <v>38</v>
      </c>
      <c r="C367" s="2" t="s">
        <v>41</v>
      </c>
      <c r="D367" s="2" t="s">
        <v>38</v>
      </c>
      <c r="E367" s="2" t="s">
        <v>43</v>
      </c>
      <c r="F367" s="2" t="s">
        <v>46</v>
      </c>
      <c r="G367" s="2" t="s">
        <v>42</v>
      </c>
      <c r="H367" s="2" t="s">
        <v>42</v>
      </c>
      <c r="I367" s="2" t="s">
        <v>47</v>
      </c>
      <c r="J367" s="2" t="s">
        <v>44</v>
      </c>
      <c r="K367" s="2" t="s">
        <v>1626</v>
      </c>
      <c r="L367" s="2" t="s">
        <v>1599</v>
      </c>
      <c r="M367" s="2" t="s">
        <v>1600</v>
      </c>
      <c r="N367" s="2" t="s">
        <v>1627</v>
      </c>
      <c r="O367" s="2" t="s">
        <v>1628</v>
      </c>
      <c r="P367" s="2" t="s">
        <v>1603</v>
      </c>
      <c r="Q367" s="2">
        <v>47</v>
      </c>
      <c r="R367" s="2" t="b">
        <v>1</v>
      </c>
      <c r="S367" s="2">
        <v>0.87106017191977081</v>
      </c>
      <c r="T367" s="2">
        <v>0.83977900552486184</v>
      </c>
      <c r="U367" s="2">
        <v>0.90476190476190477</v>
      </c>
      <c r="V367" s="2" t="s">
        <v>63</v>
      </c>
      <c r="W367" s="2" t="s">
        <v>1629</v>
      </c>
      <c r="X367" s="2" t="s">
        <v>1630</v>
      </c>
      <c r="Y367" s="2" t="b">
        <v>0</v>
      </c>
      <c r="Z367" s="2" t="s">
        <v>67</v>
      </c>
      <c r="AA367" s="2">
        <v>199.7</v>
      </c>
      <c r="AB367" s="2" t="s">
        <v>49</v>
      </c>
    </row>
    <row r="368" spans="1:28" ht="15.75" hidden="1" customHeight="1" x14ac:dyDescent="0.3">
      <c r="A368" s="2" t="s">
        <v>37</v>
      </c>
      <c r="B368" s="2" t="s">
        <v>38</v>
      </c>
      <c r="C368" s="2" t="s">
        <v>41</v>
      </c>
      <c r="D368" s="2" t="s">
        <v>38</v>
      </c>
      <c r="E368" s="2" t="s">
        <v>43</v>
      </c>
      <c r="F368" s="2" t="s">
        <v>46</v>
      </c>
      <c r="G368" s="2" t="s">
        <v>42</v>
      </c>
      <c r="H368" s="2" t="s">
        <v>42</v>
      </c>
      <c r="I368" s="2" t="s">
        <v>47</v>
      </c>
      <c r="J368" s="2" t="s">
        <v>44</v>
      </c>
      <c r="K368" s="2" t="s">
        <v>1631</v>
      </c>
      <c r="L368" s="2" t="s">
        <v>1599</v>
      </c>
      <c r="M368" s="2" t="s">
        <v>1600</v>
      </c>
      <c r="N368" s="2" t="s">
        <v>1632</v>
      </c>
      <c r="O368" s="2" t="s">
        <v>1633</v>
      </c>
      <c r="P368" s="2" t="s">
        <v>1603</v>
      </c>
      <c r="Q368" s="2">
        <v>48</v>
      </c>
      <c r="R368" s="2" t="b">
        <v>1</v>
      </c>
      <c r="S368" s="2">
        <v>0.75862068965517249</v>
      </c>
      <c r="T368" s="2">
        <v>0.71597633136094674</v>
      </c>
      <c r="U368" s="2">
        <v>0.80666666666666664</v>
      </c>
      <c r="V368" s="2" t="s">
        <v>63</v>
      </c>
      <c r="W368" s="2" t="s">
        <v>1634</v>
      </c>
      <c r="X368" s="2" t="s">
        <v>1635</v>
      </c>
      <c r="Y368" s="2" t="b">
        <v>0</v>
      </c>
      <c r="Z368" s="2" t="s">
        <v>67</v>
      </c>
      <c r="AA368" s="2">
        <v>172.5</v>
      </c>
      <c r="AB368" s="2" t="s">
        <v>49</v>
      </c>
    </row>
    <row r="369" spans="1:28" ht="15.75" hidden="1" customHeight="1" x14ac:dyDescent="0.3">
      <c r="A369" s="2" t="s">
        <v>37</v>
      </c>
      <c r="B369" s="2" t="s">
        <v>38</v>
      </c>
      <c r="C369" s="2" t="s">
        <v>41</v>
      </c>
      <c r="D369" s="2" t="s">
        <v>38</v>
      </c>
      <c r="E369" s="2" t="s">
        <v>43</v>
      </c>
      <c r="F369" s="2" t="s">
        <v>46</v>
      </c>
      <c r="G369" s="2" t="s">
        <v>42</v>
      </c>
      <c r="H369" s="2" t="s">
        <v>42</v>
      </c>
      <c r="I369" s="2" t="s">
        <v>47</v>
      </c>
      <c r="J369" s="2" t="s">
        <v>44</v>
      </c>
      <c r="K369" s="2" t="s">
        <v>1636</v>
      </c>
      <c r="L369" s="2" t="s">
        <v>1599</v>
      </c>
      <c r="M369" s="2" t="s">
        <v>1600</v>
      </c>
      <c r="N369" s="2" t="s">
        <v>1637</v>
      </c>
      <c r="O369" s="2" t="s">
        <v>1638</v>
      </c>
      <c r="P369" s="2" t="s">
        <v>1603</v>
      </c>
      <c r="Q369" s="2">
        <v>49</v>
      </c>
      <c r="R369" s="2" t="b">
        <v>1</v>
      </c>
      <c r="S369" s="2">
        <v>0.74342105263157887</v>
      </c>
      <c r="T369" s="2">
        <v>0.73376623376623373</v>
      </c>
      <c r="U369" s="2">
        <v>0.7533333333333333</v>
      </c>
      <c r="V369" s="2" t="s">
        <v>63</v>
      </c>
      <c r="W369" s="2" t="s">
        <v>1639</v>
      </c>
      <c r="X369" s="2" t="s">
        <v>1640</v>
      </c>
      <c r="Y369" s="2" t="b">
        <v>0</v>
      </c>
      <c r="Z369" s="2" t="s">
        <v>67</v>
      </c>
      <c r="AA369" s="2">
        <v>206.8</v>
      </c>
      <c r="AB369" s="2" t="s">
        <v>49</v>
      </c>
    </row>
    <row r="370" spans="1:28" ht="15.75" hidden="1" customHeight="1" x14ac:dyDescent="0.3">
      <c r="A370" s="2" t="s">
        <v>37</v>
      </c>
      <c r="B370" s="2" t="s">
        <v>38</v>
      </c>
      <c r="C370" s="2" t="s">
        <v>41</v>
      </c>
      <c r="D370" s="2" t="s">
        <v>38</v>
      </c>
      <c r="E370" s="2" t="s">
        <v>43</v>
      </c>
      <c r="F370" s="2" t="s">
        <v>46</v>
      </c>
      <c r="G370" s="2" t="s">
        <v>42</v>
      </c>
      <c r="H370" s="2" t="s">
        <v>42</v>
      </c>
      <c r="I370" s="2" t="s">
        <v>47</v>
      </c>
      <c r="J370" s="2" t="s">
        <v>44</v>
      </c>
      <c r="K370" s="2" t="s">
        <v>1641</v>
      </c>
      <c r="L370" s="2" t="s">
        <v>1599</v>
      </c>
      <c r="M370" s="2" t="s">
        <v>1600</v>
      </c>
      <c r="N370" s="2" t="s">
        <v>1642</v>
      </c>
      <c r="O370" s="2" t="s">
        <v>1643</v>
      </c>
      <c r="P370" s="2" t="s">
        <v>1603</v>
      </c>
      <c r="Q370" s="2">
        <v>50</v>
      </c>
      <c r="R370" s="2" t="b">
        <v>1</v>
      </c>
      <c r="S370" s="2">
        <v>0.8424908424908425</v>
      </c>
      <c r="T370" s="2">
        <v>0.8098591549295775</v>
      </c>
      <c r="U370" s="2">
        <v>0.87786259541984735</v>
      </c>
      <c r="V370" s="2" t="s">
        <v>63</v>
      </c>
      <c r="W370" s="2" t="s">
        <v>1644</v>
      </c>
      <c r="X370" s="2" t="s">
        <v>1645</v>
      </c>
      <c r="Y370" s="2" t="b">
        <v>0</v>
      </c>
      <c r="Z370" s="2" t="s">
        <v>67</v>
      </c>
      <c r="AA370" s="2">
        <v>213.8</v>
      </c>
      <c r="AB370" s="2" t="s">
        <v>49</v>
      </c>
    </row>
    <row r="371" spans="1:28" ht="15.75" hidden="1" customHeight="1" x14ac:dyDescent="0.3">
      <c r="A371" s="2" t="s">
        <v>37</v>
      </c>
      <c r="B371" s="2" t="s">
        <v>38</v>
      </c>
      <c r="C371" s="2" t="s">
        <v>41</v>
      </c>
      <c r="D371" s="2" t="s">
        <v>38</v>
      </c>
      <c r="E371" s="2" t="s">
        <v>43</v>
      </c>
      <c r="F371" s="2" t="s">
        <v>46</v>
      </c>
      <c r="G371" s="2" t="s">
        <v>42</v>
      </c>
      <c r="H371" s="2" t="s">
        <v>42</v>
      </c>
      <c r="I371" s="2" t="s">
        <v>47</v>
      </c>
      <c r="J371" s="2" t="s">
        <v>44</v>
      </c>
      <c r="K371" s="2" t="s">
        <v>1646</v>
      </c>
      <c r="L371" s="2" t="s">
        <v>1599</v>
      </c>
      <c r="M371" s="2" t="s">
        <v>1600</v>
      </c>
      <c r="N371" s="2" t="s">
        <v>1647</v>
      </c>
      <c r="O371" s="2" t="s">
        <v>1648</v>
      </c>
      <c r="P371" s="2" t="s">
        <v>1603</v>
      </c>
      <c r="Q371" s="2">
        <v>51</v>
      </c>
      <c r="R371" s="2" t="b">
        <v>1</v>
      </c>
      <c r="S371" s="2">
        <v>0.77524429967426711</v>
      </c>
      <c r="T371" s="2">
        <v>0.73006134969325154</v>
      </c>
      <c r="U371" s="2">
        <v>0.82638888888888884</v>
      </c>
      <c r="V371" s="2" t="s">
        <v>63</v>
      </c>
      <c r="W371" s="2" t="s">
        <v>1649</v>
      </c>
      <c r="X371" s="2" t="s">
        <v>1650</v>
      </c>
      <c r="Y371" s="2" t="b">
        <v>0</v>
      </c>
      <c r="Z371" s="2" t="s">
        <v>67</v>
      </c>
      <c r="AA371" s="2">
        <v>210.5</v>
      </c>
      <c r="AB371" s="2" t="s">
        <v>49</v>
      </c>
    </row>
    <row r="372" spans="1:28" ht="15.75" hidden="1" customHeight="1" x14ac:dyDescent="0.3">
      <c r="A372" s="2" t="s">
        <v>37</v>
      </c>
      <c r="B372" s="2" t="s">
        <v>38</v>
      </c>
      <c r="C372" s="2" t="s">
        <v>41</v>
      </c>
      <c r="D372" s="2" t="s">
        <v>38</v>
      </c>
      <c r="E372" s="2" t="s">
        <v>43</v>
      </c>
      <c r="F372" s="2" t="s">
        <v>46</v>
      </c>
      <c r="G372" s="2" t="s">
        <v>42</v>
      </c>
      <c r="H372" s="2" t="s">
        <v>42</v>
      </c>
      <c r="I372" s="2" t="s">
        <v>47</v>
      </c>
      <c r="J372" s="2" t="s">
        <v>44</v>
      </c>
      <c r="K372" s="2" t="s">
        <v>1651</v>
      </c>
      <c r="L372" s="2" t="s">
        <v>1599</v>
      </c>
      <c r="M372" s="2" t="s">
        <v>1600</v>
      </c>
      <c r="N372" s="2" t="s">
        <v>1652</v>
      </c>
      <c r="O372" s="2" t="s">
        <v>1653</v>
      </c>
      <c r="P372" s="2" t="s">
        <v>1603</v>
      </c>
      <c r="Q372" s="2">
        <v>52</v>
      </c>
      <c r="R372" s="2" t="b">
        <v>1</v>
      </c>
      <c r="S372" s="2">
        <v>0.8421052631578948</v>
      </c>
      <c r="T372" s="2">
        <v>0.82285714285714284</v>
      </c>
      <c r="U372" s="2">
        <v>0.86227544910179643</v>
      </c>
      <c r="V372" s="2" t="s">
        <v>63</v>
      </c>
      <c r="W372" s="2" t="s">
        <v>1654</v>
      </c>
      <c r="X372" s="2" t="s">
        <v>1655</v>
      </c>
      <c r="Y372" s="2" t="b">
        <v>0</v>
      </c>
      <c r="Z372" s="2" t="s">
        <v>67</v>
      </c>
      <c r="AA372" s="2">
        <v>171.2</v>
      </c>
      <c r="AB372" s="2" t="s">
        <v>49</v>
      </c>
    </row>
    <row r="373" spans="1:28" ht="15.75" hidden="1" customHeight="1" x14ac:dyDescent="0.3">
      <c r="A373" s="2" t="s">
        <v>37</v>
      </c>
      <c r="B373" s="2" t="s">
        <v>38</v>
      </c>
      <c r="C373" s="2" t="s">
        <v>41</v>
      </c>
      <c r="D373" s="2" t="s">
        <v>38</v>
      </c>
      <c r="E373" s="2" t="s">
        <v>43</v>
      </c>
      <c r="F373" s="2" t="s">
        <v>46</v>
      </c>
      <c r="G373" s="2" t="s">
        <v>42</v>
      </c>
      <c r="H373" s="2" t="s">
        <v>42</v>
      </c>
      <c r="I373" s="2" t="s">
        <v>47</v>
      </c>
      <c r="J373" s="2" t="s">
        <v>44</v>
      </c>
      <c r="K373" s="2" t="s">
        <v>1656</v>
      </c>
      <c r="L373" s="2" t="s">
        <v>1599</v>
      </c>
      <c r="M373" s="2" t="s">
        <v>1600</v>
      </c>
      <c r="N373" s="2" t="s">
        <v>1657</v>
      </c>
      <c r="O373" s="2" t="s">
        <v>1658</v>
      </c>
      <c r="P373" s="2" t="s">
        <v>1603</v>
      </c>
      <c r="Q373" s="2">
        <v>53</v>
      </c>
      <c r="R373" s="2" t="b">
        <v>1</v>
      </c>
      <c r="S373" s="2">
        <v>0.72666666666666668</v>
      </c>
      <c r="T373" s="2">
        <v>0.689873417721519</v>
      </c>
      <c r="U373" s="2">
        <v>0.76760563380281688</v>
      </c>
      <c r="V373" s="2" t="s">
        <v>63</v>
      </c>
      <c r="W373" s="2" t="s">
        <v>1659</v>
      </c>
      <c r="X373" s="2" t="s">
        <v>1660</v>
      </c>
      <c r="Y373" s="2" t="b">
        <v>0</v>
      </c>
      <c r="Z373" s="2" t="s">
        <v>67</v>
      </c>
      <c r="AA373" s="2">
        <v>194.4</v>
      </c>
      <c r="AB373" s="2" t="s">
        <v>49</v>
      </c>
    </row>
    <row r="374" spans="1:28" ht="15.75" hidden="1" customHeight="1" x14ac:dyDescent="0.3">
      <c r="A374" s="2" t="s">
        <v>37</v>
      </c>
      <c r="B374" s="2" t="s">
        <v>38</v>
      </c>
      <c r="C374" s="2" t="s">
        <v>41</v>
      </c>
      <c r="D374" s="2" t="s">
        <v>38</v>
      </c>
      <c r="E374" s="2" t="s">
        <v>43</v>
      </c>
      <c r="F374" s="2" t="s">
        <v>46</v>
      </c>
      <c r="G374" s="2" t="s">
        <v>42</v>
      </c>
      <c r="H374" s="2" t="s">
        <v>42</v>
      </c>
      <c r="I374" s="2" t="s">
        <v>47</v>
      </c>
      <c r="J374" s="2" t="s">
        <v>44</v>
      </c>
      <c r="K374" s="2" t="s">
        <v>1661</v>
      </c>
      <c r="L374" s="2" t="s">
        <v>1599</v>
      </c>
      <c r="M374" s="2" t="s">
        <v>1600</v>
      </c>
      <c r="N374" s="2" t="s">
        <v>1662</v>
      </c>
      <c r="O374" s="2" t="s">
        <v>1663</v>
      </c>
      <c r="P374" s="2" t="s">
        <v>1603</v>
      </c>
      <c r="Q374" s="2">
        <v>54</v>
      </c>
      <c r="R374" s="2" t="b">
        <v>1</v>
      </c>
      <c r="S374" s="2">
        <v>0.84142394822006472</v>
      </c>
      <c r="T374" s="2">
        <v>0.82802547770700641</v>
      </c>
      <c r="U374" s="2">
        <v>0.85526315789473684</v>
      </c>
      <c r="V374" s="2" t="s">
        <v>63</v>
      </c>
      <c r="W374" s="2" t="s">
        <v>1664</v>
      </c>
      <c r="X374" s="2" t="s">
        <v>1665</v>
      </c>
      <c r="Y374" s="2" t="b">
        <v>0</v>
      </c>
      <c r="Z374" s="2" t="s">
        <v>67</v>
      </c>
      <c r="AA374" s="2">
        <v>209.3</v>
      </c>
      <c r="AB374" s="2" t="s">
        <v>49</v>
      </c>
    </row>
    <row r="375" spans="1:28" ht="15.75" hidden="1" customHeight="1" x14ac:dyDescent="0.3">
      <c r="A375" s="2" t="s">
        <v>37</v>
      </c>
      <c r="B375" s="2" t="s">
        <v>38</v>
      </c>
      <c r="C375" s="2" t="s">
        <v>41</v>
      </c>
      <c r="D375" s="2" t="s">
        <v>38</v>
      </c>
      <c r="E375" s="2" t="s">
        <v>43</v>
      </c>
      <c r="F375" s="2" t="s">
        <v>46</v>
      </c>
      <c r="G375" s="2" t="s">
        <v>42</v>
      </c>
      <c r="H375" s="2" t="s">
        <v>42</v>
      </c>
      <c r="I375" s="2" t="s">
        <v>47</v>
      </c>
      <c r="J375" s="2" t="s">
        <v>44</v>
      </c>
      <c r="K375" s="2" t="s">
        <v>1666</v>
      </c>
      <c r="L375" s="2" t="s">
        <v>1599</v>
      </c>
      <c r="M375" s="2" t="s">
        <v>1600</v>
      </c>
      <c r="N375" s="2" t="s">
        <v>1667</v>
      </c>
      <c r="O375" s="2" t="s">
        <v>1668</v>
      </c>
      <c r="P375" s="2" t="s">
        <v>1603</v>
      </c>
      <c r="Q375" s="2">
        <v>55</v>
      </c>
      <c r="R375" s="2" t="b">
        <v>1</v>
      </c>
      <c r="S375" s="2">
        <v>0.85625000000000007</v>
      </c>
      <c r="T375" s="2">
        <v>0.8404907975460123</v>
      </c>
      <c r="U375" s="2">
        <v>0.87261146496815289</v>
      </c>
      <c r="V375" s="2" t="s">
        <v>63</v>
      </c>
      <c r="W375" s="2" t="s">
        <v>1669</v>
      </c>
      <c r="X375" s="2" t="s">
        <v>1670</v>
      </c>
      <c r="Y375" s="2" t="b">
        <v>0</v>
      </c>
      <c r="Z375" s="2" t="s">
        <v>67</v>
      </c>
      <c r="AA375" s="2">
        <v>196.9</v>
      </c>
      <c r="AB375" s="2" t="s">
        <v>49</v>
      </c>
    </row>
    <row r="376" spans="1:28" ht="15.75" hidden="1" customHeight="1" x14ac:dyDescent="0.3">
      <c r="A376" s="2" t="s">
        <v>37</v>
      </c>
      <c r="B376" s="2" t="s">
        <v>38</v>
      </c>
      <c r="C376" s="2" t="s">
        <v>41</v>
      </c>
      <c r="D376" s="2" t="s">
        <v>38</v>
      </c>
      <c r="E376" s="2" t="s">
        <v>43</v>
      </c>
      <c r="F376" s="2" t="s">
        <v>46</v>
      </c>
      <c r="G376" s="2" t="s">
        <v>42</v>
      </c>
      <c r="H376" s="2" t="s">
        <v>42</v>
      </c>
      <c r="I376" s="2" t="s">
        <v>47</v>
      </c>
      <c r="J376" s="2" t="s">
        <v>44</v>
      </c>
      <c r="K376" s="2" t="s">
        <v>1671</v>
      </c>
      <c r="L376" s="2" t="s">
        <v>1599</v>
      </c>
      <c r="M376" s="2" t="s">
        <v>1600</v>
      </c>
      <c r="N376" s="2" t="s">
        <v>1672</v>
      </c>
      <c r="O376" s="2" t="s">
        <v>1673</v>
      </c>
      <c r="P376" s="2" t="s">
        <v>1603</v>
      </c>
      <c r="Q376" s="2">
        <v>56</v>
      </c>
      <c r="R376" s="2" t="b">
        <v>1</v>
      </c>
      <c r="S376" s="2">
        <v>0.80267558528428085</v>
      </c>
      <c r="T376" s="2">
        <v>0.78431372549019607</v>
      </c>
      <c r="U376" s="2">
        <v>0.82191780821917804</v>
      </c>
      <c r="V376" s="2" t="s">
        <v>63</v>
      </c>
      <c r="W376" s="2" t="s">
        <v>1674</v>
      </c>
      <c r="X376" s="2" t="s">
        <v>1675</v>
      </c>
      <c r="Y376" s="2" t="b">
        <v>0</v>
      </c>
      <c r="Z376" s="2" t="s">
        <v>67</v>
      </c>
      <c r="AA376" s="2">
        <v>205.9</v>
      </c>
      <c r="AB376" s="2" t="s">
        <v>49</v>
      </c>
    </row>
    <row r="377" spans="1:28" ht="15.75" hidden="1" customHeight="1" x14ac:dyDescent="0.3">
      <c r="A377" s="2" t="s">
        <v>37</v>
      </c>
      <c r="B377" s="2" t="s">
        <v>38</v>
      </c>
      <c r="C377" s="2" t="s">
        <v>41</v>
      </c>
      <c r="D377" s="2" t="s">
        <v>38</v>
      </c>
      <c r="E377" s="2" t="s">
        <v>43</v>
      </c>
      <c r="F377" s="2" t="s">
        <v>46</v>
      </c>
      <c r="G377" s="2" t="s">
        <v>42</v>
      </c>
      <c r="H377" s="2" t="s">
        <v>42</v>
      </c>
      <c r="I377" s="2" t="s">
        <v>47</v>
      </c>
      <c r="J377" s="2" t="s">
        <v>44</v>
      </c>
      <c r="K377" s="2" t="s">
        <v>1676</v>
      </c>
      <c r="L377" s="2" t="s">
        <v>1599</v>
      </c>
      <c r="M377" s="2" t="s">
        <v>1600</v>
      </c>
      <c r="N377" s="2" t="s">
        <v>1677</v>
      </c>
      <c r="O377" s="2" t="s">
        <v>1678</v>
      </c>
      <c r="P377" s="2" t="s">
        <v>1603</v>
      </c>
      <c r="Q377" s="2">
        <v>57</v>
      </c>
      <c r="R377" s="2" t="b">
        <v>1</v>
      </c>
      <c r="S377" s="2">
        <v>0.81707317073170738</v>
      </c>
      <c r="T377" s="2">
        <v>0.79289940828402372</v>
      </c>
      <c r="U377" s="2">
        <v>0.84276729559748431</v>
      </c>
      <c r="V377" s="2" t="s">
        <v>63</v>
      </c>
      <c r="W377" s="2" t="s">
        <v>1679</v>
      </c>
      <c r="X377" s="2" t="s">
        <v>1680</v>
      </c>
      <c r="Y377" s="2" t="b">
        <v>0</v>
      </c>
      <c r="Z377" s="2" t="s">
        <v>67</v>
      </c>
      <c r="AA377" s="2">
        <v>207.9</v>
      </c>
      <c r="AB377" s="2" t="s">
        <v>49</v>
      </c>
    </row>
    <row r="378" spans="1:28" ht="15.75" hidden="1" customHeight="1" x14ac:dyDescent="0.3">
      <c r="A378" s="2" t="s">
        <v>37</v>
      </c>
      <c r="B378" s="2" t="s">
        <v>38</v>
      </c>
      <c r="C378" s="2" t="s">
        <v>41</v>
      </c>
      <c r="D378" s="2" t="s">
        <v>38</v>
      </c>
      <c r="E378" s="2" t="s">
        <v>43</v>
      </c>
      <c r="F378" s="2" t="s">
        <v>46</v>
      </c>
      <c r="G378" s="2" t="s">
        <v>42</v>
      </c>
      <c r="H378" s="2" t="s">
        <v>42</v>
      </c>
      <c r="I378" s="2" t="s">
        <v>47</v>
      </c>
      <c r="J378" s="2" t="s">
        <v>44</v>
      </c>
      <c r="K378" s="2" t="s">
        <v>1681</v>
      </c>
      <c r="L378" s="2" t="s">
        <v>1599</v>
      </c>
      <c r="M378" s="2" t="s">
        <v>1600</v>
      </c>
      <c r="N378" s="2" t="s">
        <v>1682</v>
      </c>
      <c r="O378" s="2" t="s">
        <v>1683</v>
      </c>
      <c r="P378" s="2" t="s">
        <v>1603</v>
      </c>
      <c r="Q378" s="2">
        <v>58</v>
      </c>
      <c r="R378" s="2" t="b">
        <v>1</v>
      </c>
      <c r="S378" s="2">
        <v>0.76160990712074306</v>
      </c>
      <c r="T378" s="2">
        <v>0.73652694610778446</v>
      </c>
      <c r="U378" s="2">
        <v>0.78846153846153844</v>
      </c>
      <c r="V378" s="2" t="s">
        <v>63</v>
      </c>
      <c r="W378" s="2" t="s">
        <v>1684</v>
      </c>
      <c r="X378" s="2" t="s">
        <v>1685</v>
      </c>
      <c r="Y378" s="2" t="b">
        <v>0</v>
      </c>
      <c r="Z378" s="2" t="s">
        <v>67</v>
      </c>
      <c r="AA378" s="2">
        <v>190.8</v>
      </c>
      <c r="AB378" s="2" t="s">
        <v>49</v>
      </c>
    </row>
    <row r="379" spans="1:28" ht="15.75" hidden="1" customHeight="1" x14ac:dyDescent="0.3">
      <c r="A379" s="2" t="s">
        <v>37</v>
      </c>
      <c r="B379" s="2" t="s">
        <v>38</v>
      </c>
      <c r="C379" s="2" t="s">
        <v>41</v>
      </c>
      <c r="D379" s="2" t="s">
        <v>38</v>
      </c>
      <c r="E379" s="2" t="s">
        <v>43</v>
      </c>
      <c r="F379" s="2" t="s">
        <v>46</v>
      </c>
      <c r="G379" s="2" t="s">
        <v>42</v>
      </c>
      <c r="H379" s="2" t="s">
        <v>42</v>
      </c>
      <c r="I379" s="2" t="s">
        <v>47</v>
      </c>
      <c r="J379" s="2" t="s">
        <v>44</v>
      </c>
      <c r="K379" s="2" t="s">
        <v>1686</v>
      </c>
      <c r="L379" s="2" t="s">
        <v>1599</v>
      </c>
      <c r="M379" s="2" t="s">
        <v>1600</v>
      </c>
      <c r="N379" s="2" t="s">
        <v>1687</v>
      </c>
      <c r="O379" s="2" t="s">
        <v>1688</v>
      </c>
      <c r="P379" s="2" t="s">
        <v>1603</v>
      </c>
      <c r="Q379" s="2">
        <v>59</v>
      </c>
      <c r="R379" s="2" t="b">
        <v>1</v>
      </c>
      <c r="S379" s="2">
        <v>0.78888888888888886</v>
      </c>
      <c r="T379" s="2">
        <v>0.74736842105263157</v>
      </c>
      <c r="U379" s="2">
        <v>0.83529411764705885</v>
      </c>
      <c r="V379" s="2" t="s">
        <v>63</v>
      </c>
      <c r="W379" s="2" t="s">
        <v>1689</v>
      </c>
      <c r="X379" s="2" t="s">
        <v>1690</v>
      </c>
      <c r="Y379" s="2" t="b">
        <v>0</v>
      </c>
      <c r="Z379" s="2" t="s">
        <v>67</v>
      </c>
      <c r="AA379" s="2">
        <v>200</v>
      </c>
      <c r="AB379" s="2" t="s">
        <v>49</v>
      </c>
    </row>
    <row r="380" spans="1:28" ht="15.75" hidden="1" customHeight="1" x14ac:dyDescent="0.3">
      <c r="A380" s="2" t="s">
        <v>37</v>
      </c>
      <c r="B380" s="2" t="s">
        <v>38</v>
      </c>
      <c r="C380" s="2" t="s">
        <v>41</v>
      </c>
      <c r="D380" s="2" t="s">
        <v>38</v>
      </c>
      <c r="E380" s="2" t="s">
        <v>43</v>
      </c>
      <c r="F380" s="2" t="s">
        <v>46</v>
      </c>
      <c r="G380" s="2" t="s">
        <v>42</v>
      </c>
      <c r="H380" s="2" t="s">
        <v>42</v>
      </c>
      <c r="I380" s="2" t="s">
        <v>47</v>
      </c>
      <c r="J380" s="2" t="s">
        <v>44</v>
      </c>
      <c r="K380" s="2" t="s">
        <v>1691</v>
      </c>
      <c r="L380" s="2" t="s">
        <v>1599</v>
      </c>
      <c r="M380" s="2" t="s">
        <v>1600</v>
      </c>
      <c r="N380" s="2" t="s">
        <v>1692</v>
      </c>
      <c r="O380" s="2" t="s">
        <v>1693</v>
      </c>
      <c r="P380" s="2" t="s">
        <v>1603</v>
      </c>
      <c r="Q380" s="2">
        <v>60</v>
      </c>
      <c r="R380" s="2" t="b">
        <v>1</v>
      </c>
      <c r="S380" s="2">
        <v>0.78181818181818175</v>
      </c>
      <c r="T380" s="2">
        <v>0.74137931034482762</v>
      </c>
      <c r="U380" s="2">
        <v>0.82692307692307687</v>
      </c>
      <c r="V380" s="2" t="s">
        <v>63</v>
      </c>
      <c r="W380" s="2" t="s">
        <v>1694</v>
      </c>
      <c r="X380" s="2" t="s">
        <v>1695</v>
      </c>
      <c r="Y380" s="2" t="b">
        <v>0</v>
      </c>
      <c r="Z380" s="2" t="s">
        <v>67</v>
      </c>
      <c r="AA380" s="2">
        <v>209.1</v>
      </c>
      <c r="AB380" s="2" t="s">
        <v>49</v>
      </c>
    </row>
    <row r="381" spans="1:28" ht="15.75" hidden="1" customHeight="1" x14ac:dyDescent="0.3">
      <c r="A381" s="2" t="s">
        <v>37</v>
      </c>
      <c r="B381" s="2" t="s">
        <v>38</v>
      </c>
      <c r="C381" s="2" t="s">
        <v>41</v>
      </c>
      <c r="D381" s="2" t="s">
        <v>38</v>
      </c>
      <c r="E381" s="2" t="s">
        <v>43</v>
      </c>
      <c r="F381" s="2" t="s">
        <v>46</v>
      </c>
      <c r="G381" s="2" t="s">
        <v>42</v>
      </c>
      <c r="H381" s="2" t="s">
        <v>42</v>
      </c>
      <c r="I381" s="2" t="s">
        <v>47</v>
      </c>
      <c r="J381" s="2" t="s">
        <v>44</v>
      </c>
      <c r="K381" s="2" t="s">
        <v>1696</v>
      </c>
      <c r="L381" s="2" t="s">
        <v>1599</v>
      </c>
      <c r="M381" s="2" t="s">
        <v>1600</v>
      </c>
      <c r="N381" s="2" t="s">
        <v>1697</v>
      </c>
      <c r="O381" s="2" t="s">
        <v>1698</v>
      </c>
      <c r="P381" s="2" t="s">
        <v>1603</v>
      </c>
      <c r="Q381" s="2">
        <v>61</v>
      </c>
      <c r="R381" s="2" t="b">
        <v>1</v>
      </c>
      <c r="S381" s="2">
        <v>0.78594249201277955</v>
      </c>
      <c r="T381" s="2">
        <v>0.73652694610778446</v>
      </c>
      <c r="U381" s="2">
        <v>0.84246575342465757</v>
      </c>
      <c r="V381" s="2" t="s">
        <v>63</v>
      </c>
      <c r="W381" s="2" t="s">
        <v>1699</v>
      </c>
      <c r="X381" s="2" t="s">
        <v>1700</v>
      </c>
      <c r="Y381" s="2" t="b">
        <v>0</v>
      </c>
      <c r="Z381" s="2" t="s">
        <v>67</v>
      </c>
      <c r="AA381" s="2">
        <v>169.5</v>
      </c>
      <c r="AB381" s="2" t="s">
        <v>49</v>
      </c>
    </row>
    <row r="382" spans="1:28" ht="15.75" hidden="1" customHeight="1" x14ac:dyDescent="0.3">
      <c r="A382" s="2" t="s">
        <v>37</v>
      </c>
      <c r="B382" s="2" t="s">
        <v>38</v>
      </c>
      <c r="C382" s="2" t="s">
        <v>41</v>
      </c>
      <c r="D382" s="2" t="s">
        <v>38</v>
      </c>
      <c r="E382" s="2" t="s">
        <v>43</v>
      </c>
      <c r="F382" s="2" t="s">
        <v>46</v>
      </c>
      <c r="G382" s="2" t="s">
        <v>42</v>
      </c>
      <c r="H382" s="2" t="s">
        <v>42</v>
      </c>
      <c r="I382" s="2" t="s">
        <v>239</v>
      </c>
      <c r="J382" s="2" t="s">
        <v>71</v>
      </c>
      <c r="K382" s="2" t="s">
        <v>1701</v>
      </c>
      <c r="L382" s="2" t="s">
        <v>1702</v>
      </c>
      <c r="M382" s="2" t="s">
        <v>1703</v>
      </c>
      <c r="N382" s="2" t="s">
        <v>1704</v>
      </c>
      <c r="O382" s="2" t="s">
        <v>1705</v>
      </c>
      <c r="P382" s="2" t="s">
        <v>1706</v>
      </c>
      <c r="Q382" s="2">
        <v>42</v>
      </c>
      <c r="R382" s="2" t="b">
        <v>0</v>
      </c>
      <c r="S382" s="2">
        <v>0.78287461773700318</v>
      </c>
      <c r="T382" s="2">
        <v>0.7441860465116279</v>
      </c>
      <c r="U382" s="2">
        <v>0.82580645161290323</v>
      </c>
      <c r="V382" s="2" t="s">
        <v>63</v>
      </c>
      <c r="W382" s="2" t="s">
        <v>1707</v>
      </c>
      <c r="X382" s="2" t="s">
        <v>1708</v>
      </c>
      <c r="Y382" s="2" t="b">
        <v>0</v>
      </c>
      <c r="Z382" s="2" t="s">
        <v>67</v>
      </c>
      <c r="AA382" s="2">
        <v>204.2</v>
      </c>
      <c r="AB382" s="2" t="s">
        <v>49</v>
      </c>
    </row>
    <row r="383" spans="1:28" ht="15.75" hidden="1" customHeight="1" x14ac:dyDescent="0.3">
      <c r="A383" s="2" t="s">
        <v>37</v>
      </c>
      <c r="B383" s="2" t="s">
        <v>38</v>
      </c>
      <c r="C383" s="2" t="s">
        <v>41</v>
      </c>
      <c r="D383" s="2" t="s">
        <v>38</v>
      </c>
      <c r="E383" s="2" t="s">
        <v>43</v>
      </c>
      <c r="F383" s="2" t="s">
        <v>46</v>
      </c>
      <c r="G383" s="2" t="s">
        <v>42</v>
      </c>
      <c r="H383" s="2" t="s">
        <v>42</v>
      </c>
      <c r="I383" s="2" t="s">
        <v>239</v>
      </c>
      <c r="J383" s="2" t="s">
        <v>71</v>
      </c>
      <c r="K383" s="2" t="s">
        <v>1709</v>
      </c>
      <c r="L383" s="2" t="s">
        <v>1702</v>
      </c>
      <c r="M383" s="2" t="s">
        <v>1703</v>
      </c>
      <c r="N383" s="2" t="s">
        <v>1710</v>
      </c>
      <c r="O383" s="2" t="s">
        <v>1711</v>
      </c>
      <c r="P383" s="2" t="s">
        <v>1706</v>
      </c>
      <c r="Q383" s="2">
        <v>43</v>
      </c>
      <c r="R383" s="2" t="b">
        <v>0</v>
      </c>
      <c r="S383" s="2">
        <v>0.72297297297297303</v>
      </c>
      <c r="T383" s="2">
        <v>0.6858974358974359</v>
      </c>
      <c r="U383" s="2">
        <v>0.76428571428571423</v>
      </c>
      <c r="V383" s="2" t="s">
        <v>63</v>
      </c>
      <c r="W383" s="2" t="s">
        <v>1712</v>
      </c>
      <c r="X383" s="2" t="s">
        <v>1713</v>
      </c>
      <c r="Y383" s="2" t="b">
        <v>0</v>
      </c>
      <c r="Z383" s="2" t="s">
        <v>67</v>
      </c>
      <c r="AA383" s="2">
        <v>197</v>
      </c>
      <c r="AB383" s="2" t="s">
        <v>49</v>
      </c>
    </row>
    <row r="384" spans="1:28" ht="15.75" hidden="1" customHeight="1" x14ac:dyDescent="0.3">
      <c r="A384" s="2" t="s">
        <v>37</v>
      </c>
      <c r="B384" s="2" t="s">
        <v>38</v>
      </c>
      <c r="C384" s="2" t="s">
        <v>41</v>
      </c>
      <c r="D384" s="2" t="s">
        <v>38</v>
      </c>
      <c r="E384" s="2" t="s">
        <v>43</v>
      </c>
      <c r="F384" s="2" t="s">
        <v>46</v>
      </c>
      <c r="G384" s="2" t="s">
        <v>42</v>
      </c>
      <c r="H384" s="2" t="s">
        <v>42</v>
      </c>
      <c r="I384" s="2" t="s">
        <v>239</v>
      </c>
      <c r="J384" s="2" t="s">
        <v>71</v>
      </c>
      <c r="K384" s="2" t="s">
        <v>1714</v>
      </c>
      <c r="L384" s="2" t="s">
        <v>1702</v>
      </c>
      <c r="M384" s="2" t="s">
        <v>1703</v>
      </c>
      <c r="N384" s="2" t="s">
        <v>1715</v>
      </c>
      <c r="O384" s="2" t="s">
        <v>1716</v>
      </c>
      <c r="P384" s="2" t="s">
        <v>1706</v>
      </c>
      <c r="Q384" s="2">
        <v>44</v>
      </c>
      <c r="R384" s="2" t="b">
        <v>0</v>
      </c>
      <c r="S384" s="2">
        <v>0.81388012618296524</v>
      </c>
      <c r="T384" s="2">
        <v>0.78658536585365857</v>
      </c>
      <c r="U384" s="2">
        <v>0.84313725490196079</v>
      </c>
      <c r="V384" s="2" t="s">
        <v>63</v>
      </c>
      <c r="W384" s="2" t="s">
        <v>1717</v>
      </c>
      <c r="X384" s="2" t="s">
        <v>1718</v>
      </c>
      <c r="Y384" s="2" t="b">
        <v>0</v>
      </c>
      <c r="Z384" s="2" t="s">
        <v>67</v>
      </c>
      <c r="AA384" s="2">
        <v>206</v>
      </c>
      <c r="AB384" s="2" t="s">
        <v>49</v>
      </c>
    </row>
    <row r="385" spans="1:28" ht="15.75" hidden="1" customHeight="1" x14ac:dyDescent="0.3">
      <c r="A385" s="2" t="s">
        <v>37</v>
      </c>
      <c r="B385" s="2" t="s">
        <v>38</v>
      </c>
      <c r="C385" s="2" t="s">
        <v>41</v>
      </c>
      <c r="D385" s="2" t="s">
        <v>38</v>
      </c>
      <c r="E385" s="2" t="s">
        <v>43</v>
      </c>
      <c r="F385" s="2" t="s">
        <v>46</v>
      </c>
      <c r="G385" s="2" t="s">
        <v>42</v>
      </c>
      <c r="H385" s="2" t="s">
        <v>42</v>
      </c>
      <c r="I385" s="2" t="s">
        <v>239</v>
      </c>
      <c r="J385" s="2" t="s">
        <v>71</v>
      </c>
      <c r="K385" s="2" t="s">
        <v>1719</v>
      </c>
      <c r="L385" s="2" t="s">
        <v>1702</v>
      </c>
      <c r="M385" s="2" t="s">
        <v>1703</v>
      </c>
      <c r="N385" s="2" t="s">
        <v>1720</v>
      </c>
      <c r="O385" s="2" t="s">
        <v>1721</v>
      </c>
      <c r="P385" s="2" t="s">
        <v>1706</v>
      </c>
      <c r="Q385" s="2">
        <v>45</v>
      </c>
      <c r="R385" s="2" t="b">
        <v>0</v>
      </c>
      <c r="S385" s="2">
        <v>0.81846153846153846</v>
      </c>
      <c r="T385" s="2">
        <v>0.79166666666666663</v>
      </c>
      <c r="U385" s="2">
        <v>0.84713375796178347</v>
      </c>
      <c r="V385" s="2" t="s">
        <v>63</v>
      </c>
      <c r="W385" s="2" t="s">
        <v>1722</v>
      </c>
      <c r="X385" s="2" t="s">
        <v>1723</v>
      </c>
      <c r="Y385" s="2" t="b">
        <v>0</v>
      </c>
      <c r="Z385" s="2" t="s">
        <v>67</v>
      </c>
      <c r="AA385" s="2">
        <v>210.1</v>
      </c>
      <c r="AB385" s="2" t="s">
        <v>49</v>
      </c>
    </row>
    <row r="386" spans="1:28" ht="15.75" hidden="1" customHeight="1" x14ac:dyDescent="0.3">
      <c r="A386" s="2" t="s">
        <v>37</v>
      </c>
      <c r="B386" s="2" t="s">
        <v>38</v>
      </c>
      <c r="C386" s="2" t="s">
        <v>41</v>
      </c>
      <c r="D386" s="2" t="s">
        <v>38</v>
      </c>
      <c r="E386" s="2" t="s">
        <v>43</v>
      </c>
      <c r="F386" s="2" t="s">
        <v>46</v>
      </c>
      <c r="G386" s="2" t="s">
        <v>42</v>
      </c>
      <c r="H386" s="2" t="s">
        <v>42</v>
      </c>
      <c r="I386" s="2" t="s">
        <v>239</v>
      </c>
      <c r="J386" s="2" t="s">
        <v>71</v>
      </c>
      <c r="K386" s="2" t="s">
        <v>1724</v>
      </c>
      <c r="L386" s="2" t="s">
        <v>1702</v>
      </c>
      <c r="M386" s="2" t="s">
        <v>1703</v>
      </c>
      <c r="N386" s="2" t="s">
        <v>1725</v>
      </c>
      <c r="O386" s="2" t="s">
        <v>1726</v>
      </c>
      <c r="P386" s="2" t="s">
        <v>1706</v>
      </c>
      <c r="Q386" s="2">
        <v>46</v>
      </c>
      <c r="R386" s="2" t="b">
        <v>0</v>
      </c>
      <c r="S386" s="2">
        <v>0.79605263157894735</v>
      </c>
      <c r="T386" s="2">
        <v>0.75624999999999998</v>
      </c>
      <c r="U386" s="2">
        <v>0.84027777777777779</v>
      </c>
      <c r="V386" s="2" t="s">
        <v>63</v>
      </c>
      <c r="W386" s="2" t="s">
        <v>1727</v>
      </c>
      <c r="X386" s="2" t="s">
        <v>1728</v>
      </c>
      <c r="Y386" s="2" t="b">
        <v>0</v>
      </c>
      <c r="Z386" s="2" t="s">
        <v>67</v>
      </c>
      <c r="AA386" s="2">
        <v>214</v>
      </c>
      <c r="AB386" s="2" t="s">
        <v>49</v>
      </c>
    </row>
    <row r="387" spans="1:28" ht="15.75" hidden="1" customHeight="1" x14ac:dyDescent="0.3">
      <c r="A387" s="2" t="s">
        <v>37</v>
      </c>
      <c r="B387" s="2" t="s">
        <v>38</v>
      </c>
      <c r="C387" s="2" t="s">
        <v>41</v>
      </c>
      <c r="D387" s="2" t="s">
        <v>38</v>
      </c>
      <c r="E387" s="2" t="s">
        <v>43</v>
      </c>
      <c r="F387" s="2" t="s">
        <v>46</v>
      </c>
      <c r="G387" s="2" t="s">
        <v>42</v>
      </c>
      <c r="H387" s="2" t="s">
        <v>42</v>
      </c>
      <c r="I387" s="2" t="s">
        <v>239</v>
      </c>
      <c r="J387" s="2" t="s">
        <v>71</v>
      </c>
      <c r="K387" s="2" t="s">
        <v>1729</v>
      </c>
      <c r="L387" s="2" t="s">
        <v>1702</v>
      </c>
      <c r="M387" s="2" t="s">
        <v>1703</v>
      </c>
      <c r="N387" s="2" t="s">
        <v>1730</v>
      </c>
      <c r="O387" s="2" t="s">
        <v>1731</v>
      </c>
      <c r="P387" s="2" t="s">
        <v>1706</v>
      </c>
      <c r="Q387" s="2">
        <v>47</v>
      </c>
      <c r="R387" s="2" t="b">
        <v>0</v>
      </c>
      <c r="S387" s="2">
        <v>0.80243161094224924</v>
      </c>
      <c r="T387" s="2">
        <v>0.77192982456140347</v>
      </c>
      <c r="U387" s="2">
        <v>0.83544303797468356</v>
      </c>
      <c r="V387" s="2" t="s">
        <v>63</v>
      </c>
      <c r="W387" s="2" t="s">
        <v>1732</v>
      </c>
      <c r="X387" s="2" t="s">
        <v>1733</v>
      </c>
      <c r="Y387" s="2" t="b">
        <v>0</v>
      </c>
      <c r="Z387" s="2" t="s">
        <v>67</v>
      </c>
      <c r="AA387" s="2">
        <v>200.6</v>
      </c>
      <c r="AB387" s="2" t="s">
        <v>49</v>
      </c>
    </row>
    <row r="388" spans="1:28" ht="15.75" hidden="1" customHeight="1" x14ac:dyDescent="0.3">
      <c r="A388" s="2" t="s">
        <v>37</v>
      </c>
      <c r="B388" s="2" t="s">
        <v>38</v>
      </c>
      <c r="C388" s="2" t="s">
        <v>41</v>
      </c>
      <c r="D388" s="2" t="s">
        <v>38</v>
      </c>
      <c r="E388" s="2" t="s">
        <v>43</v>
      </c>
      <c r="F388" s="2" t="s">
        <v>46</v>
      </c>
      <c r="G388" s="2" t="s">
        <v>42</v>
      </c>
      <c r="H388" s="2" t="s">
        <v>42</v>
      </c>
      <c r="I388" s="2" t="s">
        <v>239</v>
      </c>
      <c r="J388" s="2" t="s">
        <v>71</v>
      </c>
      <c r="K388" s="2" t="s">
        <v>1734</v>
      </c>
      <c r="L388" s="2" t="s">
        <v>1702</v>
      </c>
      <c r="M388" s="2" t="s">
        <v>1703</v>
      </c>
      <c r="N388" s="2" t="s">
        <v>1735</v>
      </c>
      <c r="O388" s="2" t="s">
        <v>1736</v>
      </c>
      <c r="P388" s="2" t="s">
        <v>1706</v>
      </c>
      <c r="Q388" s="2">
        <v>48</v>
      </c>
      <c r="R388" s="2" t="b">
        <v>0</v>
      </c>
      <c r="S388" s="2">
        <v>0.78637770897832815</v>
      </c>
      <c r="T388" s="2">
        <v>0.76047904191616766</v>
      </c>
      <c r="U388" s="2">
        <v>0.8141025641025641</v>
      </c>
      <c r="V388" s="2" t="s">
        <v>63</v>
      </c>
      <c r="W388" s="2" t="s">
        <v>1737</v>
      </c>
      <c r="X388" s="2" t="s">
        <v>1738</v>
      </c>
      <c r="Y388" s="2" t="b">
        <v>0</v>
      </c>
      <c r="Z388" s="2" t="s">
        <v>67</v>
      </c>
      <c r="AA388" s="2">
        <v>194</v>
      </c>
      <c r="AB388" s="2" t="s">
        <v>49</v>
      </c>
    </row>
    <row r="389" spans="1:28" ht="15.75" hidden="1" customHeight="1" x14ac:dyDescent="0.3">
      <c r="A389" s="2" t="s">
        <v>37</v>
      </c>
      <c r="B389" s="2" t="s">
        <v>38</v>
      </c>
      <c r="C389" s="2" t="s">
        <v>41</v>
      </c>
      <c r="D389" s="2" t="s">
        <v>38</v>
      </c>
      <c r="E389" s="2" t="s">
        <v>43</v>
      </c>
      <c r="F389" s="2" t="s">
        <v>46</v>
      </c>
      <c r="G389" s="2" t="s">
        <v>42</v>
      </c>
      <c r="H389" s="2" t="s">
        <v>42</v>
      </c>
      <c r="I389" s="2" t="s">
        <v>239</v>
      </c>
      <c r="J389" s="2" t="s">
        <v>71</v>
      </c>
      <c r="K389" s="2" t="s">
        <v>1739</v>
      </c>
      <c r="L389" s="2" t="s">
        <v>1702</v>
      </c>
      <c r="M389" s="2" t="s">
        <v>1703</v>
      </c>
      <c r="N389" s="2" t="s">
        <v>1740</v>
      </c>
      <c r="O389" s="2" t="s">
        <v>1741</v>
      </c>
      <c r="P389" s="2" t="s">
        <v>1706</v>
      </c>
      <c r="Q389" s="2">
        <v>49</v>
      </c>
      <c r="R389" s="2" t="b">
        <v>0</v>
      </c>
      <c r="S389" s="2">
        <v>0.7396449704142013</v>
      </c>
      <c r="T389" s="2">
        <v>0.6983240223463687</v>
      </c>
      <c r="U389" s="2">
        <v>0.78616352201257866</v>
      </c>
      <c r="V389" s="2" t="s">
        <v>63</v>
      </c>
      <c r="W389" s="2" t="s">
        <v>1742</v>
      </c>
      <c r="X389" s="2" t="s">
        <v>1743</v>
      </c>
      <c r="Y389" s="2" t="b">
        <v>0</v>
      </c>
      <c r="Z389" s="2" t="s">
        <v>67</v>
      </c>
      <c r="AA389" s="2">
        <v>204.3</v>
      </c>
      <c r="AB389" s="2" t="s">
        <v>49</v>
      </c>
    </row>
    <row r="390" spans="1:28" ht="15.75" hidden="1" customHeight="1" x14ac:dyDescent="0.3">
      <c r="A390" s="2" t="s">
        <v>37</v>
      </c>
      <c r="B390" s="2" t="s">
        <v>38</v>
      </c>
      <c r="C390" s="2" t="s">
        <v>41</v>
      </c>
      <c r="D390" s="2" t="s">
        <v>38</v>
      </c>
      <c r="E390" s="2" t="s">
        <v>43</v>
      </c>
      <c r="F390" s="2" t="s">
        <v>46</v>
      </c>
      <c r="G390" s="2" t="s">
        <v>42</v>
      </c>
      <c r="H390" s="2" t="s">
        <v>42</v>
      </c>
      <c r="I390" s="2" t="s">
        <v>239</v>
      </c>
      <c r="J390" s="2" t="s">
        <v>71</v>
      </c>
      <c r="K390" s="2" t="s">
        <v>1744</v>
      </c>
      <c r="L390" s="2" t="s">
        <v>1702</v>
      </c>
      <c r="M390" s="2" t="s">
        <v>1703</v>
      </c>
      <c r="N390" s="2" t="s">
        <v>1745</v>
      </c>
      <c r="O390" s="2" t="s">
        <v>1746</v>
      </c>
      <c r="P390" s="2" t="s">
        <v>1706</v>
      </c>
      <c r="Q390" s="2">
        <v>50</v>
      </c>
      <c r="R390" s="2" t="b">
        <v>0</v>
      </c>
      <c r="S390" s="2">
        <v>0.80528052805280537</v>
      </c>
      <c r="T390" s="2">
        <v>0.78205128205128205</v>
      </c>
      <c r="U390" s="2">
        <v>0.82993197278911568</v>
      </c>
      <c r="V390" s="2" t="s">
        <v>63</v>
      </c>
      <c r="W390" s="2" t="s">
        <v>1747</v>
      </c>
      <c r="X390" s="2" t="s">
        <v>1748</v>
      </c>
      <c r="Y390" s="2" t="b">
        <v>0</v>
      </c>
      <c r="Z390" s="2" t="s">
        <v>67</v>
      </c>
      <c r="AA390" s="2">
        <v>210.9</v>
      </c>
      <c r="AB390" s="2" t="s">
        <v>49</v>
      </c>
    </row>
    <row r="391" spans="1:28" ht="15.75" hidden="1" customHeight="1" x14ac:dyDescent="0.3">
      <c r="A391" s="2" t="s">
        <v>37</v>
      </c>
      <c r="B391" s="2" t="s">
        <v>38</v>
      </c>
      <c r="C391" s="2" t="s">
        <v>41</v>
      </c>
      <c r="D391" s="2" t="s">
        <v>38</v>
      </c>
      <c r="E391" s="2" t="s">
        <v>43</v>
      </c>
      <c r="F391" s="2" t="s">
        <v>46</v>
      </c>
      <c r="G391" s="2" t="s">
        <v>42</v>
      </c>
      <c r="H391" s="2" t="s">
        <v>42</v>
      </c>
      <c r="I391" s="2" t="s">
        <v>239</v>
      </c>
      <c r="J391" s="2" t="s">
        <v>71</v>
      </c>
      <c r="K391" s="2" t="s">
        <v>1749</v>
      </c>
      <c r="L391" s="2" t="s">
        <v>1702</v>
      </c>
      <c r="M391" s="2" t="s">
        <v>1703</v>
      </c>
      <c r="N391" s="2" t="s">
        <v>1750</v>
      </c>
      <c r="O391" s="2" t="s">
        <v>1751</v>
      </c>
      <c r="P391" s="2" t="s">
        <v>1706</v>
      </c>
      <c r="Q391" s="2">
        <v>51</v>
      </c>
      <c r="R391" s="2" t="b">
        <v>0</v>
      </c>
      <c r="S391" s="2">
        <v>0.80368098159509194</v>
      </c>
      <c r="T391" s="2">
        <v>0.78915662650602414</v>
      </c>
      <c r="U391" s="2">
        <v>0.81874999999999998</v>
      </c>
      <c r="V391" s="2" t="s">
        <v>63</v>
      </c>
      <c r="W391" s="2" t="s">
        <v>1752</v>
      </c>
      <c r="X391" s="2" t="s">
        <v>1753</v>
      </c>
      <c r="Y391" s="2" t="b">
        <v>0</v>
      </c>
      <c r="Z391" s="2" t="s">
        <v>67</v>
      </c>
      <c r="AA391" s="2">
        <v>200.6</v>
      </c>
      <c r="AB391" s="2" t="s">
        <v>49</v>
      </c>
    </row>
    <row r="392" spans="1:28" ht="15.75" hidden="1" customHeight="1" x14ac:dyDescent="0.3">
      <c r="A392" s="2" t="s">
        <v>37</v>
      </c>
      <c r="B392" s="2" t="s">
        <v>38</v>
      </c>
      <c r="C392" s="2" t="s">
        <v>41</v>
      </c>
      <c r="D392" s="2" t="s">
        <v>38</v>
      </c>
      <c r="E392" s="2" t="s">
        <v>43</v>
      </c>
      <c r="F392" s="2" t="s">
        <v>46</v>
      </c>
      <c r="G392" s="2" t="s">
        <v>42</v>
      </c>
      <c r="H392" s="2" t="s">
        <v>42</v>
      </c>
      <c r="I392" s="2" t="s">
        <v>239</v>
      </c>
      <c r="J392" s="2" t="s">
        <v>71</v>
      </c>
      <c r="K392" s="2" t="s">
        <v>1754</v>
      </c>
      <c r="L392" s="2" t="s">
        <v>1702</v>
      </c>
      <c r="M392" s="2" t="s">
        <v>1703</v>
      </c>
      <c r="N392" s="2" t="s">
        <v>1755</v>
      </c>
      <c r="O392" s="2" t="s">
        <v>1756</v>
      </c>
      <c r="P392" s="2" t="s">
        <v>1706</v>
      </c>
      <c r="Q392" s="2">
        <v>52</v>
      </c>
      <c r="R392" s="2" t="b">
        <v>0</v>
      </c>
      <c r="S392" s="2">
        <v>0.80733944954128445</v>
      </c>
      <c r="T392" s="2">
        <v>0.79041916167664672</v>
      </c>
      <c r="U392" s="2">
        <v>0.82499999999999996</v>
      </c>
      <c r="V392" s="2" t="s">
        <v>63</v>
      </c>
      <c r="W392" s="2" t="s">
        <v>1757</v>
      </c>
      <c r="X392" s="2" t="s">
        <v>1758</v>
      </c>
      <c r="Y392" s="2" t="b">
        <v>0</v>
      </c>
      <c r="Z392" s="2" t="s">
        <v>67</v>
      </c>
      <c r="AA392" s="2">
        <v>200.9</v>
      </c>
      <c r="AB392" s="2" t="s">
        <v>49</v>
      </c>
    </row>
    <row r="393" spans="1:28" ht="15.75" hidden="1" customHeight="1" x14ac:dyDescent="0.3">
      <c r="A393" s="2" t="s">
        <v>37</v>
      </c>
      <c r="B393" s="2" t="s">
        <v>38</v>
      </c>
      <c r="C393" s="2" t="s">
        <v>41</v>
      </c>
      <c r="D393" s="2" t="s">
        <v>38</v>
      </c>
      <c r="E393" s="2" t="s">
        <v>43</v>
      </c>
      <c r="F393" s="2" t="s">
        <v>46</v>
      </c>
      <c r="G393" s="2" t="s">
        <v>42</v>
      </c>
      <c r="H393" s="2" t="s">
        <v>42</v>
      </c>
      <c r="I393" s="2" t="s">
        <v>239</v>
      </c>
      <c r="J393" s="2" t="s">
        <v>71</v>
      </c>
      <c r="K393" s="2" t="s">
        <v>1759</v>
      </c>
      <c r="L393" s="2" t="s">
        <v>1702</v>
      </c>
      <c r="M393" s="2" t="s">
        <v>1703</v>
      </c>
      <c r="N393" s="2" t="s">
        <v>1760</v>
      </c>
      <c r="O393" s="2" t="s">
        <v>1761</v>
      </c>
      <c r="P393" s="2" t="s">
        <v>1706</v>
      </c>
      <c r="Q393" s="2">
        <v>53</v>
      </c>
      <c r="R393" s="2" t="b">
        <v>0</v>
      </c>
      <c r="S393" s="2">
        <v>0.87261146496815278</v>
      </c>
      <c r="T393" s="2">
        <v>0.85624999999999996</v>
      </c>
      <c r="U393" s="2">
        <v>0.88961038961038963</v>
      </c>
      <c r="V393" s="2" t="s">
        <v>63</v>
      </c>
      <c r="W393" s="2" t="s">
        <v>1762</v>
      </c>
      <c r="X393" s="2" t="s">
        <v>1763</v>
      </c>
      <c r="Y393" s="2" t="b">
        <v>0</v>
      </c>
      <c r="Z393" s="2" t="s">
        <v>67</v>
      </c>
      <c r="AA393" s="2">
        <v>207</v>
      </c>
      <c r="AB393" s="2" t="s">
        <v>49</v>
      </c>
    </row>
    <row r="394" spans="1:28" ht="15.75" hidden="1" customHeight="1" x14ac:dyDescent="0.3">
      <c r="A394" s="2" t="s">
        <v>37</v>
      </c>
      <c r="B394" s="2" t="s">
        <v>38</v>
      </c>
      <c r="C394" s="2" t="s">
        <v>41</v>
      </c>
      <c r="D394" s="2" t="s">
        <v>38</v>
      </c>
      <c r="E394" s="2" t="s">
        <v>43</v>
      </c>
      <c r="F394" s="2" t="s">
        <v>46</v>
      </c>
      <c r="G394" s="2" t="s">
        <v>42</v>
      </c>
      <c r="H394" s="2" t="s">
        <v>42</v>
      </c>
      <c r="I394" s="2" t="s">
        <v>239</v>
      </c>
      <c r="J394" s="2" t="s">
        <v>71</v>
      </c>
      <c r="K394" s="2" t="s">
        <v>1764</v>
      </c>
      <c r="L394" s="2" t="s">
        <v>1702</v>
      </c>
      <c r="M394" s="2" t="s">
        <v>1703</v>
      </c>
      <c r="N394" s="2" t="s">
        <v>1765</v>
      </c>
      <c r="O394" s="2" t="s">
        <v>1766</v>
      </c>
      <c r="P394" s="2" t="s">
        <v>1706</v>
      </c>
      <c r="Q394" s="2">
        <v>54</v>
      </c>
      <c r="R394" s="2" t="b">
        <v>0</v>
      </c>
      <c r="S394" s="2">
        <v>0.81433224755700329</v>
      </c>
      <c r="T394" s="2">
        <v>0.76687116564417179</v>
      </c>
      <c r="U394" s="2">
        <v>0.86805555555555558</v>
      </c>
      <c r="V394" s="2" t="s">
        <v>63</v>
      </c>
      <c r="W394" s="2" t="s">
        <v>1767</v>
      </c>
      <c r="X394" s="2" t="s">
        <v>1768</v>
      </c>
      <c r="Y394" s="2" t="b">
        <v>0</v>
      </c>
      <c r="Z394" s="2" t="s">
        <v>67</v>
      </c>
      <c r="AA394" s="2">
        <v>208.9</v>
      </c>
      <c r="AB394" s="2" t="s">
        <v>49</v>
      </c>
    </row>
    <row r="395" spans="1:28" ht="15.75" hidden="1" customHeight="1" x14ac:dyDescent="0.3">
      <c r="A395" s="2" t="s">
        <v>37</v>
      </c>
      <c r="B395" s="2" t="s">
        <v>38</v>
      </c>
      <c r="C395" s="2" t="s">
        <v>41</v>
      </c>
      <c r="D395" s="2" t="s">
        <v>38</v>
      </c>
      <c r="E395" s="2" t="s">
        <v>43</v>
      </c>
      <c r="F395" s="2" t="s">
        <v>46</v>
      </c>
      <c r="G395" s="2" t="s">
        <v>42</v>
      </c>
      <c r="H395" s="2" t="s">
        <v>42</v>
      </c>
      <c r="I395" s="2" t="s">
        <v>239</v>
      </c>
      <c r="J395" s="2" t="s">
        <v>71</v>
      </c>
      <c r="K395" s="2" t="s">
        <v>1769</v>
      </c>
      <c r="L395" s="2" t="s">
        <v>1702</v>
      </c>
      <c r="M395" s="2" t="s">
        <v>1703</v>
      </c>
      <c r="N395" s="2" t="s">
        <v>1770</v>
      </c>
      <c r="O395" s="2" t="s">
        <v>1771</v>
      </c>
      <c r="P395" s="2" t="s">
        <v>1706</v>
      </c>
      <c r="Q395" s="2">
        <v>55</v>
      </c>
      <c r="R395" s="2" t="b">
        <v>0</v>
      </c>
      <c r="S395" s="2">
        <v>0.79393939393939394</v>
      </c>
      <c r="T395" s="2">
        <v>0.76608187134502925</v>
      </c>
      <c r="U395" s="2">
        <v>0.82389937106918243</v>
      </c>
      <c r="V395" s="2" t="s">
        <v>63</v>
      </c>
      <c r="W395" s="2" t="s">
        <v>1772</v>
      </c>
      <c r="X395" s="2" t="s">
        <v>1773</v>
      </c>
      <c r="Y395" s="2" t="b">
        <v>0</v>
      </c>
      <c r="Z395" s="2" t="s">
        <v>67</v>
      </c>
      <c r="AA395" s="2">
        <v>191.6</v>
      </c>
      <c r="AB395" s="2" t="s">
        <v>49</v>
      </c>
    </row>
    <row r="396" spans="1:28" ht="15.75" hidden="1" customHeight="1" x14ac:dyDescent="0.3">
      <c r="A396" s="2" t="s">
        <v>37</v>
      </c>
      <c r="B396" s="2" t="s">
        <v>38</v>
      </c>
      <c r="C396" s="2" t="s">
        <v>41</v>
      </c>
      <c r="D396" s="2" t="s">
        <v>38</v>
      </c>
      <c r="E396" s="2" t="s">
        <v>43</v>
      </c>
      <c r="F396" s="2" t="s">
        <v>46</v>
      </c>
      <c r="G396" s="2" t="s">
        <v>42</v>
      </c>
      <c r="H396" s="2" t="s">
        <v>42</v>
      </c>
      <c r="I396" s="2" t="s">
        <v>239</v>
      </c>
      <c r="J396" s="2" t="s">
        <v>71</v>
      </c>
      <c r="K396" s="2" t="s">
        <v>1774</v>
      </c>
      <c r="L396" s="2" t="s">
        <v>1702</v>
      </c>
      <c r="M396" s="2" t="s">
        <v>1703</v>
      </c>
      <c r="N396" s="2" t="s">
        <v>1775</v>
      </c>
      <c r="O396" s="2" t="s">
        <v>1776</v>
      </c>
      <c r="P396" s="2" t="s">
        <v>1706</v>
      </c>
      <c r="Q396" s="2">
        <v>56</v>
      </c>
      <c r="R396" s="2" t="b">
        <v>0</v>
      </c>
      <c r="S396" s="2">
        <v>0.83706070287539935</v>
      </c>
      <c r="T396" s="2">
        <v>0.81366459627329191</v>
      </c>
      <c r="U396" s="2">
        <v>0.86184210526315785</v>
      </c>
      <c r="V396" s="2" t="s">
        <v>63</v>
      </c>
      <c r="W396" s="2" t="s">
        <v>1777</v>
      </c>
      <c r="X396" s="2" t="s">
        <v>1778</v>
      </c>
      <c r="Y396" s="2" t="b">
        <v>0</v>
      </c>
      <c r="Z396" s="2" t="s">
        <v>67</v>
      </c>
      <c r="AA396" s="2">
        <v>196.8</v>
      </c>
      <c r="AB396" s="2" t="s">
        <v>49</v>
      </c>
    </row>
    <row r="397" spans="1:28" ht="15.75" hidden="1" customHeight="1" x14ac:dyDescent="0.3">
      <c r="A397" s="2" t="s">
        <v>37</v>
      </c>
      <c r="B397" s="2" t="s">
        <v>38</v>
      </c>
      <c r="C397" s="2" t="s">
        <v>41</v>
      </c>
      <c r="D397" s="2" t="s">
        <v>38</v>
      </c>
      <c r="E397" s="2" t="s">
        <v>43</v>
      </c>
      <c r="F397" s="2" t="s">
        <v>46</v>
      </c>
      <c r="G397" s="2" t="s">
        <v>42</v>
      </c>
      <c r="H397" s="2" t="s">
        <v>42</v>
      </c>
      <c r="I397" s="2" t="s">
        <v>239</v>
      </c>
      <c r="J397" s="2" t="s">
        <v>71</v>
      </c>
      <c r="K397" s="2" t="s">
        <v>1779</v>
      </c>
      <c r="L397" s="2" t="s">
        <v>1702</v>
      </c>
      <c r="M397" s="2" t="s">
        <v>1703</v>
      </c>
      <c r="N397" s="2" t="s">
        <v>1780</v>
      </c>
      <c r="O397" s="2" t="s">
        <v>1781</v>
      </c>
      <c r="P397" s="2" t="s">
        <v>1706</v>
      </c>
      <c r="Q397" s="2">
        <v>57</v>
      </c>
      <c r="R397" s="2" t="b">
        <v>0</v>
      </c>
      <c r="S397" s="2">
        <v>0.78466076696165188</v>
      </c>
      <c r="T397" s="2">
        <v>0.7471910112359551</v>
      </c>
      <c r="U397" s="2">
        <v>0.82608695652173914</v>
      </c>
      <c r="V397" s="2" t="s">
        <v>63</v>
      </c>
      <c r="W397" s="2" t="s">
        <v>1782</v>
      </c>
      <c r="X397" s="2" t="s">
        <v>1783</v>
      </c>
      <c r="Y397" s="2" t="b">
        <v>0</v>
      </c>
      <c r="Z397" s="2" t="s">
        <v>67</v>
      </c>
      <c r="AA397" s="2">
        <v>198.9</v>
      </c>
      <c r="AB397" s="2" t="s">
        <v>49</v>
      </c>
    </row>
    <row r="398" spans="1:28" ht="15.75" hidden="1" customHeight="1" x14ac:dyDescent="0.3">
      <c r="A398" s="2" t="s">
        <v>37</v>
      </c>
      <c r="B398" s="2" t="s">
        <v>38</v>
      </c>
      <c r="C398" s="2" t="s">
        <v>41</v>
      </c>
      <c r="D398" s="2" t="s">
        <v>38</v>
      </c>
      <c r="E398" s="2" t="s">
        <v>43</v>
      </c>
      <c r="F398" s="2" t="s">
        <v>46</v>
      </c>
      <c r="G398" s="2" t="s">
        <v>42</v>
      </c>
      <c r="H398" s="2" t="s">
        <v>42</v>
      </c>
      <c r="I398" s="2" t="s">
        <v>239</v>
      </c>
      <c r="J398" s="2" t="s">
        <v>71</v>
      </c>
      <c r="K398" s="2" t="s">
        <v>1784</v>
      </c>
      <c r="L398" s="2" t="s">
        <v>1702</v>
      </c>
      <c r="M398" s="2" t="s">
        <v>1703</v>
      </c>
      <c r="N398" s="2" t="s">
        <v>1785</v>
      </c>
      <c r="O398" s="2" t="s">
        <v>1786</v>
      </c>
      <c r="P398" s="2" t="s">
        <v>1706</v>
      </c>
      <c r="Q398" s="2">
        <v>58</v>
      </c>
      <c r="R398" s="2" t="b">
        <v>0</v>
      </c>
      <c r="S398" s="2">
        <v>0.82958199356913187</v>
      </c>
      <c r="T398" s="2">
        <v>0.80124223602484468</v>
      </c>
      <c r="U398" s="2">
        <v>0.86</v>
      </c>
      <c r="V398" s="2" t="s">
        <v>63</v>
      </c>
      <c r="W398" s="2" t="s">
        <v>1787</v>
      </c>
      <c r="X398" s="2" t="s">
        <v>1788</v>
      </c>
      <c r="Y398" s="2" t="b">
        <v>0</v>
      </c>
      <c r="Z398" s="2" t="s">
        <v>67</v>
      </c>
      <c r="AA398" s="2">
        <v>209.2</v>
      </c>
      <c r="AB398" s="2" t="s">
        <v>49</v>
      </c>
    </row>
    <row r="399" spans="1:28" ht="15.75" hidden="1" customHeight="1" x14ac:dyDescent="0.3">
      <c r="A399" s="2" t="s">
        <v>37</v>
      </c>
      <c r="B399" s="2" t="s">
        <v>38</v>
      </c>
      <c r="C399" s="2" t="s">
        <v>41</v>
      </c>
      <c r="D399" s="2" t="s">
        <v>38</v>
      </c>
      <c r="E399" s="2" t="s">
        <v>43</v>
      </c>
      <c r="F399" s="2" t="s">
        <v>46</v>
      </c>
      <c r="G399" s="2" t="s">
        <v>42</v>
      </c>
      <c r="H399" s="2" t="s">
        <v>42</v>
      </c>
      <c r="I399" s="2" t="s">
        <v>239</v>
      </c>
      <c r="J399" s="2" t="s">
        <v>71</v>
      </c>
      <c r="K399" s="2" t="s">
        <v>1789</v>
      </c>
      <c r="L399" s="2" t="s">
        <v>1702</v>
      </c>
      <c r="M399" s="2" t="s">
        <v>1703</v>
      </c>
      <c r="N399" s="2" t="s">
        <v>1790</v>
      </c>
      <c r="O399" s="2" t="s">
        <v>1791</v>
      </c>
      <c r="P399" s="2" t="s">
        <v>1706</v>
      </c>
      <c r="Q399" s="2">
        <v>59</v>
      </c>
      <c r="R399" s="2" t="b">
        <v>0</v>
      </c>
      <c r="S399" s="2">
        <v>0.78915662650602403</v>
      </c>
      <c r="T399" s="2">
        <v>0.76162790697674421</v>
      </c>
      <c r="U399" s="2">
        <v>0.81874999999999998</v>
      </c>
      <c r="V399" s="2" t="s">
        <v>63</v>
      </c>
      <c r="W399" s="2" t="s">
        <v>1792</v>
      </c>
      <c r="X399" s="2" t="s">
        <v>1793</v>
      </c>
      <c r="Y399" s="2" t="b">
        <v>0</v>
      </c>
      <c r="Z399" s="2" t="s">
        <v>67</v>
      </c>
      <c r="AA399" s="2">
        <v>209.7</v>
      </c>
      <c r="AB399" s="2" t="s">
        <v>49</v>
      </c>
    </row>
    <row r="400" spans="1:28" ht="15.75" hidden="1" customHeight="1" x14ac:dyDescent="0.3">
      <c r="A400" s="2" t="s">
        <v>37</v>
      </c>
      <c r="B400" s="2" t="s">
        <v>38</v>
      </c>
      <c r="C400" s="2" t="s">
        <v>41</v>
      </c>
      <c r="D400" s="2" t="s">
        <v>38</v>
      </c>
      <c r="E400" s="2" t="s">
        <v>43</v>
      </c>
      <c r="F400" s="2" t="s">
        <v>46</v>
      </c>
      <c r="G400" s="2" t="s">
        <v>42</v>
      </c>
      <c r="H400" s="2" t="s">
        <v>42</v>
      </c>
      <c r="I400" s="2" t="s">
        <v>239</v>
      </c>
      <c r="J400" s="2" t="s">
        <v>71</v>
      </c>
      <c r="K400" s="2" t="s">
        <v>1794</v>
      </c>
      <c r="L400" s="2" t="s">
        <v>1702</v>
      </c>
      <c r="M400" s="2" t="s">
        <v>1703</v>
      </c>
      <c r="N400" s="2" t="s">
        <v>1795</v>
      </c>
      <c r="O400" s="2" t="s">
        <v>1796</v>
      </c>
      <c r="P400" s="2" t="s">
        <v>1706</v>
      </c>
      <c r="Q400" s="2">
        <v>60</v>
      </c>
      <c r="R400" s="2" t="b">
        <v>0</v>
      </c>
      <c r="S400" s="2">
        <v>0.74461538461538468</v>
      </c>
      <c r="T400" s="2">
        <v>0.71176470588235297</v>
      </c>
      <c r="U400" s="2">
        <v>0.78064516129032258</v>
      </c>
      <c r="V400" s="2" t="s">
        <v>63</v>
      </c>
      <c r="W400" s="2" t="s">
        <v>1797</v>
      </c>
      <c r="X400" s="2" t="s">
        <v>1798</v>
      </c>
      <c r="Y400" s="2" t="b">
        <v>0</v>
      </c>
      <c r="Z400" s="2" t="s">
        <v>67</v>
      </c>
      <c r="AA400" s="2">
        <v>205.9</v>
      </c>
      <c r="AB400" s="2" t="s">
        <v>49</v>
      </c>
    </row>
    <row r="401" spans="1:28" ht="15.75" hidden="1" customHeight="1" x14ac:dyDescent="0.3">
      <c r="A401" s="2" t="s">
        <v>37</v>
      </c>
      <c r="B401" s="2" t="s">
        <v>38</v>
      </c>
      <c r="C401" s="2" t="s">
        <v>41</v>
      </c>
      <c r="D401" s="2" t="s">
        <v>38</v>
      </c>
      <c r="E401" s="2" t="s">
        <v>43</v>
      </c>
      <c r="F401" s="2" t="s">
        <v>46</v>
      </c>
      <c r="G401" s="2" t="s">
        <v>42</v>
      </c>
      <c r="H401" s="2" t="s">
        <v>42</v>
      </c>
      <c r="I401" s="2" t="s">
        <v>239</v>
      </c>
      <c r="J401" s="2" t="s">
        <v>71</v>
      </c>
      <c r="K401" s="2" t="s">
        <v>1799</v>
      </c>
      <c r="L401" s="2" t="s">
        <v>1702</v>
      </c>
      <c r="M401" s="2" t="s">
        <v>1703</v>
      </c>
      <c r="N401" s="2" t="s">
        <v>1800</v>
      </c>
      <c r="O401" s="2" t="s">
        <v>1801</v>
      </c>
      <c r="P401" s="2" t="s">
        <v>1706</v>
      </c>
      <c r="Q401" s="2">
        <v>61</v>
      </c>
      <c r="R401" s="2" t="b">
        <v>0</v>
      </c>
      <c r="S401" s="2">
        <v>0.80571428571428572</v>
      </c>
      <c r="T401" s="2">
        <v>0.77900552486187846</v>
      </c>
      <c r="U401" s="2">
        <v>0.83431952662721898</v>
      </c>
      <c r="V401" s="2" t="s">
        <v>63</v>
      </c>
      <c r="W401" s="2" t="s">
        <v>1802</v>
      </c>
      <c r="X401" s="2" t="s">
        <v>1803</v>
      </c>
      <c r="Y401" s="2" t="b">
        <v>0</v>
      </c>
      <c r="Z401" s="2" t="s">
        <v>67</v>
      </c>
      <c r="AA401" s="2">
        <v>201.6</v>
      </c>
      <c r="AB401" s="2" t="s">
        <v>49</v>
      </c>
    </row>
    <row r="402" spans="1:28" ht="15.75" hidden="1" customHeight="1" x14ac:dyDescent="0.3">
      <c r="A402" s="2" t="s">
        <v>37</v>
      </c>
      <c r="B402" s="2" t="s">
        <v>38</v>
      </c>
      <c r="C402" s="2" t="s">
        <v>41</v>
      </c>
      <c r="D402" s="2" t="s">
        <v>38</v>
      </c>
      <c r="E402" s="2" t="s">
        <v>39</v>
      </c>
      <c r="F402" s="2" t="s">
        <v>496</v>
      </c>
      <c r="G402" s="2" t="s">
        <v>42</v>
      </c>
      <c r="H402" s="2" t="s">
        <v>42</v>
      </c>
      <c r="I402" s="2" t="s">
        <v>47</v>
      </c>
      <c r="J402" s="2" t="s">
        <v>44</v>
      </c>
      <c r="K402" s="2" t="s">
        <v>1598</v>
      </c>
      <c r="L402" s="2" t="s">
        <v>1599</v>
      </c>
      <c r="M402" s="2" t="s">
        <v>1600</v>
      </c>
      <c r="N402" s="2" t="s">
        <v>1601</v>
      </c>
      <c r="O402" s="2" t="s">
        <v>1602</v>
      </c>
      <c r="P402" s="2" t="s">
        <v>1603</v>
      </c>
      <c r="Q402" s="2">
        <v>42</v>
      </c>
      <c r="R402" s="2" t="b">
        <v>1</v>
      </c>
      <c r="S402" s="2">
        <v>0.82352941176470584</v>
      </c>
      <c r="V402" s="2" t="s">
        <v>510</v>
      </c>
      <c r="W402" s="2" t="s">
        <v>1804</v>
      </c>
      <c r="X402" s="2" t="s">
        <v>1805</v>
      </c>
      <c r="Y402" s="2" t="b">
        <v>1</v>
      </c>
      <c r="Z402" s="2" t="s">
        <v>67</v>
      </c>
      <c r="AA402" s="2">
        <v>0</v>
      </c>
      <c r="AB402" s="2" t="s">
        <v>49</v>
      </c>
    </row>
    <row r="403" spans="1:28" ht="15.75" hidden="1" customHeight="1" x14ac:dyDescent="0.3">
      <c r="A403" s="2" t="s">
        <v>37</v>
      </c>
      <c r="B403" s="2" t="s">
        <v>38</v>
      </c>
      <c r="C403" s="2" t="s">
        <v>41</v>
      </c>
      <c r="D403" s="2" t="s">
        <v>38</v>
      </c>
      <c r="E403" s="2" t="s">
        <v>39</v>
      </c>
      <c r="F403" s="2" t="s">
        <v>496</v>
      </c>
      <c r="G403" s="2" t="s">
        <v>42</v>
      </c>
      <c r="H403" s="2" t="s">
        <v>42</v>
      </c>
      <c r="I403" s="2" t="s">
        <v>47</v>
      </c>
      <c r="J403" s="2" t="s">
        <v>44</v>
      </c>
      <c r="K403" s="2" t="s">
        <v>1606</v>
      </c>
      <c r="L403" s="2" t="s">
        <v>1599</v>
      </c>
      <c r="M403" s="2" t="s">
        <v>1600</v>
      </c>
      <c r="N403" s="2" t="s">
        <v>1607</v>
      </c>
      <c r="O403" s="2" t="s">
        <v>1608</v>
      </c>
      <c r="P403" s="2" t="s">
        <v>1603</v>
      </c>
      <c r="Q403" s="2">
        <v>43</v>
      </c>
      <c r="R403" s="2" t="b">
        <v>1</v>
      </c>
      <c r="S403" s="2">
        <v>0.76249999999999996</v>
      </c>
      <c r="V403" s="2" t="s">
        <v>510</v>
      </c>
      <c r="W403" s="2" t="s">
        <v>1806</v>
      </c>
      <c r="X403" s="2" t="s">
        <v>1807</v>
      </c>
      <c r="Y403" s="2" t="b">
        <v>1</v>
      </c>
      <c r="Z403" s="2" t="s">
        <v>67</v>
      </c>
      <c r="AA403" s="2">
        <v>0</v>
      </c>
      <c r="AB403" s="2" t="s">
        <v>49</v>
      </c>
    </row>
    <row r="404" spans="1:28" ht="15.75" hidden="1" customHeight="1" x14ac:dyDescent="0.3">
      <c r="A404" s="2" t="s">
        <v>37</v>
      </c>
      <c r="B404" s="2" t="s">
        <v>38</v>
      </c>
      <c r="C404" s="2" t="s">
        <v>41</v>
      </c>
      <c r="D404" s="2" t="s">
        <v>38</v>
      </c>
      <c r="E404" s="2" t="s">
        <v>39</v>
      </c>
      <c r="F404" s="2" t="s">
        <v>496</v>
      </c>
      <c r="G404" s="2" t="s">
        <v>42</v>
      </c>
      <c r="H404" s="2" t="s">
        <v>42</v>
      </c>
      <c r="I404" s="2" t="s">
        <v>47</v>
      </c>
      <c r="J404" s="2" t="s">
        <v>44</v>
      </c>
      <c r="K404" s="2" t="s">
        <v>1611</v>
      </c>
      <c r="L404" s="2" t="s">
        <v>1599</v>
      </c>
      <c r="M404" s="2" t="s">
        <v>1600</v>
      </c>
      <c r="N404" s="2" t="s">
        <v>1612</v>
      </c>
      <c r="O404" s="2" t="s">
        <v>1613</v>
      </c>
      <c r="P404" s="2" t="s">
        <v>1603</v>
      </c>
      <c r="Q404" s="2">
        <v>44</v>
      </c>
      <c r="R404" s="2" t="b">
        <v>1</v>
      </c>
      <c r="S404" s="2">
        <v>0.74608150470219448</v>
      </c>
      <c r="V404" s="2" t="s">
        <v>510</v>
      </c>
      <c r="W404" s="2" t="s">
        <v>1808</v>
      </c>
      <c r="X404" s="2" t="s">
        <v>1809</v>
      </c>
      <c r="Y404" s="2" t="b">
        <v>1</v>
      </c>
      <c r="Z404" s="2" t="s">
        <v>67</v>
      </c>
      <c r="AA404" s="2">
        <v>0</v>
      </c>
      <c r="AB404" s="2" t="s">
        <v>49</v>
      </c>
    </row>
    <row r="405" spans="1:28" ht="15.75" hidden="1" customHeight="1" x14ac:dyDescent="0.3">
      <c r="A405" s="2" t="s">
        <v>37</v>
      </c>
      <c r="B405" s="2" t="s">
        <v>38</v>
      </c>
      <c r="C405" s="2" t="s">
        <v>41</v>
      </c>
      <c r="D405" s="2" t="s">
        <v>38</v>
      </c>
      <c r="E405" s="2" t="s">
        <v>39</v>
      </c>
      <c r="F405" s="2" t="s">
        <v>496</v>
      </c>
      <c r="G405" s="2" t="s">
        <v>42</v>
      </c>
      <c r="H405" s="2" t="s">
        <v>42</v>
      </c>
      <c r="I405" s="2" t="s">
        <v>47</v>
      </c>
      <c r="J405" s="2" t="s">
        <v>44</v>
      </c>
      <c r="K405" s="2" t="s">
        <v>1616</v>
      </c>
      <c r="L405" s="2" t="s">
        <v>1599</v>
      </c>
      <c r="M405" s="2" t="s">
        <v>1600</v>
      </c>
      <c r="N405" s="2" t="s">
        <v>1617</v>
      </c>
      <c r="O405" s="2" t="s">
        <v>1618</v>
      </c>
      <c r="P405" s="2" t="s">
        <v>1603</v>
      </c>
      <c r="Q405" s="2">
        <v>45</v>
      </c>
      <c r="R405" s="2" t="b">
        <v>1</v>
      </c>
      <c r="S405" s="2">
        <v>0.72727272727272718</v>
      </c>
      <c r="V405" s="2" t="s">
        <v>510</v>
      </c>
      <c r="W405" s="2" t="s">
        <v>1810</v>
      </c>
      <c r="X405" s="2" t="s">
        <v>1811</v>
      </c>
      <c r="Y405" s="2" t="b">
        <v>1</v>
      </c>
      <c r="Z405" s="2" t="s">
        <v>67</v>
      </c>
      <c r="AA405" s="2">
        <v>0</v>
      </c>
      <c r="AB405" s="2" t="s">
        <v>49</v>
      </c>
    </row>
    <row r="406" spans="1:28" ht="15.75" hidden="1" customHeight="1" x14ac:dyDescent="0.3">
      <c r="A406" s="2" t="s">
        <v>37</v>
      </c>
      <c r="B406" s="2" t="s">
        <v>38</v>
      </c>
      <c r="C406" s="2" t="s">
        <v>41</v>
      </c>
      <c r="D406" s="2" t="s">
        <v>38</v>
      </c>
      <c r="E406" s="2" t="s">
        <v>39</v>
      </c>
      <c r="F406" s="2" t="s">
        <v>496</v>
      </c>
      <c r="G406" s="2" t="s">
        <v>42</v>
      </c>
      <c r="H406" s="2" t="s">
        <v>42</v>
      </c>
      <c r="I406" s="2" t="s">
        <v>47</v>
      </c>
      <c r="J406" s="2" t="s">
        <v>44</v>
      </c>
      <c r="K406" s="2" t="s">
        <v>1621</v>
      </c>
      <c r="L406" s="2" t="s">
        <v>1599</v>
      </c>
      <c r="M406" s="2" t="s">
        <v>1600</v>
      </c>
      <c r="N406" s="2" t="s">
        <v>1622</v>
      </c>
      <c r="O406" s="2" t="s">
        <v>1623</v>
      </c>
      <c r="P406" s="2" t="s">
        <v>1603</v>
      </c>
      <c r="Q406" s="2">
        <v>46</v>
      </c>
      <c r="R406" s="2" t="b">
        <v>1</v>
      </c>
      <c r="S406" s="2">
        <v>0.78947368421052622</v>
      </c>
      <c r="V406" s="2" t="s">
        <v>510</v>
      </c>
      <c r="W406" s="2" t="s">
        <v>1812</v>
      </c>
      <c r="X406" s="2" t="s">
        <v>1813</v>
      </c>
      <c r="Y406" s="2" t="b">
        <v>1</v>
      </c>
      <c r="Z406" s="2" t="s">
        <v>67</v>
      </c>
      <c r="AA406" s="2">
        <v>0</v>
      </c>
      <c r="AB406" s="2" t="s">
        <v>49</v>
      </c>
    </row>
    <row r="407" spans="1:28" ht="15.75" hidden="1" customHeight="1" x14ac:dyDescent="0.3">
      <c r="A407" s="2" t="s">
        <v>37</v>
      </c>
      <c r="B407" s="2" t="s">
        <v>38</v>
      </c>
      <c r="C407" s="2" t="s">
        <v>41</v>
      </c>
      <c r="D407" s="2" t="s">
        <v>38</v>
      </c>
      <c r="E407" s="2" t="s">
        <v>39</v>
      </c>
      <c r="F407" s="2" t="s">
        <v>496</v>
      </c>
      <c r="G407" s="2" t="s">
        <v>42</v>
      </c>
      <c r="H407" s="2" t="s">
        <v>42</v>
      </c>
      <c r="I407" s="2" t="s">
        <v>47</v>
      </c>
      <c r="J407" s="2" t="s">
        <v>44</v>
      </c>
      <c r="K407" s="2" t="s">
        <v>1626</v>
      </c>
      <c r="L407" s="2" t="s">
        <v>1599</v>
      </c>
      <c r="M407" s="2" t="s">
        <v>1600</v>
      </c>
      <c r="N407" s="2" t="s">
        <v>1627</v>
      </c>
      <c r="O407" s="2" t="s">
        <v>1628</v>
      </c>
      <c r="P407" s="2" t="s">
        <v>1603</v>
      </c>
      <c r="Q407" s="2">
        <v>47</v>
      </c>
      <c r="R407" s="2" t="b">
        <v>1</v>
      </c>
      <c r="S407" s="2">
        <v>0.81375358166189105</v>
      </c>
      <c r="V407" s="2" t="s">
        <v>510</v>
      </c>
      <c r="W407" s="2" t="s">
        <v>1814</v>
      </c>
      <c r="X407" s="2" t="s">
        <v>1815</v>
      </c>
      <c r="Y407" s="2" t="b">
        <v>1</v>
      </c>
      <c r="Z407" s="2" t="s">
        <v>67</v>
      </c>
      <c r="AA407" s="2">
        <v>0</v>
      </c>
      <c r="AB407" s="2" t="s">
        <v>49</v>
      </c>
    </row>
    <row r="408" spans="1:28" ht="15.75" hidden="1" customHeight="1" x14ac:dyDescent="0.3">
      <c r="A408" s="2" t="s">
        <v>37</v>
      </c>
      <c r="B408" s="2" t="s">
        <v>38</v>
      </c>
      <c r="C408" s="2" t="s">
        <v>41</v>
      </c>
      <c r="D408" s="2" t="s">
        <v>38</v>
      </c>
      <c r="E408" s="2" t="s">
        <v>39</v>
      </c>
      <c r="F408" s="2" t="s">
        <v>496</v>
      </c>
      <c r="G408" s="2" t="s">
        <v>42</v>
      </c>
      <c r="H408" s="2" t="s">
        <v>42</v>
      </c>
      <c r="I408" s="2" t="s">
        <v>47</v>
      </c>
      <c r="J408" s="2" t="s">
        <v>44</v>
      </c>
      <c r="K408" s="2" t="s">
        <v>1631</v>
      </c>
      <c r="L408" s="2" t="s">
        <v>1599</v>
      </c>
      <c r="M408" s="2" t="s">
        <v>1600</v>
      </c>
      <c r="N408" s="2" t="s">
        <v>1632</v>
      </c>
      <c r="O408" s="2" t="s">
        <v>1633</v>
      </c>
      <c r="P408" s="2" t="s">
        <v>1603</v>
      </c>
      <c r="Q408" s="2">
        <v>48</v>
      </c>
      <c r="R408" s="2" t="b">
        <v>1</v>
      </c>
      <c r="S408" s="2">
        <v>0.76340694006309151</v>
      </c>
      <c r="V408" s="2" t="s">
        <v>510</v>
      </c>
      <c r="W408" s="2" t="s">
        <v>1816</v>
      </c>
      <c r="X408" s="2" t="s">
        <v>1817</v>
      </c>
      <c r="Y408" s="2" t="b">
        <v>1</v>
      </c>
      <c r="Z408" s="2" t="s">
        <v>67</v>
      </c>
      <c r="AA408" s="2">
        <v>0</v>
      </c>
      <c r="AB408" s="2" t="s">
        <v>49</v>
      </c>
    </row>
    <row r="409" spans="1:28" ht="15.75" hidden="1" customHeight="1" x14ac:dyDescent="0.3">
      <c r="A409" s="2" t="s">
        <v>37</v>
      </c>
      <c r="B409" s="2" t="s">
        <v>38</v>
      </c>
      <c r="C409" s="2" t="s">
        <v>41</v>
      </c>
      <c r="D409" s="2" t="s">
        <v>38</v>
      </c>
      <c r="E409" s="2" t="s">
        <v>39</v>
      </c>
      <c r="F409" s="2" t="s">
        <v>496</v>
      </c>
      <c r="G409" s="2" t="s">
        <v>42</v>
      </c>
      <c r="H409" s="2" t="s">
        <v>42</v>
      </c>
      <c r="I409" s="2" t="s">
        <v>47</v>
      </c>
      <c r="J409" s="2" t="s">
        <v>44</v>
      </c>
      <c r="K409" s="2" t="s">
        <v>1636</v>
      </c>
      <c r="L409" s="2" t="s">
        <v>1599</v>
      </c>
      <c r="M409" s="2" t="s">
        <v>1600</v>
      </c>
      <c r="N409" s="2" t="s">
        <v>1637</v>
      </c>
      <c r="O409" s="2" t="s">
        <v>1638</v>
      </c>
      <c r="P409" s="2" t="s">
        <v>1603</v>
      </c>
      <c r="Q409" s="2">
        <v>49</v>
      </c>
      <c r="R409" s="2" t="b">
        <v>1</v>
      </c>
      <c r="S409" s="2">
        <v>0.75080906148867299</v>
      </c>
      <c r="V409" s="2" t="s">
        <v>510</v>
      </c>
      <c r="W409" s="2" t="s">
        <v>1818</v>
      </c>
      <c r="X409" s="2" t="s">
        <v>1819</v>
      </c>
      <c r="Y409" s="2" t="b">
        <v>1</v>
      </c>
      <c r="Z409" s="2" t="s">
        <v>67</v>
      </c>
      <c r="AA409" s="2">
        <v>0</v>
      </c>
      <c r="AB409" s="2" t="s">
        <v>49</v>
      </c>
    </row>
    <row r="410" spans="1:28" ht="15.75" hidden="1" customHeight="1" x14ac:dyDescent="0.3">
      <c r="A410" s="2" t="s">
        <v>37</v>
      </c>
      <c r="B410" s="2" t="s">
        <v>38</v>
      </c>
      <c r="C410" s="2" t="s">
        <v>41</v>
      </c>
      <c r="D410" s="2" t="s">
        <v>38</v>
      </c>
      <c r="E410" s="2" t="s">
        <v>39</v>
      </c>
      <c r="F410" s="2" t="s">
        <v>496</v>
      </c>
      <c r="G410" s="2" t="s">
        <v>42</v>
      </c>
      <c r="H410" s="2" t="s">
        <v>42</v>
      </c>
      <c r="I410" s="2" t="s">
        <v>47</v>
      </c>
      <c r="J410" s="2" t="s">
        <v>44</v>
      </c>
      <c r="K410" s="2" t="s">
        <v>1641</v>
      </c>
      <c r="L410" s="2" t="s">
        <v>1599</v>
      </c>
      <c r="M410" s="2" t="s">
        <v>1600</v>
      </c>
      <c r="N410" s="2" t="s">
        <v>1642</v>
      </c>
      <c r="O410" s="2" t="s">
        <v>1643</v>
      </c>
      <c r="P410" s="2" t="s">
        <v>1603</v>
      </c>
      <c r="Q410" s="2">
        <v>50</v>
      </c>
      <c r="R410" s="2" t="b">
        <v>1</v>
      </c>
      <c r="S410" s="2">
        <v>0.79411764705882359</v>
      </c>
      <c r="V410" s="2" t="s">
        <v>510</v>
      </c>
      <c r="W410" s="2" t="s">
        <v>1820</v>
      </c>
      <c r="X410" s="2" t="s">
        <v>1821</v>
      </c>
      <c r="Y410" s="2" t="b">
        <v>1</v>
      </c>
      <c r="Z410" s="2" t="s">
        <v>67</v>
      </c>
      <c r="AA410" s="2">
        <v>0</v>
      </c>
      <c r="AB410" s="2" t="s">
        <v>49</v>
      </c>
    </row>
    <row r="411" spans="1:28" ht="15.75" hidden="1" customHeight="1" x14ac:dyDescent="0.3">
      <c r="A411" s="2" t="s">
        <v>37</v>
      </c>
      <c r="B411" s="2" t="s">
        <v>38</v>
      </c>
      <c r="C411" s="2" t="s">
        <v>41</v>
      </c>
      <c r="D411" s="2" t="s">
        <v>38</v>
      </c>
      <c r="E411" s="2" t="s">
        <v>39</v>
      </c>
      <c r="F411" s="2" t="s">
        <v>496</v>
      </c>
      <c r="G411" s="2" t="s">
        <v>42</v>
      </c>
      <c r="H411" s="2" t="s">
        <v>42</v>
      </c>
      <c r="I411" s="2" t="s">
        <v>47</v>
      </c>
      <c r="J411" s="2" t="s">
        <v>44</v>
      </c>
      <c r="K411" s="2" t="s">
        <v>1646</v>
      </c>
      <c r="L411" s="2" t="s">
        <v>1599</v>
      </c>
      <c r="M411" s="2" t="s">
        <v>1600</v>
      </c>
      <c r="N411" s="2" t="s">
        <v>1647</v>
      </c>
      <c r="O411" s="2" t="s">
        <v>1648</v>
      </c>
      <c r="P411" s="2" t="s">
        <v>1603</v>
      </c>
      <c r="Q411" s="2">
        <v>51</v>
      </c>
      <c r="R411" s="2" t="b">
        <v>1</v>
      </c>
      <c r="S411" s="2">
        <v>0.75728155339805836</v>
      </c>
      <c r="V411" s="2" t="s">
        <v>510</v>
      </c>
      <c r="W411" s="2" t="s">
        <v>1822</v>
      </c>
      <c r="X411" s="2" t="s">
        <v>1823</v>
      </c>
      <c r="Y411" s="2" t="b">
        <v>1</v>
      </c>
      <c r="Z411" s="2" t="s">
        <v>67</v>
      </c>
      <c r="AA411" s="2">
        <v>0</v>
      </c>
      <c r="AB411" s="2" t="s">
        <v>49</v>
      </c>
    </row>
    <row r="412" spans="1:28" ht="15.75" hidden="1" customHeight="1" x14ac:dyDescent="0.3">
      <c r="A412" s="2" t="s">
        <v>37</v>
      </c>
      <c r="B412" s="2" t="s">
        <v>38</v>
      </c>
      <c r="C412" s="2" t="s">
        <v>41</v>
      </c>
      <c r="D412" s="2" t="s">
        <v>38</v>
      </c>
      <c r="E412" s="2" t="s">
        <v>39</v>
      </c>
      <c r="F412" s="2" t="s">
        <v>496</v>
      </c>
      <c r="G412" s="2" t="s">
        <v>42</v>
      </c>
      <c r="H412" s="2" t="s">
        <v>42</v>
      </c>
      <c r="I412" s="2" t="s">
        <v>47</v>
      </c>
      <c r="J412" s="2" t="s">
        <v>44</v>
      </c>
      <c r="K412" s="2" t="s">
        <v>1651</v>
      </c>
      <c r="L412" s="2" t="s">
        <v>1599</v>
      </c>
      <c r="M412" s="2" t="s">
        <v>1600</v>
      </c>
      <c r="N412" s="2" t="s">
        <v>1652</v>
      </c>
      <c r="O412" s="2" t="s">
        <v>1653</v>
      </c>
      <c r="P412" s="2" t="s">
        <v>1603</v>
      </c>
      <c r="Q412" s="2">
        <v>52</v>
      </c>
      <c r="R412" s="2" t="b">
        <v>1</v>
      </c>
      <c r="S412" s="2">
        <v>0.84592145015105735</v>
      </c>
      <c r="V412" s="2" t="s">
        <v>510</v>
      </c>
      <c r="W412" s="2" t="s">
        <v>1824</v>
      </c>
      <c r="X412" s="2" t="s">
        <v>1825</v>
      </c>
      <c r="Y412" s="2" t="b">
        <v>1</v>
      </c>
      <c r="Z412" s="2" t="s">
        <v>67</v>
      </c>
      <c r="AA412" s="2">
        <v>0</v>
      </c>
      <c r="AB412" s="2" t="s">
        <v>49</v>
      </c>
    </row>
    <row r="413" spans="1:28" ht="15.75" hidden="1" customHeight="1" x14ac:dyDescent="0.3">
      <c r="A413" s="2" t="s">
        <v>37</v>
      </c>
      <c r="B413" s="2" t="s">
        <v>38</v>
      </c>
      <c r="C413" s="2" t="s">
        <v>41</v>
      </c>
      <c r="D413" s="2" t="s">
        <v>38</v>
      </c>
      <c r="E413" s="2" t="s">
        <v>39</v>
      </c>
      <c r="F413" s="2" t="s">
        <v>496</v>
      </c>
      <c r="G413" s="2" t="s">
        <v>42</v>
      </c>
      <c r="H413" s="2" t="s">
        <v>42</v>
      </c>
      <c r="I413" s="2" t="s">
        <v>47</v>
      </c>
      <c r="J413" s="2" t="s">
        <v>44</v>
      </c>
      <c r="K413" s="2" t="s">
        <v>1656</v>
      </c>
      <c r="L413" s="2" t="s">
        <v>1599</v>
      </c>
      <c r="M413" s="2" t="s">
        <v>1600</v>
      </c>
      <c r="N413" s="2" t="s">
        <v>1657</v>
      </c>
      <c r="O413" s="2" t="s">
        <v>1658</v>
      </c>
      <c r="P413" s="2" t="s">
        <v>1603</v>
      </c>
      <c r="Q413" s="2">
        <v>53</v>
      </c>
      <c r="R413" s="2" t="b">
        <v>1</v>
      </c>
      <c r="S413" s="2">
        <v>0.70748299319727892</v>
      </c>
      <c r="V413" s="2" t="s">
        <v>510</v>
      </c>
      <c r="W413" s="2" t="s">
        <v>1826</v>
      </c>
      <c r="X413" s="2" t="s">
        <v>1827</v>
      </c>
      <c r="Y413" s="2" t="b">
        <v>1</v>
      </c>
      <c r="Z413" s="2" t="s">
        <v>67</v>
      </c>
      <c r="AA413" s="2">
        <v>0</v>
      </c>
      <c r="AB413" s="2" t="s">
        <v>49</v>
      </c>
    </row>
    <row r="414" spans="1:28" ht="15.75" hidden="1" customHeight="1" x14ac:dyDescent="0.3">
      <c r="A414" s="2" t="s">
        <v>37</v>
      </c>
      <c r="B414" s="2" t="s">
        <v>38</v>
      </c>
      <c r="C414" s="2" t="s">
        <v>41</v>
      </c>
      <c r="D414" s="2" t="s">
        <v>38</v>
      </c>
      <c r="E414" s="2" t="s">
        <v>39</v>
      </c>
      <c r="F414" s="2" t="s">
        <v>496</v>
      </c>
      <c r="G414" s="2" t="s">
        <v>42</v>
      </c>
      <c r="H414" s="2" t="s">
        <v>42</v>
      </c>
      <c r="I414" s="2" t="s">
        <v>47</v>
      </c>
      <c r="J414" s="2" t="s">
        <v>44</v>
      </c>
      <c r="K414" s="2" t="s">
        <v>1661</v>
      </c>
      <c r="L414" s="2" t="s">
        <v>1599</v>
      </c>
      <c r="M414" s="2" t="s">
        <v>1600</v>
      </c>
      <c r="N414" s="2" t="s">
        <v>1662</v>
      </c>
      <c r="O414" s="2" t="s">
        <v>1663</v>
      </c>
      <c r="P414" s="2" t="s">
        <v>1603</v>
      </c>
      <c r="Q414" s="2">
        <v>54</v>
      </c>
      <c r="R414" s="2" t="b">
        <v>1</v>
      </c>
      <c r="S414" s="2">
        <v>0.84488448844884501</v>
      </c>
      <c r="V414" s="2" t="s">
        <v>510</v>
      </c>
      <c r="W414" s="2" t="s">
        <v>1828</v>
      </c>
      <c r="X414" s="2" t="s">
        <v>1829</v>
      </c>
      <c r="Y414" s="2" t="b">
        <v>1</v>
      </c>
      <c r="Z414" s="2" t="s">
        <v>67</v>
      </c>
      <c r="AA414" s="2">
        <v>0</v>
      </c>
      <c r="AB414" s="2" t="s">
        <v>49</v>
      </c>
    </row>
    <row r="415" spans="1:28" ht="15.75" hidden="1" customHeight="1" x14ac:dyDescent="0.3">
      <c r="A415" s="2" t="s">
        <v>37</v>
      </c>
      <c r="B415" s="2" t="s">
        <v>38</v>
      </c>
      <c r="C415" s="2" t="s">
        <v>41</v>
      </c>
      <c r="D415" s="2" t="s">
        <v>38</v>
      </c>
      <c r="E415" s="2" t="s">
        <v>39</v>
      </c>
      <c r="F415" s="2" t="s">
        <v>496</v>
      </c>
      <c r="G415" s="2" t="s">
        <v>42</v>
      </c>
      <c r="H415" s="2" t="s">
        <v>42</v>
      </c>
      <c r="I415" s="2" t="s">
        <v>47</v>
      </c>
      <c r="J415" s="2" t="s">
        <v>44</v>
      </c>
      <c r="K415" s="2" t="s">
        <v>1666</v>
      </c>
      <c r="L415" s="2" t="s">
        <v>1599</v>
      </c>
      <c r="M415" s="2" t="s">
        <v>1600</v>
      </c>
      <c r="N415" s="2" t="s">
        <v>1667</v>
      </c>
      <c r="O415" s="2" t="s">
        <v>1668</v>
      </c>
      <c r="P415" s="2" t="s">
        <v>1603</v>
      </c>
      <c r="Q415" s="2">
        <v>55</v>
      </c>
      <c r="R415" s="2" t="b">
        <v>1</v>
      </c>
      <c r="S415" s="2">
        <v>0.78125</v>
      </c>
      <c r="V415" s="2" t="s">
        <v>510</v>
      </c>
      <c r="W415" s="2" t="s">
        <v>1830</v>
      </c>
      <c r="X415" s="2" t="s">
        <v>1831</v>
      </c>
      <c r="Y415" s="2" t="b">
        <v>1</v>
      </c>
      <c r="Z415" s="2" t="s">
        <v>67</v>
      </c>
      <c r="AA415" s="2">
        <v>0</v>
      </c>
      <c r="AB415" s="2" t="s">
        <v>49</v>
      </c>
    </row>
    <row r="416" spans="1:28" ht="15.75" hidden="1" customHeight="1" x14ac:dyDescent="0.3">
      <c r="A416" s="2" t="s">
        <v>37</v>
      </c>
      <c r="B416" s="2" t="s">
        <v>38</v>
      </c>
      <c r="C416" s="2" t="s">
        <v>41</v>
      </c>
      <c r="D416" s="2" t="s">
        <v>38</v>
      </c>
      <c r="E416" s="2" t="s">
        <v>39</v>
      </c>
      <c r="F416" s="2" t="s">
        <v>496</v>
      </c>
      <c r="G416" s="2" t="s">
        <v>42</v>
      </c>
      <c r="H416" s="2" t="s">
        <v>42</v>
      </c>
      <c r="I416" s="2" t="s">
        <v>47</v>
      </c>
      <c r="J416" s="2" t="s">
        <v>44</v>
      </c>
      <c r="K416" s="2" t="s">
        <v>1671</v>
      </c>
      <c r="L416" s="2" t="s">
        <v>1599</v>
      </c>
      <c r="M416" s="2" t="s">
        <v>1600</v>
      </c>
      <c r="N416" s="2" t="s">
        <v>1672</v>
      </c>
      <c r="O416" s="2" t="s">
        <v>1673</v>
      </c>
      <c r="P416" s="2" t="s">
        <v>1603</v>
      </c>
      <c r="Q416" s="2">
        <v>56</v>
      </c>
      <c r="R416" s="2" t="b">
        <v>1</v>
      </c>
      <c r="S416" s="2">
        <v>0.75747508305647848</v>
      </c>
      <c r="V416" s="2" t="s">
        <v>510</v>
      </c>
      <c r="W416" s="2" t="s">
        <v>1832</v>
      </c>
      <c r="X416" s="2" t="s">
        <v>1833</v>
      </c>
      <c r="Y416" s="2" t="b">
        <v>1</v>
      </c>
      <c r="Z416" s="2" t="s">
        <v>67</v>
      </c>
      <c r="AA416" s="2">
        <v>0</v>
      </c>
      <c r="AB416" s="2" t="s">
        <v>49</v>
      </c>
    </row>
    <row r="417" spans="1:28" ht="15.75" hidden="1" customHeight="1" x14ac:dyDescent="0.3">
      <c r="A417" s="2" t="s">
        <v>37</v>
      </c>
      <c r="B417" s="2" t="s">
        <v>38</v>
      </c>
      <c r="C417" s="2" t="s">
        <v>41</v>
      </c>
      <c r="D417" s="2" t="s">
        <v>38</v>
      </c>
      <c r="E417" s="2" t="s">
        <v>39</v>
      </c>
      <c r="F417" s="2" t="s">
        <v>496</v>
      </c>
      <c r="G417" s="2" t="s">
        <v>42</v>
      </c>
      <c r="H417" s="2" t="s">
        <v>42</v>
      </c>
      <c r="I417" s="2" t="s">
        <v>47</v>
      </c>
      <c r="J417" s="2" t="s">
        <v>44</v>
      </c>
      <c r="K417" s="2" t="s">
        <v>1676</v>
      </c>
      <c r="L417" s="2" t="s">
        <v>1599</v>
      </c>
      <c r="M417" s="2" t="s">
        <v>1600</v>
      </c>
      <c r="N417" s="2" t="s">
        <v>1677</v>
      </c>
      <c r="O417" s="2" t="s">
        <v>1678</v>
      </c>
      <c r="P417" s="2" t="s">
        <v>1603</v>
      </c>
      <c r="Q417" s="2">
        <v>57</v>
      </c>
      <c r="R417" s="2" t="b">
        <v>1</v>
      </c>
      <c r="S417" s="2">
        <v>0.8109756097560975</v>
      </c>
      <c r="V417" s="2" t="s">
        <v>510</v>
      </c>
      <c r="W417" s="2" t="s">
        <v>1834</v>
      </c>
      <c r="X417" s="2" t="s">
        <v>1835</v>
      </c>
      <c r="Y417" s="2" t="b">
        <v>1</v>
      </c>
      <c r="Z417" s="2" t="s">
        <v>67</v>
      </c>
      <c r="AA417" s="2">
        <v>0</v>
      </c>
      <c r="AB417" s="2" t="s">
        <v>49</v>
      </c>
    </row>
    <row r="418" spans="1:28" ht="15.75" hidden="1" customHeight="1" x14ac:dyDescent="0.3">
      <c r="A418" s="2" t="s">
        <v>37</v>
      </c>
      <c r="B418" s="2" t="s">
        <v>38</v>
      </c>
      <c r="C418" s="2" t="s">
        <v>41</v>
      </c>
      <c r="D418" s="2" t="s">
        <v>38</v>
      </c>
      <c r="E418" s="2" t="s">
        <v>39</v>
      </c>
      <c r="F418" s="2" t="s">
        <v>496</v>
      </c>
      <c r="G418" s="2" t="s">
        <v>42</v>
      </c>
      <c r="H418" s="2" t="s">
        <v>42</v>
      </c>
      <c r="I418" s="2" t="s">
        <v>47</v>
      </c>
      <c r="J418" s="2" t="s">
        <v>44</v>
      </c>
      <c r="K418" s="2" t="s">
        <v>1681</v>
      </c>
      <c r="L418" s="2" t="s">
        <v>1599</v>
      </c>
      <c r="M418" s="2" t="s">
        <v>1600</v>
      </c>
      <c r="N418" s="2" t="s">
        <v>1682</v>
      </c>
      <c r="O418" s="2" t="s">
        <v>1683</v>
      </c>
      <c r="P418" s="2" t="s">
        <v>1603</v>
      </c>
      <c r="Q418" s="2">
        <v>58</v>
      </c>
      <c r="R418" s="2" t="b">
        <v>1</v>
      </c>
      <c r="S418" s="2">
        <v>0.70870870870870872</v>
      </c>
      <c r="V418" s="2" t="s">
        <v>510</v>
      </c>
      <c r="W418" s="2" t="s">
        <v>1836</v>
      </c>
      <c r="X418" s="2" t="s">
        <v>1837</v>
      </c>
      <c r="Y418" s="2" t="b">
        <v>1</v>
      </c>
      <c r="Z418" s="2" t="s">
        <v>67</v>
      </c>
      <c r="AA418" s="2">
        <v>0</v>
      </c>
      <c r="AB418" s="2" t="s">
        <v>49</v>
      </c>
    </row>
    <row r="419" spans="1:28" ht="15.75" hidden="1" customHeight="1" x14ac:dyDescent="0.3">
      <c r="A419" s="2" t="s">
        <v>37</v>
      </c>
      <c r="B419" s="2" t="s">
        <v>38</v>
      </c>
      <c r="C419" s="2" t="s">
        <v>41</v>
      </c>
      <c r="D419" s="2" t="s">
        <v>38</v>
      </c>
      <c r="E419" s="2" t="s">
        <v>39</v>
      </c>
      <c r="F419" s="2" t="s">
        <v>496</v>
      </c>
      <c r="G419" s="2" t="s">
        <v>42</v>
      </c>
      <c r="H419" s="2" t="s">
        <v>42</v>
      </c>
      <c r="I419" s="2" t="s">
        <v>47</v>
      </c>
      <c r="J419" s="2" t="s">
        <v>44</v>
      </c>
      <c r="K419" s="2" t="s">
        <v>1686</v>
      </c>
      <c r="L419" s="2" t="s">
        <v>1599</v>
      </c>
      <c r="M419" s="2" t="s">
        <v>1600</v>
      </c>
      <c r="N419" s="2" t="s">
        <v>1687</v>
      </c>
      <c r="O419" s="2" t="s">
        <v>1688</v>
      </c>
      <c r="P419" s="2" t="s">
        <v>1603</v>
      </c>
      <c r="Q419" s="2">
        <v>59</v>
      </c>
      <c r="R419" s="2" t="b">
        <v>1</v>
      </c>
      <c r="S419" s="2">
        <v>0.78186968838526916</v>
      </c>
      <c r="V419" s="2" t="s">
        <v>510</v>
      </c>
      <c r="W419" s="2" t="s">
        <v>1838</v>
      </c>
      <c r="X419" s="2" t="s">
        <v>1839</v>
      </c>
      <c r="Y419" s="2" t="b">
        <v>1</v>
      </c>
      <c r="Z419" s="2" t="s">
        <v>67</v>
      </c>
      <c r="AA419" s="2">
        <v>0</v>
      </c>
      <c r="AB419" s="2" t="s">
        <v>49</v>
      </c>
    </row>
    <row r="420" spans="1:28" ht="15.75" hidden="1" customHeight="1" x14ac:dyDescent="0.3">
      <c r="A420" s="2" t="s">
        <v>37</v>
      </c>
      <c r="B420" s="2" t="s">
        <v>38</v>
      </c>
      <c r="C420" s="2" t="s">
        <v>41</v>
      </c>
      <c r="D420" s="2" t="s">
        <v>38</v>
      </c>
      <c r="E420" s="2" t="s">
        <v>39</v>
      </c>
      <c r="F420" s="2" t="s">
        <v>496</v>
      </c>
      <c r="G420" s="2" t="s">
        <v>42</v>
      </c>
      <c r="H420" s="2" t="s">
        <v>42</v>
      </c>
      <c r="I420" s="2" t="s">
        <v>47</v>
      </c>
      <c r="J420" s="2" t="s">
        <v>44</v>
      </c>
      <c r="K420" s="2" t="s">
        <v>1691</v>
      </c>
      <c r="L420" s="2" t="s">
        <v>1599</v>
      </c>
      <c r="M420" s="2" t="s">
        <v>1600</v>
      </c>
      <c r="N420" s="2" t="s">
        <v>1692</v>
      </c>
      <c r="O420" s="2" t="s">
        <v>1693</v>
      </c>
      <c r="P420" s="2" t="s">
        <v>1603</v>
      </c>
      <c r="Q420" s="2">
        <v>60</v>
      </c>
      <c r="R420" s="2" t="b">
        <v>1</v>
      </c>
      <c r="S420" s="2">
        <v>0.73394495412844041</v>
      </c>
      <c r="V420" s="2" t="s">
        <v>510</v>
      </c>
      <c r="W420" s="2" t="s">
        <v>1840</v>
      </c>
      <c r="X420" s="2" t="s">
        <v>1841</v>
      </c>
      <c r="Y420" s="2" t="b">
        <v>1</v>
      </c>
      <c r="Z420" s="2" t="s">
        <v>67</v>
      </c>
      <c r="AA420" s="2">
        <v>0</v>
      </c>
      <c r="AB420" s="2" t="s">
        <v>49</v>
      </c>
    </row>
    <row r="421" spans="1:28" ht="15.75" hidden="1" customHeight="1" x14ac:dyDescent="0.3">
      <c r="A421" s="2" t="s">
        <v>37</v>
      </c>
      <c r="B421" s="2" t="s">
        <v>38</v>
      </c>
      <c r="C421" s="2" t="s">
        <v>41</v>
      </c>
      <c r="D421" s="2" t="s">
        <v>38</v>
      </c>
      <c r="E421" s="2" t="s">
        <v>39</v>
      </c>
      <c r="F421" s="2" t="s">
        <v>496</v>
      </c>
      <c r="G421" s="2" t="s">
        <v>42</v>
      </c>
      <c r="H421" s="2" t="s">
        <v>42</v>
      </c>
      <c r="I421" s="2" t="s">
        <v>47</v>
      </c>
      <c r="J421" s="2" t="s">
        <v>44</v>
      </c>
      <c r="K421" s="2" t="s">
        <v>1696</v>
      </c>
      <c r="L421" s="2" t="s">
        <v>1599</v>
      </c>
      <c r="M421" s="2" t="s">
        <v>1600</v>
      </c>
      <c r="N421" s="2" t="s">
        <v>1697</v>
      </c>
      <c r="O421" s="2" t="s">
        <v>1698</v>
      </c>
      <c r="P421" s="2" t="s">
        <v>1603</v>
      </c>
      <c r="Q421" s="2">
        <v>61</v>
      </c>
      <c r="R421" s="2" t="b">
        <v>1</v>
      </c>
      <c r="S421" s="2">
        <v>0.78032786885245908</v>
      </c>
      <c r="V421" s="2" t="s">
        <v>510</v>
      </c>
      <c r="W421" s="2" t="s">
        <v>1842</v>
      </c>
      <c r="X421" s="2" t="s">
        <v>1843</v>
      </c>
      <c r="Y421" s="2" t="b">
        <v>1</v>
      </c>
      <c r="Z421" s="2" t="s">
        <v>67</v>
      </c>
      <c r="AA421" s="2">
        <v>0</v>
      </c>
      <c r="AB421" s="2" t="s">
        <v>49</v>
      </c>
    </row>
    <row r="422" spans="1:28" ht="15.75" hidden="1" customHeight="1" x14ac:dyDescent="0.3">
      <c r="A422" s="2" t="s">
        <v>37</v>
      </c>
      <c r="B422" s="2" t="s">
        <v>38</v>
      </c>
      <c r="C422" s="2" t="s">
        <v>41</v>
      </c>
      <c r="D422" s="2" t="s">
        <v>38</v>
      </c>
      <c r="E422" s="2" t="s">
        <v>39</v>
      </c>
      <c r="F422" s="2" t="s">
        <v>496</v>
      </c>
      <c r="G422" s="2" t="s">
        <v>42</v>
      </c>
      <c r="H422" s="2" t="s">
        <v>42</v>
      </c>
      <c r="I422" s="2" t="s">
        <v>239</v>
      </c>
      <c r="J422" s="2" t="s">
        <v>71</v>
      </c>
      <c r="K422" s="2" t="s">
        <v>1701</v>
      </c>
      <c r="L422" s="2" t="s">
        <v>1702</v>
      </c>
      <c r="M422" s="2" t="s">
        <v>1703</v>
      </c>
      <c r="N422" s="2" t="s">
        <v>1704</v>
      </c>
      <c r="O422" s="2" t="s">
        <v>1705</v>
      </c>
      <c r="P422" s="2" t="s">
        <v>1706</v>
      </c>
      <c r="Q422" s="2">
        <v>42</v>
      </c>
      <c r="R422" s="2" t="b">
        <v>0</v>
      </c>
      <c r="S422" s="2">
        <v>0.7678018575851393</v>
      </c>
      <c r="V422" s="2" t="s">
        <v>510</v>
      </c>
      <c r="W422" s="2" t="s">
        <v>1844</v>
      </c>
      <c r="X422" s="2" t="s">
        <v>1845</v>
      </c>
      <c r="Y422" s="2" t="b">
        <v>1</v>
      </c>
      <c r="Z422" s="2" t="s">
        <v>67</v>
      </c>
      <c r="AA422" s="2">
        <v>0</v>
      </c>
      <c r="AB422" s="2" t="s">
        <v>49</v>
      </c>
    </row>
    <row r="423" spans="1:28" ht="15.75" hidden="1" customHeight="1" x14ac:dyDescent="0.3">
      <c r="A423" s="2" t="s">
        <v>37</v>
      </c>
      <c r="B423" s="2" t="s">
        <v>38</v>
      </c>
      <c r="C423" s="2" t="s">
        <v>41</v>
      </c>
      <c r="D423" s="2" t="s">
        <v>38</v>
      </c>
      <c r="E423" s="2" t="s">
        <v>39</v>
      </c>
      <c r="F423" s="2" t="s">
        <v>496</v>
      </c>
      <c r="G423" s="2" t="s">
        <v>42</v>
      </c>
      <c r="H423" s="2" t="s">
        <v>42</v>
      </c>
      <c r="I423" s="2" t="s">
        <v>239</v>
      </c>
      <c r="J423" s="2" t="s">
        <v>71</v>
      </c>
      <c r="K423" s="2" t="s">
        <v>1709</v>
      </c>
      <c r="L423" s="2" t="s">
        <v>1702</v>
      </c>
      <c r="M423" s="2" t="s">
        <v>1703</v>
      </c>
      <c r="N423" s="2" t="s">
        <v>1710</v>
      </c>
      <c r="O423" s="2" t="s">
        <v>1711</v>
      </c>
      <c r="P423" s="2" t="s">
        <v>1706</v>
      </c>
      <c r="Q423" s="2">
        <v>43</v>
      </c>
      <c r="R423" s="2" t="b">
        <v>0</v>
      </c>
      <c r="S423" s="2">
        <v>0.73103448275862071</v>
      </c>
      <c r="V423" s="2" t="s">
        <v>510</v>
      </c>
      <c r="W423" s="2" t="s">
        <v>1846</v>
      </c>
      <c r="X423" s="2" t="s">
        <v>1847</v>
      </c>
      <c r="Y423" s="2" t="b">
        <v>1</v>
      </c>
      <c r="Z423" s="2" t="s">
        <v>67</v>
      </c>
      <c r="AA423" s="2">
        <v>0</v>
      </c>
      <c r="AB423" s="2" t="s">
        <v>49</v>
      </c>
    </row>
    <row r="424" spans="1:28" ht="15.75" hidden="1" customHeight="1" x14ac:dyDescent="0.3">
      <c r="A424" s="2" t="s">
        <v>37</v>
      </c>
      <c r="B424" s="2" t="s">
        <v>38</v>
      </c>
      <c r="C424" s="2" t="s">
        <v>41</v>
      </c>
      <c r="D424" s="2" t="s">
        <v>38</v>
      </c>
      <c r="E424" s="2" t="s">
        <v>39</v>
      </c>
      <c r="F424" s="2" t="s">
        <v>496</v>
      </c>
      <c r="G424" s="2" t="s">
        <v>42</v>
      </c>
      <c r="H424" s="2" t="s">
        <v>42</v>
      </c>
      <c r="I424" s="2" t="s">
        <v>239</v>
      </c>
      <c r="J424" s="2" t="s">
        <v>71</v>
      </c>
      <c r="K424" s="2" t="s">
        <v>1714</v>
      </c>
      <c r="L424" s="2" t="s">
        <v>1702</v>
      </c>
      <c r="M424" s="2" t="s">
        <v>1703</v>
      </c>
      <c r="N424" s="2" t="s">
        <v>1715</v>
      </c>
      <c r="O424" s="2" t="s">
        <v>1716</v>
      </c>
      <c r="P424" s="2" t="s">
        <v>1706</v>
      </c>
      <c r="Q424" s="2">
        <v>44</v>
      </c>
      <c r="R424" s="2" t="b">
        <v>0</v>
      </c>
      <c r="S424" s="2">
        <v>0.81388012618296524</v>
      </c>
      <c r="V424" s="2" t="s">
        <v>510</v>
      </c>
      <c r="W424" s="2" t="s">
        <v>1848</v>
      </c>
      <c r="X424" s="2" t="s">
        <v>1849</v>
      </c>
      <c r="Y424" s="2" t="b">
        <v>1</v>
      </c>
      <c r="Z424" s="2" t="s">
        <v>67</v>
      </c>
      <c r="AA424" s="2">
        <v>0</v>
      </c>
      <c r="AB424" s="2" t="s">
        <v>49</v>
      </c>
    </row>
    <row r="425" spans="1:28" ht="15.75" hidden="1" customHeight="1" x14ac:dyDescent="0.3">
      <c r="A425" s="2" t="s">
        <v>37</v>
      </c>
      <c r="B425" s="2" t="s">
        <v>38</v>
      </c>
      <c r="C425" s="2" t="s">
        <v>41</v>
      </c>
      <c r="D425" s="2" t="s">
        <v>38</v>
      </c>
      <c r="E425" s="2" t="s">
        <v>39</v>
      </c>
      <c r="F425" s="2" t="s">
        <v>496</v>
      </c>
      <c r="G425" s="2" t="s">
        <v>42</v>
      </c>
      <c r="H425" s="2" t="s">
        <v>42</v>
      </c>
      <c r="I425" s="2" t="s">
        <v>239</v>
      </c>
      <c r="J425" s="2" t="s">
        <v>71</v>
      </c>
      <c r="K425" s="2" t="s">
        <v>1719</v>
      </c>
      <c r="L425" s="2" t="s">
        <v>1702</v>
      </c>
      <c r="M425" s="2" t="s">
        <v>1703</v>
      </c>
      <c r="N425" s="2" t="s">
        <v>1720</v>
      </c>
      <c r="O425" s="2" t="s">
        <v>1721</v>
      </c>
      <c r="P425" s="2" t="s">
        <v>1706</v>
      </c>
      <c r="Q425" s="2">
        <v>45</v>
      </c>
      <c r="R425" s="2" t="b">
        <v>0</v>
      </c>
      <c r="S425" s="2">
        <v>0.81846153846153846</v>
      </c>
      <c r="V425" s="2" t="s">
        <v>510</v>
      </c>
      <c r="W425" s="2" t="s">
        <v>1850</v>
      </c>
      <c r="X425" s="2" t="s">
        <v>1851</v>
      </c>
      <c r="Y425" s="2" t="b">
        <v>1</v>
      </c>
      <c r="Z425" s="2" t="s">
        <v>67</v>
      </c>
      <c r="AA425" s="2">
        <v>0</v>
      </c>
      <c r="AB425" s="2" t="s">
        <v>49</v>
      </c>
    </row>
    <row r="426" spans="1:28" ht="15.75" hidden="1" customHeight="1" x14ac:dyDescent="0.3">
      <c r="A426" s="2" t="s">
        <v>37</v>
      </c>
      <c r="B426" s="2" t="s">
        <v>38</v>
      </c>
      <c r="C426" s="2" t="s">
        <v>41</v>
      </c>
      <c r="D426" s="2" t="s">
        <v>38</v>
      </c>
      <c r="E426" s="2" t="s">
        <v>39</v>
      </c>
      <c r="F426" s="2" t="s">
        <v>496</v>
      </c>
      <c r="G426" s="2" t="s">
        <v>42</v>
      </c>
      <c r="H426" s="2" t="s">
        <v>42</v>
      </c>
      <c r="I426" s="2" t="s">
        <v>239</v>
      </c>
      <c r="J426" s="2" t="s">
        <v>71</v>
      </c>
      <c r="K426" s="2" t="s">
        <v>1724</v>
      </c>
      <c r="L426" s="2" t="s">
        <v>1702</v>
      </c>
      <c r="M426" s="2" t="s">
        <v>1703</v>
      </c>
      <c r="N426" s="2" t="s">
        <v>1725</v>
      </c>
      <c r="O426" s="2" t="s">
        <v>1726</v>
      </c>
      <c r="P426" s="2" t="s">
        <v>1706</v>
      </c>
      <c r="Q426" s="2">
        <v>46</v>
      </c>
      <c r="R426" s="2" t="b">
        <v>0</v>
      </c>
      <c r="S426" s="2">
        <v>0.75657894736842113</v>
      </c>
      <c r="V426" s="2" t="s">
        <v>510</v>
      </c>
      <c r="W426" s="2" t="s">
        <v>1852</v>
      </c>
      <c r="X426" s="2" t="s">
        <v>1853</v>
      </c>
      <c r="Y426" s="2" t="b">
        <v>1</v>
      </c>
      <c r="Z426" s="2" t="s">
        <v>67</v>
      </c>
      <c r="AA426" s="2">
        <v>0</v>
      </c>
      <c r="AB426" s="2" t="s">
        <v>49</v>
      </c>
    </row>
    <row r="427" spans="1:28" ht="15.75" hidden="1" customHeight="1" x14ac:dyDescent="0.3">
      <c r="A427" s="2" t="s">
        <v>37</v>
      </c>
      <c r="B427" s="2" t="s">
        <v>38</v>
      </c>
      <c r="C427" s="2" t="s">
        <v>41</v>
      </c>
      <c r="D427" s="2" t="s">
        <v>38</v>
      </c>
      <c r="E427" s="2" t="s">
        <v>39</v>
      </c>
      <c r="F427" s="2" t="s">
        <v>496</v>
      </c>
      <c r="G427" s="2" t="s">
        <v>42</v>
      </c>
      <c r="H427" s="2" t="s">
        <v>42</v>
      </c>
      <c r="I427" s="2" t="s">
        <v>239</v>
      </c>
      <c r="J427" s="2" t="s">
        <v>71</v>
      </c>
      <c r="K427" s="2" t="s">
        <v>1729</v>
      </c>
      <c r="L427" s="2" t="s">
        <v>1702</v>
      </c>
      <c r="M427" s="2" t="s">
        <v>1703</v>
      </c>
      <c r="N427" s="2" t="s">
        <v>1730</v>
      </c>
      <c r="O427" s="2" t="s">
        <v>1731</v>
      </c>
      <c r="P427" s="2" t="s">
        <v>1706</v>
      </c>
      <c r="Q427" s="2">
        <v>47</v>
      </c>
      <c r="R427" s="2" t="b">
        <v>0</v>
      </c>
      <c r="S427" s="2">
        <v>0.77811550151975695</v>
      </c>
      <c r="V427" s="2" t="s">
        <v>510</v>
      </c>
      <c r="W427" s="2" t="s">
        <v>1854</v>
      </c>
      <c r="X427" s="2" t="s">
        <v>1855</v>
      </c>
      <c r="Y427" s="2" t="b">
        <v>1</v>
      </c>
      <c r="Z427" s="2" t="s">
        <v>67</v>
      </c>
      <c r="AA427" s="2">
        <v>0</v>
      </c>
      <c r="AB427" s="2" t="s">
        <v>49</v>
      </c>
    </row>
    <row r="428" spans="1:28" ht="15.75" hidden="1" customHeight="1" x14ac:dyDescent="0.3">
      <c r="A428" s="2" t="s">
        <v>37</v>
      </c>
      <c r="B428" s="2" t="s">
        <v>38</v>
      </c>
      <c r="C428" s="2" t="s">
        <v>41</v>
      </c>
      <c r="D428" s="2" t="s">
        <v>38</v>
      </c>
      <c r="E428" s="2" t="s">
        <v>39</v>
      </c>
      <c r="F428" s="2" t="s">
        <v>496</v>
      </c>
      <c r="G428" s="2" t="s">
        <v>42</v>
      </c>
      <c r="H428" s="2" t="s">
        <v>42</v>
      </c>
      <c r="I428" s="2" t="s">
        <v>239</v>
      </c>
      <c r="J428" s="2" t="s">
        <v>71</v>
      </c>
      <c r="K428" s="2" t="s">
        <v>1734</v>
      </c>
      <c r="L428" s="2" t="s">
        <v>1702</v>
      </c>
      <c r="M428" s="2" t="s">
        <v>1703</v>
      </c>
      <c r="N428" s="2" t="s">
        <v>1735</v>
      </c>
      <c r="O428" s="2" t="s">
        <v>1736</v>
      </c>
      <c r="P428" s="2" t="s">
        <v>1706</v>
      </c>
      <c r="Q428" s="2">
        <v>48</v>
      </c>
      <c r="R428" s="2" t="b">
        <v>0</v>
      </c>
      <c r="S428" s="2">
        <v>0.76582278481012656</v>
      </c>
      <c r="V428" s="2" t="s">
        <v>510</v>
      </c>
      <c r="W428" s="2" t="s">
        <v>1856</v>
      </c>
      <c r="X428" s="2" t="s">
        <v>1857</v>
      </c>
      <c r="Y428" s="2" t="b">
        <v>1</v>
      </c>
      <c r="Z428" s="2" t="s">
        <v>67</v>
      </c>
      <c r="AA428" s="2">
        <v>0</v>
      </c>
      <c r="AB428" s="2" t="s">
        <v>49</v>
      </c>
    </row>
    <row r="429" spans="1:28" ht="15.75" hidden="1" customHeight="1" x14ac:dyDescent="0.3">
      <c r="A429" s="2" t="s">
        <v>37</v>
      </c>
      <c r="B429" s="2" t="s">
        <v>38</v>
      </c>
      <c r="C429" s="2" t="s">
        <v>41</v>
      </c>
      <c r="D429" s="2" t="s">
        <v>38</v>
      </c>
      <c r="E429" s="2" t="s">
        <v>39</v>
      </c>
      <c r="F429" s="2" t="s">
        <v>496</v>
      </c>
      <c r="G429" s="2" t="s">
        <v>42</v>
      </c>
      <c r="H429" s="2" t="s">
        <v>42</v>
      </c>
      <c r="I429" s="2" t="s">
        <v>239</v>
      </c>
      <c r="J429" s="2" t="s">
        <v>71</v>
      </c>
      <c r="K429" s="2" t="s">
        <v>1739</v>
      </c>
      <c r="L429" s="2" t="s">
        <v>1702</v>
      </c>
      <c r="M429" s="2" t="s">
        <v>1703</v>
      </c>
      <c r="N429" s="2" t="s">
        <v>1740</v>
      </c>
      <c r="O429" s="2" t="s">
        <v>1741</v>
      </c>
      <c r="P429" s="2" t="s">
        <v>1706</v>
      </c>
      <c r="Q429" s="2">
        <v>49</v>
      </c>
      <c r="R429" s="2" t="b">
        <v>0</v>
      </c>
      <c r="S429" s="2">
        <v>0.76452599388379217</v>
      </c>
      <c r="V429" s="2" t="s">
        <v>510</v>
      </c>
      <c r="W429" s="2" t="s">
        <v>1858</v>
      </c>
      <c r="X429" s="2" t="s">
        <v>1859</v>
      </c>
      <c r="Y429" s="2" t="b">
        <v>1</v>
      </c>
      <c r="Z429" s="2" t="s">
        <v>67</v>
      </c>
      <c r="AA429" s="2">
        <v>0</v>
      </c>
      <c r="AB429" s="2" t="s">
        <v>49</v>
      </c>
    </row>
    <row r="430" spans="1:28" ht="15.75" hidden="1" customHeight="1" x14ac:dyDescent="0.3">
      <c r="A430" s="2" t="s">
        <v>37</v>
      </c>
      <c r="B430" s="2" t="s">
        <v>38</v>
      </c>
      <c r="C430" s="2" t="s">
        <v>41</v>
      </c>
      <c r="D430" s="2" t="s">
        <v>38</v>
      </c>
      <c r="E430" s="2" t="s">
        <v>39</v>
      </c>
      <c r="F430" s="2" t="s">
        <v>496</v>
      </c>
      <c r="G430" s="2" t="s">
        <v>42</v>
      </c>
      <c r="H430" s="2" t="s">
        <v>42</v>
      </c>
      <c r="I430" s="2" t="s">
        <v>239</v>
      </c>
      <c r="J430" s="2" t="s">
        <v>71</v>
      </c>
      <c r="K430" s="2" t="s">
        <v>1744</v>
      </c>
      <c r="L430" s="2" t="s">
        <v>1702</v>
      </c>
      <c r="M430" s="2" t="s">
        <v>1703</v>
      </c>
      <c r="N430" s="2" t="s">
        <v>1745</v>
      </c>
      <c r="O430" s="2" t="s">
        <v>1746</v>
      </c>
      <c r="P430" s="2" t="s">
        <v>1706</v>
      </c>
      <c r="Q430" s="2">
        <v>50</v>
      </c>
      <c r="R430" s="2" t="b">
        <v>0</v>
      </c>
      <c r="S430" s="2">
        <v>0.81311475409836065</v>
      </c>
      <c r="V430" s="2" t="s">
        <v>510</v>
      </c>
      <c r="W430" s="2" t="s">
        <v>1860</v>
      </c>
      <c r="X430" s="2" t="s">
        <v>1861</v>
      </c>
      <c r="Y430" s="2" t="b">
        <v>1</v>
      </c>
      <c r="Z430" s="2" t="s">
        <v>67</v>
      </c>
      <c r="AA430" s="2">
        <v>0</v>
      </c>
      <c r="AB430" s="2" t="s">
        <v>49</v>
      </c>
    </row>
    <row r="431" spans="1:28" ht="15.75" hidden="1" customHeight="1" x14ac:dyDescent="0.3">
      <c r="A431" s="2" t="s">
        <v>37</v>
      </c>
      <c r="B431" s="2" t="s">
        <v>38</v>
      </c>
      <c r="C431" s="2" t="s">
        <v>41</v>
      </c>
      <c r="D431" s="2" t="s">
        <v>38</v>
      </c>
      <c r="E431" s="2" t="s">
        <v>39</v>
      </c>
      <c r="F431" s="2" t="s">
        <v>496</v>
      </c>
      <c r="G431" s="2" t="s">
        <v>42</v>
      </c>
      <c r="H431" s="2" t="s">
        <v>42</v>
      </c>
      <c r="I431" s="2" t="s">
        <v>239</v>
      </c>
      <c r="J431" s="2" t="s">
        <v>71</v>
      </c>
      <c r="K431" s="2" t="s">
        <v>1749</v>
      </c>
      <c r="L431" s="2" t="s">
        <v>1702</v>
      </c>
      <c r="M431" s="2" t="s">
        <v>1703</v>
      </c>
      <c r="N431" s="2" t="s">
        <v>1750</v>
      </c>
      <c r="O431" s="2" t="s">
        <v>1751</v>
      </c>
      <c r="P431" s="2" t="s">
        <v>1706</v>
      </c>
      <c r="Q431" s="2">
        <v>51</v>
      </c>
      <c r="R431" s="2" t="b">
        <v>0</v>
      </c>
      <c r="S431" s="2">
        <v>0.77358490566037741</v>
      </c>
      <c r="V431" s="2" t="s">
        <v>510</v>
      </c>
      <c r="W431" s="2" t="s">
        <v>1862</v>
      </c>
      <c r="X431" s="2" t="s">
        <v>1863</v>
      </c>
      <c r="Y431" s="2" t="b">
        <v>1</v>
      </c>
      <c r="Z431" s="2" t="s">
        <v>67</v>
      </c>
      <c r="AA431" s="2">
        <v>0</v>
      </c>
      <c r="AB431" s="2" t="s">
        <v>49</v>
      </c>
    </row>
    <row r="432" spans="1:28" ht="15.75" hidden="1" customHeight="1" x14ac:dyDescent="0.3">
      <c r="A432" s="2" t="s">
        <v>37</v>
      </c>
      <c r="B432" s="2" t="s">
        <v>38</v>
      </c>
      <c r="C432" s="2" t="s">
        <v>41</v>
      </c>
      <c r="D432" s="2" t="s">
        <v>38</v>
      </c>
      <c r="E432" s="2" t="s">
        <v>39</v>
      </c>
      <c r="F432" s="2" t="s">
        <v>496</v>
      </c>
      <c r="G432" s="2" t="s">
        <v>42</v>
      </c>
      <c r="H432" s="2" t="s">
        <v>42</v>
      </c>
      <c r="I432" s="2" t="s">
        <v>239</v>
      </c>
      <c r="J432" s="2" t="s">
        <v>71</v>
      </c>
      <c r="K432" s="2" t="s">
        <v>1754</v>
      </c>
      <c r="L432" s="2" t="s">
        <v>1702</v>
      </c>
      <c r="M432" s="2" t="s">
        <v>1703</v>
      </c>
      <c r="N432" s="2" t="s">
        <v>1755</v>
      </c>
      <c r="O432" s="2" t="s">
        <v>1756</v>
      </c>
      <c r="P432" s="2" t="s">
        <v>1706</v>
      </c>
      <c r="Q432" s="2">
        <v>52</v>
      </c>
      <c r="R432" s="2" t="b">
        <v>0</v>
      </c>
      <c r="S432" s="2">
        <v>0.78395061728395055</v>
      </c>
      <c r="V432" s="2" t="s">
        <v>510</v>
      </c>
      <c r="W432" s="2" t="s">
        <v>1864</v>
      </c>
      <c r="X432" s="2" t="s">
        <v>1865</v>
      </c>
      <c r="Y432" s="2" t="b">
        <v>1</v>
      </c>
      <c r="Z432" s="2" t="s">
        <v>67</v>
      </c>
      <c r="AA432" s="2">
        <v>0</v>
      </c>
      <c r="AB432" s="2" t="s">
        <v>49</v>
      </c>
    </row>
    <row r="433" spans="1:28" ht="15.75" hidden="1" customHeight="1" x14ac:dyDescent="0.3">
      <c r="A433" s="2" t="s">
        <v>37</v>
      </c>
      <c r="B433" s="2" t="s">
        <v>38</v>
      </c>
      <c r="C433" s="2" t="s">
        <v>41</v>
      </c>
      <c r="D433" s="2" t="s">
        <v>38</v>
      </c>
      <c r="E433" s="2" t="s">
        <v>39</v>
      </c>
      <c r="F433" s="2" t="s">
        <v>496</v>
      </c>
      <c r="G433" s="2" t="s">
        <v>42</v>
      </c>
      <c r="H433" s="2" t="s">
        <v>42</v>
      </c>
      <c r="I433" s="2" t="s">
        <v>239</v>
      </c>
      <c r="J433" s="2" t="s">
        <v>71</v>
      </c>
      <c r="K433" s="2" t="s">
        <v>1759</v>
      </c>
      <c r="L433" s="2" t="s">
        <v>1702</v>
      </c>
      <c r="M433" s="2" t="s">
        <v>1703</v>
      </c>
      <c r="N433" s="2" t="s">
        <v>1760</v>
      </c>
      <c r="O433" s="2" t="s">
        <v>1761</v>
      </c>
      <c r="P433" s="2" t="s">
        <v>1706</v>
      </c>
      <c r="Q433" s="2">
        <v>53</v>
      </c>
      <c r="R433" s="2" t="b">
        <v>0</v>
      </c>
      <c r="S433" s="2">
        <v>0.74924471299093653</v>
      </c>
      <c r="V433" s="2" t="s">
        <v>510</v>
      </c>
      <c r="W433" s="2" t="s">
        <v>1866</v>
      </c>
      <c r="X433" s="2" t="s">
        <v>1867</v>
      </c>
      <c r="Y433" s="2" t="b">
        <v>1</v>
      </c>
      <c r="Z433" s="2" t="s">
        <v>67</v>
      </c>
      <c r="AA433" s="2">
        <v>0</v>
      </c>
      <c r="AB433" s="2" t="s">
        <v>49</v>
      </c>
    </row>
    <row r="434" spans="1:28" ht="15.75" hidden="1" customHeight="1" x14ac:dyDescent="0.3">
      <c r="A434" s="2" t="s">
        <v>37</v>
      </c>
      <c r="B434" s="2" t="s">
        <v>38</v>
      </c>
      <c r="C434" s="2" t="s">
        <v>41</v>
      </c>
      <c r="D434" s="2" t="s">
        <v>38</v>
      </c>
      <c r="E434" s="2" t="s">
        <v>39</v>
      </c>
      <c r="F434" s="2" t="s">
        <v>496</v>
      </c>
      <c r="G434" s="2" t="s">
        <v>42</v>
      </c>
      <c r="H434" s="2" t="s">
        <v>42</v>
      </c>
      <c r="I434" s="2" t="s">
        <v>239</v>
      </c>
      <c r="J434" s="2" t="s">
        <v>71</v>
      </c>
      <c r="K434" s="2" t="s">
        <v>1764</v>
      </c>
      <c r="L434" s="2" t="s">
        <v>1702</v>
      </c>
      <c r="M434" s="2" t="s">
        <v>1703</v>
      </c>
      <c r="N434" s="2" t="s">
        <v>1765</v>
      </c>
      <c r="O434" s="2" t="s">
        <v>1766</v>
      </c>
      <c r="P434" s="2" t="s">
        <v>1706</v>
      </c>
      <c r="Q434" s="2">
        <v>54</v>
      </c>
      <c r="R434" s="2" t="b">
        <v>0</v>
      </c>
      <c r="S434" s="2">
        <v>0.77333333333333343</v>
      </c>
      <c r="V434" s="2" t="s">
        <v>510</v>
      </c>
      <c r="W434" s="2" t="s">
        <v>1868</v>
      </c>
      <c r="X434" s="2" t="s">
        <v>1869</v>
      </c>
      <c r="Y434" s="2" t="b">
        <v>1</v>
      </c>
      <c r="Z434" s="2" t="s">
        <v>67</v>
      </c>
      <c r="AA434" s="2">
        <v>0</v>
      </c>
      <c r="AB434" s="2" t="s">
        <v>49</v>
      </c>
    </row>
    <row r="435" spans="1:28" ht="15.75" hidden="1" customHeight="1" x14ac:dyDescent="0.3">
      <c r="A435" s="2" t="s">
        <v>37</v>
      </c>
      <c r="B435" s="2" t="s">
        <v>38</v>
      </c>
      <c r="C435" s="2" t="s">
        <v>41</v>
      </c>
      <c r="D435" s="2" t="s">
        <v>38</v>
      </c>
      <c r="E435" s="2" t="s">
        <v>39</v>
      </c>
      <c r="F435" s="2" t="s">
        <v>496</v>
      </c>
      <c r="G435" s="2" t="s">
        <v>42</v>
      </c>
      <c r="H435" s="2" t="s">
        <v>42</v>
      </c>
      <c r="I435" s="2" t="s">
        <v>239</v>
      </c>
      <c r="J435" s="2" t="s">
        <v>71</v>
      </c>
      <c r="K435" s="2" t="s">
        <v>1769</v>
      </c>
      <c r="L435" s="2" t="s">
        <v>1702</v>
      </c>
      <c r="M435" s="2" t="s">
        <v>1703</v>
      </c>
      <c r="N435" s="2" t="s">
        <v>1770</v>
      </c>
      <c r="O435" s="2" t="s">
        <v>1771</v>
      </c>
      <c r="P435" s="2" t="s">
        <v>1706</v>
      </c>
      <c r="Q435" s="2">
        <v>55</v>
      </c>
      <c r="R435" s="2" t="b">
        <v>0</v>
      </c>
      <c r="S435" s="2">
        <v>0.73456790123456783</v>
      </c>
      <c r="V435" s="2" t="s">
        <v>510</v>
      </c>
      <c r="W435" s="2" t="s">
        <v>1870</v>
      </c>
      <c r="X435" s="2" t="s">
        <v>1871</v>
      </c>
      <c r="Y435" s="2" t="b">
        <v>1</v>
      </c>
      <c r="Z435" s="2" t="s">
        <v>67</v>
      </c>
      <c r="AA435" s="2">
        <v>0</v>
      </c>
      <c r="AB435" s="2" t="s">
        <v>49</v>
      </c>
    </row>
    <row r="436" spans="1:28" ht="15.75" hidden="1" customHeight="1" x14ac:dyDescent="0.3">
      <c r="A436" s="2" t="s">
        <v>37</v>
      </c>
      <c r="B436" s="2" t="s">
        <v>38</v>
      </c>
      <c r="C436" s="2" t="s">
        <v>41</v>
      </c>
      <c r="D436" s="2" t="s">
        <v>38</v>
      </c>
      <c r="E436" s="2" t="s">
        <v>39</v>
      </c>
      <c r="F436" s="2" t="s">
        <v>496</v>
      </c>
      <c r="G436" s="2" t="s">
        <v>42</v>
      </c>
      <c r="H436" s="2" t="s">
        <v>42</v>
      </c>
      <c r="I436" s="2" t="s">
        <v>239</v>
      </c>
      <c r="J436" s="2" t="s">
        <v>71</v>
      </c>
      <c r="K436" s="2" t="s">
        <v>1774</v>
      </c>
      <c r="L436" s="2" t="s">
        <v>1702</v>
      </c>
      <c r="M436" s="2" t="s">
        <v>1703</v>
      </c>
      <c r="N436" s="2" t="s">
        <v>1775</v>
      </c>
      <c r="O436" s="2" t="s">
        <v>1776</v>
      </c>
      <c r="P436" s="2" t="s">
        <v>1706</v>
      </c>
      <c r="Q436" s="2">
        <v>56</v>
      </c>
      <c r="R436" s="2" t="b">
        <v>0</v>
      </c>
      <c r="S436" s="2">
        <v>0.79365079365079361</v>
      </c>
      <c r="V436" s="2" t="s">
        <v>510</v>
      </c>
      <c r="W436" s="2" t="s">
        <v>1872</v>
      </c>
      <c r="X436" s="2" t="s">
        <v>1873</v>
      </c>
      <c r="Y436" s="2" t="b">
        <v>1</v>
      </c>
      <c r="Z436" s="2" t="s">
        <v>67</v>
      </c>
      <c r="AA436" s="2">
        <v>0</v>
      </c>
      <c r="AB436" s="2" t="s">
        <v>49</v>
      </c>
    </row>
    <row r="437" spans="1:28" ht="15.75" hidden="1" customHeight="1" x14ac:dyDescent="0.3">
      <c r="A437" s="2" t="s">
        <v>37</v>
      </c>
      <c r="B437" s="2" t="s">
        <v>38</v>
      </c>
      <c r="C437" s="2" t="s">
        <v>41</v>
      </c>
      <c r="D437" s="2" t="s">
        <v>38</v>
      </c>
      <c r="E437" s="2" t="s">
        <v>39</v>
      </c>
      <c r="F437" s="2" t="s">
        <v>496</v>
      </c>
      <c r="G437" s="2" t="s">
        <v>42</v>
      </c>
      <c r="H437" s="2" t="s">
        <v>42</v>
      </c>
      <c r="I437" s="2" t="s">
        <v>239</v>
      </c>
      <c r="J437" s="2" t="s">
        <v>71</v>
      </c>
      <c r="K437" s="2" t="s">
        <v>1779</v>
      </c>
      <c r="L437" s="2" t="s">
        <v>1702</v>
      </c>
      <c r="M437" s="2" t="s">
        <v>1703</v>
      </c>
      <c r="N437" s="2" t="s">
        <v>1780</v>
      </c>
      <c r="O437" s="2" t="s">
        <v>1781</v>
      </c>
      <c r="P437" s="2" t="s">
        <v>1706</v>
      </c>
      <c r="Q437" s="2">
        <v>57</v>
      </c>
      <c r="R437" s="2" t="b">
        <v>0</v>
      </c>
      <c r="S437" s="2">
        <v>0.74777448071216623</v>
      </c>
      <c r="V437" s="2" t="s">
        <v>510</v>
      </c>
      <c r="W437" s="2" t="s">
        <v>1874</v>
      </c>
      <c r="X437" s="2" t="s">
        <v>1875</v>
      </c>
      <c r="Y437" s="2" t="b">
        <v>1</v>
      </c>
      <c r="Z437" s="2" t="s">
        <v>67</v>
      </c>
      <c r="AA437" s="2">
        <v>0</v>
      </c>
      <c r="AB437" s="2" t="s">
        <v>49</v>
      </c>
    </row>
    <row r="438" spans="1:28" ht="15.75" hidden="1" customHeight="1" x14ac:dyDescent="0.3">
      <c r="A438" s="2" t="s">
        <v>37</v>
      </c>
      <c r="B438" s="2" t="s">
        <v>38</v>
      </c>
      <c r="C438" s="2" t="s">
        <v>41</v>
      </c>
      <c r="D438" s="2" t="s">
        <v>38</v>
      </c>
      <c r="E438" s="2" t="s">
        <v>39</v>
      </c>
      <c r="F438" s="2" t="s">
        <v>496</v>
      </c>
      <c r="G438" s="2" t="s">
        <v>42</v>
      </c>
      <c r="H438" s="2" t="s">
        <v>42</v>
      </c>
      <c r="I438" s="2" t="s">
        <v>239</v>
      </c>
      <c r="J438" s="2" t="s">
        <v>71</v>
      </c>
      <c r="K438" s="2" t="s">
        <v>1784</v>
      </c>
      <c r="L438" s="2" t="s">
        <v>1702</v>
      </c>
      <c r="M438" s="2" t="s">
        <v>1703</v>
      </c>
      <c r="N438" s="2" t="s">
        <v>1785</v>
      </c>
      <c r="O438" s="2" t="s">
        <v>1786</v>
      </c>
      <c r="P438" s="2" t="s">
        <v>1706</v>
      </c>
      <c r="Q438" s="2">
        <v>58</v>
      </c>
      <c r="R438" s="2" t="b">
        <v>0</v>
      </c>
      <c r="S438" s="2">
        <v>0.82622950819672136</v>
      </c>
      <c r="V438" s="2" t="s">
        <v>510</v>
      </c>
      <c r="W438" s="2" t="s">
        <v>1876</v>
      </c>
      <c r="X438" s="2" t="s">
        <v>1877</v>
      </c>
      <c r="Y438" s="2" t="b">
        <v>1</v>
      </c>
      <c r="Z438" s="2" t="s">
        <v>67</v>
      </c>
      <c r="AA438" s="2">
        <v>0</v>
      </c>
      <c r="AB438" s="2" t="s">
        <v>49</v>
      </c>
    </row>
    <row r="439" spans="1:28" ht="15.75" hidden="1" customHeight="1" x14ac:dyDescent="0.3">
      <c r="A439" s="2" t="s">
        <v>37</v>
      </c>
      <c r="B439" s="2" t="s">
        <v>38</v>
      </c>
      <c r="C439" s="2" t="s">
        <v>41</v>
      </c>
      <c r="D439" s="2" t="s">
        <v>38</v>
      </c>
      <c r="E439" s="2" t="s">
        <v>39</v>
      </c>
      <c r="F439" s="2" t="s">
        <v>496</v>
      </c>
      <c r="G439" s="2" t="s">
        <v>42</v>
      </c>
      <c r="H439" s="2" t="s">
        <v>42</v>
      </c>
      <c r="I439" s="2" t="s">
        <v>239</v>
      </c>
      <c r="J439" s="2" t="s">
        <v>71</v>
      </c>
      <c r="K439" s="2" t="s">
        <v>1789</v>
      </c>
      <c r="L439" s="2" t="s">
        <v>1702</v>
      </c>
      <c r="M439" s="2" t="s">
        <v>1703</v>
      </c>
      <c r="N439" s="2" t="s">
        <v>1790</v>
      </c>
      <c r="O439" s="2" t="s">
        <v>1791</v>
      </c>
      <c r="P439" s="2" t="s">
        <v>1706</v>
      </c>
      <c r="Q439" s="2">
        <v>59</v>
      </c>
      <c r="R439" s="2" t="b">
        <v>0</v>
      </c>
      <c r="S439" s="2">
        <v>0.7815384615384614</v>
      </c>
      <c r="V439" s="2" t="s">
        <v>510</v>
      </c>
      <c r="W439" s="2" t="s">
        <v>1878</v>
      </c>
      <c r="X439" s="2" t="s">
        <v>1879</v>
      </c>
      <c r="Y439" s="2" t="b">
        <v>1</v>
      </c>
      <c r="Z439" s="2" t="s">
        <v>67</v>
      </c>
      <c r="AA439" s="2">
        <v>0</v>
      </c>
      <c r="AB439" s="2" t="s">
        <v>49</v>
      </c>
    </row>
    <row r="440" spans="1:28" ht="15.75" hidden="1" customHeight="1" x14ac:dyDescent="0.3">
      <c r="A440" s="2" t="s">
        <v>37</v>
      </c>
      <c r="B440" s="2" t="s">
        <v>38</v>
      </c>
      <c r="C440" s="2" t="s">
        <v>41</v>
      </c>
      <c r="D440" s="2" t="s">
        <v>38</v>
      </c>
      <c r="E440" s="2" t="s">
        <v>39</v>
      </c>
      <c r="F440" s="2" t="s">
        <v>496</v>
      </c>
      <c r="G440" s="2" t="s">
        <v>42</v>
      </c>
      <c r="H440" s="2" t="s">
        <v>42</v>
      </c>
      <c r="I440" s="2" t="s">
        <v>239</v>
      </c>
      <c r="J440" s="2" t="s">
        <v>71</v>
      </c>
      <c r="K440" s="2" t="s">
        <v>1794</v>
      </c>
      <c r="L440" s="2" t="s">
        <v>1702</v>
      </c>
      <c r="M440" s="2" t="s">
        <v>1703</v>
      </c>
      <c r="N440" s="2" t="s">
        <v>1795</v>
      </c>
      <c r="O440" s="2" t="s">
        <v>1796</v>
      </c>
      <c r="P440" s="2" t="s">
        <v>1706</v>
      </c>
      <c r="Q440" s="2">
        <v>60</v>
      </c>
      <c r="R440" s="2" t="b">
        <v>0</v>
      </c>
      <c r="S440" s="2">
        <v>0.7306501547987615</v>
      </c>
      <c r="V440" s="2" t="s">
        <v>510</v>
      </c>
      <c r="W440" s="2" t="s">
        <v>1880</v>
      </c>
      <c r="X440" s="2" t="s">
        <v>1881</v>
      </c>
      <c r="Y440" s="2" t="b">
        <v>1</v>
      </c>
      <c r="Z440" s="2" t="s">
        <v>67</v>
      </c>
      <c r="AA440" s="2">
        <v>0</v>
      </c>
      <c r="AB440" s="2" t="s">
        <v>49</v>
      </c>
    </row>
    <row r="441" spans="1:28" ht="15.75" hidden="1" customHeight="1" x14ac:dyDescent="0.3">
      <c r="A441" s="2" t="s">
        <v>37</v>
      </c>
      <c r="B441" s="2" t="s">
        <v>38</v>
      </c>
      <c r="C441" s="2" t="s">
        <v>41</v>
      </c>
      <c r="D441" s="2" t="s">
        <v>38</v>
      </c>
      <c r="E441" s="2" t="s">
        <v>39</v>
      </c>
      <c r="F441" s="2" t="s">
        <v>496</v>
      </c>
      <c r="G441" s="2" t="s">
        <v>42</v>
      </c>
      <c r="H441" s="2" t="s">
        <v>42</v>
      </c>
      <c r="I441" s="2" t="s">
        <v>239</v>
      </c>
      <c r="J441" s="2" t="s">
        <v>71</v>
      </c>
      <c r="K441" s="2" t="s">
        <v>1799</v>
      </c>
      <c r="L441" s="2" t="s">
        <v>1702</v>
      </c>
      <c r="M441" s="2" t="s">
        <v>1703</v>
      </c>
      <c r="N441" s="2" t="s">
        <v>1800</v>
      </c>
      <c r="O441" s="2" t="s">
        <v>1801</v>
      </c>
      <c r="P441" s="2" t="s">
        <v>1706</v>
      </c>
      <c r="Q441" s="2">
        <v>61</v>
      </c>
      <c r="R441" s="2" t="b">
        <v>0</v>
      </c>
      <c r="S441" s="2">
        <v>0.79420289855072468</v>
      </c>
      <c r="V441" s="2" t="s">
        <v>510</v>
      </c>
      <c r="W441" s="2" t="s">
        <v>1882</v>
      </c>
      <c r="X441" s="2" t="s">
        <v>1883</v>
      </c>
      <c r="Y441" s="2" t="b">
        <v>1</v>
      </c>
      <c r="Z441" s="2" t="s">
        <v>67</v>
      </c>
      <c r="AA441" s="2">
        <v>0</v>
      </c>
      <c r="AB441" s="2" t="s">
        <v>49</v>
      </c>
    </row>
    <row r="442" spans="1:28" ht="15.75" hidden="1" customHeight="1" x14ac:dyDescent="0.3">
      <c r="A442" s="2" t="s">
        <v>37</v>
      </c>
      <c r="B442" s="2" t="s">
        <v>38</v>
      </c>
      <c r="C442" s="2" t="s">
        <v>41</v>
      </c>
      <c r="D442" s="2" t="s">
        <v>38</v>
      </c>
      <c r="E442" s="2" t="s">
        <v>82</v>
      </c>
      <c r="F442" s="2" t="s">
        <v>814</v>
      </c>
      <c r="G442" s="2" t="s">
        <v>42</v>
      </c>
      <c r="H442" s="2" t="s">
        <v>42</v>
      </c>
      <c r="I442" s="2" t="s">
        <v>47</v>
      </c>
      <c r="J442" s="2" t="s">
        <v>44</v>
      </c>
      <c r="K442" s="2" t="s">
        <v>1598</v>
      </c>
      <c r="L442" s="2" t="s">
        <v>1599</v>
      </c>
      <c r="M442" s="2" t="s">
        <v>1600</v>
      </c>
      <c r="N442" s="2" t="s">
        <v>1601</v>
      </c>
      <c r="O442" s="2" t="s">
        <v>1602</v>
      </c>
      <c r="P442" s="2" t="s">
        <v>1603</v>
      </c>
      <c r="Q442" s="2">
        <v>42</v>
      </c>
      <c r="R442" s="2" t="b">
        <v>1</v>
      </c>
      <c r="S442" s="2">
        <v>0.86245353159851301</v>
      </c>
      <c r="T442" s="2">
        <v>0.8529411764705882</v>
      </c>
      <c r="U442" s="2">
        <v>0.8721804511278195</v>
      </c>
      <c r="V442" s="2" t="s">
        <v>63</v>
      </c>
      <c r="W442" s="2" t="s">
        <v>1884</v>
      </c>
      <c r="X442" s="2" t="s">
        <v>1885</v>
      </c>
      <c r="Y442" s="2" t="b">
        <v>1</v>
      </c>
      <c r="Z442" s="2" t="s">
        <v>67</v>
      </c>
      <c r="AA442" s="2">
        <v>1.5</v>
      </c>
      <c r="AB442" s="2" t="s">
        <v>49</v>
      </c>
    </row>
    <row r="443" spans="1:28" ht="15.75" hidden="1" customHeight="1" x14ac:dyDescent="0.3">
      <c r="A443" s="2" t="s">
        <v>37</v>
      </c>
      <c r="B443" s="2" t="s">
        <v>38</v>
      </c>
      <c r="C443" s="2" t="s">
        <v>41</v>
      </c>
      <c r="D443" s="2" t="s">
        <v>38</v>
      </c>
      <c r="E443" s="2" t="s">
        <v>82</v>
      </c>
      <c r="F443" s="2" t="s">
        <v>814</v>
      </c>
      <c r="G443" s="2" t="s">
        <v>42</v>
      </c>
      <c r="H443" s="2" t="s">
        <v>42</v>
      </c>
      <c r="I443" s="2" t="s">
        <v>47</v>
      </c>
      <c r="J443" s="2" t="s">
        <v>44</v>
      </c>
      <c r="K443" s="2" t="s">
        <v>1606</v>
      </c>
      <c r="L443" s="2" t="s">
        <v>1599</v>
      </c>
      <c r="M443" s="2" t="s">
        <v>1600</v>
      </c>
      <c r="N443" s="2" t="s">
        <v>1607</v>
      </c>
      <c r="O443" s="2" t="s">
        <v>1608</v>
      </c>
      <c r="P443" s="2" t="s">
        <v>1603</v>
      </c>
      <c r="Q443" s="2">
        <v>43</v>
      </c>
      <c r="R443" s="2" t="b">
        <v>1</v>
      </c>
      <c r="S443" s="2">
        <v>0.78233438485804407</v>
      </c>
      <c r="T443" s="2">
        <v>0.75609756097560976</v>
      </c>
      <c r="U443" s="2">
        <v>0.81045751633986929</v>
      </c>
      <c r="V443" s="2" t="s">
        <v>63</v>
      </c>
      <c r="W443" s="2" t="s">
        <v>1886</v>
      </c>
      <c r="X443" s="2" t="s">
        <v>1887</v>
      </c>
      <c r="Y443" s="2" t="b">
        <v>1</v>
      </c>
      <c r="Z443" s="2" t="s">
        <v>67</v>
      </c>
      <c r="AA443" s="2">
        <v>2.5</v>
      </c>
      <c r="AB443" s="2" t="s">
        <v>49</v>
      </c>
    </row>
    <row r="444" spans="1:28" ht="15.75" hidden="1" customHeight="1" x14ac:dyDescent="0.3">
      <c r="A444" s="2" t="s">
        <v>37</v>
      </c>
      <c r="B444" s="2" t="s">
        <v>38</v>
      </c>
      <c r="C444" s="2" t="s">
        <v>41</v>
      </c>
      <c r="D444" s="2" t="s">
        <v>38</v>
      </c>
      <c r="E444" s="2" t="s">
        <v>82</v>
      </c>
      <c r="F444" s="2" t="s">
        <v>814</v>
      </c>
      <c r="G444" s="2" t="s">
        <v>42</v>
      </c>
      <c r="H444" s="2" t="s">
        <v>42</v>
      </c>
      <c r="I444" s="2" t="s">
        <v>47</v>
      </c>
      <c r="J444" s="2" t="s">
        <v>44</v>
      </c>
      <c r="K444" s="2" t="s">
        <v>1611</v>
      </c>
      <c r="L444" s="2" t="s">
        <v>1599</v>
      </c>
      <c r="M444" s="2" t="s">
        <v>1600</v>
      </c>
      <c r="N444" s="2" t="s">
        <v>1612</v>
      </c>
      <c r="O444" s="2" t="s">
        <v>1613</v>
      </c>
      <c r="P444" s="2" t="s">
        <v>1603</v>
      </c>
      <c r="Q444" s="2">
        <v>44</v>
      </c>
      <c r="R444" s="2" t="b">
        <v>1</v>
      </c>
      <c r="S444" s="2">
        <v>0.805111821086262</v>
      </c>
      <c r="T444" s="2">
        <v>0.77777777777777779</v>
      </c>
      <c r="U444" s="2">
        <v>0.83443708609271527</v>
      </c>
      <c r="V444" s="2" t="s">
        <v>63</v>
      </c>
      <c r="W444" s="2" t="s">
        <v>1888</v>
      </c>
      <c r="X444" s="2" t="s">
        <v>1889</v>
      </c>
      <c r="Y444" s="2" t="b">
        <v>1</v>
      </c>
      <c r="Z444" s="2" t="s">
        <v>67</v>
      </c>
      <c r="AA444" s="2">
        <v>2.2999999999999998</v>
      </c>
      <c r="AB444" s="2" t="s">
        <v>49</v>
      </c>
    </row>
    <row r="445" spans="1:28" ht="15.75" hidden="1" customHeight="1" x14ac:dyDescent="0.3">
      <c r="A445" s="2" t="s">
        <v>37</v>
      </c>
      <c r="B445" s="2" t="s">
        <v>38</v>
      </c>
      <c r="C445" s="2" t="s">
        <v>41</v>
      </c>
      <c r="D445" s="2" t="s">
        <v>38</v>
      </c>
      <c r="E445" s="2" t="s">
        <v>82</v>
      </c>
      <c r="F445" s="2" t="s">
        <v>814</v>
      </c>
      <c r="G445" s="2" t="s">
        <v>42</v>
      </c>
      <c r="H445" s="2" t="s">
        <v>42</v>
      </c>
      <c r="I445" s="2" t="s">
        <v>47</v>
      </c>
      <c r="J445" s="2" t="s">
        <v>44</v>
      </c>
      <c r="K445" s="2" t="s">
        <v>1616</v>
      </c>
      <c r="L445" s="2" t="s">
        <v>1599</v>
      </c>
      <c r="M445" s="2" t="s">
        <v>1600</v>
      </c>
      <c r="N445" s="2" t="s">
        <v>1617</v>
      </c>
      <c r="O445" s="2" t="s">
        <v>1618</v>
      </c>
      <c r="P445" s="2" t="s">
        <v>1603</v>
      </c>
      <c r="Q445" s="2">
        <v>45</v>
      </c>
      <c r="R445" s="2" t="b">
        <v>1</v>
      </c>
      <c r="S445" s="2">
        <v>0.78827361563517917</v>
      </c>
      <c r="T445" s="2">
        <v>0.75624999999999998</v>
      </c>
      <c r="U445" s="2">
        <v>0.8231292517006803</v>
      </c>
      <c r="V445" s="2" t="s">
        <v>63</v>
      </c>
      <c r="W445" s="2" t="s">
        <v>1890</v>
      </c>
      <c r="X445" s="2" t="s">
        <v>1891</v>
      </c>
      <c r="Y445" s="2" t="b">
        <v>1</v>
      </c>
      <c r="Z445" s="2" t="s">
        <v>67</v>
      </c>
      <c r="AA445" s="2">
        <v>1.5</v>
      </c>
      <c r="AB445" s="2" t="s">
        <v>49</v>
      </c>
    </row>
    <row r="446" spans="1:28" ht="15.75" hidden="1" customHeight="1" x14ac:dyDescent="0.3">
      <c r="A446" s="2" t="s">
        <v>37</v>
      </c>
      <c r="B446" s="2" t="s">
        <v>38</v>
      </c>
      <c r="C446" s="2" t="s">
        <v>41</v>
      </c>
      <c r="D446" s="2" t="s">
        <v>38</v>
      </c>
      <c r="E446" s="2" t="s">
        <v>82</v>
      </c>
      <c r="F446" s="2" t="s">
        <v>814</v>
      </c>
      <c r="G446" s="2" t="s">
        <v>42</v>
      </c>
      <c r="H446" s="2" t="s">
        <v>42</v>
      </c>
      <c r="I446" s="2" t="s">
        <v>47</v>
      </c>
      <c r="J446" s="2" t="s">
        <v>44</v>
      </c>
      <c r="K446" s="2" t="s">
        <v>1621</v>
      </c>
      <c r="L446" s="2" t="s">
        <v>1599</v>
      </c>
      <c r="M446" s="2" t="s">
        <v>1600</v>
      </c>
      <c r="N446" s="2" t="s">
        <v>1622</v>
      </c>
      <c r="O446" s="2" t="s">
        <v>1623</v>
      </c>
      <c r="P446" s="2" t="s">
        <v>1603</v>
      </c>
      <c r="Q446" s="2">
        <v>46</v>
      </c>
      <c r="R446" s="2" t="b">
        <v>1</v>
      </c>
      <c r="S446" s="2">
        <v>0.82835820895522394</v>
      </c>
      <c r="T446" s="2">
        <v>0.81617647058823528</v>
      </c>
      <c r="U446" s="2">
        <v>0.84090909090909094</v>
      </c>
      <c r="V446" s="2" t="s">
        <v>63</v>
      </c>
      <c r="W446" s="2" t="s">
        <v>1892</v>
      </c>
      <c r="X446" s="2" t="s">
        <v>1893</v>
      </c>
      <c r="Y446" s="2" t="b">
        <v>1</v>
      </c>
      <c r="Z446" s="2" t="s">
        <v>67</v>
      </c>
      <c r="AA446" s="2">
        <v>1.9</v>
      </c>
      <c r="AB446" s="2" t="s">
        <v>49</v>
      </c>
    </row>
    <row r="447" spans="1:28" ht="15.75" hidden="1" customHeight="1" x14ac:dyDescent="0.3">
      <c r="A447" s="2" t="s">
        <v>37</v>
      </c>
      <c r="B447" s="2" t="s">
        <v>38</v>
      </c>
      <c r="C447" s="2" t="s">
        <v>41</v>
      </c>
      <c r="D447" s="2" t="s">
        <v>38</v>
      </c>
      <c r="E447" s="2" t="s">
        <v>82</v>
      </c>
      <c r="F447" s="2" t="s">
        <v>814</v>
      </c>
      <c r="G447" s="2" t="s">
        <v>42</v>
      </c>
      <c r="H447" s="2" t="s">
        <v>42</v>
      </c>
      <c r="I447" s="2" t="s">
        <v>47</v>
      </c>
      <c r="J447" s="2" t="s">
        <v>44</v>
      </c>
      <c r="K447" s="2" t="s">
        <v>1626</v>
      </c>
      <c r="L447" s="2" t="s">
        <v>1599</v>
      </c>
      <c r="M447" s="2" t="s">
        <v>1600</v>
      </c>
      <c r="N447" s="2" t="s">
        <v>1627</v>
      </c>
      <c r="O447" s="2" t="s">
        <v>1628</v>
      </c>
      <c r="P447" s="2" t="s">
        <v>1603</v>
      </c>
      <c r="Q447" s="2">
        <v>47</v>
      </c>
      <c r="R447" s="2" t="b">
        <v>1</v>
      </c>
      <c r="S447" s="2">
        <v>0.89999999999999991</v>
      </c>
      <c r="T447" s="2">
        <v>0.88953488372093026</v>
      </c>
      <c r="U447" s="2">
        <v>0.9107142857142857</v>
      </c>
      <c r="V447" s="2" t="s">
        <v>63</v>
      </c>
      <c r="W447" s="2" t="s">
        <v>1894</v>
      </c>
      <c r="X447" s="2" t="s">
        <v>1895</v>
      </c>
      <c r="Y447" s="2" t="b">
        <v>1</v>
      </c>
      <c r="Z447" s="2" t="s">
        <v>67</v>
      </c>
      <c r="AA447" s="2">
        <v>1.5</v>
      </c>
      <c r="AB447" s="2" t="s">
        <v>49</v>
      </c>
    </row>
    <row r="448" spans="1:28" ht="15.75" hidden="1" customHeight="1" x14ac:dyDescent="0.3">
      <c r="A448" s="2" t="s">
        <v>37</v>
      </c>
      <c r="B448" s="2" t="s">
        <v>38</v>
      </c>
      <c r="C448" s="2" t="s">
        <v>41</v>
      </c>
      <c r="D448" s="2" t="s">
        <v>38</v>
      </c>
      <c r="E448" s="2" t="s">
        <v>82</v>
      </c>
      <c r="F448" s="2" t="s">
        <v>814</v>
      </c>
      <c r="G448" s="2" t="s">
        <v>42</v>
      </c>
      <c r="H448" s="2" t="s">
        <v>42</v>
      </c>
      <c r="I448" s="2" t="s">
        <v>47</v>
      </c>
      <c r="J448" s="2" t="s">
        <v>44</v>
      </c>
      <c r="K448" s="2" t="s">
        <v>1631</v>
      </c>
      <c r="L448" s="2" t="s">
        <v>1599</v>
      </c>
      <c r="M448" s="2" t="s">
        <v>1600</v>
      </c>
      <c r="N448" s="2" t="s">
        <v>1632</v>
      </c>
      <c r="O448" s="2" t="s">
        <v>1633</v>
      </c>
      <c r="P448" s="2" t="s">
        <v>1603</v>
      </c>
      <c r="Q448" s="2">
        <v>48</v>
      </c>
      <c r="R448" s="2" t="b">
        <v>1</v>
      </c>
      <c r="S448" s="2">
        <v>0.82051282051282048</v>
      </c>
      <c r="T448" s="2">
        <v>0.79012345679012341</v>
      </c>
      <c r="U448" s="2">
        <v>0.85333333333333339</v>
      </c>
      <c r="V448" s="2" t="s">
        <v>63</v>
      </c>
      <c r="W448" s="2" t="s">
        <v>1896</v>
      </c>
      <c r="X448" s="2" t="s">
        <v>1897</v>
      </c>
      <c r="Y448" s="2" t="b">
        <v>1</v>
      </c>
      <c r="Z448" s="2" t="s">
        <v>67</v>
      </c>
      <c r="AA448" s="2">
        <v>1.9</v>
      </c>
      <c r="AB448" s="2" t="s">
        <v>49</v>
      </c>
    </row>
    <row r="449" spans="1:28" ht="15.75" hidden="1" customHeight="1" x14ac:dyDescent="0.3">
      <c r="A449" s="2" t="s">
        <v>37</v>
      </c>
      <c r="B449" s="2" t="s">
        <v>38</v>
      </c>
      <c r="C449" s="2" t="s">
        <v>41</v>
      </c>
      <c r="D449" s="2" t="s">
        <v>38</v>
      </c>
      <c r="E449" s="2" t="s">
        <v>82</v>
      </c>
      <c r="F449" s="2" t="s">
        <v>814</v>
      </c>
      <c r="G449" s="2" t="s">
        <v>42</v>
      </c>
      <c r="H449" s="2" t="s">
        <v>42</v>
      </c>
      <c r="I449" s="2" t="s">
        <v>47</v>
      </c>
      <c r="J449" s="2" t="s">
        <v>44</v>
      </c>
      <c r="K449" s="2" t="s">
        <v>1636</v>
      </c>
      <c r="L449" s="2" t="s">
        <v>1599</v>
      </c>
      <c r="M449" s="2" t="s">
        <v>1600</v>
      </c>
      <c r="N449" s="2" t="s">
        <v>1637</v>
      </c>
      <c r="O449" s="2" t="s">
        <v>1638</v>
      </c>
      <c r="P449" s="2" t="s">
        <v>1603</v>
      </c>
      <c r="Q449" s="2">
        <v>49</v>
      </c>
      <c r="R449" s="2" t="b">
        <v>1</v>
      </c>
      <c r="S449" s="2">
        <v>0.78431372549019607</v>
      </c>
      <c r="T449" s="2">
        <v>0.76923076923076927</v>
      </c>
      <c r="U449" s="2">
        <v>0.8</v>
      </c>
      <c r="V449" s="2" t="s">
        <v>63</v>
      </c>
      <c r="W449" s="2" t="s">
        <v>1898</v>
      </c>
      <c r="X449" s="2" t="s">
        <v>1899</v>
      </c>
      <c r="Y449" s="2" t="b">
        <v>1</v>
      </c>
      <c r="Z449" s="2" t="s">
        <v>67</v>
      </c>
      <c r="AA449" s="2">
        <v>1.4</v>
      </c>
      <c r="AB449" s="2" t="s">
        <v>49</v>
      </c>
    </row>
    <row r="450" spans="1:28" ht="15.75" hidden="1" customHeight="1" x14ac:dyDescent="0.3">
      <c r="A450" s="2" t="s">
        <v>37</v>
      </c>
      <c r="B450" s="2" t="s">
        <v>38</v>
      </c>
      <c r="C450" s="2" t="s">
        <v>41</v>
      </c>
      <c r="D450" s="2" t="s">
        <v>38</v>
      </c>
      <c r="E450" s="2" t="s">
        <v>82</v>
      </c>
      <c r="F450" s="2" t="s">
        <v>814</v>
      </c>
      <c r="G450" s="2" t="s">
        <v>42</v>
      </c>
      <c r="H450" s="2" t="s">
        <v>42</v>
      </c>
      <c r="I450" s="2" t="s">
        <v>47</v>
      </c>
      <c r="J450" s="2" t="s">
        <v>44</v>
      </c>
      <c r="K450" s="2" t="s">
        <v>1641</v>
      </c>
      <c r="L450" s="2" t="s">
        <v>1599</v>
      </c>
      <c r="M450" s="2" t="s">
        <v>1600</v>
      </c>
      <c r="N450" s="2" t="s">
        <v>1642</v>
      </c>
      <c r="O450" s="2" t="s">
        <v>1643</v>
      </c>
      <c r="P450" s="2" t="s">
        <v>1603</v>
      </c>
      <c r="Q450" s="2">
        <v>50</v>
      </c>
      <c r="R450" s="2" t="b">
        <v>1</v>
      </c>
      <c r="S450" s="2">
        <v>0.88805970149253732</v>
      </c>
      <c r="T450" s="2">
        <v>0.86861313868613144</v>
      </c>
      <c r="U450" s="2">
        <v>0.90839694656488545</v>
      </c>
      <c r="V450" s="2" t="s">
        <v>63</v>
      </c>
      <c r="W450" s="2" t="s">
        <v>1900</v>
      </c>
      <c r="X450" s="2" t="s">
        <v>1901</v>
      </c>
      <c r="Y450" s="2" t="b">
        <v>1</v>
      </c>
      <c r="Z450" s="2" t="s">
        <v>67</v>
      </c>
      <c r="AA450" s="2">
        <v>1.9</v>
      </c>
      <c r="AB450" s="2" t="s">
        <v>49</v>
      </c>
    </row>
    <row r="451" spans="1:28" ht="15.75" hidden="1" customHeight="1" x14ac:dyDescent="0.3">
      <c r="A451" s="2" t="s">
        <v>37</v>
      </c>
      <c r="B451" s="2" t="s">
        <v>38</v>
      </c>
      <c r="C451" s="2" t="s">
        <v>41</v>
      </c>
      <c r="D451" s="2" t="s">
        <v>38</v>
      </c>
      <c r="E451" s="2" t="s">
        <v>82</v>
      </c>
      <c r="F451" s="2" t="s">
        <v>814</v>
      </c>
      <c r="G451" s="2" t="s">
        <v>42</v>
      </c>
      <c r="H451" s="2" t="s">
        <v>42</v>
      </c>
      <c r="I451" s="2" t="s">
        <v>47</v>
      </c>
      <c r="J451" s="2" t="s">
        <v>44</v>
      </c>
      <c r="K451" s="2" t="s">
        <v>1646</v>
      </c>
      <c r="L451" s="2" t="s">
        <v>1599</v>
      </c>
      <c r="M451" s="2" t="s">
        <v>1600</v>
      </c>
      <c r="N451" s="2" t="s">
        <v>1647</v>
      </c>
      <c r="O451" s="2" t="s">
        <v>1648</v>
      </c>
      <c r="P451" s="2" t="s">
        <v>1603</v>
      </c>
      <c r="Q451" s="2">
        <v>51</v>
      </c>
      <c r="R451" s="2" t="b">
        <v>1</v>
      </c>
      <c r="S451" s="2">
        <v>0.84000000000000008</v>
      </c>
      <c r="T451" s="2">
        <v>0.80769230769230771</v>
      </c>
      <c r="U451" s="2">
        <v>0.875</v>
      </c>
      <c r="V451" s="2" t="s">
        <v>63</v>
      </c>
      <c r="W451" s="2" t="s">
        <v>1902</v>
      </c>
      <c r="X451" s="2" t="s">
        <v>1903</v>
      </c>
      <c r="Y451" s="2" t="b">
        <v>1</v>
      </c>
      <c r="Z451" s="2" t="s">
        <v>67</v>
      </c>
      <c r="AA451" s="2">
        <v>3</v>
      </c>
      <c r="AB451" s="2" t="s">
        <v>49</v>
      </c>
    </row>
    <row r="452" spans="1:28" ht="15.75" hidden="1" customHeight="1" x14ac:dyDescent="0.3">
      <c r="A452" s="2" t="s">
        <v>37</v>
      </c>
      <c r="B452" s="2" t="s">
        <v>38</v>
      </c>
      <c r="C452" s="2" t="s">
        <v>41</v>
      </c>
      <c r="D452" s="2" t="s">
        <v>38</v>
      </c>
      <c r="E452" s="2" t="s">
        <v>82</v>
      </c>
      <c r="F452" s="2" t="s">
        <v>814</v>
      </c>
      <c r="G452" s="2" t="s">
        <v>42</v>
      </c>
      <c r="H452" s="2" t="s">
        <v>42</v>
      </c>
      <c r="I452" s="2" t="s">
        <v>47</v>
      </c>
      <c r="J452" s="2" t="s">
        <v>44</v>
      </c>
      <c r="K452" s="2" t="s">
        <v>1651</v>
      </c>
      <c r="L452" s="2" t="s">
        <v>1599</v>
      </c>
      <c r="M452" s="2" t="s">
        <v>1600</v>
      </c>
      <c r="N452" s="2" t="s">
        <v>1652</v>
      </c>
      <c r="O452" s="2" t="s">
        <v>1653</v>
      </c>
      <c r="P452" s="2" t="s">
        <v>1603</v>
      </c>
      <c r="Q452" s="2">
        <v>52</v>
      </c>
      <c r="R452" s="2" t="b">
        <v>1</v>
      </c>
      <c r="S452" s="2">
        <v>0.87240356083086068</v>
      </c>
      <c r="T452" s="2">
        <v>0.86470588235294121</v>
      </c>
      <c r="U452" s="2">
        <v>0.88023952095808389</v>
      </c>
      <c r="V452" s="2" t="s">
        <v>63</v>
      </c>
      <c r="W452" s="2" t="s">
        <v>1904</v>
      </c>
      <c r="X452" s="2" t="s">
        <v>1905</v>
      </c>
      <c r="Y452" s="2" t="b">
        <v>1</v>
      </c>
      <c r="Z452" s="2" t="s">
        <v>67</v>
      </c>
      <c r="AA452" s="2">
        <v>1.6</v>
      </c>
      <c r="AB452" s="2" t="s">
        <v>49</v>
      </c>
    </row>
    <row r="453" spans="1:28" ht="15.75" hidden="1" customHeight="1" x14ac:dyDescent="0.3">
      <c r="A453" s="2" t="s">
        <v>37</v>
      </c>
      <c r="B453" s="2" t="s">
        <v>38</v>
      </c>
      <c r="C453" s="2" t="s">
        <v>41</v>
      </c>
      <c r="D453" s="2" t="s">
        <v>38</v>
      </c>
      <c r="E453" s="2" t="s">
        <v>82</v>
      </c>
      <c r="F453" s="2" t="s">
        <v>814</v>
      </c>
      <c r="G453" s="2" t="s">
        <v>42</v>
      </c>
      <c r="H453" s="2" t="s">
        <v>42</v>
      </c>
      <c r="I453" s="2" t="s">
        <v>47</v>
      </c>
      <c r="J453" s="2" t="s">
        <v>44</v>
      </c>
      <c r="K453" s="2" t="s">
        <v>1656</v>
      </c>
      <c r="L453" s="2" t="s">
        <v>1599</v>
      </c>
      <c r="M453" s="2" t="s">
        <v>1600</v>
      </c>
      <c r="N453" s="2" t="s">
        <v>1657</v>
      </c>
      <c r="O453" s="2" t="s">
        <v>1658</v>
      </c>
      <c r="P453" s="2" t="s">
        <v>1603</v>
      </c>
      <c r="Q453" s="2">
        <v>53</v>
      </c>
      <c r="R453" s="2" t="b">
        <v>1</v>
      </c>
      <c r="S453" s="2">
        <v>0.76450511945392485</v>
      </c>
      <c r="T453" s="2">
        <v>0.74172185430463577</v>
      </c>
      <c r="U453" s="2">
        <v>0.78873239436619713</v>
      </c>
      <c r="V453" s="2" t="s">
        <v>63</v>
      </c>
      <c r="W453" s="2" t="s">
        <v>1906</v>
      </c>
      <c r="X453" s="2" t="s">
        <v>1907</v>
      </c>
      <c r="Y453" s="2" t="b">
        <v>1</v>
      </c>
      <c r="Z453" s="2" t="s">
        <v>67</v>
      </c>
      <c r="AA453" s="2">
        <v>1.8</v>
      </c>
      <c r="AB453" s="2" t="s">
        <v>49</v>
      </c>
    </row>
    <row r="454" spans="1:28" ht="15.75" hidden="1" customHeight="1" x14ac:dyDescent="0.3">
      <c r="A454" s="2" t="s">
        <v>37</v>
      </c>
      <c r="B454" s="2" t="s">
        <v>38</v>
      </c>
      <c r="C454" s="2" t="s">
        <v>41</v>
      </c>
      <c r="D454" s="2" t="s">
        <v>38</v>
      </c>
      <c r="E454" s="2" t="s">
        <v>82</v>
      </c>
      <c r="F454" s="2" t="s">
        <v>814</v>
      </c>
      <c r="G454" s="2" t="s">
        <v>42</v>
      </c>
      <c r="H454" s="2" t="s">
        <v>42</v>
      </c>
      <c r="I454" s="2" t="s">
        <v>47</v>
      </c>
      <c r="J454" s="2" t="s">
        <v>44</v>
      </c>
      <c r="K454" s="2" t="s">
        <v>1661</v>
      </c>
      <c r="L454" s="2" t="s">
        <v>1599</v>
      </c>
      <c r="M454" s="2" t="s">
        <v>1600</v>
      </c>
      <c r="N454" s="2" t="s">
        <v>1662</v>
      </c>
      <c r="O454" s="2" t="s">
        <v>1663</v>
      </c>
      <c r="P454" s="2" t="s">
        <v>1603</v>
      </c>
      <c r="Q454" s="2">
        <v>54</v>
      </c>
      <c r="R454" s="2" t="b">
        <v>1</v>
      </c>
      <c r="S454" s="2">
        <v>0.89473684210526316</v>
      </c>
      <c r="T454" s="2">
        <v>0.89473684210526316</v>
      </c>
      <c r="U454" s="2">
        <v>0.89473684210526316</v>
      </c>
      <c r="V454" s="2" t="s">
        <v>63</v>
      </c>
      <c r="W454" s="2" t="s">
        <v>1908</v>
      </c>
      <c r="X454" s="2" t="s">
        <v>1909</v>
      </c>
      <c r="Y454" s="2" t="b">
        <v>1</v>
      </c>
      <c r="Z454" s="2" t="s">
        <v>67</v>
      </c>
      <c r="AA454" s="2">
        <v>1.5</v>
      </c>
      <c r="AB454" s="2" t="s">
        <v>49</v>
      </c>
    </row>
    <row r="455" spans="1:28" ht="15.75" hidden="1" customHeight="1" x14ac:dyDescent="0.3">
      <c r="A455" s="2" t="s">
        <v>37</v>
      </c>
      <c r="B455" s="2" t="s">
        <v>38</v>
      </c>
      <c r="C455" s="2" t="s">
        <v>41</v>
      </c>
      <c r="D455" s="2" t="s">
        <v>38</v>
      </c>
      <c r="E455" s="2" t="s">
        <v>82</v>
      </c>
      <c r="F455" s="2" t="s">
        <v>814</v>
      </c>
      <c r="G455" s="2" t="s">
        <v>42</v>
      </c>
      <c r="H455" s="2" t="s">
        <v>42</v>
      </c>
      <c r="I455" s="2" t="s">
        <v>47</v>
      </c>
      <c r="J455" s="2" t="s">
        <v>44</v>
      </c>
      <c r="K455" s="2" t="s">
        <v>1666</v>
      </c>
      <c r="L455" s="2" t="s">
        <v>1599</v>
      </c>
      <c r="M455" s="2" t="s">
        <v>1600</v>
      </c>
      <c r="N455" s="2" t="s">
        <v>1667</v>
      </c>
      <c r="O455" s="2" t="s">
        <v>1668</v>
      </c>
      <c r="P455" s="2" t="s">
        <v>1603</v>
      </c>
      <c r="Q455" s="2">
        <v>55</v>
      </c>
      <c r="R455" s="2" t="b">
        <v>1</v>
      </c>
      <c r="S455" s="2">
        <v>0.88535031847133761</v>
      </c>
      <c r="T455" s="2">
        <v>0.88535031847133761</v>
      </c>
      <c r="U455" s="2">
        <v>0.88535031847133761</v>
      </c>
      <c r="V455" s="2" t="s">
        <v>63</v>
      </c>
      <c r="W455" s="2" t="s">
        <v>1910</v>
      </c>
      <c r="X455" s="2" t="s">
        <v>1911</v>
      </c>
      <c r="Y455" s="2" t="b">
        <v>1</v>
      </c>
      <c r="Z455" s="2" t="s">
        <v>67</v>
      </c>
      <c r="AA455" s="2">
        <v>1.6</v>
      </c>
      <c r="AB455" s="2" t="s">
        <v>49</v>
      </c>
    </row>
    <row r="456" spans="1:28" ht="15.75" hidden="1" customHeight="1" x14ac:dyDescent="0.3">
      <c r="A456" s="2" t="s">
        <v>37</v>
      </c>
      <c r="B456" s="2" t="s">
        <v>38</v>
      </c>
      <c r="C456" s="2" t="s">
        <v>41</v>
      </c>
      <c r="D456" s="2" t="s">
        <v>38</v>
      </c>
      <c r="E456" s="2" t="s">
        <v>82</v>
      </c>
      <c r="F456" s="2" t="s">
        <v>814</v>
      </c>
      <c r="G456" s="2" t="s">
        <v>42</v>
      </c>
      <c r="H456" s="2" t="s">
        <v>42</v>
      </c>
      <c r="I456" s="2" t="s">
        <v>47</v>
      </c>
      <c r="J456" s="2" t="s">
        <v>44</v>
      </c>
      <c r="K456" s="2" t="s">
        <v>1671</v>
      </c>
      <c r="L456" s="2" t="s">
        <v>1599</v>
      </c>
      <c r="M456" s="2" t="s">
        <v>1600</v>
      </c>
      <c r="N456" s="2" t="s">
        <v>1672</v>
      </c>
      <c r="O456" s="2" t="s">
        <v>1673</v>
      </c>
      <c r="P456" s="2" t="s">
        <v>1603</v>
      </c>
      <c r="Q456" s="2">
        <v>56</v>
      </c>
      <c r="R456" s="2" t="b">
        <v>1</v>
      </c>
      <c r="S456" s="2">
        <v>0.81333333333333324</v>
      </c>
      <c r="T456" s="2">
        <v>0.79220779220779225</v>
      </c>
      <c r="U456" s="2">
        <v>0.83561643835616439</v>
      </c>
      <c r="V456" s="2" t="s">
        <v>63</v>
      </c>
      <c r="W456" s="2" t="s">
        <v>1912</v>
      </c>
      <c r="X456" s="2" t="s">
        <v>1913</v>
      </c>
      <c r="Y456" s="2" t="b">
        <v>1</v>
      </c>
      <c r="Z456" s="2" t="s">
        <v>67</v>
      </c>
      <c r="AA456" s="2">
        <v>2</v>
      </c>
      <c r="AB456" s="2" t="s">
        <v>49</v>
      </c>
    </row>
    <row r="457" spans="1:28" ht="15.75" hidden="1" customHeight="1" x14ac:dyDescent="0.3">
      <c r="A457" s="2" t="s">
        <v>37</v>
      </c>
      <c r="B457" s="2" t="s">
        <v>38</v>
      </c>
      <c r="C457" s="2" t="s">
        <v>41</v>
      </c>
      <c r="D457" s="2" t="s">
        <v>38</v>
      </c>
      <c r="E457" s="2" t="s">
        <v>82</v>
      </c>
      <c r="F457" s="2" t="s">
        <v>814</v>
      </c>
      <c r="G457" s="2" t="s">
        <v>42</v>
      </c>
      <c r="H457" s="2" t="s">
        <v>42</v>
      </c>
      <c r="I457" s="2" t="s">
        <v>47</v>
      </c>
      <c r="J457" s="2" t="s">
        <v>44</v>
      </c>
      <c r="K457" s="2" t="s">
        <v>1676</v>
      </c>
      <c r="L457" s="2" t="s">
        <v>1599</v>
      </c>
      <c r="M457" s="2" t="s">
        <v>1600</v>
      </c>
      <c r="N457" s="2" t="s">
        <v>1677</v>
      </c>
      <c r="O457" s="2" t="s">
        <v>1678</v>
      </c>
      <c r="P457" s="2" t="s">
        <v>1603</v>
      </c>
      <c r="Q457" s="2">
        <v>57</v>
      </c>
      <c r="R457" s="2" t="b">
        <v>1</v>
      </c>
      <c r="S457" s="2">
        <v>0.85626911314984711</v>
      </c>
      <c r="T457" s="2">
        <v>0.83333333333333337</v>
      </c>
      <c r="U457" s="2">
        <v>0.88050314465408808</v>
      </c>
      <c r="V457" s="2" t="s">
        <v>63</v>
      </c>
      <c r="W457" s="2" t="s">
        <v>1914</v>
      </c>
      <c r="X457" s="2" t="s">
        <v>1915</v>
      </c>
      <c r="Y457" s="2" t="b">
        <v>1</v>
      </c>
      <c r="Z457" s="2" t="s">
        <v>67</v>
      </c>
      <c r="AA457" s="2">
        <v>1.8</v>
      </c>
      <c r="AB457" s="2" t="s">
        <v>49</v>
      </c>
    </row>
    <row r="458" spans="1:28" ht="15.75" hidden="1" customHeight="1" x14ac:dyDescent="0.3">
      <c r="A458" s="2" t="s">
        <v>37</v>
      </c>
      <c r="B458" s="2" t="s">
        <v>38</v>
      </c>
      <c r="C458" s="2" t="s">
        <v>41</v>
      </c>
      <c r="D458" s="2" t="s">
        <v>38</v>
      </c>
      <c r="E458" s="2" t="s">
        <v>82</v>
      </c>
      <c r="F458" s="2" t="s">
        <v>814</v>
      </c>
      <c r="G458" s="2" t="s">
        <v>42</v>
      </c>
      <c r="H458" s="2" t="s">
        <v>42</v>
      </c>
      <c r="I458" s="2" t="s">
        <v>47</v>
      </c>
      <c r="J458" s="2" t="s">
        <v>44</v>
      </c>
      <c r="K458" s="2" t="s">
        <v>1681</v>
      </c>
      <c r="L458" s="2" t="s">
        <v>1599</v>
      </c>
      <c r="M458" s="2" t="s">
        <v>1600</v>
      </c>
      <c r="N458" s="2" t="s">
        <v>1682</v>
      </c>
      <c r="O458" s="2" t="s">
        <v>1683</v>
      </c>
      <c r="P458" s="2" t="s">
        <v>1603</v>
      </c>
      <c r="Q458" s="2">
        <v>58</v>
      </c>
      <c r="R458" s="2" t="b">
        <v>1</v>
      </c>
      <c r="S458" s="2">
        <v>0.8</v>
      </c>
      <c r="T458" s="2">
        <v>0.78048780487804881</v>
      </c>
      <c r="U458" s="2">
        <v>0.82051282051282048</v>
      </c>
      <c r="V458" s="2" t="s">
        <v>63</v>
      </c>
      <c r="W458" s="2" t="s">
        <v>1916</v>
      </c>
      <c r="X458" s="2" t="s">
        <v>1917</v>
      </c>
      <c r="Y458" s="2" t="b">
        <v>1</v>
      </c>
      <c r="Z458" s="2" t="s">
        <v>67</v>
      </c>
      <c r="AA458" s="2">
        <v>2.5</v>
      </c>
      <c r="AB458" s="2" t="s">
        <v>49</v>
      </c>
    </row>
    <row r="459" spans="1:28" ht="15.75" hidden="1" customHeight="1" x14ac:dyDescent="0.3">
      <c r="A459" s="2" t="s">
        <v>37</v>
      </c>
      <c r="B459" s="2" t="s">
        <v>38</v>
      </c>
      <c r="C459" s="2" t="s">
        <v>41</v>
      </c>
      <c r="D459" s="2" t="s">
        <v>38</v>
      </c>
      <c r="E459" s="2" t="s">
        <v>82</v>
      </c>
      <c r="F459" s="2" t="s">
        <v>814</v>
      </c>
      <c r="G459" s="2" t="s">
        <v>42</v>
      </c>
      <c r="H459" s="2" t="s">
        <v>42</v>
      </c>
      <c r="I459" s="2" t="s">
        <v>47</v>
      </c>
      <c r="J459" s="2" t="s">
        <v>44</v>
      </c>
      <c r="K459" s="2" t="s">
        <v>1686</v>
      </c>
      <c r="L459" s="2" t="s">
        <v>1599</v>
      </c>
      <c r="M459" s="2" t="s">
        <v>1600</v>
      </c>
      <c r="N459" s="2" t="s">
        <v>1687</v>
      </c>
      <c r="O459" s="2" t="s">
        <v>1688</v>
      </c>
      <c r="P459" s="2" t="s">
        <v>1603</v>
      </c>
      <c r="Q459" s="2">
        <v>59</v>
      </c>
      <c r="R459" s="2" t="b">
        <v>1</v>
      </c>
      <c r="S459" s="2">
        <v>0.84831460674157289</v>
      </c>
      <c r="T459" s="2">
        <v>0.81182795698924726</v>
      </c>
      <c r="U459" s="2">
        <v>0.88823529411764701</v>
      </c>
      <c r="V459" s="2" t="s">
        <v>63</v>
      </c>
      <c r="W459" s="2" t="s">
        <v>1918</v>
      </c>
      <c r="X459" s="2" t="s">
        <v>1919</v>
      </c>
      <c r="Y459" s="2" t="b">
        <v>1</v>
      </c>
      <c r="Z459" s="2" t="s">
        <v>67</v>
      </c>
      <c r="AA459" s="2">
        <v>2.2999999999999998</v>
      </c>
      <c r="AB459" s="2" t="s">
        <v>49</v>
      </c>
    </row>
    <row r="460" spans="1:28" ht="15.75" hidden="1" customHeight="1" x14ac:dyDescent="0.3">
      <c r="A460" s="2" t="s">
        <v>37</v>
      </c>
      <c r="B460" s="2" t="s">
        <v>38</v>
      </c>
      <c r="C460" s="2" t="s">
        <v>41</v>
      </c>
      <c r="D460" s="2" t="s">
        <v>38</v>
      </c>
      <c r="E460" s="2" t="s">
        <v>82</v>
      </c>
      <c r="F460" s="2" t="s">
        <v>814</v>
      </c>
      <c r="G460" s="2" t="s">
        <v>42</v>
      </c>
      <c r="H460" s="2" t="s">
        <v>42</v>
      </c>
      <c r="I460" s="2" t="s">
        <v>47</v>
      </c>
      <c r="J460" s="2" t="s">
        <v>44</v>
      </c>
      <c r="K460" s="2" t="s">
        <v>1691</v>
      </c>
      <c r="L460" s="2" t="s">
        <v>1599</v>
      </c>
      <c r="M460" s="2" t="s">
        <v>1600</v>
      </c>
      <c r="N460" s="2" t="s">
        <v>1692</v>
      </c>
      <c r="O460" s="2" t="s">
        <v>1693</v>
      </c>
      <c r="P460" s="2" t="s">
        <v>1603</v>
      </c>
      <c r="Q460" s="2">
        <v>60</v>
      </c>
      <c r="R460" s="2" t="b">
        <v>1</v>
      </c>
      <c r="S460" s="2">
        <v>0.81595092024539873</v>
      </c>
      <c r="T460" s="2">
        <v>0.78235294117647058</v>
      </c>
      <c r="U460" s="2">
        <v>0.85256410256410253</v>
      </c>
      <c r="V460" s="2" t="s">
        <v>63</v>
      </c>
      <c r="W460" s="2" t="s">
        <v>1920</v>
      </c>
      <c r="X460" s="2" t="s">
        <v>1921</v>
      </c>
      <c r="Y460" s="2" t="b">
        <v>1</v>
      </c>
      <c r="Z460" s="2" t="s">
        <v>67</v>
      </c>
      <c r="AA460" s="2">
        <v>1.4</v>
      </c>
      <c r="AB460" s="2" t="s">
        <v>49</v>
      </c>
    </row>
    <row r="461" spans="1:28" ht="15.75" hidden="1" customHeight="1" x14ac:dyDescent="0.3">
      <c r="A461" s="2" t="s">
        <v>37</v>
      </c>
      <c r="B461" s="2" t="s">
        <v>38</v>
      </c>
      <c r="C461" s="2" t="s">
        <v>41</v>
      </c>
      <c r="D461" s="2" t="s">
        <v>38</v>
      </c>
      <c r="E461" s="2" t="s">
        <v>82</v>
      </c>
      <c r="F461" s="2" t="s">
        <v>814</v>
      </c>
      <c r="G461" s="2" t="s">
        <v>42</v>
      </c>
      <c r="H461" s="2" t="s">
        <v>42</v>
      </c>
      <c r="I461" s="2" t="s">
        <v>47</v>
      </c>
      <c r="J461" s="2" t="s">
        <v>44</v>
      </c>
      <c r="K461" s="2" t="s">
        <v>1696</v>
      </c>
      <c r="L461" s="2" t="s">
        <v>1599</v>
      </c>
      <c r="M461" s="2" t="s">
        <v>1600</v>
      </c>
      <c r="N461" s="2" t="s">
        <v>1697</v>
      </c>
      <c r="O461" s="2" t="s">
        <v>1698</v>
      </c>
      <c r="P461" s="2" t="s">
        <v>1603</v>
      </c>
      <c r="Q461" s="2">
        <v>61</v>
      </c>
      <c r="R461" s="2" t="b">
        <v>1</v>
      </c>
      <c r="S461" s="2">
        <v>0.83443708609271516</v>
      </c>
      <c r="T461" s="2">
        <v>0.80769230769230771</v>
      </c>
      <c r="U461" s="2">
        <v>0.86301369863013699</v>
      </c>
      <c r="V461" s="2" t="s">
        <v>63</v>
      </c>
      <c r="W461" s="2" t="s">
        <v>1922</v>
      </c>
      <c r="X461" s="2" t="s">
        <v>1923</v>
      </c>
      <c r="Y461" s="2" t="b">
        <v>1</v>
      </c>
      <c r="Z461" s="2" t="s">
        <v>67</v>
      </c>
      <c r="AA461" s="2">
        <v>1.5</v>
      </c>
      <c r="AB461" s="2" t="s">
        <v>49</v>
      </c>
    </row>
    <row r="462" spans="1:28" ht="15.75" hidden="1" customHeight="1" x14ac:dyDescent="0.3">
      <c r="A462" s="2" t="s">
        <v>37</v>
      </c>
      <c r="B462" s="2" t="s">
        <v>38</v>
      </c>
      <c r="C462" s="2" t="s">
        <v>41</v>
      </c>
      <c r="D462" s="2" t="s">
        <v>38</v>
      </c>
      <c r="E462" s="2" t="s">
        <v>82</v>
      </c>
      <c r="F462" s="2" t="s">
        <v>814</v>
      </c>
      <c r="G462" s="2" t="s">
        <v>42</v>
      </c>
      <c r="H462" s="2" t="s">
        <v>42</v>
      </c>
      <c r="I462" s="2" t="s">
        <v>239</v>
      </c>
      <c r="J462" s="2" t="s">
        <v>71</v>
      </c>
      <c r="K462" s="2" t="s">
        <v>1701</v>
      </c>
      <c r="L462" s="2" t="s">
        <v>1702</v>
      </c>
      <c r="M462" s="2" t="s">
        <v>1703</v>
      </c>
      <c r="N462" s="2" t="s">
        <v>1704</v>
      </c>
      <c r="O462" s="2" t="s">
        <v>1705</v>
      </c>
      <c r="P462" s="2" t="s">
        <v>1706</v>
      </c>
      <c r="Q462" s="2">
        <v>42</v>
      </c>
      <c r="R462" s="2" t="b">
        <v>0</v>
      </c>
      <c r="S462" s="2">
        <v>0.8125</v>
      </c>
      <c r="T462" s="2">
        <v>0.78787878787878785</v>
      </c>
      <c r="U462" s="2">
        <v>0.83870967741935487</v>
      </c>
      <c r="V462" s="2" t="s">
        <v>63</v>
      </c>
      <c r="W462" s="2" t="s">
        <v>1924</v>
      </c>
      <c r="X462" s="2" t="s">
        <v>1925</v>
      </c>
      <c r="Y462" s="2" t="b">
        <v>1</v>
      </c>
      <c r="Z462" s="2" t="s">
        <v>67</v>
      </c>
      <c r="AA462" s="2">
        <v>1.5</v>
      </c>
      <c r="AB462" s="2" t="s">
        <v>49</v>
      </c>
    </row>
    <row r="463" spans="1:28" ht="15.75" hidden="1" customHeight="1" x14ac:dyDescent="0.3">
      <c r="A463" s="2" t="s">
        <v>37</v>
      </c>
      <c r="B463" s="2" t="s">
        <v>38</v>
      </c>
      <c r="C463" s="2" t="s">
        <v>41</v>
      </c>
      <c r="D463" s="2" t="s">
        <v>38</v>
      </c>
      <c r="E463" s="2" t="s">
        <v>82</v>
      </c>
      <c r="F463" s="2" t="s">
        <v>814</v>
      </c>
      <c r="G463" s="2" t="s">
        <v>42</v>
      </c>
      <c r="H463" s="2" t="s">
        <v>42</v>
      </c>
      <c r="I463" s="2" t="s">
        <v>239</v>
      </c>
      <c r="J463" s="2" t="s">
        <v>71</v>
      </c>
      <c r="K463" s="2" t="s">
        <v>1709</v>
      </c>
      <c r="L463" s="2" t="s">
        <v>1702</v>
      </c>
      <c r="M463" s="2" t="s">
        <v>1703</v>
      </c>
      <c r="N463" s="2" t="s">
        <v>1710</v>
      </c>
      <c r="O463" s="2" t="s">
        <v>1711</v>
      </c>
      <c r="P463" s="2" t="s">
        <v>1706</v>
      </c>
      <c r="Q463" s="2">
        <v>43</v>
      </c>
      <c r="R463" s="2" t="b">
        <v>0</v>
      </c>
      <c r="S463" s="2">
        <v>0.77931034482758632</v>
      </c>
      <c r="T463" s="2">
        <v>0.7533333333333333</v>
      </c>
      <c r="U463" s="2">
        <v>0.80714285714285716</v>
      </c>
      <c r="V463" s="2" t="s">
        <v>63</v>
      </c>
      <c r="W463" s="2" t="s">
        <v>1926</v>
      </c>
      <c r="X463" s="2" t="s">
        <v>1927</v>
      </c>
      <c r="Y463" s="2" t="b">
        <v>1</v>
      </c>
      <c r="Z463" s="2" t="s">
        <v>67</v>
      </c>
      <c r="AA463" s="2">
        <v>2</v>
      </c>
      <c r="AB463" s="2" t="s">
        <v>49</v>
      </c>
    </row>
    <row r="464" spans="1:28" ht="15.75" hidden="1" customHeight="1" x14ac:dyDescent="0.3">
      <c r="A464" s="2" t="s">
        <v>37</v>
      </c>
      <c r="B464" s="2" t="s">
        <v>38</v>
      </c>
      <c r="C464" s="2" t="s">
        <v>41</v>
      </c>
      <c r="D464" s="2" t="s">
        <v>38</v>
      </c>
      <c r="E464" s="2" t="s">
        <v>82</v>
      </c>
      <c r="F464" s="2" t="s">
        <v>814</v>
      </c>
      <c r="G464" s="2" t="s">
        <v>42</v>
      </c>
      <c r="H464" s="2" t="s">
        <v>42</v>
      </c>
      <c r="I464" s="2" t="s">
        <v>239</v>
      </c>
      <c r="J464" s="2" t="s">
        <v>71</v>
      </c>
      <c r="K464" s="2" t="s">
        <v>1714</v>
      </c>
      <c r="L464" s="2" t="s">
        <v>1702</v>
      </c>
      <c r="M464" s="2" t="s">
        <v>1703</v>
      </c>
      <c r="N464" s="2" t="s">
        <v>1715</v>
      </c>
      <c r="O464" s="2" t="s">
        <v>1716</v>
      </c>
      <c r="P464" s="2" t="s">
        <v>1706</v>
      </c>
      <c r="Q464" s="2">
        <v>44</v>
      </c>
      <c r="R464" s="2" t="b">
        <v>0</v>
      </c>
      <c r="S464" s="2">
        <v>0.84713375796178336</v>
      </c>
      <c r="T464" s="2">
        <v>0.82608695652173914</v>
      </c>
      <c r="U464" s="2">
        <v>0.86928104575163401</v>
      </c>
      <c r="V464" s="2" t="s">
        <v>63</v>
      </c>
      <c r="W464" s="2" t="s">
        <v>1928</v>
      </c>
      <c r="X464" s="2" t="s">
        <v>1929</v>
      </c>
      <c r="Y464" s="2" t="b">
        <v>1</v>
      </c>
      <c r="Z464" s="2" t="s">
        <v>67</v>
      </c>
      <c r="AA464" s="2">
        <v>1.5</v>
      </c>
      <c r="AB464" s="2" t="s">
        <v>49</v>
      </c>
    </row>
    <row r="465" spans="1:28" ht="15.75" hidden="1" customHeight="1" x14ac:dyDescent="0.3">
      <c r="A465" s="2" t="s">
        <v>37</v>
      </c>
      <c r="B465" s="2" t="s">
        <v>38</v>
      </c>
      <c r="C465" s="2" t="s">
        <v>41</v>
      </c>
      <c r="D465" s="2" t="s">
        <v>38</v>
      </c>
      <c r="E465" s="2" t="s">
        <v>82</v>
      </c>
      <c r="F465" s="2" t="s">
        <v>814</v>
      </c>
      <c r="G465" s="2" t="s">
        <v>42</v>
      </c>
      <c r="H465" s="2" t="s">
        <v>42</v>
      </c>
      <c r="I465" s="2" t="s">
        <v>239</v>
      </c>
      <c r="J465" s="2" t="s">
        <v>71</v>
      </c>
      <c r="K465" s="2" t="s">
        <v>1719</v>
      </c>
      <c r="L465" s="2" t="s">
        <v>1702</v>
      </c>
      <c r="M465" s="2" t="s">
        <v>1703</v>
      </c>
      <c r="N465" s="2" t="s">
        <v>1720</v>
      </c>
      <c r="O465" s="2" t="s">
        <v>1721</v>
      </c>
      <c r="P465" s="2" t="s">
        <v>1706</v>
      </c>
      <c r="Q465" s="2">
        <v>45</v>
      </c>
      <c r="R465" s="2" t="b">
        <v>0</v>
      </c>
      <c r="S465" s="2">
        <v>0.84829721362229116</v>
      </c>
      <c r="T465" s="2">
        <v>0.82530120481927716</v>
      </c>
      <c r="U465" s="2">
        <v>0.87261146496815289</v>
      </c>
      <c r="V465" s="2" t="s">
        <v>63</v>
      </c>
      <c r="W465" s="2" t="s">
        <v>1930</v>
      </c>
      <c r="X465" s="2" t="s">
        <v>1931</v>
      </c>
      <c r="Y465" s="2" t="b">
        <v>1</v>
      </c>
      <c r="Z465" s="2" t="s">
        <v>67</v>
      </c>
      <c r="AA465" s="2">
        <v>2.9</v>
      </c>
      <c r="AB465" s="2" t="s">
        <v>49</v>
      </c>
    </row>
    <row r="466" spans="1:28" ht="15.75" hidden="1" customHeight="1" x14ac:dyDescent="0.3">
      <c r="A466" s="2" t="s">
        <v>37</v>
      </c>
      <c r="B466" s="2" t="s">
        <v>38</v>
      </c>
      <c r="C466" s="2" t="s">
        <v>41</v>
      </c>
      <c r="D466" s="2" t="s">
        <v>38</v>
      </c>
      <c r="E466" s="2" t="s">
        <v>82</v>
      </c>
      <c r="F466" s="2" t="s">
        <v>814</v>
      </c>
      <c r="G466" s="2" t="s">
        <v>42</v>
      </c>
      <c r="H466" s="2" t="s">
        <v>42</v>
      </c>
      <c r="I466" s="2" t="s">
        <v>239</v>
      </c>
      <c r="J466" s="2" t="s">
        <v>71</v>
      </c>
      <c r="K466" s="2" t="s">
        <v>1724</v>
      </c>
      <c r="L466" s="2" t="s">
        <v>1702</v>
      </c>
      <c r="M466" s="2" t="s">
        <v>1703</v>
      </c>
      <c r="N466" s="2" t="s">
        <v>1725</v>
      </c>
      <c r="O466" s="2" t="s">
        <v>1726</v>
      </c>
      <c r="P466" s="2" t="s">
        <v>1706</v>
      </c>
      <c r="Q466" s="2">
        <v>46</v>
      </c>
      <c r="R466" s="2" t="b">
        <v>0</v>
      </c>
      <c r="S466" s="2">
        <v>0.81879194630872487</v>
      </c>
      <c r="T466" s="2">
        <v>0.79220779220779225</v>
      </c>
      <c r="U466" s="2">
        <v>0.84722222222222221</v>
      </c>
      <c r="V466" s="2" t="s">
        <v>63</v>
      </c>
      <c r="W466" s="2" t="s">
        <v>1932</v>
      </c>
      <c r="X466" s="2" t="s">
        <v>1933</v>
      </c>
      <c r="Y466" s="2" t="b">
        <v>1</v>
      </c>
      <c r="Z466" s="2" t="s">
        <v>67</v>
      </c>
      <c r="AA466" s="2">
        <v>1.8</v>
      </c>
      <c r="AB466" s="2" t="s">
        <v>49</v>
      </c>
    </row>
    <row r="467" spans="1:28" ht="15.75" hidden="1" customHeight="1" x14ac:dyDescent="0.3">
      <c r="A467" s="2" t="s">
        <v>37</v>
      </c>
      <c r="B467" s="2" t="s">
        <v>38</v>
      </c>
      <c r="C467" s="2" t="s">
        <v>41</v>
      </c>
      <c r="D467" s="2" t="s">
        <v>38</v>
      </c>
      <c r="E467" s="2" t="s">
        <v>82</v>
      </c>
      <c r="F467" s="2" t="s">
        <v>814</v>
      </c>
      <c r="G467" s="2" t="s">
        <v>42</v>
      </c>
      <c r="H467" s="2" t="s">
        <v>42</v>
      </c>
      <c r="I467" s="2" t="s">
        <v>239</v>
      </c>
      <c r="J467" s="2" t="s">
        <v>71</v>
      </c>
      <c r="K467" s="2" t="s">
        <v>1729</v>
      </c>
      <c r="L467" s="2" t="s">
        <v>1702</v>
      </c>
      <c r="M467" s="2" t="s">
        <v>1703</v>
      </c>
      <c r="N467" s="2" t="s">
        <v>1730</v>
      </c>
      <c r="O467" s="2" t="s">
        <v>1731</v>
      </c>
      <c r="P467" s="2" t="s">
        <v>1706</v>
      </c>
      <c r="Q467" s="2">
        <v>47</v>
      </c>
      <c r="R467" s="2" t="b">
        <v>0</v>
      </c>
      <c r="S467" s="2">
        <v>0.82822085889570551</v>
      </c>
      <c r="T467" s="2">
        <v>0.8035714285714286</v>
      </c>
      <c r="U467" s="2">
        <v>0.85443037974683544</v>
      </c>
      <c r="V467" s="2" t="s">
        <v>63</v>
      </c>
      <c r="W467" s="2" t="s">
        <v>1934</v>
      </c>
      <c r="X467" s="2" t="s">
        <v>1935</v>
      </c>
      <c r="Y467" s="2" t="b">
        <v>1</v>
      </c>
      <c r="Z467" s="2" t="s">
        <v>67</v>
      </c>
      <c r="AA467" s="2">
        <v>1.4</v>
      </c>
      <c r="AB467" s="2" t="s">
        <v>49</v>
      </c>
    </row>
    <row r="468" spans="1:28" ht="15.75" hidden="1" customHeight="1" x14ac:dyDescent="0.3">
      <c r="A468" s="2" t="s">
        <v>37</v>
      </c>
      <c r="B468" s="2" t="s">
        <v>38</v>
      </c>
      <c r="C468" s="2" t="s">
        <v>41</v>
      </c>
      <c r="D468" s="2" t="s">
        <v>38</v>
      </c>
      <c r="E468" s="2" t="s">
        <v>82</v>
      </c>
      <c r="F468" s="2" t="s">
        <v>814</v>
      </c>
      <c r="G468" s="2" t="s">
        <v>42</v>
      </c>
      <c r="H468" s="2" t="s">
        <v>42</v>
      </c>
      <c r="I468" s="2" t="s">
        <v>239</v>
      </c>
      <c r="J468" s="2" t="s">
        <v>71</v>
      </c>
      <c r="K468" s="2" t="s">
        <v>1734</v>
      </c>
      <c r="L468" s="2" t="s">
        <v>1702</v>
      </c>
      <c r="M468" s="2" t="s">
        <v>1703</v>
      </c>
      <c r="N468" s="2" t="s">
        <v>1735</v>
      </c>
      <c r="O468" s="2" t="s">
        <v>1736</v>
      </c>
      <c r="P468" s="2" t="s">
        <v>1706</v>
      </c>
      <c r="Q468" s="2">
        <v>48</v>
      </c>
      <c r="R468" s="2" t="b">
        <v>0</v>
      </c>
      <c r="S468" s="2">
        <v>0.83018867924528295</v>
      </c>
      <c r="T468" s="2">
        <v>0.81481481481481477</v>
      </c>
      <c r="U468" s="2">
        <v>0.84615384615384615</v>
      </c>
      <c r="V468" s="2" t="s">
        <v>63</v>
      </c>
      <c r="W468" s="2" t="s">
        <v>1936</v>
      </c>
      <c r="X468" s="2" t="s">
        <v>1937</v>
      </c>
      <c r="Y468" s="2" t="b">
        <v>1</v>
      </c>
      <c r="Z468" s="2" t="s">
        <v>67</v>
      </c>
      <c r="AA468" s="2">
        <v>2</v>
      </c>
      <c r="AB468" s="2" t="s">
        <v>49</v>
      </c>
    </row>
    <row r="469" spans="1:28" ht="15.75" hidden="1" customHeight="1" x14ac:dyDescent="0.3">
      <c r="A469" s="2" t="s">
        <v>37</v>
      </c>
      <c r="B469" s="2" t="s">
        <v>38</v>
      </c>
      <c r="C469" s="2" t="s">
        <v>41</v>
      </c>
      <c r="D469" s="2" t="s">
        <v>38</v>
      </c>
      <c r="E469" s="2" t="s">
        <v>82</v>
      </c>
      <c r="F469" s="2" t="s">
        <v>814</v>
      </c>
      <c r="G469" s="2" t="s">
        <v>42</v>
      </c>
      <c r="H469" s="2" t="s">
        <v>42</v>
      </c>
      <c r="I469" s="2" t="s">
        <v>239</v>
      </c>
      <c r="J469" s="2" t="s">
        <v>71</v>
      </c>
      <c r="K469" s="2" t="s">
        <v>1739</v>
      </c>
      <c r="L469" s="2" t="s">
        <v>1702</v>
      </c>
      <c r="M469" s="2" t="s">
        <v>1703</v>
      </c>
      <c r="N469" s="2" t="s">
        <v>1740</v>
      </c>
      <c r="O469" s="2" t="s">
        <v>1741</v>
      </c>
      <c r="P469" s="2" t="s">
        <v>1706</v>
      </c>
      <c r="Q469" s="2">
        <v>49</v>
      </c>
      <c r="R469" s="2" t="b">
        <v>0</v>
      </c>
      <c r="S469" s="2">
        <v>0.78678678678678682</v>
      </c>
      <c r="T469" s="2">
        <v>0.75287356321839083</v>
      </c>
      <c r="U469" s="2">
        <v>0.82389937106918243</v>
      </c>
      <c r="V469" s="2" t="s">
        <v>63</v>
      </c>
      <c r="W469" s="2" t="s">
        <v>1938</v>
      </c>
      <c r="X469" s="2" t="s">
        <v>1939</v>
      </c>
      <c r="Y469" s="2" t="b">
        <v>1</v>
      </c>
      <c r="Z469" s="2" t="s">
        <v>67</v>
      </c>
      <c r="AA469" s="2">
        <v>1.6</v>
      </c>
      <c r="AB469" s="2" t="s">
        <v>49</v>
      </c>
    </row>
    <row r="470" spans="1:28" ht="15.75" hidden="1" customHeight="1" x14ac:dyDescent="0.3">
      <c r="A470" s="2" t="s">
        <v>37</v>
      </c>
      <c r="B470" s="2" t="s">
        <v>38</v>
      </c>
      <c r="C470" s="2" t="s">
        <v>41</v>
      </c>
      <c r="D470" s="2" t="s">
        <v>38</v>
      </c>
      <c r="E470" s="2" t="s">
        <v>82</v>
      </c>
      <c r="F470" s="2" t="s">
        <v>814</v>
      </c>
      <c r="G470" s="2" t="s">
        <v>42</v>
      </c>
      <c r="H470" s="2" t="s">
        <v>42</v>
      </c>
      <c r="I470" s="2" t="s">
        <v>239</v>
      </c>
      <c r="J470" s="2" t="s">
        <v>71</v>
      </c>
      <c r="K470" s="2" t="s">
        <v>1744</v>
      </c>
      <c r="L470" s="2" t="s">
        <v>1702</v>
      </c>
      <c r="M470" s="2" t="s">
        <v>1703</v>
      </c>
      <c r="N470" s="2" t="s">
        <v>1745</v>
      </c>
      <c r="O470" s="2" t="s">
        <v>1746</v>
      </c>
      <c r="P470" s="2" t="s">
        <v>1706</v>
      </c>
      <c r="Q470" s="2">
        <v>50</v>
      </c>
      <c r="R470" s="2" t="b">
        <v>0</v>
      </c>
      <c r="S470" s="2">
        <v>0.87128712871287128</v>
      </c>
      <c r="T470" s="2">
        <v>0.84615384615384615</v>
      </c>
      <c r="U470" s="2">
        <v>0.89795918367346939</v>
      </c>
      <c r="V470" s="2" t="s">
        <v>63</v>
      </c>
      <c r="W470" s="2" t="s">
        <v>1940</v>
      </c>
      <c r="X470" s="2" t="s">
        <v>1941</v>
      </c>
      <c r="Y470" s="2" t="b">
        <v>1</v>
      </c>
      <c r="Z470" s="2" t="s">
        <v>67</v>
      </c>
      <c r="AA470" s="2">
        <v>1.4</v>
      </c>
      <c r="AB470" s="2" t="s">
        <v>49</v>
      </c>
    </row>
    <row r="471" spans="1:28" ht="15.75" hidden="1" customHeight="1" x14ac:dyDescent="0.3">
      <c r="A471" s="2" t="s">
        <v>37</v>
      </c>
      <c r="B471" s="2" t="s">
        <v>38</v>
      </c>
      <c r="C471" s="2" t="s">
        <v>41</v>
      </c>
      <c r="D471" s="2" t="s">
        <v>38</v>
      </c>
      <c r="E471" s="2" t="s">
        <v>82</v>
      </c>
      <c r="F471" s="2" t="s">
        <v>814</v>
      </c>
      <c r="G471" s="2" t="s">
        <v>42</v>
      </c>
      <c r="H471" s="2" t="s">
        <v>42</v>
      </c>
      <c r="I471" s="2" t="s">
        <v>239</v>
      </c>
      <c r="J471" s="2" t="s">
        <v>71</v>
      </c>
      <c r="K471" s="2" t="s">
        <v>1749</v>
      </c>
      <c r="L471" s="2" t="s">
        <v>1702</v>
      </c>
      <c r="M471" s="2" t="s">
        <v>1703</v>
      </c>
      <c r="N471" s="2" t="s">
        <v>1750</v>
      </c>
      <c r="O471" s="2" t="s">
        <v>1751</v>
      </c>
      <c r="P471" s="2" t="s">
        <v>1706</v>
      </c>
      <c r="Q471" s="2">
        <v>51</v>
      </c>
      <c r="R471" s="2" t="b">
        <v>0</v>
      </c>
      <c r="S471" s="2">
        <v>0.8098159509202455</v>
      </c>
      <c r="T471" s="2">
        <v>0.79518072289156627</v>
      </c>
      <c r="U471" s="2">
        <v>0.82499999999999996</v>
      </c>
      <c r="V471" s="2" t="s">
        <v>63</v>
      </c>
      <c r="W471" s="2" t="s">
        <v>1942</v>
      </c>
      <c r="X471" s="2" t="s">
        <v>1943</v>
      </c>
      <c r="Y471" s="2" t="b">
        <v>1</v>
      </c>
      <c r="Z471" s="2" t="s">
        <v>67</v>
      </c>
      <c r="AA471" s="2">
        <v>2</v>
      </c>
      <c r="AB471" s="2" t="s">
        <v>49</v>
      </c>
    </row>
    <row r="472" spans="1:28" ht="15.75" hidden="1" customHeight="1" x14ac:dyDescent="0.3">
      <c r="A472" s="2" t="s">
        <v>37</v>
      </c>
      <c r="B472" s="2" t="s">
        <v>38</v>
      </c>
      <c r="C472" s="2" t="s">
        <v>41</v>
      </c>
      <c r="D472" s="2" t="s">
        <v>38</v>
      </c>
      <c r="E472" s="2" t="s">
        <v>82</v>
      </c>
      <c r="F472" s="2" t="s">
        <v>814</v>
      </c>
      <c r="G472" s="2" t="s">
        <v>42</v>
      </c>
      <c r="H472" s="2" t="s">
        <v>42</v>
      </c>
      <c r="I472" s="2" t="s">
        <v>239</v>
      </c>
      <c r="J472" s="2" t="s">
        <v>71</v>
      </c>
      <c r="K472" s="2" t="s">
        <v>1754</v>
      </c>
      <c r="L472" s="2" t="s">
        <v>1702</v>
      </c>
      <c r="M472" s="2" t="s">
        <v>1703</v>
      </c>
      <c r="N472" s="2" t="s">
        <v>1755</v>
      </c>
      <c r="O472" s="2" t="s">
        <v>1756</v>
      </c>
      <c r="P472" s="2" t="s">
        <v>1706</v>
      </c>
      <c r="Q472" s="2">
        <v>52</v>
      </c>
      <c r="R472" s="2" t="b">
        <v>0</v>
      </c>
      <c r="S472" s="2">
        <v>0.82822085889570551</v>
      </c>
      <c r="T472" s="2">
        <v>0.81325301204819278</v>
      </c>
      <c r="U472" s="2">
        <v>0.84375</v>
      </c>
      <c r="V472" s="2" t="s">
        <v>63</v>
      </c>
      <c r="W472" s="2" t="s">
        <v>1944</v>
      </c>
      <c r="X472" s="2" t="s">
        <v>1945</v>
      </c>
      <c r="Y472" s="2" t="b">
        <v>1</v>
      </c>
      <c r="Z472" s="2" t="s">
        <v>67</v>
      </c>
      <c r="AA472" s="2">
        <v>2.2999999999999998</v>
      </c>
      <c r="AB472" s="2" t="s">
        <v>49</v>
      </c>
    </row>
    <row r="473" spans="1:28" ht="15.75" hidden="1" customHeight="1" x14ac:dyDescent="0.3">
      <c r="A473" s="2" t="s">
        <v>37</v>
      </c>
      <c r="B473" s="2" t="s">
        <v>38</v>
      </c>
      <c r="C473" s="2" t="s">
        <v>41</v>
      </c>
      <c r="D473" s="2" t="s">
        <v>38</v>
      </c>
      <c r="E473" s="2" t="s">
        <v>82</v>
      </c>
      <c r="F473" s="2" t="s">
        <v>814</v>
      </c>
      <c r="G473" s="2" t="s">
        <v>42</v>
      </c>
      <c r="H473" s="2" t="s">
        <v>42</v>
      </c>
      <c r="I473" s="2" t="s">
        <v>239</v>
      </c>
      <c r="J473" s="2" t="s">
        <v>71</v>
      </c>
      <c r="K473" s="2" t="s">
        <v>1759</v>
      </c>
      <c r="L473" s="2" t="s">
        <v>1702</v>
      </c>
      <c r="M473" s="2" t="s">
        <v>1703</v>
      </c>
      <c r="N473" s="2" t="s">
        <v>1760</v>
      </c>
      <c r="O473" s="2" t="s">
        <v>1761</v>
      </c>
      <c r="P473" s="2" t="s">
        <v>1706</v>
      </c>
      <c r="Q473" s="2">
        <v>53</v>
      </c>
      <c r="R473" s="2" t="b">
        <v>0</v>
      </c>
      <c r="S473" s="2">
        <v>0.88535031847133772</v>
      </c>
      <c r="T473" s="2">
        <v>0.86875000000000002</v>
      </c>
      <c r="U473" s="2">
        <v>0.90259740259740262</v>
      </c>
      <c r="V473" s="2" t="s">
        <v>63</v>
      </c>
      <c r="W473" s="2" t="s">
        <v>1946</v>
      </c>
      <c r="X473" s="2" t="s">
        <v>1947</v>
      </c>
      <c r="Y473" s="2" t="b">
        <v>1</v>
      </c>
      <c r="Z473" s="2" t="s">
        <v>67</v>
      </c>
      <c r="AA473" s="2">
        <v>2.5</v>
      </c>
      <c r="AB473" s="2" t="s">
        <v>49</v>
      </c>
    </row>
    <row r="474" spans="1:28" ht="15.75" hidden="1" customHeight="1" x14ac:dyDescent="0.3">
      <c r="A474" s="2" t="s">
        <v>37</v>
      </c>
      <c r="B474" s="2" t="s">
        <v>38</v>
      </c>
      <c r="C474" s="2" t="s">
        <v>41</v>
      </c>
      <c r="D474" s="2" t="s">
        <v>38</v>
      </c>
      <c r="E474" s="2" t="s">
        <v>82</v>
      </c>
      <c r="F474" s="2" t="s">
        <v>814</v>
      </c>
      <c r="G474" s="2" t="s">
        <v>42</v>
      </c>
      <c r="H474" s="2" t="s">
        <v>42</v>
      </c>
      <c r="I474" s="2" t="s">
        <v>239</v>
      </c>
      <c r="J474" s="2" t="s">
        <v>71</v>
      </c>
      <c r="K474" s="2" t="s">
        <v>1764</v>
      </c>
      <c r="L474" s="2" t="s">
        <v>1702</v>
      </c>
      <c r="M474" s="2" t="s">
        <v>1703</v>
      </c>
      <c r="N474" s="2" t="s">
        <v>1765</v>
      </c>
      <c r="O474" s="2" t="s">
        <v>1766</v>
      </c>
      <c r="P474" s="2" t="s">
        <v>1706</v>
      </c>
      <c r="Q474" s="2">
        <v>54</v>
      </c>
      <c r="R474" s="2" t="b">
        <v>0</v>
      </c>
      <c r="S474" s="2">
        <v>0.83892617449664431</v>
      </c>
      <c r="T474" s="2">
        <v>0.81168831168831168</v>
      </c>
      <c r="U474" s="2">
        <v>0.86805555555555558</v>
      </c>
      <c r="V474" s="2" t="s">
        <v>63</v>
      </c>
      <c r="W474" s="2" t="s">
        <v>1948</v>
      </c>
      <c r="X474" s="2" t="s">
        <v>1949</v>
      </c>
      <c r="Y474" s="2" t="b">
        <v>1</v>
      </c>
      <c r="Z474" s="2" t="s">
        <v>67</v>
      </c>
      <c r="AA474" s="2">
        <v>2</v>
      </c>
      <c r="AB474" s="2" t="s">
        <v>49</v>
      </c>
    </row>
    <row r="475" spans="1:28" ht="15.75" hidden="1" customHeight="1" x14ac:dyDescent="0.3">
      <c r="A475" s="2" t="s">
        <v>37</v>
      </c>
      <c r="B475" s="2" t="s">
        <v>38</v>
      </c>
      <c r="C475" s="2" t="s">
        <v>41</v>
      </c>
      <c r="D475" s="2" t="s">
        <v>38</v>
      </c>
      <c r="E475" s="2" t="s">
        <v>82</v>
      </c>
      <c r="F475" s="2" t="s">
        <v>814</v>
      </c>
      <c r="G475" s="2" t="s">
        <v>42</v>
      </c>
      <c r="H475" s="2" t="s">
        <v>42</v>
      </c>
      <c r="I475" s="2" t="s">
        <v>239</v>
      </c>
      <c r="J475" s="2" t="s">
        <v>71</v>
      </c>
      <c r="K475" s="2" t="s">
        <v>1769</v>
      </c>
      <c r="L475" s="2" t="s">
        <v>1702</v>
      </c>
      <c r="M475" s="2" t="s">
        <v>1703</v>
      </c>
      <c r="N475" s="2" t="s">
        <v>1770</v>
      </c>
      <c r="O475" s="2" t="s">
        <v>1771</v>
      </c>
      <c r="P475" s="2" t="s">
        <v>1706</v>
      </c>
      <c r="Q475" s="2">
        <v>55</v>
      </c>
      <c r="R475" s="2" t="b">
        <v>0</v>
      </c>
      <c r="S475" s="2">
        <v>0.81345565749235482</v>
      </c>
      <c r="T475" s="2">
        <v>0.79166666666666663</v>
      </c>
      <c r="U475" s="2">
        <v>0.83647798742138368</v>
      </c>
      <c r="V475" s="2" t="s">
        <v>63</v>
      </c>
      <c r="W475" s="2" t="s">
        <v>1950</v>
      </c>
      <c r="X475" s="2" t="s">
        <v>1951</v>
      </c>
      <c r="Y475" s="2" t="b">
        <v>1</v>
      </c>
      <c r="Z475" s="2" t="s">
        <v>67</v>
      </c>
      <c r="AA475" s="2">
        <v>1.6</v>
      </c>
      <c r="AB475" s="2" t="s">
        <v>49</v>
      </c>
    </row>
    <row r="476" spans="1:28" ht="15.75" hidden="1" customHeight="1" x14ac:dyDescent="0.3">
      <c r="A476" s="2" t="s">
        <v>37</v>
      </c>
      <c r="B476" s="2" t="s">
        <v>38</v>
      </c>
      <c r="C476" s="2" t="s">
        <v>41</v>
      </c>
      <c r="D476" s="2" t="s">
        <v>38</v>
      </c>
      <c r="E476" s="2" t="s">
        <v>82</v>
      </c>
      <c r="F476" s="2" t="s">
        <v>814</v>
      </c>
      <c r="G476" s="2" t="s">
        <v>42</v>
      </c>
      <c r="H476" s="2" t="s">
        <v>42</v>
      </c>
      <c r="I476" s="2" t="s">
        <v>239</v>
      </c>
      <c r="J476" s="2" t="s">
        <v>71</v>
      </c>
      <c r="K476" s="2" t="s">
        <v>1774</v>
      </c>
      <c r="L476" s="2" t="s">
        <v>1702</v>
      </c>
      <c r="M476" s="2" t="s">
        <v>1703</v>
      </c>
      <c r="N476" s="2" t="s">
        <v>1775</v>
      </c>
      <c r="O476" s="2" t="s">
        <v>1776</v>
      </c>
      <c r="P476" s="2" t="s">
        <v>1706</v>
      </c>
      <c r="Q476" s="2">
        <v>56</v>
      </c>
      <c r="R476" s="2" t="b">
        <v>0</v>
      </c>
      <c r="S476" s="2">
        <v>0.8673139158576052</v>
      </c>
      <c r="T476" s="2">
        <v>0.85350318471337583</v>
      </c>
      <c r="U476" s="2">
        <v>0.88157894736842102</v>
      </c>
      <c r="V476" s="2" t="s">
        <v>63</v>
      </c>
      <c r="W476" s="2" t="s">
        <v>1952</v>
      </c>
      <c r="X476" s="2" t="s">
        <v>1953</v>
      </c>
      <c r="Y476" s="2" t="b">
        <v>1</v>
      </c>
      <c r="Z476" s="2" t="s">
        <v>67</v>
      </c>
      <c r="AA476" s="2">
        <v>2.1</v>
      </c>
      <c r="AB476" s="2" t="s">
        <v>49</v>
      </c>
    </row>
    <row r="477" spans="1:28" ht="15.75" hidden="1" customHeight="1" x14ac:dyDescent="0.3">
      <c r="A477" s="2" t="s">
        <v>37</v>
      </c>
      <c r="B477" s="2" t="s">
        <v>38</v>
      </c>
      <c r="C477" s="2" t="s">
        <v>41</v>
      </c>
      <c r="D477" s="2" t="s">
        <v>38</v>
      </c>
      <c r="E477" s="2" t="s">
        <v>82</v>
      </c>
      <c r="F477" s="2" t="s">
        <v>814</v>
      </c>
      <c r="G477" s="2" t="s">
        <v>42</v>
      </c>
      <c r="H477" s="2" t="s">
        <v>42</v>
      </c>
      <c r="I477" s="2" t="s">
        <v>239</v>
      </c>
      <c r="J477" s="2" t="s">
        <v>71</v>
      </c>
      <c r="K477" s="2" t="s">
        <v>1779</v>
      </c>
      <c r="L477" s="2" t="s">
        <v>1702</v>
      </c>
      <c r="M477" s="2" t="s">
        <v>1703</v>
      </c>
      <c r="N477" s="2" t="s">
        <v>1780</v>
      </c>
      <c r="O477" s="2" t="s">
        <v>1781</v>
      </c>
      <c r="P477" s="2" t="s">
        <v>1706</v>
      </c>
      <c r="Q477" s="2">
        <v>57</v>
      </c>
      <c r="R477" s="2" t="b">
        <v>0</v>
      </c>
      <c r="S477" s="2">
        <v>0.83383685800604235</v>
      </c>
      <c r="T477" s="2">
        <v>0.81176470588235294</v>
      </c>
      <c r="U477" s="2">
        <v>0.8571428571428571</v>
      </c>
      <c r="V477" s="2" t="s">
        <v>63</v>
      </c>
      <c r="W477" s="2" t="s">
        <v>1954</v>
      </c>
      <c r="X477" s="2" t="s">
        <v>1955</v>
      </c>
      <c r="Y477" s="2" t="b">
        <v>1</v>
      </c>
      <c r="Z477" s="2" t="s">
        <v>67</v>
      </c>
      <c r="AA477" s="2">
        <v>1.5</v>
      </c>
      <c r="AB477" s="2" t="s">
        <v>49</v>
      </c>
    </row>
    <row r="478" spans="1:28" ht="15.75" hidden="1" customHeight="1" x14ac:dyDescent="0.3">
      <c r="A478" s="2" t="s">
        <v>37</v>
      </c>
      <c r="B478" s="2" t="s">
        <v>38</v>
      </c>
      <c r="C478" s="2" t="s">
        <v>41</v>
      </c>
      <c r="D478" s="2" t="s">
        <v>38</v>
      </c>
      <c r="E478" s="2" t="s">
        <v>82</v>
      </c>
      <c r="F478" s="2" t="s">
        <v>814</v>
      </c>
      <c r="G478" s="2" t="s">
        <v>42</v>
      </c>
      <c r="H478" s="2" t="s">
        <v>42</v>
      </c>
      <c r="I478" s="2" t="s">
        <v>239</v>
      </c>
      <c r="J478" s="2" t="s">
        <v>71</v>
      </c>
      <c r="K478" s="2" t="s">
        <v>1784</v>
      </c>
      <c r="L478" s="2" t="s">
        <v>1702</v>
      </c>
      <c r="M478" s="2" t="s">
        <v>1703</v>
      </c>
      <c r="N478" s="2" t="s">
        <v>1785</v>
      </c>
      <c r="O478" s="2" t="s">
        <v>1786</v>
      </c>
      <c r="P478" s="2" t="s">
        <v>1706</v>
      </c>
      <c r="Q478" s="2">
        <v>58</v>
      </c>
      <c r="R478" s="2" t="b">
        <v>0</v>
      </c>
      <c r="S478" s="2">
        <v>0.875</v>
      </c>
      <c r="T478" s="2">
        <v>0.86363636363636365</v>
      </c>
      <c r="U478" s="2">
        <v>0.88666666666666671</v>
      </c>
      <c r="V478" s="2" t="s">
        <v>63</v>
      </c>
      <c r="W478" s="2" t="s">
        <v>1956</v>
      </c>
      <c r="X478" s="2" t="s">
        <v>1957</v>
      </c>
      <c r="Y478" s="2" t="b">
        <v>1</v>
      </c>
      <c r="Z478" s="2" t="s">
        <v>67</v>
      </c>
      <c r="AA478" s="2">
        <v>1.5</v>
      </c>
      <c r="AB478" s="2" t="s">
        <v>49</v>
      </c>
    </row>
    <row r="479" spans="1:28" ht="15.75" hidden="1" customHeight="1" x14ac:dyDescent="0.3">
      <c r="A479" s="2" t="s">
        <v>37</v>
      </c>
      <c r="B479" s="2" t="s">
        <v>38</v>
      </c>
      <c r="C479" s="2" t="s">
        <v>41</v>
      </c>
      <c r="D479" s="2" t="s">
        <v>38</v>
      </c>
      <c r="E479" s="2" t="s">
        <v>82</v>
      </c>
      <c r="F479" s="2" t="s">
        <v>814</v>
      </c>
      <c r="G479" s="2" t="s">
        <v>42</v>
      </c>
      <c r="H479" s="2" t="s">
        <v>42</v>
      </c>
      <c r="I479" s="2" t="s">
        <v>239</v>
      </c>
      <c r="J479" s="2" t="s">
        <v>71</v>
      </c>
      <c r="K479" s="2" t="s">
        <v>1789</v>
      </c>
      <c r="L479" s="2" t="s">
        <v>1702</v>
      </c>
      <c r="M479" s="2" t="s">
        <v>1703</v>
      </c>
      <c r="N479" s="2" t="s">
        <v>1790</v>
      </c>
      <c r="O479" s="2" t="s">
        <v>1791</v>
      </c>
      <c r="P479" s="2" t="s">
        <v>1706</v>
      </c>
      <c r="Q479" s="2">
        <v>59</v>
      </c>
      <c r="R479" s="2" t="b">
        <v>0</v>
      </c>
      <c r="S479" s="2">
        <v>0.84756097560975607</v>
      </c>
      <c r="T479" s="2">
        <v>0.82738095238095233</v>
      </c>
      <c r="U479" s="2">
        <v>0.86875000000000002</v>
      </c>
      <c r="V479" s="2" t="s">
        <v>63</v>
      </c>
      <c r="W479" s="2" t="s">
        <v>1958</v>
      </c>
      <c r="X479" s="2" t="s">
        <v>1959</v>
      </c>
      <c r="Y479" s="2" t="b">
        <v>1</v>
      </c>
      <c r="Z479" s="2" t="s">
        <v>67</v>
      </c>
      <c r="AA479" s="2">
        <v>2.6</v>
      </c>
      <c r="AB479" s="2" t="s">
        <v>49</v>
      </c>
    </row>
    <row r="480" spans="1:28" ht="15.75" hidden="1" customHeight="1" x14ac:dyDescent="0.3">
      <c r="A480" s="2" t="s">
        <v>37</v>
      </c>
      <c r="B480" s="2" t="s">
        <v>38</v>
      </c>
      <c r="C480" s="2" t="s">
        <v>41</v>
      </c>
      <c r="D480" s="2" t="s">
        <v>38</v>
      </c>
      <c r="E480" s="2" t="s">
        <v>82</v>
      </c>
      <c r="F480" s="2" t="s">
        <v>814</v>
      </c>
      <c r="G480" s="2" t="s">
        <v>42</v>
      </c>
      <c r="H480" s="2" t="s">
        <v>42</v>
      </c>
      <c r="I480" s="2" t="s">
        <v>239</v>
      </c>
      <c r="J480" s="2" t="s">
        <v>71</v>
      </c>
      <c r="K480" s="2" t="s">
        <v>1794</v>
      </c>
      <c r="L480" s="2" t="s">
        <v>1702</v>
      </c>
      <c r="M480" s="2" t="s">
        <v>1703</v>
      </c>
      <c r="N480" s="2" t="s">
        <v>1795</v>
      </c>
      <c r="O480" s="2" t="s">
        <v>1796</v>
      </c>
      <c r="P480" s="2" t="s">
        <v>1706</v>
      </c>
      <c r="Q480" s="2">
        <v>60</v>
      </c>
      <c r="R480" s="2" t="b">
        <v>0</v>
      </c>
      <c r="S480" s="2">
        <v>0.79623824451410663</v>
      </c>
      <c r="T480" s="2">
        <v>0.77439024390243905</v>
      </c>
      <c r="U480" s="2">
        <v>0.8193548387096774</v>
      </c>
      <c r="V480" s="2" t="s">
        <v>63</v>
      </c>
      <c r="W480" s="2" t="s">
        <v>1960</v>
      </c>
      <c r="X480" s="2" t="s">
        <v>1961</v>
      </c>
      <c r="Y480" s="2" t="b">
        <v>1</v>
      </c>
      <c r="Z480" s="2" t="s">
        <v>67</v>
      </c>
      <c r="AA480" s="2">
        <v>2.2999999999999998</v>
      </c>
      <c r="AB480" s="2" t="s">
        <v>49</v>
      </c>
    </row>
    <row r="481" spans="1:28" ht="15.75" hidden="1" customHeight="1" x14ac:dyDescent="0.3">
      <c r="A481" s="2" t="s">
        <v>37</v>
      </c>
      <c r="B481" s="2" t="s">
        <v>38</v>
      </c>
      <c r="C481" s="2" t="s">
        <v>41</v>
      </c>
      <c r="D481" s="2" t="s">
        <v>38</v>
      </c>
      <c r="E481" s="2" t="s">
        <v>82</v>
      </c>
      <c r="F481" s="2" t="s">
        <v>814</v>
      </c>
      <c r="G481" s="2" t="s">
        <v>42</v>
      </c>
      <c r="H481" s="2" t="s">
        <v>42</v>
      </c>
      <c r="I481" s="2" t="s">
        <v>239</v>
      </c>
      <c r="J481" s="2" t="s">
        <v>71</v>
      </c>
      <c r="K481" s="2" t="s">
        <v>1799</v>
      </c>
      <c r="L481" s="2" t="s">
        <v>1702</v>
      </c>
      <c r="M481" s="2" t="s">
        <v>1703</v>
      </c>
      <c r="N481" s="2" t="s">
        <v>1800</v>
      </c>
      <c r="O481" s="2" t="s">
        <v>1801</v>
      </c>
      <c r="P481" s="2" t="s">
        <v>1706</v>
      </c>
      <c r="Q481" s="2">
        <v>61</v>
      </c>
      <c r="R481" s="2" t="b">
        <v>0</v>
      </c>
      <c r="S481" s="2">
        <v>0.8579710144927537</v>
      </c>
      <c r="T481" s="2">
        <v>0.84090909090909094</v>
      </c>
      <c r="U481" s="2">
        <v>0.87573964497041423</v>
      </c>
      <c r="V481" s="2" t="s">
        <v>63</v>
      </c>
      <c r="W481" s="2" t="s">
        <v>1962</v>
      </c>
      <c r="X481" s="2" t="s">
        <v>1963</v>
      </c>
      <c r="Y481" s="2" t="b">
        <v>1</v>
      </c>
      <c r="Z481" s="2" t="s">
        <v>67</v>
      </c>
      <c r="AA481" s="2">
        <v>1.6</v>
      </c>
      <c r="AB481" s="2" t="s">
        <v>49</v>
      </c>
    </row>
    <row r="482" spans="1:28" ht="15.75" hidden="1" customHeight="1" x14ac:dyDescent="0.3">
      <c r="A482" s="2" t="s">
        <v>360</v>
      </c>
      <c r="B482" s="2" t="s">
        <v>116</v>
      </c>
      <c r="C482" s="2" t="s">
        <v>939</v>
      </c>
      <c r="D482" s="2" t="s">
        <v>116</v>
      </c>
      <c r="E482" s="2" t="s">
        <v>43</v>
      </c>
      <c r="F482" s="2" t="s">
        <v>46</v>
      </c>
      <c r="G482" s="2" t="s">
        <v>42</v>
      </c>
      <c r="H482" s="2" t="s">
        <v>42</v>
      </c>
      <c r="I482" s="2" t="s">
        <v>47</v>
      </c>
      <c r="J482" s="2" t="s">
        <v>44</v>
      </c>
      <c r="K482" s="2" t="s">
        <v>1964</v>
      </c>
      <c r="L482" s="2" t="s">
        <v>1965</v>
      </c>
      <c r="M482" s="2" t="s">
        <v>1600</v>
      </c>
      <c r="N482" s="2" t="s">
        <v>1966</v>
      </c>
      <c r="O482" s="2" t="s">
        <v>1602</v>
      </c>
      <c r="P482" s="2" t="s">
        <v>1603</v>
      </c>
      <c r="Q482" s="2">
        <v>42</v>
      </c>
      <c r="R482" s="2" t="b">
        <v>1</v>
      </c>
      <c r="S482" s="2">
        <v>0.81730769230769218</v>
      </c>
      <c r="T482" s="2">
        <v>0.84158415841584155</v>
      </c>
      <c r="U482" s="2">
        <v>0.79439252336448596</v>
      </c>
      <c r="V482" s="2" t="s">
        <v>63</v>
      </c>
      <c r="W482" s="2" t="s">
        <v>1967</v>
      </c>
      <c r="X482" s="2" t="s">
        <v>1968</v>
      </c>
      <c r="Y482" s="2" t="b">
        <v>0</v>
      </c>
      <c r="Z482" s="2" t="s">
        <v>67</v>
      </c>
      <c r="AA482" s="2">
        <v>330.1</v>
      </c>
      <c r="AB482" s="2" t="s">
        <v>49</v>
      </c>
    </row>
    <row r="483" spans="1:28" ht="15.75" hidden="1" customHeight="1" x14ac:dyDescent="0.3">
      <c r="A483" s="2" t="s">
        <v>360</v>
      </c>
      <c r="B483" s="2" t="s">
        <v>116</v>
      </c>
      <c r="C483" s="2" t="s">
        <v>939</v>
      </c>
      <c r="D483" s="2" t="s">
        <v>116</v>
      </c>
      <c r="E483" s="2" t="s">
        <v>43</v>
      </c>
      <c r="F483" s="2" t="s">
        <v>46</v>
      </c>
      <c r="G483" s="2" t="s">
        <v>42</v>
      </c>
      <c r="H483" s="2" t="s">
        <v>42</v>
      </c>
      <c r="I483" s="2" t="s">
        <v>47</v>
      </c>
      <c r="J483" s="2" t="s">
        <v>44</v>
      </c>
      <c r="K483" s="2" t="s">
        <v>1969</v>
      </c>
      <c r="L483" s="2" t="s">
        <v>1965</v>
      </c>
      <c r="M483" s="2" t="s">
        <v>1600</v>
      </c>
      <c r="N483" s="2" t="s">
        <v>1970</v>
      </c>
      <c r="O483" s="2" t="s">
        <v>1608</v>
      </c>
      <c r="P483" s="2" t="s">
        <v>1603</v>
      </c>
      <c r="Q483" s="2">
        <v>43</v>
      </c>
      <c r="R483" s="2" t="b">
        <v>1</v>
      </c>
      <c r="S483" s="2">
        <v>0.79166666666666663</v>
      </c>
      <c r="T483" s="2">
        <v>0.7661290322580645</v>
      </c>
      <c r="U483" s="2">
        <v>0.81896551724137934</v>
      </c>
      <c r="V483" s="2" t="s">
        <v>63</v>
      </c>
      <c r="W483" s="2" t="s">
        <v>1971</v>
      </c>
      <c r="X483" s="2" t="s">
        <v>1972</v>
      </c>
      <c r="Y483" s="2" t="b">
        <v>0</v>
      </c>
      <c r="Z483" s="2" t="s">
        <v>67</v>
      </c>
      <c r="AA483" s="2">
        <v>526.6</v>
      </c>
      <c r="AB483" s="2" t="s">
        <v>49</v>
      </c>
    </row>
    <row r="484" spans="1:28" ht="15.75" hidden="1" customHeight="1" x14ac:dyDescent="0.3">
      <c r="A484" s="2" t="s">
        <v>360</v>
      </c>
      <c r="B484" s="2" t="s">
        <v>116</v>
      </c>
      <c r="C484" s="2" t="s">
        <v>939</v>
      </c>
      <c r="D484" s="2" t="s">
        <v>116</v>
      </c>
      <c r="E484" s="2" t="s">
        <v>43</v>
      </c>
      <c r="F484" s="2" t="s">
        <v>46</v>
      </c>
      <c r="G484" s="2" t="s">
        <v>42</v>
      </c>
      <c r="H484" s="2" t="s">
        <v>42</v>
      </c>
      <c r="I484" s="2" t="s">
        <v>47</v>
      </c>
      <c r="J484" s="2" t="s">
        <v>44</v>
      </c>
      <c r="K484" s="2" t="s">
        <v>1973</v>
      </c>
      <c r="L484" s="2" t="s">
        <v>1965</v>
      </c>
      <c r="M484" s="2" t="s">
        <v>1600</v>
      </c>
      <c r="N484" s="2" t="s">
        <v>1974</v>
      </c>
      <c r="O484" s="2" t="s">
        <v>1613</v>
      </c>
      <c r="P484" s="2" t="s">
        <v>1603</v>
      </c>
      <c r="Q484" s="2">
        <v>44</v>
      </c>
      <c r="R484" s="2" t="b">
        <v>1</v>
      </c>
      <c r="S484" s="2">
        <v>0.79087452471482889</v>
      </c>
      <c r="T484" s="2">
        <v>0.78195488721804507</v>
      </c>
      <c r="U484" s="2">
        <v>0.8</v>
      </c>
      <c r="V484" s="2" t="s">
        <v>63</v>
      </c>
      <c r="W484" s="2" t="s">
        <v>1975</v>
      </c>
      <c r="X484" s="2" t="s">
        <v>1976</v>
      </c>
      <c r="Y484" s="2" t="b">
        <v>0</v>
      </c>
      <c r="Z484" s="2" t="s">
        <v>67</v>
      </c>
      <c r="AA484" s="2">
        <v>369.1</v>
      </c>
      <c r="AB484" s="2" t="s">
        <v>49</v>
      </c>
    </row>
    <row r="485" spans="1:28" ht="15.75" hidden="1" customHeight="1" x14ac:dyDescent="0.3">
      <c r="A485" s="2" t="s">
        <v>360</v>
      </c>
      <c r="B485" s="2" t="s">
        <v>116</v>
      </c>
      <c r="C485" s="2" t="s">
        <v>939</v>
      </c>
      <c r="D485" s="2" t="s">
        <v>116</v>
      </c>
      <c r="E485" s="2" t="s">
        <v>43</v>
      </c>
      <c r="F485" s="2" t="s">
        <v>46</v>
      </c>
      <c r="G485" s="2" t="s">
        <v>42</v>
      </c>
      <c r="H485" s="2" t="s">
        <v>42</v>
      </c>
      <c r="I485" s="2" t="s">
        <v>47</v>
      </c>
      <c r="J485" s="2" t="s">
        <v>44</v>
      </c>
      <c r="K485" s="2" t="s">
        <v>1977</v>
      </c>
      <c r="L485" s="2" t="s">
        <v>1965</v>
      </c>
      <c r="M485" s="2" t="s">
        <v>1600</v>
      </c>
      <c r="N485" s="2" t="s">
        <v>1978</v>
      </c>
      <c r="O485" s="2" t="s">
        <v>1618</v>
      </c>
      <c r="P485" s="2" t="s">
        <v>1603</v>
      </c>
      <c r="Q485" s="2">
        <v>45</v>
      </c>
      <c r="R485" s="2" t="b">
        <v>1</v>
      </c>
      <c r="S485" s="2">
        <v>0.84528301886792445</v>
      </c>
      <c r="T485" s="2">
        <v>0.84848484848484851</v>
      </c>
      <c r="U485" s="2">
        <v>0.84210526315789469</v>
      </c>
      <c r="V485" s="2" t="s">
        <v>63</v>
      </c>
      <c r="W485" s="2" t="s">
        <v>1979</v>
      </c>
      <c r="X485" s="2" t="s">
        <v>1980</v>
      </c>
      <c r="Y485" s="2" t="b">
        <v>0</v>
      </c>
      <c r="Z485" s="2" t="s">
        <v>67</v>
      </c>
      <c r="AA485" s="2">
        <v>339.6</v>
      </c>
      <c r="AB485" s="2" t="s">
        <v>49</v>
      </c>
    </row>
    <row r="486" spans="1:28" ht="15.75" hidden="1" customHeight="1" x14ac:dyDescent="0.3">
      <c r="A486" s="2" t="s">
        <v>360</v>
      </c>
      <c r="B486" s="2" t="s">
        <v>116</v>
      </c>
      <c r="C486" s="2" t="s">
        <v>939</v>
      </c>
      <c r="D486" s="2" t="s">
        <v>116</v>
      </c>
      <c r="E486" s="2" t="s">
        <v>43</v>
      </c>
      <c r="F486" s="2" t="s">
        <v>46</v>
      </c>
      <c r="G486" s="2" t="s">
        <v>42</v>
      </c>
      <c r="H486" s="2" t="s">
        <v>42</v>
      </c>
      <c r="I486" s="2" t="s">
        <v>47</v>
      </c>
      <c r="J486" s="2" t="s">
        <v>44</v>
      </c>
      <c r="K486" s="2" t="s">
        <v>1981</v>
      </c>
      <c r="L486" s="2" t="s">
        <v>1965</v>
      </c>
      <c r="M486" s="2" t="s">
        <v>1600</v>
      </c>
      <c r="N486" s="2" t="s">
        <v>1982</v>
      </c>
      <c r="O486" s="2" t="s">
        <v>1623</v>
      </c>
      <c r="P486" s="2" t="s">
        <v>1603</v>
      </c>
      <c r="Q486" s="2">
        <v>46</v>
      </c>
      <c r="R486" s="2" t="b">
        <v>1</v>
      </c>
      <c r="S486" s="2">
        <v>0.83848797250859108</v>
      </c>
      <c r="T486" s="2">
        <v>0.82432432432432434</v>
      </c>
      <c r="U486" s="2">
        <v>0.85314685314685312</v>
      </c>
      <c r="V486" s="2" t="s">
        <v>63</v>
      </c>
      <c r="W486" s="2" t="s">
        <v>1983</v>
      </c>
      <c r="X486" s="2" t="s">
        <v>1984</v>
      </c>
      <c r="Y486" s="2" t="b">
        <v>0</v>
      </c>
      <c r="Z486" s="2" t="s">
        <v>67</v>
      </c>
      <c r="AA486" s="2">
        <v>427.9</v>
      </c>
      <c r="AB486" s="2" t="s">
        <v>49</v>
      </c>
    </row>
    <row r="487" spans="1:28" ht="15.75" hidden="1" customHeight="1" x14ac:dyDescent="0.3">
      <c r="A487" s="2" t="s">
        <v>360</v>
      </c>
      <c r="B487" s="2" t="s">
        <v>116</v>
      </c>
      <c r="C487" s="2" t="s">
        <v>939</v>
      </c>
      <c r="D487" s="2" t="s">
        <v>116</v>
      </c>
      <c r="E487" s="2" t="s">
        <v>43</v>
      </c>
      <c r="F487" s="2" t="s">
        <v>46</v>
      </c>
      <c r="G487" s="2" t="s">
        <v>42</v>
      </c>
      <c r="H487" s="2" t="s">
        <v>42</v>
      </c>
      <c r="I487" s="2" t="s">
        <v>47</v>
      </c>
      <c r="J487" s="2" t="s">
        <v>44</v>
      </c>
      <c r="K487" s="2" t="s">
        <v>1985</v>
      </c>
      <c r="L487" s="2" t="s">
        <v>1965</v>
      </c>
      <c r="M487" s="2" t="s">
        <v>1600</v>
      </c>
      <c r="N487" s="2" t="s">
        <v>1986</v>
      </c>
      <c r="O487" s="2" t="s">
        <v>1628</v>
      </c>
      <c r="P487" s="2" t="s">
        <v>1603</v>
      </c>
      <c r="Q487" s="2">
        <v>47</v>
      </c>
      <c r="R487" s="2" t="b">
        <v>1</v>
      </c>
      <c r="S487" s="2">
        <v>0.83088235294117641</v>
      </c>
      <c r="T487" s="2">
        <v>0.8188405797101449</v>
      </c>
      <c r="U487" s="2">
        <v>0.84328358208955223</v>
      </c>
      <c r="V487" s="2" t="s">
        <v>63</v>
      </c>
      <c r="W487" s="2" t="s">
        <v>1987</v>
      </c>
      <c r="X487" s="2" t="s">
        <v>1988</v>
      </c>
      <c r="Y487" s="2" t="b">
        <v>0</v>
      </c>
      <c r="Z487" s="2" t="s">
        <v>67</v>
      </c>
      <c r="AA487" s="2">
        <v>389</v>
      </c>
      <c r="AB487" s="2" t="s">
        <v>49</v>
      </c>
    </row>
    <row r="488" spans="1:28" ht="15.75" hidden="1" customHeight="1" x14ac:dyDescent="0.3">
      <c r="A488" s="2" t="s">
        <v>360</v>
      </c>
      <c r="B488" s="2" t="s">
        <v>116</v>
      </c>
      <c r="C488" s="2" t="s">
        <v>939</v>
      </c>
      <c r="D488" s="2" t="s">
        <v>116</v>
      </c>
      <c r="E488" s="2" t="s">
        <v>43</v>
      </c>
      <c r="F488" s="2" t="s">
        <v>46</v>
      </c>
      <c r="G488" s="2" t="s">
        <v>42</v>
      </c>
      <c r="H488" s="2" t="s">
        <v>42</v>
      </c>
      <c r="I488" s="2" t="s">
        <v>47</v>
      </c>
      <c r="J488" s="2" t="s">
        <v>44</v>
      </c>
      <c r="K488" s="2" t="s">
        <v>1989</v>
      </c>
      <c r="L488" s="2" t="s">
        <v>1965</v>
      </c>
      <c r="M488" s="2" t="s">
        <v>1600</v>
      </c>
      <c r="N488" s="2" t="s">
        <v>1990</v>
      </c>
      <c r="O488" s="2" t="s">
        <v>1633</v>
      </c>
      <c r="P488" s="2" t="s">
        <v>1603</v>
      </c>
      <c r="Q488" s="2">
        <v>48</v>
      </c>
      <c r="R488" s="2" t="b">
        <v>1</v>
      </c>
      <c r="S488" s="2">
        <v>0.73949579831932777</v>
      </c>
      <c r="T488" s="2">
        <v>0.74576271186440679</v>
      </c>
      <c r="U488" s="2">
        <v>0.73333333333333328</v>
      </c>
      <c r="V488" s="2" t="s">
        <v>63</v>
      </c>
      <c r="W488" s="2" t="s">
        <v>1991</v>
      </c>
      <c r="X488" s="2" t="s">
        <v>1992</v>
      </c>
      <c r="Y488" s="2" t="b">
        <v>0</v>
      </c>
      <c r="Z488" s="2" t="s">
        <v>67</v>
      </c>
      <c r="AA488" s="2">
        <v>574.6</v>
      </c>
      <c r="AB488" s="2" t="s">
        <v>49</v>
      </c>
    </row>
    <row r="489" spans="1:28" ht="15.75" hidden="1" customHeight="1" x14ac:dyDescent="0.3">
      <c r="A489" s="2" t="s">
        <v>360</v>
      </c>
      <c r="B489" s="2" t="s">
        <v>116</v>
      </c>
      <c r="C489" s="2" t="s">
        <v>939</v>
      </c>
      <c r="D489" s="2" t="s">
        <v>116</v>
      </c>
      <c r="E489" s="2" t="s">
        <v>43</v>
      </c>
      <c r="F489" s="2" t="s">
        <v>46</v>
      </c>
      <c r="G489" s="2" t="s">
        <v>42</v>
      </c>
      <c r="H489" s="2" t="s">
        <v>42</v>
      </c>
      <c r="I489" s="2" t="s">
        <v>47</v>
      </c>
      <c r="J489" s="2" t="s">
        <v>44</v>
      </c>
      <c r="K489" s="2" t="s">
        <v>1993</v>
      </c>
      <c r="L489" s="2" t="s">
        <v>1965</v>
      </c>
      <c r="M489" s="2" t="s">
        <v>1600</v>
      </c>
      <c r="N489" s="2" t="s">
        <v>1994</v>
      </c>
      <c r="O489" s="2" t="s">
        <v>1638</v>
      </c>
      <c r="P489" s="2" t="s">
        <v>1603</v>
      </c>
      <c r="Q489" s="2">
        <v>49</v>
      </c>
      <c r="R489" s="2" t="b">
        <v>1</v>
      </c>
      <c r="S489" s="2">
        <v>0.74893617021276604</v>
      </c>
      <c r="T489" s="2">
        <v>0.69291338582677164</v>
      </c>
      <c r="U489" s="2">
        <v>0.81481481481481477</v>
      </c>
      <c r="V489" s="2" t="s">
        <v>63</v>
      </c>
      <c r="W489" s="2" t="s">
        <v>1995</v>
      </c>
      <c r="X489" s="2" t="s">
        <v>1996</v>
      </c>
      <c r="Y489" s="2" t="b">
        <v>0</v>
      </c>
      <c r="Z489" s="2" t="s">
        <v>67</v>
      </c>
      <c r="AA489" s="2">
        <v>539.9</v>
      </c>
      <c r="AB489" s="2" t="s">
        <v>49</v>
      </c>
    </row>
    <row r="490" spans="1:28" ht="15.75" hidden="1" customHeight="1" x14ac:dyDescent="0.3">
      <c r="A490" s="2" t="s">
        <v>360</v>
      </c>
      <c r="B490" s="2" t="s">
        <v>116</v>
      </c>
      <c r="C490" s="2" t="s">
        <v>939</v>
      </c>
      <c r="D490" s="2" t="s">
        <v>116</v>
      </c>
      <c r="E490" s="2" t="s">
        <v>43</v>
      </c>
      <c r="F490" s="2" t="s">
        <v>46</v>
      </c>
      <c r="G490" s="2" t="s">
        <v>42</v>
      </c>
      <c r="H490" s="2" t="s">
        <v>42</v>
      </c>
      <c r="I490" s="2" t="s">
        <v>47</v>
      </c>
      <c r="J490" s="2" t="s">
        <v>44</v>
      </c>
      <c r="K490" s="2" t="s">
        <v>1997</v>
      </c>
      <c r="L490" s="2" t="s">
        <v>1965</v>
      </c>
      <c r="M490" s="2" t="s">
        <v>1600</v>
      </c>
      <c r="N490" s="2" t="s">
        <v>1998</v>
      </c>
      <c r="O490" s="2" t="s">
        <v>1643</v>
      </c>
      <c r="P490" s="2" t="s">
        <v>1603</v>
      </c>
      <c r="Q490" s="2">
        <v>50</v>
      </c>
      <c r="R490" s="2" t="b">
        <v>1</v>
      </c>
      <c r="S490" s="2">
        <v>0.75384615384615394</v>
      </c>
      <c r="T490" s="2">
        <v>0.72592592592592597</v>
      </c>
      <c r="U490" s="2">
        <v>0.78400000000000003</v>
      </c>
      <c r="V490" s="2" t="s">
        <v>63</v>
      </c>
      <c r="W490" s="2" t="s">
        <v>1999</v>
      </c>
      <c r="X490" s="2" t="s">
        <v>2000</v>
      </c>
      <c r="Y490" s="2" t="b">
        <v>0</v>
      </c>
      <c r="Z490" s="2" t="s">
        <v>67</v>
      </c>
      <c r="AA490" s="2">
        <v>437.1</v>
      </c>
      <c r="AB490" s="2" t="s">
        <v>49</v>
      </c>
    </row>
    <row r="491" spans="1:28" ht="15.75" hidden="1" customHeight="1" x14ac:dyDescent="0.3">
      <c r="A491" s="2" t="s">
        <v>360</v>
      </c>
      <c r="B491" s="2" t="s">
        <v>116</v>
      </c>
      <c r="C491" s="2" t="s">
        <v>939</v>
      </c>
      <c r="D491" s="2" t="s">
        <v>116</v>
      </c>
      <c r="E491" s="2" t="s">
        <v>43</v>
      </c>
      <c r="F491" s="2" t="s">
        <v>46</v>
      </c>
      <c r="G491" s="2" t="s">
        <v>42</v>
      </c>
      <c r="H491" s="2" t="s">
        <v>42</v>
      </c>
      <c r="I491" s="2" t="s">
        <v>47</v>
      </c>
      <c r="J491" s="2" t="s">
        <v>44</v>
      </c>
      <c r="K491" s="2" t="s">
        <v>2001</v>
      </c>
      <c r="L491" s="2" t="s">
        <v>1965</v>
      </c>
      <c r="M491" s="2" t="s">
        <v>1600</v>
      </c>
      <c r="N491" s="2" t="s">
        <v>2002</v>
      </c>
      <c r="O491" s="2" t="s">
        <v>1648</v>
      </c>
      <c r="P491" s="2" t="s">
        <v>1603</v>
      </c>
      <c r="Q491" s="2">
        <v>51</v>
      </c>
      <c r="R491" s="2" t="b">
        <v>1</v>
      </c>
      <c r="S491" s="2">
        <v>0.76923076923076927</v>
      </c>
      <c r="T491" s="2">
        <v>0.73913043478260865</v>
      </c>
      <c r="U491" s="2">
        <v>0.80188679245283023</v>
      </c>
      <c r="V491" s="2" t="s">
        <v>63</v>
      </c>
      <c r="W491" s="2" t="s">
        <v>2003</v>
      </c>
      <c r="X491" s="2" t="s">
        <v>2004</v>
      </c>
      <c r="Y491" s="2" t="b">
        <v>0</v>
      </c>
      <c r="Z491" s="2" t="s">
        <v>67</v>
      </c>
      <c r="AA491" s="2">
        <v>415</v>
      </c>
      <c r="AB491" s="2" t="s">
        <v>49</v>
      </c>
    </row>
    <row r="492" spans="1:28" ht="15.75" hidden="1" customHeight="1" x14ac:dyDescent="0.3">
      <c r="A492" s="2" t="s">
        <v>360</v>
      </c>
      <c r="B492" s="2" t="s">
        <v>116</v>
      </c>
      <c r="C492" s="2" t="s">
        <v>939</v>
      </c>
      <c r="D492" s="2" t="s">
        <v>116</v>
      </c>
      <c r="E492" s="2" t="s">
        <v>43</v>
      </c>
      <c r="F492" s="2" t="s">
        <v>46</v>
      </c>
      <c r="G492" s="2" t="s">
        <v>42</v>
      </c>
      <c r="H492" s="2" t="s">
        <v>42</v>
      </c>
      <c r="I492" s="2" t="s">
        <v>47</v>
      </c>
      <c r="J492" s="2" t="s">
        <v>44</v>
      </c>
      <c r="K492" s="2" t="s">
        <v>2005</v>
      </c>
      <c r="L492" s="2" t="s">
        <v>1965</v>
      </c>
      <c r="M492" s="2" t="s">
        <v>1600</v>
      </c>
      <c r="N492" s="2" t="s">
        <v>2006</v>
      </c>
      <c r="O492" s="2" t="s">
        <v>1653</v>
      </c>
      <c r="P492" s="2" t="s">
        <v>1603</v>
      </c>
      <c r="Q492" s="2">
        <v>52</v>
      </c>
      <c r="R492" s="2" t="b">
        <v>1</v>
      </c>
      <c r="S492" s="2">
        <v>0.78260869565217384</v>
      </c>
      <c r="T492" s="2">
        <v>0.75630252100840334</v>
      </c>
      <c r="U492" s="2">
        <v>0.81081081081081086</v>
      </c>
      <c r="V492" s="2" t="s">
        <v>63</v>
      </c>
      <c r="W492" s="2" t="s">
        <v>2007</v>
      </c>
      <c r="X492" s="2" t="s">
        <v>2008</v>
      </c>
      <c r="Y492" s="2" t="b">
        <v>0</v>
      </c>
      <c r="Z492" s="2" t="s">
        <v>67</v>
      </c>
      <c r="AA492" s="2">
        <v>384.7</v>
      </c>
      <c r="AB492" s="2" t="s">
        <v>49</v>
      </c>
    </row>
    <row r="493" spans="1:28" ht="15.75" hidden="1" customHeight="1" x14ac:dyDescent="0.3">
      <c r="A493" s="2" t="s">
        <v>360</v>
      </c>
      <c r="B493" s="2" t="s">
        <v>116</v>
      </c>
      <c r="C493" s="2" t="s">
        <v>939</v>
      </c>
      <c r="D493" s="2" t="s">
        <v>116</v>
      </c>
      <c r="E493" s="2" t="s">
        <v>43</v>
      </c>
      <c r="F493" s="2" t="s">
        <v>46</v>
      </c>
      <c r="G493" s="2" t="s">
        <v>42</v>
      </c>
      <c r="H493" s="2" t="s">
        <v>42</v>
      </c>
      <c r="I493" s="2" t="s">
        <v>47</v>
      </c>
      <c r="J493" s="2" t="s">
        <v>44</v>
      </c>
      <c r="K493" s="2" t="s">
        <v>2009</v>
      </c>
      <c r="L493" s="2" t="s">
        <v>1965</v>
      </c>
      <c r="M493" s="2" t="s">
        <v>1600</v>
      </c>
      <c r="N493" s="2" t="s">
        <v>2010</v>
      </c>
      <c r="O493" s="2" t="s">
        <v>1658</v>
      </c>
      <c r="P493" s="2" t="s">
        <v>1603</v>
      </c>
      <c r="Q493" s="2">
        <v>53</v>
      </c>
      <c r="R493" s="2" t="b">
        <v>1</v>
      </c>
      <c r="S493" s="2">
        <v>0.74025974025974028</v>
      </c>
      <c r="T493" s="2">
        <v>0.71250000000000002</v>
      </c>
      <c r="U493" s="2">
        <v>0.77027027027027029</v>
      </c>
      <c r="V493" s="2" t="s">
        <v>63</v>
      </c>
      <c r="W493" s="2" t="s">
        <v>2011</v>
      </c>
      <c r="X493" s="2" t="s">
        <v>2012</v>
      </c>
      <c r="Y493" s="2" t="b">
        <v>0</v>
      </c>
      <c r="Z493" s="2" t="s">
        <v>67</v>
      </c>
      <c r="AA493" s="2">
        <v>404.5</v>
      </c>
      <c r="AB493" s="2" t="s">
        <v>49</v>
      </c>
    </row>
    <row r="494" spans="1:28" ht="15.75" hidden="1" customHeight="1" x14ac:dyDescent="0.3">
      <c r="A494" s="2" t="s">
        <v>360</v>
      </c>
      <c r="B494" s="2" t="s">
        <v>116</v>
      </c>
      <c r="C494" s="2" t="s">
        <v>939</v>
      </c>
      <c r="D494" s="2" t="s">
        <v>116</v>
      </c>
      <c r="E494" s="2" t="s">
        <v>43</v>
      </c>
      <c r="F494" s="2" t="s">
        <v>46</v>
      </c>
      <c r="G494" s="2" t="s">
        <v>42</v>
      </c>
      <c r="H494" s="2" t="s">
        <v>42</v>
      </c>
      <c r="I494" s="2" t="s">
        <v>47</v>
      </c>
      <c r="J494" s="2" t="s">
        <v>44</v>
      </c>
      <c r="K494" s="2" t="s">
        <v>2013</v>
      </c>
      <c r="L494" s="2" t="s">
        <v>1965</v>
      </c>
      <c r="M494" s="2" t="s">
        <v>1600</v>
      </c>
      <c r="N494" s="2" t="s">
        <v>2014</v>
      </c>
      <c r="O494" s="2" t="s">
        <v>1663</v>
      </c>
      <c r="P494" s="2" t="s">
        <v>1603</v>
      </c>
      <c r="Q494" s="2">
        <v>54</v>
      </c>
      <c r="R494" s="2" t="b">
        <v>1</v>
      </c>
      <c r="S494" s="2">
        <v>0.7350427350427351</v>
      </c>
      <c r="T494" s="2">
        <v>0.70491803278688525</v>
      </c>
      <c r="U494" s="2">
        <v>0.7678571428571429</v>
      </c>
      <c r="V494" s="2" t="s">
        <v>63</v>
      </c>
      <c r="W494" s="2" t="s">
        <v>2015</v>
      </c>
      <c r="X494" s="2" t="s">
        <v>2016</v>
      </c>
      <c r="Y494" s="2" t="b">
        <v>0</v>
      </c>
      <c r="Z494" s="2" t="s">
        <v>67</v>
      </c>
      <c r="AA494" s="2">
        <v>433.3</v>
      </c>
      <c r="AB494" s="2" t="s">
        <v>49</v>
      </c>
    </row>
    <row r="495" spans="1:28" ht="15.75" hidden="1" customHeight="1" x14ac:dyDescent="0.3">
      <c r="A495" s="2" t="s">
        <v>360</v>
      </c>
      <c r="B495" s="2" t="s">
        <v>116</v>
      </c>
      <c r="C495" s="2" t="s">
        <v>939</v>
      </c>
      <c r="D495" s="2" t="s">
        <v>116</v>
      </c>
      <c r="E495" s="2" t="s">
        <v>43</v>
      </c>
      <c r="F495" s="2" t="s">
        <v>46</v>
      </c>
      <c r="G495" s="2" t="s">
        <v>42</v>
      </c>
      <c r="H495" s="2" t="s">
        <v>42</v>
      </c>
      <c r="I495" s="2" t="s">
        <v>47</v>
      </c>
      <c r="J495" s="2" t="s">
        <v>44</v>
      </c>
      <c r="K495" s="2" t="s">
        <v>2017</v>
      </c>
      <c r="L495" s="2" t="s">
        <v>1965</v>
      </c>
      <c r="M495" s="2" t="s">
        <v>1600</v>
      </c>
      <c r="N495" s="2" t="s">
        <v>2018</v>
      </c>
      <c r="O495" s="2" t="s">
        <v>1668</v>
      </c>
      <c r="P495" s="2" t="s">
        <v>1603</v>
      </c>
      <c r="Q495" s="2">
        <v>55</v>
      </c>
      <c r="R495" s="2" t="b">
        <v>1</v>
      </c>
      <c r="S495" s="2">
        <v>0.76315789473684204</v>
      </c>
      <c r="T495" s="2">
        <v>0.7767857142857143</v>
      </c>
      <c r="U495" s="2">
        <v>0.75</v>
      </c>
      <c r="V495" s="2" t="s">
        <v>63</v>
      </c>
      <c r="W495" s="2" t="s">
        <v>2019</v>
      </c>
      <c r="X495" s="2" t="s">
        <v>2020</v>
      </c>
      <c r="Y495" s="2" t="b">
        <v>0</v>
      </c>
      <c r="Z495" s="2" t="s">
        <v>67</v>
      </c>
      <c r="AA495" s="2">
        <v>543.4</v>
      </c>
      <c r="AB495" s="2" t="s">
        <v>49</v>
      </c>
    </row>
    <row r="496" spans="1:28" ht="15.75" hidden="1" customHeight="1" x14ac:dyDescent="0.3">
      <c r="A496" s="2" t="s">
        <v>360</v>
      </c>
      <c r="B496" s="2" t="s">
        <v>116</v>
      </c>
      <c r="C496" s="2" t="s">
        <v>939</v>
      </c>
      <c r="D496" s="2" t="s">
        <v>116</v>
      </c>
      <c r="E496" s="2" t="s">
        <v>43</v>
      </c>
      <c r="F496" s="2" t="s">
        <v>46</v>
      </c>
      <c r="G496" s="2" t="s">
        <v>42</v>
      </c>
      <c r="H496" s="2" t="s">
        <v>42</v>
      </c>
      <c r="I496" s="2" t="s">
        <v>47</v>
      </c>
      <c r="J496" s="2" t="s">
        <v>44</v>
      </c>
      <c r="K496" s="2" t="s">
        <v>2021</v>
      </c>
      <c r="L496" s="2" t="s">
        <v>1965</v>
      </c>
      <c r="M496" s="2" t="s">
        <v>1600</v>
      </c>
      <c r="N496" s="2" t="s">
        <v>2022</v>
      </c>
      <c r="O496" s="2" t="s">
        <v>1673</v>
      </c>
      <c r="P496" s="2" t="s">
        <v>1603</v>
      </c>
      <c r="Q496" s="2">
        <v>56</v>
      </c>
      <c r="R496" s="2" t="b">
        <v>1</v>
      </c>
      <c r="S496" s="2">
        <v>0.78008298755186711</v>
      </c>
      <c r="T496" s="2">
        <v>0.752</v>
      </c>
      <c r="U496" s="2">
        <v>0.81034482758620685</v>
      </c>
      <c r="V496" s="2" t="s">
        <v>63</v>
      </c>
      <c r="W496" s="2" t="s">
        <v>2023</v>
      </c>
      <c r="X496" s="2" t="s">
        <v>2024</v>
      </c>
      <c r="Y496" s="2" t="b">
        <v>0</v>
      </c>
      <c r="Z496" s="2" t="s">
        <v>67</v>
      </c>
      <c r="AA496" s="2">
        <v>404.8</v>
      </c>
      <c r="AB496" s="2" t="s">
        <v>49</v>
      </c>
    </row>
    <row r="497" spans="1:28" ht="15.75" hidden="1" customHeight="1" x14ac:dyDescent="0.3">
      <c r="A497" s="2" t="s">
        <v>360</v>
      </c>
      <c r="B497" s="2" t="s">
        <v>116</v>
      </c>
      <c r="C497" s="2" t="s">
        <v>939</v>
      </c>
      <c r="D497" s="2" t="s">
        <v>116</v>
      </c>
      <c r="E497" s="2" t="s">
        <v>43</v>
      </c>
      <c r="F497" s="2" t="s">
        <v>46</v>
      </c>
      <c r="G497" s="2" t="s">
        <v>42</v>
      </c>
      <c r="H497" s="2" t="s">
        <v>42</v>
      </c>
      <c r="I497" s="2" t="s">
        <v>47</v>
      </c>
      <c r="J497" s="2" t="s">
        <v>44</v>
      </c>
      <c r="K497" s="2" t="s">
        <v>2025</v>
      </c>
      <c r="L497" s="2" t="s">
        <v>1965</v>
      </c>
      <c r="M497" s="2" t="s">
        <v>1600</v>
      </c>
      <c r="N497" s="2" t="s">
        <v>2026</v>
      </c>
      <c r="O497" s="2" t="s">
        <v>1678</v>
      </c>
      <c r="P497" s="2" t="s">
        <v>1603</v>
      </c>
      <c r="Q497" s="2">
        <v>57</v>
      </c>
      <c r="R497" s="2" t="b">
        <v>1</v>
      </c>
      <c r="S497" s="2">
        <v>0.77235772357723576</v>
      </c>
      <c r="T497" s="2">
        <v>0.77235772357723576</v>
      </c>
      <c r="U497" s="2">
        <v>0.77235772357723576</v>
      </c>
      <c r="V497" s="2" t="s">
        <v>63</v>
      </c>
      <c r="W497" s="2" t="s">
        <v>2027</v>
      </c>
      <c r="X497" s="2" t="s">
        <v>2028</v>
      </c>
      <c r="Y497" s="2" t="b">
        <v>0</v>
      </c>
      <c r="Z497" s="2" t="s">
        <v>67</v>
      </c>
      <c r="AA497" s="2">
        <v>508.9</v>
      </c>
      <c r="AB497" s="2" t="s">
        <v>49</v>
      </c>
    </row>
    <row r="498" spans="1:28" ht="15.75" hidden="1" customHeight="1" x14ac:dyDescent="0.3">
      <c r="A498" s="2" t="s">
        <v>360</v>
      </c>
      <c r="B498" s="2" t="s">
        <v>116</v>
      </c>
      <c r="C498" s="2" t="s">
        <v>939</v>
      </c>
      <c r="D498" s="2" t="s">
        <v>116</v>
      </c>
      <c r="E498" s="2" t="s">
        <v>43</v>
      </c>
      <c r="F498" s="2" t="s">
        <v>46</v>
      </c>
      <c r="G498" s="2" t="s">
        <v>42</v>
      </c>
      <c r="H498" s="2" t="s">
        <v>42</v>
      </c>
      <c r="I498" s="2" t="s">
        <v>47</v>
      </c>
      <c r="J498" s="2" t="s">
        <v>44</v>
      </c>
      <c r="K498" s="2" t="s">
        <v>2029</v>
      </c>
      <c r="L498" s="2" t="s">
        <v>1965</v>
      </c>
      <c r="M498" s="2" t="s">
        <v>1600</v>
      </c>
      <c r="N498" s="2" t="s">
        <v>2030</v>
      </c>
      <c r="O498" s="2" t="s">
        <v>1683</v>
      </c>
      <c r="P498" s="2" t="s">
        <v>1603</v>
      </c>
      <c r="Q498" s="2">
        <v>58</v>
      </c>
      <c r="R498" s="2" t="b">
        <v>1</v>
      </c>
      <c r="S498" s="2">
        <v>0.71717171717171724</v>
      </c>
      <c r="T498" s="2">
        <v>0.67619047619047623</v>
      </c>
      <c r="U498" s="2">
        <v>0.76344086021505375</v>
      </c>
      <c r="V498" s="2" t="s">
        <v>63</v>
      </c>
      <c r="W498" s="2" t="s">
        <v>2031</v>
      </c>
      <c r="X498" s="2" t="s">
        <v>2032</v>
      </c>
      <c r="Y498" s="2" t="b">
        <v>0</v>
      </c>
      <c r="Z498" s="2" t="s">
        <v>67</v>
      </c>
      <c r="AA498" s="2">
        <v>366.7</v>
      </c>
      <c r="AB498" s="2" t="s">
        <v>49</v>
      </c>
    </row>
    <row r="499" spans="1:28" ht="15.75" hidden="1" customHeight="1" x14ac:dyDescent="0.3">
      <c r="A499" s="2" t="s">
        <v>360</v>
      </c>
      <c r="B499" s="2" t="s">
        <v>116</v>
      </c>
      <c r="C499" s="2" t="s">
        <v>939</v>
      </c>
      <c r="D499" s="2" t="s">
        <v>116</v>
      </c>
      <c r="E499" s="2" t="s">
        <v>43</v>
      </c>
      <c r="F499" s="2" t="s">
        <v>46</v>
      </c>
      <c r="G499" s="2" t="s">
        <v>42</v>
      </c>
      <c r="H499" s="2" t="s">
        <v>42</v>
      </c>
      <c r="I499" s="2" t="s">
        <v>47</v>
      </c>
      <c r="J499" s="2" t="s">
        <v>44</v>
      </c>
      <c r="K499" s="2" t="s">
        <v>2033</v>
      </c>
      <c r="L499" s="2" t="s">
        <v>1965</v>
      </c>
      <c r="M499" s="2" t="s">
        <v>1600</v>
      </c>
      <c r="N499" s="2" t="s">
        <v>2034</v>
      </c>
      <c r="O499" s="2" t="s">
        <v>1688</v>
      </c>
      <c r="P499" s="2" t="s">
        <v>1603</v>
      </c>
      <c r="Q499" s="2">
        <v>59</v>
      </c>
      <c r="R499" s="2" t="b">
        <v>1</v>
      </c>
      <c r="S499" s="2">
        <v>0.77777777777777779</v>
      </c>
      <c r="T499" s="2">
        <v>0.7567567567567568</v>
      </c>
      <c r="U499" s="2">
        <v>0.8</v>
      </c>
      <c r="V499" s="2" t="s">
        <v>63</v>
      </c>
      <c r="W499" s="2" t="s">
        <v>2035</v>
      </c>
      <c r="X499" s="2" t="s">
        <v>2036</v>
      </c>
      <c r="Y499" s="2" t="b">
        <v>0</v>
      </c>
      <c r="Z499" s="2" t="s">
        <v>67</v>
      </c>
      <c r="AA499" s="2">
        <v>485.1</v>
      </c>
      <c r="AB499" s="2" t="s">
        <v>49</v>
      </c>
    </row>
    <row r="500" spans="1:28" ht="15.75" hidden="1" customHeight="1" x14ac:dyDescent="0.3">
      <c r="A500" s="2" t="s">
        <v>360</v>
      </c>
      <c r="B500" s="2" t="s">
        <v>116</v>
      </c>
      <c r="C500" s="2" t="s">
        <v>939</v>
      </c>
      <c r="D500" s="2" t="s">
        <v>116</v>
      </c>
      <c r="E500" s="2" t="s">
        <v>43</v>
      </c>
      <c r="F500" s="2" t="s">
        <v>46</v>
      </c>
      <c r="G500" s="2" t="s">
        <v>42</v>
      </c>
      <c r="H500" s="2" t="s">
        <v>42</v>
      </c>
      <c r="I500" s="2" t="s">
        <v>47</v>
      </c>
      <c r="J500" s="2" t="s">
        <v>44</v>
      </c>
      <c r="K500" s="2" t="s">
        <v>2037</v>
      </c>
      <c r="L500" s="2" t="s">
        <v>1965</v>
      </c>
      <c r="M500" s="2" t="s">
        <v>1600</v>
      </c>
      <c r="N500" s="2" t="s">
        <v>2038</v>
      </c>
      <c r="O500" s="2" t="s">
        <v>1693</v>
      </c>
      <c r="P500" s="2" t="s">
        <v>1603</v>
      </c>
      <c r="Q500" s="2">
        <v>60</v>
      </c>
      <c r="R500" s="2" t="b">
        <v>1</v>
      </c>
      <c r="S500" s="2">
        <v>0.77500000000000002</v>
      </c>
      <c r="T500" s="2">
        <v>0.73809523809523814</v>
      </c>
      <c r="U500" s="2">
        <v>0.81578947368421051</v>
      </c>
      <c r="V500" s="2" t="s">
        <v>63</v>
      </c>
      <c r="W500" s="2" t="s">
        <v>2039</v>
      </c>
      <c r="X500" s="2" t="s">
        <v>2040</v>
      </c>
      <c r="Y500" s="2" t="b">
        <v>0</v>
      </c>
      <c r="Z500" s="2" t="s">
        <v>67</v>
      </c>
      <c r="AA500" s="2">
        <v>396.4</v>
      </c>
      <c r="AB500" s="2" t="s">
        <v>49</v>
      </c>
    </row>
    <row r="501" spans="1:28" ht="15.75" hidden="1" customHeight="1" x14ac:dyDescent="0.3">
      <c r="A501" s="2" t="s">
        <v>360</v>
      </c>
      <c r="B501" s="2" t="s">
        <v>116</v>
      </c>
      <c r="C501" s="2" t="s">
        <v>939</v>
      </c>
      <c r="D501" s="2" t="s">
        <v>116</v>
      </c>
      <c r="E501" s="2" t="s">
        <v>43</v>
      </c>
      <c r="F501" s="2" t="s">
        <v>46</v>
      </c>
      <c r="G501" s="2" t="s">
        <v>42</v>
      </c>
      <c r="H501" s="2" t="s">
        <v>42</v>
      </c>
      <c r="I501" s="2" t="s">
        <v>47</v>
      </c>
      <c r="J501" s="2" t="s">
        <v>44</v>
      </c>
      <c r="K501" s="2" t="s">
        <v>2041</v>
      </c>
      <c r="L501" s="2" t="s">
        <v>1965</v>
      </c>
      <c r="M501" s="2" t="s">
        <v>1600</v>
      </c>
      <c r="N501" s="2" t="s">
        <v>2042</v>
      </c>
      <c r="O501" s="2" t="s">
        <v>1698</v>
      </c>
      <c r="P501" s="2" t="s">
        <v>1603</v>
      </c>
      <c r="Q501" s="2">
        <v>61</v>
      </c>
      <c r="R501" s="2" t="b">
        <v>1</v>
      </c>
      <c r="S501" s="2">
        <v>0.70119521912350602</v>
      </c>
      <c r="T501" s="2">
        <v>0.66666666666666663</v>
      </c>
      <c r="U501" s="2">
        <v>0.73949579831932777</v>
      </c>
      <c r="V501" s="2" t="s">
        <v>63</v>
      </c>
      <c r="W501" s="2" t="s">
        <v>2043</v>
      </c>
      <c r="X501" s="2" t="s">
        <v>2044</v>
      </c>
      <c r="Y501" s="2" t="b">
        <v>0</v>
      </c>
      <c r="Z501" s="2" t="s">
        <v>67</v>
      </c>
      <c r="AA501" s="2">
        <v>450.2</v>
      </c>
      <c r="AB501" s="2" t="s">
        <v>49</v>
      </c>
    </row>
    <row r="502" spans="1:28" ht="15.75" hidden="1" customHeight="1" x14ac:dyDescent="0.3">
      <c r="A502" s="2" t="s">
        <v>360</v>
      </c>
      <c r="B502" s="2" t="s">
        <v>116</v>
      </c>
      <c r="C502" s="2" t="s">
        <v>939</v>
      </c>
      <c r="D502" s="2" t="s">
        <v>116</v>
      </c>
      <c r="E502" s="2" t="s">
        <v>43</v>
      </c>
      <c r="F502" s="2" t="s">
        <v>46</v>
      </c>
      <c r="G502" s="2" t="s">
        <v>42</v>
      </c>
      <c r="H502" s="2" t="s">
        <v>42</v>
      </c>
      <c r="I502" s="2" t="s">
        <v>239</v>
      </c>
      <c r="J502" s="2" t="s">
        <v>71</v>
      </c>
      <c r="K502" s="2" t="s">
        <v>2045</v>
      </c>
      <c r="L502" s="2" t="s">
        <v>2046</v>
      </c>
      <c r="M502" s="2" t="s">
        <v>1703</v>
      </c>
      <c r="N502" s="2" t="s">
        <v>2047</v>
      </c>
      <c r="O502" s="2" t="s">
        <v>1705</v>
      </c>
      <c r="P502" s="2" t="s">
        <v>1706</v>
      </c>
      <c r="Q502" s="2">
        <v>42</v>
      </c>
      <c r="R502" s="2" t="b">
        <v>0</v>
      </c>
      <c r="S502" s="2">
        <v>0.79051383399209485</v>
      </c>
      <c r="T502" s="2">
        <v>0.77519379844961245</v>
      </c>
      <c r="U502" s="2">
        <v>0.80645161290322576</v>
      </c>
      <c r="V502" s="2" t="s">
        <v>63</v>
      </c>
      <c r="W502" s="2" t="s">
        <v>2048</v>
      </c>
      <c r="X502" s="2" t="s">
        <v>2049</v>
      </c>
      <c r="Y502" s="2" t="b">
        <v>0</v>
      </c>
      <c r="Z502" s="2" t="s">
        <v>67</v>
      </c>
      <c r="AA502" s="2">
        <v>462.3</v>
      </c>
      <c r="AB502" s="2" t="s">
        <v>49</v>
      </c>
    </row>
    <row r="503" spans="1:28" ht="15.75" hidden="1" customHeight="1" x14ac:dyDescent="0.3">
      <c r="A503" s="2" t="s">
        <v>360</v>
      </c>
      <c r="B503" s="2" t="s">
        <v>116</v>
      </c>
      <c r="C503" s="2" t="s">
        <v>939</v>
      </c>
      <c r="D503" s="2" t="s">
        <v>116</v>
      </c>
      <c r="E503" s="2" t="s">
        <v>43</v>
      </c>
      <c r="F503" s="2" t="s">
        <v>46</v>
      </c>
      <c r="G503" s="2" t="s">
        <v>42</v>
      </c>
      <c r="H503" s="2" t="s">
        <v>42</v>
      </c>
      <c r="I503" s="2" t="s">
        <v>239</v>
      </c>
      <c r="J503" s="2" t="s">
        <v>71</v>
      </c>
      <c r="K503" s="2" t="s">
        <v>2050</v>
      </c>
      <c r="L503" s="2" t="s">
        <v>2046</v>
      </c>
      <c r="M503" s="2" t="s">
        <v>1703</v>
      </c>
      <c r="N503" s="2" t="s">
        <v>2051</v>
      </c>
      <c r="O503" s="2" t="s">
        <v>1711</v>
      </c>
      <c r="P503" s="2" t="s">
        <v>1706</v>
      </c>
      <c r="Q503" s="2">
        <v>43</v>
      </c>
      <c r="R503" s="2" t="b">
        <v>0</v>
      </c>
      <c r="S503" s="2">
        <v>0.78714859437751006</v>
      </c>
      <c r="T503" s="2">
        <v>0.77777777777777779</v>
      </c>
      <c r="U503" s="2">
        <v>0.7967479674796748</v>
      </c>
      <c r="V503" s="2" t="s">
        <v>63</v>
      </c>
      <c r="W503" s="2" t="s">
        <v>2052</v>
      </c>
      <c r="X503" s="2" t="s">
        <v>2053</v>
      </c>
      <c r="Y503" s="2" t="b">
        <v>0</v>
      </c>
      <c r="Z503" s="2" t="s">
        <v>67</v>
      </c>
      <c r="AA503" s="2">
        <v>470.1</v>
      </c>
      <c r="AB503" s="2" t="s">
        <v>49</v>
      </c>
    </row>
    <row r="504" spans="1:28" ht="15.75" hidden="1" customHeight="1" x14ac:dyDescent="0.3">
      <c r="A504" s="2" t="s">
        <v>360</v>
      </c>
      <c r="B504" s="2" t="s">
        <v>116</v>
      </c>
      <c r="C504" s="2" t="s">
        <v>939</v>
      </c>
      <c r="D504" s="2" t="s">
        <v>116</v>
      </c>
      <c r="E504" s="2" t="s">
        <v>43</v>
      </c>
      <c r="F504" s="2" t="s">
        <v>46</v>
      </c>
      <c r="G504" s="2" t="s">
        <v>42</v>
      </c>
      <c r="H504" s="2" t="s">
        <v>42</v>
      </c>
      <c r="I504" s="2" t="s">
        <v>239</v>
      </c>
      <c r="J504" s="2" t="s">
        <v>71</v>
      </c>
      <c r="K504" s="2" t="s">
        <v>2054</v>
      </c>
      <c r="L504" s="2" t="s">
        <v>2046</v>
      </c>
      <c r="M504" s="2" t="s">
        <v>1703</v>
      </c>
      <c r="N504" s="2" t="s">
        <v>2055</v>
      </c>
      <c r="O504" s="2" t="s">
        <v>1716</v>
      </c>
      <c r="P504" s="2" t="s">
        <v>1706</v>
      </c>
      <c r="Q504" s="2">
        <v>44</v>
      </c>
      <c r="R504" s="2" t="b">
        <v>0</v>
      </c>
      <c r="S504" s="2">
        <v>0.75518672199170134</v>
      </c>
      <c r="T504" s="2">
        <v>0.73983739837398377</v>
      </c>
      <c r="U504" s="2">
        <v>0.77118644067796616</v>
      </c>
      <c r="V504" s="2" t="s">
        <v>63</v>
      </c>
      <c r="W504" s="2" t="s">
        <v>2056</v>
      </c>
      <c r="X504" s="2" t="s">
        <v>2057</v>
      </c>
      <c r="Y504" s="2" t="b">
        <v>0</v>
      </c>
      <c r="Z504" s="2" t="s">
        <v>67</v>
      </c>
      <c r="AA504" s="2">
        <v>441.1</v>
      </c>
      <c r="AB504" s="2" t="s">
        <v>49</v>
      </c>
    </row>
    <row r="505" spans="1:28" ht="15.75" hidden="1" customHeight="1" x14ac:dyDescent="0.3">
      <c r="A505" s="2" t="s">
        <v>360</v>
      </c>
      <c r="B505" s="2" t="s">
        <v>116</v>
      </c>
      <c r="C505" s="2" t="s">
        <v>939</v>
      </c>
      <c r="D505" s="2" t="s">
        <v>116</v>
      </c>
      <c r="E505" s="2" t="s">
        <v>43</v>
      </c>
      <c r="F505" s="2" t="s">
        <v>46</v>
      </c>
      <c r="G505" s="2" t="s">
        <v>42</v>
      </c>
      <c r="H505" s="2" t="s">
        <v>42</v>
      </c>
      <c r="I505" s="2" t="s">
        <v>239</v>
      </c>
      <c r="J505" s="2" t="s">
        <v>71</v>
      </c>
      <c r="K505" s="2" t="s">
        <v>2058</v>
      </c>
      <c r="L505" s="2" t="s">
        <v>2046</v>
      </c>
      <c r="M505" s="2" t="s">
        <v>1703</v>
      </c>
      <c r="N505" s="2" t="s">
        <v>2059</v>
      </c>
      <c r="O505" s="2" t="s">
        <v>1721</v>
      </c>
      <c r="P505" s="2" t="s">
        <v>1706</v>
      </c>
      <c r="Q505" s="2">
        <v>45</v>
      </c>
      <c r="R505" s="2" t="b">
        <v>0</v>
      </c>
      <c r="S505" s="2">
        <v>0.77343750000000011</v>
      </c>
      <c r="T505" s="2">
        <v>0.75572519083969469</v>
      </c>
      <c r="U505" s="2">
        <v>0.79200000000000004</v>
      </c>
      <c r="V505" s="2" t="s">
        <v>63</v>
      </c>
      <c r="W505" s="2" t="s">
        <v>2060</v>
      </c>
      <c r="X505" s="2" t="s">
        <v>2061</v>
      </c>
      <c r="Y505" s="2" t="b">
        <v>0</v>
      </c>
      <c r="Z505" s="2" t="s">
        <v>67</v>
      </c>
      <c r="AA505" s="2">
        <v>392.7</v>
      </c>
      <c r="AB505" s="2" t="s">
        <v>49</v>
      </c>
    </row>
    <row r="506" spans="1:28" ht="15.75" hidden="1" customHeight="1" x14ac:dyDescent="0.3">
      <c r="A506" s="2" t="s">
        <v>360</v>
      </c>
      <c r="B506" s="2" t="s">
        <v>116</v>
      </c>
      <c r="C506" s="2" t="s">
        <v>939</v>
      </c>
      <c r="D506" s="2" t="s">
        <v>116</v>
      </c>
      <c r="E506" s="2" t="s">
        <v>43</v>
      </c>
      <c r="F506" s="2" t="s">
        <v>46</v>
      </c>
      <c r="G506" s="2" t="s">
        <v>42</v>
      </c>
      <c r="H506" s="2" t="s">
        <v>42</v>
      </c>
      <c r="I506" s="2" t="s">
        <v>239</v>
      </c>
      <c r="J506" s="2" t="s">
        <v>71</v>
      </c>
      <c r="K506" s="2" t="s">
        <v>2062</v>
      </c>
      <c r="L506" s="2" t="s">
        <v>2046</v>
      </c>
      <c r="M506" s="2" t="s">
        <v>1703</v>
      </c>
      <c r="N506" s="2" t="s">
        <v>2063</v>
      </c>
      <c r="O506" s="2" t="s">
        <v>1726</v>
      </c>
      <c r="P506" s="2" t="s">
        <v>1706</v>
      </c>
      <c r="Q506" s="2">
        <v>46</v>
      </c>
      <c r="R506" s="2" t="b">
        <v>0</v>
      </c>
      <c r="S506" s="2">
        <v>0.8226415094339623</v>
      </c>
      <c r="T506" s="2">
        <v>0.80147058823529416</v>
      </c>
      <c r="U506" s="2">
        <v>0.84496124031007747</v>
      </c>
      <c r="V506" s="2" t="s">
        <v>63</v>
      </c>
      <c r="W506" s="2" t="s">
        <v>2064</v>
      </c>
      <c r="X506" s="2" t="s">
        <v>2065</v>
      </c>
      <c r="Y506" s="2" t="b">
        <v>0</v>
      </c>
      <c r="Z506" s="2" t="s">
        <v>67</v>
      </c>
      <c r="AA506" s="2">
        <v>421.9</v>
      </c>
      <c r="AB506" s="2" t="s">
        <v>49</v>
      </c>
    </row>
    <row r="507" spans="1:28" ht="15.75" hidden="1" customHeight="1" x14ac:dyDescent="0.3">
      <c r="A507" s="2" t="s">
        <v>360</v>
      </c>
      <c r="B507" s="2" t="s">
        <v>116</v>
      </c>
      <c r="C507" s="2" t="s">
        <v>939</v>
      </c>
      <c r="D507" s="2" t="s">
        <v>116</v>
      </c>
      <c r="E507" s="2" t="s">
        <v>43</v>
      </c>
      <c r="F507" s="2" t="s">
        <v>46</v>
      </c>
      <c r="G507" s="2" t="s">
        <v>42</v>
      </c>
      <c r="H507" s="2" t="s">
        <v>42</v>
      </c>
      <c r="I507" s="2" t="s">
        <v>239</v>
      </c>
      <c r="J507" s="2" t="s">
        <v>71</v>
      </c>
      <c r="K507" s="2" t="s">
        <v>2066</v>
      </c>
      <c r="L507" s="2" t="s">
        <v>2046</v>
      </c>
      <c r="M507" s="2" t="s">
        <v>1703</v>
      </c>
      <c r="N507" s="2" t="s">
        <v>2067</v>
      </c>
      <c r="O507" s="2" t="s">
        <v>1731</v>
      </c>
      <c r="P507" s="2" t="s">
        <v>1706</v>
      </c>
      <c r="Q507" s="2">
        <v>47</v>
      </c>
      <c r="R507" s="2" t="b">
        <v>0</v>
      </c>
      <c r="S507" s="2">
        <v>0.80833333333333335</v>
      </c>
      <c r="T507" s="2">
        <v>0.78861788617886175</v>
      </c>
      <c r="U507" s="2">
        <v>0.82905982905982911</v>
      </c>
      <c r="V507" s="2" t="s">
        <v>63</v>
      </c>
      <c r="W507" s="2" t="s">
        <v>2068</v>
      </c>
      <c r="X507" s="2" t="s">
        <v>2069</v>
      </c>
      <c r="Y507" s="2" t="b">
        <v>0</v>
      </c>
      <c r="Z507" s="2" t="s">
        <v>67</v>
      </c>
      <c r="AA507" s="2">
        <v>516.6</v>
      </c>
      <c r="AB507" s="2" t="s">
        <v>49</v>
      </c>
    </row>
    <row r="508" spans="1:28" ht="15.75" hidden="1" customHeight="1" x14ac:dyDescent="0.3">
      <c r="A508" s="2" t="s">
        <v>360</v>
      </c>
      <c r="B508" s="2" t="s">
        <v>116</v>
      </c>
      <c r="C508" s="2" t="s">
        <v>939</v>
      </c>
      <c r="D508" s="2" t="s">
        <v>116</v>
      </c>
      <c r="E508" s="2" t="s">
        <v>43</v>
      </c>
      <c r="F508" s="2" t="s">
        <v>46</v>
      </c>
      <c r="G508" s="2" t="s">
        <v>42</v>
      </c>
      <c r="H508" s="2" t="s">
        <v>42</v>
      </c>
      <c r="I508" s="2" t="s">
        <v>239</v>
      </c>
      <c r="J508" s="2" t="s">
        <v>71</v>
      </c>
      <c r="K508" s="2" t="s">
        <v>2070</v>
      </c>
      <c r="L508" s="2" t="s">
        <v>2046</v>
      </c>
      <c r="M508" s="2" t="s">
        <v>1703</v>
      </c>
      <c r="N508" s="2" t="s">
        <v>2071</v>
      </c>
      <c r="O508" s="2" t="s">
        <v>1736</v>
      </c>
      <c r="P508" s="2" t="s">
        <v>1706</v>
      </c>
      <c r="Q508" s="2">
        <v>48</v>
      </c>
      <c r="R508" s="2" t="b">
        <v>0</v>
      </c>
      <c r="S508" s="2">
        <v>0.7929824561403509</v>
      </c>
      <c r="T508" s="2">
        <v>0.76351351351351349</v>
      </c>
      <c r="U508" s="2">
        <v>0.82481751824817517</v>
      </c>
      <c r="V508" s="2" t="s">
        <v>63</v>
      </c>
      <c r="W508" s="2" t="s">
        <v>2072</v>
      </c>
      <c r="X508" s="2" t="s">
        <v>2073</v>
      </c>
      <c r="Y508" s="2" t="b">
        <v>0</v>
      </c>
      <c r="Z508" s="2" t="s">
        <v>67</v>
      </c>
      <c r="AA508" s="2">
        <v>524.20000000000005</v>
      </c>
      <c r="AB508" s="2" t="s">
        <v>49</v>
      </c>
    </row>
    <row r="509" spans="1:28" ht="15.75" hidden="1" customHeight="1" x14ac:dyDescent="0.3">
      <c r="A509" s="2" t="s">
        <v>360</v>
      </c>
      <c r="B509" s="2" t="s">
        <v>116</v>
      </c>
      <c r="C509" s="2" t="s">
        <v>939</v>
      </c>
      <c r="D509" s="2" t="s">
        <v>116</v>
      </c>
      <c r="E509" s="2" t="s">
        <v>43</v>
      </c>
      <c r="F509" s="2" t="s">
        <v>46</v>
      </c>
      <c r="G509" s="2" t="s">
        <v>42</v>
      </c>
      <c r="H509" s="2" t="s">
        <v>42</v>
      </c>
      <c r="I509" s="2" t="s">
        <v>239</v>
      </c>
      <c r="J509" s="2" t="s">
        <v>71</v>
      </c>
      <c r="K509" s="2" t="s">
        <v>2074</v>
      </c>
      <c r="L509" s="2" t="s">
        <v>2046</v>
      </c>
      <c r="M509" s="2" t="s">
        <v>1703</v>
      </c>
      <c r="N509" s="2" t="s">
        <v>2075</v>
      </c>
      <c r="O509" s="2" t="s">
        <v>1741</v>
      </c>
      <c r="P509" s="2" t="s">
        <v>1706</v>
      </c>
      <c r="Q509" s="2">
        <v>49</v>
      </c>
      <c r="R509" s="2" t="b">
        <v>0</v>
      </c>
      <c r="S509" s="2">
        <v>0.75303643724696345</v>
      </c>
      <c r="T509" s="2">
        <v>0.76229508196721307</v>
      </c>
      <c r="U509" s="2">
        <v>0.74399999999999999</v>
      </c>
      <c r="V509" s="2" t="s">
        <v>63</v>
      </c>
      <c r="W509" s="2" t="s">
        <v>2076</v>
      </c>
      <c r="X509" s="2" t="s">
        <v>2077</v>
      </c>
      <c r="Y509" s="2" t="b">
        <v>0</v>
      </c>
      <c r="Z509" s="2" t="s">
        <v>67</v>
      </c>
      <c r="AA509" s="2">
        <v>473</v>
      </c>
      <c r="AB509" s="2" t="s">
        <v>49</v>
      </c>
    </row>
    <row r="510" spans="1:28" ht="15.75" hidden="1" customHeight="1" x14ac:dyDescent="0.3">
      <c r="A510" s="2" t="s">
        <v>360</v>
      </c>
      <c r="B510" s="2" t="s">
        <v>116</v>
      </c>
      <c r="C510" s="2" t="s">
        <v>939</v>
      </c>
      <c r="D510" s="2" t="s">
        <v>116</v>
      </c>
      <c r="E510" s="2" t="s">
        <v>43</v>
      </c>
      <c r="F510" s="2" t="s">
        <v>46</v>
      </c>
      <c r="G510" s="2" t="s">
        <v>42</v>
      </c>
      <c r="H510" s="2" t="s">
        <v>42</v>
      </c>
      <c r="I510" s="2" t="s">
        <v>239</v>
      </c>
      <c r="J510" s="2" t="s">
        <v>71</v>
      </c>
      <c r="K510" s="2" t="s">
        <v>2078</v>
      </c>
      <c r="L510" s="2" t="s">
        <v>2046</v>
      </c>
      <c r="M510" s="2" t="s">
        <v>1703</v>
      </c>
      <c r="N510" s="2" t="s">
        <v>2079</v>
      </c>
      <c r="O510" s="2" t="s">
        <v>1746</v>
      </c>
      <c r="P510" s="2" t="s">
        <v>1706</v>
      </c>
      <c r="Q510" s="2">
        <v>50</v>
      </c>
      <c r="R510" s="2" t="b">
        <v>0</v>
      </c>
      <c r="S510" s="2">
        <v>0.81666666666666665</v>
      </c>
      <c r="T510" s="2">
        <v>0.7967479674796748</v>
      </c>
      <c r="U510" s="2">
        <v>0.83760683760683763</v>
      </c>
      <c r="V510" s="2" t="s">
        <v>63</v>
      </c>
      <c r="W510" s="2" t="s">
        <v>2080</v>
      </c>
      <c r="X510" s="2" t="s">
        <v>2081</v>
      </c>
      <c r="Y510" s="2" t="b">
        <v>0</v>
      </c>
      <c r="Z510" s="2" t="s">
        <v>67</v>
      </c>
      <c r="AA510" s="2">
        <v>387.8</v>
      </c>
      <c r="AB510" s="2" t="s">
        <v>49</v>
      </c>
    </row>
    <row r="511" spans="1:28" ht="15.75" hidden="1" customHeight="1" x14ac:dyDescent="0.3">
      <c r="A511" s="2" t="s">
        <v>360</v>
      </c>
      <c r="B511" s="2" t="s">
        <v>116</v>
      </c>
      <c r="C511" s="2" t="s">
        <v>939</v>
      </c>
      <c r="D511" s="2" t="s">
        <v>116</v>
      </c>
      <c r="E511" s="2" t="s">
        <v>43</v>
      </c>
      <c r="F511" s="2" t="s">
        <v>46</v>
      </c>
      <c r="G511" s="2" t="s">
        <v>42</v>
      </c>
      <c r="H511" s="2" t="s">
        <v>42</v>
      </c>
      <c r="I511" s="2" t="s">
        <v>239</v>
      </c>
      <c r="J511" s="2" t="s">
        <v>71</v>
      </c>
      <c r="K511" s="2" t="s">
        <v>2082</v>
      </c>
      <c r="L511" s="2" t="s">
        <v>2046</v>
      </c>
      <c r="M511" s="2" t="s">
        <v>1703</v>
      </c>
      <c r="N511" s="2" t="s">
        <v>2083</v>
      </c>
      <c r="O511" s="2" t="s">
        <v>1751</v>
      </c>
      <c r="P511" s="2" t="s">
        <v>1706</v>
      </c>
      <c r="Q511" s="2">
        <v>51</v>
      </c>
      <c r="R511" s="2" t="b">
        <v>0</v>
      </c>
      <c r="S511" s="2">
        <v>0.80555555555555547</v>
      </c>
      <c r="T511" s="2">
        <v>0.78378378378378377</v>
      </c>
      <c r="U511" s="2">
        <v>0.82857142857142863</v>
      </c>
      <c r="V511" s="2" t="s">
        <v>63</v>
      </c>
      <c r="W511" s="2" t="s">
        <v>2084</v>
      </c>
      <c r="X511" s="2" t="s">
        <v>2085</v>
      </c>
      <c r="Y511" s="2" t="b">
        <v>0</v>
      </c>
      <c r="Z511" s="2" t="s">
        <v>67</v>
      </c>
      <c r="AA511" s="2">
        <v>463.6</v>
      </c>
      <c r="AB511" s="2" t="s">
        <v>49</v>
      </c>
    </row>
    <row r="512" spans="1:28" ht="15.75" hidden="1" customHeight="1" x14ac:dyDescent="0.3">
      <c r="A512" s="2" t="s">
        <v>360</v>
      </c>
      <c r="B512" s="2" t="s">
        <v>116</v>
      </c>
      <c r="C512" s="2" t="s">
        <v>939</v>
      </c>
      <c r="D512" s="2" t="s">
        <v>116</v>
      </c>
      <c r="E512" s="2" t="s">
        <v>43</v>
      </c>
      <c r="F512" s="2" t="s">
        <v>46</v>
      </c>
      <c r="G512" s="2" t="s">
        <v>42</v>
      </c>
      <c r="H512" s="2" t="s">
        <v>42</v>
      </c>
      <c r="I512" s="2" t="s">
        <v>239</v>
      </c>
      <c r="J512" s="2" t="s">
        <v>71</v>
      </c>
      <c r="K512" s="2" t="s">
        <v>2086</v>
      </c>
      <c r="L512" s="2" t="s">
        <v>2046</v>
      </c>
      <c r="M512" s="2" t="s">
        <v>1703</v>
      </c>
      <c r="N512" s="2" t="s">
        <v>2087</v>
      </c>
      <c r="O512" s="2" t="s">
        <v>1756</v>
      </c>
      <c r="P512" s="2" t="s">
        <v>1706</v>
      </c>
      <c r="Q512" s="2">
        <v>52</v>
      </c>
      <c r="R512" s="2" t="b">
        <v>0</v>
      </c>
      <c r="S512" s="2">
        <v>0.8270042194092827</v>
      </c>
      <c r="T512" s="2">
        <v>0.80991735537190079</v>
      </c>
      <c r="U512" s="2">
        <v>0.84482758620689657</v>
      </c>
      <c r="V512" s="2" t="s">
        <v>63</v>
      </c>
      <c r="W512" s="2" t="s">
        <v>2088</v>
      </c>
      <c r="X512" s="2" t="s">
        <v>2089</v>
      </c>
      <c r="Y512" s="2" t="b">
        <v>0</v>
      </c>
      <c r="Z512" s="2" t="s">
        <v>67</v>
      </c>
      <c r="AA512" s="2">
        <v>495.7</v>
      </c>
      <c r="AB512" s="2" t="s">
        <v>49</v>
      </c>
    </row>
    <row r="513" spans="1:28" ht="15.75" hidden="1" customHeight="1" x14ac:dyDescent="0.3">
      <c r="A513" s="2" t="s">
        <v>360</v>
      </c>
      <c r="B513" s="2" t="s">
        <v>116</v>
      </c>
      <c r="C513" s="2" t="s">
        <v>939</v>
      </c>
      <c r="D513" s="2" t="s">
        <v>116</v>
      </c>
      <c r="E513" s="2" t="s">
        <v>43</v>
      </c>
      <c r="F513" s="2" t="s">
        <v>46</v>
      </c>
      <c r="G513" s="2" t="s">
        <v>42</v>
      </c>
      <c r="H513" s="2" t="s">
        <v>42</v>
      </c>
      <c r="I513" s="2" t="s">
        <v>239</v>
      </c>
      <c r="J513" s="2" t="s">
        <v>71</v>
      </c>
      <c r="K513" s="2" t="s">
        <v>2090</v>
      </c>
      <c r="L513" s="2" t="s">
        <v>2046</v>
      </c>
      <c r="M513" s="2" t="s">
        <v>1703</v>
      </c>
      <c r="N513" s="2" t="s">
        <v>2091</v>
      </c>
      <c r="O513" s="2" t="s">
        <v>1761</v>
      </c>
      <c r="P513" s="2" t="s">
        <v>1706</v>
      </c>
      <c r="Q513" s="2">
        <v>53</v>
      </c>
      <c r="R513" s="2" t="b">
        <v>0</v>
      </c>
      <c r="S513" s="2">
        <v>0.73684210526315785</v>
      </c>
      <c r="T513" s="2">
        <v>0.68852459016393441</v>
      </c>
      <c r="U513" s="2">
        <v>0.79245283018867929</v>
      </c>
      <c r="V513" s="2" t="s">
        <v>63</v>
      </c>
      <c r="W513" s="2" t="s">
        <v>2092</v>
      </c>
      <c r="X513" s="2" t="s">
        <v>2093</v>
      </c>
      <c r="Y513" s="2" t="b">
        <v>0</v>
      </c>
      <c r="Z513" s="2" t="s">
        <v>67</v>
      </c>
      <c r="AA513" s="2">
        <v>366.6</v>
      </c>
      <c r="AB513" s="2" t="s">
        <v>49</v>
      </c>
    </row>
    <row r="514" spans="1:28" ht="15.75" hidden="1" customHeight="1" x14ac:dyDescent="0.3">
      <c r="A514" s="2" t="s">
        <v>360</v>
      </c>
      <c r="B514" s="2" t="s">
        <v>116</v>
      </c>
      <c r="C514" s="2" t="s">
        <v>939</v>
      </c>
      <c r="D514" s="2" t="s">
        <v>116</v>
      </c>
      <c r="E514" s="2" t="s">
        <v>43</v>
      </c>
      <c r="F514" s="2" t="s">
        <v>46</v>
      </c>
      <c r="G514" s="2" t="s">
        <v>42</v>
      </c>
      <c r="H514" s="2" t="s">
        <v>42</v>
      </c>
      <c r="I514" s="2" t="s">
        <v>239</v>
      </c>
      <c r="J514" s="2" t="s">
        <v>71</v>
      </c>
      <c r="K514" s="2" t="s">
        <v>2094</v>
      </c>
      <c r="L514" s="2" t="s">
        <v>2046</v>
      </c>
      <c r="M514" s="2" t="s">
        <v>1703</v>
      </c>
      <c r="N514" s="2" t="s">
        <v>2095</v>
      </c>
      <c r="O514" s="2" t="s">
        <v>1766</v>
      </c>
      <c r="P514" s="2" t="s">
        <v>1706</v>
      </c>
      <c r="Q514" s="2">
        <v>54</v>
      </c>
      <c r="R514" s="2" t="b">
        <v>0</v>
      </c>
      <c r="S514" s="2">
        <v>0.77911646586345373</v>
      </c>
      <c r="T514" s="2">
        <v>0.77600000000000002</v>
      </c>
      <c r="U514" s="2">
        <v>0.782258064516129</v>
      </c>
      <c r="V514" s="2" t="s">
        <v>63</v>
      </c>
      <c r="W514" s="2" t="s">
        <v>2096</v>
      </c>
      <c r="X514" s="2" t="s">
        <v>2097</v>
      </c>
      <c r="Y514" s="2" t="b">
        <v>0</v>
      </c>
      <c r="Z514" s="2" t="s">
        <v>67</v>
      </c>
      <c r="AA514" s="2">
        <v>389.6</v>
      </c>
      <c r="AB514" s="2" t="s">
        <v>49</v>
      </c>
    </row>
    <row r="515" spans="1:28" ht="15.75" hidden="1" customHeight="1" x14ac:dyDescent="0.3">
      <c r="A515" s="2" t="s">
        <v>360</v>
      </c>
      <c r="B515" s="2" t="s">
        <v>116</v>
      </c>
      <c r="C515" s="2" t="s">
        <v>939</v>
      </c>
      <c r="D515" s="2" t="s">
        <v>116</v>
      </c>
      <c r="E515" s="2" t="s">
        <v>43</v>
      </c>
      <c r="F515" s="2" t="s">
        <v>46</v>
      </c>
      <c r="G515" s="2" t="s">
        <v>42</v>
      </c>
      <c r="H515" s="2" t="s">
        <v>42</v>
      </c>
      <c r="I515" s="2" t="s">
        <v>239</v>
      </c>
      <c r="J515" s="2" t="s">
        <v>71</v>
      </c>
      <c r="K515" s="2" t="s">
        <v>2098</v>
      </c>
      <c r="L515" s="2" t="s">
        <v>2046</v>
      </c>
      <c r="M515" s="2" t="s">
        <v>1703</v>
      </c>
      <c r="N515" s="2" t="s">
        <v>2099</v>
      </c>
      <c r="O515" s="2" t="s">
        <v>1771</v>
      </c>
      <c r="P515" s="2" t="s">
        <v>1706</v>
      </c>
      <c r="Q515" s="2">
        <v>55</v>
      </c>
      <c r="R515" s="2" t="b">
        <v>0</v>
      </c>
      <c r="S515" s="2">
        <v>0.81647940074906367</v>
      </c>
      <c r="T515" s="2">
        <v>0.77857142857142858</v>
      </c>
      <c r="U515" s="2">
        <v>0.8582677165354331</v>
      </c>
      <c r="V515" s="2" t="s">
        <v>63</v>
      </c>
      <c r="W515" s="2" t="s">
        <v>2100</v>
      </c>
      <c r="X515" s="2" t="s">
        <v>2101</v>
      </c>
      <c r="Y515" s="2" t="b">
        <v>0</v>
      </c>
      <c r="Z515" s="2" t="s">
        <v>67</v>
      </c>
      <c r="AA515" s="2">
        <v>438.5</v>
      </c>
      <c r="AB515" s="2" t="s">
        <v>49</v>
      </c>
    </row>
    <row r="516" spans="1:28" ht="15.75" hidden="1" customHeight="1" x14ac:dyDescent="0.3">
      <c r="A516" s="2" t="s">
        <v>360</v>
      </c>
      <c r="B516" s="2" t="s">
        <v>116</v>
      </c>
      <c r="C516" s="2" t="s">
        <v>939</v>
      </c>
      <c r="D516" s="2" t="s">
        <v>116</v>
      </c>
      <c r="E516" s="2" t="s">
        <v>43</v>
      </c>
      <c r="F516" s="2" t="s">
        <v>46</v>
      </c>
      <c r="G516" s="2" t="s">
        <v>42</v>
      </c>
      <c r="H516" s="2" t="s">
        <v>42</v>
      </c>
      <c r="I516" s="2" t="s">
        <v>239</v>
      </c>
      <c r="J516" s="2" t="s">
        <v>71</v>
      </c>
      <c r="K516" s="2" t="s">
        <v>2102</v>
      </c>
      <c r="L516" s="2" t="s">
        <v>2046</v>
      </c>
      <c r="M516" s="2" t="s">
        <v>1703</v>
      </c>
      <c r="N516" s="2" t="s">
        <v>2103</v>
      </c>
      <c r="O516" s="2" t="s">
        <v>1776</v>
      </c>
      <c r="P516" s="2" t="s">
        <v>1706</v>
      </c>
      <c r="Q516" s="2">
        <v>56</v>
      </c>
      <c r="R516" s="2" t="b">
        <v>0</v>
      </c>
      <c r="S516" s="2">
        <v>0.78740157480314965</v>
      </c>
      <c r="T516" s="2">
        <v>0.76335877862595425</v>
      </c>
      <c r="U516" s="2">
        <v>0.81300813008130079</v>
      </c>
      <c r="V516" s="2" t="s">
        <v>63</v>
      </c>
      <c r="W516" s="2" t="s">
        <v>2104</v>
      </c>
      <c r="X516" s="2" t="s">
        <v>2105</v>
      </c>
      <c r="Y516" s="2" t="b">
        <v>0</v>
      </c>
      <c r="Z516" s="2" t="s">
        <v>67</v>
      </c>
      <c r="AA516" s="2">
        <v>501.7</v>
      </c>
      <c r="AB516" s="2" t="s">
        <v>49</v>
      </c>
    </row>
    <row r="517" spans="1:28" ht="15.75" hidden="1" customHeight="1" x14ac:dyDescent="0.3">
      <c r="A517" s="2" t="s">
        <v>360</v>
      </c>
      <c r="B517" s="2" t="s">
        <v>116</v>
      </c>
      <c r="C517" s="2" t="s">
        <v>939</v>
      </c>
      <c r="D517" s="2" t="s">
        <v>116</v>
      </c>
      <c r="E517" s="2" t="s">
        <v>43</v>
      </c>
      <c r="F517" s="2" t="s">
        <v>46</v>
      </c>
      <c r="G517" s="2" t="s">
        <v>42</v>
      </c>
      <c r="H517" s="2" t="s">
        <v>42</v>
      </c>
      <c r="I517" s="2" t="s">
        <v>239</v>
      </c>
      <c r="J517" s="2" t="s">
        <v>71</v>
      </c>
      <c r="K517" s="2" t="s">
        <v>2106</v>
      </c>
      <c r="L517" s="2" t="s">
        <v>2046</v>
      </c>
      <c r="M517" s="2" t="s">
        <v>1703</v>
      </c>
      <c r="N517" s="2" t="s">
        <v>2107</v>
      </c>
      <c r="O517" s="2" t="s">
        <v>1781</v>
      </c>
      <c r="P517" s="2" t="s">
        <v>1706</v>
      </c>
      <c r="Q517" s="2">
        <v>57</v>
      </c>
      <c r="R517" s="2" t="b">
        <v>0</v>
      </c>
      <c r="S517" s="2">
        <v>0.82448979591836735</v>
      </c>
      <c r="T517" s="2">
        <v>0.82113821138211385</v>
      </c>
      <c r="U517" s="2">
        <v>0.82786885245901642</v>
      </c>
      <c r="V517" s="2" t="s">
        <v>63</v>
      </c>
      <c r="W517" s="2" t="s">
        <v>2108</v>
      </c>
      <c r="X517" s="2" t="s">
        <v>2109</v>
      </c>
      <c r="Y517" s="2" t="b">
        <v>0</v>
      </c>
      <c r="Z517" s="2" t="s">
        <v>67</v>
      </c>
      <c r="AA517" s="2">
        <v>392.1</v>
      </c>
      <c r="AB517" s="2" t="s">
        <v>49</v>
      </c>
    </row>
    <row r="518" spans="1:28" ht="15.75" hidden="1" customHeight="1" x14ac:dyDescent="0.3">
      <c r="A518" s="2" t="s">
        <v>360</v>
      </c>
      <c r="B518" s="2" t="s">
        <v>116</v>
      </c>
      <c r="C518" s="2" t="s">
        <v>939</v>
      </c>
      <c r="D518" s="2" t="s">
        <v>116</v>
      </c>
      <c r="E518" s="2" t="s">
        <v>43</v>
      </c>
      <c r="F518" s="2" t="s">
        <v>46</v>
      </c>
      <c r="G518" s="2" t="s">
        <v>42</v>
      </c>
      <c r="H518" s="2" t="s">
        <v>42</v>
      </c>
      <c r="I518" s="2" t="s">
        <v>239</v>
      </c>
      <c r="J518" s="2" t="s">
        <v>71</v>
      </c>
      <c r="K518" s="2" t="s">
        <v>2110</v>
      </c>
      <c r="L518" s="2" t="s">
        <v>2046</v>
      </c>
      <c r="M518" s="2" t="s">
        <v>1703</v>
      </c>
      <c r="N518" s="2" t="s">
        <v>2111</v>
      </c>
      <c r="O518" s="2" t="s">
        <v>1786</v>
      </c>
      <c r="P518" s="2" t="s">
        <v>1706</v>
      </c>
      <c r="Q518" s="2">
        <v>58</v>
      </c>
      <c r="R518" s="2" t="b">
        <v>0</v>
      </c>
      <c r="S518" s="2">
        <v>0.77828054298642524</v>
      </c>
      <c r="T518" s="2">
        <v>0.7350427350427351</v>
      </c>
      <c r="U518" s="2">
        <v>0.82692307692307687</v>
      </c>
      <c r="V518" s="2" t="s">
        <v>63</v>
      </c>
      <c r="W518" s="2" t="s">
        <v>2112</v>
      </c>
      <c r="X518" s="2" t="s">
        <v>2113</v>
      </c>
      <c r="Y518" s="2" t="b">
        <v>0</v>
      </c>
      <c r="Z518" s="2" t="s">
        <v>67</v>
      </c>
      <c r="AA518" s="2">
        <v>404.2</v>
      </c>
      <c r="AB518" s="2" t="s">
        <v>49</v>
      </c>
    </row>
    <row r="519" spans="1:28" ht="15.75" hidden="1" customHeight="1" x14ac:dyDescent="0.3">
      <c r="A519" s="2" t="s">
        <v>360</v>
      </c>
      <c r="B519" s="2" t="s">
        <v>116</v>
      </c>
      <c r="C519" s="2" t="s">
        <v>939</v>
      </c>
      <c r="D519" s="2" t="s">
        <v>116</v>
      </c>
      <c r="E519" s="2" t="s">
        <v>43</v>
      </c>
      <c r="F519" s="2" t="s">
        <v>46</v>
      </c>
      <c r="G519" s="2" t="s">
        <v>42</v>
      </c>
      <c r="H519" s="2" t="s">
        <v>42</v>
      </c>
      <c r="I519" s="2" t="s">
        <v>239</v>
      </c>
      <c r="J519" s="2" t="s">
        <v>71</v>
      </c>
      <c r="K519" s="2" t="s">
        <v>2114</v>
      </c>
      <c r="L519" s="2" t="s">
        <v>2046</v>
      </c>
      <c r="M519" s="2" t="s">
        <v>1703</v>
      </c>
      <c r="N519" s="2" t="s">
        <v>2115</v>
      </c>
      <c r="O519" s="2" t="s">
        <v>1791</v>
      </c>
      <c r="P519" s="2" t="s">
        <v>1706</v>
      </c>
      <c r="Q519" s="2">
        <v>59</v>
      </c>
      <c r="R519" s="2" t="b">
        <v>0</v>
      </c>
      <c r="S519" s="2">
        <v>0.81568627450980402</v>
      </c>
      <c r="T519" s="2">
        <v>0.78787878787878785</v>
      </c>
      <c r="U519" s="2">
        <v>0.84552845528455289</v>
      </c>
      <c r="V519" s="2" t="s">
        <v>63</v>
      </c>
      <c r="W519" s="2" t="s">
        <v>2116</v>
      </c>
      <c r="X519" s="2" t="s">
        <v>2117</v>
      </c>
      <c r="Y519" s="2" t="b">
        <v>0</v>
      </c>
      <c r="Z519" s="2" t="s">
        <v>67</v>
      </c>
      <c r="AA519" s="2">
        <v>477.4</v>
      </c>
      <c r="AB519" s="2" t="s">
        <v>49</v>
      </c>
    </row>
    <row r="520" spans="1:28" ht="15.75" hidden="1" customHeight="1" x14ac:dyDescent="0.3">
      <c r="A520" s="2" t="s">
        <v>360</v>
      </c>
      <c r="B520" s="2" t="s">
        <v>116</v>
      </c>
      <c r="C520" s="2" t="s">
        <v>939</v>
      </c>
      <c r="D520" s="2" t="s">
        <v>116</v>
      </c>
      <c r="E520" s="2" t="s">
        <v>43</v>
      </c>
      <c r="F520" s="2" t="s">
        <v>46</v>
      </c>
      <c r="G520" s="2" t="s">
        <v>42</v>
      </c>
      <c r="H520" s="2" t="s">
        <v>42</v>
      </c>
      <c r="I520" s="2" t="s">
        <v>239</v>
      </c>
      <c r="J520" s="2" t="s">
        <v>71</v>
      </c>
      <c r="K520" s="2" t="s">
        <v>2118</v>
      </c>
      <c r="L520" s="2" t="s">
        <v>2046</v>
      </c>
      <c r="M520" s="2" t="s">
        <v>1703</v>
      </c>
      <c r="N520" s="2" t="s">
        <v>2119</v>
      </c>
      <c r="O520" s="2" t="s">
        <v>1796</v>
      </c>
      <c r="P520" s="2" t="s">
        <v>1706</v>
      </c>
      <c r="Q520" s="2">
        <v>60</v>
      </c>
      <c r="R520" s="2" t="b">
        <v>0</v>
      </c>
      <c r="S520" s="2">
        <v>0.74042553191489358</v>
      </c>
      <c r="T520" s="2">
        <v>0.70731707317073167</v>
      </c>
      <c r="U520" s="2">
        <v>0.7767857142857143</v>
      </c>
      <c r="V520" s="2" t="s">
        <v>63</v>
      </c>
      <c r="W520" s="2" t="s">
        <v>2120</v>
      </c>
      <c r="X520" s="2" t="s">
        <v>2121</v>
      </c>
      <c r="Y520" s="2" t="b">
        <v>0</v>
      </c>
      <c r="Z520" s="2" t="s">
        <v>67</v>
      </c>
      <c r="AA520" s="2">
        <v>393.3</v>
      </c>
      <c r="AB520" s="2" t="s">
        <v>49</v>
      </c>
    </row>
    <row r="521" spans="1:28" ht="15.75" hidden="1" customHeight="1" x14ac:dyDescent="0.3">
      <c r="A521" s="2" t="s">
        <v>360</v>
      </c>
      <c r="B521" s="2" t="s">
        <v>116</v>
      </c>
      <c r="C521" s="2" t="s">
        <v>939</v>
      </c>
      <c r="D521" s="2" t="s">
        <v>116</v>
      </c>
      <c r="E521" s="2" t="s">
        <v>43</v>
      </c>
      <c r="F521" s="2" t="s">
        <v>46</v>
      </c>
      <c r="G521" s="2" t="s">
        <v>42</v>
      </c>
      <c r="H521" s="2" t="s">
        <v>42</v>
      </c>
      <c r="I521" s="2" t="s">
        <v>239</v>
      </c>
      <c r="J521" s="2" t="s">
        <v>71</v>
      </c>
      <c r="K521" s="2" t="s">
        <v>2122</v>
      </c>
      <c r="L521" s="2" t="s">
        <v>2046</v>
      </c>
      <c r="M521" s="2" t="s">
        <v>1703</v>
      </c>
      <c r="N521" s="2" t="s">
        <v>2123</v>
      </c>
      <c r="O521" s="2" t="s">
        <v>1801</v>
      </c>
      <c r="P521" s="2" t="s">
        <v>1706</v>
      </c>
      <c r="Q521" s="2">
        <v>61</v>
      </c>
      <c r="R521" s="2" t="b">
        <v>0</v>
      </c>
      <c r="S521" s="2">
        <v>0.79820627802690591</v>
      </c>
      <c r="T521" s="2">
        <v>0.77391304347826084</v>
      </c>
      <c r="U521" s="2">
        <v>0.82407407407407407</v>
      </c>
      <c r="V521" s="2" t="s">
        <v>63</v>
      </c>
      <c r="W521" s="2" t="s">
        <v>2124</v>
      </c>
      <c r="X521" s="2" t="s">
        <v>2125</v>
      </c>
      <c r="Y521" s="2" t="b">
        <v>0</v>
      </c>
      <c r="Z521" s="2" t="s">
        <v>67</v>
      </c>
      <c r="AA521" s="2">
        <v>514</v>
      </c>
      <c r="AB521" s="2" t="s">
        <v>49</v>
      </c>
    </row>
    <row r="522" spans="1:28" ht="15.75" hidden="1" customHeight="1" x14ac:dyDescent="0.3">
      <c r="A522" s="2" t="s">
        <v>360</v>
      </c>
      <c r="B522" s="2" t="s">
        <v>116</v>
      </c>
      <c r="C522" s="2" t="s">
        <v>939</v>
      </c>
      <c r="D522" s="2" t="s">
        <v>116</v>
      </c>
      <c r="E522" s="2" t="s">
        <v>39</v>
      </c>
      <c r="F522" s="2" t="s">
        <v>496</v>
      </c>
      <c r="G522" s="2" t="s">
        <v>42</v>
      </c>
      <c r="H522" s="2" t="s">
        <v>42</v>
      </c>
      <c r="I522" s="2" t="s">
        <v>47</v>
      </c>
      <c r="J522" s="2" t="s">
        <v>44</v>
      </c>
      <c r="K522" s="2" t="s">
        <v>1964</v>
      </c>
      <c r="L522" s="2" t="s">
        <v>1965</v>
      </c>
      <c r="M522" s="2" t="s">
        <v>1600</v>
      </c>
      <c r="N522" s="2" t="s">
        <v>1966</v>
      </c>
      <c r="O522" s="2" t="s">
        <v>1602</v>
      </c>
      <c r="P522" s="2" t="s">
        <v>1603</v>
      </c>
      <c r="Q522" s="2">
        <v>42</v>
      </c>
      <c r="R522" s="2" t="b">
        <v>1</v>
      </c>
      <c r="S522" s="2">
        <v>0.78260869565217395</v>
      </c>
      <c r="V522" s="2" t="s">
        <v>510</v>
      </c>
      <c r="W522" s="2" t="s">
        <v>2126</v>
      </c>
      <c r="X522" s="2" t="s">
        <v>2127</v>
      </c>
      <c r="Y522" s="2" t="b">
        <v>1</v>
      </c>
      <c r="Z522" s="2" t="s">
        <v>67</v>
      </c>
      <c r="AA522" s="2">
        <v>0.4</v>
      </c>
      <c r="AB522" s="2" t="s">
        <v>49</v>
      </c>
    </row>
    <row r="523" spans="1:28" ht="15.75" hidden="1" customHeight="1" x14ac:dyDescent="0.3">
      <c r="A523" s="2" t="s">
        <v>360</v>
      </c>
      <c r="B523" s="2" t="s">
        <v>116</v>
      </c>
      <c r="C523" s="2" t="s">
        <v>939</v>
      </c>
      <c r="D523" s="2" t="s">
        <v>116</v>
      </c>
      <c r="E523" s="2" t="s">
        <v>39</v>
      </c>
      <c r="F523" s="2" t="s">
        <v>496</v>
      </c>
      <c r="G523" s="2" t="s">
        <v>42</v>
      </c>
      <c r="H523" s="2" t="s">
        <v>42</v>
      </c>
      <c r="I523" s="2" t="s">
        <v>47</v>
      </c>
      <c r="J523" s="2" t="s">
        <v>44</v>
      </c>
      <c r="K523" s="2" t="s">
        <v>1969</v>
      </c>
      <c r="L523" s="2" t="s">
        <v>1965</v>
      </c>
      <c r="M523" s="2" t="s">
        <v>1600</v>
      </c>
      <c r="N523" s="2" t="s">
        <v>1970</v>
      </c>
      <c r="O523" s="2" t="s">
        <v>1608</v>
      </c>
      <c r="P523" s="2" t="s">
        <v>1603</v>
      </c>
      <c r="Q523" s="2">
        <v>43</v>
      </c>
      <c r="R523" s="2" t="b">
        <v>1</v>
      </c>
      <c r="S523" s="2">
        <v>0.64864864864864868</v>
      </c>
      <c r="V523" s="2" t="s">
        <v>510</v>
      </c>
      <c r="W523" s="2" t="s">
        <v>2128</v>
      </c>
      <c r="X523" s="2" t="s">
        <v>2129</v>
      </c>
      <c r="Y523" s="2" t="b">
        <v>1</v>
      </c>
      <c r="Z523" s="2" t="s">
        <v>67</v>
      </c>
      <c r="AA523" s="2">
        <v>0.4</v>
      </c>
      <c r="AB523" s="2" t="s">
        <v>49</v>
      </c>
    </row>
    <row r="524" spans="1:28" ht="15.75" hidden="1" customHeight="1" x14ac:dyDescent="0.3">
      <c r="A524" s="2" t="s">
        <v>360</v>
      </c>
      <c r="B524" s="2" t="s">
        <v>116</v>
      </c>
      <c r="C524" s="2" t="s">
        <v>939</v>
      </c>
      <c r="D524" s="2" t="s">
        <v>116</v>
      </c>
      <c r="E524" s="2" t="s">
        <v>39</v>
      </c>
      <c r="F524" s="2" t="s">
        <v>496</v>
      </c>
      <c r="G524" s="2" t="s">
        <v>42</v>
      </c>
      <c r="H524" s="2" t="s">
        <v>42</v>
      </c>
      <c r="I524" s="2" t="s">
        <v>47</v>
      </c>
      <c r="J524" s="2" t="s">
        <v>44</v>
      </c>
      <c r="K524" s="2" t="s">
        <v>1973</v>
      </c>
      <c r="L524" s="2" t="s">
        <v>1965</v>
      </c>
      <c r="M524" s="2" t="s">
        <v>1600</v>
      </c>
      <c r="N524" s="2" t="s">
        <v>1974</v>
      </c>
      <c r="O524" s="2" t="s">
        <v>1613</v>
      </c>
      <c r="P524" s="2" t="s">
        <v>1603</v>
      </c>
      <c r="Q524" s="2">
        <v>44</v>
      </c>
      <c r="R524" s="2" t="b">
        <v>1</v>
      </c>
      <c r="S524" s="2">
        <v>0.66666666666666674</v>
      </c>
      <c r="V524" s="2" t="s">
        <v>510</v>
      </c>
      <c r="W524" s="2" t="s">
        <v>2130</v>
      </c>
      <c r="X524" s="2" t="s">
        <v>2131</v>
      </c>
      <c r="Y524" s="2" t="b">
        <v>1</v>
      </c>
      <c r="Z524" s="2" t="s">
        <v>67</v>
      </c>
      <c r="AA524" s="2">
        <v>0.3</v>
      </c>
      <c r="AB524" s="2" t="s">
        <v>49</v>
      </c>
    </row>
    <row r="525" spans="1:28" ht="15.75" hidden="1" customHeight="1" x14ac:dyDescent="0.3">
      <c r="A525" s="2" t="s">
        <v>360</v>
      </c>
      <c r="B525" s="2" t="s">
        <v>116</v>
      </c>
      <c r="C525" s="2" t="s">
        <v>939</v>
      </c>
      <c r="D525" s="2" t="s">
        <v>116</v>
      </c>
      <c r="E525" s="2" t="s">
        <v>39</v>
      </c>
      <c r="F525" s="2" t="s">
        <v>496</v>
      </c>
      <c r="G525" s="2" t="s">
        <v>42</v>
      </c>
      <c r="H525" s="2" t="s">
        <v>42</v>
      </c>
      <c r="I525" s="2" t="s">
        <v>47</v>
      </c>
      <c r="J525" s="2" t="s">
        <v>44</v>
      </c>
      <c r="K525" s="2" t="s">
        <v>1977</v>
      </c>
      <c r="L525" s="2" t="s">
        <v>1965</v>
      </c>
      <c r="M525" s="2" t="s">
        <v>1600</v>
      </c>
      <c r="N525" s="2" t="s">
        <v>1978</v>
      </c>
      <c r="O525" s="2" t="s">
        <v>1618</v>
      </c>
      <c r="P525" s="2" t="s">
        <v>1603</v>
      </c>
      <c r="Q525" s="2">
        <v>45</v>
      </c>
      <c r="R525" s="2" t="b">
        <v>1</v>
      </c>
      <c r="S525" s="2">
        <v>0.88888888888888884</v>
      </c>
      <c r="V525" s="2" t="s">
        <v>510</v>
      </c>
      <c r="W525" s="2" t="s">
        <v>2132</v>
      </c>
      <c r="X525" s="2" t="s">
        <v>2133</v>
      </c>
      <c r="Y525" s="2" t="b">
        <v>1</v>
      </c>
      <c r="Z525" s="2" t="s">
        <v>67</v>
      </c>
      <c r="AA525" s="2">
        <v>0.4</v>
      </c>
      <c r="AB525" s="2" t="s">
        <v>49</v>
      </c>
    </row>
    <row r="526" spans="1:28" ht="15.75" hidden="1" customHeight="1" x14ac:dyDescent="0.3">
      <c r="A526" s="2" t="s">
        <v>360</v>
      </c>
      <c r="B526" s="2" t="s">
        <v>116</v>
      </c>
      <c r="C526" s="2" t="s">
        <v>939</v>
      </c>
      <c r="D526" s="2" t="s">
        <v>116</v>
      </c>
      <c r="E526" s="2" t="s">
        <v>39</v>
      </c>
      <c r="F526" s="2" t="s">
        <v>496</v>
      </c>
      <c r="G526" s="2" t="s">
        <v>42</v>
      </c>
      <c r="H526" s="2" t="s">
        <v>42</v>
      </c>
      <c r="I526" s="2" t="s">
        <v>47</v>
      </c>
      <c r="J526" s="2" t="s">
        <v>44</v>
      </c>
      <c r="K526" s="2" t="s">
        <v>1981</v>
      </c>
      <c r="L526" s="2" t="s">
        <v>1965</v>
      </c>
      <c r="M526" s="2" t="s">
        <v>1600</v>
      </c>
      <c r="N526" s="2" t="s">
        <v>1982</v>
      </c>
      <c r="O526" s="2" t="s">
        <v>1623</v>
      </c>
      <c r="P526" s="2" t="s">
        <v>1603</v>
      </c>
      <c r="Q526" s="2">
        <v>46</v>
      </c>
      <c r="R526" s="2" t="b">
        <v>1</v>
      </c>
      <c r="S526" s="2">
        <v>0.8035714285714286</v>
      </c>
      <c r="V526" s="2" t="s">
        <v>510</v>
      </c>
      <c r="W526" s="2" t="s">
        <v>2134</v>
      </c>
      <c r="X526" s="2" t="s">
        <v>2135</v>
      </c>
      <c r="Y526" s="2" t="b">
        <v>1</v>
      </c>
      <c r="Z526" s="2" t="s">
        <v>67</v>
      </c>
      <c r="AA526" s="2">
        <v>0.3</v>
      </c>
      <c r="AB526" s="2" t="s">
        <v>49</v>
      </c>
    </row>
    <row r="527" spans="1:28" ht="15.75" hidden="1" customHeight="1" x14ac:dyDescent="0.3">
      <c r="A527" s="2" t="s">
        <v>360</v>
      </c>
      <c r="B527" s="2" t="s">
        <v>116</v>
      </c>
      <c r="C527" s="2" t="s">
        <v>939</v>
      </c>
      <c r="D527" s="2" t="s">
        <v>116</v>
      </c>
      <c r="E527" s="2" t="s">
        <v>39</v>
      </c>
      <c r="F527" s="2" t="s">
        <v>496</v>
      </c>
      <c r="G527" s="2" t="s">
        <v>42</v>
      </c>
      <c r="H527" s="2" t="s">
        <v>42</v>
      </c>
      <c r="I527" s="2" t="s">
        <v>47</v>
      </c>
      <c r="J527" s="2" t="s">
        <v>44</v>
      </c>
      <c r="K527" s="2" t="s">
        <v>1985</v>
      </c>
      <c r="L527" s="2" t="s">
        <v>1965</v>
      </c>
      <c r="M527" s="2" t="s">
        <v>1600</v>
      </c>
      <c r="N527" s="2" t="s">
        <v>1986</v>
      </c>
      <c r="O527" s="2" t="s">
        <v>1628</v>
      </c>
      <c r="P527" s="2" t="s">
        <v>1603</v>
      </c>
      <c r="Q527" s="2">
        <v>47</v>
      </c>
      <c r="R527" s="2" t="b">
        <v>1</v>
      </c>
      <c r="S527" s="2">
        <v>0.76923076923076927</v>
      </c>
      <c r="V527" s="2" t="s">
        <v>510</v>
      </c>
      <c r="W527" s="2" t="s">
        <v>2136</v>
      </c>
      <c r="X527" s="2" t="s">
        <v>2137</v>
      </c>
      <c r="Y527" s="2" t="b">
        <v>1</v>
      </c>
      <c r="Z527" s="2" t="s">
        <v>67</v>
      </c>
      <c r="AA527" s="2">
        <v>0.4</v>
      </c>
      <c r="AB527" s="2" t="s">
        <v>49</v>
      </c>
    </row>
    <row r="528" spans="1:28" ht="15.75" hidden="1" customHeight="1" x14ac:dyDescent="0.3">
      <c r="A528" s="2" t="s">
        <v>360</v>
      </c>
      <c r="B528" s="2" t="s">
        <v>116</v>
      </c>
      <c r="C528" s="2" t="s">
        <v>939</v>
      </c>
      <c r="D528" s="2" t="s">
        <v>116</v>
      </c>
      <c r="E528" s="2" t="s">
        <v>39</v>
      </c>
      <c r="F528" s="2" t="s">
        <v>496</v>
      </c>
      <c r="G528" s="2" t="s">
        <v>42</v>
      </c>
      <c r="H528" s="2" t="s">
        <v>42</v>
      </c>
      <c r="I528" s="2" t="s">
        <v>47</v>
      </c>
      <c r="J528" s="2" t="s">
        <v>44</v>
      </c>
      <c r="K528" s="2" t="s">
        <v>1989</v>
      </c>
      <c r="L528" s="2" t="s">
        <v>1965</v>
      </c>
      <c r="M528" s="2" t="s">
        <v>1600</v>
      </c>
      <c r="N528" s="2" t="s">
        <v>1990</v>
      </c>
      <c r="O528" s="2" t="s">
        <v>1633</v>
      </c>
      <c r="P528" s="2" t="s">
        <v>1603</v>
      </c>
      <c r="Q528" s="2">
        <v>48</v>
      </c>
      <c r="R528" s="2" t="b">
        <v>1</v>
      </c>
      <c r="S528" s="2">
        <v>0.78787878787878796</v>
      </c>
      <c r="V528" s="2" t="s">
        <v>510</v>
      </c>
      <c r="W528" s="2" t="s">
        <v>2138</v>
      </c>
      <c r="X528" s="2" t="s">
        <v>2139</v>
      </c>
      <c r="Y528" s="2" t="b">
        <v>1</v>
      </c>
      <c r="Z528" s="2" t="s">
        <v>67</v>
      </c>
      <c r="AA528" s="2">
        <v>0.4</v>
      </c>
      <c r="AB528" s="2" t="s">
        <v>49</v>
      </c>
    </row>
    <row r="529" spans="1:28" ht="15.75" hidden="1" customHeight="1" x14ac:dyDescent="0.3">
      <c r="A529" s="2" t="s">
        <v>360</v>
      </c>
      <c r="B529" s="2" t="s">
        <v>116</v>
      </c>
      <c r="C529" s="2" t="s">
        <v>939</v>
      </c>
      <c r="D529" s="2" t="s">
        <v>116</v>
      </c>
      <c r="E529" s="2" t="s">
        <v>39</v>
      </c>
      <c r="F529" s="2" t="s">
        <v>496</v>
      </c>
      <c r="G529" s="2" t="s">
        <v>42</v>
      </c>
      <c r="H529" s="2" t="s">
        <v>42</v>
      </c>
      <c r="I529" s="2" t="s">
        <v>47</v>
      </c>
      <c r="J529" s="2" t="s">
        <v>44</v>
      </c>
      <c r="K529" s="2" t="s">
        <v>1993</v>
      </c>
      <c r="L529" s="2" t="s">
        <v>1965</v>
      </c>
      <c r="M529" s="2" t="s">
        <v>1600</v>
      </c>
      <c r="N529" s="2" t="s">
        <v>1994</v>
      </c>
      <c r="O529" s="2" t="s">
        <v>1638</v>
      </c>
      <c r="P529" s="2" t="s">
        <v>1603</v>
      </c>
      <c r="Q529" s="2">
        <v>49</v>
      </c>
      <c r="R529" s="2" t="b">
        <v>1</v>
      </c>
      <c r="S529" s="2">
        <v>0.70967741935483863</v>
      </c>
      <c r="V529" s="2" t="s">
        <v>510</v>
      </c>
      <c r="W529" s="2" t="s">
        <v>2140</v>
      </c>
      <c r="X529" s="2" t="s">
        <v>2141</v>
      </c>
      <c r="Y529" s="2" t="b">
        <v>1</v>
      </c>
      <c r="Z529" s="2" t="s">
        <v>67</v>
      </c>
      <c r="AA529" s="2">
        <v>0.5</v>
      </c>
      <c r="AB529" s="2" t="s">
        <v>49</v>
      </c>
    </row>
    <row r="530" spans="1:28" ht="15.75" hidden="1" customHeight="1" x14ac:dyDescent="0.3">
      <c r="A530" s="2" t="s">
        <v>360</v>
      </c>
      <c r="B530" s="2" t="s">
        <v>116</v>
      </c>
      <c r="C530" s="2" t="s">
        <v>939</v>
      </c>
      <c r="D530" s="2" t="s">
        <v>116</v>
      </c>
      <c r="E530" s="2" t="s">
        <v>39</v>
      </c>
      <c r="F530" s="2" t="s">
        <v>496</v>
      </c>
      <c r="G530" s="2" t="s">
        <v>42</v>
      </c>
      <c r="H530" s="2" t="s">
        <v>42</v>
      </c>
      <c r="I530" s="2" t="s">
        <v>47</v>
      </c>
      <c r="J530" s="2" t="s">
        <v>44</v>
      </c>
      <c r="K530" s="2" t="s">
        <v>1997</v>
      </c>
      <c r="L530" s="2" t="s">
        <v>1965</v>
      </c>
      <c r="M530" s="2" t="s">
        <v>1600</v>
      </c>
      <c r="N530" s="2" t="s">
        <v>1998</v>
      </c>
      <c r="O530" s="2" t="s">
        <v>1643</v>
      </c>
      <c r="P530" s="2" t="s">
        <v>1603</v>
      </c>
      <c r="Q530" s="2">
        <v>50</v>
      </c>
      <c r="R530" s="2" t="b">
        <v>1</v>
      </c>
      <c r="S530" s="2">
        <v>0.75789473684210529</v>
      </c>
      <c r="V530" s="2" t="s">
        <v>510</v>
      </c>
      <c r="W530" s="2" t="s">
        <v>2142</v>
      </c>
      <c r="X530" s="2" t="s">
        <v>2143</v>
      </c>
      <c r="Y530" s="2" t="b">
        <v>1</v>
      </c>
      <c r="Z530" s="2" t="s">
        <v>67</v>
      </c>
      <c r="AA530" s="2">
        <v>0.4</v>
      </c>
      <c r="AB530" s="2" t="s">
        <v>49</v>
      </c>
    </row>
    <row r="531" spans="1:28" ht="15.75" hidden="1" customHeight="1" x14ac:dyDescent="0.3">
      <c r="A531" s="2" t="s">
        <v>360</v>
      </c>
      <c r="B531" s="2" t="s">
        <v>116</v>
      </c>
      <c r="C531" s="2" t="s">
        <v>939</v>
      </c>
      <c r="D531" s="2" t="s">
        <v>116</v>
      </c>
      <c r="E531" s="2" t="s">
        <v>39</v>
      </c>
      <c r="F531" s="2" t="s">
        <v>496</v>
      </c>
      <c r="G531" s="2" t="s">
        <v>42</v>
      </c>
      <c r="H531" s="2" t="s">
        <v>42</v>
      </c>
      <c r="I531" s="2" t="s">
        <v>47</v>
      </c>
      <c r="J531" s="2" t="s">
        <v>44</v>
      </c>
      <c r="K531" s="2" t="s">
        <v>2001</v>
      </c>
      <c r="L531" s="2" t="s">
        <v>1965</v>
      </c>
      <c r="M531" s="2" t="s">
        <v>1600</v>
      </c>
      <c r="N531" s="2" t="s">
        <v>2002</v>
      </c>
      <c r="O531" s="2" t="s">
        <v>1648</v>
      </c>
      <c r="P531" s="2" t="s">
        <v>1603</v>
      </c>
      <c r="Q531" s="2">
        <v>51</v>
      </c>
      <c r="R531" s="2" t="b">
        <v>1</v>
      </c>
      <c r="S531" s="2">
        <v>0.72340425531914898</v>
      </c>
      <c r="V531" s="2" t="s">
        <v>510</v>
      </c>
      <c r="W531" s="2" t="s">
        <v>2144</v>
      </c>
      <c r="X531" s="2" t="s">
        <v>2145</v>
      </c>
      <c r="Y531" s="2" t="b">
        <v>1</v>
      </c>
      <c r="Z531" s="2" t="s">
        <v>67</v>
      </c>
      <c r="AA531" s="2">
        <v>0.4</v>
      </c>
      <c r="AB531" s="2" t="s">
        <v>49</v>
      </c>
    </row>
    <row r="532" spans="1:28" ht="15.75" hidden="1" customHeight="1" x14ac:dyDescent="0.3">
      <c r="A532" s="2" t="s">
        <v>360</v>
      </c>
      <c r="B532" s="2" t="s">
        <v>116</v>
      </c>
      <c r="C532" s="2" t="s">
        <v>939</v>
      </c>
      <c r="D532" s="2" t="s">
        <v>116</v>
      </c>
      <c r="E532" s="2" t="s">
        <v>39</v>
      </c>
      <c r="F532" s="2" t="s">
        <v>496</v>
      </c>
      <c r="G532" s="2" t="s">
        <v>42</v>
      </c>
      <c r="H532" s="2" t="s">
        <v>42</v>
      </c>
      <c r="I532" s="2" t="s">
        <v>47</v>
      </c>
      <c r="J532" s="2" t="s">
        <v>44</v>
      </c>
      <c r="K532" s="2" t="s">
        <v>2005</v>
      </c>
      <c r="L532" s="2" t="s">
        <v>1965</v>
      </c>
      <c r="M532" s="2" t="s">
        <v>1600</v>
      </c>
      <c r="N532" s="2" t="s">
        <v>2006</v>
      </c>
      <c r="O532" s="2" t="s">
        <v>1653</v>
      </c>
      <c r="P532" s="2" t="s">
        <v>1603</v>
      </c>
      <c r="Q532" s="2">
        <v>52</v>
      </c>
      <c r="R532" s="2" t="b">
        <v>1</v>
      </c>
      <c r="S532" s="2">
        <v>0.77272727272727271</v>
      </c>
      <c r="V532" s="2" t="s">
        <v>510</v>
      </c>
      <c r="W532" s="2" t="s">
        <v>2146</v>
      </c>
      <c r="X532" s="2" t="s">
        <v>2147</v>
      </c>
      <c r="Y532" s="2" t="b">
        <v>1</v>
      </c>
      <c r="Z532" s="2" t="s">
        <v>67</v>
      </c>
      <c r="AA532" s="2">
        <v>0.4</v>
      </c>
      <c r="AB532" s="2" t="s">
        <v>49</v>
      </c>
    </row>
    <row r="533" spans="1:28" ht="15.75" hidden="1" customHeight="1" x14ac:dyDescent="0.3">
      <c r="A533" s="2" t="s">
        <v>360</v>
      </c>
      <c r="B533" s="2" t="s">
        <v>116</v>
      </c>
      <c r="C533" s="2" t="s">
        <v>939</v>
      </c>
      <c r="D533" s="2" t="s">
        <v>116</v>
      </c>
      <c r="E533" s="2" t="s">
        <v>39</v>
      </c>
      <c r="F533" s="2" t="s">
        <v>496</v>
      </c>
      <c r="G533" s="2" t="s">
        <v>42</v>
      </c>
      <c r="H533" s="2" t="s">
        <v>42</v>
      </c>
      <c r="I533" s="2" t="s">
        <v>47</v>
      </c>
      <c r="J533" s="2" t="s">
        <v>44</v>
      </c>
      <c r="K533" s="2" t="s">
        <v>2009</v>
      </c>
      <c r="L533" s="2" t="s">
        <v>1965</v>
      </c>
      <c r="M533" s="2" t="s">
        <v>1600</v>
      </c>
      <c r="N533" s="2" t="s">
        <v>2010</v>
      </c>
      <c r="O533" s="2" t="s">
        <v>1658</v>
      </c>
      <c r="P533" s="2" t="s">
        <v>1603</v>
      </c>
      <c r="Q533" s="2">
        <v>53</v>
      </c>
      <c r="R533" s="2" t="b">
        <v>1</v>
      </c>
      <c r="S533" s="2">
        <v>0.6470588235294118</v>
      </c>
      <c r="V533" s="2" t="s">
        <v>510</v>
      </c>
      <c r="W533" s="2" t="s">
        <v>2148</v>
      </c>
      <c r="X533" s="2" t="s">
        <v>2149</v>
      </c>
      <c r="Y533" s="2" t="b">
        <v>1</v>
      </c>
      <c r="Z533" s="2" t="s">
        <v>67</v>
      </c>
      <c r="AA533" s="2">
        <v>0.4</v>
      </c>
      <c r="AB533" s="2" t="s">
        <v>49</v>
      </c>
    </row>
    <row r="534" spans="1:28" ht="15.75" hidden="1" customHeight="1" x14ac:dyDescent="0.3">
      <c r="A534" s="2" t="s">
        <v>360</v>
      </c>
      <c r="B534" s="2" t="s">
        <v>116</v>
      </c>
      <c r="C534" s="2" t="s">
        <v>939</v>
      </c>
      <c r="D534" s="2" t="s">
        <v>116</v>
      </c>
      <c r="E534" s="2" t="s">
        <v>39</v>
      </c>
      <c r="F534" s="2" t="s">
        <v>496</v>
      </c>
      <c r="G534" s="2" t="s">
        <v>42</v>
      </c>
      <c r="H534" s="2" t="s">
        <v>42</v>
      </c>
      <c r="I534" s="2" t="s">
        <v>47</v>
      </c>
      <c r="J534" s="2" t="s">
        <v>44</v>
      </c>
      <c r="K534" s="2" t="s">
        <v>2013</v>
      </c>
      <c r="L534" s="2" t="s">
        <v>1965</v>
      </c>
      <c r="M534" s="2" t="s">
        <v>1600</v>
      </c>
      <c r="N534" s="2" t="s">
        <v>2014</v>
      </c>
      <c r="O534" s="2" t="s">
        <v>1663</v>
      </c>
      <c r="P534" s="2" t="s">
        <v>1603</v>
      </c>
      <c r="Q534" s="2">
        <v>54</v>
      </c>
      <c r="R534" s="2" t="b">
        <v>1</v>
      </c>
      <c r="S534" s="2">
        <v>0.7872340425531914</v>
      </c>
      <c r="V534" s="2" t="s">
        <v>510</v>
      </c>
      <c r="W534" s="2" t="s">
        <v>2150</v>
      </c>
      <c r="X534" s="2" t="s">
        <v>2151</v>
      </c>
      <c r="Y534" s="2" t="b">
        <v>1</v>
      </c>
      <c r="Z534" s="2" t="s">
        <v>67</v>
      </c>
      <c r="AA534" s="2">
        <v>0.4</v>
      </c>
      <c r="AB534" s="2" t="s">
        <v>49</v>
      </c>
    </row>
    <row r="535" spans="1:28" ht="15.75" hidden="1" customHeight="1" x14ac:dyDescent="0.3">
      <c r="A535" s="2" t="s">
        <v>360</v>
      </c>
      <c r="B535" s="2" t="s">
        <v>116</v>
      </c>
      <c r="C535" s="2" t="s">
        <v>939</v>
      </c>
      <c r="D535" s="2" t="s">
        <v>116</v>
      </c>
      <c r="E535" s="2" t="s">
        <v>39</v>
      </c>
      <c r="F535" s="2" t="s">
        <v>496</v>
      </c>
      <c r="G535" s="2" t="s">
        <v>42</v>
      </c>
      <c r="H535" s="2" t="s">
        <v>42</v>
      </c>
      <c r="I535" s="2" t="s">
        <v>47</v>
      </c>
      <c r="J535" s="2" t="s">
        <v>44</v>
      </c>
      <c r="K535" s="2" t="s">
        <v>2017</v>
      </c>
      <c r="L535" s="2" t="s">
        <v>1965</v>
      </c>
      <c r="M535" s="2" t="s">
        <v>1600</v>
      </c>
      <c r="N535" s="2" t="s">
        <v>2018</v>
      </c>
      <c r="O535" s="2" t="s">
        <v>1668</v>
      </c>
      <c r="P535" s="2" t="s">
        <v>1603</v>
      </c>
      <c r="Q535" s="2">
        <v>55</v>
      </c>
      <c r="R535" s="2" t="b">
        <v>1</v>
      </c>
      <c r="S535" s="2">
        <v>0.64102564102564108</v>
      </c>
      <c r="V535" s="2" t="s">
        <v>510</v>
      </c>
      <c r="W535" s="2" t="s">
        <v>2152</v>
      </c>
      <c r="X535" s="2" t="s">
        <v>2153</v>
      </c>
      <c r="Y535" s="2" t="b">
        <v>1</v>
      </c>
      <c r="Z535" s="2" t="s">
        <v>67</v>
      </c>
      <c r="AA535" s="2">
        <v>0.4</v>
      </c>
      <c r="AB535" s="2" t="s">
        <v>49</v>
      </c>
    </row>
    <row r="536" spans="1:28" ht="15.75" hidden="1" customHeight="1" x14ac:dyDescent="0.3">
      <c r="A536" s="2" t="s">
        <v>360</v>
      </c>
      <c r="B536" s="2" t="s">
        <v>116</v>
      </c>
      <c r="C536" s="2" t="s">
        <v>939</v>
      </c>
      <c r="D536" s="2" t="s">
        <v>116</v>
      </c>
      <c r="E536" s="2" t="s">
        <v>39</v>
      </c>
      <c r="F536" s="2" t="s">
        <v>496</v>
      </c>
      <c r="G536" s="2" t="s">
        <v>42</v>
      </c>
      <c r="H536" s="2" t="s">
        <v>42</v>
      </c>
      <c r="I536" s="2" t="s">
        <v>47</v>
      </c>
      <c r="J536" s="2" t="s">
        <v>44</v>
      </c>
      <c r="K536" s="2" t="s">
        <v>2021</v>
      </c>
      <c r="L536" s="2" t="s">
        <v>1965</v>
      </c>
      <c r="M536" s="2" t="s">
        <v>1600</v>
      </c>
      <c r="N536" s="2" t="s">
        <v>2022</v>
      </c>
      <c r="O536" s="2" t="s">
        <v>1673</v>
      </c>
      <c r="P536" s="2" t="s">
        <v>1603</v>
      </c>
      <c r="Q536" s="2">
        <v>56</v>
      </c>
      <c r="R536" s="2" t="b">
        <v>1</v>
      </c>
      <c r="S536" s="2">
        <v>0.65909090909090906</v>
      </c>
      <c r="V536" s="2" t="s">
        <v>510</v>
      </c>
      <c r="W536" s="2" t="s">
        <v>2154</v>
      </c>
      <c r="X536" s="2" t="s">
        <v>2155</v>
      </c>
      <c r="Y536" s="2" t="b">
        <v>1</v>
      </c>
      <c r="Z536" s="2" t="s">
        <v>67</v>
      </c>
      <c r="AA536" s="2">
        <v>0</v>
      </c>
      <c r="AB536" s="2" t="s">
        <v>49</v>
      </c>
    </row>
    <row r="537" spans="1:28" ht="15.75" hidden="1" customHeight="1" x14ac:dyDescent="0.3">
      <c r="A537" s="2" t="s">
        <v>360</v>
      </c>
      <c r="B537" s="2" t="s">
        <v>116</v>
      </c>
      <c r="C537" s="2" t="s">
        <v>939</v>
      </c>
      <c r="D537" s="2" t="s">
        <v>116</v>
      </c>
      <c r="E537" s="2" t="s">
        <v>39</v>
      </c>
      <c r="F537" s="2" t="s">
        <v>496</v>
      </c>
      <c r="G537" s="2" t="s">
        <v>42</v>
      </c>
      <c r="H537" s="2" t="s">
        <v>42</v>
      </c>
      <c r="I537" s="2" t="s">
        <v>47</v>
      </c>
      <c r="J537" s="2" t="s">
        <v>44</v>
      </c>
      <c r="K537" s="2" t="s">
        <v>2025</v>
      </c>
      <c r="L537" s="2" t="s">
        <v>1965</v>
      </c>
      <c r="M537" s="2" t="s">
        <v>1600</v>
      </c>
      <c r="N537" s="2" t="s">
        <v>2026</v>
      </c>
      <c r="O537" s="2" t="s">
        <v>1678</v>
      </c>
      <c r="P537" s="2" t="s">
        <v>1603</v>
      </c>
      <c r="Q537" s="2">
        <v>57</v>
      </c>
      <c r="R537" s="2" t="b">
        <v>1</v>
      </c>
      <c r="S537" s="2">
        <v>0.68235294117647061</v>
      </c>
      <c r="V537" s="2" t="s">
        <v>510</v>
      </c>
      <c r="W537" s="2" t="s">
        <v>2156</v>
      </c>
      <c r="X537" s="2" t="s">
        <v>2157</v>
      </c>
      <c r="Y537" s="2" t="b">
        <v>1</v>
      </c>
      <c r="Z537" s="2" t="s">
        <v>67</v>
      </c>
      <c r="AA537" s="2">
        <v>0</v>
      </c>
      <c r="AB537" s="2" t="s">
        <v>49</v>
      </c>
    </row>
    <row r="538" spans="1:28" ht="15.75" hidden="1" customHeight="1" x14ac:dyDescent="0.3">
      <c r="A538" s="2" t="s">
        <v>360</v>
      </c>
      <c r="B538" s="2" t="s">
        <v>116</v>
      </c>
      <c r="C538" s="2" t="s">
        <v>939</v>
      </c>
      <c r="D538" s="2" t="s">
        <v>116</v>
      </c>
      <c r="E538" s="2" t="s">
        <v>39</v>
      </c>
      <c r="F538" s="2" t="s">
        <v>496</v>
      </c>
      <c r="G538" s="2" t="s">
        <v>42</v>
      </c>
      <c r="H538" s="2" t="s">
        <v>42</v>
      </c>
      <c r="I538" s="2" t="s">
        <v>47</v>
      </c>
      <c r="J538" s="2" t="s">
        <v>44</v>
      </c>
      <c r="K538" s="2" t="s">
        <v>2029</v>
      </c>
      <c r="L538" s="2" t="s">
        <v>1965</v>
      </c>
      <c r="M538" s="2" t="s">
        <v>1600</v>
      </c>
      <c r="N538" s="2" t="s">
        <v>2030</v>
      </c>
      <c r="O538" s="2" t="s">
        <v>1683</v>
      </c>
      <c r="P538" s="2" t="s">
        <v>1603</v>
      </c>
      <c r="Q538" s="2">
        <v>58</v>
      </c>
      <c r="R538" s="2" t="b">
        <v>1</v>
      </c>
      <c r="S538" s="2">
        <v>0.77500000000000002</v>
      </c>
      <c r="V538" s="2" t="s">
        <v>510</v>
      </c>
      <c r="W538" s="2" t="s">
        <v>2158</v>
      </c>
      <c r="X538" s="2" t="s">
        <v>2159</v>
      </c>
      <c r="Y538" s="2" t="b">
        <v>1</v>
      </c>
      <c r="Z538" s="2" t="s">
        <v>67</v>
      </c>
      <c r="AA538" s="2">
        <v>0</v>
      </c>
      <c r="AB538" s="2" t="s">
        <v>49</v>
      </c>
    </row>
    <row r="539" spans="1:28" ht="15.75" hidden="1" customHeight="1" x14ac:dyDescent="0.3">
      <c r="A539" s="2" t="s">
        <v>360</v>
      </c>
      <c r="B539" s="2" t="s">
        <v>116</v>
      </c>
      <c r="C539" s="2" t="s">
        <v>939</v>
      </c>
      <c r="D539" s="2" t="s">
        <v>116</v>
      </c>
      <c r="E539" s="2" t="s">
        <v>39</v>
      </c>
      <c r="F539" s="2" t="s">
        <v>496</v>
      </c>
      <c r="G539" s="2" t="s">
        <v>42</v>
      </c>
      <c r="H539" s="2" t="s">
        <v>42</v>
      </c>
      <c r="I539" s="2" t="s">
        <v>47</v>
      </c>
      <c r="J539" s="2" t="s">
        <v>44</v>
      </c>
      <c r="K539" s="2" t="s">
        <v>2033</v>
      </c>
      <c r="L539" s="2" t="s">
        <v>1965</v>
      </c>
      <c r="M539" s="2" t="s">
        <v>1600</v>
      </c>
      <c r="N539" s="2" t="s">
        <v>2034</v>
      </c>
      <c r="O539" s="2" t="s">
        <v>1688</v>
      </c>
      <c r="P539" s="2" t="s">
        <v>1603</v>
      </c>
      <c r="Q539" s="2">
        <v>59</v>
      </c>
      <c r="R539" s="2" t="b">
        <v>1</v>
      </c>
      <c r="S539" s="2">
        <v>0.78160919540229878</v>
      </c>
      <c r="V539" s="2" t="s">
        <v>510</v>
      </c>
      <c r="W539" s="2" t="s">
        <v>2160</v>
      </c>
      <c r="X539" s="2" t="s">
        <v>2161</v>
      </c>
      <c r="Y539" s="2" t="b">
        <v>1</v>
      </c>
      <c r="Z539" s="2" t="s">
        <v>67</v>
      </c>
      <c r="AA539" s="2">
        <v>0</v>
      </c>
      <c r="AB539" s="2" t="s">
        <v>49</v>
      </c>
    </row>
    <row r="540" spans="1:28" ht="15.75" hidden="1" customHeight="1" x14ac:dyDescent="0.3">
      <c r="A540" s="2" t="s">
        <v>360</v>
      </c>
      <c r="B540" s="2" t="s">
        <v>116</v>
      </c>
      <c r="C540" s="2" t="s">
        <v>939</v>
      </c>
      <c r="D540" s="2" t="s">
        <v>116</v>
      </c>
      <c r="E540" s="2" t="s">
        <v>39</v>
      </c>
      <c r="F540" s="2" t="s">
        <v>496</v>
      </c>
      <c r="G540" s="2" t="s">
        <v>42</v>
      </c>
      <c r="H540" s="2" t="s">
        <v>42</v>
      </c>
      <c r="I540" s="2" t="s">
        <v>47</v>
      </c>
      <c r="J540" s="2" t="s">
        <v>44</v>
      </c>
      <c r="K540" s="2" t="s">
        <v>2037</v>
      </c>
      <c r="L540" s="2" t="s">
        <v>1965</v>
      </c>
      <c r="M540" s="2" t="s">
        <v>1600</v>
      </c>
      <c r="N540" s="2" t="s">
        <v>2038</v>
      </c>
      <c r="O540" s="2" t="s">
        <v>1693</v>
      </c>
      <c r="P540" s="2" t="s">
        <v>1603</v>
      </c>
      <c r="Q540" s="2">
        <v>60</v>
      </c>
      <c r="R540" s="2" t="b">
        <v>1</v>
      </c>
      <c r="S540" s="2">
        <v>0.77272727272727271</v>
      </c>
      <c r="V540" s="2" t="s">
        <v>510</v>
      </c>
      <c r="W540" s="2" t="s">
        <v>2162</v>
      </c>
      <c r="X540" s="2" t="s">
        <v>2163</v>
      </c>
      <c r="Y540" s="2" t="b">
        <v>1</v>
      </c>
      <c r="Z540" s="2" t="s">
        <v>67</v>
      </c>
      <c r="AA540" s="2">
        <v>0</v>
      </c>
      <c r="AB540" s="2" t="s">
        <v>49</v>
      </c>
    </row>
    <row r="541" spans="1:28" ht="15.75" hidden="1" customHeight="1" x14ac:dyDescent="0.3">
      <c r="A541" s="2" t="s">
        <v>360</v>
      </c>
      <c r="B541" s="2" t="s">
        <v>116</v>
      </c>
      <c r="C541" s="2" t="s">
        <v>939</v>
      </c>
      <c r="D541" s="2" t="s">
        <v>116</v>
      </c>
      <c r="E541" s="2" t="s">
        <v>39</v>
      </c>
      <c r="F541" s="2" t="s">
        <v>496</v>
      </c>
      <c r="G541" s="2" t="s">
        <v>42</v>
      </c>
      <c r="H541" s="2" t="s">
        <v>42</v>
      </c>
      <c r="I541" s="2" t="s">
        <v>47</v>
      </c>
      <c r="J541" s="2" t="s">
        <v>44</v>
      </c>
      <c r="K541" s="2" t="s">
        <v>2041</v>
      </c>
      <c r="L541" s="2" t="s">
        <v>1965</v>
      </c>
      <c r="M541" s="2" t="s">
        <v>1600</v>
      </c>
      <c r="N541" s="2" t="s">
        <v>2042</v>
      </c>
      <c r="O541" s="2" t="s">
        <v>1698</v>
      </c>
      <c r="P541" s="2" t="s">
        <v>1603</v>
      </c>
      <c r="Q541" s="2">
        <v>61</v>
      </c>
      <c r="R541" s="2" t="b">
        <v>1</v>
      </c>
      <c r="S541" s="2">
        <v>0.68181818181818188</v>
      </c>
      <c r="V541" s="2" t="s">
        <v>510</v>
      </c>
      <c r="W541" s="2" t="s">
        <v>2164</v>
      </c>
      <c r="X541" s="2" t="s">
        <v>2165</v>
      </c>
      <c r="Y541" s="2" t="b">
        <v>1</v>
      </c>
      <c r="Z541" s="2" t="s">
        <v>67</v>
      </c>
      <c r="AA541" s="2">
        <v>0</v>
      </c>
      <c r="AB541" s="2" t="s">
        <v>49</v>
      </c>
    </row>
    <row r="542" spans="1:28" ht="15.75" hidden="1" customHeight="1" x14ac:dyDescent="0.3">
      <c r="A542" s="2" t="s">
        <v>360</v>
      </c>
      <c r="B542" s="2" t="s">
        <v>116</v>
      </c>
      <c r="C542" s="2" t="s">
        <v>939</v>
      </c>
      <c r="D542" s="2" t="s">
        <v>116</v>
      </c>
      <c r="E542" s="2" t="s">
        <v>39</v>
      </c>
      <c r="F542" s="2" t="s">
        <v>496</v>
      </c>
      <c r="G542" s="2" t="s">
        <v>42</v>
      </c>
      <c r="H542" s="2" t="s">
        <v>42</v>
      </c>
      <c r="I542" s="2" t="s">
        <v>239</v>
      </c>
      <c r="J542" s="2" t="s">
        <v>71</v>
      </c>
      <c r="K542" s="2" t="s">
        <v>2045</v>
      </c>
      <c r="L542" s="2" t="s">
        <v>2046</v>
      </c>
      <c r="M542" s="2" t="s">
        <v>1703</v>
      </c>
      <c r="N542" s="2" t="s">
        <v>2047</v>
      </c>
      <c r="O542" s="2" t="s">
        <v>1705</v>
      </c>
      <c r="P542" s="2" t="s">
        <v>1706</v>
      </c>
      <c r="Q542" s="2">
        <v>42</v>
      </c>
      <c r="R542" s="2" t="b">
        <v>0</v>
      </c>
      <c r="S542" s="2">
        <v>0.68181818181818188</v>
      </c>
      <c r="V542" s="2" t="s">
        <v>510</v>
      </c>
      <c r="W542" s="2" t="s">
        <v>2166</v>
      </c>
      <c r="X542" s="2" t="s">
        <v>2167</v>
      </c>
      <c r="Y542" s="2" t="b">
        <v>1</v>
      </c>
      <c r="Z542" s="2" t="s">
        <v>67</v>
      </c>
      <c r="AA542" s="2">
        <v>0</v>
      </c>
      <c r="AB542" s="2" t="s">
        <v>49</v>
      </c>
    </row>
    <row r="543" spans="1:28" ht="15.75" hidden="1" customHeight="1" x14ac:dyDescent="0.3">
      <c r="A543" s="2" t="s">
        <v>360</v>
      </c>
      <c r="B543" s="2" t="s">
        <v>116</v>
      </c>
      <c r="C543" s="2" t="s">
        <v>939</v>
      </c>
      <c r="D543" s="2" t="s">
        <v>116</v>
      </c>
      <c r="E543" s="2" t="s">
        <v>39</v>
      </c>
      <c r="F543" s="2" t="s">
        <v>496</v>
      </c>
      <c r="G543" s="2" t="s">
        <v>42</v>
      </c>
      <c r="H543" s="2" t="s">
        <v>42</v>
      </c>
      <c r="I543" s="2" t="s">
        <v>239</v>
      </c>
      <c r="J543" s="2" t="s">
        <v>71</v>
      </c>
      <c r="K543" s="2" t="s">
        <v>2050</v>
      </c>
      <c r="L543" s="2" t="s">
        <v>2046</v>
      </c>
      <c r="M543" s="2" t="s">
        <v>1703</v>
      </c>
      <c r="N543" s="2" t="s">
        <v>2051</v>
      </c>
      <c r="O543" s="2" t="s">
        <v>1711</v>
      </c>
      <c r="P543" s="2" t="s">
        <v>1706</v>
      </c>
      <c r="Q543" s="2">
        <v>43</v>
      </c>
      <c r="R543" s="2" t="b">
        <v>0</v>
      </c>
      <c r="S543" s="2">
        <v>0.80434782608695654</v>
      </c>
      <c r="V543" s="2" t="s">
        <v>510</v>
      </c>
      <c r="W543" s="2" t="s">
        <v>2168</v>
      </c>
      <c r="X543" s="2" t="s">
        <v>2169</v>
      </c>
      <c r="Y543" s="2" t="b">
        <v>1</v>
      </c>
      <c r="Z543" s="2" t="s">
        <v>67</v>
      </c>
      <c r="AA543" s="2">
        <v>0</v>
      </c>
      <c r="AB543" s="2" t="s">
        <v>49</v>
      </c>
    </row>
    <row r="544" spans="1:28" ht="15.75" hidden="1" customHeight="1" x14ac:dyDescent="0.3">
      <c r="A544" s="2" t="s">
        <v>360</v>
      </c>
      <c r="B544" s="2" t="s">
        <v>116</v>
      </c>
      <c r="C544" s="2" t="s">
        <v>939</v>
      </c>
      <c r="D544" s="2" t="s">
        <v>116</v>
      </c>
      <c r="E544" s="2" t="s">
        <v>39</v>
      </c>
      <c r="F544" s="2" t="s">
        <v>496</v>
      </c>
      <c r="G544" s="2" t="s">
        <v>42</v>
      </c>
      <c r="H544" s="2" t="s">
        <v>42</v>
      </c>
      <c r="I544" s="2" t="s">
        <v>239</v>
      </c>
      <c r="J544" s="2" t="s">
        <v>71</v>
      </c>
      <c r="K544" s="2" t="s">
        <v>2054</v>
      </c>
      <c r="L544" s="2" t="s">
        <v>2046</v>
      </c>
      <c r="M544" s="2" t="s">
        <v>1703</v>
      </c>
      <c r="N544" s="2" t="s">
        <v>2055</v>
      </c>
      <c r="O544" s="2" t="s">
        <v>1716</v>
      </c>
      <c r="P544" s="2" t="s">
        <v>1706</v>
      </c>
      <c r="Q544" s="2">
        <v>44</v>
      </c>
      <c r="R544" s="2" t="b">
        <v>0</v>
      </c>
      <c r="S544" s="2">
        <v>0.65853658536585369</v>
      </c>
      <c r="V544" s="2" t="s">
        <v>510</v>
      </c>
      <c r="W544" s="2" t="s">
        <v>2170</v>
      </c>
      <c r="X544" s="2" t="s">
        <v>2171</v>
      </c>
      <c r="Y544" s="2" t="b">
        <v>1</v>
      </c>
      <c r="Z544" s="2" t="s">
        <v>67</v>
      </c>
      <c r="AA544" s="2">
        <v>0</v>
      </c>
      <c r="AB544" s="2" t="s">
        <v>49</v>
      </c>
    </row>
    <row r="545" spans="1:28" ht="15.75" hidden="1" customHeight="1" x14ac:dyDescent="0.3">
      <c r="A545" s="2" t="s">
        <v>360</v>
      </c>
      <c r="B545" s="2" t="s">
        <v>116</v>
      </c>
      <c r="C545" s="2" t="s">
        <v>939</v>
      </c>
      <c r="D545" s="2" t="s">
        <v>116</v>
      </c>
      <c r="E545" s="2" t="s">
        <v>39</v>
      </c>
      <c r="F545" s="2" t="s">
        <v>496</v>
      </c>
      <c r="G545" s="2" t="s">
        <v>42</v>
      </c>
      <c r="H545" s="2" t="s">
        <v>42</v>
      </c>
      <c r="I545" s="2" t="s">
        <v>239</v>
      </c>
      <c r="J545" s="2" t="s">
        <v>71</v>
      </c>
      <c r="K545" s="2" t="s">
        <v>2058</v>
      </c>
      <c r="L545" s="2" t="s">
        <v>2046</v>
      </c>
      <c r="M545" s="2" t="s">
        <v>1703</v>
      </c>
      <c r="N545" s="2" t="s">
        <v>2059</v>
      </c>
      <c r="O545" s="2" t="s">
        <v>1721</v>
      </c>
      <c r="P545" s="2" t="s">
        <v>1706</v>
      </c>
      <c r="Q545" s="2">
        <v>45</v>
      </c>
      <c r="R545" s="2" t="b">
        <v>0</v>
      </c>
      <c r="S545" s="2">
        <v>0.72289156626506035</v>
      </c>
      <c r="V545" s="2" t="s">
        <v>510</v>
      </c>
      <c r="W545" s="2" t="s">
        <v>2172</v>
      </c>
      <c r="X545" s="2" t="s">
        <v>2173</v>
      </c>
      <c r="Y545" s="2" t="b">
        <v>1</v>
      </c>
      <c r="Z545" s="2" t="s">
        <v>67</v>
      </c>
      <c r="AA545" s="2">
        <v>0</v>
      </c>
      <c r="AB545" s="2" t="s">
        <v>49</v>
      </c>
    </row>
    <row r="546" spans="1:28" ht="15.75" hidden="1" customHeight="1" x14ac:dyDescent="0.3">
      <c r="A546" s="2" t="s">
        <v>360</v>
      </c>
      <c r="B546" s="2" t="s">
        <v>116</v>
      </c>
      <c r="C546" s="2" t="s">
        <v>939</v>
      </c>
      <c r="D546" s="2" t="s">
        <v>116</v>
      </c>
      <c r="E546" s="2" t="s">
        <v>39</v>
      </c>
      <c r="F546" s="2" t="s">
        <v>496</v>
      </c>
      <c r="G546" s="2" t="s">
        <v>42</v>
      </c>
      <c r="H546" s="2" t="s">
        <v>42</v>
      </c>
      <c r="I546" s="2" t="s">
        <v>239</v>
      </c>
      <c r="J546" s="2" t="s">
        <v>71</v>
      </c>
      <c r="K546" s="2" t="s">
        <v>2062</v>
      </c>
      <c r="L546" s="2" t="s">
        <v>2046</v>
      </c>
      <c r="M546" s="2" t="s">
        <v>1703</v>
      </c>
      <c r="N546" s="2" t="s">
        <v>2063</v>
      </c>
      <c r="O546" s="2" t="s">
        <v>1726</v>
      </c>
      <c r="P546" s="2" t="s">
        <v>1706</v>
      </c>
      <c r="Q546" s="2">
        <v>46</v>
      </c>
      <c r="R546" s="2" t="b">
        <v>0</v>
      </c>
      <c r="S546" s="2">
        <v>0.6966292134831461</v>
      </c>
      <c r="V546" s="2" t="s">
        <v>510</v>
      </c>
      <c r="W546" s="2" t="s">
        <v>2174</v>
      </c>
      <c r="X546" s="2" t="s">
        <v>2175</v>
      </c>
      <c r="Y546" s="2" t="b">
        <v>1</v>
      </c>
      <c r="Z546" s="2" t="s">
        <v>67</v>
      </c>
      <c r="AA546" s="2">
        <v>0</v>
      </c>
      <c r="AB546" s="2" t="s">
        <v>49</v>
      </c>
    </row>
    <row r="547" spans="1:28" ht="15.75" hidden="1" customHeight="1" x14ac:dyDescent="0.3">
      <c r="A547" s="2" t="s">
        <v>360</v>
      </c>
      <c r="B547" s="2" t="s">
        <v>116</v>
      </c>
      <c r="C547" s="2" t="s">
        <v>939</v>
      </c>
      <c r="D547" s="2" t="s">
        <v>116</v>
      </c>
      <c r="E547" s="2" t="s">
        <v>39</v>
      </c>
      <c r="F547" s="2" t="s">
        <v>496</v>
      </c>
      <c r="G547" s="2" t="s">
        <v>42</v>
      </c>
      <c r="H547" s="2" t="s">
        <v>42</v>
      </c>
      <c r="I547" s="2" t="s">
        <v>239</v>
      </c>
      <c r="J547" s="2" t="s">
        <v>71</v>
      </c>
      <c r="K547" s="2" t="s">
        <v>2066</v>
      </c>
      <c r="L547" s="2" t="s">
        <v>2046</v>
      </c>
      <c r="M547" s="2" t="s">
        <v>1703</v>
      </c>
      <c r="N547" s="2" t="s">
        <v>2067</v>
      </c>
      <c r="O547" s="2" t="s">
        <v>1731</v>
      </c>
      <c r="P547" s="2" t="s">
        <v>1706</v>
      </c>
      <c r="Q547" s="2">
        <v>47</v>
      </c>
      <c r="R547" s="2" t="b">
        <v>0</v>
      </c>
      <c r="S547" s="2">
        <v>0.82000000000000006</v>
      </c>
      <c r="V547" s="2" t="s">
        <v>510</v>
      </c>
      <c r="W547" s="2" t="s">
        <v>2176</v>
      </c>
      <c r="X547" s="2" t="s">
        <v>2177</v>
      </c>
      <c r="Y547" s="2" t="b">
        <v>1</v>
      </c>
      <c r="Z547" s="2" t="s">
        <v>67</v>
      </c>
      <c r="AA547" s="2">
        <v>0</v>
      </c>
      <c r="AB547" s="2" t="s">
        <v>49</v>
      </c>
    </row>
    <row r="548" spans="1:28" ht="15.75" hidden="1" customHeight="1" x14ac:dyDescent="0.3">
      <c r="A548" s="2" t="s">
        <v>360</v>
      </c>
      <c r="B548" s="2" t="s">
        <v>116</v>
      </c>
      <c r="C548" s="2" t="s">
        <v>939</v>
      </c>
      <c r="D548" s="2" t="s">
        <v>116</v>
      </c>
      <c r="E548" s="2" t="s">
        <v>39</v>
      </c>
      <c r="F548" s="2" t="s">
        <v>496</v>
      </c>
      <c r="G548" s="2" t="s">
        <v>42</v>
      </c>
      <c r="H548" s="2" t="s">
        <v>42</v>
      </c>
      <c r="I548" s="2" t="s">
        <v>239</v>
      </c>
      <c r="J548" s="2" t="s">
        <v>71</v>
      </c>
      <c r="K548" s="2" t="s">
        <v>2070</v>
      </c>
      <c r="L548" s="2" t="s">
        <v>2046</v>
      </c>
      <c r="M548" s="2" t="s">
        <v>1703</v>
      </c>
      <c r="N548" s="2" t="s">
        <v>2071</v>
      </c>
      <c r="O548" s="2" t="s">
        <v>1736</v>
      </c>
      <c r="P548" s="2" t="s">
        <v>1706</v>
      </c>
      <c r="Q548" s="2">
        <v>48</v>
      </c>
      <c r="R548" s="2" t="b">
        <v>0</v>
      </c>
      <c r="S548" s="2">
        <v>0.83870967741935476</v>
      </c>
      <c r="V548" s="2" t="s">
        <v>510</v>
      </c>
      <c r="W548" s="2" t="s">
        <v>2178</v>
      </c>
      <c r="X548" s="2" t="s">
        <v>2179</v>
      </c>
      <c r="Y548" s="2" t="b">
        <v>1</v>
      </c>
      <c r="Z548" s="2" t="s">
        <v>67</v>
      </c>
      <c r="AA548" s="2">
        <v>0</v>
      </c>
      <c r="AB548" s="2" t="s">
        <v>49</v>
      </c>
    </row>
    <row r="549" spans="1:28" ht="15.75" hidden="1" customHeight="1" x14ac:dyDescent="0.3">
      <c r="A549" s="2" t="s">
        <v>360</v>
      </c>
      <c r="B549" s="2" t="s">
        <v>116</v>
      </c>
      <c r="C549" s="2" t="s">
        <v>939</v>
      </c>
      <c r="D549" s="2" t="s">
        <v>116</v>
      </c>
      <c r="E549" s="2" t="s">
        <v>39</v>
      </c>
      <c r="F549" s="2" t="s">
        <v>496</v>
      </c>
      <c r="G549" s="2" t="s">
        <v>42</v>
      </c>
      <c r="H549" s="2" t="s">
        <v>42</v>
      </c>
      <c r="I549" s="2" t="s">
        <v>239</v>
      </c>
      <c r="J549" s="2" t="s">
        <v>71</v>
      </c>
      <c r="K549" s="2" t="s">
        <v>2074</v>
      </c>
      <c r="L549" s="2" t="s">
        <v>2046</v>
      </c>
      <c r="M549" s="2" t="s">
        <v>1703</v>
      </c>
      <c r="N549" s="2" t="s">
        <v>2075</v>
      </c>
      <c r="O549" s="2" t="s">
        <v>1741</v>
      </c>
      <c r="P549" s="2" t="s">
        <v>1706</v>
      </c>
      <c r="Q549" s="2">
        <v>49</v>
      </c>
      <c r="R549" s="2" t="b">
        <v>0</v>
      </c>
      <c r="S549" s="2">
        <v>0.73118279569892475</v>
      </c>
      <c r="V549" s="2" t="s">
        <v>510</v>
      </c>
      <c r="W549" s="2" t="s">
        <v>2180</v>
      </c>
      <c r="X549" s="2" t="s">
        <v>2181</v>
      </c>
      <c r="Y549" s="2" t="b">
        <v>1</v>
      </c>
      <c r="Z549" s="2" t="s">
        <v>67</v>
      </c>
      <c r="AA549" s="2">
        <v>0</v>
      </c>
      <c r="AB549" s="2" t="s">
        <v>49</v>
      </c>
    </row>
    <row r="550" spans="1:28" ht="15.75" hidden="1" customHeight="1" x14ac:dyDescent="0.3">
      <c r="A550" s="2" t="s">
        <v>360</v>
      </c>
      <c r="B550" s="2" t="s">
        <v>116</v>
      </c>
      <c r="C550" s="2" t="s">
        <v>939</v>
      </c>
      <c r="D550" s="2" t="s">
        <v>116</v>
      </c>
      <c r="E550" s="2" t="s">
        <v>39</v>
      </c>
      <c r="F550" s="2" t="s">
        <v>496</v>
      </c>
      <c r="G550" s="2" t="s">
        <v>42</v>
      </c>
      <c r="H550" s="2" t="s">
        <v>42</v>
      </c>
      <c r="I550" s="2" t="s">
        <v>239</v>
      </c>
      <c r="J550" s="2" t="s">
        <v>71</v>
      </c>
      <c r="K550" s="2" t="s">
        <v>2078</v>
      </c>
      <c r="L550" s="2" t="s">
        <v>2046</v>
      </c>
      <c r="M550" s="2" t="s">
        <v>1703</v>
      </c>
      <c r="N550" s="2" t="s">
        <v>2079</v>
      </c>
      <c r="O550" s="2" t="s">
        <v>1746</v>
      </c>
      <c r="P550" s="2" t="s">
        <v>1706</v>
      </c>
      <c r="Q550" s="2">
        <v>50</v>
      </c>
      <c r="R550" s="2" t="b">
        <v>0</v>
      </c>
      <c r="S550" s="2">
        <v>0.84782608695652184</v>
      </c>
      <c r="V550" s="2" t="s">
        <v>510</v>
      </c>
      <c r="W550" s="2" t="s">
        <v>2182</v>
      </c>
      <c r="X550" s="2" t="s">
        <v>2183</v>
      </c>
      <c r="Y550" s="2" t="b">
        <v>1</v>
      </c>
      <c r="Z550" s="2" t="s">
        <v>67</v>
      </c>
      <c r="AA550" s="2">
        <v>0</v>
      </c>
      <c r="AB550" s="2" t="s">
        <v>49</v>
      </c>
    </row>
    <row r="551" spans="1:28" ht="15.75" hidden="1" customHeight="1" x14ac:dyDescent="0.3">
      <c r="A551" s="2" t="s">
        <v>360</v>
      </c>
      <c r="B551" s="2" t="s">
        <v>116</v>
      </c>
      <c r="C551" s="2" t="s">
        <v>939</v>
      </c>
      <c r="D551" s="2" t="s">
        <v>116</v>
      </c>
      <c r="E551" s="2" t="s">
        <v>39</v>
      </c>
      <c r="F551" s="2" t="s">
        <v>496</v>
      </c>
      <c r="G551" s="2" t="s">
        <v>42</v>
      </c>
      <c r="H551" s="2" t="s">
        <v>42</v>
      </c>
      <c r="I551" s="2" t="s">
        <v>239</v>
      </c>
      <c r="J551" s="2" t="s">
        <v>71</v>
      </c>
      <c r="K551" s="2" t="s">
        <v>2082</v>
      </c>
      <c r="L551" s="2" t="s">
        <v>2046</v>
      </c>
      <c r="M551" s="2" t="s">
        <v>1703</v>
      </c>
      <c r="N551" s="2" t="s">
        <v>2083</v>
      </c>
      <c r="O551" s="2" t="s">
        <v>1751</v>
      </c>
      <c r="P551" s="2" t="s">
        <v>1706</v>
      </c>
      <c r="Q551" s="2">
        <v>51</v>
      </c>
      <c r="R551" s="2" t="b">
        <v>0</v>
      </c>
      <c r="S551" s="2">
        <v>0.7816091954022989</v>
      </c>
      <c r="V551" s="2" t="s">
        <v>510</v>
      </c>
      <c r="W551" s="2" t="s">
        <v>2184</v>
      </c>
      <c r="X551" s="2" t="s">
        <v>2185</v>
      </c>
      <c r="Y551" s="2" t="b">
        <v>1</v>
      </c>
      <c r="Z551" s="2" t="s">
        <v>67</v>
      </c>
      <c r="AA551" s="2">
        <v>0</v>
      </c>
      <c r="AB551" s="2" t="s">
        <v>49</v>
      </c>
    </row>
    <row r="552" spans="1:28" ht="15.75" hidden="1" customHeight="1" x14ac:dyDescent="0.3">
      <c r="A552" s="2" t="s">
        <v>360</v>
      </c>
      <c r="B552" s="2" t="s">
        <v>116</v>
      </c>
      <c r="C552" s="2" t="s">
        <v>939</v>
      </c>
      <c r="D552" s="2" t="s">
        <v>116</v>
      </c>
      <c r="E552" s="2" t="s">
        <v>39</v>
      </c>
      <c r="F552" s="2" t="s">
        <v>496</v>
      </c>
      <c r="G552" s="2" t="s">
        <v>42</v>
      </c>
      <c r="H552" s="2" t="s">
        <v>42</v>
      </c>
      <c r="I552" s="2" t="s">
        <v>239</v>
      </c>
      <c r="J552" s="2" t="s">
        <v>71</v>
      </c>
      <c r="K552" s="2" t="s">
        <v>2086</v>
      </c>
      <c r="L552" s="2" t="s">
        <v>2046</v>
      </c>
      <c r="M552" s="2" t="s">
        <v>1703</v>
      </c>
      <c r="N552" s="2" t="s">
        <v>2087</v>
      </c>
      <c r="O552" s="2" t="s">
        <v>1756</v>
      </c>
      <c r="P552" s="2" t="s">
        <v>1706</v>
      </c>
      <c r="Q552" s="2">
        <v>52</v>
      </c>
      <c r="R552" s="2" t="b">
        <v>0</v>
      </c>
      <c r="S552" s="2">
        <v>0.82352941176470584</v>
      </c>
      <c r="V552" s="2" t="s">
        <v>510</v>
      </c>
      <c r="W552" s="2" t="s">
        <v>2186</v>
      </c>
      <c r="X552" s="2" t="s">
        <v>2187</v>
      </c>
      <c r="Y552" s="2" t="b">
        <v>1</v>
      </c>
      <c r="Z552" s="2" t="s">
        <v>67</v>
      </c>
      <c r="AA552" s="2">
        <v>0</v>
      </c>
      <c r="AB552" s="2" t="s">
        <v>49</v>
      </c>
    </row>
    <row r="553" spans="1:28" ht="15.75" hidden="1" customHeight="1" x14ac:dyDescent="0.3">
      <c r="A553" s="2" t="s">
        <v>360</v>
      </c>
      <c r="B553" s="2" t="s">
        <v>116</v>
      </c>
      <c r="C553" s="2" t="s">
        <v>939</v>
      </c>
      <c r="D553" s="2" t="s">
        <v>116</v>
      </c>
      <c r="E553" s="2" t="s">
        <v>39</v>
      </c>
      <c r="F553" s="2" t="s">
        <v>496</v>
      </c>
      <c r="G553" s="2" t="s">
        <v>42</v>
      </c>
      <c r="H553" s="2" t="s">
        <v>42</v>
      </c>
      <c r="I553" s="2" t="s">
        <v>239</v>
      </c>
      <c r="J553" s="2" t="s">
        <v>71</v>
      </c>
      <c r="K553" s="2" t="s">
        <v>2090</v>
      </c>
      <c r="L553" s="2" t="s">
        <v>2046</v>
      </c>
      <c r="M553" s="2" t="s">
        <v>1703</v>
      </c>
      <c r="N553" s="2" t="s">
        <v>2091</v>
      </c>
      <c r="O553" s="2" t="s">
        <v>1761</v>
      </c>
      <c r="P553" s="2" t="s">
        <v>1706</v>
      </c>
      <c r="Q553" s="2">
        <v>53</v>
      </c>
      <c r="R553" s="2" t="b">
        <v>0</v>
      </c>
      <c r="S553" s="2">
        <v>0.76595744680851074</v>
      </c>
      <c r="V553" s="2" t="s">
        <v>510</v>
      </c>
      <c r="W553" s="2" t="s">
        <v>2188</v>
      </c>
      <c r="X553" s="2" t="s">
        <v>2189</v>
      </c>
      <c r="Y553" s="2" t="b">
        <v>1</v>
      </c>
      <c r="Z553" s="2" t="s">
        <v>67</v>
      </c>
      <c r="AA553" s="2">
        <v>0</v>
      </c>
      <c r="AB553" s="2" t="s">
        <v>49</v>
      </c>
    </row>
    <row r="554" spans="1:28" ht="15.75" hidden="1" customHeight="1" x14ac:dyDescent="0.3">
      <c r="A554" s="2" t="s">
        <v>360</v>
      </c>
      <c r="B554" s="2" t="s">
        <v>116</v>
      </c>
      <c r="C554" s="2" t="s">
        <v>939</v>
      </c>
      <c r="D554" s="2" t="s">
        <v>116</v>
      </c>
      <c r="E554" s="2" t="s">
        <v>39</v>
      </c>
      <c r="F554" s="2" t="s">
        <v>496</v>
      </c>
      <c r="G554" s="2" t="s">
        <v>42</v>
      </c>
      <c r="H554" s="2" t="s">
        <v>42</v>
      </c>
      <c r="I554" s="2" t="s">
        <v>239</v>
      </c>
      <c r="J554" s="2" t="s">
        <v>71</v>
      </c>
      <c r="K554" s="2" t="s">
        <v>2094</v>
      </c>
      <c r="L554" s="2" t="s">
        <v>2046</v>
      </c>
      <c r="M554" s="2" t="s">
        <v>1703</v>
      </c>
      <c r="N554" s="2" t="s">
        <v>2095</v>
      </c>
      <c r="O554" s="2" t="s">
        <v>1766</v>
      </c>
      <c r="P554" s="2" t="s">
        <v>1706</v>
      </c>
      <c r="Q554" s="2">
        <v>54</v>
      </c>
      <c r="R554" s="2" t="b">
        <v>0</v>
      </c>
      <c r="S554" s="2">
        <v>0.78350515463917525</v>
      </c>
      <c r="V554" s="2" t="s">
        <v>510</v>
      </c>
      <c r="W554" s="2" t="s">
        <v>2190</v>
      </c>
      <c r="X554" s="2" t="s">
        <v>2191</v>
      </c>
      <c r="Y554" s="2" t="b">
        <v>1</v>
      </c>
      <c r="Z554" s="2" t="s">
        <v>67</v>
      </c>
      <c r="AA554" s="2">
        <v>0</v>
      </c>
      <c r="AB554" s="2" t="s">
        <v>49</v>
      </c>
    </row>
    <row r="555" spans="1:28" ht="15.75" hidden="1" customHeight="1" x14ac:dyDescent="0.3">
      <c r="A555" s="2" t="s">
        <v>360</v>
      </c>
      <c r="B555" s="2" t="s">
        <v>116</v>
      </c>
      <c r="C555" s="2" t="s">
        <v>939</v>
      </c>
      <c r="D555" s="2" t="s">
        <v>116</v>
      </c>
      <c r="E555" s="2" t="s">
        <v>39</v>
      </c>
      <c r="F555" s="2" t="s">
        <v>496</v>
      </c>
      <c r="G555" s="2" t="s">
        <v>42</v>
      </c>
      <c r="H555" s="2" t="s">
        <v>42</v>
      </c>
      <c r="I555" s="2" t="s">
        <v>239</v>
      </c>
      <c r="J555" s="2" t="s">
        <v>71</v>
      </c>
      <c r="K555" s="2" t="s">
        <v>2098</v>
      </c>
      <c r="L555" s="2" t="s">
        <v>2046</v>
      </c>
      <c r="M555" s="2" t="s">
        <v>1703</v>
      </c>
      <c r="N555" s="2" t="s">
        <v>2099</v>
      </c>
      <c r="O555" s="2" t="s">
        <v>1771</v>
      </c>
      <c r="P555" s="2" t="s">
        <v>1706</v>
      </c>
      <c r="Q555" s="2">
        <v>55</v>
      </c>
      <c r="R555" s="2" t="b">
        <v>0</v>
      </c>
      <c r="S555" s="2">
        <v>0.74999999999999989</v>
      </c>
      <c r="V555" s="2" t="s">
        <v>510</v>
      </c>
      <c r="W555" s="2" t="s">
        <v>2192</v>
      </c>
      <c r="X555" s="2" t="s">
        <v>2193</v>
      </c>
      <c r="Y555" s="2" t="b">
        <v>1</v>
      </c>
      <c r="Z555" s="2" t="s">
        <v>67</v>
      </c>
      <c r="AA555" s="2">
        <v>0</v>
      </c>
      <c r="AB555" s="2" t="s">
        <v>49</v>
      </c>
    </row>
    <row r="556" spans="1:28" ht="15.75" hidden="1" customHeight="1" x14ac:dyDescent="0.3">
      <c r="A556" s="2" t="s">
        <v>360</v>
      </c>
      <c r="B556" s="2" t="s">
        <v>116</v>
      </c>
      <c r="C556" s="2" t="s">
        <v>939</v>
      </c>
      <c r="D556" s="2" t="s">
        <v>116</v>
      </c>
      <c r="E556" s="2" t="s">
        <v>39</v>
      </c>
      <c r="F556" s="2" t="s">
        <v>496</v>
      </c>
      <c r="G556" s="2" t="s">
        <v>42</v>
      </c>
      <c r="H556" s="2" t="s">
        <v>42</v>
      </c>
      <c r="I556" s="2" t="s">
        <v>239</v>
      </c>
      <c r="J556" s="2" t="s">
        <v>71</v>
      </c>
      <c r="K556" s="2" t="s">
        <v>2102</v>
      </c>
      <c r="L556" s="2" t="s">
        <v>2046</v>
      </c>
      <c r="M556" s="2" t="s">
        <v>1703</v>
      </c>
      <c r="N556" s="2" t="s">
        <v>2103</v>
      </c>
      <c r="O556" s="2" t="s">
        <v>1776</v>
      </c>
      <c r="P556" s="2" t="s">
        <v>1706</v>
      </c>
      <c r="Q556" s="2">
        <v>56</v>
      </c>
      <c r="R556" s="2" t="b">
        <v>0</v>
      </c>
      <c r="S556" s="2">
        <v>0.79999999999999993</v>
      </c>
      <c r="V556" s="2" t="s">
        <v>510</v>
      </c>
      <c r="W556" s="2" t="s">
        <v>2194</v>
      </c>
      <c r="X556" s="2" t="s">
        <v>2195</v>
      </c>
      <c r="Y556" s="2" t="b">
        <v>1</v>
      </c>
      <c r="Z556" s="2" t="s">
        <v>67</v>
      </c>
      <c r="AA556" s="2">
        <v>0</v>
      </c>
      <c r="AB556" s="2" t="s">
        <v>49</v>
      </c>
    </row>
    <row r="557" spans="1:28" ht="15.75" hidden="1" customHeight="1" x14ac:dyDescent="0.3">
      <c r="A557" s="2" t="s">
        <v>360</v>
      </c>
      <c r="B557" s="2" t="s">
        <v>116</v>
      </c>
      <c r="C557" s="2" t="s">
        <v>939</v>
      </c>
      <c r="D557" s="2" t="s">
        <v>116</v>
      </c>
      <c r="E557" s="2" t="s">
        <v>39</v>
      </c>
      <c r="F557" s="2" t="s">
        <v>496</v>
      </c>
      <c r="G557" s="2" t="s">
        <v>42</v>
      </c>
      <c r="H557" s="2" t="s">
        <v>42</v>
      </c>
      <c r="I557" s="2" t="s">
        <v>239</v>
      </c>
      <c r="J557" s="2" t="s">
        <v>71</v>
      </c>
      <c r="K557" s="2" t="s">
        <v>2106</v>
      </c>
      <c r="L557" s="2" t="s">
        <v>2046</v>
      </c>
      <c r="M557" s="2" t="s">
        <v>1703</v>
      </c>
      <c r="N557" s="2" t="s">
        <v>2107</v>
      </c>
      <c r="O557" s="2" t="s">
        <v>1781</v>
      </c>
      <c r="P557" s="2" t="s">
        <v>1706</v>
      </c>
      <c r="Q557" s="2">
        <v>57</v>
      </c>
      <c r="R557" s="2" t="b">
        <v>0</v>
      </c>
      <c r="S557" s="2">
        <v>0.82105263157894737</v>
      </c>
      <c r="V557" s="2" t="s">
        <v>510</v>
      </c>
      <c r="W557" s="2" t="s">
        <v>2196</v>
      </c>
      <c r="X557" s="2" t="s">
        <v>2197</v>
      </c>
      <c r="Y557" s="2" t="b">
        <v>1</v>
      </c>
      <c r="Z557" s="2" t="s">
        <v>67</v>
      </c>
      <c r="AA557" s="2">
        <v>0</v>
      </c>
      <c r="AB557" s="2" t="s">
        <v>49</v>
      </c>
    </row>
    <row r="558" spans="1:28" ht="15.75" hidden="1" customHeight="1" x14ac:dyDescent="0.3">
      <c r="A558" s="2" t="s">
        <v>360</v>
      </c>
      <c r="B558" s="2" t="s">
        <v>116</v>
      </c>
      <c r="C558" s="2" t="s">
        <v>939</v>
      </c>
      <c r="D558" s="2" t="s">
        <v>116</v>
      </c>
      <c r="E558" s="2" t="s">
        <v>39</v>
      </c>
      <c r="F558" s="2" t="s">
        <v>496</v>
      </c>
      <c r="G558" s="2" t="s">
        <v>42</v>
      </c>
      <c r="H558" s="2" t="s">
        <v>42</v>
      </c>
      <c r="I558" s="2" t="s">
        <v>239</v>
      </c>
      <c r="J558" s="2" t="s">
        <v>71</v>
      </c>
      <c r="K558" s="2" t="s">
        <v>2110</v>
      </c>
      <c r="L558" s="2" t="s">
        <v>2046</v>
      </c>
      <c r="M558" s="2" t="s">
        <v>1703</v>
      </c>
      <c r="N558" s="2" t="s">
        <v>2111</v>
      </c>
      <c r="O558" s="2" t="s">
        <v>1786</v>
      </c>
      <c r="P558" s="2" t="s">
        <v>1706</v>
      </c>
      <c r="Q558" s="2">
        <v>58</v>
      </c>
      <c r="R558" s="2" t="b">
        <v>0</v>
      </c>
      <c r="S558" s="2">
        <v>0.74698795180722899</v>
      </c>
      <c r="V558" s="2" t="s">
        <v>510</v>
      </c>
      <c r="W558" s="2" t="s">
        <v>2198</v>
      </c>
      <c r="X558" s="2" t="s">
        <v>2199</v>
      </c>
      <c r="Y558" s="2" t="b">
        <v>1</v>
      </c>
      <c r="Z558" s="2" t="s">
        <v>67</v>
      </c>
      <c r="AA558" s="2">
        <v>0</v>
      </c>
      <c r="AB558" s="2" t="s">
        <v>49</v>
      </c>
    </row>
    <row r="559" spans="1:28" ht="15.75" hidden="1" customHeight="1" x14ac:dyDescent="0.3">
      <c r="A559" s="2" t="s">
        <v>360</v>
      </c>
      <c r="B559" s="2" t="s">
        <v>116</v>
      </c>
      <c r="C559" s="2" t="s">
        <v>939</v>
      </c>
      <c r="D559" s="2" t="s">
        <v>116</v>
      </c>
      <c r="E559" s="2" t="s">
        <v>39</v>
      </c>
      <c r="F559" s="2" t="s">
        <v>496</v>
      </c>
      <c r="G559" s="2" t="s">
        <v>42</v>
      </c>
      <c r="H559" s="2" t="s">
        <v>42</v>
      </c>
      <c r="I559" s="2" t="s">
        <v>239</v>
      </c>
      <c r="J559" s="2" t="s">
        <v>71</v>
      </c>
      <c r="K559" s="2" t="s">
        <v>2114</v>
      </c>
      <c r="L559" s="2" t="s">
        <v>2046</v>
      </c>
      <c r="M559" s="2" t="s">
        <v>1703</v>
      </c>
      <c r="N559" s="2" t="s">
        <v>2115</v>
      </c>
      <c r="O559" s="2" t="s">
        <v>1791</v>
      </c>
      <c r="P559" s="2" t="s">
        <v>1706</v>
      </c>
      <c r="Q559" s="2">
        <v>59</v>
      </c>
      <c r="R559" s="2" t="b">
        <v>0</v>
      </c>
      <c r="S559" s="2">
        <v>0.76543209876543217</v>
      </c>
      <c r="V559" s="2" t="s">
        <v>510</v>
      </c>
      <c r="W559" s="2" t="s">
        <v>2200</v>
      </c>
      <c r="X559" s="2" t="s">
        <v>2201</v>
      </c>
      <c r="Y559" s="2" t="b">
        <v>1</v>
      </c>
      <c r="Z559" s="2" t="s">
        <v>67</v>
      </c>
      <c r="AA559" s="2">
        <v>0</v>
      </c>
      <c r="AB559" s="2" t="s">
        <v>49</v>
      </c>
    </row>
    <row r="560" spans="1:28" ht="15.75" hidden="1" customHeight="1" x14ac:dyDescent="0.3">
      <c r="A560" s="2" t="s">
        <v>360</v>
      </c>
      <c r="B560" s="2" t="s">
        <v>116</v>
      </c>
      <c r="C560" s="2" t="s">
        <v>939</v>
      </c>
      <c r="D560" s="2" t="s">
        <v>116</v>
      </c>
      <c r="E560" s="2" t="s">
        <v>39</v>
      </c>
      <c r="F560" s="2" t="s">
        <v>496</v>
      </c>
      <c r="G560" s="2" t="s">
        <v>42</v>
      </c>
      <c r="H560" s="2" t="s">
        <v>42</v>
      </c>
      <c r="I560" s="2" t="s">
        <v>239</v>
      </c>
      <c r="J560" s="2" t="s">
        <v>71</v>
      </c>
      <c r="K560" s="2" t="s">
        <v>2118</v>
      </c>
      <c r="L560" s="2" t="s">
        <v>2046</v>
      </c>
      <c r="M560" s="2" t="s">
        <v>1703</v>
      </c>
      <c r="N560" s="2" t="s">
        <v>2119</v>
      </c>
      <c r="O560" s="2" t="s">
        <v>1796</v>
      </c>
      <c r="P560" s="2" t="s">
        <v>1706</v>
      </c>
      <c r="Q560" s="2">
        <v>60</v>
      </c>
      <c r="R560" s="2" t="b">
        <v>0</v>
      </c>
      <c r="S560" s="2">
        <v>0.7191011235955056</v>
      </c>
      <c r="V560" s="2" t="s">
        <v>510</v>
      </c>
      <c r="W560" s="2" t="s">
        <v>2202</v>
      </c>
      <c r="X560" s="2" t="s">
        <v>2203</v>
      </c>
      <c r="Y560" s="2" t="b">
        <v>1</v>
      </c>
      <c r="Z560" s="2" t="s">
        <v>67</v>
      </c>
      <c r="AA560" s="2">
        <v>0</v>
      </c>
      <c r="AB560" s="2" t="s">
        <v>49</v>
      </c>
    </row>
    <row r="561" spans="1:28" ht="15.75" hidden="1" customHeight="1" x14ac:dyDescent="0.3">
      <c r="A561" s="2" t="s">
        <v>360</v>
      </c>
      <c r="B561" s="2" t="s">
        <v>116</v>
      </c>
      <c r="C561" s="2" t="s">
        <v>939</v>
      </c>
      <c r="D561" s="2" t="s">
        <v>116</v>
      </c>
      <c r="E561" s="2" t="s">
        <v>39</v>
      </c>
      <c r="F561" s="2" t="s">
        <v>496</v>
      </c>
      <c r="G561" s="2" t="s">
        <v>42</v>
      </c>
      <c r="H561" s="2" t="s">
        <v>42</v>
      </c>
      <c r="I561" s="2" t="s">
        <v>239</v>
      </c>
      <c r="J561" s="2" t="s">
        <v>71</v>
      </c>
      <c r="K561" s="2" t="s">
        <v>2122</v>
      </c>
      <c r="L561" s="2" t="s">
        <v>2046</v>
      </c>
      <c r="M561" s="2" t="s">
        <v>1703</v>
      </c>
      <c r="N561" s="2" t="s">
        <v>2123</v>
      </c>
      <c r="O561" s="2" t="s">
        <v>1801</v>
      </c>
      <c r="P561" s="2" t="s">
        <v>1706</v>
      </c>
      <c r="Q561" s="2">
        <v>61</v>
      </c>
      <c r="R561" s="2" t="b">
        <v>0</v>
      </c>
      <c r="S561" s="2">
        <v>0.8351648351648352</v>
      </c>
      <c r="V561" s="2" t="s">
        <v>510</v>
      </c>
      <c r="W561" s="2" t="s">
        <v>2204</v>
      </c>
      <c r="X561" s="2" t="s">
        <v>2205</v>
      </c>
      <c r="Y561" s="2" t="b">
        <v>1</v>
      </c>
      <c r="Z561" s="2" t="s">
        <v>67</v>
      </c>
      <c r="AA561" s="2">
        <v>0</v>
      </c>
      <c r="AB561" s="2" t="s">
        <v>49</v>
      </c>
    </row>
    <row r="562" spans="1:28" ht="15.75" hidden="1" customHeight="1" x14ac:dyDescent="0.3">
      <c r="A562" s="2" t="s">
        <v>360</v>
      </c>
      <c r="B562" s="2" t="s">
        <v>116</v>
      </c>
      <c r="C562" s="2" t="s">
        <v>939</v>
      </c>
      <c r="D562" s="2" t="s">
        <v>116</v>
      </c>
      <c r="E562" s="2" t="s">
        <v>82</v>
      </c>
      <c r="F562" s="2" t="s">
        <v>814</v>
      </c>
      <c r="G562" s="2" t="s">
        <v>42</v>
      </c>
      <c r="H562" s="2" t="s">
        <v>42</v>
      </c>
      <c r="I562" s="2" t="s">
        <v>47</v>
      </c>
      <c r="J562" s="2" t="s">
        <v>44</v>
      </c>
      <c r="K562" s="2" t="s">
        <v>1964</v>
      </c>
      <c r="L562" s="2" t="s">
        <v>1965</v>
      </c>
      <c r="M562" s="2" t="s">
        <v>1600</v>
      </c>
      <c r="N562" s="2" t="s">
        <v>1966</v>
      </c>
      <c r="O562" s="2" t="s">
        <v>1602</v>
      </c>
      <c r="P562" s="2" t="s">
        <v>1603</v>
      </c>
      <c r="Q562" s="2">
        <v>42</v>
      </c>
      <c r="R562" s="2" t="b">
        <v>1</v>
      </c>
      <c r="S562" s="2">
        <v>0.67692307692307696</v>
      </c>
      <c r="T562" s="2">
        <v>0.75</v>
      </c>
      <c r="U562" s="2">
        <v>0.61682242990654201</v>
      </c>
      <c r="V562" s="2" t="s">
        <v>63</v>
      </c>
      <c r="W562" s="2" t="s">
        <v>2206</v>
      </c>
      <c r="X562" s="2" t="s">
        <v>2207</v>
      </c>
      <c r="Y562" s="2" t="b">
        <v>1</v>
      </c>
      <c r="Z562" s="2" t="s">
        <v>67</v>
      </c>
      <c r="AA562" s="2">
        <v>10.3</v>
      </c>
      <c r="AB562" s="2" t="s">
        <v>49</v>
      </c>
    </row>
    <row r="563" spans="1:28" ht="15.75" hidden="1" customHeight="1" x14ac:dyDescent="0.3">
      <c r="A563" s="2" t="s">
        <v>360</v>
      </c>
      <c r="B563" s="2" t="s">
        <v>116</v>
      </c>
      <c r="C563" s="2" t="s">
        <v>939</v>
      </c>
      <c r="D563" s="2" t="s">
        <v>116</v>
      </c>
      <c r="E563" s="2" t="s">
        <v>82</v>
      </c>
      <c r="F563" s="2" t="s">
        <v>814</v>
      </c>
      <c r="G563" s="2" t="s">
        <v>42</v>
      </c>
      <c r="H563" s="2" t="s">
        <v>42</v>
      </c>
      <c r="I563" s="2" t="s">
        <v>47</v>
      </c>
      <c r="J563" s="2" t="s">
        <v>44</v>
      </c>
      <c r="K563" s="2" t="s">
        <v>1969</v>
      </c>
      <c r="L563" s="2" t="s">
        <v>1965</v>
      </c>
      <c r="M563" s="2" t="s">
        <v>1600</v>
      </c>
      <c r="N563" s="2" t="s">
        <v>1970</v>
      </c>
      <c r="O563" s="2" t="s">
        <v>1608</v>
      </c>
      <c r="P563" s="2" t="s">
        <v>1603</v>
      </c>
      <c r="Q563" s="2">
        <v>43</v>
      </c>
      <c r="R563" s="2" t="b">
        <v>1</v>
      </c>
      <c r="S563" s="2">
        <v>0.80176211453744495</v>
      </c>
      <c r="T563" s="2">
        <v>0.81981981981981977</v>
      </c>
      <c r="U563" s="2">
        <v>0.78448275862068961</v>
      </c>
      <c r="V563" s="2" t="s">
        <v>63</v>
      </c>
      <c r="W563" s="2" t="s">
        <v>2208</v>
      </c>
      <c r="X563" s="2" t="s">
        <v>2209</v>
      </c>
      <c r="Y563" s="2" t="b">
        <v>1</v>
      </c>
      <c r="Z563" s="2" t="s">
        <v>67</v>
      </c>
      <c r="AA563" s="2">
        <v>3.3</v>
      </c>
      <c r="AB563" s="2" t="s">
        <v>49</v>
      </c>
    </row>
    <row r="564" spans="1:28" ht="15.75" hidden="1" customHeight="1" x14ac:dyDescent="0.3">
      <c r="A564" s="2" t="s">
        <v>360</v>
      </c>
      <c r="B564" s="2" t="s">
        <v>116</v>
      </c>
      <c r="C564" s="2" t="s">
        <v>939</v>
      </c>
      <c r="D564" s="2" t="s">
        <v>116</v>
      </c>
      <c r="E564" s="2" t="s">
        <v>82</v>
      </c>
      <c r="F564" s="2" t="s">
        <v>814</v>
      </c>
      <c r="G564" s="2" t="s">
        <v>42</v>
      </c>
      <c r="H564" s="2" t="s">
        <v>42</v>
      </c>
      <c r="I564" s="2" t="s">
        <v>47</v>
      </c>
      <c r="J564" s="2" t="s">
        <v>44</v>
      </c>
      <c r="K564" s="2" t="s">
        <v>1973</v>
      </c>
      <c r="L564" s="2" t="s">
        <v>1965</v>
      </c>
      <c r="M564" s="2" t="s">
        <v>1600</v>
      </c>
      <c r="N564" s="2" t="s">
        <v>1974</v>
      </c>
      <c r="O564" s="2" t="s">
        <v>1613</v>
      </c>
      <c r="P564" s="2" t="s">
        <v>1603</v>
      </c>
      <c r="Q564" s="2">
        <v>44</v>
      </c>
      <c r="R564" s="2" t="b">
        <v>1</v>
      </c>
      <c r="S564" s="2">
        <v>0.64705882352941169</v>
      </c>
      <c r="T564" s="2">
        <v>0.71296296296296291</v>
      </c>
      <c r="U564" s="2">
        <v>0.59230769230769231</v>
      </c>
      <c r="V564" s="2" t="s">
        <v>63</v>
      </c>
      <c r="W564" s="2" t="s">
        <v>2210</v>
      </c>
      <c r="X564" s="2" t="s">
        <v>2211</v>
      </c>
      <c r="Y564" s="2" t="b">
        <v>1</v>
      </c>
      <c r="Z564" s="2" t="s">
        <v>67</v>
      </c>
      <c r="AA564" s="2">
        <v>3.6</v>
      </c>
      <c r="AB564" s="2" t="s">
        <v>49</v>
      </c>
    </row>
    <row r="565" spans="1:28" ht="15.75" hidden="1" customHeight="1" x14ac:dyDescent="0.3">
      <c r="A565" s="2" t="s">
        <v>360</v>
      </c>
      <c r="B565" s="2" t="s">
        <v>116</v>
      </c>
      <c r="C565" s="2" t="s">
        <v>939</v>
      </c>
      <c r="D565" s="2" t="s">
        <v>116</v>
      </c>
      <c r="E565" s="2" t="s">
        <v>82</v>
      </c>
      <c r="F565" s="2" t="s">
        <v>814</v>
      </c>
      <c r="G565" s="2" t="s">
        <v>42</v>
      </c>
      <c r="H565" s="2" t="s">
        <v>42</v>
      </c>
      <c r="I565" s="2" t="s">
        <v>47</v>
      </c>
      <c r="J565" s="2" t="s">
        <v>44</v>
      </c>
      <c r="K565" s="2" t="s">
        <v>1977</v>
      </c>
      <c r="L565" s="2" t="s">
        <v>1965</v>
      </c>
      <c r="M565" s="2" t="s">
        <v>1600</v>
      </c>
      <c r="N565" s="2" t="s">
        <v>1978</v>
      </c>
      <c r="O565" s="2" t="s">
        <v>1618</v>
      </c>
      <c r="P565" s="2" t="s">
        <v>1603</v>
      </c>
      <c r="Q565" s="2">
        <v>45</v>
      </c>
      <c r="R565" s="2" t="b">
        <v>1</v>
      </c>
      <c r="S565" s="2">
        <v>0.82307692307692304</v>
      </c>
      <c r="T565" s="2">
        <v>0.84251968503937003</v>
      </c>
      <c r="U565" s="2">
        <v>0.80451127819548873</v>
      </c>
      <c r="V565" s="2" t="s">
        <v>63</v>
      </c>
      <c r="W565" s="2" t="s">
        <v>2212</v>
      </c>
      <c r="X565" s="2" t="s">
        <v>2213</v>
      </c>
      <c r="Y565" s="2" t="b">
        <v>1</v>
      </c>
      <c r="Z565" s="2" t="s">
        <v>67</v>
      </c>
      <c r="AA565" s="2">
        <v>3.9</v>
      </c>
      <c r="AB565" s="2" t="s">
        <v>49</v>
      </c>
    </row>
    <row r="566" spans="1:28" ht="15.75" hidden="1" customHeight="1" x14ac:dyDescent="0.3">
      <c r="A566" s="2" t="s">
        <v>360</v>
      </c>
      <c r="B566" s="2" t="s">
        <v>116</v>
      </c>
      <c r="C566" s="2" t="s">
        <v>939</v>
      </c>
      <c r="D566" s="2" t="s">
        <v>116</v>
      </c>
      <c r="E566" s="2" t="s">
        <v>82</v>
      </c>
      <c r="F566" s="2" t="s">
        <v>814</v>
      </c>
      <c r="G566" s="2" t="s">
        <v>42</v>
      </c>
      <c r="H566" s="2" t="s">
        <v>42</v>
      </c>
      <c r="I566" s="2" t="s">
        <v>47</v>
      </c>
      <c r="J566" s="2" t="s">
        <v>44</v>
      </c>
      <c r="K566" s="2" t="s">
        <v>1981</v>
      </c>
      <c r="L566" s="2" t="s">
        <v>1965</v>
      </c>
      <c r="M566" s="2" t="s">
        <v>1600</v>
      </c>
      <c r="N566" s="2" t="s">
        <v>1982</v>
      </c>
      <c r="O566" s="2" t="s">
        <v>1623</v>
      </c>
      <c r="P566" s="2" t="s">
        <v>1603</v>
      </c>
      <c r="Q566" s="2">
        <v>46</v>
      </c>
      <c r="R566" s="2" t="b">
        <v>1</v>
      </c>
      <c r="S566" s="2">
        <v>0.79259259259259263</v>
      </c>
      <c r="T566" s="2">
        <v>0.84251968503937003</v>
      </c>
      <c r="U566" s="2">
        <v>0.74825174825174823</v>
      </c>
      <c r="V566" s="2" t="s">
        <v>63</v>
      </c>
      <c r="W566" s="2" t="s">
        <v>2214</v>
      </c>
      <c r="X566" s="2" t="s">
        <v>2215</v>
      </c>
      <c r="Y566" s="2" t="b">
        <v>1</v>
      </c>
      <c r="Z566" s="2" t="s">
        <v>67</v>
      </c>
      <c r="AA566" s="2">
        <v>3.6</v>
      </c>
      <c r="AB566" s="2" t="s">
        <v>49</v>
      </c>
    </row>
    <row r="567" spans="1:28" ht="15.75" hidden="1" customHeight="1" x14ac:dyDescent="0.3">
      <c r="A567" s="2" t="s">
        <v>360</v>
      </c>
      <c r="B567" s="2" t="s">
        <v>116</v>
      </c>
      <c r="C567" s="2" t="s">
        <v>939</v>
      </c>
      <c r="D567" s="2" t="s">
        <v>116</v>
      </c>
      <c r="E567" s="2" t="s">
        <v>82</v>
      </c>
      <c r="F567" s="2" t="s">
        <v>814</v>
      </c>
      <c r="G567" s="2" t="s">
        <v>42</v>
      </c>
      <c r="H567" s="2" t="s">
        <v>42</v>
      </c>
      <c r="I567" s="2" t="s">
        <v>47</v>
      </c>
      <c r="J567" s="2" t="s">
        <v>44</v>
      </c>
      <c r="K567" s="2" t="s">
        <v>1985</v>
      </c>
      <c r="L567" s="2" t="s">
        <v>1965</v>
      </c>
      <c r="M567" s="2" t="s">
        <v>1600</v>
      </c>
      <c r="N567" s="2" t="s">
        <v>1986</v>
      </c>
      <c r="O567" s="2" t="s">
        <v>1628</v>
      </c>
      <c r="P567" s="2" t="s">
        <v>1603</v>
      </c>
      <c r="Q567" s="2">
        <v>47</v>
      </c>
      <c r="R567" s="2" t="b">
        <v>1</v>
      </c>
      <c r="S567" s="2">
        <v>0.80645161290322576</v>
      </c>
      <c r="T567" s="2">
        <v>0.8771929824561403</v>
      </c>
      <c r="U567" s="2">
        <v>0.74626865671641796</v>
      </c>
      <c r="V567" s="2" t="s">
        <v>63</v>
      </c>
      <c r="W567" s="2" t="s">
        <v>2216</v>
      </c>
      <c r="X567" s="2" t="s">
        <v>2217</v>
      </c>
      <c r="Y567" s="2" t="b">
        <v>1</v>
      </c>
      <c r="Z567" s="2" t="s">
        <v>67</v>
      </c>
      <c r="AA567" s="2">
        <v>3</v>
      </c>
      <c r="AB567" s="2" t="s">
        <v>49</v>
      </c>
    </row>
    <row r="568" spans="1:28" ht="15.75" hidden="1" customHeight="1" x14ac:dyDescent="0.3">
      <c r="A568" s="2" t="s">
        <v>360</v>
      </c>
      <c r="B568" s="2" t="s">
        <v>116</v>
      </c>
      <c r="C568" s="2" t="s">
        <v>939</v>
      </c>
      <c r="D568" s="2" t="s">
        <v>116</v>
      </c>
      <c r="E568" s="2" t="s">
        <v>82</v>
      </c>
      <c r="F568" s="2" t="s">
        <v>814</v>
      </c>
      <c r="G568" s="2" t="s">
        <v>42</v>
      </c>
      <c r="H568" s="2" t="s">
        <v>42</v>
      </c>
      <c r="I568" s="2" t="s">
        <v>47</v>
      </c>
      <c r="J568" s="2" t="s">
        <v>44</v>
      </c>
      <c r="K568" s="2" t="s">
        <v>1989</v>
      </c>
      <c r="L568" s="2" t="s">
        <v>1965</v>
      </c>
      <c r="M568" s="2" t="s">
        <v>1600</v>
      </c>
      <c r="N568" s="2" t="s">
        <v>1990</v>
      </c>
      <c r="O568" s="2" t="s">
        <v>1633</v>
      </c>
      <c r="P568" s="2" t="s">
        <v>1603</v>
      </c>
      <c r="Q568" s="2">
        <v>48</v>
      </c>
      <c r="R568" s="2" t="b">
        <v>1</v>
      </c>
      <c r="S568" s="2">
        <v>0.73362445414847166</v>
      </c>
      <c r="T568" s="2">
        <v>0.77064220183486243</v>
      </c>
      <c r="U568" s="2">
        <v>0.7</v>
      </c>
      <c r="V568" s="2" t="s">
        <v>63</v>
      </c>
      <c r="W568" s="2" t="s">
        <v>2218</v>
      </c>
      <c r="X568" s="2" t="s">
        <v>2219</v>
      </c>
      <c r="Y568" s="2" t="b">
        <v>1</v>
      </c>
      <c r="Z568" s="2" t="s">
        <v>67</v>
      </c>
      <c r="AA568" s="2">
        <v>4.2</v>
      </c>
      <c r="AB568" s="2" t="s">
        <v>49</v>
      </c>
    </row>
    <row r="569" spans="1:28" ht="15.75" hidden="1" customHeight="1" x14ac:dyDescent="0.3">
      <c r="A569" s="2" t="s">
        <v>360</v>
      </c>
      <c r="B569" s="2" t="s">
        <v>116</v>
      </c>
      <c r="C569" s="2" t="s">
        <v>939</v>
      </c>
      <c r="D569" s="2" t="s">
        <v>116</v>
      </c>
      <c r="E569" s="2" t="s">
        <v>82</v>
      </c>
      <c r="F569" s="2" t="s">
        <v>814</v>
      </c>
      <c r="G569" s="2" t="s">
        <v>42</v>
      </c>
      <c r="H569" s="2" t="s">
        <v>42</v>
      </c>
      <c r="I569" s="2" t="s">
        <v>47</v>
      </c>
      <c r="J569" s="2" t="s">
        <v>44</v>
      </c>
      <c r="K569" s="2" t="s">
        <v>1993</v>
      </c>
      <c r="L569" s="2" t="s">
        <v>1965</v>
      </c>
      <c r="M569" s="2" t="s">
        <v>1600</v>
      </c>
      <c r="N569" s="2" t="s">
        <v>1994</v>
      </c>
      <c r="O569" s="2" t="s">
        <v>1638</v>
      </c>
      <c r="P569" s="2" t="s">
        <v>1603</v>
      </c>
      <c r="Q569" s="2">
        <v>49</v>
      </c>
      <c r="R569" s="2" t="b">
        <v>1</v>
      </c>
      <c r="S569" s="2">
        <v>0.77064220183486243</v>
      </c>
      <c r="T569" s="2">
        <v>0.76363636363636367</v>
      </c>
      <c r="U569" s="2">
        <v>0.77777777777777779</v>
      </c>
      <c r="V569" s="2" t="s">
        <v>63</v>
      </c>
      <c r="W569" s="2" t="s">
        <v>2220</v>
      </c>
      <c r="X569" s="2" t="s">
        <v>2221</v>
      </c>
      <c r="Y569" s="2" t="b">
        <v>1</v>
      </c>
      <c r="Z569" s="2" t="s">
        <v>67</v>
      </c>
      <c r="AA569" s="2">
        <v>3.6</v>
      </c>
      <c r="AB569" s="2" t="s">
        <v>49</v>
      </c>
    </row>
    <row r="570" spans="1:28" ht="15.75" hidden="1" customHeight="1" x14ac:dyDescent="0.3">
      <c r="A570" s="2" t="s">
        <v>360</v>
      </c>
      <c r="B570" s="2" t="s">
        <v>116</v>
      </c>
      <c r="C570" s="2" t="s">
        <v>939</v>
      </c>
      <c r="D570" s="2" t="s">
        <v>116</v>
      </c>
      <c r="E570" s="2" t="s">
        <v>82</v>
      </c>
      <c r="F570" s="2" t="s">
        <v>814</v>
      </c>
      <c r="G570" s="2" t="s">
        <v>42</v>
      </c>
      <c r="H570" s="2" t="s">
        <v>42</v>
      </c>
      <c r="I570" s="2" t="s">
        <v>47</v>
      </c>
      <c r="J570" s="2" t="s">
        <v>44</v>
      </c>
      <c r="K570" s="2" t="s">
        <v>1997</v>
      </c>
      <c r="L570" s="2" t="s">
        <v>1965</v>
      </c>
      <c r="M570" s="2" t="s">
        <v>1600</v>
      </c>
      <c r="N570" s="2" t="s">
        <v>1998</v>
      </c>
      <c r="O570" s="2" t="s">
        <v>1643</v>
      </c>
      <c r="P570" s="2" t="s">
        <v>1603</v>
      </c>
      <c r="Q570" s="2">
        <v>50</v>
      </c>
      <c r="R570" s="2" t="b">
        <v>1</v>
      </c>
      <c r="S570" s="2">
        <v>0.75102040816326532</v>
      </c>
      <c r="T570" s="2">
        <v>0.76666666666666672</v>
      </c>
      <c r="U570" s="2">
        <v>0.73599999999999999</v>
      </c>
      <c r="V570" s="2" t="s">
        <v>63</v>
      </c>
      <c r="W570" s="2" t="s">
        <v>2222</v>
      </c>
      <c r="X570" s="2" t="s">
        <v>2223</v>
      </c>
      <c r="Y570" s="2" t="b">
        <v>1</v>
      </c>
      <c r="Z570" s="2" t="s">
        <v>67</v>
      </c>
      <c r="AA570" s="2">
        <v>3.2</v>
      </c>
      <c r="AB570" s="2" t="s">
        <v>49</v>
      </c>
    </row>
    <row r="571" spans="1:28" ht="15.75" hidden="1" customHeight="1" x14ac:dyDescent="0.3">
      <c r="A571" s="2" t="s">
        <v>360</v>
      </c>
      <c r="B571" s="2" t="s">
        <v>116</v>
      </c>
      <c r="C571" s="2" t="s">
        <v>939</v>
      </c>
      <c r="D571" s="2" t="s">
        <v>116</v>
      </c>
      <c r="E571" s="2" t="s">
        <v>82</v>
      </c>
      <c r="F571" s="2" t="s">
        <v>814</v>
      </c>
      <c r="G571" s="2" t="s">
        <v>42</v>
      </c>
      <c r="H571" s="2" t="s">
        <v>42</v>
      </c>
      <c r="I571" s="2" t="s">
        <v>47</v>
      </c>
      <c r="J571" s="2" t="s">
        <v>44</v>
      </c>
      <c r="K571" s="2" t="s">
        <v>2001</v>
      </c>
      <c r="L571" s="2" t="s">
        <v>1965</v>
      </c>
      <c r="M571" s="2" t="s">
        <v>1600</v>
      </c>
      <c r="N571" s="2" t="s">
        <v>2002</v>
      </c>
      <c r="O571" s="2" t="s">
        <v>1648</v>
      </c>
      <c r="P571" s="2" t="s">
        <v>1603</v>
      </c>
      <c r="Q571" s="2">
        <v>51</v>
      </c>
      <c r="R571" s="2" t="b">
        <v>1</v>
      </c>
      <c r="S571" s="2">
        <v>0.75362318840579712</v>
      </c>
      <c r="T571" s="2">
        <v>0.7722772277227723</v>
      </c>
      <c r="U571" s="2">
        <v>0.73584905660377353</v>
      </c>
      <c r="V571" s="2" t="s">
        <v>63</v>
      </c>
      <c r="W571" s="2" t="s">
        <v>2224</v>
      </c>
      <c r="X571" s="2" t="s">
        <v>2225</v>
      </c>
      <c r="Y571" s="2" t="b">
        <v>1</v>
      </c>
      <c r="Z571" s="2" t="s">
        <v>67</v>
      </c>
      <c r="AA571" s="2">
        <v>3.3</v>
      </c>
      <c r="AB571" s="2" t="s">
        <v>49</v>
      </c>
    </row>
    <row r="572" spans="1:28" ht="15.75" hidden="1" customHeight="1" x14ac:dyDescent="0.3">
      <c r="A572" s="2" t="s">
        <v>360</v>
      </c>
      <c r="B572" s="2" t="s">
        <v>116</v>
      </c>
      <c r="C572" s="2" t="s">
        <v>939</v>
      </c>
      <c r="D572" s="2" t="s">
        <v>116</v>
      </c>
      <c r="E572" s="2" t="s">
        <v>82</v>
      </c>
      <c r="F572" s="2" t="s">
        <v>814</v>
      </c>
      <c r="G572" s="2" t="s">
        <v>42</v>
      </c>
      <c r="H572" s="2" t="s">
        <v>42</v>
      </c>
      <c r="I572" s="2" t="s">
        <v>47</v>
      </c>
      <c r="J572" s="2" t="s">
        <v>44</v>
      </c>
      <c r="K572" s="2" t="s">
        <v>2005</v>
      </c>
      <c r="L572" s="2" t="s">
        <v>1965</v>
      </c>
      <c r="M572" s="2" t="s">
        <v>1600</v>
      </c>
      <c r="N572" s="2" t="s">
        <v>2006</v>
      </c>
      <c r="O572" s="2" t="s">
        <v>1653</v>
      </c>
      <c r="P572" s="2" t="s">
        <v>1603</v>
      </c>
      <c r="Q572" s="2">
        <v>52</v>
      </c>
      <c r="R572" s="2" t="b">
        <v>1</v>
      </c>
      <c r="S572" s="2">
        <v>0.79611650485436891</v>
      </c>
      <c r="T572" s="2">
        <v>0.86315789473684212</v>
      </c>
      <c r="U572" s="2">
        <v>0.73873873873873874</v>
      </c>
      <c r="V572" s="2" t="s">
        <v>63</v>
      </c>
      <c r="W572" s="2" t="s">
        <v>2226</v>
      </c>
      <c r="X572" s="2" t="s">
        <v>2227</v>
      </c>
      <c r="Y572" s="2" t="b">
        <v>1</v>
      </c>
      <c r="Z572" s="2" t="s">
        <v>67</v>
      </c>
      <c r="AA572" s="2">
        <v>4.7</v>
      </c>
      <c r="AB572" s="2" t="s">
        <v>49</v>
      </c>
    </row>
    <row r="573" spans="1:28" ht="15.75" hidden="1" customHeight="1" x14ac:dyDescent="0.3">
      <c r="A573" s="2" t="s">
        <v>360</v>
      </c>
      <c r="B573" s="2" t="s">
        <v>116</v>
      </c>
      <c r="C573" s="2" t="s">
        <v>939</v>
      </c>
      <c r="D573" s="2" t="s">
        <v>116</v>
      </c>
      <c r="E573" s="2" t="s">
        <v>82</v>
      </c>
      <c r="F573" s="2" t="s">
        <v>814</v>
      </c>
      <c r="G573" s="2" t="s">
        <v>42</v>
      </c>
      <c r="H573" s="2" t="s">
        <v>42</v>
      </c>
      <c r="I573" s="2" t="s">
        <v>47</v>
      </c>
      <c r="J573" s="2" t="s">
        <v>44</v>
      </c>
      <c r="K573" s="2" t="s">
        <v>2009</v>
      </c>
      <c r="L573" s="2" t="s">
        <v>1965</v>
      </c>
      <c r="M573" s="2" t="s">
        <v>1600</v>
      </c>
      <c r="N573" s="2" t="s">
        <v>2010</v>
      </c>
      <c r="O573" s="2" t="s">
        <v>1658</v>
      </c>
      <c r="P573" s="2" t="s">
        <v>1603</v>
      </c>
      <c r="Q573" s="2">
        <v>53</v>
      </c>
      <c r="R573" s="2" t="b">
        <v>1</v>
      </c>
      <c r="S573" s="2">
        <v>0.73426573426573427</v>
      </c>
      <c r="T573" s="2">
        <v>0.76086956521739135</v>
      </c>
      <c r="U573" s="2">
        <v>0.70945945945945943</v>
      </c>
      <c r="V573" s="2" t="s">
        <v>63</v>
      </c>
      <c r="W573" s="2" t="s">
        <v>2228</v>
      </c>
      <c r="X573" s="2" t="s">
        <v>2229</v>
      </c>
      <c r="Y573" s="2" t="b">
        <v>1</v>
      </c>
      <c r="Z573" s="2" t="s">
        <v>67</v>
      </c>
      <c r="AA573" s="2">
        <v>3.8</v>
      </c>
      <c r="AB573" s="2" t="s">
        <v>49</v>
      </c>
    </row>
    <row r="574" spans="1:28" ht="15.75" hidden="1" customHeight="1" x14ac:dyDescent="0.3">
      <c r="A574" s="2" t="s">
        <v>360</v>
      </c>
      <c r="B574" s="2" t="s">
        <v>116</v>
      </c>
      <c r="C574" s="2" t="s">
        <v>939</v>
      </c>
      <c r="D574" s="2" t="s">
        <v>116</v>
      </c>
      <c r="E574" s="2" t="s">
        <v>82</v>
      </c>
      <c r="F574" s="2" t="s">
        <v>814</v>
      </c>
      <c r="G574" s="2" t="s">
        <v>42</v>
      </c>
      <c r="H574" s="2" t="s">
        <v>42</v>
      </c>
      <c r="I574" s="2" t="s">
        <v>47</v>
      </c>
      <c r="J574" s="2" t="s">
        <v>44</v>
      </c>
      <c r="K574" s="2" t="s">
        <v>2013</v>
      </c>
      <c r="L574" s="2" t="s">
        <v>1965</v>
      </c>
      <c r="M574" s="2" t="s">
        <v>1600</v>
      </c>
      <c r="N574" s="2" t="s">
        <v>2014</v>
      </c>
      <c r="O574" s="2" t="s">
        <v>1663</v>
      </c>
      <c r="P574" s="2" t="s">
        <v>1603</v>
      </c>
      <c r="Q574" s="2">
        <v>54</v>
      </c>
      <c r="R574" s="2" t="b">
        <v>1</v>
      </c>
      <c r="S574" s="2">
        <v>0.71028037383177567</v>
      </c>
      <c r="T574" s="2">
        <v>0.74509803921568629</v>
      </c>
      <c r="U574" s="2">
        <v>0.6785714285714286</v>
      </c>
      <c r="V574" s="2" t="s">
        <v>63</v>
      </c>
      <c r="W574" s="2" t="s">
        <v>2230</v>
      </c>
      <c r="X574" s="2" t="s">
        <v>2231</v>
      </c>
      <c r="Y574" s="2" t="b">
        <v>1</v>
      </c>
      <c r="Z574" s="2" t="s">
        <v>67</v>
      </c>
      <c r="AA574" s="2">
        <v>3.1</v>
      </c>
      <c r="AB574" s="2" t="s">
        <v>49</v>
      </c>
    </row>
    <row r="575" spans="1:28" ht="15.75" hidden="1" customHeight="1" x14ac:dyDescent="0.3">
      <c r="A575" s="2" t="s">
        <v>360</v>
      </c>
      <c r="B575" s="2" t="s">
        <v>116</v>
      </c>
      <c r="C575" s="2" t="s">
        <v>939</v>
      </c>
      <c r="D575" s="2" t="s">
        <v>116</v>
      </c>
      <c r="E575" s="2" t="s">
        <v>82</v>
      </c>
      <c r="F575" s="2" t="s">
        <v>814</v>
      </c>
      <c r="G575" s="2" t="s">
        <v>42</v>
      </c>
      <c r="H575" s="2" t="s">
        <v>42</v>
      </c>
      <c r="I575" s="2" t="s">
        <v>47</v>
      </c>
      <c r="J575" s="2" t="s">
        <v>44</v>
      </c>
      <c r="K575" s="2" t="s">
        <v>2017</v>
      </c>
      <c r="L575" s="2" t="s">
        <v>1965</v>
      </c>
      <c r="M575" s="2" t="s">
        <v>1600</v>
      </c>
      <c r="N575" s="2" t="s">
        <v>2018</v>
      </c>
      <c r="O575" s="2" t="s">
        <v>1668</v>
      </c>
      <c r="P575" s="2" t="s">
        <v>1603</v>
      </c>
      <c r="Q575" s="2">
        <v>55</v>
      </c>
      <c r="R575" s="2" t="b">
        <v>1</v>
      </c>
      <c r="S575" s="2">
        <v>0.7439613526570048</v>
      </c>
      <c r="T575" s="2">
        <v>0.84615384615384615</v>
      </c>
      <c r="U575" s="2">
        <v>0.66379310344827591</v>
      </c>
      <c r="V575" s="2" t="s">
        <v>63</v>
      </c>
      <c r="W575" s="2" t="s">
        <v>2232</v>
      </c>
      <c r="X575" s="2" t="s">
        <v>2233</v>
      </c>
      <c r="Y575" s="2" t="b">
        <v>1</v>
      </c>
      <c r="Z575" s="2" t="s">
        <v>67</v>
      </c>
      <c r="AA575" s="2">
        <v>3.9</v>
      </c>
      <c r="AB575" s="2" t="s">
        <v>49</v>
      </c>
    </row>
    <row r="576" spans="1:28" ht="15.75" hidden="1" customHeight="1" x14ac:dyDescent="0.3">
      <c r="A576" s="2" t="s">
        <v>360</v>
      </c>
      <c r="B576" s="2" t="s">
        <v>116</v>
      </c>
      <c r="C576" s="2" t="s">
        <v>939</v>
      </c>
      <c r="D576" s="2" t="s">
        <v>116</v>
      </c>
      <c r="E576" s="2" t="s">
        <v>82</v>
      </c>
      <c r="F576" s="2" t="s">
        <v>814</v>
      </c>
      <c r="G576" s="2" t="s">
        <v>42</v>
      </c>
      <c r="H576" s="2" t="s">
        <v>42</v>
      </c>
      <c r="I576" s="2" t="s">
        <v>47</v>
      </c>
      <c r="J576" s="2" t="s">
        <v>44</v>
      </c>
      <c r="K576" s="2" t="s">
        <v>2021</v>
      </c>
      <c r="L576" s="2" t="s">
        <v>1965</v>
      </c>
      <c r="M576" s="2" t="s">
        <v>1600</v>
      </c>
      <c r="N576" s="2" t="s">
        <v>2022</v>
      </c>
      <c r="O576" s="2" t="s">
        <v>1673</v>
      </c>
      <c r="P576" s="2" t="s">
        <v>1603</v>
      </c>
      <c r="Q576" s="2">
        <v>56</v>
      </c>
      <c r="R576" s="2" t="b">
        <v>1</v>
      </c>
      <c r="S576" s="2">
        <v>0.61467889908256879</v>
      </c>
      <c r="T576" s="2">
        <v>0.65686274509803921</v>
      </c>
      <c r="U576" s="2">
        <v>0.57758620689655171</v>
      </c>
      <c r="V576" s="2" t="s">
        <v>63</v>
      </c>
      <c r="W576" s="2" t="s">
        <v>2234</v>
      </c>
      <c r="X576" s="2" t="s">
        <v>2235</v>
      </c>
      <c r="Y576" s="2" t="b">
        <v>1</v>
      </c>
      <c r="Z576" s="2" t="s">
        <v>67</v>
      </c>
      <c r="AA576" s="2">
        <v>3.2</v>
      </c>
      <c r="AB576" s="2" t="s">
        <v>49</v>
      </c>
    </row>
    <row r="577" spans="1:28" ht="15.75" hidden="1" customHeight="1" x14ac:dyDescent="0.3">
      <c r="A577" s="2" t="s">
        <v>360</v>
      </c>
      <c r="B577" s="2" t="s">
        <v>116</v>
      </c>
      <c r="C577" s="2" t="s">
        <v>939</v>
      </c>
      <c r="D577" s="2" t="s">
        <v>116</v>
      </c>
      <c r="E577" s="2" t="s">
        <v>82</v>
      </c>
      <c r="F577" s="2" t="s">
        <v>814</v>
      </c>
      <c r="G577" s="2" t="s">
        <v>42</v>
      </c>
      <c r="H577" s="2" t="s">
        <v>42</v>
      </c>
      <c r="I577" s="2" t="s">
        <v>47</v>
      </c>
      <c r="J577" s="2" t="s">
        <v>44</v>
      </c>
      <c r="K577" s="2" t="s">
        <v>2025</v>
      </c>
      <c r="L577" s="2" t="s">
        <v>1965</v>
      </c>
      <c r="M577" s="2" t="s">
        <v>1600</v>
      </c>
      <c r="N577" s="2" t="s">
        <v>2026</v>
      </c>
      <c r="O577" s="2" t="s">
        <v>1678</v>
      </c>
      <c r="P577" s="2" t="s">
        <v>1603</v>
      </c>
      <c r="Q577" s="2">
        <v>57</v>
      </c>
      <c r="R577" s="2" t="b">
        <v>1</v>
      </c>
      <c r="S577" s="2">
        <v>0.68333333333333324</v>
      </c>
      <c r="T577" s="2">
        <v>0.70085470085470081</v>
      </c>
      <c r="U577" s="2">
        <v>0.66666666666666663</v>
      </c>
      <c r="V577" s="2" t="s">
        <v>63</v>
      </c>
      <c r="W577" s="2" t="s">
        <v>2236</v>
      </c>
      <c r="X577" s="2" t="s">
        <v>2237</v>
      </c>
      <c r="Y577" s="2" t="b">
        <v>1</v>
      </c>
      <c r="Z577" s="2" t="s">
        <v>67</v>
      </c>
      <c r="AA577" s="2">
        <v>2.5</v>
      </c>
      <c r="AB577" s="2" t="s">
        <v>49</v>
      </c>
    </row>
    <row r="578" spans="1:28" ht="15.75" hidden="1" customHeight="1" x14ac:dyDescent="0.3">
      <c r="A578" s="2" t="s">
        <v>360</v>
      </c>
      <c r="B578" s="2" t="s">
        <v>116</v>
      </c>
      <c r="C578" s="2" t="s">
        <v>939</v>
      </c>
      <c r="D578" s="2" t="s">
        <v>116</v>
      </c>
      <c r="E578" s="2" t="s">
        <v>82</v>
      </c>
      <c r="F578" s="2" t="s">
        <v>814</v>
      </c>
      <c r="G578" s="2" t="s">
        <v>42</v>
      </c>
      <c r="H578" s="2" t="s">
        <v>42</v>
      </c>
      <c r="I578" s="2" t="s">
        <v>47</v>
      </c>
      <c r="J578" s="2" t="s">
        <v>44</v>
      </c>
      <c r="K578" s="2" t="s">
        <v>2029</v>
      </c>
      <c r="L578" s="2" t="s">
        <v>1965</v>
      </c>
      <c r="M578" s="2" t="s">
        <v>1600</v>
      </c>
      <c r="N578" s="2" t="s">
        <v>2030</v>
      </c>
      <c r="O578" s="2" t="s">
        <v>1683</v>
      </c>
      <c r="P578" s="2" t="s">
        <v>1603</v>
      </c>
      <c r="Q578" s="2">
        <v>58</v>
      </c>
      <c r="R578" s="2" t="b">
        <v>1</v>
      </c>
      <c r="S578" s="2">
        <v>0.77777777777777779</v>
      </c>
      <c r="T578" s="2">
        <v>0.8045977011494253</v>
      </c>
      <c r="U578" s="2">
        <v>0.75268817204301075</v>
      </c>
      <c r="V578" s="2" t="s">
        <v>63</v>
      </c>
      <c r="W578" s="2" t="s">
        <v>2238</v>
      </c>
      <c r="X578" s="2" t="s">
        <v>2239</v>
      </c>
      <c r="Y578" s="2" t="b">
        <v>1</v>
      </c>
      <c r="Z578" s="2" t="s">
        <v>67</v>
      </c>
      <c r="AA578" s="2">
        <v>1.9</v>
      </c>
      <c r="AB578" s="2" t="s">
        <v>49</v>
      </c>
    </row>
    <row r="579" spans="1:28" ht="15.75" hidden="1" customHeight="1" x14ac:dyDescent="0.3">
      <c r="A579" s="2" t="s">
        <v>360</v>
      </c>
      <c r="B579" s="2" t="s">
        <v>116</v>
      </c>
      <c r="C579" s="2" t="s">
        <v>939</v>
      </c>
      <c r="D579" s="2" t="s">
        <v>116</v>
      </c>
      <c r="E579" s="2" t="s">
        <v>82</v>
      </c>
      <c r="F579" s="2" t="s">
        <v>814</v>
      </c>
      <c r="G579" s="2" t="s">
        <v>42</v>
      </c>
      <c r="H579" s="2" t="s">
        <v>42</v>
      </c>
      <c r="I579" s="2" t="s">
        <v>47</v>
      </c>
      <c r="J579" s="2" t="s">
        <v>44</v>
      </c>
      <c r="K579" s="2" t="s">
        <v>2033</v>
      </c>
      <c r="L579" s="2" t="s">
        <v>1965</v>
      </c>
      <c r="M579" s="2" t="s">
        <v>1600</v>
      </c>
      <c r="N579" s="2" t="s">
        <v>2034</v>
      </c>
      <c r="O579" s="2" t="s">
        <v>1688</v>
      </c>
      <c r="P579" s="2" t="s">
        <v>1603</v>
      </c>
      <c r="Q579" s="2">
        <v>59</v>
      </c>
      <c r="R579" s="2" t="b">
        <v>1</v>
      </c>
      <c r="S579" s="2">
        <v>0.76237623762376239</v>
      </c>
      <c r="T579" s="2">
        <v>0.79381443298969068</v>
      </c>
      <c r="U579" s="2">
        <v>0.73333333333333328</v>
      </c>
      <c r="V579" s="2" t="s">
        <v>63</v>
      </c>
      <c r="W579" s="2" t="s">
        <v>2240</v>
      </c>
      <c r="X579" s="2" t="s">
        <v>2241</v>
      </c>
      <c r="Y579" s="2" t="b">
        <v>1</v>
      </c>
      <c r="Z579" s="2" t="s">
        <v>67</v>
      </c>
      <c r="AA579" s="2">
        <v>2.2999999999999998</v>
      </c>
      <c r="AB579" s="2" t="s">
        <v>49</v>
      </c>
    </row>
    <row r="580" spans="1:28" ht="15.75" hidden="1" customHeight="1" x14ac:dyDescent="0.3">
      <c r="A580" s="2" t="s">
        <v>360</v>
      </c>
      <c r="B580" s="2" t="s">
        <v>116</v>
      </c>
      <c r="C580" s="2" t="s">
        <v>939</v>
      </c>
      <c r="D580" s="2" t="s">
        <v>116</v>
      </c>
      <c r="E580" s="2" t="s">
        <v>82</v>
      </c>
      <c r="F580" s="2" t="s">
        <v>814</v>
      </c>
      <c r="G580" s="2" t="s">
        <v>42</v>
      </c>
      <c r="H580" s="2" t="s">
        <v>42</v>
      </c>
      <c r="I580" s="2" t="s">
        <v>47</v>
      </c>
      <c r="J580" s="2" t="s">
        <v>44</v>
      </c>
      <c r="K580" s="2" t="s">
        <v>2037</v>
      </c>
      <c r="L580" s="2" t="s">
        <v>1965</v>
      </c>
      <c r="M580" s="2" t="s">
        <v>1600</v>
      </c>
      <c r="N580" s="2" t="s">
        <v>2038</v>
      </c>
      <c r="O580" s="2" t="s">
        <v>1693</v>
      </c>
      <c r="P580" s="2" t="s">
        <v>1603</v>
      </c>
      <c r="Q580" s="2">
        <v>60</v>
      </c>
      <c r="R580" s="2" t="b">
        <v>1</v>
      </c>
      <c r="S580" s="2">
        <v>0.76279069767441865</v>
      </c>
      <c r="T580" s="2">
        <v>0.81188118811881194</v>
      </c>
      <c r="U580" s="2">
        <v>0.7192982456140351</v>
      </c>
      <c r="V580" s="2" t="s">
        <v>63</v>
      </c>
      <c r="W580" s="2" t="s">
        <v>2242</v>
      </c>
      <c r="X580" s="2" t="s">
        <v>2243</v>
      </c>
      <c r="Y580" s="2" t="b">
        <v>1</v>
      </c>
      <c r="Z580" s="2" t="s">
        <v>67</v>
      </c>
      <c r="AA580" s="2">
        <v>2.2000000000000002</v>
      </c>
      <c r="AB580" s="2" t="s">
        <v>49</v>
      </c>
    </row>
    <row r="581" spans="1:28" ht="15.75" hidden="1" customHeight="1" x14ac:dyDescent="0.3">
      <c r="A581" s="2" t="s">
        <v>360</v>
      </c>
      <c r="B581" s="2" t="s">
        <v>116</v>
      </c>
      <c r="C581" s="2" t="s">
        <v>939</v>
      </c>
      <c r="D581" s="2" t="s">
        <v>116</v>
      </c>
      <c r="E581" s="2" t="s">
        <v>82</v>
      </c>
      <c r="F581" s="2" t="s">
        <v>814</v>
      </c>
      <c r="G581" s="2" t="s">
        <v>42</v>
      </c>
      <c r="H581" s="2" t="s">
        <v>42</v>
      </c>
      <c r="I581" s="2" t="s">
        <v>47</v>
      </c>
      <c r="J581" s="2" t="s">
        <v>44</v>
      </c>
      <c r="K581" s="2" t="s">
        <v>2041</v>
      </c>
      <c r="L581" s="2" t="s">
        <v>1965</v>
      </c>
      <c r="M581" s="2" t="s">
        <v>1600</v>
      </c>
      <c r="N581" s="2" t="s">
        <v>2042</v>
      </c>
      <c r="O581" s="2" t="s">
        <v>1698</v>
      </c>
      <c r="P581" s="2" t="s">
        <v>1603</v>
      </c>
      <c r="Q581" s="2">
        <v>61</v>
      </c>
      <c r="R581" s="2" t="b">
        <v>1</v>
      </c>
      <c r="S581" s="2">
        <v>0.67248908296943222</v>
      </c>
      <c r="T581" s="2">
        <v>0.7</v>
      </c>
      <c r="U581" s="2">
        <v>0.6470588235294118</v>
      </c>
      <c r="V581" s="2" t="s">
        <v>63</v>
      </c>
      <c r="W581" s="2" t="s">
        <v>2244</v>
      </c>
      <c r="X581" s="2" t="s">
        <v>2245</v>
      </c>
      <c r="Y581" s="2" t="b">
        <v>1</v>
      </c>
      <c r="Z581" s="2" t="s">
        <v>67</v>
      </c>
      <c r="AA581" s="2">
        <v>3.4</v>
      </c>
      <c r="AB581" s="2" t="s">
        <v>49</v>
      </c>
    </row>
    <row r="582" spans="1:28" ht="15.75" hidden="1" customHeight="1" x14ac:dyDescent="0.3">
      <c r="A582" s="2" t="s">
        <v>360</v>
      </c>
      <c r="B582" s="2" t="s">
        <v>116</v>
      </c>
      <c r="C582" s="2" t="s">
        <v>939</v>
      </c>
      <c r="D582" s="2" t="s">
        <v>116</v>
      </c>
      <c r="E582" s="2" t="s">
        <v>82</v>
      </c>
      <c r="F582" s="2" t="s">
        <v>814</v>
      </c>
      <c r="G582" s="2" t="s">
        <v>42</v>
      </c>
      <c r="H582" s="2" t="s">
        <v>42</v>
      </c>
      <c r="I582" s="2" t="s">
        <v>239</v>
      </c>
      <c r="J582" s="2" t="s">
        <v>71</v>
      </c>
      <c r="K582" s="2" t="s">
        <v>2045</v>
      </c>
      <c r="L582" s="2" t="s">
        <v>2046</v>
      </c>
      <c r="M582" s="2" t="s">
        <v>1703</v>
      </c>
      <c r="N582" s="2" t="s">
        <v>2047</v>
      </c>
      <c r="O582" s="2" t="s">
        <v>1705</v>
      </c>
      <c r="P582" s="2" t="s">
        <v>1706</v>
      </c>
      <c r="Q582" s="2">
        <v>42</v>
      </c>
      <c r="R582" s="2" t="b">
        <v>0</v>
      </c>
      <c r="S582" s="2">
        <v>0.62068965517241381</v>
      </c>
      <c r="T582" s="2">
        <v>0.66666666666666663</v>
      </c>
      <c r="U582" s="2">
        <v>0.58064516129032262</v>
      </c>
      <c r="V582" s="2" t="s">
        <v>63</v>
      </c>
      <c r="W582" s="2" t="s">
        <v>2246</v>
      </c>
      <c r="X582" s="2" t="s">
        <v>2247</v>
      </c>
      <c r="Y582" s="2" t="b">
        <v>1</v>
      </c>
      <c r="Z582" s="2" t="s">
        <v>67</v>
      </c>
      <c r="AA582" s="2">
        <v>2.6</v>
      </c>
      <c r="AB582" s="2" t="s">
        <v>49</v>
      </c>
    </row>
    <row r="583" spans="1:28" ht="15.75" hidden="1" customHeight="1" x14ac:dyDescent="0.3">
      <c r="A583" s="2" t="s">
        <v>360</v>
      </c>
      <c r="B583" s="2" t="s">
        <v>116</v>
      </c>
      <c r="C583" s="2" t="s">
        <v>939</v>
      </c>
      <c r="D583" s="2" t="s">
        <v>116</v>
      </c>
      <c r="E583" s="2" t="s">
        <v>82</v>
      </c>
      <c r="F583" s="2" t="s">
        <v>814</v>
      </c>
      <c r="G583" s="2" t="s">
        <v>42</v>
      </c>
      <c r="H583" s="2" t="s">
        <v>42</v>
      </c>
      <c r="I583" s="2" t="s">
        <v>239</v>
      </c>
      <c r="J583" s="2" t="s">
        <v>71</v>
      </c>
      <c r="K583" s="2" t="s">
        <v>2050</v>
      </c>
      <c r="L583" s="2" t="s">
        <v>2046</v>
      </c>
      <c r="M583" s="2" t="s">
        <v>1703</v>
      </c>
      <c r="N583" s="2" t="s">
        <v>2051</v>
      </c>
      <c r="O583" s="2" t="s">
        <v>1711</v>
      </c>
      <c r="P583" s="2" t="s">
        <v>1706</v>
      </c>
      <c r="Q583" s="2">
        <v>43</v>
      </c>
      <c r="R583" s="2" t="b">
        <v>0</v>
      </c>
      <c r="S583" s="2">
        <v>0.81355932203389836</v>
      </c>
      <c r="T583" s="2">
        <v>0.84955752212389379</v>
      </c>
      <c r="U583" s="2">
        <v>0.78048780487804881</v>
      </c>
      <c r="V583" s="2" t="s">
        <v>63</v>
      </c>
      <c r="W583" s="2" t="s">
        <v>2248</v>
      </c>
      <c r="X583" s="2" t="s">
        <v>2249</v>
      </c>
      <c r="Y583" s="2" t="b">
        <v>1</v>
      </c>
      <c r="Z583" s="2" t="s">
        <v>67</v>
      </c>
      <c r="AA583" s="2">
        <v>2.5</v>
      </c>
      <c r="AB583" s="2" t="s">
        <v>49</v>
      </c>
    </row>
    <row r="584" spans="1:28" ht="15.75" hidden="1" customHeight="1" x14ac:dyDescent="0.3">
      <c r="A584" s="2" t="s">
        <v>360</v>
      </c>
      <c r="B584" s="2" t="s">
        <v>116</v>
      </c>
      <c r="C584" s="2" t="s">
        <v>939</v>
      </c>
      <c r="D584" s="2" t="s">
        <v>116</v>
      </c>
      <c r="E584" s="2" t="s">
        <v>82</v>
      </c>
      <c r="F584" s="2" t="s">
        <v>814</v>
      </c>
      <c r="G584" s="2" t="s">
        <v>42</v>
      </c>
      <c r="H584" s="2" t="s">
        <v>42</v>
      </c>
      <c r="I584" s="2" t="s">
        <v>239</v>
      </c>
      <c r="J584" s="2" t="s">
        <v>71</v>
      </c>
      <c r="K584" s="2" t="s">
        <v>2054</v>
      </c>
      <c r="L584" s="2" t="s">
        <v>2046</v>
      </c>
      <c r="M584" s="2" t="s">
        <v>1703</v>
      </c>
      <c r="N584" s="2" t="s">
        <v>2055</v>
      </c>
      <c r="O584" s="2" t="s">
        <v>1716</v>
      </c>
      <c r="P584" s="2" t="s">
        <v>1706</v>
      </c>
      <c r="Q584" s="2">
        <v>44</v>
      </c>
      <c r="R584" s="2" t="b">
        <v>0</v>
      </c>
      <c r="S584" s="2">
        <v>0.71232876712328774</v>
      </c>
      <c r="T584" s="2">
        <v>0.7722772277227723</v>
      </c>
      <c r="U584" s="2">
        <v>0.66101694915254239</v>
      </c>
      <c r="V584" s="2" t="s">
        <v>63</v>
      </c>
      <c r="W584" s="2" t="s">
        <v>2250</v>
      </c>
      <c r="X584" s="2" t="s">
        <v>2251</v>
      </c>
      <c r="Y584" s="2" t="b">
        <v>1</v>
      </c>
      <c r="Z584" s="2" t="s">
        <v>67</v>
      </c>
      <c r="AA584" s="2">
        <v>1.9</v>
      </c>
      <c r="AB584" s="2" t="s">
        <v>49</v>
      </c>
    </row>
    <row r="585" spans="1:28" ht="15.75" hidden="1" customHeight="1" x14ac:dyDescent="0.3">
      <c r="A585" s="2" t="s">
        <v>360</v>
      </c>
      <c r="B585" s="2" t="s">
        <v>116</v>
      </c>
      <c r="C585" s="2" t="s">
        <v>939</v>
      </c>
      <c r="D585" s="2" t="s">
        <v>116</v>
      </c>
      <c r="E585" s="2" t="s">
        <v>82</v>
      </c>
      <c r="F585" s="2" t="s">
        <v>814</v>
      </c>
      <c r="G585" s="2" t="s">
        <v>42</v>
      </c>
      <c r="H585" s="2" t="s">
        <v>42</v>
      </c>
      <c r="I585" s="2" t="s">
        <v>239</v>
      </c>
      <c r="J585" s="2" t="s">
        <v>71</v>
      </c>
      <c r="K585" s="2" t="s">
        <v>2058</v>
      </c>
      <c r="L585" s="2" t="s">
        <v>2046</v>
      </c>
      <c r="M585" s="2" t="s">
        <v>1703</v>
      </c>
      <c r="N585" s="2" t="s">
        <v>2059</v>
      </c>
      <c r="O585" s="2" t="s">
        <v>1721</v>
      </c>
      <c r="P585" s="2" t="s">
        <v>1706</v>
      </c>
      <c r="Q585" s="2">
        <v>45</v>
      </c>
      <c r="R585" s="2" t="b">
        <v>0</v>
      </c>
      <c r="S585" s="2">
        <v>0.69787234042553192</v>
      </c>
      <c r="T585" s="2">
        <v>0.74545454545454548</v>
      </c>
      <c r="U585" s="2">
        <v>0.65600000000000003</v>
      </c>
      <c r="V585" s="2" t="s">
        <v>63</v>
      </c>
      <c r="W585" s="2" t="s">
        <v>2252</v>
      </c>
      <c r="X585" s="2" t="s">
        <v>2253</v>
      </c>
      <c r="Y585" s="2" t="b">
        <v>1</v>
      </c>
      <c r="Z585" s="2" t="s">
        <v>67</v>
      </c>
      <c r="AA585" s="2">
        <v>2.4</v>
      </c>
      <c r="AB585" s="2" t="s">
        <v>49</v>
      </c>
    </row>
    <row r="586" spans="1:28" ht="15.75" hidden="1" customHeight="1" x14ac:dyDescent="0.3">
      <c r="A586" s="2" t="s">
        <v>360</v>
      </c>
      <c r="B586" s="2" t="s">
        <v>116</v>
      </c>
      <c r="C586" s="2" t="s">
        <v>939</v>
      </c>
      <c r="D586" s="2" t="s">
        <v>116</v>
      </c>
      <c r="E586" s="2" t="s">
        <v>82</v>
      </c>
      <c r="F586" s="2" t="s">
        <v>814</v>
      </c>
      <c r="G586" s="2" t="s">
        <v>42</v>
      </c>
      <c r="H586" s="2" t="s">
        <v>42</v>
      </c>
      <c r="I586" s="2" t="s">
        <v>239</v>
      </c>
      <c r="J586" s="2" t="s">
        <v>71</v>
      </c>
      <c r="K586" s="2" t="s">
        <v>2062</v>
      </c>
      <c r="L586" s="2" t="s">
        <v>2046</v>
      </c>
      <c r="M586" s="2" t="s">
        <v>1703</v>
      </c>
      <c r="N586" s="2" t="s">
        <v>2063</v>
      </c>
      <c r="O586" s="2" t="s">
        <v>1726</v>
      </c>
      <c r="P586" s="2" t="s">
        <v>1706</v>
      </c>
      <c r="Q586" s="2">
        <v>46</v>
      </c>
      <c r="R586" s="2" t="b">
        <v>0</v>
      </c>
      <c r="S586" s="2">
        <v>0.81300813008130068</v>
      </c>
      <c r="T586" s="2">
        <v>0.85470085470085466</v>
      </c>
      <c r="U586" s="2">
        <v>0.77519379844961245</v>
      </c>
      <c r="V586" s="2" t="s">
        <v>63</v>
      </c>
      <c r="W586" s="2" t="s">
        <v>2254</v>
      </c>
      <c r="X586" s="2" t="s">
        <v>2255</v>
      </c>
      <c r="Y586" s="2" t="b">
        <v>1</v>
      </c>
      <c r="Z586" s="2" t="s">
        <v>67</v>
      </c>
      <c r="AA586" s="2">
        <v>2.2000000000000002</v>
      </c>
      <c r="AB586" s="2" t="s">
        <v>49</v>
      </c>
    </row>
    <row r="587" spans="1:28" ht="15.75" hidden="1" customHeight="1" x14ac:dyDescent="0.3">
      <c r="A587" s="2" t="s">
        <v>360</v>
      </c>
      <c r="B587" s="2" t="s">
        <v>116</v>
      </c>
      <c r="C587" s="2" t="s">
        <v>939</v>
      </c>
      <c r="D587" s="2" t="s">
        <v>116</v>
      </c>
      <c r="E587" s="2" t="s">
        <v>82</v>
      </c>
      <c r="F587" s="2" t="s">
        <v>814</v>
      </c>
      <c r="G587" s="2" t="s">
        <v>42</v>
      </c>
      <c r="H587" s="2" t="s">
        <v>42</v>
      </c>
      <c r="I587" s="2" t="s">
        <v>239</v>
      </c>
      <c r="J587" s="2" t="s">
        <v>71</v>
      </c>
      <c r="K587" s="2" t="s">
        <v>2066</v>
      </c>
      <c r="L587" s="2" t="s">
        <v>2046</v>
      </c>
      <c r="M587" s="2" t="s">
        <v>1703</v>
      </c>
      <c r="N587" s="2" t="s">
        <v>2067</v>
      </c>
      <c r="O587" s="2" t="s">
        <v>1731</v>
      </c>
      <c r="P587" s="2" t="s">
        <v>1706</v>
      </c>
      <c r="Q587" s="2">
        <v>47</v>
      </c>
      <c r="R587" s="2" t="b">
        <v>0</v>
      </c>
      <c r="S587" s="2">
        <v>0.81385281385281383</v>
      </c>
      <c r="T587" s="2">
        <v>0.82456140350877194</v>
      </c>
      <c r="U587" s="2">
        <v>0.80341880341880345</v>
      </c>
      <c r="V587" s="2" t="s">
        <v>63</v>
      </c>
      <c r="W587" s="2" t="s">
        <v>2256</v>
      </c>
      <c r="X587" s="2" t="s">
        <v>2257</v>
      </c>
      <c r="Y587" s="2" t="b">
        <v>1</v>
      </c>
      <c r="Z587" s="2" t="s">
        <v>67</v>
      </c>
      <c r="AA587" s="2">
        <v>3.6</v>
      </c>
      <c r="AB587" s="2" t="s">
        <v>49</v>
      </c>
    </row>
    <row r="588" spans="1:28" ht="15.75" hidden="1" customHeight="1" x14ac:dyDescent="0.3">
      <c r="A588" s="2" t="s">
        <v>360</v>
      </c>
      <c r="B588" s="2" t="s">
        <v>116</v>
      </c>
      <c r="C588" s="2" t="s">
        <v>939</v>
      </c>
      <c r="D588" s="2" t="s">
        <v>116</v>
      </c>
      <c r="E588" s="2" t="s">
        <v>82</v>
      </c>
      <c r="F588" s="2" t="s">
        <v>814</v>
      </c>
      <c r="G588" s="2" t="s">
        <v>42</v>
      </c>
      <c r="H588" s="2" t="s">
        <v>42</v>
      </c>
      <c r="I588" s="2" t="s">
        <v>239</v>
      </c>
      <c r="J588" s="2" t="s">
        <v>71</v>
      </c>
      <c r="K588" s="2" t="s">
        <v>2070</v>
      </c>
      <c r="L588" s="2" t="s">
        <v>2046</v>
      </c>
      <c r="M588" s="2" t="s">
        <v>1703</v>
      </c>
      <c r="N588" s="2" t="s">
        <v>2071</v>
      </c>
      <c r="O588" s="2" t="s">
        <v>1736</v>
      </c>
      <c r="P588" s="2" t="s">
        <v>1706</v>
      </c>
      <c r="Q588" s="2">
        <v>48</v>
      </c>
      <c r="R588" s="2" t="b">
        <v>0</v>
      </c>
      <c r="S588" s="2">
        <v>0.80608365019011408</v>
      </c>
      <c r="T588" s="2">
        <v>0.84126984126984128</v>
      </c>
      <c r="U588" s="2">
        <v>0.77372262773722633</v>
      </c>
      <c r="V588" s="2" t="s">
        <v>63</v>
      </c>
      <c r="W588" s="2" t="s">
        <v>2258</v>
      </c>
      <c r="X588" s="2" t="s">
        <v>2259</v>
      </c>
      <c r="Y588" s="2" t="b">
        <v>1</v>
      </c>
      <c r="Z588" s="2" t="s">
        <v>67</v>
      </c>
      <c r="AA588" s="2">
        <v>2.5</v>
      </c>
      <c r="AB588" s="2" t="s">
        <v>49</v>
      </c>
    </row>
    <row r="589" spans="1:28" ht="15.75" hidden="1" customHeight="1" x14ac:dyDescent="0.3">
      <c r="A589" s="2" t="s">
        <v>360</v>
      </c>
      <c r="B589" s="2" t="s">
        <v>116</v>
      </c>
      <c r="C589" s="2" t="s">
        <v>939</v>
      </c>
      <c r="D589" s="2" t="s">
        <v>116</v>
      </c>
      <c r="E589" s="2" t="s">
        <v>82</v>
      </c>
      <c r="F589" s="2" t="s">
        <v>814</v>
      </c>
      <c r="G589" s="2" t="s">
        <v>42</v>
      </c>
      <c r="H589" s="2" t="s">
        <v>42</v>
      </c>
      <c r="I589" s="2" t="s">
        <v>239</v>
      </c>
      <c r="J589" s="2" t="s">
        <v>71</v>
      </c>
      <c r="K589" s="2" t="s">
        <v>2074</v>
      </c>
      <c r="L589" s="2" t="s">
        <v>2046</v>
      </c>
      <c r="M589" s="2" t="s">
        <v>1703</v>
      </c>
      <c r="N589" s="2" t="s">
        <v>2075</v>
      </c>
      <c r="O589" s="2" t="s">
        <v>1741</v>
      </c>
      <c r="P589" s="2" t="s">
        <v>1706</v>
      </c>
      <c r="Q589" s="2">
        <v>49</v>
      </c>
      <c r="R589" s="2" t="b">
        <v>0</v>
      </c>
      <c r="S589" s="2">
        <v>0.76229508196721307</v>
      </c>
      <c r="T589" s="2">
        <v>0.78151260504201681</v>
      </c>
      <c r="U589" s="2">
        <v>0.74399999999999999</v>
      </c>
      <c r="V589" s="2" t="s">
        <v>63</v>
      </c>
      <c r="W589" s="2" t="s">
        <v>2260</v>
      </c>
      <c r="X589" s="2" t="s">
        <v>2261</v>
      </c>
      <c r="Y589" s="2" t="b">
        <v>1</v>
      </c>
      <c r="Z589" s="2" t="s">
        <v>67</v>
      </c>
      <c r="AA589" s="2">
        <v>2</v>
      </c>
      <c r="AB589" s="2" t="s">
        <v>49</v>
      </c>
    </row>
    <row r="590" spans="1:28" ht="15.75" hidden="1" customHeight="1" x14ac:dyDescent="0.3">
      <c r="A590" s="2" t="s">
        <v>360</v>
      </c>
      <c r="B590" s="2" t="s">
        <v>116</v>
      </c>
      <c r="C590" s="2" t="s">
        <v>939</v>
      </c>
      <c r="D590" s="2" t="s">
        <v>116</v>
      </c>
      <c r="E590" s="2" t="s">
        <v>82</v>
      </c>
      <c r="F590" s="2" t="s">
        <v>814</v>
      </c>
      <c r="G590" s="2" t="s">
        <v>42</v>
      </c>
      <c r="H590" s="2" t="s">
        <v>42</v>
      </c>
      <c r="I590" s="2" t="s">
        <v>239</v>
      </c>
      <c r="J590" s="2" t="s">
        <v>71</v>
      </c>
      <c r="K590" s="2" t="s">
        <v>2078</v>
      </c>
      <c r="L590" s="2" t="s">
        <v>2046</v>
      </c>
      <c r="M590" s="2" t="s">
        <v>1703</v>
      </c>
      <c r="N590" s="2" t="s">
        <v>2079</v>
      </c>
      <c r="O590" s="2" t="s">
        <v>1746</v>
      </c>
      <c r="P590" s="2" t="s">
        <v>1706</v>
      </c>
      <c r="Q590" s="2">
        <v>50</v>
      </c>
      <c r="R590" s="2" t="b">
        <v>0</v>
      </c>
      <c r="S590" s="2">
        <v>0.67873303167420818</v>
      </c>
      <c r="T590" s="2">
        <v>0.72115384615384615</v>
      </c>
      <c r="U590" s="2">
        <v>0.64102564102564108</v>
      </c>
      <c r="V590" s="2" t="s">
        <v>63</v>
      </c>
      <c r="W590" s="2" t="s">
        <v>2262</v>
      </c>
      <c r="X590" s="2" t="s">
        <v>2263</v>
      </c>
      <c r="Y590" s="2" t="b">
        <v>1</v>
      </c>
      <c r="Z590" s="2" t="s">
        <v>67</v>
      </c>
      <c r="AA590" s="2">
        <v>2.6</v>
      </c>
      <c r="AB590" s="2" t="s">
        <v>49</v>
      </c>
    </row>
    <row r="591" spans="1:28" ht="15.75" hidden="1" customHeight="1" x14ac:dyDescent="0.3">
      <c r="A591" s="2" t="s">
        <v>360</v>
      </c>
      <c r="B591" s="2" t="s">
        <v>116</v>
      </c>
      <c r="C591" s="2" t="s">
        <v>939</v>
      </c>
      <c r="D591" s="2" t="s">
        <v>116</v>
      </c>
      <c r="E591" s="2" t="s">
        <v>82</v>
      </c>
      <c r="F591" s="2" t="s">
        <v>814</v>
      </c>
      <c r="G591" s="2" t="s">
        <v>42</v>
      </c>
      <c r="H591" s="2" t="s">
        <v>42</v>
      </c>
      <c r="I591" s="2" t="s">
        <v>239</v>
      </c>
      <c r="J591" s="2" t="s">
        <v>71</v>
      </c>
      <c r="K591" s="2" t="s">
        <v>2082</v>
      </c>
      <c r="L591" s="2" t="s">
        <v>2046</v>
      </c>
      <c r="M591" s="2" t="s">
        <v>1703</v>
      </c>
      <c r="N591" s="2" t="s">
        <v>2083</v>
      </c>
      <c r="O591" s="2" t="s">
        <v>1751</v>
      </c>
      <c r="P591" s="2" t="s">
        <v>1706</v>
      </c>
      <c r="Q591" s="2">
        <v>51</v>
      </c>
      <c r="R591" s="2" t="b">
        <v>0</v>
      </c>
      <c r="S591" s="2">
        <v>0.78640776699029125</v>
      </c>
      <c r="T591" s="2">
        <v>0.80198019801980203</v>
      </c>
      <c r="U591" s="2">
        <v>0.77142857142857146</v>
      </c>
      <c r="V591" s="2" t="s">
        <v>63</v>
      </c>
      <c r="W591" s="2" t="s">
        <v>2264</v>
      </c>
      <c r="X591" s="2" t="s">
        <v>2265</v>
      </c>
      <c r="Y591" s="2" t="b">
        <v>1</v>
      </c>
      <c r="Z591" s="2" t="s">
        <v>67</v>
      </c>
      <c r="AA591" s="2">
        <v>1.8</v>
      </c>
      <c r="AB591" s="2" t="s">
        <v>49</v>
      </c>
    </row>
    <row r="592" spans="1:28" ht="15.75" hidden="1" customHeight="1" x14ac:dyDescent="0.3">
      <c r="A592" s="2" t="s">
        <v>360</v>
      </c>
      <c r="B592" s="2" t="s">
        <v>116</v>
      </c>
      <c r="C592" s="2" t="s">
        <v>939</v>
      </c>
      <c r="D592" s="2" t="s">
        <v>116</v>
      </c>
      <c r="E592" s="2" t="s">
        <v>82</v>
      </c>
      <c r="F592" s="2" t="s">
        <v>814</v>
      </c>
      <c r="G592" s="2" t="s">
        <v>42</v>
      </c>
      <c r="H592" s="2" t="s">
        <v>42</v>
      </c>
      <c r="I592" s="2" t="s">
        <v>239</v>
      </c>
      <c r="J592" s="2" t="s">
        <v>71</v>
      </c>
      <c r="K592" s="2" t="s">
        <v>2086</v>
      </c>
      <c r="L592" s="2" t="s">
        <v>2046</v>
      </c>
      <c r="M592" s="2" t="s">
        <v>1703</v>
      </c>
      <c r="N592" s="2" t="s">
        <v>2087</v>
      </c>
      <c r="O592" s="2" t="s">
        <v>1756</v>
      </c>
      <c r="P592" s="2" t="s">
        <v>1706</v>
      </c>
      <c r="Q592" s="2">
        <v>52</v>
      </c>
      <c r="R592" s="2" t="b">
        <v>0</v>
      </c>
      <c r="S592" s="2">
        <v>0.8035714285714286</v>
      </c>
      <c r="T592" s="2">
        <v>0.83333333333333337</v>
      </c>
      <c r="U592" s="2">
        <v>0.77586206896551724</v>
      </c>
      <c r="V592" s="2" t="s">
        <v>63</v>
      </c>
      <c r="W592" s="2" t="s">
        <v>2266</v>
      </c>
      <c r="X592" s="2" t="s">
        <v>2267</v>
      </c>
      <c r="Y592" s="2" t="b">
        <v>1</v>
      </c>
      <c r="Z592" s="2" t="s">
        <v>67</v>
      </c>
      <c r="AA592" s="2">
        <v>3</v>
      </c>
      <c r="AB592" s="2" t="s">
        <v>49</v>
      </c>
    </row>
    <row r="593" spans="1:28" ht="15.75" hidden="1" customHeight="1" x14ac:dyDescent="0.3">
      <c r="A593" s="2" t="s">
        <v>360</v>
      </c>
      <c r="B593" s="2" t="s">
        <v>116</v>
      </c>
      <c r="C593" s="2" t="s">
        <v>939</v>
      </c>
      <c r="D593" s="2" t="s">
        <v>116</v>
      </c>
      <c r="E593" s="2" t="s">
        <v>82</v>
      </c>
      <c r="F593" s="2" t="s">
        <v>814</v>
      </c>
      <c r="G593" s="2" t="s">
        <v>42</v>
      </c>
      <c r="H593" s="2" t="s">
        <v>42</v>
      </c>
      <c r="I593" s="2" t="s">
        <v>239</v>
      </c>
      <c r="J593" s="2" t="s">
        <v>71</v>
      </c>
      <c r="K593" s="2" t="s">
        <v>2090</v>
      </c>
      <c r="L593" s="2" t="s">
        <v>2046</v>
      </c>
      <c r="M593" s="2" t="s">
        <v>1703</v>
      </c>
      <c r="N593" s="2" t="s">
        <v>2091</v>
      </c>
      <c r="O593" s="2" t="s">
        <v>1761</v>
      </c>
      <c r="P593" s="2" t="s">
        <v>1706</v>
      </c>
      <c r="Q593" s="2">
        <v>53</v>
      </c>
      <c r="R593" s="2" t="b">
        <v>0</v>
      </c>
      <c r="S593" s="2">
        <v>0.69035532994923865</v>
      </c>
      <c r="T593" s="2">
        <v>0.74725274725274726</v>
      </c>
      <c r="U593" s="2">
        <v>0.64150943396226412</v>
      </c>
      <c r="V593" s="2" t="s">
        <v>63</v>
      </c>
      <c r="W593" s="2" t="s">
        <v>2268</v>
      </c>
      <c r="X593" s="2" t="s">
        <v>2269</v>
      </c>
      <c r="Y593" s="2" t="b">
        <v>1</v>
      </c>
      <c r="Z593" s="2" t="s">
        <v>67</v>
      </c>
      <c r="AA593" s="2">
        <v>3</v>
      </c>
      <c r="AB593" s="2" t="s">
        <v>49</v>
      </c>
    </row>
    <row r="594" spans="1:28" ht="15.75" hidden="1" customHeight="1" x14ac:dyDescent="0.3">
      <c r="A594" s="2" t="s">
        <v>360</v>
      </c>
      <c r="B594" s="2" t="s">
        <v>116</v>
      </c>
      <c r="C594" s="2" t="s">
        <v>939</v>
      </c>
      <c r="D594" s="2" t="s">
        <v>116</v>
      </c>
      <c r="E594" s="2" t="s">
        <v>82</v>
      </c>
      <c r="F594" s="2" t="s">
        <v>814</v>
      </c>
      <c r="G594" s="2" t="s">
        <v>42</v>
      </c>
      <c r="H594" s="2" t="s">
        <v>42</v>
      </c>
      <c r="I594" s="2" t="s">
        <v>239</v>
      </c>
      <c r="J594" s="2" t="s">
        <v>71</v>
      </c>
      <c r="K594" s="2" t="s">
        <v>2094</v>
      </c>
      <c r="L594" s="2" t="s">
        <v>2046</v>
      </c>
      <c r="M594" s="2" t="s">
        <v>1703</v>
      </c>
      <c r="N594" s="2" t="s">
        <v>2095</v>
      </c>
      <c r="O594" s="2" t="s">
        <v>1766</v>
      </c>
      <c r="P594" s="2" t="s">
        <v>1706</v>
      </c>
      <c r="Q594" s="2">
        <v>54</v>
      </c>
      <c r="R594" s="2" t="b">
        <v>0</v>
      </c>
      <c r="S594" s="2">
        <v>0.76068376068376065</v>
      </c>
      <c r="T594" s="2">
        <v>0.80909090909090908</v>
      </c>
      <c r="U594" s="2">
        <v>0.717741935483871</v>
      </c>
      <c r="V594" s="2" t="s">
        <v>63</v>
      </c>
      <c r="W594" s="2" t="s">
        <v>2270</v>
      </c>
      <c r="X594" s="2" t="s">
        <v>2271</v>
      </c>
      <c r="Y594" s="2" t="b">
        <v>1</v>
      </c>
      <c r="Z594" s="2" t="s">
        <v>67</v>
      </c>
      <c r="AA594" s="2">
        <v>2.5</v>
      </c>
      <c r="AB594" s="2" t="s">
        <v>49</v>
      </c>
    </row>
    <row r="595" spans="1:28" ht="15.75" hidden="1" customHeight="1" x14ac:dyDescent="0.3">
      <c r="A595" s="2" t="s">
        <v>360</v>
      </c>
      <c r="B595" s="2" t="s">
        <v>116</v>
      </c>
      <c r="C595" s="2" t="s">
        <v>939</v>
      </c>
      <c r="D595" s="2" t="s">
        <v>116</v>
      </c>
      <c r="E595" s="2" t="s">
        <v>82</v>
      </c>
      <c r="F595" s="2" t="s">
        <v>814</v>
      </c>
      <c r="G595" s="2" t="s">
        <v>42</v>
      </c>
      <c r="H595" s="2" t="s">
        <v>42</v>
      </c>
      <c r="I595" s="2" t="s">
        <v>239</v>
      </c>
      <c r="J595" s="2" t="s">
        <v>71</v>
      </c>
      <c r="K595" s="2" t="s">
        <v>2098</v>
      </c>
      <c r="L595" s="2" t="s">
        <v>2046</v>
      </c>
      <c r="M595" s="2" t="s">
        <v>1703</v>
      </c>
      <c r="N595" s="2" t="s">
        <v>2099</v>
      </c>
      <c r="O595" s="2" t="s">
        <v>1771</v>
      </c>
      <c r="P595" s="2" t="s">
        <v>1706</v>
      </c>
      <c r="Q595" s="2">
        <v>55</v>
      </c>
      <c r="R595" s="2" t="b">
        <v>0</v>
      </c>
      <c r="S595" s="2">
        <v>0.77178423236514515</v>
      </c>
      <c r="T595" s="2">
        <v>0.81578947368421051</v>
      </c>
      <c r="U595" s="2">
        <v>0.73228346456692917</v>
      </c>
      <c r="V595" s="2" t="s">
        <v>63</v>
      </c>
      <c r="W595" s="2" t="s">
        <v>2272</v>
      </c>
      <c r="X595" s="2" t="s">
        <v>2273</v>
      </c>
      <c r="Y595" s="2" t="b">
        <v>1</v>
      </c>
      <c r="Z595" s="2" t="s">
        <v>67</v>
      </c>
      <c r="AA595" s="2">
        <v>2.1</v>
      </c>
      <c r="AB595" s="2" t="s">
        <v>49</v>
      </c>
    </row>
    <row r="596" spans="1:28" ht="15.75" hidden="1" customHeight="1" x14ac:dyDescent="0.3">
      <c r="A596" s="2" t="s">
        <v>360</v>
      </c>
      <c r="B596" s="2" t="s">
        <v>116</v>
      </c>
      <c r="C596" s="2" t="s">
        <v>939</v>
      </c>
      <c r="D596" s="2" t="s">
        <v>116</v>
      </c>
      <c r="E596" s="2" t="s">
        <v>82</v>
      </c>
      <c r="F596" s="2" t="s">
        <v>814</v>
      </c>
      <c r="G596" s="2" t="s">
        <v>42</v>
      </c>
      <c r="H596" s="2" t="s">
        <v>42</v>
      </c>
      <c r="I596" s="2" t="s">
        <v>239</v>
      </c>
      <c r="J596" s="2" t="s">
        <v>71</v>
      </c>
      <c r="K596" s="2" t="s">
        <v>2102</v>
      </c>
      <c r="L596" s="2" t="s">
        <v>2046</v>
      </c>
      <c r="M596" s="2" t="s">
        <v>1703</v>
      </c>
      <c r="N596" s="2" t="s">
        <v>2103</v>
      </c>
      <c r="O596" s="2" t="s">
        <v>1776</v>
      </c>
      <c r="P596" s="2" t="s">
        <v>1706</v>
      </c>
      <c r="Q596" s="2">
        <v>56</v>
      </c>
      <c r="R596" s="2" t="b">
        <v>0</v>
      </c>
      <c r="S596" s="2">
        <v>0.81171548117154801</v>
      </c>
      <c r="T596" s="2">
        <v>0.83620689655172409</v>
      </c>
      <c r="U596" s="2">
        <v>0.78861788617886175</v>
      </c>
      <c r="V596" s="2" t="s">
        <v>63</v>
      </c>
      <c r="W596" s="2" t="s">
        <v>2274</v>
      </c>
      <c r="X596" s="2" t="s">
        <v>2275</v>
      </c>
      <c r="Y596" s="2" t="b">
        <v>1</v>
      </c>
      <c r="Z596" s="2" t="s">
        <v>67</v>
      </c>
      <c r="AA596" s="2">
        <v>2</v>
      </c>
      <c r="AB596" s="2" t="s">
        <v>49</v>
      </c>
    </row>
    <row r="597" spans="1:28" ht="15.75" hidden="1" customHeight="1" x14ac:dyDescent="0.3">
      <c r="A597" s="2" t="s">
        <v>360</v>
      </c>
      <c r="B597" s="2" t="s">
        <v>116</v>
      </c>
      <c r="C597" s="2" t="s">
        <v>939</v>
      </c>
      <c r="D597" s="2" t="s">
        <v>116</v>
      </c>
      <c r="E597" s="2" t="s">
        <v>82</v>
      </c>
      <c r="F597" s="2" t="s">
        <v>814</v>
      </c>
      <c r="G597" s="2" t="s">
        <v>42</v>
      </c>
      <c r="H597" s="2" t="s">
        <v>42</v>
      </c>
      <c r="I597" s="2" t="s">
        <v>239</v>
      </c>
      <c r="J597" s="2" t="s">
        <v>71</v>
      </c>
      <c r="K597" s="2" t="s">
        <v>2106</v>
      </c>
      <c r="L597" s="2" t="s">
        <v>2046</v>
      </c>
      <c r="M597" s="2" t="s">
        <v>1703</v>
      </c>
      <c r="N597" s="2" t="s">
        <v>2107</v>
      </c>
      <c r="O597" s="2" t="s">
        <v>1781</v>
      </c>
      <c r="P597" s="2" t="s">
        <v>1706</v>
      </c>
      <c r="Q597" s="2">
        <v>57</v>
      </c>
      <c r="R597" s="2" t="b">
        <v>0</v>
      </c>
      <c r="S597" s="2">
        <v>0.79130434782608694</v>
      </c>
      <c r="T597" s="2">
        <v>0.84259259259259256</v>
      </c>
      <c r="U597" s="2">
        <v>0.74590163934426235</v>
      </c>
      <c r="V597" s="2" t="s">
        <v>63</v>
      </c>
      <c r="W597" s="2" t="s">
        <v>2276</v>
      </c>
      <c r="X597" s="2" t="s">
        <v>2277</v>
      </c>
      <c r="Y597" s="2" t="b">
        <v>1</v>
      </c>
      <c r="Z597" s="2" t="s">
        <v>67</v>
      </c>
      <c r="AA597" s="2">
        <v>3.3</v>
      </c>
      <c r="AB597" s="2" t="s">
        <v>49</v>
      </c>
    </row>
    <row r="598" spans="1:28" ht="15.75" hidden="1" customHeight="1" x14ac:dyDescent="0.3">
      <c r="A598" s="2" t="s">
        <v>360</v>
      </c>
      <c r="B598" s="2" t="s">
        <v>116</v>
      </c>
      <c r="C598" s="2" t="s">
        <v>939</v>
      </c>
      <c r="D598" s="2" t="s">
        <v>116</v>
      </c>
      <c r="E598" s="2" t="s">
        <v>82</v>
      </c>
      <c r="F598" s="2" t="s">
        <v>814</v>
      </c>
      <c r="G598" s="2" t="s">
        <v>42</v>
      </c>
      <c r="H598" s="2" t="s">
        <v>42</v>
      </c>
      <c r="I598" s="2" t="s">
        <v>239</v>
      </c>
      <c r="J598" s="2" t="s">
        <v>71</v>
      </c>
      <c r="K598" s="2" t="s">
        <v>2110</v>
      </c>
      <c r="L598" s="2" t="s">
        <v>2046</v>
      </c>
      <c r="M598" s="2" t="s">
        <v>1703</v>
      </c>
      <c r="N598" s="2" t="s">
        <v>2111</v>
      </c>
      <c r="O598" s="2" t="s">
        <v>1786</v>
      </c>
      <c r="P598" s="2" t="s">
        <v>1706</v>
      </c>
      <c r="Q598" s="2">
        <v>58</v>
      </c>
      <c r="R598" s="2" t="b">
        <v>0</v>
      </c>
      <c r="S598" s="2">
        <v>0.72448979591836749</v>
      </c>
      <c r="T598" s="2">
        <v>0.77173913043478259</v>
      </c>
      <c r="U598" s="2">
        <v>0.68269230769230771</v>
      </c>
      <c r="V598" s="2" t="s">
        <v>63</v>
      </c>
      <c r="W598" s="2" t="s">
        <v>2278</v>
      </c>
      <c r="X598" s="2" t="s">
        <v>2279</v>
      </c>
      <c r="Y598" s="2" t="b">
        <v>1</v>
      </c>
      <c r="Z598" s="2" t="s">
        <v>67</v>
      </c>
      <c r="AA598" s="2">
        <v>3.3</v>
      </c>
      <c r="AB598" s="2" t="s">
        <v>49</v>
      </c>
    </row>
    <row r="599" spans="1:28" ht="15.75" hidden="1" customHeight="1" x14ac:dyDescent="0.3">
      <c r="A599" s="2" t="s">
        <v>360</v>
      </c>
      <c r="B599" s="2" t="s">
        <v>116</v>
      </c>
      <c r="C599" s="2" t="s">
        <v>939</v>
      </c>
      <c r="D599" s="2" t="s">
        <v>116</v>
      </c>
      <c r="E599" s="2" t="s">
        <v>82</v>
      </c>
      <c r="F599" s="2" t="s">
        <v>814</v>
      </c>
      <c r="G599" s="2" t="s">
        <v>42</v>
      </c>
      <c r="H599" s="2" t="s">
        <v>42</v>
      </c>
      <c r="I599" s="2" t="s">
        <v>239</v>
      </c>
      <c r="J599" s="2" t="s">
        <v>71</v>
      </c>
      <c r="K599" s="2" t="s">
        <v>2114</v>
      </c>
      <c r="L599" s="2" t="s">
        <v>2046</v>
      </c>
      <c r="M599" s="2" t="s">
        <v>1703</v>
      </c>
      <c r="N599" s="2" t="s">
        <v>2115</v>
      </c>
      <c r="O599" s="2" t="s">
        <v>1791</v>
      </c>
      <c r="P599" s="2" t="s">
        <v>1706</v>
      </c>
      <c r="Q599" s="2">
        <v>59</v>
      </c>
      <c r="R599" s="2" t="b">
        <v>0</v>
      </c>
      <c r="S599" s="2">
        <v>0.82553191489361699</v>
      </c>
      <c r="T599" s="2">
        <v>0.8660714285714286</v>
      </c>
      <c r="U599" s="2">
        <v>0.78861788617886175</v>
      </c>
      <c r="V599" s="2" t="s">
        <v>63</v>
      </c>
      <c r="W599" s="2" t="s">
        <v>2280</v>
      </c>
      <c r="X599" s="2" t="s">
        <v>2281</v>
      </c>
      <c r="Y599" s="2" t="b">
        <v>1</v>
      </c>
      <c r="Z599" s="2" t="s">
        <v>67</v>
      </c>
      <c r="AA599" s="2">
        <v>2</v>
      </c>
      <c r="AB599" s="2" t="s">
        <v>49</v>
      </c>
    </row>
    <row r="600" spans="1:28" ht="15.75" hidden="1" customHeight="1" x14ac:dyDescent="0.3">
      <c r="A600" s="2" t="s">
        <v>360</v>
      </c>
      <c r="B600" s="2" t="s">
        <v>116</v>
      </c>
      <c r="C600" s="2" t="s">
        <v>939</v>
      </c>
      <c r="D600" s="2" t="s">
        <v>116</v>
      </c>
      <c r="E600" s="2" t="s">
        <v>82</v>
      </c>
      <c r="F600" s="2" t="s">
        <v>814</v>
      </c>
      <c r="G600" s="2" t="s">
        <v>42</v>
      </c>
      <c r="H600" s="2" t="s">
        <v>42</v>
      </c>
      <c r="I600" s="2" t="s">
        <v>239</v>
      </c>
      <c r="J600" s="2" t="s">
        <v>71</v>
      </c>
      <c r="K600" s="2" t="s">
        <v>2118</v>
      </c>
      <c r="L600" s="2" t="s">
        <v>2046</v>
      </c>
      <c r="M600" s="2" t="s">
        <v>1703</v>
      </c>
      <c r="N600" s="2" t="s">
        <v>2119</v>
      </c>
      <c r="O600" s="2" t="s">
        <v>1796</v>
      </c>
      <c r="P600" s="2" t="s">
        <v>1706</v>
      </c>
      <c r="Q600" s="2">
        <v>60</v>
      </c>
      <c r="R600" s="2" t="b">
        <v>0</v>
      </c>
      <c r="S600" s="2">
        <v>0.7219512195121951</v>
      </c>
      <c r="T600" s="2">
        <v>0.79569892473118276</v>
      </c>
      <c r="U600" s="2">
        <v>0.6607142857142857</v>
      </c>
      <c r="V600" s="2" t="s">
        <v>63</v>
      </c>
      <c r="W600" s="2" t="s">
        <v>2282</v>
      </c>
      <c r="X600" s="2" t="s">
        <v>2283</v>
      </c>
      <c r="Y600" s="2" t="b">
        <v>1</v>
      </c>
      <c r="Z600" s="2" t="s">
        <v>67</v>
      </c>
      <c r="AA600" s="2">
        <v>2.1</v>
      </c>
      <c r="AB600" s="2" t="s">
        <v>49</v>
      </c>
    </row>
    <row r="601" spans="1:28" ht="15.75" hidden="1" customHeight="1" x14ac:dyDescent="0.3">
      <c r="A601" s="2" t="s">
        <v>360</v>
      </c>
      <c r="B601" s="2" t="s">
        <v>116</v>
      </c>
      <c r="C601" s="2" t="s">
        <v>939</v>
      </c>
      <c r="D601" s="2" t="s">
        <v>116</v>
      </c>
      <c r="E601" s="2" t="s">
        <v>82</v>
      </c>
      <c r="F601" s="2" t="s">
        <v>814</v>
      </c>
      <c r="G601" s="2" t="s">
        <v>42</v>
      </c>
      <c r="H601" s="2" t="s">
        <v>42</v>
      </c>
      <c r="I601" s="2" t="s">
        <v>239</v>
      </c>
      <c r="J601" s="2" t="s">
        <v>71</v>
      </c>
      <c r="K601" s="2" t="s">
        <v>2122</v>
      </c>
      <c r="L601" s="2" t="s">
        <v>2046</v>
      </c>
      <c r="M601" s="2" t="s">
        <v>1703</v>
      </c>
      <c r="N601" s="2" t="s">
        <v>2123</v>
      </c>
      <c r="O601" s="2" t="s">
        <v>1801</v>
      </c>
      <c r="P601" s="2" t="s">
        <v>1706</v>
      </c>
      <c r="Q601" s="2">
        <v>61</v>
      </c>
      <c r="R601" s="2" t="b">
        <v>0</v>
      </c>
      <c r="S601" s="2">
        <v>0.67647058823529405</v>
      </c>
      <c r="T601" s="2">
        <v>0.71875</v>
      </c>
      <c r="U601" s="2">
        <v>0.63888888888888884</v>
      </c>
      <c r="V601" s="2" t="s">
        <v>63</v>
      </c>
      <c r="W601" s="2" t="s">
        <v>2284</v>
      </c>
      <c r="X601" s="2" t="s">
        <v>2285</v>
      </c>
      <c r="Y601" s="2" t="b">
        <v>1</v>
      </c>
      <c r="Z601" s="2" t="s">
        <v>67</v>
      </c>
      <c r="AA601" s="2">
        <v>2.5</v>
      </c>
      <c r="AB601" s="2" t="s">
        <v>49</v>
      </c>
    </row>
    <row r="602" spans="1:28" ht="15.75" hidden="1" customHeight="1" x14ac:dyDescent="0.3">
      <c r="A602" s="2" t="s">
        <v>45</v>
      </c>
      <c r="B602" s="2" t="s">
        <v>32</v>
      </c>
      <c r="C602" s="2" t="s">
        <v>1262</v>
      </c>
      <c r="D602" s="2" t="s">
        <v>32</v>
      </c>
      <c r="E602" s="2" t="s">
        <v>43</v>
      </c>
      <c r="F602" s="2" t="s">
        <v>46</v>
      </c>
      <c r="G602" s="2" t="s">
        <v>42</v>
      </c>
      <c r="H602" s="2" t="s">
        <v>42</v>
      </c>
      <c r="I602" s="2" t="s">
        <v>47</v>
      </c>
      <c r="J602" s="2" t="s">
        <v>44</v>
      </c>
      <c r="K602" s="2" t="s">
        <v>2286</v>
      </c>
      <c r="L602" s="2" t="s">
        <v>2287</v>
      </c>
      <c r="M602" s="2" t="s">
        <v>1600</v>
      </c>
      <c r="N602" s="2" t="s">
        <v>2288</v>
      </c>
      <c r="O602" s="2" t="s">
        <v>1602</v>
      </c>
      <c r="P602" s="2" t="s">
        <v>1603</v>
      </c>
      <c r="Q602" s="2">
        <v>42</v>
      </c>
      <c r="R602" s="2" t="b">
        <v>1</v>
      </c>
      <c r="S602" s="2">
        <v>0.8614718614718615</v>
      </c>
      <c r="T602" s="2">
        <v>0.8504273504273504</v>
      </c>
      <c r="U602" s="2">
        <v>0.8728070175438597</v>
      </c>
      <c r="V602" s="2" t="s">
        <v>63</v>
      </c>
      <c r="W602" s="2" t="s">
        <v>2289</v>
      </c>
      <c r="X602" s="2" t="s">
        <v>2290</v>
      </c>
      <c r="Y602" s="2" t="b">
        <v>0</v>
      </c>
      <c r="Z602" s="2" t="s">
        <v>67</v>
      </c>
      <c r="AA602" s="2">
        <v>265.60000000000002</v>
      </c>
      <c r="AB602" s="2" t="s">
        <v>49</v>
      </c>
    </row>
    <row r="603" spans="1:28" ht="15.75" hidden="1" customHeight="1" x14ac:dyDescent="0.3">
      <c r="A603" s="2" t="s">
        <v>45</v>
      </c>
      <c r="B603" s="2" t="s">
        <v>32</v>
      </c>
      <c r="C603" s="2" t="s">
        <v>1262</v>
      </c>
      <c r="D603" s="2" t="s">
        <v>32</v>
      </c>
      <c r="E603" s="2" t="s">
        <v>43</v>
      </c>
      <c r="F603" s="2" t="s">
        <v>46</v>
      </c>
      <c r="G603" s="2" t="s">
        <v>42</v>
      </c>
      <c r="H603" s="2" t="s">
        <v>42</v>
      </c>
      <c r="I603" s="2" t="s">
        <v>47</v>
      </c>
      <c r="J603" s="2" t="s">
        <v>44</v>
      </c>
      <c r="K603" s="2" t="s">
        <v>2291</v>
      </c>
      <c r="L603" s="2" t="s">
        <v>2287</v>
      </c>
      <c r="M603" s="2" t="s">
        <v>1600</v>
      </c>
      <c r="N603" s="2" t="s">
        <v>2292</v>
      </c>
      <c r="O603" s="2" t="s">
        <v>1608</v>
      </c>
      <c r="P603" s="2" t="s">
        <v>1603</v>
      </c>
      <c r="Q603" s="2">
        <v>43</v>
      </c>
      <c r="R603" s="2" t="b">
        <v>1</v>
      </c>
      <c r="S603" s="2">
        <v>0.78365384615384603</v>
      </c>
      <c r="T603" s="2">
        <v>0.75813953488372088</v>
      </c>
      <c r="U603" s="2">
        <v>0.81094527363184077</v>
      </c>
      <c r="V603" s="2" t="s">
        <v>63</v>
      </c>
      <c r="W603" s="2" t="s">
        <v>2293</v>
      </c>
      <c r="X603" s="2" t="s">
        <v>2294</v>
      </c>
      <c r="Y603" s="2" t="b">
        <v>0</v>
      </c>
      <c r="Z603" s="2" t="s">
        <v>67</v>
      </c>
      <c r="AA603" s="2">
        <v>238.5</v>
      </c>
      <c r="AB603" s="2" t="s">
        <v>49</v>
      </c>
    </row>
    <row r="604" spans="1:28" ht="15.75" hidden="1" customHeight="1" x14ac:dyDescent="0.3">
      <c r="A604" s="2" t="s">
        <v>45</v>
      </c>
      <c r="B604" s="2" t="s">
        <v>32</v>
      </c>
      <c r="C604" s="2" t="s">
        <v>1262</v>
      </c>
      <c r="D604" s="2" t="s">
        <v>32</v>
      </c>
      <c r="E604" s="2" t="s">
        <v>43</v>
      </c>
      <c r="F604" s="2" t="s">
        <v>46</v>
      </c>
      <c r="G604" s="2" t="s">
        <v>42</v>
      </c>
      <c r="H604" s="2" t="s">
        <v>42</v>
      </c>
      <c r="I604" s="2" t="s">
        <v>47</v>
      </c>
      <c r="J604" s="2" t="s">
        <v>44</v>
      </c>
      <c r="K604" s="2" t="s">
        <v>2295</v>
      </c>
      <c r="L604" s="2" t="s">
        <v>2287</v>
      </c>
      <c r="M604" s="2" t="s">
        <v>1600</v>
      </c>
      <c r="N604" s="2" t="s">
        <v>2296</v>
      </c>
      <c r="O604" s="2" t="s">
        <v>1613</v>
      </c>
      <c r="P604" s="2" t="s">
        <v>1603</v>
      </c>
      <c r="Q604" s="2">
        <v>44</v>
      </c>
      <c r="R604" s="2" t="b">
        <v>1</v>
      </c>
      <c r="S604" s="2">
        <v>0.84878048780487803</v>
      </c>
      <c r="T604" s="2">
        <v>0.87</v>
      </c>
      <c r="U604" s="2">
        <v>0.82857142857142863</v>
      </c>
      <c r="V604" s="2" t="s">
        <v>63</v>
      </c>
      <c r="W604" s="2" t="s">
        <v>2297</v>
      </c>
      <c r="X604" s="2" t="s">
        <v>2298</v>
      </c>
      <c r="Y604" s="2" t="b">
        <v>0</v>
      </c>
      <c r="Z604" s="2" t="s">
        <v>67</v>
      </c>
      <c r="AA604" s="2">
        <v>226.6</v>
      </c>
      <c r="AB604" s="2" t="s">
        <v>49</v>
      </c>
    </row>
    <row r="605" spans="1:28" ht="15.75" hidden="1" customHeight="1" x14ac:dyDescent="0.3">
      <c r="A605" s="2" t="s">
        <v>45</v>
      </c>
      <c r="B605" s="2" t="s">
        <v>32</v>
      </c>
      <c r="C605" s="2" t="s">
        <v>1262</v>
      </c>
      <c r="D605" s="2" t="s">
        <v>32</v>
      </c>
      <c r="E605" s="2" t="s">
        <v>43</v>
      </c>
      <c r="F605" s="2" t="s">
        <v>46</v>
      </c>
      <c r="G605" s="2" t="s">
        <v>42</v>
      </c>
      <c r="H605" s="2" t="s">
        <v>42</v>
      </c>
      <c r="I605" s="2" t="s">
        <v>47</v>
      </c>
      <c r="J605" s="2" t="s">
        <v>44</v>
      </c>
      <c r="K605" s="2" t="s">
        <v>2299</v>
      </c>
      <c r="L605" s="2" t="s">
        <v>2287</v>
      </c>
      <c r="M605" s="2" t="s">
        <v>1600</v>
      </c>
      <c r="N605" s="2" t="s">
        <v>2300</v>
      </c>
      <c r="O605" s="2" t="s">
        <v>1618</v>
      </c>
      <c r="P605" s="2" t="s">
        <v>1603</v>
      </c>
      <c r="Q605" s="2">
        <v>45</v>
      </c>
      <c r="R605" s="2" t="b">
        <v>1</v>
      </c>
      <c r="S605" s="2">
        <v>0.82352941176470584</v>
      </c>
      <c r="T605" s="2">
        <v>0.86096256684491979</v>
      </c>
      <c r="U605" s="2">
        <v>0.78921568627450978</v>
      </c>
      <c r="V605" s="2" t="s">
        <v>63</v>
      </c>
      <c r="W605" s="2" t="s">
        <v>2301</v>
      </c>
      <c r="X605" s="2" t="s">
        <v>2302</v>
      </c>
      <c r="Y605" s="2" t="b">
        <v>0</v>
      </c>
      <c r="Z605" s="2" t="s">
        <v>67</v>
      </c>
      <c r="AA605" s="2">
        <v>243.2</v>
      </c>
      <c r="AB605" s="2" t="s">
        <v>49</v>
      </c>
    </row>
    <row r="606" spans="1:28" ht="15.75" hidden="1" customHeight="1" x14ac:dyDescent="0.3">
      <c r="A606" s="2" t="s">
        <v>45</v>
      </c>
      <c r="B606" s="2" t="s">
        <v>32</v>
      </c>
      <c r="C606" s="2" t="s">
        <v>1262</v>
      </c>
      <c r="D606" s="2" t="s">
        <v>32</v>
      </c>
      <c r="E606" s="2" t="s">
        <v>43</v>
      </c>
      <c r="F606" s="2" t="s">
        <v>46</v>
      </c>
      <c r="G606" s="2" t="s">
        <v>42</v>
      </c>
      <c r="H606" s="2" t="s">
        <v>42</v>
      </c>
      <c r="I606" s="2" t="s">
        <v>47</v>
      </c>
      <c r="J606" s="2" t="s">
        <v>44</v>
      </c>
      <c r="K606" s="2" t="s">
        <v>2303</v>
      </c>
      <c r="L606" s="2" t="s">
        <v>2287</v>
      </c>
      <c r="M606" s="2" t="s">
        <v>1600</v>
      </c>
      <c r="N606" s="2" t="s">
        <v>2304</v>
      </c>
      <c r="O606" s="2" t="s">
        <v>1623</v>
      </c>
      <c r="P606" s="2" t="s">
        <v>1603</v>
      </c>
      <c r="Q606" s="2">
        <v>46</v>
      </c>
      <c r="R606" s="2" t="b">
        <v>1</v>
      </c>
      <c r="S606" s="2">
        <v>0.8</v>
      </c>
      <c r="T606" s="2">
        <v>0.76190476190476186</v>
      </c>
      <c r="U606" s="2">
        <v>0.84210526315789469</v>
      </c>
      <c r="V606" s="2" t="s">
        <v>63</v>
      </c>
      <c r="W606" s="2" t="s">
        <v>2305</v>
      </c>
      <c r="X606" s="2" t="s">
        <v>2306</v>
      </c>
      <c r="Y606" s="2" t="b">
        <v>0</v>
      </c>
      <c r="Z606" s="2" t="s">
        <v>67</v>
      </c>
      <c r="AA606" s="2">
        <v>206.8</v>
      </c>
      <c r="AB606" s="2" t="s">
        <v>49</v>
      </c>
    </row>
    <row r="607" spans="1:28" ht="15.75" hidden="1" customHeight="1" x14ac:dyDescent="0.3">
      <c r="A607" s="2" t="s">
        <v>45</v>
      </c>
      <c r="B607" s="2" t="s">
        <v>32</v>
      </c>
      <c r="C607" s="2" t="s">
        <v>1262</v>
      </c>
      <c r="D607" s="2" t="s">
        <v>32</v>
      </c>
      <c r="E607" s="2" t="s">
        <v>43</v>
      </c>
      <c r="F607" s="2" t="s">
        <v>46</v>
      </c>
      <c r="G607" s="2" t="s">
        <v>42</v>
      </c>
      <c r="H607" s="2" t="s">
        <v>42</v>
      </c>
      <c r="I607" s="2" t="s">
        <v>47</v>
      </c>
      <c r="J607" s="2" t="s">
        <v>44</v>
      </c>
      <c r="K607" s="2" t="s">
        <v>2307</v>
      </c>
      <c r="L607" s="2" t="s">
        <v>2287</v>
      </c>
      <c r="M607" s="2" t="s">
        <v>1600</v>
      </c>
      <c r="N607" s="2" t="s">
        <v>2308</v>
      </c>
      <c r="O607" s="2" t="s">
        <v>1628</v>
      </c>
      <c r="P607" s="2" t="s">
        <v>1603</v>
      </c>
      <c r="Q607" s="2">
        <v>47</v>
      </c>
      <c r="R607" s="2" t="b">
        <v>1</v>
      </c>
      <c r="S607" s="2">
        <v>0.81118881118881114</v>
      </c>
      <c r="T607" s="2">
        <v>0.81308411214953269</v>
      </c>
      <c r="U607" s="2">
        <v>0.80930232558139537</v>
      </c>
      <c r="V607" s="2" t="s">
        <v>63</v>
      </c>
      <c r="W607" s="2" t="s">
        <v>2309</v>
      </c>
      <c r="X607" s="2" t="s">
        <v>2310</v>
      </c>
      <c r="Y607" s="2" t="b">
        <v>0</v>
      </c>
      <c r="Z607" s="2" t="s">
        <v>67</v>
      </c>
      <c r="AA607" s="2">
        <v>253</v>
      </c>
      <c r="AB607" s="2" t="s">
        <v>49</v>
      </c>
    </row>
    <row r="608" spans="1:28" ht="15.75" hidden="1" customHeight="1" x14ac:dyDescent="0.3">
      <c r="A608" s="2" t="s">
        <v>45</v>
      </c>
      <c r="B608" s="2" t="s">
        <v>32</v>
      </c>
      <c r="C608" s="2" t="s">
        <v>1262</v>
      </c>
      <c r="D608" s="2" t="s">
        <v>32</v>
      </c>
      <c r="E608" s="2" t="s">
        <v>43</v>
      </c>
      <c r="F608" s="2" t="s">
        <v>46</v>
      </c>
      <c r="G608" s="2" t="s">
        <v>42</v>
      </c>
      <c r="H608" s="2" t="s">
        <v>42</v>
      </c>
      <c r="I608" s="2" t="s">
        <v>47</v>
      </c>
      <c r="J608" s="2" t="s">
        <v>44</v>
      </c>
      <c r="K608" s="2" t="s">
        <v>2311</v>
      </c>
      <c r="L608" s="2" t="s">
        <v>2287</v>
      </c>
      <c r="M608" s="2" t="s">
        <v>1600</v>
      </c>
      <c r="N608" s="2" t="s">
        <v>2312</v>
      </c>
      <c r="O608" s="2" t="s">
        <v>1633</v>
      </c>
      <c r="P608" s="2" t="s">
        <v>1603</v>
      </c>
      <c r="Q608" s="2">
        <v>48</v>
      </c>
      <c r="R608" s="2" t="b">
        <v>1</v>
      </c>
      <c r="S608" s="2">
        <v>0.7870967741935484</v>
      </c>
      <c r="T608" s="2">
        <v>0.73939393939393938</v>
      </c>
      <c r="U608" s="2">
        <v>0.8413793103448276</v>
      </c>
      <c r="V608" s="2" t="s">
        <v>63</v>
      </c>
      <c r="W608" s="2" t="s">
        <v>2313</v>
      </c>
      <c r="X608" s="2" t="s">
        <v>2314</v>
      </c>
      <c r="Y608" s="2" t="b">
        <v>0</v>
      </c>
      <c r="Z608" s="2" t="s">
        <v>67</v>
      </c>
      <c r="AA608" s="2">
        <v>244.3</v>
      </c>
      <c r="AB608" s="2" t="s">
        <v>49</v>
      </c>
    </row>
    <row r="609" spans="1:28" ht="15.75" hidden="1" customHeight="1" x14ac:dyDescent="0.3">
      <c r="A609" s="2" t="s">
        <v>45</v>
      </c>
      <c r="B609" s="2" t="s">
        <v>32</v>
      </c>
      <c r="C609" s="2" t="s">
        <v>1262</v>
      </c>
      <c r="D609" s="2" t="s">
        <v>32</v>
      </c>
      <c r="E609" s="2" t="s">
        <v>43</v>
      </c>
      <c r="F609" s="2" t="s">
        <v>46</v>
      </c>
      <c r="G609" s="2" t="s">
        <v>42</v>
      </c>
      <c r="H609" s="2" t="s">
        <v>42</v>
      </c>
      <c r="I609" s="2" t="s">
        <v>47</v>
      </c>
      <c r="J609" s="2" t="s">
        <v>44</v>
      </c>
      <c r="K609" s="2" t="s">
        <v>2315</v>
      </c>
      <c r="L609" s="2" t="s">
        <v>2287</v>
      </c>
      <c r="M609" s="2" t="s">
        <v>1600</v>
      </c>
      <c r="N609" s="2" t="s">
        <v>2316</v>
      </c>
      <c r="O609" s="2" t="s">
        <v>1638</v>
      </c>
      <c r="P609" s="2" t="s">
        <v>1603</v>
      </c>
      <c r="Q609" s="2">
        <v>49</v>
      </c>
      <c r="R609" s="2" t="b">
        <v>1</v>
      </c>
      <c r="S609" s="2">
        <v>0.81481481481481477</v>
      </c>
      <c r="T609" s="2">
        <v>0.80733944954128445</v>
      </c>
      <c r="U609" s="2">
        <v>0.82242990654205606</v>
      </c>
      <c r="V609" s="2" t="s">
        <v>63</v>
      </c>
      <c r="W609" s="2" t="s">
        <v>2317</v>
      </c>
      <c r="X609" s="2" t="s">
        <v>2318</v>
      </c>
      <c r="Y609" s="2" t="b">
        <v>0</v>
      </c>
      <c r="Z609" s="2" t="s">
        <v>67</v>
      </c>
      <c r="AA609" s="2">
        <v>264.8</v>
      </c>
      <c r="AB609" s="2" t="s">
        <v>49</v>
      </c>
    </row>
    <row r="610" spans="1:28" ht="15.75" hidden="1" customHeight="1" x14ac:dyDescent="0.3">
      <c r="A610" s="2" t="s">
        <v>45</v>
      </c>
      <c r="B610" s="2" t="s">
        <v>32</v>
      </c>
      <c r="C610" s="2" t="s">
        <v>1262</v>
      </c>
      <c r="D610" s="2" t="s">
        <v>32</v>
      </c>
      <c r="E610" s="2" t="s">
        <v>43</v>
      </c>
      <c r="F610" s="2" t="s">
        <v>46</v>
      </c>
      <c r="G610" s="2" t="s">
        <v>42</v>
      </c>
      <c r="H610" s="2" t="s">
        <v>42</v>
      </c>
      <c r="I610" s="2" t="s">
        <v>47</v>
      </c>
      <c r="J610" s="2" t="s">
        <v>44</v>
      </c>
      <c r="K610" s="2" t="s">
        <v>2319</v>
      </c>
      <c r="L610" s="2" t="s">
        <v>2287</v>
      </c>
      <c r="M610" s="2" t="s">
        <v>1600</v>
      </c>
      <c r="N610" s="2" t="s">
        <v>2320</v>
      </c>
      <c r="O610" s="2" t="s">
        <v>1643</v>
      </c>
      <c r="P610" s="2" t="s">
        <v>1603</v>
      </c>
      <c r="Q610" s="2">
        <v>50</v>
      </c>
      <c r="R610" s="2" t="b">
        <v>1</v>
      </c>
      <c r="S610" s="2">
        <v>0.83091787439613529</v>
      </c>
      <c r="T610" s="2">
        <v>0.83091787439613529</v>
      </c>
      <c r="U610" s="2">
        <v>0.83091787439613529</v>
      </c>
      <c r="V610" s="2" t="s">
        <v>63</v>
      </c>
      <c r="W610" s="2" t="s">
        <v>2321</v>
      </c>
      <c r="X610" s="2" t="s">
        <v>2322</v>
      </c>
      <c r="Y610" s="2" t="b">
        <v>0</v>
      </c>
      <c r="Z610" s="2" t="s">
        <v>67</v>
      </c>
      <c r="AA610" s="2">
        <v>250</v>
      </c>
      <c r="AB610" s="2" t="s">
        <v>49</v>
      </c>
    </row>
    <row r="611" spans="1:28" ht="15.75" hidden="1" customHeight="1" x14ac:dyDescent="0.3">
      <c r="A611" s="2" t="s">
        <v>45</v>
      </c>
      <c r="B611" s="2" t="s">
        <v>32</v>
      </c>
      <c r="C611" s="2" t="s">
        <v>1262</v>
      </c>
      <c r="D611" s="2" t="s">
        <v>32</v>
      </c>
      <c r="E611" s="2" t="s">
        <v>43</v>
      </c>
      <c r="F611" s="2" t="s">
        <v>46</v>
      </c>
      <c r="G611" s="2" t="s">
        <v>42</v>
      </c>
      <c r="H611" s="2" t="s">
        <v>42</v>
      </c>
      <c r="I611" s="2" t="s">
        <v>47</v>
      </c>
      <c r="J611" s="2" t="s">
        <v>44</v>
      </c>
      <c r="K611" s="2" t="s">
        <v>2323</v>
      </c>
      <c r="L611" s="2" t="s">
        <v>2287</v>
      </c>
      <c r="M611" s="2" t="s">
        <v>1600</v>
      </c>
      <c r="N611" s="2" t="s">
        <v>2324</v>
      </c>
      <c r="O611" s="2" t="s">
        <v>1648</v>
      </c>
      <c r="P611" s="2" t="s">
        <v>1603</v>
      </c>
      <c r="Q611" s="2">
        <v>51</v>
      </c>
      <c r="R611" s="2" t="b">
        <v>1</v>
      </c>
      <c r="S611" s="2">
        <v>0.79445727482678985</v>
      </c>
      <c r="T611" s="2">
        <v>0.80751173708920188</v>
      </c>
      <c r="U611" s="2">
        <v>0.78181818181818186</v>
      </c>
      <c r="V611" s="2" t="s">
        <v>63</v>
      </c>
      <c r="W611" s="2" t="s">
        <v>2325</v>
      </c>
      <c r="X611" s="2" t="s">
        <v>2326</v>
      </c>
      <c r="Y611" s="2" t="b">
        <v>0</v>
      </c>
      <c r="Z611" s="2" t="s">
        <v>67</v>
      </c>
      <c r="AA611" s="2">
        <v>255.9</v>
      </c>
      <c r="AB611" s="2" t="s">
        <v>49</v>
      </c>
    </row>
    <row r="612" spans="1:28" ht="15.75" hidden="1" customHeight="1" x14ac:dyDescent="0.3">
      <c r="A612" s="2" t="s">
        <v>45</v>
      </c>
      <c r="B612" s="2" t="s">
        <v>32</v>
      </c>
      <c r="C612" s="2" t="s">
        <v>1262</v>
      </c>
      <c r="D612" s="2" t="s">
        <v>32</v>
      </c>
      <c r="E612" s="2" t="s">
        <v>43</v>
      </c>
      <c r="F612" s="2" t="s">
        <v>46</v>
      </c>
      <c r="G612" s="2" t="s">
        <v>42</v>
      </c>
      <c r="H612" s="2" t="s">
        <v>42</v>
      </c>
      <c r="I612" s="2" t="s">
        <v>47</v>
      </c>
      <c r="J612" s="2" t="s">
        <v>44</v>
      </c>
      <c r="K612" s="2" t="s">
        <v>2327</v>
      </c>
      <c r="L612" s="2" t="s">
        <v>2287</v>
      </c>
      <c r="M612" s="2" t="s">
        <v>1600</v>
      </c>
      <c r="N612" s="2" t="s">
        <v>2328</v>
      </c>
      <c r="O612" s="2" t="s">
        <v>1653</v>
      </c>
      <c r="P612" s="2" t="s">
        <v>1603</v>
      </c>
      <c r="Q612" s="2">
        <v>52</v>
      </c>
      <c r="R612" s="2" t="b">
        <v>1</v>
      </c>
      <c r="S612" s="2">
        <v>0.77241379310344838</v>
      </c>
      <c r="T612" s="2">
        <v>0.70588235294117652</v>
      </c>
      <c r="U612" s="2">
        <v>0.85279187817258884</v>
      </c>
      <c r="V612" s="2" t="s">
        <v>63</v>
      </c>
      <c r="W612" s="2" t="s">
        <v>2329</v>
      </c>
      <c r="X612" s="2" t="s">
        <v>2330</v>
      </c>
      <c r="Y612" s="2" t="b">
        <v>0</v>
      </c>
      <c r="Z612" s="2" t="s">
        <v>67</v>
      </c>
      <c r="AA612" s="2">
        <v>225</v>
      </c>
      <c r="AB612" s="2" t="s">
        <v>49</v>
      </c>
    </row>
    <row r="613" spans="1:28" ht="15.75" hidden="1" customHeight="1" x14ac:dyDescent="0.3">
      <c r="A613" s="2" t="s">
        <v>45</v>
      </c>
      <c r="B613" s="2" t="s">
        <v>32</v>
      </c>
      <c r="C613" s="2" t="s">
        <v>1262</v>
      </c>
      <c r="D613" s="2" t="s">
        <v>32</v>
      </c>
      <c r="E613" s="2" t="s">
        <v>43</v>
      </c>
      <c r="F613" s="2" t="s">
        <v>46</v>
      </c>
      <c r="G613" s="2" t="s">
        <v>42</v>
      </c>
      <c r="H613" s="2" t="s">
        <v>42</v>
      </c>
      <c r="I613" s="2" t="s">
        <v>47</v>
      </c>
      <c r="J613" s="2" t="s">
        <v>44</v>
      </c>
      <c r="K613" s="2" t="s">
        <v>2331</v>
      </c>
      <c r="L613" s="2" t="s">
        <v>2287</v>
      </c>
      <c r="M613" s="2" t="s">
        <v>1600</v>
      </c>
      <c r="N613" s="2" t="s">
        <v>2332</v>
      </c>
      <c r="O613" s="2" t="s">
        <v>1658</v>
      </c>
      <c r="P613" s="2" t="s">
        <v>1603</v>
      </c>
      <c r="Q613" s="2">
        <v>53</v>
      </c>
      <c r="R613" s="2" t="b">
        <v>1</v>
      </c>
      <c r="S613" s="2">
        <v>0.81445783132530125</v>
      </c>
      <c r="T613" s="2">
        <v>0.84499999999999997</v>
      </c>
      <c r="U613" s="2">
        <v>0.78604651162790695</v>
      </c>
      <c r="V613" s="2" t="s">
        <v>63</v>
      </c>
      <c r="W613" s="2" t="s">
        <v>2333</v>
      </c>
      <c r="X613" s="2" t="s">
        <v>2334</v>
      </c>
      <c r="Y613" s="2" t="b">
        <v>0</v>
      </c>
      <c r="Z613" s="2" t="s">
        <v>67</v>
      </c>
      <c r="AA613" s="2">
        <v>262.89999999999998</v>
      </c>
      <c r="AB613" s="2" t="s">
        <v>49</v>
      </c>
    </row>
    <row r="614" spans="1:28" ht="15.75" hidden="1" customHeight="1" x14ac:dyDescent="0.3">
      <c r="A614" s="2" t="s">
        <v>45</v>
      </c>
      <c r="B614" s="2" t="s">
        <v>32</v>
      </c>
      <c r="C614" s="2" t="s">
        <v>1262</v>
      </c>
      <c r="D614" s="2" t="s">
        <v>32</v>
      </c>
      <c r="E614" s="2" t="s">
        <v>43</v>
      </c>
      <c r="F614" s="2" t="s">
        <v>46</v>
      </c>
      <c r="G614" s="2" t="s">
        <v>42</v>
      </c>
      <c r="H614" s="2" t="s">
        <v>42</v>
      </c>
      <c r="I614" s="2" t="s">
        <v>47</v>
      </c>
      <c r="J614" s="2" t="s">
        <v>44</v>
      </c>
      <c r="K614" s="2" t="s">
        <v>2335</v>
      </c>
      <c r="L614" s="2" t="s">
        <v>2287</v>
      </c>
      <c r="M614" s="2" t="s">
        <v>1600</v>
      </c>
      <c r="N614" s="2" t="s">
        <v>2336</v>
      </c>
      <c r="O614" s="2" t="s">
        <v>1663</v>
      </c>
      <c r="P614" s="2" t="s">
        <v>1603</v>
      </c>
      <c r="Q614" s="2">
        <v>54</v>
      </c>
      <c r="R614" s="2" t="b">
        <v>1</v>
      </c>
      <c r="S614" s="2">
        <v>0.80085653104925048</v>
      </c>
      <c r="T614" s="2">
        <v>0.7857142857142857</v>
      </c>
      <c r="U614" s="2">
        <v>0.81659388646288211</v>
      </c>
      <c r="V614" s="2" t="s">
        <v>63</v>
      </c>
      <c r="W614" s="2" t="s">
        <v>2337</v>
      </c>
      <c r="X614" s="2" t="s">
        <v>2338</v>
      </c>
      <c r="Y614" s="2" t="b">
        <v>0</v>
      </c>
      <c r="Z614" s="2" t="s">
        <v>67</v>
      </c>
      <c r="AA614" s="2">
        <v>254.6</v>
      </c>
      <c r="AB614" s="2" t="s">
        <v>49</v>
      </c>
    </row>
    <row r="615" spans="1:28" ht="15.75" hidden="1" customHeight="1" x14ac:dyDescent="0.3">
      <c r="A615" s="2" t="s">
        <v>45</v>
      </c>
      <c r="B615" s="2" t="s">
        <v>32</v>
      </c>
      <c r="C615" s="2" t="s">
        <v>1262</v>
      </c>
      <c r="D615" s="2" t="s">
        <v>32</v>
      </c>
      <c r="E615" s="2" t="s">
        <v>43</v>
      </c>
      <c r="F615" s="2" t="s">
        <v>46</v>
      </c>
      <c r="G615" s="2" t="s">
        <v>42</v>
      </c>
      <c r="H615" s="2" t="s">
        <v>42</v>
      </c>
      <c r="I615" s="2" t="s">
        <v>47</v>
      </c>
      <c r="J615" s="2" t="s">
        <v>44</v>
      </c>
      <c r="K615" s="2" t="s">
        <v>2339</v>
      </c>
      <c r="L615" s="2" t="s">
        <v>2287</v>
      </c>
      <c r="M615" s="2" t="s">
        <v>1600</v>
      </c>
      <c r="N615" s="2" t="s">
        <v>2340</v>
      </c>
      <c r="O615" s="2" t="s">
        <v>1668</v>
      </c>
      <c r="P615" s="2" t="s">
        <v>1603</v>
      </c>
      <c r="Q615" s="2">
        <v>55</v>
      </c>
      <c r="R615" s="2" t="b">
        <v>1</v>
      </c>
      <c r="S615" s="2">
        <v>0.84875846501128671</v>
      </c>
      <c r="T615" s="2">
        <v>0.87850467289719625</v>
      </c>
      <c r="U615" s="2">
        <v>0.82096069868995636</v>
      </c>
      <c r="V615" s="2" t="s">
        <v>63</v>
      </c>
      <c r="W615" s="2" t="s">
        <v>2341</v>
      </c>
      <c r="X615" s="2" t="s">
        <v>2342</v>
      </c>
      <c r="Y615" s="2" t="b">
        <v>0</v>
      </c>
      <c r="Z615" s="2" t="s">
        <v>67</v>
      </c>
      <c r="AA615" s="2">
        <v>241.6</v>
      </c>
      <c r="AB615" s="2" t="s">
        <v>49</v>
      </c>
    </row>
    <row r="616" spans="1:28" ht="15.75" hidden="1" customHeight="1" x14ac:dyDescent="0.3">
      <c r="A616" s="2" t="s">
        <v>45</v>
      </c>
      <c r="B616" s="2" t="s">
        <v>32</v>
      </c>
      <c r="C616" s="2" t="s">
        <v>1262</v>
      </c>
      <c r="D616" s="2" t="s">
        <v>32</v>
      </c>
      <c r="E616" s="2" t="s">
        <v>43</v>
      </c>
      <c r="F616" s="2" t="s">
        <v>46</v>
      </c>
      <c r="G616" s="2" t="s">
        <v>42</v>
      </c>
      <c r="H616" s="2" t="s">
        <v>42</v>
      </c>
      <c r="I616" s="2" t="s">
        <v>47</v>
      </c>
      <c r="J616" s="2" t="s">
        <v>44</v>
      </c>
      <c r="K616" s="2" t="s">
        <v>2343</v>
      </c>
      <c r="L616" s="2" t="s">
        <v>2287</v>
      </c>
      <c r="M616" s="2" t="s">
        <v>1600</v>
      </c>
      <c r="N616" s="2" t="s">
        <v>2344</v>
      </c>
      <c r="O616" s="2" t="s">
        <v>1673</v>
      </c>
      <c r="P616" s="2" t="s">
        <v>1603</v>
      </c>
      <c r="Q616" s="2">
        <v>56</v>
      </c>
      <c r="R616" s="2" t="b">
        <v>1</v>
      </c>
      <c r="S616" s="2">
        <v>0.76993166287015957</v>
      </c>
      <c r="T616" s="2">
        <v>0.79342723004694837</v>
      </c>
      <c r="U616" s="2">
        <v>0.74778761061946908</v>
      </c>
      <c r="V616" s="2" t="s">
        <v>63</v>
      </c>
      <c r="W616" s="2" t="s">
        <v>2345</v>
      </c>
      <c r="X616" s="2" t="s">
        <v>2346</v>
      </c>
      <c r="Y616" s="2" t="b">
        <v>0</v>
      </c>
      <c r="Z616" s="2" t="s">
        <v>67</v>
      </c>
      <c r="AA616" s="2">
        <v>277.10000000000002</v>
      </c>
      <c r="AB616" s="2" t="s">
        <v>49</v>
      </c>
    </row>
    <row r="617" spans="1:28" ht="15.75" hidden="1" customHeight="1" x14ac:dyDescent="0.3">
      <c r="A617" s="2" t="s">
        <v>45</v>
      </c>
      <c r="B617" s="2" t="s">
        <v>32</v>
      </c>
      <c r="C617" s="2" t="s">
        <v>1262</v>
      </c>
      <c r="D617" s="2" t="s">
        <v>32</v>
      </c>
      <c r="E617" s="2" t="s">
        <v>43</v>
      </c>
      <c r="F617" s="2" t="s">
        <v>46</v>
      </c>
      <c r="G617" s="2" t="s">
        <v>42</v>
      </c>
      <c r="H617" s="2" t="s">
        <v>42</v>
      </c>
      <c r="I617" s="2" t="s">
        <v>47</v>
      </c>
      <c r="J617" s="2" t="s">
        <v>44</v>
      </c>
      <c r="K617" s="2" t="s">
        <v>2347</v>
      </c>
      <c r="L617" s="2" t="s">
        <v>2287</v>
      </c>
      <c r="M617" s="2" t="s">
        <v>1600</v>
      </c>
      <c r="N617" s="2" t="s">
        <v>2348</v>
      </c>
      <c r="O617" s="2" t="s">
        <v>1678</v>
      </c>
      <c r="P617" s="2" t="s">
        <v>1603</v>
      </c>
      <c r="Q617" s="2">
        <v>57</v>
      </c>
      <c r="R617" s="2" t="b">
        <v>1</v>
      </c>
      <c r="S617" s="2">
        <v>0.77522935779816515</v>
      </c>
      <c r="T617" s="2">
        <v>0.74122807017543857</v>
      </c>
      <c r="U617" s="2">
        <v>0.8125</v>
      </c>
      <c r="V617" s="2" t="s">
        <v>63</v>
      </c>
      <c r="W617" s="2" t="s">
        <v>2349</v>
      </c>
      <c r="X617" s="2" t="s">
        <v>2350</v>
      </c>
      <c r="Y617" s="2" t="b">
        <v>0</v>
      </c>
      <c r="Z617" s="2" t="s">
        <v>67</v>
      </c>
      <c r="AA617" s="2">
        <v>259.89999999999998</v>
      </c>
      <c r="AB617" s="2" t="s">
        <v>49</v>
      </c>
    </row>
    <row r="618" spans="1:28" ht="15.75" hidden="1" customHeight="1" x14ac:dyDescent="0.3">
      <c r="A618" s="2" t="s">
        <v>45</v>
      </c>
      <c r="B618" s="2" t="s">
        <v>32</v>
      </c>
      <c r="C618" s="2" t="s">
        <v>1262</v>
      </c>
      <c r="D618" s="2" t="s">
        <v>32</v>
      </c>
      <c r="E618" s="2" t="s">
        <v>43</v>
      </c>
      <c r="F618" s="2" t="s">
        <v>46</v>
      </c>
      <c r="G618" s="2" t="s">
        <v>42</v>
      </c>
      <c r="H618" s="2" t="s">
        <v>42</v>
      </c>
      <c r="I618" s="2" t="s">
        <v>47</v>
      </c>
      <c r="J618" s="2" t="s">
        <v>44</v>
      </c>
      <c r="K618" s="2" t="s">
        <v>2351</v>
      </c>
      <c r="L618" s="2" t="s">
        <v>2287</v>
      </c>
      <c r="M618" s="2" t="s">
        <v>1600</v>
      </c>
      <c r="N618" s="2" t="s">
        <v>2352</v>
      </c>
      <c r="O618" s="2" t="s">
        <v>1683</v>
      </c>
      <c r="P618" s="2" t="s">
        <v>1603</v>
      </c>
      <c r="Q618" s="2">
        <v>58</v>
      </c>
      <c r="R618" s="2" t="b">
        <v>1</v>
      </c>
      <c r="S618" s="2">
        <v>0.82954545454545447</v>
      </c>
      <c r="T618" s="2">
        <v>0.82485875706214684</v>
      </c>
      <c r="U618" s="2">
        <v>0.8342857142857143</v>
      </c>
      <c r="V618" s="2" t="s">
        <v>63</v>
      </c>
      <c r="W618" s="2" t="s">
        <v>2353</v>
      </c>
      <c r="X618" s="2" t="s">
        <v>2354</v>
      </c>
      <c r="Y618" s="2" t="b">
        <v>0</v>
      </c>
      <c r="Z618" s="2" t="s">
        <v>67</v>
      </c>
      <c r="AA618" s="2">
        <v>257.3</v>
      </c>
      <c r="AB618" s="2" t="s">
        <v>49</v>
      </c>
    </row>
    <row r="619" spans="1:28" ht="15.75" hidden="1" customHeight="1" x14ac:dyDescent="0.3">
      <c r="A619" s="2" t="s">
        <v>45</v>
      </c>
      <c r="B619" s="2" t="s">
        <v>32</v>
      </c>
      <c r="C619" s="2" t="s">
        <v>1262</v>
      </c>
      <c r="D619" s="2" t="s">
        <v>32</v>
      </c>
      <c r="E619" s="2" t="s">
        <v>43</v>
      </c>
      <c r="F619" s="2" t="s">
        <v>46</v>
      </c>
      <c r="G619" s="2" t="s">
        <v>42</v>
      </c>
      <c r="H619" s="2" t="s">
        <v>42</v>
      </c>
      <c r="I619" s="2" t="s">
        <v>47</v>
      </c>
      <c r="J619" s="2" t="s">
        <v>44</v>
      </c>
      <c r="K619" s="2" t="s">
        <v>2355</v>
      </c>
      <c r="L619" s="2" t="s">
        <v>2287</v>
      </c>
      <c r="M619" s="2" t="s">
        <v>1600</v>
      </c>
      <c r="N619" s="2" t="s">
        <v>2356</v>
      </c>
      <c r="O619" s="2" t="s">
        <v>1688</v>
      </c>
      <c r="P619" s="2" t="s">
        <v>1603</v>
      </c>
      <c r="Q619" s="2">
        <v>59</v>
      </c>
      <c r="R619" s="2" t="b">
        <v>1</v>
      </c>
      <c r="S619" s="2">
        <v>0.78195488721804507</v>
      </c>
      <c r="T619" s="2">
        <v>0.74285714285714288</v>
      </c>
      <c r="U619" s="2">
        <v>0.82539682539682535</v>
      </c>
      <c r="V619" s="2" t="s">
        <v>63</v>
      </c>
      <c r="W619" s="2" t="s">
        <v>2357</v>
      </c>
      <c r="X619" s="2" t="s">
        <v>2358</v>
      </c>
      <c r="Y619" s="2" t="b">
        <v>0</v>
      </c>
      <c r="Z619" s="2" t="s">
        <v>67</v>
      </c>
      <c r="AA619" s="2">
        <v>278.39999999999998</v>
      </c>
      <c r="AB619" s="2" t="s">
        <v>49</v>
      </c>
    </row>
    <row r="620" spans="1:28" ht="15.75" hidden="1" customHeight="1" x14ac:dyDescent="0.3">
      <c r="A620" s="2" t="s">
        <v>45</v>
      </c>
      <c r="B620" s="2" t="s">
        <v>32</v>
      </c>
      <c r="C620" s="2" t="s">
        <v>1262</v>
      </c>
      <c r="D620" s="2" t="s">
        <v>32</v>
      </c>
      <c r="E620" s="2" t="s">
        <v>43</v>
      </c>
      <c r="F620" s="2" t="s">
        <v>46</v>
      </c>
      <c r="G620" s="2" t="s">
        <v>42</v>
      </c>
      <c r="H620" s="2" t="s">
        <v>42</v>
      </c>
      <c r="I620" s="2" t="s">
        <v>47</v>
      </c>
      <c r="J620" s="2" t="s">
        <v>44</v>
      </c>
      <c r="K620" s="2" t="s">
        <v>2359</v>
      </c>
      <c r="L620" s="2" t="s">
        <v>2287</v>
      </c>
      <c r="M620" s="2" t="s">
        <v>1600</v>
      </c>
      <c r="N620" s="2" t="s">
        <v>2360</v>
      </c>
      <c r="O620" s="2" t="s">
        <v>1693</v>
      </c>
      <c r="P620" s="2" t="s">
        <v>1603</v>
      </c>
      <c r="Q620" s="2">
        <v>60</v>
      </c>
      <c r="R620" s="2" t="b">
        <v>1</v>
      </c>
      <c r="S620" s="2">
        <v>0.79464285714285698</v>
      </c>
      <c r="T620" s="2">
        <v>0.81278538812785384</v>
      </c>
      <c r="U620" s="2">
        <v>0.77729257641921401</v>
      </c>
      <c r="V620" s="2" t="s">
        <v>63</v>
      </c>
      <c r="W620" s="2" t="s">
        <v>2361</v>
      </c>
      <c r="X620" s="2" t="s">
        <v>2362</v>
      </c>
      <c r="Y620" s="2" t="b">
        <v>0</v>
      </c>
      <c r="Z620" s="2" t="s">
        <v>67</v>
      </c>
      <c r="AA620" s="2">
        <v>248.8</v>
      </c>
      <c r="AB620" s="2" t="s">
        <v>49</v>
      </c>
    </row>
    <row r="621" spans="1:28" ht="15.75" hidden="1" customHeight="1" x14ac:dyDescent="0.3">
      <c r="A621" s="2" t="s">
        <v>45</v>
      </c>
      <c r="B621" s="2" t="s">
        <v>32</v>
      </c>
      <c r="C621" s="2" t="s">
        <v>1262</v>
      </c>
      <c r="D621" s="2" t="s">
        <v>32</v>
      </c>
      <c r="E621" s="2" t="s">
        <v>43</v>
      </c>
      <c r="F621" s="2" t="s">
        <v>46</v>
      </c>
      <c r="G621" s="2" t="s">
        <v>42</v>
      </c>
      <c r="H621" s="2" t="s">
        <v>42</v>
      </c>
      <c r="I621" s="2" t="s">
        <v>47</v>
      </c>
      <c r="J621" s="2" t="s">
        <v>44</v>
      </c>
      <c r="K621" s="2" t="s">
        <v>2363</v>
      </c>
      <c r="L621" s="2" t="s">
        <v>2287</v>
      </c>
      <c r="M621" s="2" t="s">
        <v>1600</v>
      </c>
      <c r="N621" s="2" t="s">
        <v>2364</v>
      </c>
      <c r="O621" s="2" t="s">
        <v>1698</v>
      </c>
      <c r="P621" s="2" t="s">
        <v>1603</v>
      </c>
      <c r="Q621" s="2">
        <v>61</v>
      </c>
      <c r="R621" s="2" t="b">
        <v>1</v>
      </c>
      <c r="S621" s="2">
        <v>0.80341880341880323</v>
      </c>
      <c r="T621" s="2">
        <v>0.79661016949152541</v>
      </c>
      <c r="U621" s="2">
        <v>0.81034482758620685</v>
      </c>
      <c r="V621" s="2" t="s">
        <v>63</v>
      </c>
      <c r="W621" s="2" t="s">
        <v>2365</v>
      </c>
      <c r="X621" s="2" t="s">
        <v>2366</v>
      </c>
      <c r="Y621" s="2" t="b">
        <v>0</v>
      </c>
      <c r="Z621" s="2" t="s">
        <v>67</v>
      </c>
      <c r="AA621" s="2">
        <v>249</v>
      </c>
      <c r="AB621" s="2" t="s">
        <v>49</v>
      </c>
    </row>
    <row r="622" spans="1:28" ht="15.75" hidden="1" customHeight="1" x14ac:dyDescent="0.3">
      <c r="A622" s="2" t="s">
        <v>45</v>
      </c>
      <c r="B622" s="2" t="s">
        <v>32</v>
      </c>
      <c r="C622" s="2" t="s">
        <v>1262</v>
      </c>
      <c r="D622" s="2" t="s">
        <v>32</v>
      </c>
      <c r="E622" s="2" t="s">
        <v>43</v>
      </c>
      <c r="F622" s="2" t="s">
        <v>46</v>
      </c>
      <c r="G622" s="2" t="s">
        <v>42</v>
      </c>
      <c r="H622" s="2" t="s">
        <v>42</v>
      </c>
      <c r="I622" s="2" t="s">
        <v>239</v>
      </c>
      <c r="J622" s="2" t="s">
        <v>71</v>
      </c>
      <c r="K622" s="2" t="s">
        <v>2367</v>
      </c>
      <c r="L622" s="2" t="s">
        <v>2368</v>
      </c>
      <c r="M622" s="2" t="s">
        <v>1703</v>
      </c>
      <c r="N622" s="2" t="s">
        <v>2369</v>
      </c>
      <c r="O622" s="2" t="s">
        <v>1705</v>
      </c>
      <c r="P622" s="2" t="s">
        <v>1706</v>
      </c>
      <c r="Q622" s="2">
        <v>42</v>
      </c>
      <c r="R622" s="2" t="b">
        <v>0</v>
      </c>
      <c r="S622" s="2">
        <v>0.76738609112709821</v>
      </c>
      <c r="T622" s="2">
        <v>0.81632653061224492</v>
      </c>
      <c r="U622" s="2">
        <v>0.72398190045248867</v>
      </c>
      <c r="V622" s="2" t="s">
        <v>63</v>
      </c>
      <c r="W622" s="2" t="s">
        <v>2370</v>
      </c>
      <c r="X622" s="2" t="s">
        <v>2371</v>
      </c>
      <c r="Y622" s="2" t="b">
        <v>0</v>
      </c>
      <c r="Z622" s="2" t="s">
        <v>67</v>
      </c>
      <c r="AA622" s="2">
        <v>246.9</v>
      </c>
      <c r="AB622" s="2" t="s">
        <v>49</v>
      </c>
    </row>
    <row r="623" spans="1:28" ht="15.75" hidden="1" customHeight="1" x14ac:dyDescent="0.3">
      <c r="A623" s="2" t="s">
        <v>45</v>
      </c>
      <c r="B623" s="2" t="s">
        <v>32</v>
      </c>
      <c r="C623" s="2" t="s">
        <v>1262</v>
      </c>
      <c r="D623" s="2" t="s">
        <v>32</v>
      </c>
      <c r="E623" s="2" t="s">
        <v>43</v>
      </c>
      <c r="F623" s="2" t="s">
        <v>46</v>
      </c>
      <c r="G623" s="2" t="s">
        <v>42</v>
      </c>
      <c r="H623" s="2" t="s">
        <v>42</v>
      </c>
      <c r="I623" s="2" t="s">
        <v>239</v>
      </c>
      <c r="J623" s="2" t="s">
        <v>71</v>
      </c>
      <c r="K623" s="2" t="s">
        <v>2372</v>
      </c>
      <c r="L623" s="2" t="s">
        <v>2368</v>
      </c>
      <c r="M623" s="2" t="s">
        <v>1703</v>
      </c>
      <c r="N623" s="2" t="s">
        <v>2373</v>
      </c>
      <c r="O623" s="2" t="s">
        <v>1711</v>
      </c>
      <c r="P623" s="2" t="s">
        <v>1706</v>
      </c>
      <c r="Q623" s="2">
        <v>43</v>
      </c>
      <c r="R623" s="2" t="b">
        <v>0</v>
      </c>
      <c r="S623" s="2">
        <v>0.78411910669975182</v>
      </c>
      <c r="T623" s="2">
        <v>0.79</v>
      </c>
      <c r="U623" s="2">
        <v>0.77832512315270941</v>
      </c>
      <c r="V623" s="2" t="s">
        <v>63</v>
      </c>
      <c r="W623" s="2" t="s">
        <v>2374</v>
      </c>
      <c r="X623" s="2" t="s">
        <v>2375</v>
      </c>
      <c r="Y623" s="2" t="b">
        <v>0</v>
      </c>
      <c r="Z623" s="2" t="s">
        <v>67</v>
      </c>
      <c r="AA623" s="2">
        <v>232.6</v>
      </c>
      <c r="AB623" s="2" t="s">
        <v>49</v>
      </c>
    </row>
    <row r="624" spans="1:28" ht="15.75" hidden="1" customHeight="1" x14ac:dyDescent="0.3">
      <c r="A624" s="2" t="s">
        <v>45</v>
      </c>
      <c r="B624" s="2" t="s">
        <v>32</v>
      </c>
      <c r="C624" s="2" t="s">
        <v>1262</v>
      </c>
      <c r="D624" s="2" t="s">
        <v>32</v>
      </c>
      <c r="E624" s="2" t="s">
        <v>43</v>
      </c>
      <c r="F624" s="2" t="s">
        <v>46</v>
      </c>
      <c r="G624" s="2" t="s">
        <v>42</v>
      </c>
      <c r="H624" s="2" t="s">
        <v>42</v>
      </c>
      <c r="I624" s="2" t="s">
        <v>239</v>
      </c>
      <c r="J624" s="2" t="s">
        <v>71</v>
      </c>
      <c r="K624" s="2" t="s">
        <v>2376</v>
      </c>
      <c r="L624" s="2" t="s">
        <v>2368</v>
      </c>
      <c r="M624" s="2" t="s">
        <v>1703</v>
      </c>
      <c r="N624" s="2" t="s">
        <v>2377</v>
      </c>
      <c r="O624" s="2" t="s">
        <v>1716</v>
      </c>
      <c r="P624" s="2" t="s">
        <v>1706</v>
      </c>
      <c r="Q624" s="2">
        <v>44</v>
      </c>
      <c r="R624" s="2" t="b">
        <v>0</v>
      </c>
      <c r="S624" s="2">
        <v>0.85785536159600995</v>
      </c>
      <c r="T624" s="2">
        <v>0.85148514851485146</v>
      </c>
      <c r="U624" s="2">
        <v>0.86432160804020097</v>
      </c>
      <c r="V624" s="2" t="s">
        <v>63</v>
      </c>
      <c r="W624" s="2" t="s">
        <v>2378</v>
      </c>
      <c r="X624" s="2" t="s">
        <v>2379</v>
      </c>
      <c r="Y624" s="2" t="b">
        <v>0</v>
      </c>
      <c r="Z624" s="2" t="s">
        <v>67</v>
      </c>
      <c r="AA624" s="2">
        <v>244.5</v>
      </c>
      <c r="AB624" s="2" t="s">
        <v>49</v>
      </c>
    </row>
    <row r="625" spans="1:28" ht="15.75" hidden="1" customHeight="1" x14ac:dyDescent="0.3">
      <c r="A625" s="2" t="s">
        <v>45</v>
      </c>
      <c r="B625" s="2" t="s">
        <v>32</v>
      </c>
      <c r="C625" s="2" t="s">
        <v>1262</v>
      </c>
      <c r="D625" s="2" t="s">
        <v>32</v>
      </c>
      <c r="E625" s="2" t="s">
        <v>43</v>
      </c>
      <c r="F625" s="2" t="s">
        <v>46</v>
      </c>
      <c r="G625" s="2" t="s">
        <v>42</v>
      </c>
      <c r="H625" s="2" t="s">
        <v>42</v>
      </c>
      <c r="I625" s="2" t="s">
        <v>239</v>
      </c>
      <c r="J625" s="2" t="s">
        <v>71</v>
      </c>
      <c r="K625" s="2" t="s">
        <v>2380</v>
      </c>
      <c r="L625" s="2" t="s">
        <v>2368</v>
      </c>
      <c r="M625" s="2" t="s">
        <v>1703</v>
      </c>
      <c r="N625" s="2" t="s">
        <v>2381</v>
      </c>
      <c r="O625" s="2" t="s">
        <v>1721</v>
      </c>
      <c r="P625" s="2" t="s">
        <v>1706</v>
      </c>
      <c r="Q625" s="2">
        <v>45</v>
      </c>
      <c r="R625" s="2" t="b">
        <v>0</v>
      </c>
      <c r="S625" s="2">
        <v>0.81093394077448733</v>
      </c>
      <c r="T625" s="2">
        <v>0.82790697674418601</v>
      </c>
      <c r="U625" s="2">
        <v>0.7946428571428571</v>
      </c>
      <c r="V625" s="2" t="s">
        <v>63</v>
      </c>
      <c r="W625" s="2" t="s">
        <v>2382</v>
      </c>
      <c r="X625" s="2" t="s">
        <v>2383</v>
      </c>
      <c r="Y625" s="2" t="b">
        <v>0</v>
      </c>
      <c r="Z625" s="2" t="s">
        <v>67</v>
      </c>
      <c r="AA625" s="2">
        <v>248.5</v>
      </c>
      <c r="AB625" s="2" t="s">
        <v>49</v>
      </c>
    </row>
    <row r="626" spans="1:28" ht="15.75" hidden="1" customHeight="1" x14ac:dyDescent="0.3">
      <c r="A626" s="2" t="s">
        <v>45</v>
      </c>
      <c r="B626" s="2" t="s">
        <v>32</v>
      </c>
      <c r="C626" s="2" t="s">
        <v>1262</v>
      </c>
      <c r="D626" s="2" t="s">
        <v>32</v>
      </c>
      <c r="E626" s="2" t="s">
        <v>43</v>
      </c>
      <c r="F626" s="2" t="s">
        <v>46</v>
      </c>
      <c r="G626" s="2" t="s">
        <v>42</v>
      </c>
      <c r="H626" s="2" t="s">
        <v>42</v>
      </c>
      <c r="I626" s="2" t="s">
        <v>239</v>
      </c>
      <c r="J626" s="2" t="s">
        <v>71</v>
      </c>
      <c r="K626" s="2" t="s">
        <v>2384</v>
      </c>
      <c r="L626" s="2" t="s">
        <v>2368</v>
      </c>
      <c r="M626" s="2" t="s">
        <v>1703</v>
      </c>
      <c r="N626" s="2" t="s">
        <v>2385</v>
      </c>
      <c r="O626" s="2" t="s">
        <v>1726</v>
      </c>
      <c r="P626" s="2" t="s">
        <v>1706</v>
      </c>
      <c r="Q626" s="2">
        <v>46</v>
      </c>
      <c r="R626" s="2" t="b">
        <v>0</v>
      </c>
      <c r="S626" s="2">
        <v>0.83412322274881523</v>
      </c>
      <c r="T626" s="2">
        <v>0.83018867924528306</v>
      </c>
      <c r="U626" s="2">
        <v>0.83809523809523812</v>
      </c>
      <c r="V626" s="2" t="s">
        <v>63</v>
      </c>
      <c r="W626" s="2" t="s">
        <v>2386</v>
      </c>
      <c r="X626" s="2" t="s">
        <v>2387</v>
      </c>
      <c r="Y626" s="2" t="b">
        <v>0</v>
      </c>
      <c r="Z626" s="2" t="s">
        <v>67</v>
      </c>
      <c r="AA626" s="2">
        <v>265.2</v>
      </c>
      <c r="AB626" s="2" t="s">
        <v>49</v>
      </c>
    </row>
    <row r="627" spans="1:28" ht="15.75" hidden="1" customHeight="1" x14ac:dyDescent="0.3">
      <c r="A627" s="2" t="s">
        <v>45</v>
      </c>
      <c r="B627" s="2" t="s">
        <v>32</v>
      </c>
      <c r="C627" s="2" t="s">
        <v>1262</v>
      </c>
      <c r="D627" s="2" t="s">
        <v>32</v>
      </c>
      <c r="E627" s="2" t="s">
        <v>43</v>
      </c>
      <c r="F627" s="2" t="s">
        <v>46</v>
      </c>
      <c r="G627" s="2" t="s">
        <v>42</v>
      </c>
      <c r="H627" s="2" t="s">
        <v>42</v>
      </c>
      <c r="I627" s="2" t="s">
        <v>239</v>
      </c>
      <c r="J627" s="2" t="s">
        <v>71</v>
      </c>
      <c r="K627" s="2" t="s">
        <v>2388</v>
      </c>
      <c r="L627" s="2" t="s">
        <v>2368</v>
      </c>
      <c r="M627" s="2" t="s">
        <v>1703</v>
      </c>
      <c r="N627" s="2" t="s">
        <v>2389</v>
      </c>
      <c r="O627" s="2" t="s">
        <v>1731</v>
      </c>
      <c r="P627" s="2" t="s">
        <v>1706</v>
      </c>
      <c r="Q627" s="2">
        <v>47</v>
      </c>
      <c r="R627" s="2" t="b">
        <v>0</v>
      </c>
      <c r="S627" s="2">
        <v>0.8</v>
      </c>
      <c r="T627" s="2">
        <v>0.81159420289855078</v>
      </c>
      <c r="U627" s="2">
        <v>0.78873239436619713</v>
      </c>
      <c r="V627" s="2" t="s">
        <v>63</v>
      </c>
      <c r="W627" s="2" t="s">
        <v>2390</v>
      </c>
      <c r="X627" s="2" t="s">
        <v>2391</v>
      </c>
      <c r="Y627" s="2" t="b">
        <v>0</v>
      </c>
      <c r="Z627" s="2" t="s">
        <v>67</v>
      </c>
      <c r="AA627" s="2">
        <v>243.1</v>
      </c>
      <c r="AB627" s="2" t="s">
        <v>49</v>
      </c>
    </row>
    <row r="628" spans="1:28" ht="15.75" hidden="1" customHeight="1" x14ac:dyDescent="0.3">
      <c r="A628" s="2" t="s">
        <v>45</v>
      </c>
      <c r="B628" s="2" t="s">
        <v>32</v>
      </c>
      <c r="C628" s="2" t="s">
        <v>1262</v>
      </c>
      <c r="D628" s="2" t="s">
        <v>32</v>
      </c>
      <c r="E628" s="2" t="s">
        <v>43</v>
      </c>
      <c r="F628" s="2" t="s">
        <v>46</v>
      </c>
      <c r="G628" s="2" t="s">
        <v>42</v>
      </c>
      <c r="H628" s="2" t="s">
        <v>42</v>
      </c>
      <c r="I628" s="2" t="s">
        <v>239</v>
      </c>
      <c r="J628" s="2" t="s">
        <v>71</v>
      </c>
      <c r="K628" s="2" t="s">
        <v>2392</v>
      </c>
      <c r="L628" s="2" t="s">
        <v>2368</v>
      </c>
      <c r="M628" s="2" t="s">
        <v>1703</v>
      </c>
      <c r="N628" s="2" t="s">
        <v>2393</v>
      </c>
      <c r="O628" s="2" t="s">
        <v>1736</v>
      </c>
      <c r="P628" s="2" t="s">
        <v>1706</v>
      </c>
      <c r="Q628" s="2">
        <v>48</v>
      </c>
      <c r="R628" s="2" t="b">
        <v>0</v>
      </c>
      <c r="S628" s="2">
        <v>0.78971962616822422</v>
      </c>
      <c r="T628" s="2">
        <v>0.80094786729857825</v>
      </c>
      <c r="U628" s="2">
        <v>0.77880184331797231</v>
      </c>
      <c r="V628" s="2" t="s">
        <v>63</v>
      </c>
      <c r="W628" s="2" t="s">
        <v>2394</v>
      </c>
      <c r="X628" s="2" t="s">
        <v>2395</v>
      </c>
      <c r="Y628" s="2" t="b">
        <v>0</v>
      </c>
      <c r="Z628" s="2" t="s">
        <v>67</v>
      </c>
      <c r="AA628" s="2">
        <v>232.8</v>
      </c>
      <c r="AB628" s="2" t="s">
        <v>49</v>
      </c>
    </row>
    <row r="629" spans="1:28" ht="15.75" hidden="1" customHeight="1" x14ac:dyDescent="0.3">
      <c r="A629" s="2" t="s">
        <v>45</v>
      </c>
      <c r="B629" s="2" t="s">
        <v>32</v>
      </c>
      <c r="C629" s="2" t="s">
        <v>1262</v>
      </c>
      <c r="D629" s="2" t="s">
        <v>32</v>
      </c>
      <c r="E629" s="2" t="s">
        <v>43</v>
      </c>
      <c r="F629" s="2" t="s">
        <v>46</v>
      </c>
      <c r="G629" s="2" t="s">
        <v>42</v>
      </c>
      <c r="H629" s="2" t="s">
        <v>42</v>
      </c>
      <c r="I629" s="2" t="s">
        <v>239</v>
      </c>
      <c r="J629" s="2" t="s">
        <v>71</v>
      </c>
      <c r="K629" s="2" t="s">
        <v>2396</v>
      </c>
      <c r="L629" s="2" t="s">
        <v>2368</v>
      </c>
      <c r="M629" s="2" t="s">
        <v>1703</v>
      </c>
      <c r="N629" s="2" t="s">
        <v>2397</v>
      </c>
      <c r="O629" s="2" t="s">
        <v>1741</v>
      </c>
      <c r="P629" s="2" t="s">
        <v>1706</v>
      </c>
      <c r="Q629" s="2">
        <v>49</v>
      </c>
      <c r="R629" s="2" t="b">
        <v>0</v>
      </c>
      <c r="S629" s="2">
        <v>0.80470588235294116</v>
      </c>
      <c r="T629" s="2">
        <v>0.77027027027027029</v>
      </c>
      <c r="U629" s="2">
        <v>0.8423645320197044</v>
      </c>
      <c r="V629" s="2" t="s">
        <v>63</v>
      </c>
      <c r="W629" s="2" t="s">
        <v>2398</v>
      </c>
      <c r="X629" s="2" t="s">
        <v>2399</v>
      </c>
      <c r="Y629" s="2" t="b">
        <v>0</v>
      </c>
      <c r="Z629" s="2" t="s">
        <v>67</v>
      </c>
      <c r="AA629" s="2">
        <v>257.89999999999998</v>
      </c>
      <c r="AB629" s="2" t="s">
        <v>49</v>
      </c>
    </row>
    <row r="630" spans="1:28" ht="15.75" hidden="1" customHeight="1" x14ac:dyDescent="0.3">
      <c r="A630" s="2" t="s">
        <v>45</v>
      </c>
      <c r="B630" s="2" t="s">
        <v>32</v>
      </c>
      <c r="C630" s="2" t="s">
        <v>1262</v>
      </c>
      <c r="D630" s="2" t="s">
        <v>32</v>
      </c>
      <c r="E630" s="2" t="s">
        <v>43</v>
      </c>
      <c r="F630" s="2" t="s">
        <v>46</v>
      </c>
      <c r="G630" s="2" t="s">
        <v>42</v>
      </c>
      <c r="H630" s="2" t="s">
        <v>42</v>
      </c>
      <c r="I630" s="2" t="s">
        <v>239</v>
      </c>
      <c r="J630" s="2" t="s">
        <v>71</v>
      </c>
      <c r="K630" s="2" t="s">
        <v>2400</v>
      </c>
      <c r="L630" s="2" t="s">
        <v>2368</v>
      </c>
      <c r="M630" s="2" t="s">
        <v>1703</v>
      </c>
      <c r="N630" s="2" t="s">
        <v>2401</v>
      </c>
      <c r="O630" s="2" t="s">
        <v>1746</v>
      </c>
      <c r="P630" s="2" t="s">
        <v>1706</v>
      </c>
      <c r="Q630" s="2">
        <v>50</v>
      </c>
      <c r="R630" s="2" t="b">
        <v>0</v>
      </c>
      <c r="S630" s="2">
        <v>0.84745762711864403</v>
      </c>
      <c r="T630" s="2">
        <v>0.84134615384615385</v>
      </c>
      <c r="U630" s="2">
        <v>0.85365853658536583</v>
      </c>
      <c r="V630" s="2" t="s">
        <v>63</v>
      </c>
      <c r="W630" s="2" t="s">
        <v>2402</v>
      </c>
      <c r="X630" s="2" t="s">
        <v>2403</v>
      </c>
      <c r="Y630" s="2" t="b">
        <v>0</v>
      </c>
      <c r="Z630" s="2" t="s">
        <v>67</v>
      </c>
      <c r="AA630" s="2">
        <v>253.1</v>
      </c>
      <c r="AB630" s="2" t="s">
        <v>49</v>
      </c>
    </row>
    <row r="631" spans="1:28" ht="15.75" hidden="1" customHeight="1" x14ac:dyDescent="0.3">
      <c r="A631" s="2" t="s">
        <v>45</v>
      </c>
      <c r="B631" s="2" t="s">
        <v>32</v>
      </c>
      <c r="C631" s="2" t="s">
        <v>1262</v>
      </c>
      <c r="D631" s="2" t="s">
        <v>32</v>
      </c>
      <c r="E631" s="2" t="s">
        <v>43</v>
      </c>
      <c r="F631" s="2" t="s">
        <v>46</v>
      </c>
      <c r="G631" s="2" t="s">
        <v>42</v>
      </c>
      <c r="H631" s="2" t="s">
        <v>42</v>
      </c>
      <c r="I631" s="2" t="s">
        <v>239</v>
      </c>
      <c r="J631" s="2" t="s">
        <v>71</v>
      </c>
      <c r="K631" s="2" t="s">
        <v>2404</v>
      </c>
      <c r="L631" s="2" t="s">
        <v>2368</v>
      </c>
      <c r="M631" s="2" t="s">
        <v>1703</v>
      </c>
      <c r="N631" s="2" t="s">
        <v>2405</v>
      </c>
      <c r="O631" s="2" t="s">
        <v>1751</v>
      </c>
      <c r="P631" s="2" t="s">
        <v>1706</v>
      </c>
      <c r="Q631" s="2">
        <v>51</v>
      </c>
      <c r="R631" s="2" t="b">
        <v>0</v>
      </c>
      <c r="S631" s="2">
        <v>0.78588235294117648</v>
      </c>
      <c r="T631" s="2">
        <v>0.81067961165048541</v>
      </c>
      <c r="U631" s="2">
        <v>0.76255707762557079</v>
      </c>
      <c r="V631" s="2" t="s">
        <v>63</v>
      </c>
      <c r="W631" s="2" t="s">
        <v>2406</v>
      </c>
      <c r="X631" s="2" t="s">
        <v>2407</v>
      </c>
      <c r="Y631" s="2" t="b">
        <v>0</v>
      </c>
      <c r="Z631" s="2" t="s">
        <v>67</v>
      </c>
      <c r="AA631" s="2">
        <v>257.39999999999998</v>
      </c>
      <c r="AB631" s="2" t="s">
        <v>49</v>
      </c>
    </row>
    <row r="632" spans="1:28" ht="15.75" hidden="1" customHeight="1" x14ac:dyDescent="0.3">
      <c r="A632" s="2" t="s">
        <v>45</v>
      </c>
      <c r="B632" s="2" t="s">
        <v>32</v>
      </c>
      <c r="C632" s="2" t="s">
        <v>1262</v>
      </c>
      <c r="D632" s="2" t="s">
        <v>32</v>
      </c>
      <c r="E632" s="2" t="s">
        <v>43</v>
      </c>
      <c r="F632" s="2" t="s">
        <v>46</v>
      </c>
      <c r="G632" s="2" t="s">
        <v>42</v>
      </c>
      <c r="H632" s="2" t="s">
        <v>42</v>
      </c>
      <c r="I632" s="2" t="s">
        <v>239</v>
      </c>
      <c r="J632" s="2" t="s">
        <v>71</v>
      </c>
      <c r="K632" s="2" t="s">
        <v>2408</v>
      </c>
      <c r="L632" s="2" t="s">
        <v>2368</v>
      </c>
      <c r="M632" s="2" t="s">
        <v>1703</v>
      </c>
      <c r="N632" s="2" t="s">
        <v>2409</v>
      </c>
      <c r="O632" s="2" t="s">
        <v>1756</v>
      </c>
      <c r="P632" s="2" t="s">
        <v>1706</v>
      </c>
      <c r="Q632" s="2">
        <v>52</v>
      </c>
      <c r="R632" s="2" t="b">
        <v>0</v>
      </c>
      <c r="S632" s="2">
        <v>0.80841121495327106</v>
      </c>
      <c r="T632" s="2">
        <v>0.76888888888888884</v>
      </c>
      <c r="U632" s="2">
        <v>0.85221674876847286</v>
      </c>
      <c r="V632" s="2" t="s">
        <v>63</v>
      </c>
      <c r="W632" s="2" t="s">
        <v>2410</v>
      </c>
      <c r="X632" s="2" t="s">
        <v>2411</v>
      </c>
      <c r="Y632" s="2" t="b">
        <v>0</v>
      </c>
      <c r="Z632" s="2" t="s">
        <v>67</v>
      </c>
      <c r="AA632" s="2">
        <v>252.2</v>
      </c>
      <c r="AB632" s="2" t="s">
        <v>49</v>
      </c>
    </row>
    <row r="633" spans="1:28" ht="15.75" hidden="1" customHeight="1" x14ac:dyDescent="0.3">
      <c r="A633" s="2" t="s">
        <v>45</v>
      </c>
      <c r="B633" s="2" t="s">
        <v>32</v>
      </c>
      <c r="C633" s="2" t="s">
        <v>1262</v>
      </c>
      <c r="D633" s="2" t="s">
        <v>32</v>
      </c>
      <c r="E633" s="2" t="s">
        <v>43</v>
      </c>
      <c r="F633" s="2" t="s">
        <v>46</v>
      </c>
      <c r="G633" s="2" t="s">
        <v>42</v>
      </c>
      <c r="H633" s="2" t="s">
        <v>42</v>
      </c>
      <c r="I633" s="2" t="s">
        <v>239</v>
      </c>
      <c r="J633" s="2" t="s">
        <v>71</v>
      </c>
      <c r="K633" s="2" t="s">
        <v>2412</v>
      </c>
      <c r="L633" s="2" t="s">
        <v>2368</v>
      </c>
      <c r="M633" s="2" t="s">
        <v>1703</v>
      </c>
      <c r="N633" s="2" t="s">
        <v>2413</v>
      </c>
      <c r="O633" s="2" t="s">
        <v>1761</v>
      </c>
      <c r="P633" s="2" t="s">
        <v>1706</v>
      </c>
      <c r="Q633" s="2">
        <v>53</v>
      </c>
      <c r="R633" s="2" t="b">
        <v>0</v>
      </c>
      <c r="S633" s="2">
        <v>0.82251082251082253</v>
      </c>
      <c r="T633" s="2">
        <v>0.79497907949790791</v>
      </c>
      <c r="U633" s="2">
        <v>0.85201793721973096</v>
      </c>
      <c r="V633" s="2" t="s">
        <v>63</v>
      </c>
      <c r="W633" s="2" t="s">
        <v>2414</v>
      </c>
      <c r="X633" s="2" t="s">
        <v>2415</v>
      </c>
      <c r="Y633" s="2" t="b">
        <v>0</v>
      </c>
      <c r="Z633" s="2" t="s">
        <v>67</v>
      </c>
      <c r="AA633" s="2">
        <v>243.6</v>
      </c>
      <c r="AB633" s="2" t="s">
        <v>49</v>
      </c>
    </row>
    <row r="634" spans="1:28" ht="15.75" hidden="1" customHeight="1" x14ac:dyDescent="0.3">
      <c r="A634" s="2" t="s">
        <v>45</v>
      </c>
      <c r="B634" s="2" t="s">
        <v>32</v>
      </c>
      <c r="C634" s="2" t="s">
        <v>1262</v>
      </c>
      <c r="D634" s="2" t="s">
        <v>32</v>
      </c>
      <c r="E634" s="2" t="s">
        <v>43</v>
      </c>
      <c r="F634" s="2" t="s">
        <v>46</v>
      </c>
      <c r="G634" s="2" t="s">
        <v>42</v>
      </c>
      <c r="H634" s="2" t="s">
        <v>42</v>
      </c>
      <c r="I634" s="2" t="s">
        <v>239</v>
      </c>
      <c r="J634" s="2" t="s">
        <v>71</v>
      </c>
      <c r="K634" s="2" t="s">
        <v>2416</v>
      </c>
      <c r="L634" s="2" t="s">
        <v>2368</v>
      </c>
      <c r="M634" s="2" t="s">
        <v>1703</v>
      </c>
      <c r="N634" s="2" t="s">
        <v>2417</v>
      </c>
      <c r="O634" s="2" t="s">
        <v>1766</v>
      </c>
      <c r="P634" s="2" t="s">
        <v>1706</v>
      </c>
      <c r="Q634" s="2">
        <v>54</v>
      </c>
      <c r="R634" s="2" t="b">
        <v>0</v>
      </c>
      <c r="S634" s="2">
        <v>0.82352941176470595</v>
      </c>
      <c r="T634" s="2">
        <v>0.80382775119617222</v>
      </c>
      <c r="U634" s="2">
        <v>0.84422110552763818</v>
      </c>
      <c r="V634" s="2" t="s">
        <v>63</v>
      </c>
      <c r="W634" s="2" t="s">
        <v>2418</v>
      </c>
      <c r="X634" s="2" t="s">
        <v>2419</v>
      </c>
      <c r="Y634" s="2" t="b">
        <v>0</v>
      </c>
      <c r="Z634" s="2" t="s">
        <v>67</v>
      </c>
      <c r="AA634" s="2">
        <v>257.89999999999998</v>
      </c>
      <c r="AB634" s="2" t="s">
        <v>49</v>
      </c>
    </row>
    <row r="635" spans="1:28" ht="15.75" hidden="1" customHeight="1" x14ac:dyDescent="0.3">
      <c r="A635" s="2" t="s">
        <v>45</v>
      </c>
      <c r="B635" s="2" t="s">
        <v>32</v>
      </c>
      <c r="C635" s="2" t="s">
        <v>1262</v>
      </c>
      <c r="D635" s="2" t="s">
        <v>32</v>
      </c>
      <c r="E635" s="2" t="s">
        <v>43</v>
      </c>
      <c r="F635" s="2" t="s">
        <v>46</v>
      </c>
      <c r="G635" s="2" t="s">
        <v>42</v>
      </c>
      <c r="H635" s="2" t="s">
        <v>42</v>
      </c>
      <c r="I635" s="2" t="s">
        <v>239</v>
      </c>
      <c r="J635" s="2" t="s">
        <v>71</v>
      </c>
      <c r="K635" s="2" t="s">
        <v>2420</v>
      </c>
      <c r="L635" s="2" t="s">
        <v>2368</v>
      </c>
      <c r="M635" s="2" t="s">
        <v>1703</v>
      </c>
      <c r="N635" s="2" t="s">
        <v>2421</v>
      </c>
      <c r="O635" s="2" t="s">
        <v>1771</v>
      </c>
      <c r="P635" s="2" t="s">
        <v>1706</v>
      </c>
      <c r="Q635" s="2">
        <v>55</v>
      </c>
      <c r="R635" s="2" t="b">
        <v>0</v>
      </c>
      <c r="S635" s="2">
        <v>0.82100238663484493</v>
      </c>
      <c r="T635" s="2">
        <v>0.84313725490196079</v>
      </c>
      <c r="U635" s="2">
        <v>0.8</v>
      </c>
      <c r="V635" s="2" t="s">
        <v>63</v>
      </c>
      <c r="W635" s="2" t="s">
        <v>2422</v>
      </c>
      <c r="X635" s="2" t="s">
        <v>2423</v>
      </c>
      <c r="Y635" s="2" t="b">
        <v>0</v>
      </c>
      <c r="Z635" s="2" t="s">
        <v>67</v>
      </c>
      <c r="AA635" s="2">
        <v>248.1</v>
      </c>
      <c r="AB635" s="2" t="s">
        <v>49</v>
      </c>
    </row>
    <row r="636" spans="1:28" ht="15.75" hidden="1" customHeight="1" x14ac:dyDescent="0.3">
      <c r="A636" s="2" t="s">
        <v>45</v>
      </c>
      <c r="B636" s="2" t="s">
        <v>32</v>
      </c>
      <c r="C636" s="2" t="s">
        <v>1262</v>
      </c>
      <c r="D636" s="2" t="s">
        <v>32</v>
      </c>
      <c r="E636" s="2" t="s">
        <v>43</v>
      </c>
      <c r="F636" s="2" t="s">
        <v>46</v>
      </c>
      <c r="G636" s="2" t="s">
        <v>42</v>
      </c>
      <c r="H636" s="2" t="s">
        <v>42</v>
      </c>
      <c r="I636" s="2" t="s">
        <v>239</v>
      </c>
      <c r="J636" s="2" t="s">
        <v>71</v>
      </c>
      <c r="K636" s="2" t="s">
        <v>2424</v>
      </c>
      <c r="L636" s="2" t="s">
        <v>2368</v>
      </c>
      <c r="M636" s="2" t="s">
        <v>1703</v>
      </c>
      <c r="N636" s="2" t="s">
        <v>2425</v>
      </c>
      <c r="O636" s="2" t="s">
        <v>1776</v>
      </c>
      <c r="P636" s="2" t="s">
        <v>1706</v>
      </c>
      <c r="Q636" s="2">
        <v>56</v>
      </c>
      <c r="R636" s="2" t="b">
        <v>0</v>
      </c>
      <c r="S636" s="2">
        <v>0.80841121495327095</v>
      </c>
      <c r="T636" s="2">
        <v>0.80841121495327106</v>
      </c>
      <c r="U636" s="2">
        <v>0.80841121495327106</v>
      </c>
      <c r="V636" s="2" t="s">
        <v>63</v>
      </c>
      <c r="W636" s="2" t="s">
        <v>2426</v>
      </c>
      <c r="X636" s="2" t="s">
        <v>2427</v>
      </c>
      <c r="Y636" s="2" t="b">
        <v>0</v>
      </c>
      <c r="Z636" s="2" t="s">
        <v>67</v>
      </c>
      <c r="AA636" s="2">
        <v>253</v>
      </c>
      <c r="AB636" s="2" t="s">
        <v>49</v>
      </c>
    </row>
    <row r="637" spans="1:28" ht="15.75" hidden="1" customHeight="1" x14ac:dyDescent="0.3">
      <c r="A637" s="2" t="s">
        <v>45</v>
      </c>
      <c r="B637" s="2" t="s">
        <v>32</v>
      </c>
      <c r="C637" s="2" t="s">
        <v>1262</v>
      </c>
      <c r="D637" s="2" t="s">
        <v>32</v>
      </c>
      <c r="E637" s="2" t="s">
        <v>43</v>
      </c>
      <c r="F637" s="2" t="s">
        <v>46</v>
      </c>
      <c r="G637" s="2" t="s">
        <v>42</v>
      </c>
      <c r="H637" s="2" t="s">
        <v>42</v>
      </c>
      <c r="I637" s="2" t="s">
        <v>239</v>
      </c>
      <c r="J637" s="2" t="s">
        <v>71</v>
      </c>
      <c r="K637" s="2" t="s">
        <v>2428</v>
      </c>
      <c r="L637" s="2" t="s">
        <v>2368</v>
      </c>
      <c r="M637" s="2" t="s">
        <v>1703</v>
      </c>
      <c r="N637" s="2" t="s">
        <v>2429</v>
      </c>
      <c r="O637" s="2" t="s">
        <v>1781</v>
      </c>
      <c r="P637" s="2" t="s">
        <v>1706</v>
      </c>
      <c r="Q637" s="2">
        <v>57</v>
      </c>
      <c r="R637" s="2" t="b">
        <v>0</v>
      </c>
      <c r="S637" s="2">
        <v>0.81651376146788979</v>
      </c>
      <c r="T637" s="2">
        <v>0.78414096916299558</v>
      </c>
      <c r="U637" s="2">
        <v>0.85167464114832536</v>
      </c>
      <c r="V637" s="2" t="s">
        <v>63</v>
      </c>
      <c r="W637" s="2" t="s">
        <v>2430</v>
      </c>
      <c r="X637" s="2" t="s">
        <v>2431</v>
      </c>
      <c r="Y637" s="2" t="b">
        <v>0</v>
      </c>
      <c r="Z637" s="2" t="s">
        <v>67</v>
      </c>
      <c r="AA637" s="2">
        <v>250.5</v>
      </c>
      <c r="AB637" s="2" t="s">
        <v>49</v>
      </c>
    </row>
    <row r="638" spans="1:28" ht="15.75" hidden="1" customHeight="1" x14ac:dyDescent="0.3">
      <c r="A638" s="2" t="s">
        <v>45</v>
      </c>
      <c r="B638" s="2" t="s">
        <v>32</v>
      </c>
      <c r="C638" s="2" t="s">
        <v>1262</v>
      </c>
      <c r="D638" s="2" t="s">
        <v>32</v>
      </c>
      <c r="E638" s="2" t="s">
        <v>43</v>
      </c>
      <c r="F638" s="2" t="s">
        <v>46</v>
      </c>
      <c r="G638" s="2" t="s">
        <v>42</v>
      </c>
      <c r="H638" s="2" t="s">
        <v>42</v>
      </c>
      <c r="I638" s="2" t="s">
        <v>239</v>
      </c>
      <c r="J638" s="2" t="s">
        <v>71</v>
      </c>
      <c r="K638" s="2" t="s">
        <v>2432</v>
      </c>
      <c r="L638" s="2" t="s">
        <v>2368</v>
      </c>
      <c r="M638" s="2" t="s">
        <v>1703</v>
      </c>
      <c r="N638" s="2" t="s">
        <v>2433</v>
      </c>
      <c r="O638" s="2" t="s">
        <v>1786</v>
      </c>
      <c r="P638" s="2" t="s">
        <v>1706</v>
      </c>
      <c r="Q638" s="2">
        <v>58</v>
      </c>
      <c r="R638" s="2" t="b">
        <v>0</v>
      </c>
      <c r="S638" s="2">
        <v>0.83855421686746978</v>
      </c>
      <c r="T638" s="2">
        <v>0.82464454976303314</v>
      </c>
      <c r="U638" s="2">
        <v>0.8529411764705882</v>
      </c>
      <c r="V638" s="2" t="s">
        <v>63</v>
      </c>
      <c r="W638" s="2" t="s">
        <v>2434</v>
      </c>
      <c r="X638" s="2" t="s">
        <v>2435</v>
      </c>
      <c r="Y638" s="2" t="b">
        <v>0</v>
      </c>
      <c r="Z638" s="2" t="s">
        <v>67</v>
      </c>
      <c r="AA638" s="2">
        <v>214.2</v>
      </c>
      <c r="AB638" s="2" t="s">
        <v>49</v>
      </c>
    </row>
    <row r="639" spans="1:28" ht="15.75" hidden="1" customHeight="1" x14ac:dyDescent="0.3">
      <c r="A639" s="2" t="s">
        <v>45</v>
      </c>
      <c r="B639" s="2" t="s">
        <v>32</v>
      </c>
      <c r="C639" s="2" t="s">
        <v>1262</v>
      </c>
      <c r="D639" s="2" t="s">
        <v>32</v>
      </c>
      <c r="E639" s="2" t="s">
        <v>43</v>
      </c>
      <c r="F639" s="2" t="s">
        <v>46</v>
      </c>
      <c r="G639" s="2" t="s">
        <v>42</v>
      </c>
      <c r="H639" s="2" t="s">
        <v>42</v>
      </c>
      <c r="I639" s="2" t="s">
        <v>239</v>
      </c>
      <c r="J639" s="2" t="s">
        <v>71</v>
      </c>
      <c r="K639" s="2" t="s">
        <v>2436</v>
      </c>
      <c r="L639" s="2" t="s">
        <v>2368</v>
      </c>
      <c r="M639" s="2" t="s">
        <v>1703</v>
      </c>
      <c r="N639" s="2" t="s">
        <v>2437</v>
      </c>
      <c r="O639" s="2" t="s">
        <v>1791</v>
      </c>
      <c r="P639" s="2" t="s">
        <v>1706</v>
      </c>
      <c r="Q639" s="2">
        <v>59</v>
      </c>
      <c r="R639" s="2" t="b">
        <v>0</v>
      </c>
      <c r="S639" s="2">
        <v>0.80373831775700944</v>
      </c>
      <c r="T639" s="2">
        <v>0.79629629629629628</v>
      </c>
      <c r="U639" s="2">
        <v>0.81132075471698117</v>
      </c>
      <c r="V639" s="2" t="s">
        <v>63</v>
      </c>
      <c r="W639" s="2" t="s">
        <v>2438</v>
      </c>
      <c r="X639" s="2" t="s">
        <v>2439</v>
      </c>
      <c r="Y639" s="2" t="b">
        <v>0</v>
      </c>
      <c r="Z639" s="2" t="s">
        <v>67</v>
      </c>
      <c r="AA639" s="2">
        <v>261.10000000000002</v>
      </c>
      <c r="AB639" s="2" t="s">
        <v>49</v>
      </c>
    </row>
    <row r="640" spans="1:28" ht="15.75" hidden="1" customHeight="1" x14ac:dyDescent="0.3">
      <c r="A640" s="2" t="s">
        <v>45</v>
      </c>
      <c r="B640" s="2" t="s">
        <v>32</v>
      </c>
      <c r="C640" s="2" t="s">
        <v>1262</v>
      </c>
      <c r="D640" s="2" t="s">
        <v>32</v>
      </c>
      <c r="E640" s="2" t="s">
        <v>43</v>
      </c>
      <c r="F640" s="2" t="s">
        <v>46</v>
      </c>
      <c r="G640" s="2" t="s">
        <v>42</v>
      </c>
      <c r="H640" s="2" t="s">
        <v>42</v>
      </c>
      <c r="I640" s="2" t="s">
        <v>239</v>
      </c>
      <c r="J640" s="2" t="s">
        <v>71</v>
      </c>
      <c r="K640" s="2" t="s">
        <v>2440</v>
      </c>
      <c r="L640" s="2" t="s">
        <v>2368</v>
      </c>
      <c r="M640" s="2" t="s">
        <v>1703</v>
      </c>
      <c r="N640" s="2" t="s">
        <v>2441</v>
      </c>
      <c r="O640" s="2" t="s">
        <v>1796</v>
      </c>
      <c r="P640" s="2" t="s">
        <v>1706</v>
      </c>
      <c r="Q640" s="2">
        <v>60</v>
      </c>
      <c r="R640" s="2" t="b">
        <v>0</v>
      </c>
      <c r="S640" s="2">
        <v>0.81632653061224492</v>
      </c>
      <c r="T640" s="2">
        <v>0.81632653061224492</v>
      </c>
      <c r="U640" s="2">
        <v>0.81632653061224492</v>
      </c>
      <c r="V640" s="2" t="s">
        <v>63</v>
      </c>
      <c r="W640" s="2" t="s">
        <v>2442</v>
      </c>
      <c r="X640" s="2" t="s">
        <v>2443</v>
      </c>
      <c r="Y640" s="2" t="b">
        <v>0</v>
      </c>
      <c r="Z640" s="2" t="s">
        <v>67</v>
      </c>
      <c r="AA640" s="2">
        <v>247.5</v>
      </c>
      <c r="AB640" s="2" t="s">
        <v>49</v>
      </c>
    </row>
    <row r="641" spans="1:28" ht="15.75" hidden="1" customHeight="1" x14ac:dyDescent="0.3">
      <c r="A641" s="2" t="s">
        <v>45</v>
      </c>
      <c r="B641" s="2" t="s">
        <v>32</v>
      </c>
      <c r="C641" s="2" t="s">
        <v>1262</v>
      </c>
      <c r="D641" s="2" t="s">
        <v>32</v>
      </c>
      <c r="E641" s="2" t="s">
        <v>43</v>
      </c>
      <c r="F641" s="2" t="s">
        <v>46</v>
      </c>
      <c r="G641" s="2" t="s">
        <v>42</v>
      </c>
      <c r="H641" s="2" t="s">
        <v>42</v>
      </c>
      <c r="I641" s="2" t="s">
        <v>239</v>
      </c>
      <c r="J641" s="2" t="s">
        <v>71</v>
      </c>
      <c r="K641" s="2" t="s">
        <v>2444</v>
      </c>
      <c r="L641" s="2" t="s">
        <v>2368</v>
      </c>
      <c r="M641" s="2" t="s">
        <v>1703</v>
      </c>
      <c r="N641" s="2" t="s">
        <v>2445</v>
      </c>
      <c r="O641" s="2" t="s">
        <v>1801</v>
      </c>
      <c r="P641" s="2" t="s">
        <v>1706</v>
      </c>
      <c r="Q641" s="2">
        <v>61</v>
      </c>
      <c r="R641" s="2" t="b">
        <v>0</v>
      </c>
      <c r="S641" s="2">
        <v>0.79024390243902454</v>
      </c>
      <c r="T641" s="2">
        <v>0.82233502538071068</v>
      </c>
      <c r="U641" s="2">
        <v>0.76056338028169013</v>
      </c>
      <c r="V641" s="2" t="s">
        <v>63</v>
      </c>
      <c r="W641" s="2" t="s">
        <v>2446</v>
      </c>
      <c r="X641" s="2" t="s">
        <v>2447</v>
      </c>
      <c r="Y641" s="2" t="b">
        <v>0</v>
      </c>
      <c r="Z641" s="2" t="s">
        <v>67</v>
      </c>
      <c r="AA641" s="2">
        <v>241.2</v>
      </c>
      <c r="AB641" s="2" t="s">
        <v>49</v>
      </c>
    </row>
    <row r="642" spans="1:28" ht="15.75" hidden="1" customHeight="1" x14ac:dyDescent="0.3">
      <c r="A642" s="2" t="s">
        <v>45</v>
      </c>
      <c r="B642" s="2" t="s">
        <v>32</v>
      </c>
      <c r="C642" s="2" t="s">
        <v>1262</v>
      </c>
      <c r="D642" s="2" t="s">
        <v>32</v>
      </c>
      <c r="E642" s="2" t="s">
        <v>39</v>
      </c>
      <c r="F642" s="2" t="s">
        <v>496</v>
      </c>
      <c r="G642" s="2" t="s">
        <v>42</v>
      </c>
      <c r="H642" s="2" t="s">
        <v>42</v>
      </c>
      <c r="I642" s="2" t="s">
        <v>47</v>
      </c>
      <c r="J642" s="2" t="s">
        <v>44</v>
      </c>
      <c r="K642" s="2" t="s">
        <v>2286</v>
      </c>
      <c r="L642" s="2" t="s">
        <v>2287</v>
      </c>
      <c r="M642" s="2" t="s">
        <v>1600</v>
      </c>
      <c r="N642" s="2" t="s">
        <v>2288</v>
      </c>
      <c r="O642" s="2" t="s">
        <v>1602</v>
      </c>
      <c r="P642" s="2" t="s">
        <v>1603</v>
      </c>
      <c r="Q642" s="2">
        <v>42</v>
      </c>
      <c r="R642" s="2" t="b">
        <v>1</v>
      </c>
      <c r="S642" s="2">
        <v>0.64444444444444438</v>
      </c>
      <c r="V642" s="2" t="s">
        <v>510</v>
      </c>
      <c r="W642" s="2" t="s">
        <v>2448</v>
      </c>
      <c r="X642" s="2" t="s">
        <v>2449</v>
      </c>
      <c r="Y642" s="2" t="b">
        <v>1</v>
      </c>
      <c r="Z642" s="2" t="s">
        <v>67</v>
      </c>
      <c r="AA642" s="2">
        <v>0</v>
      </c>
      <c r="AB642" s="2" t="s">
        <v>49</v>
      </c>
    </row>
    <row r="643" spans="1:28" ht="15.75" hidden="1" customHeight="1" x14ac:dyDescent="0.3">
      <c r="A643" s="2" t="s">
        <v>45</v>
      </c>
      <c r="B643" s="2" t="s">
        <v>32</v>
      </c>
      <c r="C643" s="2" t="s">
        <v>1262</v>
      </c>
      <c r="D643" s="2" t="s">
        <v>32</v>
      </c>
      <c r="E643" s="2" t="s">
        <v>39</v>
      </c>
      <c r="F643" s="2" t="s">
        <v>496</v>
      </c>
      <c r="G643" s="2" t="s">
        <v>42</v>
      </c>
      <c r="H643" s="2" t="s">
        <v>42</v>
      </c>
      <c r="I643" s="2" t="s">
        <v>47</v>
      </c>
      <c r="J643" s="2" t="s">
        <v>44</v>
      </c>
      <c r="K643" s="2" t="s">
        <v>2291</v>
      </c>
      <c r="L643" s="2" t="s">
        <v>2287</v>
      </c>
      <c r="M643" s="2" t="s">
        <v>1600</v>
      </c>
      <c r="N643" s="2" t="s">
        <v>2292</v>
      </c>
      <c r="O643" s="2" t="s">
        <v>1608</v>
      </c>
      <c r="P643" s="2" t="s">
        <v>1603</v>
      </c>
      <c r="Q643" s="2">
        <v>43</v>
      </c>
      <c r="R643" s="2" t="b">
        <v>1</v>
      </c>
      <c r="S643" s="2">
        <v>0.63384615384615384</v>
      </c>
      <c r="V643" s="2" t="s">
        <v>510</v>
      </c>
      <c r="W643" s="2" t="s">
        <v>2450</v>
      </c>
      <c r="X643" s="2" t="s">
        <v>2451</v>
      </c>
      <c r="Y643" s="2" t="b">
        <v>1</v>
      </c>
      <c r="Z643" s="2" t="s">
        <v>67</v>
      </c>
      <c r="AA643" s="2">
        <v>0</v>
      </c>
      <c r="AB643" s="2" t="s">
        <v>49</v>
      </c>
    </row>
    <row r="644" spans="1:28" ht="15.75" hidden="1" customHeight="1" x14ac:dyDescent="0.3">
      <c r="A644" s="2" t="s">
        <v>45</v>
      </c>
      <c r="B644" s="2" t="s">
        <v>32</v>
      </c>
      <c r="C644" s="2" t="s">
        <v>1262</v>
      </c>
      <c r="D644" s="2" t="s">
        <v>32</v>
      </c>
      <c r="E644" s="2" t="s">
        <v>39</v>
      </c>
      <c r="F644" s="2" t="s">
        <v>496</v>
      </c>
      <c r="G644" s="2" t="s">
        <v>42</v>
      </c>
      <c r="H644" s="2" t="s">
        <v>42</v>
      </c>
      <c r="I644" s="2" t="s">
        <v>47</v>
      </c>
      <c r="J644" s="2" t="s">
        <v>44</v>
      </c>
      <c r="K644" s="2" t="s">
        <v>2295</v>
      </c>
      <c r="L644" s="2" t="s">
        <v>2287</v>
      </c>
      <c r="M644" s="2" t="s">
        <v>1600</v>
      </c>
      <c r="N644" s="2" t="s">
        <v>2296</v>
      </c>
      <c r="O644" s="2" t="s">
        <v>1613</v>
      </c>
      <c r="P644" s="2" t="s">
        <v>1603</v>
      </c>
      <c r="Q644" s="2">
        <v>44</v>
      </c>
      <c r="R644" s="2" t="b">
        <v>1</v>
      </c>
      <c r="S644" s="2">
        <v>0.6987951807228916</v>
      </c>
      <c r="V644" s="2" t="s">
        <v>510</v>
      </c>
      <c r="W644" s="2" t="s">
        <v>2452</v>
      </c>
      <c r="X644" s="2" t="s">
        <v>2453</v>
      </c>
      <c r="Y644" s="2" t="b">
        <v>1</v>
      </c>
      <c r="Z644" s="2" t="s">
        <v>67</v>
      </c>
      <c r="AA644" s="2">
        <v>0</v>
      </c>
      <c r="AB644" s="2" t="s">
        <v>49</v>
      </c>
    </row>
    <row r="645" spans="1:28" ht="15.75" hidden="1" customHeight="1" x14ac:dyDescent="0.3">
      <c r="A645" s="2" t="s">
        <v>45</v>
      </c>
      <c r="B645" s="2" t="s">
        <v>32</v>
      </c>
      <c r="C645" s="2" t="s">
        <v>1262</v>
      </c>
      <c r="D645" s="2" t="s">
        <v>32</v>
      </c>
      <c r="E645" s="2" t="s">
        <v>39</v>
      </c>
      <c r="F645" s="2" t="s">
        <v>496</v>
      </c>
      <c r="G645" s="2" t="s">
        <v>42</v>
      </c>
      <c r="H645" s="2" t="s">
        <v>42</v>
      </c>
      <c r="I645" s="2" t="s">
        <v>47</v>
      </c>
      <c r="J645" s="2" t="s">
        <v>44</v>
      </c>
      <c r="K645" s="2" t="s">
        <v>2299</v>
      </c>
      <c r="L645" s="2" t="s">
        <v>2287</v>
      </c>
      <c r="M645" s="2" t="s">
        <v>1600</v>
      </c>
      <c r="N645" s="2" t="s">
        <v>2300</v>
      </c>
      <c r="O645" s="2" t="s">
        <v>1618</v>
      </c>
      <c r="P645" s="2" t="s">
        <v>1603</v>
      </c>
      <c r="Q645" s="2">
        <v>45</v>
      </c>
      <c r="R645" s="2" t="b">
        <v>1</v>
      </c>
      <c r="S645" s="2">
        <v>0.64077669902912626</v>
      </c>
      <c r="V645" s="2" t="s">
        <v>510</v>
      </c>
      <c r="W645" s="2" t="s">
        <v>2454</v>
      </c>
      <c r="X645" s="2" t="s">
        <v>2455</v>
      </c>
      <c r="Y645" s="2" t="b">
        <v>1</v>
      </c>
      <c r="Z645" s="2" t="s">
        <v>67</v>
      </c>
      <c r="AA645" s="2">
        <v>0</v>
      </c>
      <c r="AB645" s="2" t="s">
        <v>49</v>
      </c>
    </row>
    <row r="646" spans="1:28" ht="15.75" hidden="1" customHeight="1" x14ac:dyDescent="0.3">
      <c r="A646" s="2" t="s">
        <v>45</v>
      </c>
      <c r="B646" s="2" t="s">
        <v>32</v>
      </c>
      <c r="C646" s="2" t="s">
        <v>1262</v>
      </c>
      <c r="D646" s="2" t="s">
        <v>32</v>
      </c>
      <c r="E646" s="2" t="s">
        <v>39</v>
      </c>
      <c r="F646" s="2" t="s">
        <v>496</v>
      </c>
      <c r="G646" s="2" t="s">
        <v>42</v>
      </c>
      <c r="H646" s="2" t="s">
        <v>42</v>
      </c>
      <c r="I646" s="2" t="s">
        <v>47</v>
      </c>
      <c r="J646" s="2" t="s">
        <v>44</v>
      </c>
      <c r="K646" s="2" t="s">
        <v>2303</v>
      </c>
      <c r="L646" s="2" t="s">
        <v>2287</v>
      </c>
      <c r="M646" s="2" t="s">
        <v>1600</v>
      </c>
      <c r="N646" s="2" t="s">
        <v>2304</v>
      </c>
      <c r="O646" s="2" t="s">
        <v>1623</v>
      </c>
      <c r="P646" s="2" t="s">
        <v>1603</v>
      </c>
      <c r="Q646" s="2">
        <v>46</v>
      </c>
      <c r="R646" s="2" t="b">
        <v>1</v>
      </c>
      <c r="S646" s="2">
        <v>0.61111111111111105</v>
      </c>
      <c r="V646" s="2" t="s">
        <v>510</v>
      </c>
      <c r="W646" s="2" t="s">
        <v>2456</v>
      </c>
      <c r="X646" s="2" t="s">
        <v>2457</v>
      </c>
      <c r="Y646" s="2" t="b">
        <v>1</v>
      </c>
      <c r="Z646" s="2" t="s">
        <v>67</v>
      </c>
      <c r="AA646" s="2">
        <v>0</v>
      </c>
      <c r="AB646" s="2" t="s">
        <v>49</v>
      </c>
    </row>
    <row r="647" spans="1:28" ht="15.75" hidden="1" customHeight="1" x14ac:dyDescent="0.3">
      <c r="A647" s="2" t="s">
        <v>45</v>
      </c>
      <c r="B647" s="2" t="s">
        <v>32</v>
      </c>
      <c r="C647" s="2" t="s">
        <v>1262</v>
      </c>
      <c r="D647" s="2" t="s">
        <v>32</v>
      </c>
      <c r="E647" s="2" t="s">
        <v>39</v>
      </c>
      <c r="F647" s="2" t="s">
        <v>496</v>
      </c>
      <c r="G647" s="2" t="s">
        <v>42</v>
      </c>
      <c r="H647" s="2" t="s">
        <v>42</v>
      </c>
      <c r="I647" s="2" t="s">
        <v>47</v>
      </c>
      <c r="J647" s="2" t="s">
        <v>44</v>
      </c>
      <c r="K647" s="2" t="s">
        <v>2307</v>
      </c>
      <c r="L647" s="2" t="s">
        <v>2287</v>
      </c>
      <c r="M647" s="2" t="s">
        <v>1600</v>
      </c>
      <c r="N647" s="2" t="s">
        <v>2308</v>
      </c>
      <c r="O647" s="2" t="s">
        <v>1628</v>
      </c>
      <c r="P647" s="2" t="s">
        <v>1603</v>
      </c>
      <c r="Q647" s="2">
        <v>47</v>
      </c>
      <c r="R647" s="2" t="b">
        <v>1</v>
      </c>
      <c r="S647" s="2">
        <v>0.65895953757225434</v>
      </c>
      <c r="V647" s="2" t="s">
        <v>510</v>
      </c>
      <c r="W647" s="2" t="s">
        <v>2458</v>
      </c>
      <c r="X647" s="2" t="s">
        <v>2459</v>
      </c>
      <c r="Y647" s="2" t="b">
        <v>1</v>
      </c>
      <c r="Z647" s="2" t="s">
        <v>67</v>
      </c>
      <c r="AA647" s="2">
        <v>0</v>
      </c>
      <c r="AB647" s="2" t="s">
        <v>49</v>
      </c>
    </row>
    <row r="648" spans="1:28" ht="15.75" hidden="1" customHeight="1" x14ac:dyDescent="0.3">
      <c r="A648" s="2" t="s">
        <v>45</v>
      </c>
      <c r="B648" s="2" t="s">
        <v>32</v>
      </c>
      <c r="C648" s="2" t="s">
        <v>1262</v>
      </c>
      <c r="D648" s="2" t="s">
        <v>32</v>
      </c>
      <c r="E648" s="2" t="s">
        <v>39</v>
      </c>
      <c r="F648" s="2" t="s">
        <v>496</v>
      </c>
      <c r="G648" s="2" t="s">
        <v>42</v>
      </c>
      <c r="H648" s="2" t="s">
        <v>42</v>
      </c>
      <c r="I648" s="2" t="s">
        <v>47</v>
      </c>
      <c r="J648" s="2" t="s">
        <v>44</v>
      </c>
      <c r="K648" s="2" t="s">
        <v>2311</v>
      </c>
      <c r="L648" s="2" t="s">
        <v>2287</v>
      </c>
      <c r="M648" s="2" t="s">
        <v>1600</v>
      </c>
      <c r="N648" s="2" t="s">
        <v>2312</v>
      </c>
      <c r="O648" s="2" t="s">
        <v>1633</v>
      </c>
      <c r="P648" s="2" t="s">
        <v>1603</v>
      </c>
      <c r="Q648" s="2">
        <v>48</v>
      </c>
      <c r="R648" s="2" t="b">
        <v>1</v>
      </c>
      <c r="S648" s="2">
        <v>0.65560165975103735</v>
      </c>
      <c r="V648" s="2" t="s">
        <v>510</v>
      </c>
      <c r="W648" s="2" t="s">
        <v>2460</v>
      </c>
      <c r="X648" s="2" t="s">
        <v>2461</v>
      </c>
      <c r="Y648" s="2" t="b">
        <v>1</v>
      </c>
      <c r="Z648" s="2" t="s">
        <v>67</v>
      </c>
      <c r="AA648" s="2">
        <v>0</v>
      </c>
      <c r="AB648" s="2" t="s">
        <v>49</v>
      </c>
    </row>
    <row r="649" spans="1:28" ht="15.75" hidden="1" customHeight="1" x14ac:dyDescent="0.3">
      <c r="A649" s="2" t="s">
        <v>45</v>
      </c>
      <c r="B649" s="2" t="s">
        <v>32</v>
      </c>
      <c r="C649" s="2" t="s">
        <v>1262</v>
      </c>
      <c r="D649" s="2" t="s">
        <v>32</v>
      </c>
      <c r="E649" s="2" t="s">
        <v>39</v>
      </c>
      <c r="F649" s="2" t="s">
        <v>496</v>
      </c>
      <c r="G649" s="2" t="s">
        <v>42</v>
      </c>
      <c r="H649" s="2" t="s">
        <v>42</v>
      </c>
      <c r="I649" s="2" t="s">
        <v>47</v>
      </c>
      <c r="J649" s="2" t="s">
        <v>44</v>
      </c>
      <c r="K649" s="2" t="s">
        <v>2315</v>
      </c>
      <c r="L649" s="2" t="s">
        <v>2287</v>
      </c>
      <c r="M649" s="2" t="s">
        <v>1600</v>
      </c>
      <c r="N649" s="2" t="s">
        <v>2316</v>
      </c>
      <c r="O649" s="2" t="s">
        <v>1638</v>
      </c>
      <c r="P649" s="2" t="s">
        <v>1603</v>
      </c>
      <c r="Q649" s="2">
        <v>49</v>
      </c>
      <c r="R649" s="2" t="b">
        <v>1</v>
      </c>
      <c r="S649" s="2">
        <v>0.64285714285714279</v>
      </c>
      <c r="V649" s="2" t="s">
        <v>510</v>
      </c>
      <c r="W649" s="2" t="s">
        <v>2462</v>
      </c>
      <c r="X649" s="2" t="s">
        <v>2463</v>
      </c>
      <c r="Y649" s="2" t="b">
        <v>1</v>
      </c>
      <c r="Z649" s="2" t="s">
        <v>67</v>
      </c>
      <c r="AA649" s="2">
        <v>0</v>
      </c>
      <c r="AB649" s="2" t="s">
        <v>49</v>
      </c>
    </row>
    <row r="650" spans="1:28" ht="15.75" hidden="1" customHeight="1" x14ac:dyDescent="0.3">
      <c r="A650" s="2" t="s">
        <v>45</v>
      </c>
      <c r="B650" s="2" t="s">
        <v>32</v>
      </c>
      <c r="C650" s="2" t="s">
        <v>1262</v>
      </c>
      <c r="D650" s="2" t="s">
        <v>32</v>
      </c>
      <c r="E650" s="2" t="s">
        <v>39</v>
      </c>
      <c r="F650" s="2" t="s">
        <v>496</v>
      </c>
      <c r="G650" s="2" t="s">
        <v>42</v>
      </c>
      <c r="H650" s="2" t="s">
        <v>42</v>
      </c>
      <c r="I650" s="2" t="s">
        <v>47</v>
      </c>
      <c r="J650" s="2" t="s">
        <v>44</v>
      </c>
      <c r="K650" s="2" t="s">
        <v>2319</v>
      </c>
      <c r="L650" s="2" t="s">
        <v>2287</v>
      </c>
      <c r="M650" s="2" t="s">
        <v>1600</v>
      </c>
      <c r="N650" s="2" t="s">
        <v>2320</v>
      </c>
      <c r="O650" s="2" t="s">
        <v>1643</v>
      </c>
      <c r="P650" s="2" t="s">
        <v>1603</v>
      </c>
      <c r="Q650" s="2">
        <v>50</v>
      </c>
      <c r="R650" s="2" t="b">
        <v>1</v>
      </c>
      <c r="S650" s="2">
        <v>0.66874999999999996</v>
      </c>
      <c r="V650" s="2" t="s">
        <v>510</v>
      </c>
      <c r="W650" s="2" t="s">
        <v>2464</v>
      </c>
      <c r="X650" s="2" t="s">
        <v>2465</v>
      </c>
      <c r="Y650" s="2" t="b">
        <v>1</v>
      </c>
      <c r="Z650" s="2" t="s">
        <v>67</v>
      </c>
      <c r="AA650" s="2">
        <v>0</v>
      </c>
      <c r="AB650" s="2" t="s">
        <v>49</v>
      </c>
    </row>
    <row r="651" spans="1:28" ht="15.75" hidden="1" customHeight="1" x14ac:dyDescent="0.3">
      <c r="A651" s="2" t="s">
        <v>45</v>
      </c>
      <c r="B651" s="2" t="s">
        <v>32</v>
      </c>
      <c r="C651" s="2" t="s">
        <v>1262</v>
      </c>
      <c r="D651" s="2" t="s">
        <v>32</v>
      </c>
      <c r="E651" s="2" t="s">
        <v>39</v>
      </c>
      <c r="F651" s="2" t="s">
        <v>496</v>
      </c>
      <c r="G651" s="2" t="s">
        <v>42</v>
      </c>
      <c r="H651" s="2" t="s">
        <v>42</v>
      </c>
      <c r="I651" s="2" t="s">
        <v>47</v>
      </c>
      <c r="J651" s="2" t="s">
        <v>44</v>
      </c>
      <c r="K651" s="2" t="s">
        <v>2323</v>
      </c>
      <c r="L651" s="2" t="s">
        <v>2287</v>
      </c>
      <c r="M651" s="2" t="s">
        <v>1600</v>
      </c>
      <c r="N651" s="2" t="s">
        <v>2324</v>
      </c>
      <c r="O651" s="2" t="s">
        <v>1648</v>
      </c>
      <c r="P651" s="2" t="s">
        <v>1603</v>
      </c>
      <c r="Q651" s="2">
        <v>51</v>
      </c>
      <c r="R651" s="2" t="b">
        <v>1</v>
      </c>
      <c r="S651" s="2">
        <v>0.65895953757225434</v>
      </c>
      <c r="V651" s="2" t="s">
        <v>510</v>
      </c>
      <c r="W651" s="2" t="s">
        <v>2466</v>
      </c>
      <c r="X651" s="2" t="s">
        <v>2467</v>
      </c>
      <c r="Y651" s="2" t="b">
        <v>1</v>
      </c>
      <c r="Z651" s="2" t="s">
        <v>67</v>
      </c>
      <c r="AA651" s="2">
        <v>0</v>
      </c>
      <c r="AB651" s="2" t="s">
        <v>49</v>
      </c>
    </row>
    <row r="652" spans="1:28" ht="15.75" hidden="1" customHeight="1" x14ac:dyDescent="0.3">
      <c r="A652" s="2" t="s">
        <v>45</v>
      </c>
      <c r="B652" s="2" t="s">
        <v>32</v>
      </c>
      <c r="C652" s="2" t="s">
        <v>1262</v>
      </c>
      <c r="D652" s="2" t="s">
        <v>32</v>
      </c>
      <c r="E652" s="2" t="s">
        <v>39</v>
      </c>
      <c r="F652" s="2" t="s">
        <v>496</v>
      </c>
      <c r="G652" s="2" t="s">
        <v>42</v>
      </c>
      <c r="H652" s="2" t="s">
        <v>42</v>
      </c>
      <c r="I652" s="2" t="s">
        <v>47</v>
      </c>
      <c r="J652" s="2" t="s">
        <v>44</v>
      </c>
      <c r="K652" s="2" t="s">
        <v>2327</v>
      </c>
      <c r="L652" s="2" t="s">
        <v>2287</v>
      </c>
      <c r="M652" s="2" t="s">
        <v>1600</v>
      </c>
      <c r="N652" s="2" t="s">
        <v>2328</v>
      </c>
      <c r="O652" s="2" t="s">
        <v>1653</v>
      </c>
      <c r="P652" s="2" t="s">
        <v>1603</v>
      </c>
      <c r="Q652" s="2">
        <v>52</v>
      </c>
      <c r="R652" s="2" t="b">
        <v>1</v>
      </c>
      <c r="S652" s="2">
        <v>0.60119047619047616</v>
      </c>
      <c r="V652" s="2" t="s">
        <v>510</v>
      </c>
      <c r="W652" s="2" t="s">
        <v>2468</v>
      </c>
      <c r="X652" s="2" t="s">
        <v>2469</v>
      </c>
      <c r="Y652" s="2" t="b">
        <v>1</v>
      </c>
      <c r="Z652" s="2" t="s">
        <v>67</v>
      </c>
      <c r="AA652" s="2">
        <v>0</v>
      </c>
      <c r="AB652" s="2" t="s">
        <v>49</v>
      </c>
    </row>
    <row r="653" spans="1:28" ht="15.75" hidden="1" customHeight="1" x14ac:dyDescent="0.3">
      <c r="A653" s="2" t="s">
        <v>45</v>
      </c>
      <c r="B653" s="2" t="s">
        <v>32</v>
      </c>
      <c r="C653" s="2" t="s">
        <v>1262</v>
      </c>
      <c r="D653" s="2" t="s">
        <v>32</v>
      </c>
      <c r="E653" s="2" t="s">
        <v>39</v>
      </c>
      <c r="F653" s="2" t="s">
        <v>496</v>
      </c>
      <c r="G653" s="2" t="s">
        <v>42</v>
      </c>
      <c r="H653" s="2" t="s">
        <v>42</v>
      </c>
      <c r="I653" s="2" t="s">
        <v>47</v>
      </c>
      <c r="J653" s="2" t="s">
        <v>44</v>
      </c>
      <c r="K653" s="2" t="s">
        <v>2331</v>
      </c>
      <c r="L653" s="2" t="s">
        <v>2287</v>
      </c>
      <c r="M653" s="2" t="s">
        <v>1600</v>
      </c>
      <c r="N653" s="2" t="s">
        <v>2332</v>
      </c>
      <c r="O653" s="2" t="s">
        <v>1658</v>
      </c>
      <c r="P653" s="2" t="s">
        <v>1603</v>
      </c>
      <c r="Q653" s="2">
        <v>53</v>
      </c>
      <c r="R653" s="2" t="b">
        <v>1</v>
      </c>
      <c r="S653" s="2">
        <v>0.65420560747663548</v>
      </c>
      <c r="V653" s="2" t="s">
        <v>510</v>
      </c>
      <c r="W653" s="2" t="s">
        <v>2470</v>
      </c>
      <c r="X653" s="2" t="s">
        <v>2471</v>
      </c>
      <c r="Y653" s="2" t="b">
        <v>1</v>
      </c>
      <c r="Z653" s="2" t="s">
        <v>67</v>
      </c>
      <c r="AA653" s="2">
        <v>0</v>
      </c>
      <c r="AB653" s="2" t="s">
        <v>49</v>
      </c>
    </row>
    <row r="654" spans="1:28" ht="15.75" hidden="1" customHeight="1" x14ac:dyDescent="0.3">
      <c r="A654" s="2" t="s">
        <v>45</v>
      </c>
      <c r="B654" s="2" t="s">
        <v>32</v>
      </c>
      <c r="C654" s="2" t="s">
        <v>1262</v>
      </c>
      <c r="D654" s="2" t="s">
        <v>32</v>
      </c>
      <c r="E654" s="2" t="s">
        <v>39</v>
      </c>
      <c r="F654" s="2" t="s">
        <v>496</v>
      </c>
      <c r="G654" s="2" t="s">
        <v>42</v>
      </c>
      <c r="H654" s="2" t="s">
        <v>42</v>
      </c>
      <c r="I654" s="2" t="s">
        <v>47</v>
      </c>
      <c r="J654" s="2" t="s">
        <v>44</v>
      </c>
      <c r="K654" s="2" t="s">
        <v>2335</v>
      </c>
      <c r="L654" s="2" t="s">
        <v>2287</v>
      </c>
      <c r="M654" s="2" t="s">
        <v>1600</v>
      </c>
      <c r="N654" s="2" t="s">
        <v>2336</v>
      </c>
      <c r="O654" s="2" t="s">
        <v>1663</v>
      </c>
      <c r="P654" s="2" t="s">
        <v>1603</v>
      </c>
      <c r="Q654" s="2">
        <v>54</v>
      </c>
      <c r="R654" s="2" t="b">
        <v>1</v>
      </c>
      <c r="S654" s="2">
        <v>0.6271186440677966</v>
      </c>
      <c r="V654" s="2" t="s">
        <v>510</v>
      </c>
      <c r="W654" s="2" t="s">
        <v>2472</v>
      </c>
      <c r="X654" s="2" t="s">
        <v>2473</v>
      </c>
      <c r="Y654" s="2" t="b">
        <v>1</v>
      </c>
      <c r="Z654" s="2" t="s">
        <v>67</v>
      </c>
      <c r="AA654" s="2">
        <v>0</v>
      </c>
      <c r="AB654" s="2" t="s">
        <v>49</v>
      </c>
    </row>
    <row r="655" spans="1:28" ht="15.75" hidden="1" customHeight="1" x14ac:dyDescent="0.3">
      <c r="A655" s="2" t="s">
        <v>45</v>
      </c>
      <c r="B655" s="2" t="s">
        <v>32</v>
      </c>
      <c r="C655" s="2" t="s">
        <v>1262</v>
      </c>
      <c r="D655" s="2" t="s">
        <v>32</v>
      </c>
      <c r="E655" s="2" t="s">
        <v>39</v>
      </c>
      <c r="F655" s="2" t="s">
        <v>496</v>
      </c>
      <c r="G655" s="2" t="s">
        <v>42</v>
      </c>
      <c r="H655" s="2" t="s">
        <v>42</v>
      </c>
      <c r="I655" s="2" t="s">
        <v>47</v>
      </c>
      <c r="J655" s="2" t="s">
        <v>44</v>
      </c>
      <c r="K655" s="2" t="s">
        <v>2339</v>
      </c>
      <c r="L655" s="2" t="s">
        <v>2287</v>
      </c>
      <c r="M655" s="2" t="s">
        <v>1600</v>
      </c>
      <c r="N655" s="2" t="s">
        <v>2340</v>
      </c>
      <c r="O655" s="2" t="s">
        <v>1668</v>
      </c>
      <c r="P655" s="2" t="s">
        <v>1603</v>
      </c>
      <c r="Q655" s="2">
        <v>55</v>
      </c>
      <c r="R655" s="2" t="b">
        <v>1</v>
      </c>
      <c r="S655" s="2">
        <v>0.62352941176470589</v>
      </c>
      <c r="V655" s="2" t="s">
        <v>510</v>
      </c>
      <c r="W655" s="2" t="s">
        <v>2474</v>
      </c>
      <c r="X655" s="2" t="s">
        <v>2475</v>
      </c>
      <c r="Y655" s="2" t="b">
        <v>1</v>
      </c>
      <c r="Z655" s="2" t="s">
        <v>67</v>
      </c>
      <c r="AA655" s="2">
        <v>0</v>
      </c>
      <c r="AB655" s="2" t="s">
        <v>49</v>
      </c>
    </row>
    <row r="656" spans="1:28" ht="15.75" hidden="1" customHeight="1" x14ac:dyDescent="0.3">
      <c r="A656" s="2" t="s">
        <v>45</v>
      </c>
      <c r="B656" s="2" t="s">
        <v>32</v>
      </c>
      <c r="C656" s="2" t="s">
        <v>1262</v>
      </c>
      <c r="D656" s="2" t="s">
        <v>32</v>
      </c>
      <c r="E656" s="2" t="s">
        <v>39</v>
      </c>
      <c r="F656" s="2" t="s">
        <v>496</v>
      </c>
      <c r="G656" s="2" t="s">
        <v>42</v>
      </c>
      <c r="H656" s="2" t="s">
        <v>42</v>
      </c>
      <c r="I656" s="2" t="s">
        <v>47</v>
      </c>
      <c r="J656" s="2" t="s">
        <v>44</v>
      </c>
      <c r="K656" s="2" t="s">
        <v>2343</v>
      </c>
      <c r="L656" s="2" t="s">
        <v>2287</v>
      </c>
      <c r="M656" s="2" t="s">
        <v>1600</v>
      </c>
      <c r="N656" s="2" t="s">
        <v>2344</v>
      </c>
      <c r="O656" s="2" t="s">
        <v>1673</v>
      </c>
      <c r="P656" s="2" t="s">
        <v>1603</v>
      </c>
      <c r="Q656" s="2">
        <v>56</v>
      </c>
      <c r="R656" s="2" t="b">
        <v>1</v>
      </c>
      <c r="S656" s="2">
        <v>0.5872576177285318</v>
      </c>
      <c r="V656" s="2" t="s">
        <v>510</v>
      </c>
      <c r="W656" s="2" t="s">
        <v>2476</v>
      </c>
      <c r="X656" s="2" t="s">
        <v>2477</v>
      </c>
      <c r="Y656" s="2" t="b">
        <v>1</v>
      </c>
      <c r="Z656" s="2" t="s">
        <v>67</v>
      </c>
      <c r="AA656" s="2">
        <v>0</v>
      </c>
      <c r="AB656" s="2" t="s">
        <v>49</v>
      </c>
    </row>
    <row r="657" spans="1:28" ht="15.75" hidden="1" customHeight="1" x14ac:dyDescent="0.3">
      <c r="A657" s="2" t="s">
        <v>45</v>
      </c>
      <c r="B657" s="2" t="s">
        <v>32</v>
      </c>
      <c r="C657" s="2" t="s">
        <v>1262</v>
      </c>
      <c r="D657" s="2" t="s">
        <v>32</v>
      </c>
      <c r="E657" s="2" t="s">
        <v>39</v>
      </c>
      <c r="F657" s="2" t="s">
        <v>496</v>
      </c>
      <c r="G657" s="2" t="s">
        <v>42</v>
      </c>
      <c r="H657" s="2" t="s">
        <v>42</v>
      </c>
      <c r="I657" s="2" t="s">
        <v>47</v>
      </c>
      <c r="J657" s="2" t="s">
        <v>44</v>
      </c>
      <c r="K657" s="2" t="s">
        <v>2347</v>
      </c>
      <c r="L657" s="2" t="s">
        <v>2287</v>
      </c>
      <c r="M657" s="2" t="s">
        <v>1600</v>
      </c>
      <c r="N657" s="2" t="s">
        <v>2348</v>
      </c>
      <c r="O657" s="2" t="s">
        <v>1678</v>
      </c>
      <c r="P657" s="2" t="s">
        <v>1603</v>
      </c>
      <c r="Q657" s="2">
        <v>57</v>
      </c>
      <c r="R657" s="2" t="b">
        <v>1</v>
      </c>
      <c r="S657" s="2">
        <v>0.62006079027355632</v>
      </c>
      <c r="V657" s="2" t="s">
        <v>510</v>
      </c>
      <c r="W657" s="2" t="s">
        <v>2478</v>
      </c>
      <c r="X657" s="2" t="s">
        <v>2479</v>
      </c>
      <c r="Y657" s="2" t="b">
        <v>1</v>
      </c>
      <c r="Z657" s="2" t="s">
        <v>67</v>
      </c>
      <c r="AA657" s="2">
        <v>0</v>
      </c>
      <c r="AB657" s="2" t="s">
        <v>49</v>
      </c>
    </row>
    <row r="658" spans="1:28" ht="15.75" hidden="1" customHeight="1" x14ac:dyDescent="0.3">
      <c r="A658" s="2" t="s">
        <v>45</v>
      </c>
      <c r="B658" s="2" t="s">
        <v>32</v>
      </c>
      <c r="C658" s="2" t="s">
        <v>1262</v>
      </c>
      <c r="D658" s="2" t="s">
        <v>32</v>
      </c>
      <c r="E658" s="2" t="s">
        <v>39</v>
      </c>
      <c r="F658" s="2" t="s">
        <v>496</v>
      </c>
      <c r="G658" s="2" t="s">
        <v>42</v>
      </c>
      <c r="H658" s="2" t="s">
        <v>42</v>
      </c>
      <c r="I658" s="2" t="s">
        <v>47</v>
      </c>
      <c r="J658" s="2" t="s">
        <v>44</v>
      </c>
      <c r="K658" s="2" t="s">
        <v>2351</v>
      </c>
      <c r="L658" s="2" t="s">
        <v>2287</v>
      </c>
      <c r="M658" s="2" t="s">
        <v>1600</v>
      </c>
      <c r="N658" s="2" t="s">
        <v>2352</v>
      </c>
      <c r="O658" s="2" t="s">
        <v>1683</v>
      </c>
      <c r="P658" s="2" t="s">
        <v>1603</v>
      </c>
      <c r="Q658" s="2">
        <v>58</v>
      </c>
      <c r="R658" s="2" t="b">
        <v>1</v>
      </c>
      <c r="S658" s="2">
        <v>0.67924528301886788</v>
      </c>
      <c r="V658" s="2" t="s">
        <v>510</v>
      </c>
      <c r="W658" s="2" t="s">
        <v>2480</v>
      </c>
      <c r="X658" s="2" t="s">
        <v>2481</v>
      </c>
      <c r="Y658" s="2" t="b">
        <v>1</v>
      </c>
      <c r="Z658" s="2" t="s">
        <v>67</v>
      </c>
      <c r="AA658" s="2">
        <v>0</v>
      </c>
      <c r="AB658" s="2" t="s">
        <v>49</v>
      </c>
    </row>
    <row r="659" spans="1:28" ht="15.75" hidden="1" customHeight="1" x14ac:dyDescent="0.3">
      <c r="A659" s="2" t="s">
        <v>45</v>
      </c>
      <c r="B659" s="2" t="s">
        <v>32</v>
      </c>
      <c r="C659" s="2" t="s">
        <v>1262</v>
      </c>
      <c r="D659" s="2" t="s">
        <v>32</v>
      </c>
      <c r="E659" s="2" t="s">
        <v>39</v>
      </c>
      <c r="F659" s="2" t="s">
        <v>496</v>
      </c>
      <c r="G659" s="2" t="s">
        <v>42</v>
      </c>
      <c r="H659" s="2" t="s">
        <v>42</v>
      </c>
      <c r="I659" s="2" t="s">
        <v>47</v>
      </c>
      <c r="J659" s="2" t="s">
        <v>44</v>
      </c>
      <c r="K659" s="2" t="s">
        <v>2355</v>
      </c>
      <c r="L659" s="2" t="s">
        <v>2287</v>
      </c>
      <c r="M659" s="2" t="s">
        <v>1600</v>
      </c>
      <c r="N659" s="2" t="s">
        <v>2356</v>
      </c>
      <c r="O659" s="2" t="s">
        <v>1688</v>
      </c>
      <c r="P659" s="2" t="s">
        <v>1603</v>
      </c>
      <c r="Q659" s="2">
        <v>59</v>
      </c>
      <c r="R659" s="2" t="b">
        <v>1</v>
      </c>
      <c r="S659" s="2">
        <v>0.62305295950155759</v>
      </c>
      <c r="V659" s="2" t="s">
        <v>510</v>
      </c>
      <c r="W659" s="2" t="s">
        <v>2482</v>
      </c>
      <c r="X659" s="2" t="s">
        <v>2483</v>
      </c>
      <c r="Y659" s="2" t="b">
        <v>1</v>
      </c>
      <c r="Z659" s="2" t="s">
        <v>67</v>
      </c>
      <c r="AA659" s="2">
        <v>0</v>
      </c>
      <c r="AB659" s="2" t="s">
        <v>49</v>
      </c>
    </row>
    <row r="660" spans="1:28" ht="15.75" hidden="1" customHeight="1" x14ac:dyDescent="0.3">
      <c r="A660" s="2" t="s">
        <v>45</v>
      </c>
      <c r="B660" s="2" t="s">
        <v>32</v>
      </c>
      <c r="C660" s="2" t="s">
        <v>1262</v>
      </c>
      <c r="D660" s="2" t="s">
        <v>32</v>
      </c>
      <c r="E660" s="2" t="s">
        <v>39</v>
      </c>
      <c r="F660" s="2" t="s">
        <v>496</v>
      </c>
      <c r="G660" s="2" t="s">
        <v>42</v>
      </c>
      <c r="H660" s="2" t="s">
        <v>42</v>
      </c>
      <c r="I660" s="2" t="s">
        <v>47</v>
      </c>
      <c r="J660" s="2" t="s">
        <v>44</v>
      </c>
      <c r="K660" s="2" t="s">
        <v>2359</v>
      </c>
      <c r="L660" s="2" t="s">
        <v>2287</v>
      </c>
      <c r="M660" s="2" t="s">
        <v>1600</v>
      </c>
      <c r="N660" s="2" t="s">
        <v>2360</v>
      </c>
      <c r="O660" s="2" t="s">
        <v>1693</v>
      </c>
      <c r="P660" s="2" t="s">
        <v>1603</v>
      </c>
      <c r="Q660" s="2">
        <v>60</v>
      </c>
      <c r="R660" s="2" t="b">
        <v>1</v>
      </c>
      <c r="S660" s="2">
        <v>0.62745098039215697</v>
      </c>
      <c r="V660" s="2" t="s">
        <v>510</v>
      </c>
      <c r="W660" s="2" t="s">
        <v>2484</v>
      </c>
      <c r="X660" s="2" t="s">
        <v>2485</v>
      </c>
      <c r="Y660" s="2" t="b">
        <v>1</v>
      </c>
      <c r="Z660" s="2" t="s">
        <v>67</v>
      </c>
      <c r="AA660" s="2">
        <v>0</v>
      </c>
      <c r="AB660" s="2" t="s">
        <v>49</v>
      </c>
    </row>
    <row r="661" spans="1:28" ht="15.75" hidden="1" customHeight="1" x14ac:dyDescent="0.3">
      <c r="A661" s="2" t="s">
        <v>45</v>
      </c>
      <c r="B661" s="2" t="s">
        <v>32</v>
      </c>
      <c r="C661" s="2" t="s">
        <v>1262</v>
      </c>
      <c r="D661" s="2" t="s">
        <v>32</v>
      </c>
      <c r="E661" s="2" t="s">
        <v>39</v>
      </c>
      <c r="F661" s="2" t="s">
        <v>496</v>
      </c>
      <c r="G661" s="2" t="s">
        <v>42</v>
      </c>
      <c r="H661" s="2" t="s">
        <v>42</v>
      </c>
      <c r="I661" s="2" t="s">
        <v>47</v>
      </c>
      <c r="J661" s="2" t="s">
        <v>44</v>
      </c>
      <c r="K661" s="2" t="s">
        <v>2363</v>
      </c>
      <c r="L661" s="2" t="s">
        <v>2287</v>
      </c>
      <c r="M661" s="2" t="s">
        <v>1600</v>
      </c>
      <c r="N661" s="2" t="s">
        <v>2364</v>
      </c>
      <c r="O661" s="2" t="s">
        <v>1698</v>
      </c>
      <c r="P661" s="2" t="s">
        <v>1603</v>
      </c>
      <c r="Q661" s="2">
        <v>61</v>
      </c>
      <c r="R661" s="2" t="b">
        <v>1</v>
      </c>
      <c r="S661" s="2">
        <v>0.66298342541436461</v>
      </c>
      <c r="V661" s="2" t="s">
        <v>510</v>
      </c>
      <c r="W661" s="2" t="s">
        <v>2486</v>
      </c>
      <c r="X661" s="2" t="s">
        <v>2487</v>
      </c>
      <c r="Y661" s="2" t="b">
        <v>1</v>
      </c>
      <c r="Z661" s="2" t="s">
        <v>67</v>
      </c>
      <c r="AA661" s="2">
        <v>0</v>
      </c>
      <c r="AB661" s="2" t="s">
        <v>49</v>
      </c>
    </row>
    <row r="662" spans="1:28" ht="15.75" hidden="1" customHeight="1" x14ac:dyDescent="0.3">
      <c r="A662" s="2" t="s">
        <v>45</v>
      </c>
      <c r="B662" s="2" t="s">
        <v>32</v>
      </c>
      <c r="C662" s="2" t="s">
        <v>1262</v>
      </c>
      <c r="D662" s="2" t="s">
        <v>32</v>
      </c>
      <c r="E662" s="2" t="s">
        <v>39</v>
      </c>
      <c r="F662" s="2" t="s">
        <v>496</v>
      </c>
      <c r="G662" s="2" t="s">
        <v>42</v>
      </c>
      <c r="H662" s="2" t="s">
        <v>42</v>
      </c>
      <c r="I662" s="2" t="s">
        <v>239</v>
      </c>
      <c r="J662" s="2" t="s">
        <v>71</v>
      </c>
      <c r="K662" s="2" t="s">
        <v>2367</v>
      </c>
      <c r="L662" s="2" t="s">
        <v>2368</v>
      </c>
      <c r="M662" s="2" t="s">
        <v>1703</v>
      </c>
      <c r="N662" s="2" t="s">
        <v>2369</v>
      </c>
      <c r="O662" s="2" t="s">
        <v>1705</v>
      </c>
      <c r="P662" s="2" t="s">
        <v>1706</v>
      </c>
      <c r="Q662" s="2">
        <v>42</v>
      </c>
      <c r="R662" s="2" t="b">
        <v>0</v>
      </c>
      <c r="S662" s="2">
        <v>0.65861027190332322</v>
      </c>
      <c r="V662" s="2" t="s">
        <v>510</v>
      </c>
      <c r="W662" s="2" t="s">
        <v>2488</v>
      </c>
      <c r="X662" s="2" t="s">
        <v>2489</v>
      </c>
      <c r="Y662" s="2" t="b">
        <v>1</v>
      </c>
      <c r="Z662" s="2" t="s">
        <v>67</v>
      </c>
      <c r="AA662" s="2">
        <v>0</v>
      </c>
      <c r="AB662" s="2" t="s">
        <v>49</v>
      </c>
    </row>
    <row r="663" spans="1:28" ht="15.75" hidden="1" customHeight="1" x14ac:dyDescent="0.3">
      <c r="A663" s="2" t="s">
        <v>45</v>
      </c>
      <c r="B663" s="2" t="s">
        <v>32</v>
      </c>
      <c r="C663" s="2" t="s">
        <v>1262</v>
      </c>
      <c r="D663" s="2" t="s">
        <v>32</v>
      </c>
      <c r="E663" s="2" t="s">
        <v>39</v>
      </c>
      <c r="F663" s="2" t="s">
        <v>496</v>
      </c>
      <c r="G663" s="2" t="s">
        <v>42</v>
      </c>
      <c r="H663" s="2" t="s">
        <v>42</v>
      </c>
      <c r="I663" s="2" t="s">
        <v>239</v>
      </c>
      <c r="J663" s="2" t="s">
        <v>71</v>
      </c>
      <c r="K663" s="2" t="s">
        <v>2372</v>
      </c>
      <c r="L663" s="2" t="s">
        <v>2368</v>
      </c>
      <c r="M663" s="2" t="s">
        <v>1703</v>
      </c>
      <c r="N663" s="2" t="s">
        <v>2373</v>
      </c>
      <c r="O663" s="2" t="s">
        <v>1711</v>
      </c>
      <c r="P663" s="2" t="s">
        <v>1706</v>
      </c>
      <c r="Q663" s="2">
        <v>43</v>
      </c>
      <c r="R663" s="2" t="b">
        <v>0</v>
      </c>
      <c r="S663" s="2">
        <v>0.60702875399361023</v>
      </c>
      <c r="V663" s="2" t="s">
        <v>510</v>
      </c>
      <c r="W663" s="2" t="s">
        <v>2490</v>
      </c>
      <c r="X663" s="2" t="s">
        <v>2491</v>
      </c>
      <c r="Y663" s="2" t="b">
        <v>1</v>
      </c>
      <c r="Z663" s="2" t="s">
        <v>67</v>
      </c>
      <c r="AA663" s="2">
        <v>0</v>
      </c>
      <c r="AB663" s="2" t="s">
        <v>49</v>
      </c>
    </row>
    <row r="664" spans="1:28" ht="15.75" hidden="1" customHeight="1" x14ac:dyDescent="0.3">
      <c r="A664" s="2" t="s">
        <v>45</v>
      </c>
      <c r="B664" s="2" t="s">
        <v>32</v>
      </c>
      <c r="C664" s="2" t="s">
        <v>1262</v>
      </c>
      <c r="D664" s="2" t="s">
        <v>32</v>
      </c>
      <c r="E664" s="2" t="s">
        <v>39</v>
      </c>
      <c r="F664" s="2" t="s">
        <v>496</v>
      </c>
      <c r="G664" s="2" t="s">
        <v>42</v>
      </c>
      <c r="H664" s="2" t="s">
        <v>42</v>
      </c>
      <c r="I664" s="2" t="s">
        <v>239</v>
      </c>
      <c r="J664" s="2" t="s">
        <v>71</v>
      </c>
      <c r="K664" s="2" t="s">
        <v>2376</v>
      </c>
      <c r="L664" s="2" t="s">
        <v>2368</v>
      </c>
      <c r="M664" s="2" t="s">
        <v>1703</v>
      </c>
      <c r="N664" s="2" t="s">
        <v>2377</v>
      </c>
      <c r="O664" s="2" t="s">
        <v>1716</v>
      </c>
      <c r="P664" s="2" t="s">
        <v>1706</v>
      </c>
      <c r="Q664" s="2">
        <v>44</v>
      </c>
      <c r="R664" s="2" t="b">
        <v>0</v>
      </c>
      <c r="S664" s="2">
        <v>0.64417177914110424</v>
      </c>
      <c r="V664" s="2" t="s">
        <v>510</v>
      </c>
      <c r="W664" s="2" t="s">
        <v>2492</v>
      </c>
      <c r="X664" s="2" t="s">
        <v>2493</v>
      </c>
      <c r="Y664" s="2" t="b">
        <v>1</v>
      </c>
      <c r="Z664" s="2" t="s">
        <v>67</v>
      </c>
      <c r="AA664" s="2">
        <v>0</v>
      </c>
      <c r="AB664" s="2" t="s">
        <v>49</v>
      </c>
    </row>
    <row r="665" spans="1:28" ht="15.75" hidden="1" customHeight="1" x14ac:dyDescent="0.3">
      <c r="A665" s="2" t="s">
        <v>45</v>
      </c>
      <c r="B665" s="2" t="s">
        <v>32</v>
      </c>
      <c r="C665" s="2" t="s">
        <v>1262</v>
      </c>
      <c r="D665" s="2" t="s">
        <v>32</v>
      </c>
      <c r="E665" s="2" t="s">
        <v>39</v>
      </c>
      <c r="F665" s="2" t="s">
        <v>496</v>
      </c>
      <c r="G665" s="2" t="s">
        <v>42</v>
      </c>
      <c r="H665" s="2" t="s">
        <v>42</v>
      </c>
      <c r="I665" s="2" t="s">
        <v>239</v>
      </c>
      <c r="J665" s="2" t="s">
        <v>71</v>
      </c>
      <c r="K665" s="2" t="s">
        <v>2380</v>
      </c>
      <c r="L665" s="2" t="s">
        <v>2368</v>
      </c>
      <c r="M665" s="2" t="s">
        <v>1703</v>
      </c>
      <c r="N665" s="2" t="s">
        <v>2381</v>
      </c>
      <c r="O665" s="2" t="s">
        <v>1721</v>
      </c>
      <c r="P665" s="2" t="s">
        <v>1706</v>
      </c>
      <c r="Q665" s="2">
        <v>45</v>
      </c>
      <c r="R665" s="2" t="b">
        <v>0</v>
      </c>
      <c r="S665" s="2">
        <v>0.65256797583081561</v>
      </c>
      <c r="V665" s="2" t="s">
        <v>510</v>
      </c>
      <c r="W665" s="2" t="s">
        <v>2494</v>
      </c>
      <c r="X665" s="2" t="s">
        <v>2495</v>
      </c>
      <c r="Y665" s="2" t="b">
        <v>1</v>
      </c>
      <c r="Z665" s="2" t="s">
        <v>67</v>
      </c>
      <c r="AA665" s="2">
        <v>0</v>
      </c>
      <c r="AB665" s="2" t="s">
        <v>49</v>
      </c>
    </row>
    <row r="666" spans="1:28" ht="15.75" hidden="1" customHeight="1" x14ac:dyDescent="0.3">
      <c r="A666" s="2" t="s">
        <v>45</v>
      </c>
      <c r="B666" s="2" t="s">
        <v>32</v>
      </c>
      <c r="C666" s="2" t="s">
        <v>1262</v>
      </c>
      <c r="D666" s="2" t="s">
        <v>32</v>
      </c>
      <c r="E666" s="2" t="s">
        <v>39</v>
      </c>
      <c r="F666" s="2" t="s">
        <v>496</v>
      </c>
      <c r="G666" s="2" t="s">
        <v>42</v>
      </c>
      <c r="H666" s="2" t="s">
        <v>42</v>
      </c>
      <c r="I666" s="2" t="s">
        <v>239</v>
      </c>
      <c r="J666" s="2" t="s">
        <v>71</v>
      </c>
      <c r="K666" s="2" t="s">
        <v>2384</v>
      </c>
      <c r="L666" s="2" t="s">
        <v>2368</v>
      </c>
      <c r="M666" s="2" t="s">
        <v>1703</v>
      </c>
      <c r="N666" s="2" t="s">
        <v>2385</v>
      </c>
      <c r="O666" s="2" t="s">
        <v>1726</v>
      </c>
      <c r="P666" s="2" t="s">
        <v>1706</v>
      </c>
      <c r="Q666" s="2">
        <v>46</v>
      </c>
      <c r="R666" s="2" t="b">
        <v>0</v>
      </c>
      <c r="S666" s="2">
        <v>0.68047337278106512</v>
      </c>
      <c r="V666" s="2" t="s">
        <v>510</v>
      </c>
      <c r="W666" s="2" t="s">
        <v>2496</v>
      </c>
      <c r="X666" s="2" t="s">
        <v>2497</v>
      </c>
      <c r="Y666" s="2" t="b">
        <v>1</v>
      </c>
      <c r="Z666" s="2" t="s">
        <v>67</v>
      </c>
      <c r="AA666" s="2">
        <v>0</v>
      </c>
      <c r="AB666" s="2" t="s">
        <v>49</v>
      </c>
    </row>
    <row r="667" spans="1:28" ht="15.75" hidden="1" customHeight="1" x14ac:dyDescent="0.3">
      <c r="A667" s="2" t="s">
        <v>45</v>
      </c>
      <c r="B667" s="2" t="s">
        <v>32</v>
      </c>
      <c r="C667" s="2" t="s">
        <v>1262</v>
      </c>
      <c r="D667" s="2" t="s">
        <v>32</v>
      </c>
      <c r="E667" s="2" t="s">
        <v>39</v>
      </c>
      <c r="F667" s="2" t="s">
        <v>496</v>
      </c>
      <c r="G667" s="2" t="s">
        <v>42</v>
      </c>
      <c r="H667" s="2" t="s">
        <v>42</v>
      </c>
      <c r="I667" s="2" t="s">
        <v>239</v>
      </c>
      <c r="J667" s="2" t="s">
        <v>71</v>
      </c>
      <c r="K667" s="2" t="s">
        <v>2388</v>
      </c>
      <c r="L667" s="2" t="s">
        <v>2368</v>
      </c>
      <c r="M667" s="2" t="s">
        <v>1703</v>
      </c>
      <c r="N667" s="2" t="s">
        <v>2389</v>
      </c>
      <c r="O667" s="2" t="s">
        <v>1731</v>
      </c>
      <c r="P667" s="2" t="s">
        <v>1706</v>
      </c>
      <c r="Q667" s="2">
        <v>47</v>
      </c>
      <c r="R667" s="2" t="b">
        <v>0</v>
      </c>
      <c r="S667" s="2">
        <v>0.6646153846153845</v>
      </c>
      <c r="V667" s="2" t="s">
        <v>510</v>
      </c>
      <c r="W667" s="2" t="s">
        <v>2498</v>
      </c>
      <c r="X667" s="2" t="s">
        <v>2499</v>
      </c>
      <c r="Y667" s="2" t="b">
        <v>1</v>
      </c>
      <c r="Z667" s="2" t="s">
        <v>67</v>
      </c>
      <c r="AA667" s="2">
        <v>0</v>
      </c>
      <c r="AB667" s="2" t="s">
        <v>49</v>
      </c>
    </row>
    <row r="668" spans="1:28" ht="15.75" hidden="1" customHeight="1" x14ac:dyDescent="0.3">
      <c r="A668" s="2" t="s">
        <v>45</v>
      </c>
      <c r="B668" s="2" t="s">
        <v>32</v>
      </c>
      <c r="C668" s="2" t="s">
        <v>1262</v>
      </c>
      <c r="D668" s="2" t="s">
        <v>32</v>
      </c>
      <c r="E668" s="2" t="s">
        <v>39</v>
      </c>
      <c r="F668" s="2" t="s">
        <v>496</v>
      </c>
      <c r="G668" s="2" t="s">
        <v>42</v>
      </c>
      <c r="H668" s="2" t="s">
        <v>42</v>
      </c>
      <c r="I668" s="2" t="s">
        <v>239</v>
      </c>
      <c r="J668" s="2" t="s">
        <v>71</v>
      </c>
      <c r="K668" s="2" t="s">
        <v>2392</v>
      </c>
      <c r="L668" s="2" t="s">
        <v>2368</v>
      </c>
      <c r="M668" s="2" t="s">
        <v>1703</v>
      </c>
      <c r="N668" s="2" t="s">
        <v>2393</v>
      </c>
      <c r="O668" s="2" t="s">
        <v>1736</v>
      </c>
      <c r="P668" s="2" t="s">
        <v>1706</v>
      </c>
      <c r="Q668" s="2">
        <v>48</v>
      </c>
      <c r="R668" s="2" t="b">
        <v>0</v>
      </c>
      <c r="S668" s="2">
        <v>0.6352941176470589</v>
      </c>
      <c r="V668" s="2" t="s">
        <v>510</v>
      </c>
      <c r="W668" s="2" t="s">
        <v>2500</v>
      </c>
      <c r="X668" s="2" t="s">
        <v>2501</v>
      </c>
      <c r="Y668" s="2" t="b">
        <v>1</v>
      </c>
      <c r="Z668" s="2" t="s">
        <v>67</v>
      </c>
      <c r="AA668" s="2">
        <v>0</v>
      </c>
      <c r="AB668" s="2" t="s">
        <v>49</v>
      </c>
    </row>
    <row r="669" spans="1:28" ht="15.75" hidden="1" customHeight="1" x14ac:dyDescent="0.3">
      <c r="A669" s="2" t="s">
        <v>45</v>
      </c>
      <c r="B669" s="2" t="s">
        <v>32</v>
      </c>
      <c r="C669" s="2" t="s">
        <v>1262</v>
      </c>
      <c r="D669" s="2" t="s">
        <v>32</v>
      </c>
      <c r="E669" s="2" t="s">
        <v>39</v>
      </c>
      <c r="F669" s="2" t="s">
        <v>496</v>
      </c>
      <c r="G669" s="2" t="s">
        <v>42</v>
      </c>
      <c r="H669" s="2" t="s">
        <v>42</v>
      </c>
      <c r="I669" s="2" t="s">
        <v>239</v>
      </c>
      <c r="J669" s="2" t="s">
        <v>71</v>
      </c>
      <c r="K669" s="2" t="s">
        <v>2396</v>
      </c>
      <c r="L669" s="2" t="s">
        <v>2368</v>
      </c>
      <c r="M669" s="2" t="s">
        <v>1703</v>
      </c>
      <c r="N669" s="2" t="s">
        <v>2397</v>
      </c>
      <c r="O669" s="2" t="s">
        <v>1741</v>
      </c>
      <c r="P669" s="2" t="s">
        <v>1706</v>
      </c>
      <c r="Q669" s="2">
        <v>49</v>
      </c>
      <c r="R669" s="2" t="b">
        <v>0</v>
      </c>
      <c r="S669" s="2">
        <v>0.63829787234042556</v>
      </c>
      <c r="V669" s="2" t="s">
        <v>510</v>
      </c>
      <c r="W669" s="2" t="s">
        <v>2502</v>
      </c>
      <c r="X669" s="2" t="s">
        <v>2503</v>
      </c>
      <c r="Y669" s="2" t="b">
        <v>1</v>
      </c>
      <c r="Z669" s="2" t="s">
        <v>67</v>
      </c>
      <c r="AA669" s="2">
        <v>0</v>
      </c>
      <c r="AB669" s="2" t="s">
        <v>49</v>
      </c>
    </row>
    <row r="670" spans="1:28" ht="15.75" hidden="1" customHeight="1" x14ac:dyDescent="0.3">
      <c r="A670" s="2" t="s">
        <v>45</v>
      </c>
      <c r="B670" s="2" t="s">
        <v>32</v>
      </c>
      <c r="C670" s="2" t="s">
        <v>1262</v>
      </c>
      <c r="D670" s="2" t="s">
        <v>32</v>
      </c>
      <c r="E670" s="2" t="s">
        <v>39</v>
      </c>
      <c r="F670" s="2" t="s">
        <v>496</v>
      </c>
      <c r="G670" s="2" t="s">
        <v>42</v>
      </c>
      <c r="H670" s="2" t="s">
        <v>42</v>
      </c>
      <c r="I670" s="2" t="s">
        <v>239</v>
      </c>
      <c r="J670" s="2" t="s">
        <v>71</v>
      </c>
      <c r="K670" s="2" t="s">
        <v>2400</v>
      </c>
      <c r="L670" s="2" t="s">
        <v>2368</v>
      </c>
      <c r="M670" s="2" t="s">
        <v>1703</v>
      </c>
      <c r="N670" s="2" t="s">
        <v>2401</v>
      </c>
      <c r="O670" s="2" t="s">
        <v>1746</v>
      </c>
      <c r="P670" s="2" t="s">
        <v>1706</v>
      </c>
      <c r="Q670" s="2">
        <v>50</v>
      </c>
      <c r="R670" s="2" t="b">
        <v>0</v>
      </c>
      <c r="S670" s="2">
        <v>0.67080745341614911</v>
      </c>
      <c r="V670" s="2" t="s">
        <v>510</v>
      </c>
      <c r="W670" s="2" t="s">
        <v>2504</v>
      </c>
      <c r="X670" s="2" t="s">
        <v>2505</v>
      </c>
      <c r="Y670" s="2" t="b">
        <v>1</v>
      </c>
      <c r="Z670" s="2" t="s">
        <v>67</v>
      </c>
      <c r="AA670" s="2">
        <v>0</v>
      </c>
      <c r="AB670" s="2" t="s">
        <v>49</v>
      </c>
    </row>
    <row r="671" spans="1:28" ht="15.75" hidden="1" customHeight="1" x14ac:dyDescent="0.3">
      <c r="A671" s="2" t="s">
        <v>45</v>
      </c>
      <c r="B671" s="2" t="s">
        <v>32</v>
      </c>
      <c r="C671" s="2" t="s">
        <v>1262</v>
      </c>
      <c r="D671" s="2" t="s">
        <v>32</v>
      </c>
      <c r="E671" s="2" t="s">
        <v>39</v>
      </c>
      <c r="F671" s="2" t="s">
        <v>496</v>
      </c>
      <c r="G671" s="2" t="s">
        <v>42</v>
      </c>
      <c r="H671" s="2" t="s">
        <v>42</v>
      </c>
      <c r="I671" s="2" t="s">
        <v>239</v>
      </c>
      <c r="J671" s="2" t="s">
        <v>71</v>
      </c>
      <c r="K671" s="2" t="s">
        <v>2404</v>
      </c>
      <c r="L671" s="2" t="s">
        <v>2368</v>
      </c>
      <c r="M671" s="2" t="s">
        <v>1703</v>
      </c>
      <c r="N671" s="2" t="s">
        <v>2405</v>
      </c>
      <c r="O671" s="2" t="s">
        <v>1751</v>
      </c>
      <c r="P671" s="2" t="s">
        <v>1706</v>
      </c>
      <c r="Q671" s="2">
        <v>51</v>
      </c>
      <c r="R671" s="2" t="b">
        <v>0</v>
      </c>
      <c r="S671" s="2">
        <v>0.63063063063063063</v>
      </c>
      <c r="V671" s="2" t="s">
        <v>510</v>
      </c>
      <c r="W671" s="2" t="s">
        <v>2506</v>
      </c>
      <c r="X671" s="2" t="s">
        <v>2507</v>
      </c>
      <c r="Y671" s="2" t="b">
        <v>1</v>
      </c>
      <c r="Z671" s="2" t="s">
        <v>67</v>
      </c>
      <c r="AA671" s="2">
        <v>0</v>
      </c>
      <c r="AB671" s="2" t="s">
        <v>49</v>
      </c>
    </row>
    <row r="672" spans="1:28" ht="15.75" hidden="1" customHeight="1" x14ac:dyDescent="0.3">
      <c r="A672" s="2" t="s">
        <v>45</v>
      </c>
      <c r="B672" s="2" t="s">
        <v>32</v>
      </c>
      <c r="C672" s="2" t="s">
        <v>1262</v>
      </c>
      <c r="D672" s="2" t="s">
        <v>32</v>
      </c>
      <c r="E672" s="2" t="s">
        <v>39</v>
      </c>
      <c r="F672" s="2" t="s">
        <v>496</v>
      </c>
      <c r="G672" s="2" t="s">
        <v>42</v>
      </c>
      <c r="H672" s="2" t="s">
        <v>42</v>
      </c>
      <c r="I672" s="2" t="s">
        <v>239</v>
      </c>
      <c r="J672" s="2" t="s">
        <v>71</v>
      </c>
      <c r="K672" s="2" t="s">
        <v>2408</v>
      </c>
      <c r="L672" s="2" t="s">
        <v>2368</v>
      </c>
      <c r="M672" s="2" t="s">
        <v>1703</v>
      </c>
      <c r="N672" s="2" t="s">
        <v>2409</v>
      </c>
      <c r="O672" s="2" t="s">
        <v>1756</v>
      </c>
      <c r="P672" s="2" t="s">
        <v>1706</v>
      </c>
      <c r="Q672" s="2">
        <v>52</v>
      </c>
      <c r="R672" s="2" t="b">
        <v>0</v>
      </c>
      <c r="S672" s="2">
        <v>0.63322884012539182</v>
      </c>
      <c r="V672" s="2" t="s">
        <v>510</v>
      </c>
      <c r="W672" s="2" t="s">
        <v>2508</v>
      </c>
      <c r="X672" s="2" t="s">
        <v>2509</v>
      </c>
      <c r="Y672" s="2" t="b">
        <v>1</v>
      </c>
      <c r="Z672" s="2" t="s">
        <v>67</v>
      </c>
      <c r="AA672" s="2">
        <v>0</v>
      </c>
      <c r="AB672" s="2" t="s">
        <v>49</v>
      </c>
    </row>
    <row r="673" spans="1:28" ht="15.75" hidden="1" customHeight="1" x14ac:dyDescent="0.3">
      <c r="A673" s="2" t="s">
        <v>45</v>
      </c>
      <c r="B673" s="2" t="s">
        <v>32</v>
      </c>
      <c r="C673" s="2" t="s">
        <v>1262</v>
      </c>
      <c r="D673" s="2" t="s">
        <v>32</v>
      </c>
      <c r="E673" s="2" t="s">
        <v>39</v>
      </c>
      <c r="F673" s="2" t="s">
        <v>496</v>
      </c>
      <c r="G673" s="2" t="s">
        <v>42</v>
      </c>
      <c r="H673" s="2" t="s">
        <v>42</v>
      </c>
      <c r="I673" s="2" t="s">
        <v>239</v>
      </c>
      <c r="J673" s="2" t="s">
        <v>71</v>
      </c>
      <c r="K673" s="2" t="s">
        <v>2412</v>
      </c>
      <c r="L673" s="2" t="s">
        <v>2368</v>
      </c>
      <c r="M673" s="2" t="s">
        <v>1703</v>
      </c>
      <c r="N673" s="2" t="s">
        <v>2413</v>
      </c>
      <c r="O673" s="2" t="s">
        <v>1761</v>
      </c>
      <c r="P673" s="2" t="s">
        <v>1706</v>
      </c>
      <c r="Q673" s="2">
        <v>53</v>
      </c>
      <c r="R673" s="2" t="b">
        <v>0</v>
      </c>
      <c r="S673" s="2">
        <v>0.65517241379310354</v>
      </c>
      <c r="V673" s="2" t="s">
        <v>510</v>
      </c>
      <c r="W673" s="2" t="s">
        <v>2510</v>
      </c>
      <c r="X673" s="2" t="s">
        <v>2511</v>
      </c>
      <c r="Y673" s="2" t="b">
        <v>1</v>
      </c>
      <c r="Z673" s="2" t="s">
        <v>67</v>
      </c>
      <c r="AA673" s="2">
        <v>0</v>
      </c>
      <c r="AB673" s="2" t="s">
        <v>49</v>
      </c>
    </row>
    <row r="674" spans="1:28" ht="15.75" hidden="1" customHeight="1" x14ac:dyDescent="0.3">
      <c r="A674" s="2" t="s">
        <v>45</v>
      </c>
      <c r="B674" s="2" t="s">
        <v>32</v>
      </c>
      <c r="C674" s="2" t="s">
        <v>1262</v>
      </c>
      <c r="D674" s="2" t="s">
        <v>32</v>
      </c>
      <c r="E674" s="2" t="s">
        <v>39</v>
      </c>
      <c r="F674" s="2" t="s">
        <v>496</v>
      </c>
      <c r="G674" s="2" t="s">
        <v>42</v>
      </c>
      <c r="H674" s="2" t="s">
        <v>42</v>
      </c>
      <c r="I674" s="2" t="s">
        <v>239</v>
      </c>
      <c r="J674" s="2" t="s">
        <v>71</v>
      </c>
      <c r="K674" s="2" t="s">
        <v>2416</v>
      </c>
      <c r="L674" s="2" t="s">
        <v>2368</v>
      </c>
      <c r="M674" s="2" t="s">
        <v>1703</v>
      </c>
      <c r="N674" s="2" t="s">
        <v>2417</v>
      </c>
      <c r="O674" s="2" t="s">
        <v>1766</v>
      </c>
      <c r="P674" s="2" t="s">
        <v>1706</v>
      </c>
      <c r="Q674" s="2">
        <v>54</v>
      </c>
      <c r="R674" s="2" t="b">
        <v>0</v>
      </c>
      <c r="S674" s="2">
        <v>0.660377358490566</v>
      </c>
      <c r="V674" s="2" t="s">
        <v>510</v>
      </c>
      <c r="W674" s="2" t="s">
        <v>2512</v>
      </c>
      <c r="X674" s="2" t="s">
        <v>2513</v>
      </c>
      <c r="Y674" s="2" t="b">
        <v>1</v>
      </c>
      <c r="Z674" s="2" t="s">
        <v>67</v>
      </c>
      <c r="AA674" s="2">
        <v>0</v>
      </c>
      <c r="AB674" s="2" t="s">
        <v>49</v>
      </c>
    </row>
    <row r="675" spans="1:28" ht="15.75" hidden="1" customHeight="1" x14ac:dyDescent="0.3">
      <c r="A675" s="2" t="s">
        <v>45</v>
      </c>
      <c r="B675" s="2" t="s">
        <v>32</v>
      </c>
      <c r="C675" s="2" t="s">
        <v>1262</v>
      </c>
      <c r="D675" s="2" t="s">
        <v>32</v>
      </c>
      <c r="E675" s="2" t="s">
        <v>39</v>
      </c>
      <c r="F675" s="2" t="s">
        <v>496</v>
      </c>
      <c r="G675" s="2" t="s">
        <v>42</v>
      </c>
      <c r="H675" s="2" t="s">
        <v>42</v>
      </c>
      <c r="I675" s="2" t="s">
        <v>239</v>
      </c>
      <c r="J675" s="2" t="s">
        <v>71</v>
      </c>
      <c r="K675" s="2" t="s">
        <v>2420</v>
      </c>
      <c r="L675" s="2" t="s">
        <v>2368</v>
      </c>
      <c r="M675" s="2" t="s">
        <v>1703</v>
      </c>
      <c r="N675" s="2" t="s">
        <v>2421</v>
      </c>
      <c r="O675" s="2" t="s">
        <v>1771</v>
      </c>
      <c r="P675" s="2" t="s">
        <v>1706</v>
      </c>
      <c r="Q675" s="2">
        <v>55</v>
      </c>
      <c r="R675" s="2" t="b">
        <v>0</v>
      </c>
      <c r="S675" s="2">
        <v>0.65443425076452599</v>
      </c>
      <c r="V675" s="2" t="s">
        <v>510</v>
      </c>
      <c r="W675" s="2" t="s">
        <v>2514</v>
      </c>
      <c r="X675" s="2" t="s">
        <v>2515</v>
      </c>
      <c r="Y675" s="2" t="b">
        <v>1</v>
      </c>
      <c r="Z675" s="2" t="s">
        <v>67</v>
      </c>
      <c r="AA675" s="2">
        <v>0</v>
      </c>
      <c r="AB675" s="2" t="s">
        <v>49</v>
      </c>
    </row>
    <row r="676" spans="1:28" ht="15.75" hidden="1" customHeight="1" x14ac:dyDescent="0.3">
      <c r="A676" s="2" t="s">
        <v>45</v>
      </c>
      <c r="B676" s="2" t="s">
        <v>32</v>
      </c>
      <c r="C676" s="2" t="s">
        <v>1262</v>
      </c>
      <c r="D676" s="2" t="s">
        <v>32</v>
      </c>
      <c r="E676" s="2" t="s">
        <v>39</v>
      </c>
      <c r="F676" s="2" t="s">
        <v>496</v>
      </c>
      <c r="G676" s="2" t="s">
        <v>42</v>
      </c>
      <c r="H676" s="2" t="s">
        <v>42</v>
      </c>
      <c r="I676" s="2" t="s">
        <v>239</v>
      </c>
      <c r="J676" s="2" t="s">
        <v>71</v>
      </c>
      <c r="K676" s="2" t="s">
        <v>2424</v>
      </c>
      <c r="L676" s="2" t="s">
        <v>2368</v>
      </c>
      <c r="M676" s="2" t="s">
        <v>1703</v>
      </c>
      <c r="N676" s="2" t="s">
        <v>2425</v>
      </c>
      <c r="O676" s="2" t="s">
        <v>1776</v>
      </c>
      <c r="P676" s="2" t="s">
        <v>1706</v>
      </c>
      <c r="Q676" s="2">
        <v>56</v>
      </c>
      <c r="R676" s="2" t="b">
        <v>0</v>
      </c>
      <c r="S676" s="2">
        <v>0.6607142857142857</v>
      </c>
      <c r="V676" s="2" t="s">
        <v>510</v>
      </c>
      <c r="W676" s="2" t="s">
        <v>2516</v>
      </c>
      <c r="X676" s="2" t="s">
        <v>2517</v>
      </c>
      <c r="Y676" s="2" t="b">
        <v>1</v>
      </c>
      <c r="Z676" s="2" t="s">
        <v>67</v>
      </c>
      <c r="AA676" s="2">
        <v>0</v>
      </c>
      <c r="AB676" s="2" t="s">
        <v>49</v>
      </c>
    </row>
    <row r="677" spans="1:28" ht="15.75" hidden="1" customHeight="1" x14ac:dyDescent="0.3">
      <c r="A677" s="2" t="s">
        <v>45</v>
      </c>
      <c r="B677" s="2" t="s">
        <v>32</v>
      </c>
      <c r="C677" s="2" t="s">
        <v>1262</v>
      </c>
      <c r="D677" s="2" t="s">
        <v>32</v>
      </c>
      <c r="E677" s="2" t="s">
        <v>39</v>
      </c>
      <c r="F677" s="2" t="s">
        <v>496</v>
      </c>
      <c r="G677" s="2" t="s">
        <v>42</v>
      </c>
      <c r="H677" s="2" t="s">
        <v>42</v>
      </c>
      <c r="I677" s="2" t="s">
        <v>239</v>
      </c>
      <c r="J677" s="2" t="s">
        <v>71</v>
      </c>
      <c r="K677" s="2" t="s">
        <v>2428</v>
      </c>
      <c r="L677" s="2" t="s">
        <v>2368</v>
      </c>
      <c r="M677" s="2" t="s">
        <v>1703</v>
      </c>
      <c r="N677" s="2" t="s">
        <v>2429</v>
      </c>
      <c r="O677" s="2" t="s">
        <v>1781</v>
      </c>
      <c r="P677" s="2" t="s">
        <v>1706</v>
      </c>
      <c r="Q677" s="2">
        <v>57</v>
      </c>
      <c r="R677" s="2" t="b">
        <v>0</v>
      </c>
      <c r="S677" s="2">
        <v>0.6784660766961651</v>
      </c>
      <c r="V677" s="2" t="s">
        <v>510</v>
      </c>
      <c r="W677" s="2" t="s">
        <v>2518</v>
      </c>
      <c r="X677" s="2" t="s">
        <v>2519</v>
      </c>
      <c r="Y677" s="2" t="b">
        <v>1</v>
      </c>
      <c r="Z677" s="2" t="s">
        <v>67</v>
      </c>
      <c r="AA677" s="2">
        <v>0</v>
      </c>
      <c r="AB677" s="2" t="s">
        <v>49</v>
      </c>
    </row>
    <row r="678" spans="1:28" ht="15.75" hidden="1" customHeight="1" x14ac:dyDescent="0.3">
      <c r="A678" s="2" t="s">
        <v>45</v>
      </c>
      <c r="B678" s="2" t="s">
        <v>32</v>
      </c>
      <c r="C678" s="2" t="s">
        <v>1262</v>
      </c>
      <c r="D678" s="2" t="s">
        <v>32</v>
      </c>
      <c r="E678" s="2" t="s">
        <v>39</v>
      </c>
      <c r="F678" s="2" t="s">
        <v>496</v>
      </c>
      <c r="G678" s="2" t="s">
        <v>42</v>
      </c>
      <c r="H678" s="2" t="s">
        <v>42</v>
      </c>
      <c r="I678" s="2" t="s">
        <v>239</v>
      </c>
      <c r="J678" s="2" t="s">
        <v>71</v>
      </c>
      <c r="K678" s="2" t="s">
        <v>2432</v>
      </c>
      <c r="L678" s="2" t="s">
        <v>2368</v>
      </c>
      <c r="M678" s="2" t="s">
        <v>1703</v>
      </c>
      <c r="N678" s="2" t="s">
        <v>2433</v>
      </c>
      <c r="O678" s="2" t="s">
        <v>1786</v>
      </c>
      <c r="P678" s="2" t="s">
        <v>1706</v>
      </c>
      <c r="Q678" s="2">
        <v>58</v>
      </c>
      <c r="R678" s="2" t="b">
        <v>0</v>
      </c>
      <c r="S678" s="2">
        <v>0.63225806451612898</v>
      </c>
      <c r="V678" s="2" t="s">
        <v>510</v>
      </c>
      <c r="W678" s="2" t="s">
        <v>2520</v>
      </c>
      <c r="X678" s="2" t="s">
        <v>2521</v>
      </c>
      <c r="Y678" s="2" t="b">
        <v>1</v>
      </c>
      <c r="Z678" s="2" t="s">
        <v>67</v>
      </c>
      <c r="AA678" s="2">
        <v>0</v>
      </c>
      <c r="AB678" s="2" t="s">
        <v>49</v>
      </c>
    </row>
    <row r="679" spans="1:28" ht="15.75" hidden="1" customHeight="1" x14ac:dyDescent="0.3">
      <c r="A679" s="2" t="s">
        <v>45</v>
      </c>
      <c r="B679" s="2" t="s">
        <v>32</v>
      </c>
      <c r="C679" s="2" t="s">
        <v>1262</v>
      </c>
      <c r="D679" s="2" t="s">
        <v>32</v>
      </c>
      <c r="E679" s="2" t="s">
        <v>39</v>
      </c>
      <c r="F679" s="2" t="s">
        <v>496</v>
      </c>
      <c r="G679" s="2" t="s">
        <v>42</v>
      </c>
      <c r="H679" s="2" t="s">
        <v>42</v>
      </c>
      <c r="I679" s="2" t="s">
        <v>239</v>
      </c>
      <c r="J679" s="2" t="s">
        <v>71</v>
      </c>
      <c r="K679" s="2" t="s">
        <v>2436</v>
      </c>
      <c r="L679" s="2" t="s">
        <v>2368</v>
      </c>
      <c r="M679" s="2" t="s">
        <v>1703</v>
      </c>
      <c r="N679" s="2" t="s">
        <v>2437</v>
      </c>
      <c r="O679" s="2" t="s">
        <v>1791</v>
      </c>
      <c r="P679" s="2" t="s">
        <v>1706</v>
      </c>
      <c r="Q679" s="2">
        <v>59</v>
      </c>
      <c r="R679" s="2" t="b">
        <v>0</v>
      </c>
      <c r="S679" s="2">
        <v>0.66060606060606075</v>
      </c>
      <c r="V679" s="2" t="s">
        <v>510</v>
      </c>
      <c r="W679" s="2" t="s">
        <v>2522</v>
      </c>
      <c r="X679" s="2" t="s">
        <v>2523</v>
      </c>
      <c r="Y679" s="2" t="b">
        <v>1</v>
      </c>
      <c r="Z679" s="2" t="s">
        <v>67</v>
      </c>
      <c r="AA679" s="2">
        <v>0</v>
      </c>
      <c r="AB679" s="2" t="s">
        <v>49</v>
      </c>
    </row>
    <row r="680" spans="1:28" ht="15.75" hidden="1" customHeight="1" x14ac:dyDescent="0.3">
      <c r="A680" s="2" t="s">
        <v>45</v>
      </c>
      <c r="B680" s="2" t="s">
        <v>32</v>
      </c>
      <c r="C680" s="2" t="s">
        <v>1262</v>
      </c>
      <c r="D680" s="2" t="s">
        <v>32</v>
      </c>
      <c r="E680" s="2" t="s">
        <v>39</v>
      </c>
      <c r="F680" s="2" t="s">
        <v>496</v>
      </c>
      <c r="G680" s="2" t="s">
        <v>42</v>
      </c>
      <c r="H680" s="2" t="s">
        <v>42</v>
      </c>
      <c r="I680" s="2" t="s">
        <v>239</v>
      </c>
      <c r="J680" s="2" t="s">
        <v>71</v>
      </c>
      <c r="K680" s="2" t="s">
        <v>2440</v>
      </c>
      <c r="L680" s="2" t="s">
        <v>2368</v>
      </c>
      <c r="M680" s="2" t="s">
        <v>1703</v>
      </c>
      <c r="N680" s="2" t="s">
        <v>2441</v>
      </c>
      <c r="O680" s="2" t="s">
        <v>1796</v>
      </c>
      <c r="P680" s="2" t="s">
        <v>1706</v>
      </c>
      <c r="Q680" s="2">
        <v>60</v>
      </c>
      <c r="R680" s="2" t="b">
        <v>0</v>
      </c>
      <c r="S680" s="2">
        <v>0.60606060606060608</v>
      </c>
      <c r="V680" s="2" t="s">
        <v>510</v>
      </c>
      <c r="W680" s="2" t="s">
        <v>2524</v>
      </c>
      <c r="X680" s="2" t="s">
        <v>2525</v>
      </c>
      <c r="Y680" s="2" t="b">
        <v>1</v>
      </c>
      <c r="Z680" s="2" t="s">
        <v>67</v>
      </c>
      <c r="AA680" s="2">
        <v>0</v>
      </c>
      <c r="AB680" s="2" t="s">
        <v>49</v>
      </c>
    </row>
    <row r="681" spans="1:28" ht="15.75" hidden="1" customHeight="1" x14ac:dyDescent="0.3">
      <c r="A681" s="2" t="s">
        <v>45</v>
      </c>
      <c r="B681" s="2" t="s">
        <v>32</v>
      </c>
      <c r="C681" s="2" t="s">
        <v>1262</v>
      </c>
      <c r="D681" s="2" t="s">
        <v>32</v>
      </c>
      <c r="E681" s="2" t="s">
        <v>39</v>
      </c>
      <c r="F681" s="2" t="s">
        <v>496</v>
      </c>
      <c r="G681" s="2" t="s">
        <v>42</v>
      </c>
      <c r="H681" s="2" t="s">
        <v>42</v>
      </c>
      <c r="I681" s="2" t="s">
        <v>239</v>
      </c>
      <c r="J681" s="2" t="s">
        <v>71</v>
      </c>
      <c r="K681" s="2" t="s">
        <v>2444</v>
      </c>
      <c r="L681" s="2" t="s">
        <v>2368</v>
      </c>
      <c r="M681" s="2" t="s">
        <v>1703</v>
      </c>
      <c r="N681" s="2" t="s">
        <v>2445</v>
      </c>
      <c r="O681" s="2" t="s">
        <v>1801</v>
      </c>
      <c r="P681" s="2" t="s">
        <v>1706</v>
      </c>
      <c r="Q681" s="2">
        <v>61</v>
      </c>
      <c r="R681" s="2" t="b">
        <v>0</v>
      </c>
      <c r="S681" s="2">
        <v>0.65396825396825387</v>
      </c>
      <c r="V681" s="2" t="s">
        <v>510</v>
      </c>
      <c r="W681" s="2" t="s">
        <v>2526</v>
      </c>
      <c r="X681" s="2" t="s">
        <v>2527</v>
      </c>
      <c r="Y681" s="2" t="b">
        <v>1</v>
      </c>
      <c r="Z681" s="2" t="s">
        <v>67</v>
      </c>
      <c r="AA681" s="2">
        <v>0</v>
      </c>
      <c r="AB681" s="2" t="s">
        <v>49</v>
      </c>
    </row>
    <row r="682" spans="1:28" ht="15.75" hidden="1" customHeight="1" x14ac:dyDescent="0.3">
      <c r="A682" s="2" t="s">
        <v>45</v>
      </c>
      <c r="B682" s="2" t="s">
        <v>32</v>
      </c>
      <c r="C682" s="2" t="s">
        <v>1262</v>
      </c>
      <c r="D682" s="2" t="s">
        <v>32</v>
      </c>
      <c r="E682" s="2" t="s">
        <v>82</v>
      </c>
      <c r="F682" s="2" t="s">
        <v>814</v>
      </c>
      <c r="G682" s="2" t="s">
        <v>42</v>
      </c>
      <c r="H682" s="2" t="s">
        <v>42</v>
      </c>
      <c r="I682" s="2" t="s">
        <v>47</v>
      </c>
      <c r="J682" s="2" t="s">
        <v>44</v>
      </c>
      <c r="K682" s="2" t="s">
        <v>2286</v>
      </c>
      <c r="L682" s="2" t="s">
        <v>2287</v>
      </c>
      <c r="M682" s="2" t="s">
        <v>1600</v>
      </c>
      <c r="N682" s="2" t="s">
        <v>2288</v>
      </c>
      <c r="O682" s="2" t="s">
        <v>1602</v>
      </c>
      <c r="P682" s="2" t="s">
        <v>1603</v>
      </c>
      <c r="Q682" s="2">
        <v>42</v>
      </c>
      <c r="R682" s="2" t="b">
        <v>1</v>
      </c>
      <c r="S682" s="2">
        <v>0.85393258426966279</v>
      </c>
      <c r="T682" s="2">
        <v>0.87557603686635943</v>
      </c>
      <c r="U682" s="2">
        <v>0.83333333333333337</v>
      </c>
      <c r="V682" s="2" t="s">
        <v>63</v>
      </c>
      <c r="W682" s="2" t="s">
        <v>2528</v>
      </c>
      <c r="X682" s="2" t="s">
        <v>2529</v>
      </c>
      <c r="Y682" s="2" t="b">
        <v>1</v>
      </c>
      <c r="Z682" s="2" t="s">
        <v>67</v>
      </c>
      <c r="AA682" s="2">
        <v>2.5</v>
      </c>
      <c r="AB682" s="2" t="s">
        <v>49</v>
      </c>
    </row>
    <row r="683" spans="1:28" ht="15.75" hidden="1" customHeight="1" x14ac:dyDescent="0.3">
      <c r="A683" s="2" t="s">
        <v>45</v>
      </c>
      <c r="B683" s="2" t="s">
        <v>32</v>
      </c>
      <c r="C683" s="2" t="s">
        <v>1262</v>
      </c>
      <c r="D683" s="2" t="s">
        <v>32</v>
      </c>
      <c r="E683" s="2" t="s">
        <v>82</v>
      </c>
      <c r="F683" s="2" t="s">
        <v>814</v>
      </c>
      <c r="G683" s="2" t="s">
        <v>42</v>
      </c>
      <c r="H683" s="2" t="s">
        <v>42</v>
      </c>
      <c r="I683" s="2" t="s">
        <v>47</v>
      </c>
      <c r="J683" s="2" t="s">
        <v>44</v>
      </c>
      <c r="K683" s="2" t="s">
        <v>2291</v>
      </c>
      <c r="L683" s="2" t="s">
        <v>2287</v>
      </c>
      <c r="M683" s="2" t="s">
        <v>1600</v>
      </c>
      <c r="N683" s="2" t="s">
        <v>2292</v>
      </c>
      <c r="O683" s="2" t="s">
        <v>1608</v>
      </c>
      <c r="P683" s="2" t="s">
        <v>1603</v>
      </c>
      <c r="Q683" s="2">
        <v>43</v>
      </c>
      <c r="R683" s="2" t="b">
        <v>1</v>
      </c>
      <c r="S683" s="2">
        <v>0.8159203980099502</v>
      </c>
      <c r="T683" s="2">
        <v>0.8159203980099502</v>
      </c>
      <c r="U683" s="2">
        <v>0.8159203980099502</v>
      </c>
      <c r="V683" s="2" t="s">
        <v>63</v>
      </c>
      <c r="W683" s="2" t="s">
        <v>2530</v>
      </c>
      <c r="X683" s="2" t="s">
        <v>2531</v>
      </c>
      <c r="Y683" s="2" t="b">
        <v>1</v>
      </c>
      <c r="Z683" s="2" t="s">
        <v>67</v>
      </c>
      <c r="AA683" s="2">
        <v>2.4</v>
      </c>
      <c r="AB683" s="2" t="s">
        <v>49</v>
      </c>
    </row>
    <row r="684" spans="1:28" ht="15.75" hidden="1" customHeight="1" x14ac:dyDescent="0.3">
      <c r="A684" s="2" t="s">
        <v>45</v>
      </c>
      <c r="B684" s="2" t="s">
        <v>32</v>
      </c>
      <c r="C684" s="2" t="s">
        <v>1262</v>
      </c>
      <c r="D684" s="2" t="s">
        <v>32</v>
      </c>
      <c r="E684" s="2" t="s">
        <v>82</v>
      </c>
      <c r="F684" s="2" t="s">
        <v>814</v>
      </c>
      <c r="G684" s="2" t="s">
        <v>42</v>
      </c>
      <c r="H684" s="2" t="s">
        <v>42</v>
      </c>
      <c r="I684" s="2" t="s">
        <v>47</v>
      </c>
      <c r="J684" s="2" t="s">
        <v>44</v>
      </c>
      <c r="K684" s="2" t="s">
        <v>2295</v>
      </c>
      <c r="L684" s="2" t="s">
        <v>2287</v>
      </c>
      <c r="M684" s="2" t="s">
        <v>1600</v>
      </c>
      <c r="N684" s="2" t="s">
        <v>2296</v>
      </c>
      <c r="O684" s="2" t="s">
        <v>1613</v>
      </c>
      <c r="P684" s="2" t="s">
        <v>1603</v>
      </c>
      <c r="Q684" s="2">
        <v>44</v>
      </c>
      <c r="R684" s="2" t="b">
        <v>1</v>
      </c>
      <c r="S684" s="2">
        <v>0.85714285714285721</v>
      </c>
      <c r="T684" s="2">
        <v>0.8719211822660099</v>
      </c>
      <c r="U684" s="2">
        <v>0.84285714285714286</v>
      </c>
      <c r="V684" s="2" t="s">
        <v>63</v>
      </c>
      <c r="W684" s="2" t="s">
        <v>2532</v>
      </c>
      <c r="X684" s="2" t="s">
        <v>2533</v>
      </c>
      <c r="Y684" s="2" t="b">
        <v>1</v>
      </c>
      <c r="Z684" s="2" t="s">
        <v>67</v>
      </c>
      <c r="AA684" s="2">
        <v>3.5</v>
      </c>
      <c r="AB684" s="2" t="s">
        <v>49</v>
      </c>
    </row>
    <row r="685" spans="1:28" ht="15.75" hidden="1" customHeight="1" x14ac:dyDescent="0.3">
      <c r="A685" s="2" t="s">
        <v>45</v>
      </c>
      <c r="B685" s="2" t="s">
        <v>32</v>
      </c>
      <c r="C685" s="2" t="s">
        <v>1262</v>
      </c>
      <c r="D685" s="2" t="s">
        <v>32</v>
      </c>
      <c r="E685" s="2" t="s">
        <v>82</v>
      </c>
      <c r="F685" s="2" t="s">
        <v>814</v>
      </c>
      <c r="G685" s="2" t="s">
        <v>42</v>
      </c>
      <c r="H685" s="2" t="s">
        <v>42</v>
      </c>
      <c r="I685" s="2" t="s">
        <v>47</v>
      </c>
      <c r="J685" s="2" t="s">
        <v>44</v>
      </c>
      <c r="K685" s="2" t="s">
        <v>2299</v>
      </c>
      <c r="L685" s="2" t="s">
        <v>2287</v>
      </c>
      <c r="M685" s="2" t="s">
        <v>1600</v>
      </c>
      <c r="N685" s="2" t="s">
        <v>2300</v>
      </c>
      <c r="O685" s="2" t="s">
        <v>1618</v>
      </c>
      <c r="P685" s="2" t="s">
        <v>1603</v>
      </c>
      <c r="Q685" s="2">
        <v>45</v>
      </c>
      <c r="R685" s="2" t="b">
        <v>1</v>
      </c>
      <c r="S685" s="2">
        <v>0.80808080808080807</v>
      </c>
      <c r="T685" s="2">
        <v>0.83333333333333337</v>
      </c>
      <c r="U685" s="2">
        <v>0.78431372549019607</v>
      </c>
      <c r="V685" s="2" t="s">
        <v>63</v>
      </c>
      <c r="W685" s="2" t="s">
        <v>2534</v>
      </c>
      <c r="X685" s="2" t="s">
        <v>2535</v>
      </c>
      <c r="Y685" s="2" t="b">
        <v>1</v>
      </c>
      <c r="Z685" s="2" t="s">
        <v>67</v>
      </c>
      <c r="AA685" s="2">
        <v>1.9</v>
      </c>
      <c r="AB685" s="2" t="s">
        <v>49</v>
      </c>
    </row>
    <row r="686" spans="1:28" ht="15.75" hidden="1" customHeight="1" x14ac:dyDescent="0.3">
      <c r="A686" s="2" t="s">
        <v>45</v>
      </c>
      <c r="B686" s="2" t="s">
        <v>32</v>
      </c>
      <c r="C686" s="2" t="s">
        <v>1262</v>
      </c>
      <c r="D686" s="2" t="s">
        <v>32</v>
      </c>
      <c r="E686" s="2" t="s">
        <v>82</v>
      </c>
      <c r="F686" s="2" t="s">
        <v>814</v>
      </c>
      <c r="G686" s="2" t="s">
        <v>42</v>
      </c>
      <c r="H686" s="2" t="s">
        <v>42</v>
      </c>
      <c r="I686" s="2" t="s">
        <v>47</v>
      </c>
      <c r="J686" s="2" t="s">
        <v>44</v>
      </c>
      <c r="K686" s="2" t="s">
        <v>2303</v>
      </c>
      <c r="L686" s="2" t="s">
        <v>2287</v>
      </c>
      <c r="M686" s="2" t="s">
        <v>1600</v>
      </c>
      <c r="N686" s="2" t="s">
        <v>2304</v>
      </c>
      <c r="O686" s="2" t="s">
        <v>1623</v>
      </c>
      <c r="P686" s="2" t="s">
        <v>1603</v>
      </c>
      <c r="Q686" s="2">
        <v>46</v>
      </c>
      <c r="R686" s="2" t="b">
        <v>1</v>
      </c>
      <c r="S686" s="2">
        <v>0.79999999999999993</v>
      </c>
      <c r="T686" s="2">
        <v>0.76991150442477874</v>
      </c>
      <c r="U686" s="2">
        <v>0.83253588516746413</v>
      </c>
      <c r="V686" s="2" t="s">
        <v>63</v>
      </c>
      <c r="W686" s="2" t="s">
        <v>2536</v>
      </c>
      <c r="X686" s="2" t="s">
        <v>2537</v>
      </c>
      <c r="Y686" s="2" t="b">
        <v>1</v>
      </c>
      <c r="Z686" s="2" t="s">
        <v>67</v>
      </c>
      <c r="AA686" s="2">
        <v>2.5</v>
      </c>
      <c r="AB686" s="2" t="s">
        <v>49</v>
      </c>
    </row>
    <row r="687" spans="1:28" ht="15.75" hidden="1" customHeight="1" x14ac:dyDescent="0.3">
      <c r="A687" s="2" t="s">
        <v>45</v>
      </c>
      <c r="B687" s="2" t="s">
        <v>32</v>
      </c>
      <c r="C687" s="2" t="s">
        <v>1262</v>
      </c>
      <c r="D687" s="2" t="s">
        <v>32</v>
      </c>
      <c r="E687" s="2" t="s">
        <v>82</v>
      </c>
      <c r="F687" s="2" t="s">
        <v>814</v>
      </c>
      <c r="G687" s="2" t="s">
        <v>42</v>
      </c>
      <c r="H687" s="2" t="s">
        <v>42</v>
      </c>
      <c r="I687" s="2" t="s">
        <v>47</v>
      </c>
      <c r="J687" s="2" t="s">
        <v>44</v>
      </c>
      <c r="K687" s="2" t="s">
        <v>2307</v>
      </c>
      <c r="L687" s="2" t="s">
        <v>2287</v>
      </c>
      <c r="M687" s="2" t="s">
        <v>1600</v>
      </c>
      <c r="N687" s="2" t="s">
        <v>2308</v>
      </c>
      <c r="O687" s="2" t="s">
        <v>1628</v>
      </c>
      <c r="P687" s="2" t="s">
        <v>1603</v>
      </c>
      <c r="Q687" s="2">
        <v>47</v>
      </c>
      <c r="R687" s="2" t="b">
        <v>1</v>
      </c>
      <c r="S687" s="2">
        <v>0.81796690307328612</v>
      </c>
      <c r="T687" s="2">
        <v>0.83173076923076927</v>
      </c>
      <c r="U687" s="2">
        <v>0.8046511627906977</v>
      </c>
      <c r="V687" s="2" t="s">
        <v>63</v>
      </c>
      <c r="W687" s="2" t="s">
        <v>2538</v>
      </c>
      <c r="X687" s="2" t="s">
        <v>2539</v>
      </c>
      <c r="Y687" s="2" t="b">
        <v>1</v>
      </c>
      <c r="Z687" s="2" t="s">
        <v>67</v>
      </c>
      <c r="AA687" s="2">
        <v>2.5</v>
      </c>
      <c r="AB687" s="2" t="s">
        <v>49</v>
      </c>
    </row>
    <row r="688" spans="1:28" ht="15.75" hidden="1" customHeight="1" x14ac:dyDescent="0.3">
      <c r="A688" s="2" t="s">
        <v>45</v>
      </c>
      <c r="B688" s="2" t="s">
        <v>32</v>
      </c>
      <c r="C688" s="2" t="s">
        <v>1262</v>
      </c>
      <c r="D688" s="2" t="s">
        <v>32</v>
      </c>
      <c r="E688" s="2" t="s">
        <v>82</v>
      </c>
      <c r="F688" s="2" t="s">
        <v>814</v>
      </c>
      <c r="G688" s="2" t="s">
        <v>42</v>
      </c>
      <c r="H688" s="2" t="s">
        <v>42</v>
      </c>
      <c r="I688" s="2" t="s">
        <v>47</v>
      </c>
      <c r="J688" s="2" t="s">
        <v>44</v>
      </c>
      <c r="K688" s="2" t="s">
        <v>2311</v>
      </c>
      <c r="L688" s="2" t="s">
        <v>2287</v>
      </c>
      <c r="M688" s="2" t="s">
        <v>1600</v>
      </c>
      <c r="N688" s="2" t="s">
        <v>2312</v>
      </c>
      <c r="O688" s="2" t="s">
        <v>1633</v>
      </c>
      <c r="P688" s="2" t="s">
        <v>1603</v>
      </c>
      <c r="Q688" s="2">
        <v>48</v>
      </c>
      <c r="R688" s="2" t="b">
        <v>1</v>
      </c>
      <c r="S688" s="2">
        <v>0.81063122923588038</v>
      </c>
      <c r="T688" s="2">
        <v>0.78205128205128205</v>
      </c>
      <c r="U688" s="2">
        <v>0.8413793103448276</v>
      </c>
      <c r="V688" s="2" t="s">
        <v>63</v>
      </c>
      <c r="W688" s="2" t="s">
        <v>2540</v>
      </c>
      <c r="X688" s="2" t="s">
        <v>2541</v>
      </c>
      <c r="Y688" s="2" t="b">
        <v>1</v>
      </c>
      <c r="Z688" s="2" t="s">
        <v>67</v>
      </c>
      <c r="AA688" s="2">
        <v>1.8</v>
      </c>
      <c r="AB688" s="2" t="s">
        <v>49</v>
      </c>
    </row>
    <row r="689" spans="1:28" ht="15.75" hidden="1" customHeight="1" x14ac:dyDescent="0.3">
      <c r="A689" s="2" t="s">
        <v>45</v>
      </c>
      <c r="B689" s="2" t="s">
        <v>32</v>
      </c>
      <c r="C689" s="2" t="s">
        <v>1262</v>
      </c>
      <c r="D689" s="2" t="s">
        <v>32</v>
      </c>
      <c r="E689" s="2" t="s">
        <v>82</v>
      </c>
      <c r="F689" s="2" t="s">
        <v>814</v>
      </c>
      <c r="G689" s="2" t="s">
        <v>42</v>
      </c>
      <c r="H689" s="2" t="s">
        <v>42</v>
      </c>
      <c r="I689" s="2" t="s">
        <v>47</v>
      </c>
      <c r="J689" s="2" t="s">
        <v>44</v>
      </c>
      <c r="K689" s="2" t="s">
        <v>2315</v>
      </c>
      <c r="L689" s="2" t="s">
        <v>2287</v>
      </c>
      <c r="M689" s="2" t="s">
        <v>1600</v>
      </c>
      <c r="N689" s="2" t="s">
        <v>2316</v>
      </c>
      <c r="O689" s="2" t="s">
        <v>1638</v>
      </c>
      <c r="P689" s="2" t="s">
        <v>1603</v>
      </c>
      <c r="Q689" s="2">
        <v>49</v>
      </c>
      <c r="R689" s="2" t="b">
        <v>1</v>
      </c>
      <c r="S689" s="2">
        <v>0.79999999999999993</v>
      </c>
      <c r="T689" s="2">
        <v>0.82587064676616917</v>
      </c>
      <c r="U689" s="2">
        <v>0.77570093457943923</v>
      </c>
      <c r="V689" s="2" t="s">
        <v>63</v>
      </c>
      <c r="W689" s="2" t="s">
        <v>2542</v>
      </c>
      <c r="X689" s="2" t="s">
        <v>2543</v>
      </c>
      <c r="Y689" s="2" t="b">
        <v>1</v>
      </c>
      <c r="Z689" s="2" t="s">
        <v>67</v>
      </c>
      <c r="AA689" s="2">
        <v>3.9</v>
      </c>
      <c r="AB689" s="2" t="s">
        <v>49</v>
      </c>
    </row>
    <row r="690" spans="1:28" ht="15.75" hidden="1" customHeight="1" x14ac:dyDescent="0.3">
      <c r="A690" s="2" t="s">
        <v>45</v>
      </c>
      <c r="B690" s="2" t="s">
        <v>32</v>
      </c>
      <c r="C690" s="2" t="s">
        <v>1262</v>
      </c>
      <c r="D690" s="2" t="s">
        <v>32</v>
      </c>
      <c r="E690" s="2" t="s">
        <v>82</v>
      </c>
      <c r="F690" s="2" t="s">
        <v>814</v>
      </c>
      <c r="G690" s="2" t="s">
        <v>42</v>
      </c>
      <c r="H690" s="2" t="s">
        <v>42</v>
      </c>
      <c r="I690" s="2" t="s">
        <v>47</v>
      </c>
      <c r="J690" s="2" t="s">
        <v>44</v>
      </c>
      <c r="K690" s="2" t="s">
        <v>2319</v>
      </c>
      <c r="L690" s="2" t="s">
        <v>2287</v>
      </c>
      <c r="M690" s="2" t="s">
        <v>1600</v>
      </c>
      <c r="N690" s="2" t="s">
        <v>2320</v>
      </c>
      <c r="O690" s="2" t="s">
        <v>1643</v>
      </c>
      <c r="P690" s="2" t="s">
        <v>1603</v>
      </c>
      <c r="Q690" s="2">
        <v>50</v>
      </c>
      <c r="R690" s="2" t="b">
        <v>1</v>
      </c>
      <c r="S690" s="2">
        <v>0.82063882063882054</v>
      </c>
      <c r="T690" s="2">
        <v>0.83499999999999996</v>
      </c>
      <c r="U690" s="2">
        <v>0.80676328502415462</v>
      </c>
      <c r="V690" s="2" t="s">
        <v>63</v>
      </c>
      <c r="W690" s="2" t="s">
        <v>2544</v>
      </c>
      <c r="X690" s="2" t="s">
        <v>2545</v>
      </c>
      <c r="Y690" s="2" t="b">
        <v>1</v>
      </c>
      <c r="Z690" s="2" t="s">
        <v>67</v>
      </c>
      <c r="AA690" s="2">
        <v>2.2000000000000002</v>
      </c>
      <c r="AB690" s="2" t="s">
        <v>49</v>
      </c>
    </row>
    <row r="691" spans="1:28" ht="15.75" hidden="1" customHeight="1" x14ac:dyDescent="0.3">
      <c r="A691" s="2" t="s">
        <v>45</v>
      </c>
      <c r="B691" s="2" t="s">
        <v>32</v>
      </c>
      <c r="C691" s="2" t="s">
        <v>1262</v>
      </c>
      <c r="D691" s="2" t="s">
        <v>32</v>
      </c>
      <c r="E691" s="2" t="s">
        <v>82</v>
      </c>
      <c r="F691" s="2" t="s">
        <v>814</v>
      </c>
      <c r="G691" s="2" t="s">
        <v>42</v>
      </c>
      <c r="H691" s="2" t="s">
        <v>42</v>
      </c>
      <c r="I691" s="2" t="s">
        <v>47</v>
      </c>
      <c r="J691" s="2" t="s">
        <v>44</v>
      </c>
      <c r="K691" s="2" t="s">
        <v>2323</v>
      </c>
      <c r="L691" s="2" t="s">
        <v>2287</v>
      </c>
      <c r="M691" s="2" t="s">
        <v>1600</v>
      </c>
      <c r="N691" s="2" t="s">
        <v>2324</v>
      </c>
      <c r="O691" s="2" t="s">
        <v>1648</v>
      </c>
      <c r="P691" s="2" t="s">
        <v>1603</v>
      </c>
      <c r="Q691" s="2">
        <v>51</v>
      </c>
      <c r="R691" s="2" t="b">
        <v>1</v>
      </c>
      <c r="S691" s="2">
        <v>0.78672985781990512</v>
      </c>
      <c r="T691" s="2">
        <v>0.82178217821782173</v>
      </c>
      <c r="U691" s="2">
        <v>0.75454545454545452</v>
      </c>
      <c r="V691" s="2" t="s">
        <v>63</v>
      </c>
      <c r="W691" s="2" t="s">
        <v>2546</v>
      </c>
      <c r="X691" s="2" t="s">
        <v>2547</v>
      </c>
      <c r="Y691" s="2" t="b">
        <v>1</v>
      </c>
      <c r="Z691" s="2" t="s">
        <v>67</v>
      </c>
      <c r="AA691" s="2">
        <v>2.1</v>
      </c>
      <c r="AB691" s="2" t="s">
        <v>49</v>
      </c>
    </row>
    <row r="692" spans="1:28" ht="15.75" hidden="1" customHeight="1" x14ac:dyDescent="0.3">
      <c r="A692" s="2" t="s">
        <v>45</v>
      </c>
      <c r="B692" s="2" t="s">
        <v>32</v>
      </c>
      <c r="C692" s="2" t="s">
        <v>1262</v>
      </c>
      <c r="D692" s="2" t="s">
        <v>32</v>
      </c>
      <c r="E692" s="2" t="s">
        <v>82</v>
      </c>
      <c r="F692" s="2" t="s">
        <v>814</v>
      </c>
      <c r="G692" s="2" t="s">
        <v>42</v>
      </c>
      <c r="H692" s="2" t="s">
        <v>42</v>
      </c>
      <c r="I692" s="2" t="s">
        <v>47</v>
      </c>
      <c r="J692" s="2" t="s">
        <v>44</v>
      </c>
      <c r="K692" s="2" t="s">
        <v>2327</v>
      </c>
      <c r="L692" s="2" t="s">
        <v>2287</v>
      </c>
      <c r="M692" s="2" t="s">
        <v>1600</v>
      </c>
      <c r="N692" s="2" t="s">
        <v>2328</v>
      </c>
      <c r="O692" s="2" t="s">
        <v>1653</v>
      </c>
      <c r="P692" s="2" t="s">
        <v>1603</v>
      </c>
      <c r="Q692" s="2">
        <v>52</v>
      </c>
      <c r="R692" s="2" t="b">
        <v>1</v>
      </c>
      <c r="S692" s="2">
        <v>0.79699248120300759</v>
      </c>
      <c r="T692" s="2">
        <v>0.78712871287128716</v>
      </c>
      <c r="U692" s="2">
        <v>0.80710659898477155</v>
      </c>
      <c r="V692" s="2" t="s">
        <v>63</v>
      </c>
      <c r="W692" s="2" t="s">
        <v>2548</v>
      </c>
      <c r="X692" s="2" t="s">
        <v>2549</v>
      </c>
      <c r="Y692" s="2" t="b">
        <v>1</v>
      </c>
      <c r="Z692" s="2" t="s">
        <v>67</v>
      </c>
      <c r="AA692" s="2">
        <v>2.4</v>
      </c>
      <c r="AB692" s="2" t="s">
        <v>49</v>
      </c>
    </row>
    <row r="693" spans="1:28" ht="15.75" hidden="1" customHeight="1" x14ac:dyDescent="0.3">
      <c r="A693" s="2" t="s">
        <v>45</v>
      </c>
      <c r="B693" s="2" t="s">
        <v>32</v>
      </c>
      <c r="C693" s="2" t="s">
        <v>1262</v>
      </c>
      <c r="D693" s="2" t="s">
        <v>32</v>
      </c>
      <c r="E693" s="2" t="s">
        <v>82</v>
      </c>
      <c r="F693" s="2" t="s">
        <v>814</v>
      </c>
      <c r="G693" s="2" t="s">
        <v>42</v>
      </c>
      <c r="H693" s="2" t="s">
        <v>42</v>
      </c>
      <c r="I693" s="2" t="s">
        <v>47</v>
      </c>
      <c r="J693" s="2" t="s">
        <v>44</v>
      </c>
      <c r="K693" s="2" t="s">
        <v>2331</v>
      </c>
      <c r="L693" s="2" t="s">
        <v>2287</v>
      </c>
      <c r="M693" s="2" t="s">
        <v>1600</v>
      </c>
      <c r="N693" s="2" t="s">
        <v>2332</v>
      </c>
      <c r="O693" s="2" t="s">
        <v>1658</v>
      </c>
      <c r="P693" s="2" t="s">
        <v>1603</v>
      </c>
      <c r="Q693" s="2">
        <v>53</v>
      </c>
      <c r="R693" s="2" t="b">
        <v>1</v>
      </c>
      <c r="S693" s="2">
        <v>0.83698296836982955</v>
      </c>
      <c r="T693" s="2">
        <v>0.87755102040816324</v>
      </c>
      <c r="U693" s="2">
        <v>0.8</v>
      </c>
      <c r="V693" s="2" t="s">
        <v>63</v>
      </c>
      <c r="W693" s="2" t="s">
        <v>2550</v>
      </c>
      <c r="X693" s="2" t="s">
        <v>2551</v>
      </c>
      <c r="Y693" s="2" t="b">
        <v>1</v>
      </c>
      <c r="Z693" s="2" t="s">
        <v>67</v>
      </c>
      <c r="AA693" s="2">
        <v>2.5</v>
      </c>
      <c r="AB693" s="2" t="s">
        <v>49</v>
      </c>
    </row>
    <row r="694" spans="1:28" ht="15.75" hidden="1" customHeight="1" x14ac:dyDescent="0.3">
      <c r="A694" s="2" t="s">
        <v>45</v>
      </c>
      <c r="B694" s="2" t="s">
        <v>32</v>
      </c>
      <c r="C694" s="2" t="s">
        <v>1262</v>
      </c>
      <c r="D694" s="2" t="s">
        <v>32</v>
      </c>
      <c r="E694" s="2" t="s">
        <v>82</v>
      </c>
      <c r="F694" s="2" t="s">
        <v>814</v>
      </c>
      <c r="G694" s="2" t="s">
        <v>42</v>
      </c>
      <c r="H694" s="2" t="s">
        <v>42</v>
      </c>
      <c r="I694" s="2" t="s">
        <v>47</v>
      </c>
      <c r="J694" s="2" t="s">
        <v>44</v>
      </c>
      <c r="K694" s="2" t="s">
        <v>2335</v>
      </c>
      <c r="L694" s="2" t="s">
        <v>2287</v>
      </c>
      <c r="M694" s="2" t="s">
        <v>1600</v>
      </c>
      <c r="N694" s="2" t="s">
        <v>2336</v>
      </c>
      <c r="O694" s="2" t="s">
        <v>1663</v>
      </c>
      <c r="P694" s="2" t="s">
        <v>1603</v>
      </c>
      <c r="Q694" s="2">
        <v>54</v>
      </c>
      <c r="R694" s="2" t="b">
        <v>1</v>
      </c>
      <c r="S694" s="2">
        <v>0.81333333333333324</v>
      </c>
      <c r="T694" s="2">
        <v>0.82805429864253388</v>
      </c>
      <c r="U694" s="2">
        <v>0.79912663755458513</v>
      </c>
      <c r="V694" s="2" t="s">
        <v>63</v>
      </c>
      <c r="W694" s="2" t="s">
        <v>2552</v>
      </c>
      <c r="X694" s="2" t="s">
        <v>2553</v>
      </c>
      <c r="Y694" s="2" t="b">
        <v>1</v>
      </c>
      <c r="Z694" s="2" t="s">
        <v>67</v>
      </c>
      <c r="AA694" s="2">
        <v>3.1</v>
      </c>
      <c r="AB694" s="2" t="s">
        <v>49</v>
      </c>
    </row>
    <row r="695" spans="1:28" ht="15.75" hidden="1" customHeight="1" x14ac:dyDescent="0.3">
      <c r="A695" s="2" t="s">
        <v>45</v>
      </c>
      <c r="B695" s="2" t="s">
        <v>32</v>
      </c>
      <c r="C695" s="2" t="s">
        <v>1262</v>
      </c>
      <c r="D695" s="2" t="s">
        <v>32</v>
      </c>
      <c r="E695" s="2" t="s">
        <v>82</v>
      </c>
      <c r="F695" s="2" t="s">
        <v>814</v>
      </c>
      <c r="G695" s="2" t="s">
        <v>42</v>
      </c>
      <c r="H695" s="2" t="s">
        <v>42</v>
      </c>
      <c r="I695" s="2" t="s">
        <v>47</v>
      </c>
      <c r="J695" s="2" t="s">
        <v>44</v>
      </c>
      <c r="K695" s="2" t="s">
        <v>2339</v>
      </c>
      <c r="L695" s="2" t="s">
        <v>2287</v>
      </c>
      <c r="M695" s="2" t="s">
        <v>1600</v>
      </c>
      <c r="N695" s="2" t="s">
        <v>2340</v>
      </c>
      <c r="O695" s="2" t="s">
        <v>1668</v>
      </c>
      <c r="P695" s="2" t="s">
        <v>1603</v>
      </c>
      <c r="Q695" s="2">
        <v>55</v>
      </c>
      <c r="R695" s="2" t="b">
        <v>1</v>
      </c>
      <c r="S695" s="2">
        <v>0.84918793503480272</v>
      </c>
      <c r="T695" s="2">
        <v>0.90594059405940597</v>
      </c>
      <c r="U695" s="2">
        <v>0.79912663755458513</v>
      </c>
      <c r="V695" s="2" t="s">
        <v>63</v>
      </c>
      <c r="W695" s="2" t="s">
        <v>2554</v>
      </c>
      <c r="X695" s="2" t="s">
        <v>2555</v>
      </c>
      <c r="Y695" s="2" t="b">
        <v>1</v>
      </c>
      <c r="Z695" s="2" t="s">
        <v>67</v>
      </c>
      <c r="AA695" s="2">
        <v>3.3</v>
      </c>
      <c r="AB695" s="2" t="s">
        <v>49</v>
      </c>
    </row>
    <row r="696" spans="1:28" ht="15.75" hidden="1" customHeight="1" x14ac:dyDescent="0.3">
      <c r="A696" s="2" t="s">
        <v>45</v>
      </c>
      <c r="B696" s="2" t="s">
        <v>32</v>
      </c>
      <c r="C696" s="2" t="s">
        <v>1262</v>
      </c>
      <c r="D696" s="2" t="s">
        <v>32</v>
      </c>
      <c r="E696" s="2" t="s">
        <v>82</v>
      </c>
      <c r="F696" s="2" t="s">
        <v>814</v>
      </c>
      <c r="G696" s="2" t="s">
        <v>42</v>
      </c>
      <c r="H696" s="2" t="s">
        <v>42</v>
      </c>
      <c r="I696" s="2" t="s">
        <v>47</v>
      </c>
      <c r="J696" s="2" t="s">
        <v>44</v>
      </c>
      <c r="K696" s="2" t="s">
        <v>2343</v>
      </c>
      <c r="L696" s="2" t="s">
        <v>2287</v>
      </c>
      <c r="M696" s="2" t="s">
        <v>1600</v>
      </c>
      <c r="N696" s="2" t="s">
        <v>2344</v>
      </c>
      <c r="O696" s="2" t="s">
        <v>1673</v>
      </c>
      <c r="P696" s="2" t="s">
        <v>1603</v>
      </c>
      <c r="Q696" s="2">
        <v>56</v>
      </c>
      <c r="R696" s="2" t="b">
        <v>1</v>
      </c>
      <c r="S696" s="2">
        <v>0.74376417233560077</v>
      </c>
      <c r="T696" s="2">
        <v>0.76279069767441865</v>
      </c>
      <c r="U696" s="2">
        <v>0.72566371681415931</v>
      </c>
      <c r="V696" s="2" t="s">
        <v>63</v>
      </c>
      <c r="W696" s="2" t="s">
        <v>2556</v>
      </c>
      <c r="X696" s="2" t="s">
        <v>2557</v>
      </c>
      <c r="Y696" s="2" t="b">
        <v>1</v>
      </c>
      <c r="Z696" s="2" t="s">
        <v>67</v>
      </c>
      <c r="AA696" s="2">
        <v>2.1</v>
      </c>
      <c r="AB696" s="2" t="s">
        <v>49</v>
      </c>
    </row>
    <row r="697" spans="1:28" ht="15.75" hidden="1" customHeight="1" x14ac:dyDescent="0.3">
      <c r="A697" s="2" t="s">
        <v>45</v>
      </c>
      <c r="B697" s="2" t="s">
        <v>32</v>
      </c>
      <c r="C697" s="2" t="s">
        <v>1262</v>
      </c>
      <c r="D697" s="2" t="s">
        <v>32</v>
      </c>
      <c r="E697" s="2" t="s">
        <v>82</v>
      </c>
      <c r="F697" s="2" t="s">
        <v>814</v>
      </c>
      <c r="G697" s="2" t="s">
        <v>42</v>
      </c>
      <c r="H697" s="2" t="s">
        <v>42</v>
      </c>
      <c r="I697" s="2" t="s">
        <v>47</v>
      </c>
      <c r="J697" s="2" t="s">
        <v>44</v>
      </c>
      <c r="K697" s="2" t="s">
        <v>2347</v>
      </c>
      <c r="L697" s="2" t="s">
        <v>2287</v>
      </c>
      <c r="M697" s="2" t="s">
        <v>1600</v>
      </c>
      <c r="N697" s="2" t="s">
        <v>2348</v>
      </c>
      <c r="O697" s="2" t="s">
        <v>1678</v>
      </c>
      <c r="P697" s="2" t="s">
        <v>1603</v>
      </c>
      <c r="Q697" s="2">
        <v>57</v>
      </c>
      <c r="R697" s="2" t="b">
        <v>1</v>
      </c>
      <c r="S697" s="2">
        <v>0.76699029126213603</v>
      </c>
      <c r="T697" s="2">
        <v>0.77450980392156865</v>
      </c>
      <c r="U697" s="2">
        <v>0.75961538461538458</v>
      </c>
      <c r="V697" s="2" t="s">
        <v>63</v>
      </c>
      <c r="W697" s="2" t="s">
        <v>2558</v>
      </c>
      <c r="X697" s="2" t="s">
        <v>2559</v>
      </c>
      <c r="Y697" s="2" t="b">
        <v>1</v>
      </c>
      <c r="Z697" s="2" t="s">
        <v>67</v>
      </c>
      <c r="AA697" s="2">
        <v>2.5</v>
      </c>
      <c r="AB697" s="2" t="s">
        <v>49</v>
      </c>
    </row>
    <row r="698" spans="1:28" ht="15.75" hidden="1" customHeight="1" x14ac:dyDescent="0.3">
      <c r="A698" s="2" t="s">
        <v>45</v>
      </c>
      <c r="B698" s="2" t="s">
        <v>32</v>
      </c>
      <c r="C698" s="2" t="s">
        <v>1262</v>
      </c>
      <c r="D698" s="2" t="s">
        <v>32</v>
      </c>
      <c r="E698" s="2" t="s">
        <v>82</v>
      </c>
      <c r="F698" s="2" t="s">
        <v>814</v>
      </c>
      <c r="G698" s="2" t="s">
        <v>42</v>
      </c>
      <c r="H698" s="2" t="s">
        <v>42</v>
      </c>
      <c r="I698" s="2" t="s">
        <v>47</v>
      </c>
      <c r="J698" s="2" t="s">
        <v>44</v>
      </c>
      <c r="K698" s="2" t="s">
        <v>2351</v>
      </c>
      <c r="L698" s="2" t="s">
        <v>2287</v>
      </c>
      <c r="M698" s="2" t="s">
        <v>1600</v>
      </c>
      <c r="N698" s="2" t="s">
        <v>2352</v>
      </c>
      <c r="O698" s="2" t="s">
        <v>1683</v>
      </c>
      <c r="P698" s="2" t="s">
        <v>1603</v>
      </c>
      <c r="Q698" s="2">
        <v>58</v>
      </c>
      <c r="R698" s="2" t="b">
        <v>1</v>
      </c>
      <c r="S698" s="2">
        <v>0.82568807339449546</v>
      </c>
      <c r="T698" s="2">
        <v>0.88815789473684215</v>
      </c>
      <c r="U698" s="2">
        <v>0.77142857142857146</v>
      </c>
      <c r="V698" s="2" t="s">
        <v>63</v>
      </c>
      <c r="W698" s="2" t="s">
        <v>2560</v>
      </c>
      <c r="X698" s="2" t="s">
        <v>2561</v>
      </c>
      <c r="Y698" s="2" t="b">
        <v>1</v>
      </c>
      <c r="Z698" s="2" t="s">
        <v>67</v>
      </c>
      <c r="AA698" s="2">
        <v>2</v>
      </c>
      <c r="AB698" s="2" t="s">
        <v>49</v>
      </c>
    </row>
    <row r="699" spans="1:28" ht="15.75" hidden="1" customHeight="1" x14ac:dyDescent="0.3">
      <c r="A699" s="2" t="s">
        <v>45</v>
      </c>
      <c r="B699" s="2" t="s">
        <v>32</v>
      </c>
      <c r="C699" s="2" t="s">
        <v>1262</v>
      </c>
      <c r="D699" s="2" t="s">
        <v>32</v>
      </c>
      <c r="E699" s="2" t="s">
        <v>82</v>
      </c>
      <c r="F699" s="2" t="s">
        <v>814</v>
      </c>
      <c r="G699" s="2" t="s">
        <v>42</v>
      </c>
      <c r="H699" s="2" t="s">
        <v>42</v>
      </c>
      <c r="I699" s="2" t="s">
        <v>47</v>
      </c>
      <c r="J699" s="2" t="s">
        <v>44</v>
      </c>
      <c r="K699" s="2" t="s">
        <v>2355</v>
      </c>
      <c r="L699" s="2" t="s">
        <v>2287</v>
      </c>
      <c r="M699" s="2" t="s">
        <v>1600</v>
      </c>
      <c r="N699" s="2" t="s">
        <v>2356</v>
      </c>
      <c r="O699" s="2" t="s">
        <v>1688</v>
      </c>
      <c r="P699" s="2" t="s">
        <v>1603</v>
      </c>
      <c r="Q699" s="2">
        <v>59</v>
      </c>
      <c r="R699" s="2" t="b">
        <v>1</v>
      </c>
      <c r="S699" s="2">
        <v>0.8052631578947369</v>
      </c>
      <c r="T699" s="2">
        <v>0.80104712041884818</v>
      </c>
      <c r="U699" s="2">
        <v>0.80952380952380953</v>
      </c>
      <c r="V699" s="2" t="s">
        <v>63</v>
      </c>
      <c r="W699" s="2" t="s">
        <v>2562</v>
      </c>
      <c r="X699" s="2" t="s">
        <v>2563</v>
      </c>
      <c r="Y699" s="2" t="b">
        <v>1</v>
      </c>
      <c r="Z699" s="2" t="s">
        <v>67</v>
      </c>
      <c r="AA699" s="2">
        <v>2.9</v>
      </c>
      <c r="AB699" s="2" t="s">
        <v>49</v>
      </c>
    </row>
    <row r="700" spans="1:28" ht="15.75" hidden="1" customHeight="1" x14ac:dyDescent="0.3">
      <c r="A700" s="2" t="s">
        <v>45</v>
      </c>
      <c r="B700" s="2" t="s">
        <v>32</v>
      </c>
      <c r="C700" s="2" t="s">
        <v>1262</v>
      </c>
      <c r="D700" s="2" t="s">
        <v>32</v>
      </c>
      <c r="E700" s="2" t="s">
        <v>82</v>
      </c>
      <c r="F700" s="2" t="s">
        <v>814</v>
      </c>
      <c r="G700" s="2" t="s">
        <v>42</v>
      </c>
      <c r="H700" s="2" t="s">
        <v>42</v>
      </c>
      <c r="I700" s="2" t="s">
        <v>47</v>
      </c>
      <c r="J700" s="2" t="s">
        <v>44</v>
      </c>
      <c r="K700" s="2" t="s">
        <v>2359</v>
      </c>
      <c r="L700" s="2" t="s">
        <v>2287</v>
      </c>
      <c r="M700" s="2" t="s">
        <v>1600</v>
      </c>
      <c r="N700" s="2" t="s">
        <v>2360</v>
      </c>
      <c r="O700" s="2" t="s">
        <v>1693</v>
      </c>
      <c r="P700" s="2" t="s">
        <v>1603</v>
      </c>
      <c r="Q700" s="2">
        <v>60</v>
      </c>
      <c r="R700" s="2" t="b">
        <v>1</v>
      </c>
      <c r="S700" s="2">
        <v>0.81818181818181823</v>
      </c>
      <c r="T700" s="2">
        <v>0.85308056872037918</v>
      </c>
      <c r="U700" s="2">
        <v>0.78602620087336239</v>
      </c>
      <c r="V700" s="2" t="s">
        <v>63</v>
      </c>
      <c r="W700" s="2" t="s">
        <v>2564</v>
      </c>
      <c r="X700" s="2" t="s">
        <v>2565</v>
      </c>
      <c r="Y700" s="2" t="b">
        <v>1</v>
      </c>
      <c r="Z700" s="2" t="s">
        <v>67</v>
      </c>
      <c r="AA700" s="2">
        <v>3.8</v>
      </c>
      <c r="AB700" s="2" t="s">
        <v>49</v>
      </c>
    </row>
    <row r="701" spans="1:28" ht="15.75" hidden="1" customHeight="1" x14ac:dyDescent="0.3">
      <c r="A701" s="2" t="s">
        <v>45</v>
      </c>
      <c r="B701" s="2" t="s">
        <v>32</v>
      </c>
      <c r="C701" s="2" t="s">
        <v>1262</v>
      </c>
      <c r="D701" s="2" t="s">
        <v>32</v>
      </c>
      <c r="E701" s="2" t="s">
        <v>82</v>
      </c>
      <c r="F701" s="2" t="s">
        <v>814</v>
      </c>
      <c r="G701" s="2" t="s">
        <v>42</v>
      </c>
      <c r="H701" s="2" t="s">
        <v>42</v>
      </c>
      <c r="I701" s="2" t="s">
        <v>47</v>
      </c>
      <c r="J701" s="2" t="s">
        <v>44</v>
      </c>
      <c r="K701" s="2" t="s">
        <v>2363</v>
      </c>
      <c r="L701" s="2" t="s">
        <v>2287</v>
      </c>
      <c r="M701" s="2" t="s">
        <v>1600</v>
      </c>
      <c r="N701" s="2" t="s">
        <v>2364</v>
      </c>
      <c r="O701" s="2" t="s">
        <v>1698</v>
      </c>
      <c r="P701" s="2" t="s">
        <v>1603</v>
      </c>
      <c r="Q701" s="2">
        <v>61</v>
      </c>
      <c r="R701" s="2" t="b">
        <v>1</v>
      </c>
      <c r="S701" s="2">
        <v>0.83885209713024289</v>
      </c>
      <c r="T701" s="2">
        <v>0.85972850678733037</v>
      </c>
      <c r="U701" s="2">
        <v>0.81896551724137934</v>
      </c>
      <c r="V701" s="2" t="s">
        <v>63</v>
      </c>
      <c r="W701" s="2" t="s">
        <v>2566</v>
      </c>
      <c r="X701" s="2" t="s">
        <v>2567</v>
      </c>
      <c r="Y701" s="2" t="b">
        <v>1</v>
      </c>
      <c r="Z701" s="2" t="s">
        <v>67</v>
      </c>
      <c r="AA701" s="2">
        <v>2.1</v>
      </c>
      <c r="AB701" s="2" t="s">
        <v>49</v>
      </c>
    </row>
    <row r="702" spans="1:28" ht="15.75" hidden="1" customHeight="1" x14ac:dyDescent="0.3">
      <c r="A702" s="2" t="s">
        <v>45</v>
      </c>
      <c r="B702" s="2" t="s">
        <v>32</v>
      </c>
      <c r="C702" s="2" t="s">
        <v>1262</v>
      </c>
      <c r="D702" s="2" t="s">
        <v>32</v>
      </c>
      <c r="E702" s="2" t="s">
        <v>82</v>
      </c>
      <c r="F702" s="2" t="s">
        <v>814</v>
      </c>
      <c r="G702" s="2" t="s">
        <v>42</v>
      </c>
      <c r="H702" s="2" t="s">
        <v>42</v>
      </c>
      <c r="I702" s="2" t="s">
        <v>239</v>
      </c>
      <c r="J702" s="2" t="s">
        <v>71</v>
      </c>
      <c r="K702" s="2" t="s">
        <v>2367</v>
      </c>
      <c r="L702" s="2" t="s">
        <v>2368</v>
      </c>
      <c r="M702" s="2" t="s">
        <v>1703</v>
      </c>
      <c r="N702" s="2" t="s">
        <v>2369</v>
      </c>
      <c r="O702" s="2" t="s">
        <v>1705</v>
      </c>
      <c r="P702" s="2" t="s">
        <v>1706</v>
      </c>
      <c r="Q702" s="2">
        <v>42</v>
      </c>
      <c r="R702" s="2" t="b">
        <v>0</v>
      </c>
      <c r="S702" s="2">
        <v>0.79126213592232997</v>
      </c>
      <c r="T702" s="2">
        <v>0.8534031413612565</v>
      </c>
      <c r="U702" s="2">
        <v>0.73755656108597289</v>
      </c>
      <c r="V702" s="2" t="s">
        <v>63</v>
      </c>
      <c r="W702" s="2" t="s">
        <v>2568</v>
      </c>
      <c r="X702" s="2" t="s">
        <v>2569</v>
      </c>
      <c r="Y702" s="2" t="b">
        <v>1</v>
      </c>
      <c r="Z702" s="2" t="s">
        <v>67</v>
      </c>
      <c r="AA702" s="2">
        <v>2.1</v>
      </c>
      <c r="AB702" s="2" t="s">
        <v>49</v>
      </c>
    </row>
    <row r="703" spans="1:28" ht="15.75" hidden="1" customHeight="1" x14ac:dyDescent="0.3">
      <c r="A703" s="2" t="s">
        <v>45</v>
      </c>
      <c r="B703" s="2" t="s">
        <v>32</v>
      </c>
      <c r="C703" s="2" t="s">
        <v>1262</v>
      </c>
      <c r="D703" s="2" t="s">
        <v>32</v>
      </c>
      <c r="E703" s="2" t="s">
        <v>82</v>
      </c>
      <c r="F703" s="2" t="s">
        <v>814</v>
      </c>
      <c r="G703" s="2" t="s">
        <v>42</v>
      </c>
      <c r="H703" s="2" t="s">
        <v>42</v>
      </c>
      <c r="I703" s="2" t="s">
        <v>239</v>
      </c>
      <c r="J703" s="2" t="s">
        <v>71</v>
      </c>
      <c r="K703" s="2" t="s">
        <v>2372</v>
      </c>
      <c r="L703" s="2" t="s">
        <v>2368</v>
      </c>
      <c r="M703" s="2" t="s">
        <v>1703</v>
      </c>
      <c r="N703" s="2" t="s">
        <v>2373</v>
      </c>
      <c r="O703" s="2" t="s">
        <v>1711</v>
      </c>
      <c r="P703" s="2" t="s">
        <v>1706</v>
      </c>
      <c r="Q703" s="2">
        <v>43</v>
      </c>
      <c r="R703" s="2" t="b">
        <v>0</v>
      </c>
      <c r="S703" s="2">
        <v>0.81984334203655362</v>
      </c>
      <c r="T703" s="2">
        <v>0.87222222222222223</v>
      </c>
      <c r="U703" s="2">
        <v>0.77339901477832518</v>
      </c>
      <c r="V703" s="2" t="s">
        <v>63</v>
      </c>
      <c r="W703" s="2" t="s">
        <v>2570</v>
      </c>
      <c r="X703" s="2" t="s">
        <v>2571</v>
      </c>
      <c r="Y703" s="2" t="b">
        <v>1</v>
      </c>
      <c r="Z703" s="2" t="s">
        <v>67</v>
      </c>
      <c r="AA703" s="2">
        <v>2.5</v>
      </c>
      <c r="AB703" s="2" t="s">
        <v>49</v>
      </c>
    </row>
    <row r="704" spans="1:28" ht="15.75" hidden="1" customHeight="1" x14ac:dyDescent="0.3">
      <c r="A704" s="2" t="s">
        <v>45</v>
      </c>
      <c r="B704" s="2" t="s">
        <v>32</v>
      </c>
      <c r="C704" s="2" t="s">
        <v>1262</v>
      </c>
      <c r="D704" s="2" t="s">
        <v>32</v>
      </c>
      <c r="E704" s="2" t="s">
        <v>82</v>
      </c>
      <c r="F704" s="2" t="s">
        <v>814</v>
      </c>
      <c r="G704" s="2" t="s">
        <v>42</v>
      </c>
      <c r="H704" s="2" t="s">
        <v>42</v>
      </c>
      <c r="I704" s="2" t="s">
        <v>239</v>
      </c>
      <c r="J704" s="2" t="s">
        <v>71</v>
      </c>
      <c r="K704" s="2" t="s">
        <v>2376</v>
      </c>
      <c r="L704" s="2" t="s">
        <v>2368</v>
      </c>
      <c r="M704" s="2" t="s">
        <v>1703</v>
      </c>
      <c r="N704" s="2" t="s">
        <v>2377</v>
      </c>
      <c r="O704" s="2" t="s">
        <v>1716</v>
      </c>
      <c r="P704" s="2" t="s">
        <v>1706</v>
      </c>
      <c r="Q704" s="2">
        <v>44</v>
      </c>
      <c r="R704" s="2" t="b">
        <v>0</v>
      </c>
      <c r="S704" s="2">
        <v>0.83919597989949757</v>
      </c>
      <c r="T704" s="2">
        <v>0.83919597989949746</v>
      </c>
      <c r="U704" s="2">
        <v>0.83919597989949746</v>
      </c>
      <c r="V704" s="2" t="s">
        <v>63</v>
      </c>
      <c r="W704" s="2" t="s">
        <v>2572</v>
      </c>
      <c r="X704" s="2" t="s">
        <v>2573</v>
      </c>
      <c r="Y704" s="2" t="b">
        <v>1</v>
      </c>
      <c r="Z704" s="2" t="s">
        <v>67</v>
      </c>
      <c r="AA704" s="2">
        <v>2.8</v>
      </c>
      <c r="AB704" s="2" t="s">
        <v>49</v>
      </c>
    </row>
    <row r="705" spans="1:28" ht="15.75" hidden="1" customHeight="1" x14ac:dyDescent="0.3">
      <c r="A705" s="2" t="s">
        <v>45</v>
      </c>
      <c r="B705" s="2" t="s">
        <v>32</v>
      </c>
      <c r="C705" s="2" t="s">
        <v>1262</v>
      </c>
      <c r="D705" s="2" t="s">
        <v>32</v>
      </c>
      <c r="E705" s="2" t="s">
        <v>82</v>
      </c>
      <c r="F705" s="2" t="s">
        <v>814</v>
      </c>
      <c r="G705" s="2" t="s">
        <v>42</v>
      </c>
      <c r="H705" s="2" t="s">
        <v>42</v>
      </c>
      <c r="I705" s="2" t="s">
        <v>239</v>
      </c>
      <c r="J705" s="2" t="s">
        <v>71</v>
      </c>
      <c r="K705" s="2" t="s">
        <v>2380</v>
      </c>
      <c r="L705" s="2" t="s">
        <v>2368</v>
      </c>
      <c r="M705" s="2" t="s">
        <v>1703</v>
      </c>
      <c r="N705" s="2" t="s">
        <v>2381</v>
      </c>
      <c r="O705" s="2" t="s">
        <v>1721</v>
      </c>
      <c r="P705" s="2" t="s">
        <v>1706</v>
      </c>
      <c r="Q705" s="2">
        <v>45</v>
      </c>
      <c r="R705" s="2" t="b">
        <v>0</v>
      </c>
      <c r="S705" s="2">
        <v>0.8411214953271029</v>
      </c>
      <c r="T705" s="2">
        <v>0.88235294117647056</v>
      </c>
      <c r="U705" s="2">
        <v>0.8035714285714286</v>
      </c>
      <c r="V705" s="2" t="s">
        <v>63</v>
      </c>
      <c r="W705" s="2" t="s">
        <v>2574</v>
      </c>
      <c r="X705" s="2" t="s">
        <v>2575</v>
      </c>
      <c r="Y705" s="2" t="b">
        <v>1</v>
      </c>
      <c r="Z705" s="2" t="s">
        <v>67</v>
      </c>
      <c r="AA705" s="2">
        <v>3.3</v>
      </c>
      <c r="AB705" s="2" t="s">
        <v>49</v>
      </c>
    </row>
    <row r="706" spans="1:28" ht="15.75" hidden="1" customHeight="1" x14ac:dyDescent="0.3">
      <c r="A706" s="2" t="s">
        <v>45</v>
      </c>
      <c r="B706" s="2" t="s">
        <v>32</v>
      </c>
      <c r="C706" s="2" t="s">
        <v>1262</v>
      </c>
      <c r="D706" s="2" t="s">
        <v>32</v>
      </c>
      <c r="E706" s="2" t="s">
        <v>82</v>
      </c>
      <c r="F706" s="2" t="s">
        <v>814</v>
      </c>
      <c r="G706" s="2" t="s">
        <v>42</v>
      </c>
      <c r="H706" s="2" t="s">
        <v>42</v>
      </c>
      <c r="I706" s="2" t="s">
        <v>239</v>
      </c>
      <c r="J706" s="2" t="s">
        <v>71</v>
      </c>
      <c r="K706" s="2" t="s">
        <v>2384</v>
      </c>
      <c r="L706" s="2" t="s">
        <v>2368</v>
      </c>
      <c r="M706" s="2" t="s">
        <v>1703</v>
      </c>
      <c r="N706" s="2" t="s">
        <v>2385</v>
      </c>
      <c r="O706" s="2" t="s">
        <v>1726</v>
      </c>
      <c r="P706" s="2" t="s">
        <v>1706</v>
      </c>
      <c r="Q706" s="2">
        <v>46</v>
      </c>
      <c r="R706" s="2" t="b">
        <v>0</v>
      </c>
      <c r="S706" s="2">
        <v>0.8530120481927711</v>
      </c>
      <c r="T706" s="2">
        <v>0.86341463414634145</v>
      </c>
      <c r="U706" s="2">
        <v>0.84285714285714286</v>
      </c>
      <c r="V706" s="2" t="s">
        <v>63</v>
      </c>
      <c r="W706" s="2" t="s">
        <v>2576</v>
      </c>
      <c r="X706" s="2" t="s">
        <v>2577</v>
      </c>
      <c r="Y706" s="2" t="b">
        <v>1</v>
      </c>
      <c r="Z706" s="2" t="s">
        <v>67</v>
      </c>
      <c r="AA706" s="2">
        <v>2.4</v>
      </c>
      <c r="AB706" s="2" t="s">
        <v>49</v>
      </c>
    </row>
    <row r="707" spans="1:28" ht="15.75" hidden="1" customHeight="1" x14ac:dyDescent="0.3">
      <c r="A707" s="2" t="s">
        <v>45</v>
      </c>
      <c r="B707" s="2" t="s">
        <v>32</v>
      </c>
      <c r="C707" s="2" t="s">
        <v>1262</v>
      </c>
      <c r="D707" s="2" t="s">
        <v>32</v>
      </c>
      <c r="E707" s="2" t="s">
        <v>82</v>
      </c>
      <c r="F707" s="2" t="s">
        <v>814</v>
      </c>
      <c r="G707" s="2" t="s">
        <v>42</v>
      </c>
      <c r="H707" s="2" t="s">
        <v>42</v>
      </c>
      <c r="I707" s="2" t="s">
        <v>239</v>
      </c>
      <c r="J707" s="2" t="s">
        <v>71</v>
      </c>
      <c r="K707" s="2" t="s">
        <v>2388</v>
      </c>
      <c r="L707" s="2" t="s">
        <v>2368</v>
      </c>
      <c r="M707" s="2" t="s">
        <v>1703</v>
      </c>
      <c r="N707" s="2" t="s">
        <v>2389</v>
      </c>
      <c r="O707" s="2" t="s">
        <v>1731</v>
      </c>
      <c r="P707" s="2" t="s">
        <v>1706</v>
      </c>
      <c r="Q707" s="2">
        <v>47</v>
      </c>
      <c r="R707" s="2" t="b">
        <v>0</v>
      </c>
      <c r="S707" s="2">
        <v>0.84057971014492738</v>
      </c>
      <c r="T707" s="2">
        <v>0.86567164179104472</v>
      </c>
      <c r="U707" s="2">
        <v>0.81690140845070425</v>
      </c>
      <c r="V707" s="2" t="s">
        <v>63</v>
      </c>
      <c r="W707" s="2" t="s">
        <v>2578</v>
      </c>
      <c r="X707" s="2" t="s">
        <v>2579</v>
      </c>
      <c r="Y707" s="2" t="b">
        <v>1</v>
      </c>
      <c r="Z707" s="2" t="s">
        <v>67</v>
      </c>
      <c r="AA707" s="2">
        <v>2.1</v>
      </c>
      <c r="AB707" s="2" t="s">
        <v>49</v>
      </c>
    </row>
    <row r="708" spans="1:28" ht="15.75" hidden="1" customHeight="1" x14ac:dyDescent="0.3">
      <c r="A708" s="2" t="s">
        <v>45</v>
      </c>
      <c r="B708" s="2" t="s">
        <v>32</v>
      </c>
      <c r="C708" s="2" t="s">
        <v>1262</v>
      </c>
      <c r="D708" s="2" t="s">
        <v>32</v>
      </c>
      <c r="E708" s="2" t="s">
        <v>82</v>
      </c>
      <c r="F708" s="2" t="s">
        <v>814</v>
      </c>
      <c r="G708" s="2" t="s">
        <v>42</v>
      </c>
      <c r="H708" s="2" t="s">
        <v>42</v>
      </c>
      <c r="I708" s="2" t="s">
        <v>239</v>
      </c>
      <c r="J708" s="2" t="s">
        <v>71</v>
      </c>
      <c r="K708" s="2" t="s">
        <v>2392</v>
      </c>
      <c r="L708" s="2" t="s">
        <v>2368</v>
      </c>
      <c r="M708" s="2" t="s">
        <v>1703</v>
      </c>
      <c r="N708" s="2" t="s">
        <v>2393</v>
      </c>
      <c r="O708" s="2" t="s">
        <v>1736</v>
      </c>
      <c r="P708" s="2" t="s">
        <v>1706</v>
      </c>
      <c r="Q708" s="2">
        <v>48</v>
      </c>
      <c r="R708" s="2" t="b">
        <v>0</v>
      </c>
      <c r="S708" s="2">
        <v>0.79523809523809519</v>
      </c>
      <c r="T708" s="2">
        <v>0.82266009852216748</v>
      </c>
      <c r="U708" s="2">
        <v>0.7695852534562212</v>
      </c>
      <c r="V708" s="2" t="s">
        <v>63</v>
      </c>
      <c r="W708" s="2" t="s">
        <v>2580</v>
      </c>
      <c r="X708" s="2" t="s">
        <v>2581</v>
      </c>
      <c r="Y708" s="2" t="b">
        <v>1</v>
      </c>
      <c r="Z708" s="2" t="s">
        <v>67</v>
      </c>
      <c r="AA708" s="2">
        <v>2.5</v>
      </c>
      <c r="AB708" s="2" t="s">
        <v>49</v>
      </c>
    </row>
    <row r="709" spans="1:28" ht="15.75" hidden="1" customHeight="1" x14ac:dyDescent="0.3">
      <c r="A709" s="2" t="s">
        <v>45</v>
      </c>
      <c r="B709" s="2" t="s">
        <v>32</v>
      </c>
      <c r="C709" s="2" t="s">
        <v>1262</v>
      </c>
      <c r="D709" s="2" t="s">
        <v>32</v>
      </c>
      <c r="E709" s="2" t="s">
        <v>82</v>
      </c>
      <c r="F709" s="2" t="s">
        <v>814</v>
      </c>
      <c r="G709" s="2" t="s">
        <v>42</v>
      </c>
      <c r="H709" s="2" t="s">
        <v>42</v>
      </c>
      <c r="I709" s="2" t="s">
        <v>239</v>
      </c>
      <c r="J709" s="2" t="s">
        <v>71</v>
      </c>
      <c r="K709" s="2" t="s">
        <v>2396</v>
      </c>
      <c r="L709" s="2" t="s">
        <v>2368</v>
      </c>
      <c r="M709" s="2" t="s">
        <v>1703</v>
      </c>
      <c r="N709" s="2" t="s">
        <v>2397</v>
      </c>
      <c r="O709" s="2" t="s">
        <v>1741</v>
      </c>
      <c r="P709" s="2" t="s">
        <v>1706</v>
      </c>
      <c r="Q709" s="2">
        <v>49</v>
      </c>
      <c r="R709" s="2" t="b">
        <v>0</v>
      </c>
      <c r="S709" s="2">
        <v>0.83333333333333326</v>
      </c>
      <c r="T709" s="2">
        <v>0.82926829268292679</v>
      </c>
      <c r="U709" s="2">
        <v>0.83743842364532017</v>
      </c>
      <c r="V709" s="2" t="s">
        <v>63</v>
      </c>
      <c r="W709" s="2" t="s">
        <v>2582</v>
      </c>
      <c r="X709" s="2" t="s">
        <v>2583</v>
      </c>
      <c r="Y709" s="2" t="b">
        <v>1</v>
      </c>
      <c r="Z709" s="2" t="s">
        <v>67</v>
      </c>
      <c r="AA709" s="2">
        <v>2</v>
      </c>
      <c r="AB709" s="2" t="s">
        <v>49</v>
      </c>
    </row>
    <row r="710" spans="1:28" ht="15.75" hidden="1" customHeight="1" x14ac:dyDescent="0.3">
      <c r="A710" s="2" t="s">
        <v>45</v>
      </c>
      <c r="B710" s="2" t="s">
        <v>32</v>
      </c>
      <c r="C710" s="2" t="s">
        <v>1262</v>
      </c>
      <c r="D710" s="2" t="s">
        <v>32</v>
      </c>
      <c r="E710" s="2" t="s">
        <v>82</v>
      </c>
      <c r="F710" s="2" t="s">
        <v>814</v>
      </c>
      <c r="G710" s="2" t="s">
        <v>42</v>
      </c>
      <c r="H710" s="2" t="s">
        <v>42</v>
      </c>
      <c r="I710" s="2" t="s">
        <v>239</v>
      </c>
      <c r="J710" s="2" t="s">
        <v>71</v>
      </c>
      <c r="K710" s="2" t="s">
        <v>2400</v>
      </c>
      <c r="L710" s="2" t="s">
        <v>2368</v>
      </c>
      <c r="M710" s="2" t="s">
        <v>1703</v>
      </c>
      <c r="N710" s="2" t="s">
        <v>2401</v>
      </c>
      <c r="O710" s="2" t="s">
        <v>1746</v>
      </c>
      <c r="P710" s="2" t="s">
        <v>1706</v>
      </c>
      <c r="Q710" s="2">
        <v>50</v>
      </c>
      <c r="R710" s="2" t="b">
        <v>0</v>
      </c>
      <c r="S710" s="2">
        <v>0.85853658536585364</v>
      </c>
      <c r="T710" s="2">
        <v>0.85853658536585364</v>
      </c>
      <c r="U710" s="2">
        <v>0.85853658536585364</v>
      </c>
      <c r="V710" s="2" t="s">
        <v>63</v>
      </c>
      <c r="W710" s="2" t="s">
        <v>2584</v>
      </c>
      <c r="X710" s="2" t="s">
        <v>2585</v>
      </c>
      <c r="Y710" s="2" t="b">
        <v>1</v>
      </c>
      <c r="Z710" s="2" t="s">
        <v>67</v>
      </c>
      <c r="AA710" s="2">
        <v>3.8</v>
      </c>
      <c r="AB710" s="2" t="s">
        <v>49</v>
      </c>
    </row>
    <row r="711" spans="1:28" ht="15.75" hidden="1" customHeight="1" x14ac:dyDescent="0.3">
      <c r="A711" s="2" t="s">
        <v>45</v>
      </c>
      <c r="B711" s="2" t="s">
        <v>32</v>
      </c>
      <c r="C711" s="2" t="s">
        <v>1262</v>
      </c>
      <c r="D711" s="2" t="s">
        <v>32</v>
      </c>
      <c r="E711" s="2" t="s">
        <v>82</v>
      </c>
      <c r="F711" s="2" t="s">
        <v>814</v>
      </c>
      <c r="G711" s="2" t="s">
        <v>42</v>
      </c>
      <c r="H711" s="2" t="s">
        <v>42</v>
      </c>
      <c r="I711" s="2" t="s">
        <v>239</v>
      </c>
      <c r="J711" s="2" t="s">
        <v>71</v>
      </c>
      <c r="K711" s="2" t="s">
        <v>2404</v>
      </c>
      <c r="L711" s="2" t="s">
        <v>2368</v>
      </c>
      <c r="M711" s="2" t="s">
        <v>1703</v>
      </c>
      <c r="N711" s="2" t="s">
        <v>2405</v>
      </c>
      <c r="O711" s="2" t="s">
        <v>1751</v>
      </c>
      <c r="P711" s="2" t="s">
        <v>1706</v>
      </c>
      <c r="Q711" s="2">
        <v>51</v>
      </c>
      <c r="R711" s="2" t="b">
        <v>0</v>
      </c>
      <c r="S711" s="2">
        <v>0.7582938388625593</v>
      </c>
      <c r="T711" s="2">
        <v>0.78817733990147787</v>
      </c>
      <c r="U711" s="2">
        <v>0.73059360730593603</v>
      </c>
      <c r="V711" s="2" t="s">
        <v>63</v>
      </c>
      <c r="W711" s="2" t="s">
        <v>2586</v>
      </c>
      <c r="X711" s="2" t="s">
        <v>2587</v>
      </c>
      <c r="Y711" s="2" t="b">
        <v>1</v>
      </c>
      <c r="Z711" s="2" t="s">
        <v>67</v>
      </c>
      <c r="AA711" s="2">
        <v>2.2000000000000002</v>
      </c>
      <c r="AB711" s="2" t="s">
        <v>49</v>
      </c>
    </row>
    <row r="712" spans="1:28" ht="15.75" hidden="1" customHeight="1" x14ac:dyDescent="0.3">
      <c r="A712" s="2" t="s">
        <v>45</v>
      </c>
      <c r="B712" s="2" t="s">
        <v>32</v>
      </c>
      <c r="C712" s="2" t="s">
        <v>1262</v>
      </c>
      <c r="D712" s="2" t="s">
        <v>32</v>
      </c>
      <c r="E712" s="2" t="s">
        <v>82</v>
      </c>
      <c r="F712" s="2" t="s">
        <v>814</v>
      </c>
      <c r="G712" s="2" t="s">
        <v>42</v>
      </c>
      <c r="H712" s="2" t="s">
        <v>42</v>
      </c>
      <c r="I712" s="2" t="s">
        <v>239</v>
      </c>
      <c r="J712" s="2" t="s">
        <v>71</v>
      </c>
      <c r="K712" s="2" t="s">
        <v>2408</v>
      </c>
      <c r="L712" s="2" t="s">
        <v>2368</v>
      </c>
      <c r="M712" s="2" t="s">
        <v>1703</v>
      </c>
      <c r="N712" s="2" t="s">
        <v>2409</v>
      </c>
      <c r="O712" s="2" t="s">
        <v>1756</v>
      </c>
      <c r="P712" s="2" t="s">
        <v>1706</v>
      </c>
      <c r="Q712" s="2">
        <v>52</v>
      </c>
      <c r="R712" s="2" t="b">
        <v>0</v>
      </c>
      <c r="S712" s="2">
        <v>0.83538083538083541</v>
      </c>
      <c r="T712" s="2">
        <v>0.83333333333333337</v>
      </c>
      <c r="U712" s="2">
        <v>0.83743842364532017</v>
      </c>
      <c r="V712" s="2" t="s">
        <v>63</v>
      </c>
      <c r="W712" s="2" t="s">
        <v>2588</v>
      </c>
      <c r="X712" s="2" t="s">
        <v>2589</v>
      </c>
      <c r="Y712" s="2" t="b">
        <v>1</v>
      </c>
      <c r="Z712" s="2" t="s">
        <v>67</v>
      </c>
      <c r="AA712" s="2">
        <v>2.6</v>
      </c>
      <c r="AB712" s="2" t="s">
        <v>49</v>
      </c>
    </row>
    <row r="713" spans="1:28" ht="15.75" hidden="1" customHeight="1" x14ac:dyDescent="0.3">
      <c r="A713" s="2" t="s">
        <v>45</v>
      </c>
      <c r="B713" s="2" t="s">
        <v>32</v>
      </c>
      <c r="C713" s="2" t="s">
        <v>1262</v>
      </c>
      <c r="D713" s="2" t="s">
        <v>32</v>
      </c>
      <c r="E713" s="2" t="s">
        <v>82</v>
      </c>
      <c r="F713" s="2" t="s">
        <v>814</v>
      </c>
      <c r="G713" s="2" t="s">
        <v>42</v>
      </c>
      <c r="H713" s="2" t="s">
        <v>42</v>
      </c>
      <c r="I713" s="2" t="s">
        <v>239</v>
      </c>
      <c r="J713" s="2" t="s">
        <v>71</v>
      </c>
      <c r="K713" s="2" t="s">
        <v>2412</v>
      </c>
      <c r="L713" s="2" t="s">
        <v>2368</v>
      </c>
      <c r="M713" s="2" t="s">
        <v>1703</v>
      </c>
      <c r="N713" s="2" t="s">
        <v>2413</v>
      </c>
      <c r="O713" s="2" t="s">
        <v>1761</v>
      </c>
      <c r="P713" s="2" t="s">
        <v>1706</v>
      </c>
      <c r="Q713" s="2">
        <v>53</v>
      </c>
      <c r="R713" s="2" t="b">
        <v>0</v>
      </c>
      <c r="S713" s="2">
        <v>0.839002267573696</v>
      </c>
      <c r="T713" s="2">
        <v>0.84862385321100919</v>
      </c>
      <c r="U713" s="2">
        <v>0.82959641255605376</v>
      </c>
      <c r="V713" s="2" t="s">
        <v>63</v>
      </c>
      <c r="W713" s="2" t="s">
        <v>2590</v>
      </c>
      <c r="X713" s="2" t="s">
        <v>2591</v>
      </c>
      <c r="Y713" s="2" t="b">
        <v>1</v>
      </c>
      <c r="Z713" s="2" t="s">
        <v>67</v>
      </c>
      <c r="AA713" s="2">
        <v>2.1</v>
      </c>
      <c r="AB713" s="2" t="s">
        <v>49</v>
      </c>
    </row>
    <row r="714" spans="1:28" ht="15.75" hidden="1" customHeight="1" x14ac:dyDescent="0.3">
      <c r="A714" s="2" t="s">
        <v>45</v>
      </c>
      <c r="B714" s="2" t="s">
        <v>32</v>
      </c>
      <c r="C714" s="2" t="s">
        <v>1262</v>
      </c>
      <c r="D714" s="2" t="s">
        <v>32</v>
      </c>
      <c r="E714" s="2" t="s">
        <v>82</v>
      </c>
      <c r="F714" s="2" t="s">
        <v>814</v>
      </c>
      <c r="G714" s="2" t="s">
        <v>42</v>
      </c>
      <c r="H714" s="2" t="s">
        <v>42</v>
      </c>
      <c r="I714" s="2" t="s">
        <v>239</v>
      </c>
      <c r="J714" s="2" t="s">
        <v>71</v>
      </c>
      <c r="K714" s="2" t="s">
        <v>2416</v>
      </c>
      <c r="L714" s="2" t="s">
        <v>2368</v>
      </c>
      <c r="M714" s="2" t="s">
        <v>1703</v>
      </c>
      <c r="N714" s="2" t="s">
        <v>2417</v>
      </c>
      <c r="O714" s="2" t="s">
        <v>1766</v>
      </c>
      <c r="P714" s="2" t="s">
        <v>1706</v>
      </c>
      <c r="Q714" s="2">
        <v>54</v>
      </c>
      <c r="R714" s="2" t="b">
        <v>0</v>
      </c>
      <c r="S714" s="2">
        <v>0.85567010309278346</v>
      </c>
      <c r="T714" s="2">
        <v>0.87830687830687826</v>
      </c>
      <c r="U714" s="2">
        <v>0.83417085427135673</v>
      </c>
      <c r="V714" s="2" t="s">
        <v>63</v>
      </c>
      <c r="W714" s="2" t="s">
        <v>2592</v>
      </c>
      <c r="X714" s="2" t="s">
        <v>2593</v>
      </c>
      <c r="Y714" s="2" t="b">
        <v>1</v>
      </c>
      <c r="Z714" s="2" t="s">
        <v>67</v>
      </c>
      <c r="AA714" s="2">
        <v>2.2999999999999998</v>
      </c>
      <c r="AB714" s="2" t="s">
        <v>49</v>
      </c>
    </row>
    <row r="715" spans="1:28" ht="15.75" hidden="1" customHeight="1" x14ac:dyDescent="0.3">
      <c r="A715" s="2" t="s">
        <v>45</v>
      </c>
      <c r="B715" s="2" t="s">
        <v>32</v>
      </c>
      <c r="C715" s="2" t="s">
        <v>1262</v>
      </c>
      <c r="D715" s="2" t="s">
        <v>32</v>
      </c>
      <c r="E715" s="2" t="s">
        <v>82</v>
      </c>
      <c r="F715" s="2" t="s">
        <v>814</v>
      </c>
      <c r="G715" s="2" t="s">
        <v>42</v>
      </c>
      <c r="H715" s="2" t="s">
        <v>42</v>
      </c>
      <c r="I715" s="2" t="s">
        <v>239</v>
      </c>
      <c r="J715" s="2" t="s">
        <v>71</v>
      </c>
      <c r="K715" s="2" t="s">
        <v>2420</v>
      </c>
      <c r="L715" s="2" t="s">
        <v>2368</v>
      </c>
      <c r="M715" s="2" t="s">
        <v>1703</v>
      </c>
      <c r="N715" s="2" t="s">
        <v>2421</v>
      </c>
      <c r="O715" s="2" t="s">
        <v>1771</v>
      </c>
      <c r="P715" s="2" t="s">
        <v>1706</v>
      </c>
      <c r="Q715" s="2">
        <v>55</v>
      </c>
      <c r="R715" s="2" t="b">
        <v>0</v>
      </c>
      <c r="S715" s="2">
        <v>0.82324455205811131</v>
      </c>
      <c r="T715" s="2">
        <v>0.85858585858585856</v>
      </c>
      <c r="U715" s="2">
        <v>0.79069767441860461</v>
      </c>
      <c r="V715" s="2" t="s">
        <v>63</v>
      </c>
      <c r="W715" s="2" t="s">
        <v>2594</v>
      </c>
      <c r="X715" s="2" t="s">
        <v>2595</v>
      </c>
      <c r="Y715" s="2" t="b">
        <v>1</v>
      </c>
      <c r="Z715" s="2" t="s">
        <v>67</v>
      </c>
      <c r="AA715" s="2">
        <v>2.7</v>
      </c>
      <c r="AB715" s="2" t="s">
        <v>49</v>
      </c>
    </row>
    <row r="716" spans="1:28" ht="15.75" hidden="1" customHeight="1" x14ac:dyDescent="0.3">
      <c r="A716" s="2" t="s">
        <v>45</v>
      </c>
      <c r="B716" s="2" t="s">
        <v>32</v>
      </c>
      <c r="C716" s="2" t="s">
        <v>1262</v>
      </c>
      <c r="D716" s="2" t="s">
        <v>32</v>
      </c>
      <c r="E716" s="2" t="s">
        <v>82</v>
      </c>
      <c r="F716" s="2" t="s">
        <v>814</v>
      </c>
      <c r="G716" s="2" t="s">
        <v>42</v>
      </c>
      <c r="H716" s="2" t="s">
        <v>42</v>
      </c>
      <c r="I716" s="2" t="s">
        <v>239</v>
      </c>
      <c r="J716" s="2" t="s">
        <v>71</v>
      </c>
      <c r="K716" s="2" t="s">
        <v>2424</v>
      </c>
      <c r="L716" s="2" t="s">
        <v>2368</v>
      </c>
      <c r="M716" s="2" t="s">
        <v>1703</v>
      </c>
      <c r="N716" s="2" t="s">
        <v>2425</v>
      </c>
      <c r="O716" s="2" t="s">
        <v>1776</v>
      </c>
      <c r="P716" s="2" t="s">
        <v>1706</v>
      </c>
      <c r="Q716" s="2">
        <v>56</v>
      </c>
      <c r="R716" s="2" t="b">
        <v>0</v>
      </c>
      <c r="S716" s="2">
        <v>0.815347721822542</v>
      </c>
      <c r="T716" s="2">
        <v>0.83743842364532017</v>
      </c>
      <c r="U716" s="2">
        <v>0.79439252336448596</v>
      </c>
      <c r="V716" s="2" t="s">
        <v>63</v>
      </c>
      <c r="W716" s="2" t="s">
        <v>2596</v>
      </c>
      <c r="X716" s="2" t="s">
        <v>2597</v>
      </c>
      <c r="Y716" s="2" t="b">
        <v>1</v>
      </c>
      <c r="Z716" s="2" t="s">
        <v>67</v>
      </c>
      <c r="AA716" s="2">
        <v>3.4</v>
      </c>
      <c r="AB716" s="2" t="s">
        <v>49</v>
      </c>
    </row>
    <row r="717" spans="1:28" ht="15.75" hidden="1" customHeight="1" x14ac:dyDescent="0.3">
      <c r="A717" s="2" t="s">
        <v>45</v>
      </c>
      <c r="B717" s="2" t="s">
        <v>32</v>
      </c>
      <c r="C717" s="2" t="s">
        <v>1262</v>
      </c>
      <c r="D717" s="2" t="s">
        <v>32</v>
      </c>
      <c r="E717" s="2" t="s">
        <v>82</v>
      </c>
      <c r="F717" s="2" t="s">
        <v>814</v>
      </c>
      <c r="G717" s="2" t="s">
        <v>42</v>
      </c>
      <c r="H717" s="2" t="s">
        <v>42</v>
      </c>
      <c r="I717" s="2" t="s">
        <v>239</v>
      </c>
      <c r="J717" s="2" t="s">
        <v>71</v>
      </c>
      <c r="K717" s="2" t="s">
        <v>2428</v>
      </c>
      <c r="L717" s="2" t="s">
        <v>2368</v>
      </c>
      <c r="M717" s="2" t="s">
        <v>1703</v>
      </c>
      <c r="N717" s="2" t="s">
        <v>2429</v>
      </c>
      <c r="O717" s="2" t="s">
        <v>1781</v>
      </c>
      <c r="P717" s="2" t="s">
        <v>1706</v>
      </c>
      <c r="Q717" s="2">
        <v>57</v>
      </c>
      <c r="R717" s="2" t="b">
        <v>0</v>
      </c>
      <c r="S717" s="2">
        <v>0.845605700712589</v>
      </c>
      <c r="T717" s="2">
        <v>0.839622641509434</v>
      </c>
      <c r="U717" s="2">
        <v>0.85167464114832536</v>
      </c>
      <c r="V717" s="2" t="s">
        <v>63</v>
      </c>
      <c r="W717" s="2" t="s">
        <v>2598</v>
      </c>
      <c r="X717" s="2" t="s">
        <v>2599</v>
      </c>
      <c r="Y717" s="2" t="b">
        <v>1</v>
      </c>
      <c r="Z717" s="2" t="s">
        <v>67</v>
      </c>
      <c r="AA717" s="2">
        <v>2.6</v>
      </c>
      <c r="AB717" s="2" t="s">
        <v>49</v>
      </c>
    </row>
    <row r="718" spans="1:28" ht="15.75" hidden="1" customHeight="1" x14ac:dyDescent="0.3">
      <c r="A718" s="2" t="s">
        <v>45</v>
      </c>
      <c r="B718" s="2" t="s">
        <v>32</v>
      </c>
      <c r="C718" s="2" t="s">
        <v>1262</v>
      </c>
      <c r="D718" s="2" t="s">
        <v>32</v>
      </c>
      <c r="E718" s="2" t="s">
        <v>82</v>
      </c>
      <c r="F718" s="2" t="s">
        <v>814</v>
      </c>
      <c r="G718" s="2" t="s">
        <v>42</v>
      </c>
      <c r="H718" s="2" t="s">
        <v>42</v>
      </c>
      <c r="I718" s="2" t="s">
        <v>239</v>
      </c>
      <c r="J718" s="2" t="s">
        <v>71</v>
      </c>
      <c r="K718" s="2" t="s">
        <v>2432</v>
      </c>
      <c r="L718" s="2" t="s">
        <v>2368</v>
      </c>
      <c r="M718" s="2" t="s">
        <v>1703</v>
      </c>
      <c r="N718" s="2" t="s">
        <v>2433</v>
      </c>
      <c r="O718" s="2" t="s">
        <v>1786</v>
      </c>
      <c r="P718" s="2" t="s">
        <v>1706</v>
      </c>
      <c r="Q718" s="2">
        <v>58</v>
      </c>
      <c r="R718" s="2" t="b">
        <v>0</v>
      </c>
      <c r="S718" s="2">
        <v>0.82323232323232332</v>
      </c>
      <c r="T718" s="2">
        <v>0.84895833333333337</v>
      </c>
      <c r="U718" s="2">
        <v>0.7990196078431373</v>
      </c>
      <c r="V718" s="2" t="s">
        <v>63</v>
      </c>
      <c r="W718" s="2" t="s">
        <v>2600</v>
      </c>
      <c r="X718" s="2" t="s">
        <v>2601</v>
      </c>
      <c r="Y718" s="2" t="b">
        <v>1</v>
      </c>
      <c r="Z718" s="2" t="s">
        <v>67</v>
      </c>
      <c r="AA718" s="2">
        <v>2.1</v>
      </c>
      <c r="AB718" s="2" t="s">
        <v>49</v>
      </c>
    </row>
    <row r="719" spans="1:28" ht="15.75" hidden="1" customHeight="1" x14ac:dyDescent="0.3">
      <c r="A719" s="2" t="s">
        <v>45</v>
      </c>
      <c r="B719" s="2" t="s">
        <v>32</v>
      </c>
      <c r="C719" s="2" t="s">
        <v>1262</v>
      </c>
      <c r="D719" s="2" t="s">
        <v>32</v>
      </c>
      <c r="E719" s="2" t="s">
        <v>82</v>
      </c>
      <c r="F719" s="2" t="s">
        <v>814</v>
      </c>
      <c r="G719" s="2" t="s">
        <v>42</v>
      </c>
      <c r="H719" s="2" t="s">
        <v>42</v>
      </c>
      <c r="I719" s="2" t="s">
        <v>239</v>
      </c>
      <c r="J719" s="2" t="s">
        <v>71</v>
      </c>
      <c r="K719" s="2" t="s">
        <v>2436</v>
      </c>
      <c r="L719" s="2" t="s">
        <v>2368</v>
      </c>
      <c r="M719" s="2" t="s">
        <v>1703</v>
      </c>
      <c r="N719" s="2" t="s">
        <v>2437</v>
      </c>
      <c r="O719" s="2" t="s">
        <v>1791</v>
      </c>
      <c r="P719" s="2" t="s">
        <v>1706</v>
      </c>
      <c r="Q719" s="2">
        <v>59</v>
      </c>
      <c r="R719" s="2" t="b">
        <v>0</v>
      </c>
      <c r="S719" s="2">
        <v>0.80798004987531169</v>
      </c>
      <c r="T719" s="2">
        <v>0.8571428571428571</v>
      </c>
      <c r="U719" s="2">
        <v>0.76415094339622647</v>
      </c>
      <c r="V719" s="2" t="s">
        <v>63</v>
      </c>
      <c r="W719" s="2" t="s">
        <v>2602</v>
      </c>
      <c r="X719" s="2" t="s">
        <v>2603</v>
      </c>
      <c r="Y719" s="2" t="b">
        <v>1</v>
      </c>
      <c r="Z719" s="2" t="s">
        <v>67</v>
      </c>
      <c r="AA719" s="2">
        <v>2.6</v>
      </c>
      <c r="AB719" s="2" t="s">
        <v>49</v>
      </c>
    </row>
    <row r="720" spans="1:28" ht="15.75" hidden="1" customHeight="1" x14ac:dyDescent="0.3">
      <c r="A720" s="2" t="s">
        <v>45</v>
      </c>
      <c r="B720" s="2" t="s">
        <v>32</v>
      </c>
      <c r="C720" s="2" t="s">
        <v>1262</v>
      </c>
      <c r="D720" s="2" t="s">
        <v>32</v>
      </c>
      <c r="E720" s="2" t="s">
        <v>82</v>
      </c>
      <c r="F720" s="2" t="s">
        <v>814</v>
      </c>
      <c r="G720" s="2" t="s">
        <v>42</v>
      </c>
      <c r="H720" s="2" t="s">
        <v>42</v>
      </c>
      <c r="I720" s="2" t="s">
        <v>239</v>
      </c>
      <c r="J720" s="2" t="s">
        <v>71</v>
      </c>
      <c r="K720" s="2" t="s">
        <v>2440</v>
      </c>
      <c r="L720" s="2" t="s">
        <v>2368</v>
      </c>
      <c r="M720" s="2" t="s">
        <v>1703</v>
      </c>
      <c r="N720" s="2" t="s">
        <v>2441</v>
      </c>
      <c r="O720" s="2" t="s">
        <v>1796</v>
      </c>
      <c r="P720" s="2" t="s">
        <v>1706</v>
      </c>
      <c r="Q720" s="2">
        <v>60</v>
      </c>
      <c r="R720" s="2" t="b">
        <v>0</v>
      </c>
      <c r="S720" s="2">
        <v>0.81052631578947376</v>
      </c>
      <c r="T720" s="2">
        <v>0.83695652173913049</v>
      </c>
      <c r="U720" s="2">
        <v>0.7857142857142857</v>
      </c>
      <c r="V720" s="2" t="s">
        <v>63</v>
      </c>
      <c r="W720" s="2" t="s">
        <v>2604</v>
      </c>
      <c r="X720" s="2" t="s">
        <v>2605</v>
      </c>
      <c r="Y720" s="2" t="b">
        <v>1</v>
      </c>
      <c r="Z720" s="2" t="s">
        <v>67</v>
      </c>
      <c r="AA720" s="2">
        <v>2.8</v>
      </c>
      <c r="AB720" s="2" t="s">
        <v>49</v>
      </c>
    </row>
    <row r="721" spans="1:28" ht="15.75" hidden="1" customHeight="1" x14ac:dyDescent="0.3">
      <c r="A721" s="2" t="s">
        <v>45</v>
      </c>
      <c r="B721" s="2" t="s">
        <v>32</v>
      </c>
      <c r="C721" s="2" t="s">
        <v>1262</v>
      </c>
      <c r="D721" s="2" t="s">
        <v>32</v>
      </c>
      <c r="E721" s="2" t="s">
        <v>82</v>
      </c>
      <c r="F721" s="2" t="s">
        <v>814</v>
      </c>
      <c r="G721" s="2" t="s">
        <v>42</v>
      </c>
      <c r="H721" s="2" t="s">
        <v>42</v>
      </c>
      <c r="I721" s="2" t="s">
        <v>239</v>
      </c>
      <c r="J721" s="2" t="s">
        <v>71</v>
      </c>
      <c r="K721" s="2" t="s">
        <v>2444</v>
      </c>
      <c r="L721" s="2" t="s">
        <v>2368</v>
      </c>
      <c r="M721" s="2" t="s">
        <v>1703</v>
      </c>
      <c r="N721" s="2" t="s">
        <v>2445</v>
      </c>
      <c r="O721" s="2" t="s">
        <v>1801</v>
      </c>
      <c r="P721" s="2" t="s">
        <v>1706</v>
      </c>
      <c r="Q721" s="2">
        <v>61</v>
      </c>
      <c r="R721" s="2" t="b">
        <v>0</v>
      </c>
      <c r="S721" s="2">
        <v>0.78987341772151898</v>
      </c>
      <c r="T721" s="2">
        <v>0.8571428571428571</v>
      </c>
      <c r="U721" s="2">
        <v>0.73239436619718312</v>
      </c>
      <c r="V721" s="2" t="s">
        <v>63</v>
      </c>
      <c r="W721" s="2" t="s">
        <v>2606</v>
      </c>
      <c r="X721" s="2" t="s">
        <v>2607</v>
      </c>
      <c r="Y721" s="2" t="b">
        <v>1</v>
      </c>
      <c r="Z721" s="2" t="s">
        <v>67</v>
      </c>
      <c r="AA721" s="2">
        <v>3.1</v>
      </c>
      <c r="AB721" s="2" t="s">
        <v>49</v>
      </c>
    </row>
    <row r="722" spans="1:28" ht="15.75" customHeight="1" x14ac:dyDescent="0.3"/>
    <row r="723" spans="1:28" ht="15.75" customHeight="1" x14ac:dyDescent="0.3"/>
    <row r="724" spans="1:28" ht="15.75" customHeight="1" x14ac:dyDescent="0.3"/>
    <row r="725" spans="1:28" ht="15.75" customHeight="1" x14ac:dyDescent="0.3"/>
    <row r="726" spans="1:28" ht="15.75" customHeight="1" x14ac:dyDescent="0.3"/>
    <row r="727" spans="1:28" ht="15.75" customHeight="1" x14ac:dyDescent="0.3"/>
    <row r="728" spans="1:28" ht="15.75" customHeight="1" x14ac:dyDescent="0.3"/>
    <row r="729" spans="1:28" ht="15.75" customHeight="1" x14ac:dyDescent="0.3"/>
    <row r="730" spans="1:28" ht="15.75" customHeight="1" x14ac:dyDescent="0.3"/>
    <row r="731" spans="1:28" ht="15.75" customHeight="1" x14ac:dyDescent="0.3"/>
    <row r="732" spans="1:28" ht="15.75" customHeight="1" x14ac:dyDescent="0.3"/>
    <row r="733" spans="1:28" ht="15.75" customHeight="1" x14ac:dyDescent="0.3"/>
    <row r="734" spans="1:28" ht="15.75" customHeight="1" x14ac:dyDescent="0.3"/>
    <row r="735" spans="1:28" ht="15.75" customHeight="1" x14ac:dyDescent="0.3"/>
    <row r="736" spans="1:28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AB721" xr:uid="{00000000-0001-0000-0200-000000000000}">
    <filterColumn colId="0">
      <filters>
        <filter val="nemo_dictabert"/>
      </filters>
    </filterColumn>
    <filterColumn colId="4">
      <filters>
        <filter val="exp10_cascade"/>
      </filters>
    </filterColumn>
    <filterColumn colId="9">
      <filters>
        <filter val="Baseline (simple random split)"/>
      </filters>
    </filterColumn>
    <filterColumn colId="11">
      <filters>
        <filter val="nemo_dictabert__small_300__before_exp01_baseline"/>
      </filters>
    </filterColumn>
  </autoFilter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8" ht="14.4" x14ac:dyDescent="0.3">
      <c r="A1" s="1" t="s">
        <v>0</v>
      </c>
      <c r="B1" s="1" t="s">
        <v>7</v>
      </c>
      <c r="C1" s="1" t="s">
        <v>4</v>
      </c>
      <c r="D1" s="1" t="s">
        <v>17</v>
      </c>
      <c r="E1" s="1" t="s">
        <v>27</v>
      </c>
      <c r="F1" s="1" t="s">
        <v>33</v>
      </c>
      <c r="G1" s="1" t="s">
        <v>36</v>
      </c>
      <c r="H1" s="1" t="s">
        <v>40</v>
      </c>
    </row>
    <row r="2" spans="1:8" ht="14.4" x14ac:dyDescent="0.3">
      <c r="A2" s="2" t="s">
        <v>45</v>
      </c>
      <c r="B2" s="2" t="s">
        <v>42</v>
      </c>
      <c r="C2" s="2" t="s">
        <v>39</v>
      </c>
      <c r="D2" s="2">
        <v>42</v>
      </c>
      <c r="E2" s="2" t="s">
        <v>49</v>
      </c>
      <c r="F2" s="2">
        <v>0.64444444444444438</v>
      </c>
      <c r="G2" s="2">
        <v>0.65861027190332322</v>
      </c>
      <c r="H2" s="2">
        <v>1.416582745887884E-2</v>
      </c>
    </row>
    <row r="3" spans="1:8" ht="14.4" x14ac:dyDescent="0.3">
      <c r="A3" s="2" t="s">
        <v>45</v>
      </c>
      <c r="B3" s="2" t="s">
        <v>42</v>
      </c>
      <c r="C3" s="2" t="s">
        <v>39</v>
      </c>
      <c r="D3" s="2">
        <v>42</v>
      </c>
      <c r="E3" s="2" t="s">
        <v>74</v>
      </c>
      <c r="F3" s="2">
        <v>0.63436123348017626</v>
      </c>
      <c r="G3" s="2">
        <v>0.57798165137614677</v>
      </c>
      <c r="H3" s="2">
        <v>-5.6379582104029491E-2</v>
      </c>
    </row>
    <row r="4" spans="1:8" ht="14.4" x14ac:dyDescent="0.3">
      <c r="A4" s="2" t="s">
        <v>45</v>
      </c>
      <c r="B4" s="2" t="s">
        <v>42</v>
      </c>
      <c r="C4" s="2" t="s">
        <v>39</v>
      </c>
      <c r="D4" s="2">
        <v>43</v>
      </c>
      <c r="E4" s="2" t="s">
        <v>49</v>
      </c>
      <c r="F4" s="2">
        <v>0.63384615384615384</v>
      </c>
      <c r="G4" s="2">
        <v>0.60702875399361023</v>
      </c>
      <c r="H4" s="2">
        <v>-2.6817399852543611E-2</v>
      </c>
    </row>
    <row r="5" spans="1:8" ht="14.4" x14ac:dyDescent="0.3">
      <c r="A5" s="2" t="s">
        <v>45</v>
      </c>
      <c r="B5" s="2" t="s">
        <v>42</v>
      </c>
      <c r="C5" s="2" t="s">
        <v>39</v>
      </c>
      <c r="D5" s="2">
        <v>43</v>
      </c>
      <c r="E5" s="2" t="s">
        <v>74</v>
      </c>
      <c r="F5" s="2">
        <v>0.61794019933554822</v>
      </c>
      <c r="G5" s="2">
        <v>0.58745874587458746</v>
      </c>
      <c r="H5" s="2">
        <v>-3.0481453460960761E-2</v>
      </c>
    </row>
    <row r="6" spans="1:8" ht="14.4" x14ac:dyDescent="0.3">
      <c r="A6" s="2" t="s">
        <v>45</v>
      </c>
      <c r="B6" s="2" t="s">
        <v>42</v>
      </c>
      <c r="C6" s="2" t="s">
        <v>39</v>
      </c>
      <c r="D6" s="2">
        <v>44</v>
      </c>
      <c r="E6" s="2" t="s">
        <v>49</v>
      </c>
      <c r="F6" s="2">
        <v>0.6987951807228916</v>
      </c>
      <c r="G6" s="2">
        <v>0.64417177914110424</v>
      </c>
      <c r="H6" s="2">
        <v>-5.4623401581787363E-2</v>
      </c>
    </row>
    <row r="7" spans="1:8" ht="14.4" x14ac:dyDescent="0.3">
      <c r="A7" s="2" t="s">
        <v>45</v>
      </c>
      <c r="B7" s="2" t="s">
        <v>42</v>
      </c>
      <c r="C7" s="2" t="s">
        <v>39</v>
      </c>
      <c r="D7" s="2">
        <v>44</v>
      </c>
      <c r="E7" s="2" t="s">
        <v>74</v>
      </c>
      <c r="F7" s="2">
        <v>0.66956521739130437</v>
      </c>
      <c r="G7" s="2">
        <v>0.62702702702702706</v>
      </c>
      <c r="H7" s="2">
        <v>-4.2538190364277313E-2</v>
      </c>
    </row>
    <row r="8" spans="1:8" ht="14.4" x14ac:dyDescent="0.3">
      <c r="A8" s="2" t="s">
        <v>45</v>
      </c>
      <c r="B8" s="2" t="s">
        <v>42</v>
      </c>
      <c r="C8" s="2" t="s">
        <v>39</v>
      </c>
      <c r="D8" s="2">
        <v>45</v>
      </c>
      <c r="E8" s="2" t="s">
        <v>49</v>
      </c>
      <c r="F8" s="2">
        <v>0.64077669902912626</v>
      </c>
      <c r="G8" s="2">
        <v>0.65256797583081561</v>
      </c>
      <c r="H8" s="2">
        <v>1.179127680168934E-2</v>
      </c>
    </row>
    <row r="9" spans="1:8" ht="14.4" x14ac:dyDescent="0.3">
      <c r="A9" s="2" t="s">
        <v>45</v>
      </c>
      <c r="B9" s="2" t="s">
        <v>42</v>
      </c>
      <c r="C9" s="2" t="s">
        <v>39</v>
      </c>
      <c r="D9" s="2">
        <v>45</v>
      </c>
      <c r="E9" s="2" t="s">
        <v>74</v>
      </c>
      <c r="F9" s="2">
        <v>0.625</v>
      </c>
      <c r="G9" s="2">
        <v>0.60897435897435903</v>
      </c>
      <c r="H9" s="2">
        <v>-1.6025641025640969E-2</v>
      </c>
    </row>
    <row r="10" spans="1:8" ht="14.4" x14ac:dyDescent="0.3">
      <c r="A10" s="2" t="s">
        <v>45</v>
      </c>
      <c r="B10" s="2" t="s">
        <v>42</v>
      </c>
      <c r="C10" s="2" t="s">
        <v>39</v>
      </c>
      <c r="D10" s="2">
        <v>46</v>
      </c>
      <c r="E10" s="2" t="s">
        <v>49</v>
      </c>
      <c r="F10" s="2">
        <v>0.61111111111111105</v>
      </c>
      <c r="G10" s="2">
        <v>0.68047337278106512</v>
      </c>
      <c r="H10" s="2">
        <v>6.9362261669954073E-2</v>
      </c>
    </row>
    <row r="11" spans="1:8" ht="14.4" x14ac:dyDescent="0.3">
      <c r="A11" s="2" t="s">
        <v>45</v>
      </c>
      <c r="B11" s="2" t="s">
        <v>42</v>
      </c>
      <c r="C11" s="2" t="s">
        <v>39</v>
      </c>
      <c r="D11" s="2">
        <v>46</v>
      </c>
      <c r="E11" s="2" t="s">
        <v>74</v>
      </c>
      <c r="F11" s="2">
        <v>0.6006600660066006</v>
      </c>
      <c r="G11" s="2">
        <v>0.59555555555555562</v>
      </c>
      <c r="H11" s="2">
        <v>-5.1045104510449857E-3</v>
      </c>
    </row>
    <row r="12" spans="1:8" ht="14.4" x14ac:dyDescent="0.3">
      <c r="A12" s="2" t="s">
        <v>45</v>
      </c>
      <c r="B12" s="2" t="s">
        <v>42</v>
      </c>
      <c r="C12" s="2" t="s">
        <v>39</v>
      </c>
      <c r="D12" s="2">
        <v>47</v>
      </c>
      <c r="E12" s="2" t="s">
        <v>49</v>
      </c>
      <c r="F12" s="2">
        <v>0.65895953757225434</v>
      </c>
      <c r="G12" s="2">
        <v>0.6646153846153845</v>
      </c>
      <c r="H12" s="2">
        <v>5.6558470431301577E-3</v>
      </c>
    </row>
    <row r="13" spans="1:8" ht="14.4" x14ac:dyDescent="0.3">
      <c r="A13" s="2" t="s">
        <v>45</v>
      </c>
      <c r="B13" s="2" t="s">
        <v>42</v>
      </c>
      <c r="C13" s="2" t="s">
        <v>39</v>
      </c>
      <c r="D13" s="2">
        <v>47</v>
      </c>
      <c r="E13" s="2" t="s">
        <v>74</v>
      </c>
      <c r="F13" s="2">
        <v>0.53703703703703709</v>
      </c>
      <c r="G13" s="2">
        <v>0.60550458715596334</v>
      </c>
      <c r="H13" s="2">
        <v>6.8467550118926246E-2</v>
      </c>
    </row>
    <row r="14" spans="1:8" ht="14.4" x14ac:dyDescent="0.3">
      <c r="A14" s="2" t="s">
        <v>45</v>
      </c>
      <c r="B14" s="2" t="s">
        <v>42</v>
      </c>
      <c r="C14" s="2" t="s">
        <v>39</v>
      </c>
      <c r="D14" s="2">
        <v>48</v>
      </c>
      <c r="E14" s="2" t="s">
        <v>49</v>
      </c>
      <c r="F14" s="2">
        <v>0.65560165975103735</v>
      </c>
      <c r="G14" s="2">
        <v>0.6352941176470589</v>
      </c>
      <c r="H14" s="2">
        <v>-2.0307542103978449E-2</v>
      </c>
    </row>
    <row r="15" spans="1:8" ht="14.4" x14ac:dyDescent="0.3">
      <c r="A15" s="2" t="s">
        <v>45</v>
      </c>
      <c r="B15" s="2" t="s">
        <v>42</v>
      </c>
      <c r="C15" s="2" t="s">
        <v>39</v>
      </c>
      <c r="D15" s="2">
        <v>48</v>
      </c>
      <c r="E15" s="2" t="s">
        <v>74</v>
      </c>
      <c r="F15" s="2">
        <v>0.64900662251655639</v>
      </c>
      <c r="G15" s="2">
        <v>0.57731958762886604</v>
      </c>
      <c r="H15" s="2">
        <v>-7.1687034887690348E-2</v>
      </c>
    </row>
    <row r="16" spans="1:8" ht="14.4" x14ac:dyDescent="0.3">
      <c r="A16" s="2" t="s">
        <v>45</v>
      </c>
      <c r="B16" s="2" t="s">
        <v>42</v>
      </c>
      <c r="C16" s="2" t="s">
        <v>39</v>
      </c>
      <c r="D16" s="2">
        <v>49</v>
      </c>
      <c r="E16" s="2" t="s">
        <v>49</v>
      </c>
      <c r="F16" s="2">
        <v>0.64285714285714279</v>
      </c>
      <c r="G16" s="2">
        <v>0.63829787234042556</v>
      </c>
      <c r="H16" s="2">
        <v>-4.5592705167172287E-3</v>
      </c>
    </row>
    <row r="17" spans="1:8" ht="14.4" x14ac:dyDescent="0.3">
      <c r="A17" s="2" t="s">
        <v>45</v>
      </c>
      <c r="B17" s="2" t="s">
        <v>42</v>
      </c>
      <c r="C17" s="2" t="s">
        <v>39</v>
      </c>
      <c r="D17" s="2">
        <v>49</v>
      </c>
      <c r="E17" s="2" t="s">
        <v>74</v>
      </c>
      <c r="F17" s="2">
        <v>0.58193979933110374</v>
      </c>
      <c r="G17" s="2">
        <v>0.59534883720930232</v>
      </c>
      <c r="H17" s="2">
        <v>1.340903787819858E-2</v>
      </c>
    </row>
    <row r="18" spans="1:8" ht="14.4" x14ac:dyDescent="0.3">
      <c r="A18" s="2" t="s">
        <v>45</v>
      </c>
      <c r="B18" s="2" t="s">
        <v>42</v>
      </c>
      <c r="C18" s="2" t="s">
        <v>39</v>
      </c>
      <c r="D18" s="2">
        <v>50</v>
      </c>
      <c r="E18" s="2" t="s">
        <v>49</v>
      </c>
      <c r="F18" s="2">
        <v>0.66874999999999996</v>
      </c>
      <c r="G18" s="2">
        <v>0.67080745341614911</v>
      </c>
      <c r="H18" s="2">
        <v>2.057453416149158E-3</v>
      </c>
    </row>
    <row r="19" spans="1:8" ht="14.4" x14ac:dyDescent="0.3">
      <c r="A19" s="2" t="s">
        <v>45</v>
      </c>
      <c r="B19" s="2" t="s">
        <v>42</v>
      </c>
      <c r="C19" s="2" t="s">
        <v>39</v>
      </c>
      <c r="D19" s="2">
        <v>50</v>
      </c>
      <c r="E19" s="2" t="s">
        <v>74</v>
      </c>
      <c r="F19" s="2">
        <v>0.65084745762711871</v>
      </c>
      <c r="G19" s="2">
        <v>0.632996632996633</v>
      </c>
      <c r="H19" s="2">
        <v>-1.785082463048571E-2</v>
      </c>
    </row>
    <row r="20" spans="1:8" ht="14.4" x14ac:dyDescent="0.3">
      <c r="A20" s="2" t="s">
        <v>45</v>
      </c>
      <c r="B20" s="2" t="s">
        <v>42</v>
      </c>
      <c r="C20" s="2" t="s">
        <v>39</v>
      </c>
      <c r="D20" s="2">
        <v>51</v>
      </c>
      <c r="E20" s="2" t="s">
        <v>49</v>
      </c>
      <c r="F20" s="2">
        <v>0.65895953757225434</v>
      </c>
      <c r="G20" s="2">
        <v>0.63063063063063063</v>
      </c>
      <c r="H20" s="2">
        <v>-2.832890694162371E-2</v>
      </c>
    </row>
    <row r="21" spans="1:8" ht="15.75" customHeight="1" x14ac:dyDescent="0.3">
      <c r="A21" s="2" t="s">
        <v>45</v>
      </c>
      <c r="B21" s="2" t="s">
        <v>42</v>
      </c>
      <c r="C21" s="2" t="s">
        <v>39</v>
      </c>
      <c r="D21" s="2">
        <v>51</v>
      </c>
      <c r="E21" s="2" t="s">
        <v>74</v>
      </c>
      <c r="F21" s="2">
        <v>0.64174454828660432</v>
      </c>
      <c r="G21" s="2">
        <v>0.55862068965517253</v>
      </c>
      <c r="H21" s="2">
        <v>-8.3123858631431791E-2</v>
      </c>
    </row>
    <row r="22" spans="1:8" ht="15.75" customHeight="1" x14ac:dyDescent="0.3">
      <c r="A22" s="2" t="s">
        <v>45</v>
      </c>
      <c r="B22" s="2" t="s">
        <v>42</v>
      </c>
      <c r="C22" s="2" t="s">
        <v>39</v>
      </c>
      <c r="D22" s="2">
        <v>52</v>
      </c>
      <c r="E22" s="2" t="s">
        <v>49</v>
      </c>
      <c r="F22" s="2">
        <v>0.60119047619047616</v>
      </c>
      <c r="G22" s="2">
        <v>0.63322884012539182</v>
      </c>
      <c r="H22" s="2">
        <v>3.2038363934915659E-2</v>
      </c>
    </row>
    <row r="23" spans="1:8" ht="15.75" customHeight="1" x14ac:dyDescent="0.3">
      <c r="A23" s="2" t="s">
        <v>45</v>
      </c>
      <c r="B23" s="2" t="s">
        <v>42</v>
      </c>
      <c r="C23" s="2" t="s">
        <v>39</v>
      </c>
      <c r="D23" s="2">
        <v>52</v>
      </c>
      <c r="E23" s="2" t="s">
        <v>74</v>
      </c>
      <c r="F23" s="2">
        <v>0.66211604095563137</v>
      </c>
      <c r="G23" s="2">
        <v>0.61971830985915499</v>
      </c>
      <c r="H23" s="2">
        <v>-4.2397731096476383E-2</v>
      </c>
    </row>
    <row r="24" spans="1:8" ht="15.75" customHeight="1" x14ac:dyDescent="0.3">
      <c r="A24" s="2" t="s">
        <v>45</v>
      </c>
      <c r="B24" s="2" t="s">
        <v>42</v>
      </c>
      <c r="C24" s="2" t="s">
        <v>39</v>
      </c>
      <c r="D24" s="2">
        <v>53</v>
      </c>
      <c r="E24" s="2" t="s">
        <v>49</v>
      </c>
      <c r="F24" s="2">
        <v>0.65420560747663548</v>
      </c>
      <c r="G24" s="2">
        <v>0.65517241379310354</v>
      </c>
      <c r="H24" s="2">
        <v>9.668063164680607E-4</v>
      </c>
    </row>
    <row r="25" spans="1:8" ht="15.75" customHeight="1" x14ac:dyDescent="0.3">
      <c r="A25" s="2" t="s">
        <v>45</v>
      </c>
      <c r="B25" s="2" t="s">
        <v>42</v>
      </c>
      <c r="C25" s="2" t="s">
        <v>39</v>
      </c>
      <c r="D25" s="2">
        <v>53</v>
      </c>
      <c r="E25" s="2" t="s">
        <v>74</v>
      </c>
      <c r="F25" s="2">
        <v>0.5714285714285714</v>
      </c>
      <c r="G25" s="2">
        <v>0.6216216216216216</v>
      </c>
      <c r="H25" s="2">
        <v>5.0193050193050197E-2</v>
      </c>
    </row>
    <row r="26" spans="1:8" ht="15.75" customHeight="1" x14ac:dyDescent="0.3">
      <c r="A26" s="2" t="s">
        <v>45</v>
      </c>
      <c r="B26" s="2" t="s">
        <v>42</v>
      </c>
      <c r="C26" s="2" t="s">
        <v>39</v>
      </c>
      <c r="D26" s="2">
        <v>54</v>
      </c>
      <c r="E26" s="2" t="s">
        <v>49</v>
      </c>
      <c r="F26" s="2">
        <v>0.6271186440677966</v>
      </c>
      <c r="G26" s="2">
        <v>0.660377358490566</v>
      </c>
      <c r="H26" s="2">
        <v>3.3258714422769398E-2</v>
      </c>
    </row>
    <row r="27" spans="1:8" ht="15.75" customHeight="1" x14ac:dyDescent="0.3">
      <c r="A27" s="2" t="s">
        <v>45</v>
      </c>
      <c r="B27" s="2" t="s">
        <v>42</v>
      </c>
      <c r="C27" s="2" t="s">
        <v>39</v>
      </c>
      <c r="D27" s="2">
        <v>54</v>
      </c>
      <c r="E27" s="2" t="s">
        <v>74</v>
      </c>
      <c r="F27" s="2">
        <v>0.61538461538461542</v>
      </c>
      <c r="G27" s="2">
        <v>0.586046511627907</v>
      </c>
      <c r="H27" s="2">
        <v>-2.9338103756708419E-2</v>
      </c>
    </row>
    <row r="28" spans="1:8" ht="15.75" customHeight="1" x14ac:dyDescent="0.3">
      <c r="A28" s="2" t="s">
        <v>45</v>
      </c>
      <c r="B28" s="2" t="s">
        <v>42</v>
      </c>
      <c r="C28" s="2" t="s">
        <v>39</v>
      </c>
      <c r="D28" s="2">
        <v>55</v>
      </c>
      <c r="E28" s="2" t="s">
        <v>49</v>
      </c>
      <c r="F28" s="2">
        <v>0.62352941176470589</v>
      </c>
      <c r="G28" s="2">
        <v>0.65443425076452599</v>
      </c>
      <c r="H28" s="2">
        <v>3.0904838999820109E-2</v>
      </c>
    </row>
    <row r="29" spans="1:8" ht="15.75" customHeight="1" x14ac:dyDescent="0.3">
      <c r="A29" s="2" t="s">
        <v>45</v>
      </c>
      <c r="B29" s="2" t="s">
        <v>42</v>
      </c>
      <c r="C29" s="2" t="s">
        <v>39</v>
      </c>
      <c r="D29" s="2">
        <v>55</v>
      </c>
      <c r="E29" s="2" t="s">
        <v>74</v>
      </c>
      <c r="F29" s="2">
        <v>0.56730769230769229</v>
      </c>
      <c r="G29" s="2">
        <v>0.61963190184049077</v>
      </c>
      <c r="H29" s="2">
        <v>5.2324209532798482E-2</v>
      </c>
    </row>
    <row r="30" spans="1:8" ht="15.75" customHeight="1" x14ac:dyDescent="0.3">
      <c r="A30" s="2" t="s">
        <v>45</v>
      </c>
      <c r="B30" s="2" t="s">
        <v>42</v>
      </c>
      <c r="C30" s="2" t="s">
        <v>39</v>
      </c>
      <c r="D30" s="2">
        <v>56</v>
      </c>
      <c r="E30" s="2" t="s">
        <v>49</v>
      </c>
      <c r="F30" s="2">
        <v>0.5872576177285318</v>
      </c>
      <c r="G30" s="2">
        <v>0.6607142857142857</v>
      </c>
      <c r="H30" s="2">
        <v>7.3456667985753898E-2</v>
      </c>
    </row>
    <row r="31" spans="1:8" ht="15.75" customHeight="1" x14ac:dyDescent="0.3">
      <c r="A31" s="2" t="s">
        <v>45</v>
      </c>
      <c r="B31" s="2" t="s">
        <v>42</v>
      </c>
      <c r="C31" s="2" t="s">
        <v>39</v>
      </c>
      <c r="D31" s="2">
        <v>56</v>
      </c>
      <c r="E31" s="2" t="s">
        <v>74</v>
      </c>
      <c r="F31" s="2">
        <v>0.48962655601659749</v>
      </c>
      <c r="G31" s="2">
        <v>0.63519313304721026</v>
      </c>
      <c r="H31" s="2">
        <v>0.14556657703061279</v>
      </c>
    </row>
    <row r="32" spans="1:8" ht="15.75" customHeight="1" x14ac:dyDescent="0.3">
      <c r="A32" s="2" t="s">
        <v>45</v>
      </c>
      <c r="B32" s="2" t="s">
        <v>42</v>
      </c>
      <c r="C32" s="2" t="s">
        <v>39</v>
      </c>
      <c r="D32" s="2">
        <v>57</v>
      </c>
      <c r="E32" s="2" t="s">
        <v>49</v>
      </c>
      <c r="F32" s="2">
        <v>0.62006079027355632</v>
      </c>
      <c r="G32" s="2">
        <v>0.6784660766961651</v>
      </c>
      <c r="H32" s="2">
        <v>5.8405286422608782E-2</v>
      </c>
    </row>
    <row r="33" spans="1:8" ht="15.75" customHeight="1" x14ac:dyDescent="0.3">
      <c r="A33" s="2" t="s">
        <v>45</v>
      </c>
      <c r="B33" s="2" t="s">
        <v>42</v>
      </c>
      <c r="C33" s="2" t="s">
        <v>39</v>
      </c>
      <c r="D33" s="2">
        <v>57</v>
      </c>
      <c r="E33" s="2" t="s">
        <v>74</v>
      </c>
      <c r="F33" s="2">
        <v>0.62264150943396224</v>
      </c>
      <c r="G33" s="2">
        <v>0.65780730897009965</v>
      </c>
      <c r="H33" s="2">
        <v>3.516579953613741E-2</v>
      </c>
    </row>
    <row r="34" spans="1:8" ht="15.75" customHeight="1" x14ac:dyDescent="0.3">
      <c r="A34" s="2" t="s">
        <v>45</v>
      </c>
      <c r="B34" s="2" t="s">
        <v>42</v>
      </c>
      <c r="C34" s="2" t="s">
        <v>39</v>
      </c>
      <c r="D34" s="2">
        <v>58</v>
      </c>
      <c r="E34" s="2" t="s">
        <v>49</v>
      </c>
      <c r="F34" s="2">
        <v>0.67924528301886788</v>
      </c>
      <c r="G34" s="2">
        <v>0.63225806451612898</v>
      </c>
      <c r="H34" s="2">
        <v>-4.6987218502738903E-2</v>
      </c>
    </row>
    <row r="35" spans="1:8" ht="15.75" customHeight="1" x14ac:dyDescent="0.3">
      <c r="A35" s="2" t="s">
        <v>45</v>
      </c>
      <c r="B35" s="2" t="s">
        <v>42</v>
      </c>
      <c r="C35" s="2" t="s">
        <v>39</v>
      </c>
      <c r="D35" s="2">
        <v>58</v>
      </c>
      <c r="E35" s="2" t="s">
        <v>74</v>
      </c>
      <c r="F35" s="2">
        <v>0.60408163265306114</v>
      </c>
      <c r="G35" s="2">
        <v>0.61794019933554822</v>
      </c>
      <c r="H35" s="2">
        <v>1.385856668248708E-2</v>
      </c>
    </row>
    <row r="36" spans="1:8" ht="15.75" customHeight="1" x14ac:dyDescent="0.3">
      <c r="A36" s="2" t="s">
        <v>45</v>
      </c>
      <c r="B36" s="2" t="s">
        <v>42</v>
      </c>
      <c r="C36" s="2" t="s">
        <v>39</v>
      </c>
      <c r="D36" s="2">
        <v>59</v>
      </c>
      <c r="E36" s="2" t="s">
        <v>49</v>
      </c>
      <c r="F36" s="2">
        <v>0.62305295950155759</v>
      </c>
      <c r="G36" s="2">
        <v>0.66060606060606075</v>
      </c>
      <c r="H36" s="2">
        <v>3.7553101104503162E-2</v>
      </c>
    </row>
    <row r="37" spans="1:8" ht="15.75" customHeight="1" x14ac:dyDescent="0.3">
      <c r="A37" s="2" t="s">
        <v>45</v>
      </c>
      <c r="B37" s="2" t="s">
        <v>42</v>
      </c>
      <c r="C37" s="2" t="s">
        <v>39</v>
      </c>
      <c r="D37" s="2">
        <v>59</v>
      </c>
      <c r="E37" s="2" t="s">
        <v>74</v>
      </c>
      <c r="F37" s="2">
        <v>0.6244343891402715</v>
      </c>
      <c r="G37" s="2">
        <v>0.59154929577464788</v>
      </c>
      <c r="H37" s="2">
        <v>-3.2885093365623619E-2</v>
      </c>
    </row>
    <row r="38" spans="1:8" ht="15.75" customHeight="1" x14ac:dyDescent="0.3">
      <c r="A38" s="2" t="s">
        <v>45</v>
      </c>
      <c r="B38" s="2" t="s">
        <v>42</v>
      </c>
      <c r="C38" s="2" t="s">
        <v>39</v>
      </c>
      <c r="D38" s="2">
        <v>60</v>
      </c>
      <c r="E38" s="2" t="s">
        <v>49</v>
      </c>
      <c r="F38" s="2">
        <v>0.62745098039215697</v>
      </c>
      <c r="G38" s="2">
        <v>0.60606060606060608</v>
      </c>
      <c r="H38" s="2">
        <v>-2.1390374331550891E-2</v>
      </c>
    </row>
    <row r="39" spans="1:8" ht="15.75" customHeight="1" x14ac:dyDescent="0.3">
      <c r="A39" s="2" t="s">
        <v>45</v>
      </c>
      <c r="B39" s="2" t="s">
        <v>42</v>
      </c>
      <c r="C39" s="2" t="s">
        <v>39</v>
      </c>
      <c r="D39" s="2">
        <v>60</v>
      </c>
      <c r="E39" s="2" t="s">
        <v>74</v>
      </c>
      <c r="F39" s="2">
        <v>0.47761194029850751</v>
      </c>
      <c r="G39" s="2">
        <v>0.58461538461538465</v>
      </c>
      <c r="H39" s="2">
        <v>0.1070034443168771</v>
      </c>
    </row>
    <row r="40" spans="1:8" ht="15.75" customHeight="1" x14ac:dyDescent="0.3">
      <c r="A40" s="2" t="s">
        <v>45</v>
      </c>
      <c r="B40" s="2" t="s">
        <v>42</v>
      </c>
      <c r="C40" s="2" t="s">
        <v>39</v>
      </c>
      <c r="D40" s="2">
        <v>61</v>
      </c>
      <c r="E40" s="2" t="s">
        <v>49</v>
      </c>
      <c r="F40" s="2">
        <v>0.66298342541436461</v>
      </c>
      <c r="G40" s="2">
        <v>0.65396825396825387</v>
      </c>
      <c r="H40" s="2">
        <v>-9.0151714461107479E-3</v>
      </c>
    </row>
    <row r="41" spans="1:8" ht="15.75" customHeight="1" x14ac:dyDescent="0.3">
      <c r="A41" s="2" t="s">
        <v>45</v>
      </c>
      <c r="B41" s="2" t="s">
        <v>42</v>
      </c>
      <c r="C41" s="2" t="s">
        <v>39</v>
      </c>
      <c r="D41" s="2">
        <v>61</v>
      </c>
      <c r="E41" s="2" t="s">
        <v>74</v>
      </c>
      <c r="F41" s="2">
        <v>0.60660660660660659</v>
      </c>
      <c r="G41" s="2">
        <v>0.62706270627062699</v>
      </c>
      <c r="H41" s="2">
        <v>2.04560996640204E-2</v>
      </c>
    </row>
    <row r="42" spans="1:8" ht="15.75" customHeight="1" x14ac:dyDescent="0.3">
      <c r="A42" s="2" t="s">
        <v>45</v>
      </c>
      <c r="B42" s="2" t="s">
        <v>42</v>
      </c>
      <c r="C42" s="2" t="s">
        <v>43</v>
      </c>
      <c r="D42" s="2">
        <v>42</v>
      </c>
      <c r="E42" s="2" t="s">
        <v>49</v>
      </c>
      <c r="F42" s="2">
        <v>0.8614718614718615</v>
      </c>
      <c r="G42" s="2">
        <v>0.76738609112709821</v>
      </c>
      <c r="H42" s="2">
        <v>-9.4085770344763286E-2</v>
      </c>
    </row>
    <row r="43" spans="1:8" ht="15.75" customHeight="1" x14ac:dyDescent="0.3">
      <c r="A43" s="2" t="s">
        <v>45</v>
      </c>
      <c r="B43" s="2" t="s">
        <v>42</v>
      </c>
      <c r="C43" s="2" t="s">
        <v>43</v>
      </c>
      <c r="D43" s="2">
        <v>43</v>
      </c>
      <c r="E43" s="2" t="s">
        <v>49</v>
      </c>
      <c r="F43" s="2">
        <v>0.78365384615384603</v>
      </c>
      <c r="G43" s="2">
        <v>0.78411910669975182</v>
      </c>
      <c r="H43" s="2">
        <v>4.6526054590578791E-4</v>
      </c>
    </row>
    <row r="44" spans="1:8" ht="15.75" customHeight="1" x14ac:dyDescent="0.3">
      <c r="A44" s="2" t="s">
        <v>45</v>
      </c>
      <c r="B44" s="2" t="s">
        <v>42</v>
      </c>
      <c r="C44" s="2" t="s">
        <v>43</v>
      </c>
      <c r="D44" s="2">
        <v>44</v>
      </c>
      <c r="E44" s="2" t="s">
        <v>49</v>
      </c>
      <c r="F44" s="2">
        <v>0.84878048780487803</v>
      </c>
      <c r="G44" s="2">
        <v>0.85785536159600995</v>
      </c>
      <c r="H44" s="2">
        <v>9.0748737911319211E-3</v>
      </c>
    </row>
    <row r="45" spans="1:8" ht="15.75" customHeight="1" x14ac:dyDescent="0.3">
      <c r="A45" s="2" t="s">
        <v>45</v>
      </c>
      <c r="B45" s="2" t="s">
        <v>42</v>
      </c>
      <c r="C45" s="2" t="s">
        <v>43</v>
      </c>
      <c r="D45" s="2">
        <v>45</v>
      </c>
      <c r="E45" s="2" t="s">
        <v>49</v>
      </c>
      <c r="F45" s="2">
        <v>0.82352941176470584</v>
      </c>
      <c r="G45" s="2">
        <v>0.81093394077448733</v>
      </c>
      <c r="H45" s="2">
        <v>-1.2595470990218519E-2</v>
      </c>
    </row>
    <row r="46" spans="1:8" ht="15.75" customHeight="1" x14ac:dyDescent="0.3">
      <c r="A46" s="2" t="s">
        <v>45</v>
      </c>
      <c r="B46" s="2" t="s">
        <v>42</v>
      </c>
      <c r="C46" s="2" t="s">
        <v>43</v>
      </c>
      <c r="D46" s="2">
        <v>46</v>
      </c>
      <c r="E46" s="2" t="s">
        <v>49</v>
      </c>
      <c r="F46" s="2">
        <v>0.8</v>
      </c>
      <c r="G46" s="2">
        <v>0.83412322274881523</v>
      </c>
      <c r="H46" s="2">
        <v>3.4123222748815192E-2</v>
      </c>
    </row>
    <row r="47" spans="1:8" ht="15.75" customHeight="1" x14ac:dyDescent="0.3">
      <c r="A47" s="2" t="s">
        <v>45</v>
      </c>
      <c r="B47" s="2" t="s">
        <v>42</v>
      </c>
      <c r="C47" s="2" t="s">
        <v>43</v>
      </c>
      <c r="D47" s="2">
        <v>47</v>
      </c>
      <c r="E47" s="2" t="s">
        <v>49</v>
      </c>
      <c r="F47" s="2">
        <v>0.81118881118881114</v>
      </c>
      <c r="G47" s="2">
        <v>0.8</v>
      </c>
      <c r="H47" s="2">
        <v>-1.11888111888111E-2</v>
      </c>
    </row>
    <row r="48" spans="1:8" ht="15.75" customHeight="1" x14ac:dyDescent="0.3">
      <c r="A48" s="2" t="s">
        <v>45</v>
      </c>
      <c r="B48" s="2" t="s">
        <v>42</v>
      </c>
      <c r="C48" s="2" t="s">
        <v>43</v>
      </c>
      <c r="D48" s="2">
        <v>48</v>
      </c>
      <c r="E48" s="2" t="s">
        <v>49</v>
      </c>
      <c r="F48" s="2">
        <v>0.7870967741935484</v>
      </c>
      <c r="G48" s="2">
        <v>0.78971962616822422</v>
      </c>
      <c r="H48" s="2">
        <v>2.6228519746758221E-3</v>
      </c>
    </row>
    <row r="49" spans="1:8" ht="15.75" customHeight="1" x14ac:dyDescent="0.3">
      <c r="A49" s="2" t="s">
        <v>45</v>
      </c>
      <c r="B49" s="2" t="s">
        <v>42</v>
      </c>
      <c r="C49" s="2" t="s">
        <v>43</v>
      </c>
      <c r="D49" s="2">
        <v>49</v>
      </c>
      <c r="E49" s="2" t="s">
        <v>49</v>
      </c>
      <c r="F49" s="2">
        <v>0.81481481481481477</v>
      </c>
      <c r="G49" s="2">
        <v>0.80470588235294116</v>
      </c>
      <c r="H49" s="2">
        <v>-1.010893246187361E-2</v>
      </c>
    </row>
    <row r="50" spans="1:8" ht="15.75" customHeight="1" x14ac:dyDescent="0.3">
      <c r="A50" s="2" t="s">
        <v>45</v>
      </c>
      <c r="B50" s="2" t="s">
        <v>42</v>
      </c>
      <c r="C50" s="2" t="s">
        <v>43</v>
      </c>
      <c r="D50" s="2">
        <v>50</v>
      </c>
      <c r="E50" s="2" t="s">
        <v>49</v>
      </c>
      <c r="F50" s="2">
        <v>0.83091787439613529</v>
      </c>
      <c r="G50" s="2">
        <v>0.84745762711864403</v>
      </c>
      <c r="H50" s="2">
        <v>1.6539752722508742E-2</v>
      </c>
    </row>
    <row r="51" spans="1:8" ht="15.75" customHeight="1" x14ac:dyDescent="0.3">
      <c r="A51" s="2" t="s">
        <v>45</v>
      </c>
      <c r="B51" s="2" t="s">
        <v>42</v>
      </c>
      <c r="C51" s="2" t="s">
        <v>43</v>
      </c>
      <c r="D51" s="2">
        <v>50</v>
      </c>
      <c r="E51" s="2" t="s">
        <v>74</v>
      </c>
      <c r="F51" s="2">
        <v>0.7386934673366834</v>
      </c>
      <c r="G51" s="2">
        <v>0.72237196765498657</v>
      </c>
      <c r="H51" s="2">
        <v>-1.6321499681696831E-2</v>
      </c>
    </row>
    <row r="52" spans="1:8" ht="15.75" customHeight="1" x14ac:dyDescent="0.3">
      <c r="A52" s="2" t="s">
        <v>45</v>
      </c>
      <c r="B52" s="2" t="s">
        <v>42</v>
      </c>
      <c r="C52" s="2" t="s">
        <v>43</v>
      </c>
      <c r="D52" s="2">
        <v>51</v>
      </c>
      <c r="E52" s="2" t="s">
        <v>49</v>
      </c>
      <c r="F52" s="2">
        <v>0.79445727482678985</v>
      </c>
      <c r="G52" s="2">
        <v>0.78588235294117648</v>
      </c>
      <c r="H52" s="2">
        <v>-8.5749218856133735E-3</v>
      </c>
    </row>
    <row r="53" spans="1:8" ht="15.75" customHeight="1" x14ac:dyDescent="0.3">
      <c r="A53" s="2" t="s">
        <v>45</v>
      </c>
      <c r="B53" s="2" t="s">
        <v>42</v>
      </c>
      <c r="C53" s="2" t="s">
        <v>43</v>
      </c>
      <c r="D53" s="2">
        <v>51</v>
      </c>
      <c r="E53" s="2" t="s">
        <v>74</v>
      </c>
      <c r="F53" s="2">
        <v>0.6785714285714286</v>
      </c>
      <c r="G53" s="2">
        <v>0.65608465608465605</v>
      </c>
      <c r="H53" s="2">
        <v>-2.2486772486772551E-2</v>
      </c>
    </row>
    <row r="54" spans="1:8" ht="15.75" customHeight="1" x14ac:dyDescent="0.3">
      <c r="A54" s="2" t="s">
        <v>45</v>
      </c>
      <c r="B54" s="2" t="s">
        <v>42</v>
      </c>
      <c r="C54" s="2" t="s">
        <v>43</v>
      </c>
      <c r="D54" s="2">
        <v>52</v>
      </c>
      <c r="E54" s="2" t="s">
        <v>49</v>
      </c>
      <c r="F54" s="2">
        <v>0.77241379310344838</v>
      </c>
      <c r="G54" s="2">
        <v>0.80841121495327106</v>
      </c>
      <c r="H54" s="2">
        <v>3.5997421849822693E-2</v>
      </c>
    </row>
    <row r="55" spans="1:8" ht="15.75" customHeight="1" x14ac:dyDescent="0.3">
      <c r="A55" s="2" t="s">
        <v>45</v>
      </c>
      <c r="B55" s="2" t="s">
        <v>42</v>
      </c>
      <c r="C55" s="2" t="s">
        <v>43</v>
      </c>
      <c r="D55" s="2">
        <v>52</v>
      </c>
      <c r="E55" s="2" t="s">
        <v>74</v>
      </c>
      <c r="F55" s="2">
        <v>0.7142857142857143</v>
      </c>
      <c r="G55" s="2">
        <v>0.72340425531914898</v>
      </c>
      <c r="H55" s="2">
        <v>9.1185410334346795E-3</v>
      </c>
    </row>
    <row r="56" spans="1:8" ht="15.75" customHeight="1" x14ac:dyDescent="0.3">
      <c r="A56" s="2" t="s">
        <v>45</v>
      </c>
      <c r="B56" s="2" t="s">
        <v>42</v>
      </c>
      <c r="C56" s="2" t="s">
        <v>43</v>
      </c>
      <c r="D56" s="2">
        <v>53</v>
      </c>
      <c r="E56" s="2" t="s">
        <v>49</v>
      </c>
      <c r="F56" s="2">
        <v>0.81445783132530125</v>
      </c>
      <c r="G56" s="2">
        <v>0.82251082251082253</v>
      </c>
      <c r="H56" s="2">
        <v>8.0529911855212744E-3</v>
      </c>
    </row>
    <row r="57" spans="1:8" ht="15.75" customHeight="1" x14ac:dyDescent="0.3">
      <c r="A57" s="2" t="s">
        <v>45</v>
      </c>
      <c r="B57" s="2" t="s">
        <v>42</v>
      </c>
      <c r="C57" s="2" t="s">
        <v>43</v>
      </c>
      <c r="D57" s="2">
        <v>53</v>
      </c>
      <c r="E57" s="2" t="s">
        <v>74</v>
      </c>
      <c r="F57" s="2">
        <v>0.67716535433070857</v>
      </c>
      <c r="G57" s="2">
        <v>0.68137254901960786</v>
      </c>
      <c r="H57" s="2">
        <v>4.2071946888992962E-3</v>
      </c>
    </row>
    <row r="58" spans="1:8" ht="15.75" customHeight="1" x14ac:dyDescent="0.3">
      <c r="A58" s="2" t="s">
        <v>45</v>
      </c>
      <c r="B58" s="2" t="s">
        <v>42</v>
      </c>
      <c r="C58" s="2" t="s">
        <v>43</v>
      </c>
      <c r="D58" s="2">
        <v>54</v>
      </c>
      <c r="E58" s="2" t="s">
        <v>49</v>
      </c>
      <c r="F58" s="2">
        <v>0.80085653104925048</v>
      </c>
      <c r="G58" s="2">
        <v>0.82352941176470595</v>
      </c>
      <c r="H58" s="2">
        <v>2.2672880715455479E-2</v>
      </c>
    </row>
    <row r="59" spans="1:8" ht="15.75" customHeight="1" x14ac:dyDescent="0.3">
      <c r="A59" s="2" t="s">
        <v>45</v>
      </c>
      <c r="B59" s="2" t="s">
        <v>42</v>
      </c>
      <c r="C59" s="2" t="s">
        <v>43</v>
      </c>
      <c r="D59" s="2">
        <v>54</v>
      </c>
      <c r="E59" s="2" t="s">
        <v>74</v>
      </c>
      <c r="F59" s="2">
        <v>0.71325301204819269</v>
      </c>
      <c r="G59" s="2">
        <v>0.65193370165745856</v>
      </c>
      <c r="H59" s="2">
        <v>-6.1319310390734127E-2</v>
      </c>
    </row>
    <row r="60" spans="1:8" ht="15.75" customHeight="1" x14ac:dyDescent="0.3">
      <c r="A60" s="2" t="s">
        <v>45</v>
      </c>
      <c r="B60" s="2" t="s">
        <v>42</v>
      </c>
      <c r="C60" s="2" t="s">
        <v>43</v>
      </c>
      <c r="D60" s="2">
        <v>55</v>
      </c>
      <c r="E60" s="2" t="s">
        <v>49</v>
      </c>
      <c r="F60" s="2">
        <v>0.84875846501128671</v>
      </c>
      <c r="G60" s="2">
        <v>0.82100238663484493</v>
      </c>
      <c r="H60" s="2">
        <v>-2.7756078376441781E-2</v>
      </c>
    </row>
    <row r="61" spans="1:8" ht="15.75" customHeight="1" x14ac:dyDescent="0.3">
      <c r="A61" s="2" t="s">
        <v>45</v>
      </c>
      <c r="B61" s="2" t="s">
        <v>42</v>
      </c>
      <c r="C61" s="2" t="s">
        <v>43</v>
      </c>
      <c r="D61" s="2">
        <v>55</v>
      </c>
      <c r="E61" s="2" t="s">
        <v>74</v>
      </c>
      <c r="F61" s="2">
        <v>0.7451923076923076</v>
      </c>
      <c r="G61" s="2">
        <v>0.73316708229426431</v>
      </c>
      <c r="H61" s="2">
        <v>-1.202522539804329E-2</v>
      </c>
    </row>
    <row r="62" spans="1:8" ht="15.75" customHeight="1" x14ac:dyDescent="0.3">
      <c r="A62" s="2" t="s">
        <v>45</v>
      </c>
      <c r="B62" s="2" t="s">
        <v>42</v>
      </c>
      <c r="C62" s="2" t="s">
        <v>43</v>
      </c>
      <c r="D62" s="2">
        <v>56</v>
      </c>
      <c r="E62" s="2" t="s">
        <v>49</v>
      </c>
      <c r="F62" s="2">
        <v>0.76993166287015957</v>
      </c>
      <c r="G62" s="2">
        <v>0.80841121495327095</v>
      </c>
      <c r="H62" s="2">
        <v>3.8479552083111379E-2</v>
      </c>
    </row>
    <row r="63" spans="1:8" ht="15.75" customHeight="1" x14ac:dyDescent="0.3">
      <c r="A63" s="2" t="s">
        <v>45</v>
      </c>
      <c r="B63" s="2" t="s">
        <v>42</v>
      </c>
      <c r="C63" s="2" t="s">
        <v>43</v>
      </c>
      <c r="D63" s="2">
        <v>56</v>
      </c>
      <c r="E63" s="2" t="s">
        <v>74</v>
      </c>
      <c r="F63" s="2">
        <v>0.67005076142131981</v>
      </c>
      <c r="G63" s="2">
        <v>0.64343163538874004</v>
      </c>
      <c r="H63" s="2">
        <v>-2.6619126032579769E-2</v>
      </c>
    </row>
    <row r="64" spans="1:8" ht="15.75" customHeight="1" x14ac:dyDescent="0.3">
      <c r="A64" s="2" t="s">
        <v>45</v>
      </c>
      <c r="B64" s="2" t="s">
        <v>42</v>
      </c>
      <c r="C64" s="2" t="s">
        <v>43</v>
      </c>
      <c r="D64" s="2">
        <v>57</v>
      </c>
      <c r="E64" s="2" t="s">
        <v>49</v>
      </c>
      <c r="F64" s="2">
        <v>0.77522935779816515</v>
      </c>
      <c r="G64" s="2">
        <v>0.81651376146788979</v>
      </c>
      <c r="H64" s="2">
        <v>4.1284403669724627E-2</v>
      </c>
    </row>
    <row r="65" spans="1:8" ht="15.75" customHeight="1" x14ac:dyDescent="0.3">
      <c r="A65" s="2" t="s">
        <v>45</v>
      </c>
      <c r="B65" s="2" t="s">
        <v>42</v>
      </c>
      <c r="C65" s="2" t="s">
        <v>43</v>
      </c>
      <c r="D65" s="2">
        <v>57</v>
      </c>
      <c r="E65" s="2" t="s">
        <v>74</v>
      </c>
      <c r="F65" s="2">
        <v>0.70370370370370372</v>
      </c>
      <c r="G65" s="2">
        <v>0.65104166666666663</v>
      </c>
      <c r="H65" s="2">
        <v>-5.266203703703709E-2</v>
      </c>
    </row>
    <row r="66" spans="1:8" ht="15.75" customHeight="1" x14ac:dyDescent="0.3">
      <c r="A66" s="2" t="s">
        <v>45</v>
      </c>
      <c r="B66" s="2" t="s">
        <v>42</v>
      </c>
      <c r="C66" s="2" t="s">
        <v>43</v>
      </c>
      <c r="D66" s="2">
        <v>58</v>
      </c>
      <c r="E66" s="2" t="s">
        <v>49</v>
      </c>
      <c r="F66" s="2">
        <v>0.82954545454545447</v>
      </c>
      <c r="G66" s="2">
        <v>0.83855421686746978</v>
      </c>
      <c r="H66" s="2">
        <v>9.0087623220153068E-3</v>
      </c>
    </row>
    <row r="67" spans="1:8" ht="15.75" customHeight="1" x14ac:dyDescent="0.3">
      <c r="A67" s="2" t="s">
        <v>45</v>
      </c>
      <c r="B67" s="2" t="s">
        <v>42</v>
      </c>
      <c r="C67" s="2" t="s">
        <v>43</v>
      </c>
      <c r="D67" s="2">
        <v>58</v>
      </c>
      <c r="E67" s="2" t="s">
        <v>74</v>
      </c>
      <c r="F67" s="2">
        <v>0.67320261437908491</v>
      </c>
      <c r="G67" s="2">
        <v>0.75647668393782397</v>
      </c>
      <c r="H67" s="2">
        <v>8.3274069558739061E-2</v>
      </c>
    </row>
    <row r="68" spans="1:8" ht="15.75" customHeight="1" x14ac:dyDescent="0.3">
      <c r="A68" s="2" t="s">
        <v>45</v>
      </c>
      <c r="B68" s="2" t="s">
        <v>42</v>
      </c>
      <c r="C68" s="2" t="s">
        <v>43</v>
      </c>
      <c r="D68" s="2">
        <v>59</v>
      </c>
      <c r="E68" s="2" t="s">
        <v>49</v>
      </c>
      <c r="F68" s="2">
        <v>0.78195488721804507</v>
      </c>
      <c r="G68" s="2">
        <v>0.80373831775700944</v>
      </c>
      <c r="H68" s="2">
        <v>2.1783430538964369E-2</v>
      </c>
    </row>
    <row r="69" spans="1:8" ht="15.75" customHeight="1" x14ac:dyDescent="0.3">
      <c r="A69" s="2" t="s">
        <v>45</v>
      </c>
      <c r="B69" s="2" t="s">
        <v>42</v>
      </c>
      <c r="C69" s="2" t="s">
        <v>43</v>
      </c>
      <c r="D69" s="2">
        <v>59</v>
      </c>
      <c r="E69" s="2" t="s">
        <v>74</v>
      </c>
      <c r="F69" s="2">
        <v>0.63730569948186533</v>
      </c>
      <c r="G69" s="2">
        <v>0.70000000000000007</v>
      </c>
      <c r="H69" s="2">
        <v>6.2694300518134738E-2</v>
      </c>
    </row>
    <row r="70" spans="1:8" ht="15.75" customHeight="1" x14ac:dyDescent="0.3">
      <c r="A70" s="2" t="s">
        <v>45</v>
      </c>
      <c r="B70" s="2" t="s">
        <v>42</v>
      </c>
      <c r="C70" s="2" t="s">
        <v>43</v>
      </c>
      <c r="D70" s="2">
        <v>60</v>
      </c>
      <c r="E70" s="2" t="s">
        <v>49</v>
      </c>
      <c r="F70" s="2">
        <v>0.79464285714285698</v>
      </c>
      <c r="G70" s="2">
        <v>0.81632653061224492</v>
      </c>
      <c r="H70" s="2">
        <v>2.1683673469387928E-2</v>
      </c>
    </row>
    <row r="71" spans="1:8" ht="15.75" customHeight="1" x14ac:dyDescent="0.3">
      <c r="A71" s="2" t="s">
        <v>45</v>
      </c>
      <c r="B71" s="2" t="s">
        <v>42</v>
      </c>
      <c r="C71" s="2" t="s">
        <v>43</v>
      </c>
      <c r="D71" s="2">
        <v>60</v>
      </c>
      <c r="E71" s="2" t="s">
        <v>74</v>
      </c>
      <c r="F71" s="2">
        <v>0.66508313539192387</v>
      </c>
      <c r="G71" s="2">
        <v>0.70555555555555538</v>
      </c>
      <c r="H71" s="2">
        <v>4.0472420163631513E-2</v>
      </c>
    </row>
    <row r="72" spans="1:8" ht="15.75" customHeight="1" x14ac:dyDescent="0.3">
      <c r="A72" s="2" t="s">
        <v>45</v>
      </c>
      <c r="B72" s="2" t="s">
        <v>42</v>
      </c>
      <c r="C72" s="2" t="s">
        <v>43</v>
      </c>
      <c r="D72" s="2">
        <v>61</v>
      </c>
      <c r="E72" s="2" t="s">
        <v>49</v>
      </c>
      <c r="F72" s="2">
        <v>0.80341880341880323</v>
      </c>
      <c r="G72" s="2">
        <v>0.79024390243902454</v>
      </c>
      <c r="H72" s="2">
        <v>-1.317490097977869E-2</v>
      </c>
    </row>
    <row r="73" spans="1:8" ht="15.75" customHeight="1" x14ac:dyDescent="0.3">
      <c r="A73" s="2" t="s">
        <v>45</v>
      </c>
      <c r="B73" s="2" t="s">
        <v>42</v>
      </c>
      <c r="C73" s="2" t="s">
        <v>43</v>
      </c>
      <c r="D73" s="2">
        <v>61</v>
      </c>
      <c r="E73" s="2" t="s">
        <v>74</v>
      </c>
      <c r="F73" s="2">
        <v>0.65238095238095239</v>
      </c>
      <c r="G73" s="2">
        <v>0.62015503875968991</v>
      </c>
      <c r="H73" s="2">
        <v>-3.2225913621262481E-2</v>
      </c>
    </row>
    <row r="74" spans="1:8" ht="15.75" customHeight="1" x14ac:dyDescent="0.3">
      <c r="A74" s="2" t="s">
        <v>45</v>
      </c>
      <c r="B74" s="2" t="s">
        <v>42</v>
      </c>
      <c r="C74" s="2" t="s">
        <v>82</v>
      </c>
      <c r="D74" s="2">
        <v>42</v>
      </c>
      <c r="E74" s="2" t="s">
        <v>49</v>
      </c>
      <c r="F74" s="2">
        <v>0.85393258426966279</v>
      </c>
      <c r="G74" s="2">
        <v>0.79126213592232997</v>
      </c>
      <c r="H74" s="2">
        <v>-6.2670448347332819E-2</v>
      </c>
    </row>
    <row r="75" spans="1:8" ht="15.75" customHeight="1" x14ac:dyDescent="0.3">
      <c r="A75" s="2" t="s">
        <v>45</v>
      </c>
      <c r="B75" s="2" t="s">
        <v>42</v>
      </c>
      <c r="C75" s="2" t="s">
        <v>82</v>
      </c>
      <c r="D75" s="2">
        <v>42</v>
      </c>
      <c r="E75" s="2" t="s">
        <v>74</v>
      </c>
      <c r="F75" s="2">
        <v>0.71099744245524299</v>
      </c>
      <c r="G75" s="2">
        <v>0.63736263736263732</v>
      </c>
      <c r="H75" s="2">
        <v>-7.3634805092605671E-2</v>
      </c>
    </row>
    <row r="76" spans="1:8" ht="15.75" customHeight="1" x14ac:dyDescent="0.3">
      <c r="A76" s="2" t="s">
        <v>45</v>
      </c>
      <c r="B76" s="2" t="s">
        <v>42</v>
      </c>
      <c r="C76" s="2" t="s">
        <v>82</v>
      </c>
      <c r="D76" s="2">
        <v>43</v>
      </c>
      <c r="E76" s="2" t="s">
        <v>49</v>
      </c>
      <c r="F76" s="2">
        <v>0.8159203980099502</v>
      </c>
      <c r="G76" s="2">
        <v>0.81984334203655362</v>
      </c>
      <c r="H76" s="2">
        <v>3.9229440266034246E-3</v>
      </c>
    </row>
    <row r="77" spans="1:8" ht="15.75" customHeight="1" x14ac:dyDescent="0.3">
      <c r="A77" s="2" t="s">
        <v>45</v>
      </c>
      <c r="B77" s="2" t="s">
        <v>42</v>
      </c>
      <c r="C77" s="2" t="s">
        <v>82</v>
      </c>
      <c r="D77" s="2">
        <v>43</v>
      </c>
      <c r="E77" s="2" t="s">
        <v>74</v>
      </c>
      <c r="F77" s="2">
        <v>0.7466666666666667</v>
      </c>
      <c r="G77" s="2">
        <v>0.71351351351351344</v>
      </c>
      <c r="H77" s="2">
        <v>-3.3153153153153259E-2</v>
      </c>
    </row>
    <row r="78" spans="1:8" ht="15.75" customHeight="1" x14ac:dyDescent="0.3">
      <c r="A78" s="2" t="s">
        <v>45</v>
      </c>
      <c r="B78" s="2" t="s">
        <v>42</v>
      </c>
      <c r="C78" s="2" t="s">
        <v>82</v>
      </c>
      <c r="D78" s="2">
        <v>44</v>
      </c>
      <c r="E78" s="2" t="s">
        <v>49</v>
      </c>
      <c r="F78" s="2">
        <v>0.85714285714285721</v>
      </c>
      <c r="G78" s="2">
        <v>0.83919597989949757</v>
      </c>
      <c r="H78" s="2">
        <v>-1.7946877243359641E-2</v>
      </c>
    </row>
    <row r="79" spans="1:8" ht="15.75" customHeight="1" x14ac:dyDescent="0.3">
      <c r="A79" s="2" t="s">
        <v>45</v>
      </c>
      <c r="B79" s="2" t="s">
        <v>42</v>
      </c>
      <c r="C79" s="2" t="s">
        <v>82</v>
      </c>
      <c r="D79" s="2">
        <v>44</v>
      </c>
      <c r="E79" s="2" t="s">
        <v>74</v>
      </c>
      <c r="F79" s="2">
        <v>0.69101123595505609</v>
      </c>
      <c r="G79" s="2">
        <v>0.73529411764705888</v>
      </c>
      <c r="H79" s="2">
        <v>4.4282881692002778E-2</v>
      </c>
    </row>
    <row r="80" spans="1:8" ht="15.75" customHeight="1" x14ac:dyDescent="0.3">
      <c r="A80" s="2" t="s">
        <v>45</v>
      </c>
      <c r="B80" s="2" t="s">
        <v>42</v>
      </c>
      <c r="C80" s="2" t="s">
        <v>82</v>
      </c>
      <c r="D80" s="2">
        <v>45</v>
      </c>
      <c r="E80" s="2" t="s">
        <v>49</v>
      </c>
      <c r="F80" s="2">
        <v>0.80808080808080807</v>
      </c>
      <c r="G80" s="2">
        <v>0.8411214953271029</v>
      </c>
      <c r="H80" s="2">
        <v>3.3040687246294831E-2</v>
      </c>
    </row>
    <row r="81" spans="1:8" ht="15.75" customHeight="1" x14ac:dyDescent="0.3">
      <c r="A81" s="2" t="s">
        <v>45</v>
      </c>
      <c r="B81" s="2" t="s">
        <v>42</v>
      </c>
      <c r="C81" s="2" t="s">
        <v>82</v>
      </c>
      <c r="D81" s="2">
        <v>45</v>
      </c>
      <c r="E81" s="2" t="s">
        <v>74</v>
      </c>
      <c r="F81" s="2">
        <v>0.73626373626373631</v>
      </c>
      <c r="G81" s="2">
        <v>0.75490196078431382</v>
      </c>
      <c r="H81" s="2">
        <v>1.863822452057751E-2</v>
      </c>
    </row>
    <row r="82" spans="1:8" ht="15.75" customHeight="1" x14ac:dyDescent="0.3">
      <c r="A82" s="2" t="s">
        <v>45</v>
      </c>
      <c r="B82" s="2" t="s">
        <v>42</v>
      </c>
      <c r="C82" s="2" t="s">
        <v>82</v>
      </c>
      <c r="D82" s="2">
        <v>46</v>
      </c>
      <c r="E82" s="2" t="s">
        <v>49</v>
      </c>
      <c r="F82" s="2">
        <v>0.79999999999999993</v>
      </c>
      <c r="G82" s="2">
        <v>0.8530120481927711</v>
      </c>
      <c r="H82" s="2">
        <v>5.3012048192771173E-2</v>
      </c>
    </row>
    <row r="83" spans="1:8" ht="15.75" customHeight="1" x14ac:dyDescent="0.3">
      <c r="A83" s="2" t="s">
        <v>45</v>
      </c>
      <c r="B83" s="2" t="s">
        <v>42</v>
      </c>
      <c r="C83" s="2" t="s">
        <v>82</v>
      </c>
      <c r="D83" s="2">
        <v>46</v>
      </c>
      <c r="E83" s="2" t="s">
        <v>74</v>
      </c>
      <c r="F83" s="2">
        <v>0.72823218997361472</v>
      </c>
      <c r="G83" s="2">
        <v>0.60410557184750735</v>
      </c>
      <c r="H83" s="2">
        <v>-0.1241266181261074</v>
      </c>
    </row>
    <row r="84" spans="1:8" ht="15.75" customHeight="1" x14ac:dyDescent="0.3">
      <c r="A84" s="2" t="s">
        <v>45</v>
      </c>
      <c r="B84" s="2" t="s">
        <v>42</v>
      </c>
      <c r="C84" s="2" t="s">
        <v>82</v>
      </c>
      <c r="D84" s="2">
        <v>47</v>
      </c>
      <c r="E84" s="2" t="s">
        <v>49</v>
      </c>
      <c r="F84" s="2">
        <v>0.81796690307328612</v>
      </c>
      <c r="G84" s="2">
        <v>0.84057971014492738</v>
      </c>
      <c r="H84" s="2">
        <v>2.2612807071641261E-2</v>
      </c>
    </row>
    <row r="85" spans="1:8" ht="15.75" customHeight="1" x14ac:dyDescent="0.3">
      <c r="A85" s="2" t="s">
        <v>45</v>
      </c>
      <c r="B85" s="2" t="s">
        <v>42</v>
      </c>
      <c r="C85" s="2" t="s">
        <v>82</v>
      </c>
      <c r="D85" s="2">
        <v>47</v>
      </c>
      <c r="E85" s="2" t="s">
        <v>74</v>
      </c>
      <c r="F85" s="2">
        <v>0.70136986301369852</v>
      </c>
      <c r="G85" s="2">
        <v>0.71309192200557103</v>
      </c>
      <c r="H85" s="2">
        <v>1.172205899187251E-2</v>
      </c>
    </row>
    <row r="86" spans="1:8" ht="15.75" customHeight="1" x14ac:dyDescent="0.3">
      <c r="A86" s="2" t="s">
        <v>45</v>
      </c>
      <c r="B86" s="2" t="s">
        <v>42</v>
      </c>
      <c r="C86" s="2" t="s">
        <v>82</v>
      </c>
      <c r="D86" s="2">
        <v>48</v>
      </c>
      <c r="E86" s="2" t="s">
        <v>49</v>
      </c>
      <c r="F86" s="2">
        <v>0.81063122923588038</v>
      </c>
      <c r="G86" s="2">
        <v>0.79523809523809519</v>
      </c>
      <c r="H86" s="2">
        <v>-1.5393133997785189E-2</v>
      </c>
    </row>
    <row r="87" spans="1:8" ht="15.75" customHeight="1" x14ac:dyDescent="0.3">
      <c r="A87" s="2" t="s">
        <v>45</v>
      </c>
      <c r="B87" s="2" t="s">
        <v>42</v>
      </c>
      <c r="C87" s="2" t="s">
        <v>82</v>
      </c>
      <c r="D87" s="2">
        <v>48</v>
      </c>
      <c r="E87" s="2" t="s">
        <v>74</v>
      </c>
      <c r="F87" s="2">
        <v>0.63200000000000001</v>
      </c>
      <c r="G87" s="2">
        <v>0.67787114845938368</v>
      </c>
      <c r="H87" s="2">
        <v>4.587114845938367E-2</v>
      </c>
    </row>
    <row r="88" spans="1:8" ht="15.75" customHeight="1" x14ac:dyDescent="0.3">
      <c r="A88" s="2" t="s">
        <v>45</v>
      </c>
      <c r="B88" s="2" t="s">
        <v>42</v>
      </c>
      <c r="C88" s="2" t="s">
        <v>82</v>
      </c>
      <c r="D88" s="2">
        <v>49</v>
      </c>
      <c r="E88" s="2" t="s">
        <v>49</v>
      </c>
      <c r="F88" s="2">
        <v>0.79999999999999993</v>
      </c>
      <c r="G88" s="2">
        <v>0.83333333333333326</v>
      </c>
      <c r="H88" s="2">
        <v>3.3333333333333333E-2</v>
      </c>
    </row>
    <row r="89" spans="1:8" ht="15.75" customHeight="1" x14ac:dyDescent="0.3">
      <c r="A89" s="2" t="s">
        <v>45</v>
      </c>
      <c r="B89" s="2" t="s">
        <v>42</v>
      </c>
      <c r="C89" s="2" t="s">
        <v>82</v>
      </c>
      <c r="D89" s="2">
        <v>49</v>
      </c>
      <c r="E89" s="2" t="s">
        <v>74</v>
      </c>
      <c r="F89" s="2">
        <v>0.71018276762402088</v>
      </c>
      <c r="G89" s="2">
        <v>0.62983425414364647</v>
      </c>
      <c r="H89" s="2">
        <v>-8.0348513480374417E-2</v>
      </c>
    </row>
    <row r="90" spans="1:8" ht="15.75" customHeight="1" x14ac:dyDescent="0.3">
      <c r="A90" s="2" t="s">
        <v>45</v>
      </c>
      <c r="B90" s="2" t="s">
        <v>42</v>
      </c>
      <c r="C90" s="2" t="s">
        <v>82</v>
      </c>
      <c r="D90" s="2">
        <v>50</v>
      </c>
      <c r="E90" s="2" t="s">
        <v>49</v>
      </c>
      <c r="F90" s="2">
        <v>0.82063882063882054</v>
      </c>
      <c r="G90" s="2">
        <v>0.85853658536585364</v>
      </c>
      <c r="H90" s="2">
        <v>3.7897764727033101E-2</v>
      </c>
    </row>
    <row r="91" spans="1:8" ht="15.75" customHeight="1" x14ac:dyDescent="0.3">
      <c r="A91" s="2" t="s">
        <v>45</v>
      </c>
      <c r="B91" s="2" t="s">
        <v>42</v>
      </c>
      <c r="C91" s="2" t="s">
        <v>82</v>
      </c>
      <c r="D91" s="2">
        <v>50</v>
      </c>
      <c r="E91" s="2" t="s">
        <v>74</v>
      </c>
      <c r="F91" s="2">
        <v>0.77333333333333343</v>
      </c>
      <c r="G91" s="2">
        <v>0.78740157480314965</v>
      </c>
      <c r="H91" s="2">
        <v>1.4068241469816219E-2</v>
      </c>
    </row>
    <row r="92" spans="1:8" ht="15.75" customHeight="1" x14ac:dyDescent="0.3">
      <c r="A92" s="2" t="s">
        <v>45</v>
      </c>
      <c r="B92" s="2" t="s">
        <v>42</v>
      </c>
      <c r="C92" s="2" t="s">
        <v>82</v>
      </c>
      <c r="D92" s="2">
        <v>51</v>
      </c>
      <c r="E92" s="2" t="s">
        <v>49</v>
      </c>
      <c r="F92" s="2">
        <v>0.78672985781990512</v>
      </c>
      <c r="G92" s="2">
        <v>0.7582938388625593</v>
      </c>
      <c r="H92" s="2">
        <v>-2.8436018957345821E-2</v>
      </c>
    </row>
    <row r="93" spans="1:8" ht="15.75" customHeight="1" x14ac:dyDescent="0.3">
      <c r="A93" s="2" t="s">
        <v>45</v>
      </c>
      <c r="B93" s="2" t="s">
        <v>42</v>
      </c>
      <c r="C93" s="2" t="s">
        <v>82</v>
      </c>
      <c r="D93" s="2">
        <v>51</v>
      </c>
      <c r="E93" s="2" t="s">
        <v>74</v>
      </c>
      <c r="F93" s="2">
        <v>0.75062972292191421</v>
      </c>
      <c r="G93" s="2">
        <v>0.67553191489361708</v>
      </c>
      <c r="H93" s="2">
        <v>-7.5097808028297131E-2</v>
      </c>
    </row>
    <row r="94" spans="1:8" ht="15.75" customHeight="1" x14ac:dyDescent="0.3">
      <c r="A94" s="2" t="s">
        <v>45</v>
      </c>
      <c r="B94" s="2" t="s">
        <v>42</v>
      </c>
      <c r="C94" s="2" t="s">
        <v>82</v>
      </c>
      <c r="D94" s="2">
        <v>52</v>
      </c>
      <c r="E94" s="2" t="s">
        <v>49</v>
      </c>
      <c r="F94" s="2">
        <v>0.79699248120300759</v>
      </c>
      <c r="G94" s="2">
        <v>0.83538083538083541</v>
      </c>
      <c r="H94" s="2">
        <v>3.8388354177827821E-2</v>
      </c>
    </row>
    <row r="95" spans="1:8" ht="15.75" customHeight="1" x14ac:dyDescent="0.3">
      <c r="A95" s="2" t="s">
        <v>45</v>
      </c>
      <c r="B95" s="2" t="s">
        <v>42</v>
      </c>
      <c r="C95" s="2" t="s">
        <v>82</v>
      </c>
      <c r="D95" s="2">
        <v>52</v>
      </c>
      <c r="E95" s="2" t="s">
        <v>74</v>
      </c>
      <c r="F95" s="2">
        <v>0.77595628415300555</v>
      </c>
      <c r="G95" s="2">
        <v>0.77134986225895308</v>
      </c>
      <c r="H95" s="2">
        <v>-4.6064218940524704E-3</v>
      </c>
    </row>
    <row r="96" spans="1:8" ht="15.75" customHeight="1" x14ac:dyDescent="0.3">
      <c r="A96" s="2" t="s">
        <v>45</v>
      </c>
      <c r="B96" s="2" t="s">
        <v>42</v>
      </c>
      <c r="C96" s="2" t="s">
        <v>82</v>
      </c>
      <c r="D96" s="2">
        <v>53</v>
      </c>
      <c r="E96" s="2" t="s">
        <v>49</v>
      </c>
      <c r="F96" s="2">
        <v>0.83698296836982955</v>
      </c>
      <c r="G96" s="2">
        <v>0.839002267573696</v>
      </c>
      <c r="H96" s="2">
        <v>2.0192992038664541E-3</v>
      </c>
    </row>
    <row r="97" spans="1:8" ht="15.75" customHeight="1" x14ac:dyDescent="0.3">
      <c r="A97" s="2" t="s">
        <v>45</v>
      </c>
      <c r="B97" s="2" t="s">
        <v>42</v>
      </c>
      <c r="C97" s="2" t="s">
        <v>82</v>
      </c>
      <c r="D97" s="2">
        <v>53</v>
      </c>
      <c r="E97" s="2" t="s">
        <v>74</v>
      </c>
      <c r="F97" s="2">
        <v>0.74489795918367341</v>
      </c>
      <c r="G97" s="2">
        <v>0.68766404199475062</v>
      </c>
      <c r="H97" s="2">
        <v>-5.7233917188922789E-2</v>
      </c>
    </row>
    <row r="98" spans="1:8" ht="15.75" customHeight="1" x14ac:dyDescent="0.3">
      <c r="A98" s="2" t="s">
        <v>45</v>
      </c>
      <c r="B98" s="2" t="s">
        <v>42</v>
      </c>
      <c r="C98" s="2" t="s">
        <v>82</v>
      </c>
      <c r="D98" s="2">
        <v>54</v>
      </c>
      <c r="E98" s="2" t="s">
        <v>49</v>
      </c>
      <c r="F98" s="2">
        <v>0.81333333333333324</v>
      </c>
      <c r="G98" s="2">
        <v>0.85567010309278346</v>
      </c>
      <c r="H98" s="2">
        <v>4.2336769759450221E-2</v>
      </c>
    </row>
    <row r="99" spans="1:8" ht="15.75" customHeight="1" x14ac:dyDescent="0.3">
      <c r="A99" s="2" t="s">
        <v>45</v>
      </c>
      <c r="B99" s="2" t="s">
        <v>42</v>
      </c>
      <c r="C99" s="2" t="s">
        <v>82</v>
      </c>
      <c r="D99" s="2">
        <v>54</v>
      </c>
      <c r="E99" s="2" t="s">
        <v>74</v>
      </c>
      <c r="F99" s="2">
        <v>0.68632707774798918</v>
      </c>
      <c r="G99" s="2">
        <v>0.69364161849710981</v>
      </c>
      <c r="H99" s="2">
        <v>7.3145407491206349E-3</v>
      </c>
    </row>
    <row r="100" spans="1:8" ht="15.75" customHeight="1" x14ac:dyDescent="0.3">
      <c r="A100" s="2" t="s">
        <v>45</v>
      </c>
      <c r="B100" s="2" t="s">
        <v>42</v>
      </c>
      <c r="C100" s="2" t="s">
        <v>82</v>
      </c>
      <c r="D100" s="2">
        <v>55</v>
      </c>
      <c r="E100" s="2" t="s">
        <v>49</v>
      </c>
      <c r="F100" s="2">
        <v>0.84918793503480272</v>
      </c>
      <c r="G100" s="2">
        <v>0.82324455205811131</v>
      </c>
      <c r="H100" s="2">
        <v>-2.5943382976691409E-2</v>
      </c>
    </row>
    <row r="101" spans="1:8" ht="15.75" customHeight="1" x14ac:dyDescent="0.3">
      <c r="A101" s="2" t="s">
        <v>45</v>
      </c>
      <c r="B101" s="2" t="s">
        <v>42</v>
      </c>
      <c r="C101" s="2" t="s">
        <v>82</v>
      </c>
      <c r="D101" s="2">
        <v>55</v>
      </c>
      <c r="E101" s="2" t="s">
        <v>74</v>
      </c>
      <c r="F101" s="2">
        <v>0.71573604060913709</v>
      </c>
      <c r="G101" s="2">
        <v>0.77694235588972427</v>
      </c>
      <c r="H101" s="2">
        <v>6.1206315280587183E-2</v>
      </c>
    </row>
    <row r="102" spans="1:8" ht="15.75" customHeight="1" x14ac:dyDescent="0.3">
      <c r="A102" s="2" t="s">
        <v>45</v>
      </c>
      <c r="B102" s="2" t="s">
        <v>42</v>
      </c>
      <c r="C102" s="2" t="s">
        <v>82</v>
      </c>
      <c r="D102" s="2">
        <v>56</v>
      </c>
      <c r="E102" s="2" t="s">
        <v>49</v>
      </c>
      <c r="F102" s="2">
        <v>0.74376417233560077</v>
      </c>
      <c r="G102" s="2">
        <v>0.815347721822542</v>
      </c>
      <c r="H102" s="2">
        <v>7.1583549486941234E-2</v>
      </c>
    </row>
    <row r="103" spans="1:8" ht="15.75" customHeight="1" x14ac:dyDescent="0.3">
      <c r="A103" s="2" t="s">
        <v>45</v>
      </c>
      <c r="B103" s="2" t="s">
        <v>42</v>
      </c>
      <c r="C103" s="2" t="s">
        <v>82</v>
      </c>
      <c r="D103" s="2">
        <v>56</v>
      </c>
      <c r="E103" s="2" t="s">
        <v>74</v>
      </c>
      <c r="F103" s="2">
        <v>0.58333333333333326</v>
      </c>
      <c r="G103" s="2">
        <v>0.65927977839335183</v>
      </c>
      <c r="H103" s="2">
        <v>7.5946445060018575E-2</v>
      </c>
    </row>
    <row r="104" spans="1:8" ht="15.75" customHeight="1" x14ac:dyDescent="0.3">
      <c r="A104" s="2" t="s">
        <v>45</v>
      </c>
      <c r="B104" s="2" t="s">
        <v>42</v>
      </c>
      <c r="C104" s="2" t="s">
        <v>82</v>
      </c>
      <c r="D104" s="2">
        <v>57</v>
      </c>
      <c r="E104" s="2" t="s">
        <v>49</v>
      </c>
      <c r="F104" s="2">
        <v>0.76699029126213603</v>
      </c>
      <c r="G104" s="2">
        <v>0.845605700712589</v>
      </c>
      <c r="H104" s="2">
        <v>7.8615409450452978E-2</v>
      </c>
    </row>
    <row r="105" spans="1:8" ht="15.75" customHeight="1" x14ac:dyDescent="0.3">
      <c r="A105" s="2" t="s">
        <v>45</v>
      </c>
      <c r="B105" s="2" t="s">
        <v>42</v>
      </c>
      <c r="C105" s="2" t="s">
        <v>82</v>
      </c>
      <c r="D105" s="2">
        <v>57</v>
      </c>
      <c r="E105" s="2" t="s">
        <v>74</v>
      </c>
      <c r="F105" s="2">
        <v>0.66282420749279547</v>
      </c>
      <c r="G105" s="2">
        <v>0.75862068965517238</v>
      </c>
      <c r="H105" s="2">
        <v>9.5796482162376906E-2</v>
      </c>
    </row>
    <row r="106" spans="1:8" ht="15.75" customHeight="1" x14ac:dyDescent="0.3">
      <c r="A106" s="2" t="s">
        <v>45</v>
      </c>
      <c r="B106" s="2" t="s">
        <v>42</v>
      </c>
      <c r="C106" s="2" t="s">
        <v>82</v>
      </c>
      <c r="D106" s="2">
        <v>58</v>
      </c>
      <c r="E106" s="2" t="s">
        <v>49</v>
      </c>
      <c r="F106" s="2">
        <v>0.82568807339449546</v>
      </c>
      <c r="G106" s="2">
        <v>0.82323232323232332</v>
      </c>
      <c r="H106" s="2">
        <v>-2.4557501621721429E-3</v>
      </c>
    </row>
    <row r="107" spans="1:8" ht="15.75" customHeight="1" x14ac:dyDescent="0.3">
      <c r="A107" s="2" t="s">
        <v>45</v>
      </c>
      <c r="B107" s="2" t="s">
        <v>42</v>
      </c>
      <c r="C107" s="2" t="s">
        <v>82</v>
      </c>
      <c r="D107" s="2">
        <v>58</v>
      </c>
      <c r="E107" s="2" t="s">
        <v>74</v>
      </c>
      <c r="F107" s="2">
        <v>0.7711598746081505</v>
      </c>
      <c r="G107" s="2">
        <v>0.75862068965517238</v>
      </c>
      <c r="H107" s="2">
        <v>-1.253918495297812E-2</v>
      </c>
    </row>
    <row r="108" spans="1:8" ht="15.75" customHeight="1" x14ac:dyDescent="0.3">
      <c r="A108" s="2" t="s">
        <v>45</v>
      </c>
      <c r="B108" s="2" t="s">
        <v>42</v>
      </c>
      <c r="C108" s="2" t="s">
        <v>82</v>
      </c>
      <c r="D108" s="2">
        <v>59</v>
      </c>
      <c r="E108" s="2" t="s">
        <v>49</v>
      </c>
      <c r="F108" s="2">
        <v>0.8052631578947369</v>
      </c>
      <c r="G108" s="2">
        <v>0.80798004987531169</v>
      </c>
      <c r="H108" s="2">
        <v>2.7168919805747871E-3</v>
      </c>
    </row>
    <row r="109" spans="1:8" ht="15.75" customHeight="1" x14ac:dyDescent="0.3">
      <c r="A109" s="2" t="s">
        <v>45</v>
      </c>
      <c r="B109" s="2" t="s">
        <v>42</v>
      </c>
      <c r="C109" s="2" t="s">
        <v>82</v>
      </c>
      <c r="D109" s="2">
        <v>59</v>
      </c>
      <c r="E109" s="2" t="s">
        <v>74</v>
      </c>
      <c r="F109" s="2">
        <v>0.66855524079320106</v>
      </c>
      <c r="G109" s="2">
        <v>0.71148459383753504</v>
      </c>
      <c r="H109" s="2">
        <v>4.2929353044333977E-2</v>
      </c>
    </row>
    <row r="110" spans="1:8" ht="15.75" customHeight="1" x14ac:dyDescent="0.3">
      <c r="A110" s="2" t="s">
        <v>45</v>
      </c>
      <c r="B110" s="2" t="s">
        <v>42</v>
      </c>
      <c r="C110" s="2" t="s">
        <v>82</v>
      </c>
      <c r="D110" s="2">
        <v>60</v>
      </c>
      <c r="E110" s="2" t="s">
        <v>49</v>
      </c>
      <c r="F110" s="2">
        <v>0.81818181818181823</v>
      </c>
      <c r="G110" s="2">
        <v>0.81052631578947376</v>
      </c>
      <c r="H110" s="2">
        <v>-7.6555023923444709E-3</v>
      </c>
    </row>
    <row r="111" spans="1:8" ht="15.75" customHeight="1" x14ac:dyDescent="0.3">
      <c r="A111" s="2" t="s">
        <v>45</v>
      </c>
      <c r="B111" s="2" t="s">
        <v>42</v>
      </c>
      <c r="C111" s="2" t="s">
        <v>82</v>
      </c>
      <c r="D111" s="2">
        <v>60</v>
      </c>
      <c r="E111" s="2" t="s">
        <v>74</v>
      </c>
      <c r="F111" s="2">
        <v>0.63684210526315788</v>
      </c>
      <c r="G111" s="2">
        <v>0.70285714285714285</v>
      </c>
      <c r="H111" s="2">
        <v>6.6015037593984971E-2</v>
      </c>
    </row>
    <row r="112" spans="1:8" ht="15.75" customHeight="1" x14ac:dyDescent="0.3">
      <c r="A112" s="2" t="s">
        <v>45</v>
      </c>
      <c r="B112" s="2" t="s">
        <v>42</v>
      </c>
      <c r="C112" s="2" t="s">
        <v>82</v>
      </c>
      <c r="D112" s="2">
        <v>61</v>
      </c>
      <c r="E112" s="2" t="s">
        <v>49</v>
      </c>
      <c r="F112" s="2">
        <v>0.83885209713024289</v>
      </c>
      <c r="G112" s="2">
        <v>0.78987341772151898</v>
      </c>
      <c r="H112" s="2">
        <v>-4.8978679408723913E-2</v>
      </c>
    </row>
    <row r="113" spans="1:8" ht="15.75" customHeight="1" x14ac:dyDescent="0.3">
      <c r="A113" s="2" t="s">
        <v>45</v>
      </c>
      <c r="B113" s="2" t="s">
        <v>42</v>
      </c>
      <c r="C113" s="2" t="s">
        <v>82</v>
      </c>
      <c r="D113" s="2">
        <v>61</v>
      </c>
      <c r="E113" s="2" t="s">
        <v>74</v>
      </c>
      <c r="F113" s="2">
        <v>0.73459715639810419</v>
      </c>
      <c r="G113" s="2">
        <v>0.71240105540897103</v>
      </c>
      <c r="H113" s="2">
        <v>-2.2196100989133161E-2</v>
      </c>
    </row>
    <row r="114" spans="1:8" ht="15.75" customHeight="1" x14ac:dyDescent="0.3">
      <c r="A114" s="2" t="s">
        <v>37</v>
      </c>
      <c r="B114" s="2" t="s">
        <v>42</v>
      </c>
      <c r="C114" s="2" t="s">
        <v>39</v>
      </c>
      <c r="D114" s="2">
        <v>42</v>
      </c>
      <c r="E114" s="2" t="s">
        <v>49</v>
      </c>
      <c r="F114" s="2">
        <v>0.82352941176470584</v>
      </c>
      <c r="G114" s="2">
        <v>0.7678018575851393</v>
      </c>
      <c r="H114" s="2">
        <v>-5.5727554179566541E-2</v>
      </c>
    </row>
    <row r="115" spans="1:8" ht="15.75" customHeight="1" x14ac:dyDescent="0.3">
      <c r="A115" s="2" t="s">
        <v>37</v>
      </c>
      <c r="B115" s="2" t="s">
        <v>42</v>
      </c>
      <c r="C115" s="2" t="s">
        <v>39</v>
      </c>
      <c r="D115" s="2">
        <v>42</v>
      </c>
      <c r="F115" s="2">
        <v>0.64748201438848918</v>
      </c>
      <c r="G115" s="2">
        <v>0.6312292358803987</v>
      </c>
      <c r="H115" s="2">
        <v>-1.6252778508090478E-2</v>
      </c>
    </row>
    <row r="116" spans="1:8" ht="15.75" customHeight="1" x14ac:dyDescent="0.3">
      <c r="A116" s="2" t="s">
        <v>37</v>
      </c>
      <c r="B116" s="2" t="s">
        <v>42</v>
      </c>
      <c r="C116" s="2" t="s">
        <v>39</v>
      </c>
      <c r="D116" s="2">
        <v>43</v>
      </c>
      <c r="E116" s="2" t="s">
        <v>49</v>
      </c>
      <c r="F116" s="2">
        <v>0.76249999999999996</v>
      </c>
      <c r="G116" s="2">
        <v>0.73103448275862071</v>
      </c>
      <c r="H116" s="2">
        <v>-3.1465517241379248E-2</v>
      </c>
    </row>
    <row r="117" spans="1:8" ht="15.75" customHeight="1" x14ac:dyDescent="0.3">
      <c r="A117" s="2" t="s">
        <v>37</v>
      </c>
      <c r="B117" s="2" t="s">
        <v>42</v>
      </c>
      <c r="C117" s="2" t="s">
        <v>39</v>
      </c>
      <c r="D117" s="2">
        <v>43</v>
      </c>
      <c r="F117" s="2">
        <v>0.63722397476340686</v>
      </c>
      <c r="G117" s="2">
        <v>0.5724137931034482</v>
      </c>
      <c r="H117" s="2">
        <v>-6.4810181659958666E-2</v>
      </c>
    </row>
    <row r="118" spans="1:8" ht="15.75" customHeight="1" x14ac:dyDescent="0.3">
      <c r="A118" s="2" t="s">
        <v>37</v>
      </c>
      <c r="B118" s="2" t="s">
        <v>42</v>
      </c>
      <c r="C118" s="2" t="s">
        <v>39</v>
      </c>
      <c r="D118" s="2">
        <v>44</v>
      </c>
      <c r="E118" s="2" t="s">
        <v>49</v>
      </c>
      <c r="F118" s="2">
        <v>0.74608150470219448</v>
      </c>
      <c r="G118" s="2">
        <v>0.81388012618296524</v>
      </c>
      <c r="H118" s="2">
        <v>6.779862148077076E-2</v>
      </c>
    </row>
    <row r="119" spans="1:8" ht="15.75" customHeight="1" x14ac:dyDescent="0.3">
      <c r="A119" s="2" t="s">
        <v>37</v>
      </c>
      <c r="B119" s="2" t="s">
        <v>42</v>
      </c>
      <c r="C119" s="2" t="s">
        <v>39</v>
      </c>
      <c r="D119" s="2">
        <v>44</v>
      </c>
      <c r="F119" s="2">
        <v>0.5642633228840126</v>
      </c>
      <c r="G119" s="2">
        <v>0.66043613707165105</v>
      </c>
      <c r="H119" s="2">
        <v>9.6172814187638456E-2</v>
      </c>
    </row>
    <row r="120" spans="1:8" ht="15.75" customHeight="1" x14ac:dyDescent="0.3">
      <c r="A120" s="2" t="s">
        <v>37</v>
      </c>
      <c r="B120" s="2" t="s">
        <v>42</v>
      </c>
      <c r="C120" s="2" t="s">
        <v>39</v>
      </c>
      <c r="D120" s="2">
        <v>45</v>
      </c>
      <c r="E120" s="2" t="s">
        <v>49</v>
      </c>
      <c r="F120" s="2">
        <v>0.72727272727272718</v>
      </c>
      <c r="G120" s="2">
        <v>0.81846153846153846</v>
      </c>
      <c r="H120" s="2">
        <v>9.1188811188811281E-2</v>
      </c>
    </row>
    <row r="121" spans="1:8" ht="15.75" customHeight="1" x14ac:dyDescent="0.3">
      <c r="A121" s="2" t="s">
        <v>37</v>
      </c>
      <c r="B121" s="2" t="s">
        <v>42</v>
      </c>
      <c r="C121" s="2" t="s">
        <v>39</v>
      </c>
      <c r="D121" s="2">
        <v>45</v>
      </c>
      <c r="F121" s="2">
        <v>0.6262626262626263</v>
      </c>
      <c r="G121" s="2">
        <v>0.68354430379746833</v>
      </c>
      <c r="H121" s="2">
        <v>5.7281677534842028E-2</v>
      </c>
    </row>
    <row r="122" spans="1:8" ht="15.75" customHeight="1" x14ac:dyDescent="0.3">
      <c r="A122" s="2" t="s">
        <v>37</v>
      </c>
      <c r="B122" s="2" t="s">
        <v>42</v>
      </c>
      <c r="C122" s="2" t="s">
        <v>39</v>
      </c>
      <c r="D122" s="2">
        <v>46</v>
      </c>
      <c r="E122" s="2" t="s">
        <v>49</v>
      </c>
      <c r="F122" s="2">
        <v>0.78947368421052622</v>
      </c>
      <c r="G122" s="2">
        <v>0.75657894736842113</v>
      </c>
      <c r="H122" s="2">
        <v>-3.2894736842105088E-2</v>
      </c>
    </row>
    <row r="123" spans="1:8" ht="15.75" customHeight="1" x14ac:dyDescent="0.3">
      <c r="A123" s="2" t="s">
        <v>37</v>
      </c>
      <c r="B123" s="2" t="s">
        <v>42</v>
      </c>
      <c r="C123" s="2" t="s">
        <v>39</v>
      </c>
      <c r="D123" s="2">
        <v>46</v>
      </c>
      <c r="F123" s="2">
        <v>0.61538461538461542</v>
      </c>
      <c r="G123" s="2">
        <v>0.64</v>
      </c>
      <c r="H123" s="2">
        <v>2.4615384615384591E-2</v>
      </c>
    </row>
    <row r="124" spans="1:8" ht="15.75" customHeight="1" x14ac:dyDescent="0.3">
      <c r="A124" s="2" t="s">
        <v>37</v>
      </c>
      <c r="B124" s="2" t="s">
        <v>42</v>
      </c>
      <c r="C124" s="2" t="s">
        <v>39</v>
      </c>
      <c r="D124" s="2">
        <v>47</v>
      </c>
      <c r="E124" s="2" t="s">
        <v>49</v>
      </c>
      <c r="F124" s="2">
        <v>0.81375358166189105</v>
      </c>
      <c r="G124" s="2">
        <v>0.77811550151975695</v>
      </c>
      <c r="H124" s="2">
        <v>-3.5638080142134099E-2</v>
      </c>
    </row>
    <row r="125" spans="1:8" ht="15.75" customHeight="1" x14ac:dyDescent="0.3">
      <c r="A125" s="2" t="s">
        <v>37</v>
      </c>
      <c r="B125" s="2" t="s">
        <v>42</v>
      </c>
      <c r="C125" s="2" t="s">
        <v>39</v>
      </c>
      <c r="D125" s="2">
        <v>47</v>
      </c>
      <c r="F125" s="2">
        <v>0.31404958677685951</v>
      </c>
      <c r="G125" s="2">
        <v>0.63124999999999998</v>
      </c>
      <c r="H125" s="2">
        <v>0.31720041322314052</v>
      </c>
    </row>
    <row r="126" spans="1:8" ht="15.75" customHeight="1" x14ac:dyDescent="0.3">
      <c r="A126" s="2" t="s">
        <v>37</v>
      </c>
      <c r="B126" s="2" t="s">
        <v>42</v>
      </c>
      <c r="C126" s="2" t="s">
        <v>39</v>
      </c>
      <c r="D126" s="2">
        <v>48</v>
      </c>
      <c r="E126" s="2" t="s">
        <v>49</v>
      </c>
      <c r="F126" s="2">
        <v>0.76340694006309151</v>
      </c>
      <c r="G126" s="2">
        <v>0.76582278481012656</v>
      </c>
      <c r="H126" s="2">
        <v>2.4158447470350448E-3</v>
      </c>
    </row>
    <row r="127" spans="1:8" ht="15.75" customHeight="1" x14ac:dyDescent="0.3">
      <c r="A127" s="2" t="s">
        <v>37</v>
      </c>
      <c r="B127" s="2" t="s">
        <v>42</v>
      </c>
      <c r="C127" s="2" t="s">
        <v>39</v>
      </c>
      <c r="D127" s="2">
        <v>48</v>
      </c>
      <c r="F127" s="2">
        <v>0.61442006269592475</v>
      </c>
      <c r="G127" s="2">
        <v>0.63291139240506333</v>
      </c>
      <c r="H127" s="2">
        <v>1.8491329709138579E-2</v>
      </c>
    </row>
    <row r="128" spans="1:8" ht="15.75" customHeight="1" x14ac:dyDescent="0.3">
      <c r="A128" s="2" t="s">
        <v>37</v>
      </c>
      <c r="B128" s="2" t="s">
        <v>42</v>
      </c>
      <c r="C128" s="2" t="s">
        <v>39</v>
      </c>
      <c r="D128" s="2">
        <v>49</v>
      </c>
      <c r="E128" s="2" t="s">
        <v>49</v>
      </c>
      <c r="F128" s="2">
        <v>0.75080906148867299</v>
      </c>
      <c r="G128" s="2">
        <v>0.76452599388379217</v>
      </c>
      <c r="H128" s="2">
        <v>1.3716932395119169E-2</v>
      </c>
    </row>
    <row r="129" spans="1:8" ht="15.75" customHeight="1" x14ac:dyDescent="0.3">
      <c r="A129" s="2" t="s">
        <v>37</v>
      </c>
      <c r="B129" s="2" t="s">
        <v>42</v>
      </c>
      <c r="C129" s="2" t="s">
        <v>39</v>
      </c>
      <c r="D129" s="2">
        <v>49</v>
      </c>
      <c r="F129" s="2">
        <v>0.40663900414937759</v>
      </c>
      <c r="G129" s="2">
        <v>0.64150943396226412</v>
      </c>
      <c r="H129" s="2">
        <v>0.2348704298128865</v>
      </c>
    </row>
    <row r="130" spans="1:8" ht="15.75" customHeight="1" x14ac:dyDescent="0.3">
      <c r="A130" s="2" t="s">
        <v>37</v>
      </c>
      <c r="B130" s="2" t="s">
        <v>42</v>
      </c>
      <c r="C130" s="2" t="s">
        <v>39</v>
      </c>
      <c r="D130" s="2">
        <v>50</v>
      </c>
      <c r="E130" s="2" t="s">
        <v>49</v>
      </c>
      <c r="F130" s="2">
        <v>0.79411764705882359</v>
      </c>
      <c r="G130" s="2">
        <v>0.81311475409836065</v>
      </c>
      <c r="H130" s="2">
        <v>1.899710703953705E-2</v>
      </c>
    </row>
    <row r="131" spans="1:8" ht="15.75" customHeight="1" x14ac:dyDescent="0.3">
      <c r="A131" s="2" t="s">
        <v>37</v>
      </c>
      <c r="B131" s="2" t="s">
        <v>42</v>
      </c>
      <c r="C131" s="2" t="s">
        <v>39</v>
      </c>
      <c r="D131" s="2">
        <v>50</v>
      </c>
      <c r="F131" s="2">
        <v>0.57347670250896066</v>
      </c>
      <c r="G131" s="2">
        <v>0.68013468013468004</v>
      </c>
      <c r="H131" s="2">
        <v>0.10665797762571939</v>
      </c>
    </row>
    <row r="132" spans="1:8" ht="15.75" customHeight="1" x14ac:dyDescent="0.3">
      <c r="A132" s="2" t="s">
        <v>37</v>
      </c>
      <c r="B132" s="2" t="s">
        <v>42</v>
      </c>
      <c r="C132" s="2" t="s">
        <v>39</v>
      </c>
      <c r="D132" s="2">
        <v>51</v>
      </c>
      <c r="E132" s="2" t="s">
        <v>49</v>
      </c>
      <c r="F132" s="2">
        <v>0.75728155339805836</v>
      </c>
      <c r="G132" s="2">
        <v>0.77358490566037741</v>
      </c>
      <c r="H132" s="2">
        <v>1.6303352262319049E-2</v>
      </c>
    </row>
    <row r="133" spans="1:8" ht="15.75" customHeight="1" x14ac:dyDescent="0.3">
      <c r="A133" s="2" t="s">
        <v>37</v>
      </c>
      <c r="B133" s="2" t="s">
        <v>42</v>
      </c>
      <c r="C133" s="2" t="s">
        <v>39</v>
      </c>
      <c r="D133" s="2">
        <v>51</v>
      </c>
      <c r="F133" s="2">
        <v>0.42499999999999999</v>
      </c>
      <c r="G133" s="2">
        <v>0.67307692307692302</v>
      </c>
      <c r="H133" s="2">
        <v>0.248076923076923</v>
      </c>
    </row>
    <row r="134" spans="1:8" ht="15.75" customHeight="1" x14ac:dyDescent="0.3">
      <c r="A134" s="2" t="s">
        <v>37</v>
      </c>
      <c r="B134" s="2" t="s">
        <v>42</v>
      </c>
      <c r="C134" s="2" t="s">
        <v>39</v>
      </c>
      <c r="D134" s="2">
        <v>52</v>
      </c>
      <c r="E134" s="2" t="s">
        <v>49</v>
      </c>
      <c r="F134" s="2">
        <v>0.84592145015105735</v>
      </c>
      <c r="G134" s="2">
        <v>0.78395061728395055</v>
      </c>
      <c r="H134" s="2">
        <v>-6.1970832867106813E-2</v>
      </c>
    </row>
    <row r="135" spans="1:8" ht="15.75" customHeight="1" x14ac:dyDescent="0.3">
      <c r="A135" s="2" t="s">
        <v>37</v>
      </c>
      <c r="B135" s="2" t="s">
        <v>42</v>
      </c>
      <c r="C135" s="2" t="s">
        <v>39</v>
      </c>
      <c r="D135" s="2">
        <v>52</v>
      </c>
      <c r="F135" s="2">
        <v>0.64880952380952384</v>
      </c>
      <c r="G135" s="2">
        <v>0.6149068322981367</v>
      </c>
      <c r="H135" s="2">
        <v>-3.390269151138714E-2</v>
      </c>
    </row>
    <row r="136" spans="1:8" ht="15.75" customHeight="1" x14ac:dyDescent="0.3">
      <c r="A136" s="2" t="s">
        <v>37</v>
      </c>
      <c r="B136" s="2" t="s">
        <v>42</v>
      </c>
      <c r="C136" s="2" t="s">
        <v>39</v>
      </c>
      <c r="D136" s="2">
        <v>53</v>
      </c>
      <c r="E136" s="2" t="s">
        <v>49</v>
      </c>
      <c r="F136" s="2">
        <v>0.70748299319727892</v>
      </c>
      <c r="G136" s="2">
        <v>0.74924471299093653</v>
      </c>
      <c r="H136" s="2">
        <v>4.1761719793657608E-2</v>
      </c>
    </row>
    <row r="137" spans="1:8" ht="15.75" customHeight="1" x14ac:dyDescent="0.3">
      <c r="A137" s="2" t="s">
        <v>37</v>
      </c>
      <c r="B137" s="2" t="s">
        <v>42</v>
      </c>
      <c r="C137" s="2" t="s">
        <v>39</v>
      </c>
      <c r="D137" s="2">
        <v>53</v>
      </c>
      <c r="F137" s="2">
        <v>0.56862745098039202</v>
      </c>
      <c r="G137" s="2">
        <v>0.65846153846153843</v>
      </c>
      <c r="H137" s="2">
        <v>8.9834087481146407E-2</v>
      </c>
    </row>
    <row r="138" spans="1:8" ht="15.75" customHeight="1" x14ac:dyDescent="0.3">
      <c r="A138" s="2" t="s">
        <v>37</v>
      </c>
      <c r="B138" s="2" t="s">
        <v>42</v>
      </c>
      <c r="C138" s="2" t="s">
        <v>39</v>
      </c>
      <c r="D138" s="2">
        <v>54</v>
      </c>
      <c r="E138" s="2" t="s">
        <v>49</v>
      </c>
      <c r="F138" s="2">
        <v>0.84488448844884501</v>
      </c>
      <c r="G138" s="2">
        <v>0.77333333333333343</v>
      </c>
      <c r="H138" s="2">
        <v>-7.1551155115511578E-2</v>
      </c>
    </row>
    <row r="139" spans="1:8" ht="15.75" customHeight="1" x14ac:dyDescent="0.3">
      <c r="A139" s="2" t="s">
        <v>37</v>
      </c>
      <c r="B139" s="2" t="s">
        <v>42</v>
      </c>
      <c r="C139" s="2" t="s">
        <v>39</v>
      </c>
      <c r="D139" s="2">
        <v>54</v>
      </c>
      <c r="F139" s="2">
        <v>0.63448275862068959</v>
      </c>
      <c r="G139" s="2">
        <v>0.6283783783783784</v>
      </c>
      <c r="H139" s="2">
        <v>-6.1043802423111906E-3</v>
      </c>
    </row>
    <row r="140" spans="1:8" ht="15.75" customHeight="1" x14ac:dyDescent="0.3">
      <c r="A140" s="2" t="s">
        <v>37</v>
      </c>
      <c r="B140" s="2" t="s">
        <v>42</v>
      </c>
      <c r="C140" s="2" t="s">
        <v>39</v>
      </c>
      <c r="D140" s="2">
        <v>55</v>
      </c>
      <c r="E140" s="2" t="s">
        <v>49</v>
      </c>
      <c r="F140" s="2">
        <v>0.78125</v>
      </c>
      <c r="G140" s="2">
        <v>0.73456790123456783</v>
      </c>
      <c r="H140" s="2">
        <v>-4.6682098765432167E-2</v>
      </c>
    </row>
    <row r="141" spans="1:8" ht="15.75" customHeight="1" x14ac:dyDescent="0.3">
      <c r="A141" s="2" t="s">
        <v>37</v>
      </c>
      <c r="B141" s="2" t="s">
        <v>42</v>
      </c>
      <c r="C141" s="2" t="s">
        <v>39</v>
      </c>
      <c r="D141" s="2">
        <v>55</v>
      </c>
      <c r="F141" s="2">
        <v>0.64797507788162001</v>
      </c>
      <c r="G141" s="2">
        <v>0.5928338762214983</v>
      </c>
      <c r="H141" s="2">
        <v>-5.5141201660121708E-2</v>
      </c>
    </row>
    <row r="142" spans="1:8" ht="15.75" customHeight="1" x14ac:dyDescent="0.3">
      <c r="A142" s="2" t="s">
        <v>37</v>
      </c>
      <c r="B142" s="2" t="s">
        <v>42</v>
      </c>
      <c r="C142" s="2" t="s">
        <v>39</v>
      </c>
      <c r="D142" s="2">
        <v>56</v>
      </c>
      <c r="E142" s="2" t="s">
        <v>49</v>
      </c>
      <c r="F142" s="2">
        <v>0.75747508305647848</v>
      </c>
      <c r="G142" s="2">
        <v>0.79365079365079361</v>
      </c>
      <c r="H142" s="2">
        <v>3.6175710594315118E-2</v>
      </c>
    </row>
    <row r="143" spans="1:8" ht="15.75" customHeight="1" x14ac:dyDescent="0.3">
      <c r="A143" s="2" t="s">
        <v>37</v>
      </c>
      <c r="B143" s="2" t="s">
        <v>42</v>
      </c>
      <c r="C143" s="2" t="s">
        <v>39</v>
      </c>
      <c r="D143" s="2">
        <v>56</v>
      </c>
      <c r="F143" s="2">
        <v>0.64</v>
      </c>
      <c r="G143" s="2">
        <v>0.68896321070234112</v>
      </c>
      <c r="H143" s="2">
        <v>4.8963210702341109E-2</v>
      </c>
    </row>
    <row r="144" spans="1:8" ht="15.75" customHeight="1" x14ac:dyDescent="0.3">
      <c r="A144" s="2" t="s">
        <v>37</v>
      </c>
      <c r="B144" s="2" t="s">
        <v>42</v>
      </c>
      <c r="C144" s="2" t="s">
        <v>39</v>
      </c>
      <c r="D144" s="2">
        <v>57</v>
      </c>
      <c r="E144" s="2" t="s">
        <v>49</v>
      </c>
      <c r="F144" s="2">
        <v>0.8109756097560975</v>
      </c>
      <c r="G144" s="2">
        <v>0.74777448071216623</v>
      </c>
      <c r="H144" s="2">
        <v>-6.320112904393127E-2</v>
      </c>
    </row>
    <row r="145" spans="1:8" ht="15.75" customHeight="1" x14ac:dyDescent="0.3">
      <c r="A145" s="2" t="s">
        <v>37</v>
      </c>
      <c r="B145" s="2" t="s">
        <v>42</v>
      </c>
      <c r="C145" s="2" t="s">
        <v>39</v>
      </c>
      <c r="D145" s="2">
        <v>57</v>
      </c>
      <c r="F145" s="2">
        <v>0.64197530864197527</v>
      </c>
      <c r="G145" s="2">
        <v>0.62305295950155759</v>
      </c>
      <c r="H145" s="2">
        <v>-1.8922349140417679E-2</v>
      </c>
    </row>
    <row r="146" spans="1:8" ht="15.75" customHeight="1" x14ac:dyDescent="0.3">
      <c r="A146" s="2" t="s">
        <v>37</v>
      </c>
      <c r="B146" s="2" t="s">
        <v>42</v>
      </c>
      <c r="C146" s="2" t="s">
        <v>39</v>
      </c>
      <c r="D146" s="2">
        <v>58</v>
      </c>
      <c r="E146" s="2" t="s">
        <v>49</v>
      </c>
      <c r="F146" s="2">
        <v>0.70870870870870872</v>
      </c>
      <c r="G146" s="2">
        <v>0.82622950819672136</v>
      </c>
      <c r="H146" s="2">
        <v>0.1175207994880126</v>
      </c>
    </row>
    <row r="147" spans="1:8" ht="15.75" customHeight="1" x14ac:dyDescent="0.3">
      <c r="A147" s="2" t="s">
        <v>37</v>
      </c>
      <c r="B147" s="2" t="s">
        <v>42</v>
      </c>
      <c r="C147" s="2" t="s">
        <v>39</v>
      </c>
      <c r="D147" s="2">
        <v>58</v>
      </c>
      <c r="F147" s="2">
        <v>0.60479041916167664</v>
      </c>
      <c r="G147" s="2">
        <v>0.67774086378737541</v>
      </c>
      <c r="H147" s="2">
        <v>7.2950444625698774E-2</v>
      </c>
    </row>
    <row r="148" spans="1:8" ht="15.75" customHeight="1" x14ac:dyDescent="0.3">
      <c r="A148" s="2" t="s">
        <v>37</v>
      </c>
      <c r="B148" s="2" t="s">
        <v>42</v>
      </c>
      <c r="C148" s="2" t="s">
        <v>39</v>
      </c>
      <c r="D148" s="2">
        <v>59</v>
      </c>
      <c r="E148" s="2" t="s">
        <v>49</v>
      </c>
      <c r="F148" s="2">
        <v>0.78186968838526916</v>
      </c>
      <c r="G148" s="2">
        <v>0.7815384615384614</v>
      </c>
      <c r="H148" s="2">
        <v>-3.3122684680775277E-4</v>
      </c>
    </row>
    <row r="149" spans="1:8" ht="15.75" customHeight="1" x14ac:dyDescent="0.3">
      <c r="A149" s="2" t="s">
        <v>37</v>
      </c>
      <c r="B149" s="2" t="s">
        <v>42</v>
      </c>
      <c r="C149" s="2" t="s">
        <v>39</v>
      </c>
      <c r="D149" s="2">
        <v>59</v>
      </c>
      <c r="F149" s="2">
        <v>0.61281337047353757</v>
      </c>
      <c r="G149" s="2">
        <v>0.65814696485623014</v>
      </c>
      <c r="H149" s="2">
        <v>4.5333594382692577E-2</v>
      </c>
    </row>
    <row r="150" spans="1:8" ht="15.75" customHeight="1" x14ac:dyDescent="0.3">
      <c r="A150" s="2" t="s">
        <v>37</v>
      </c>
      <c r="B150" s="2" t="s">
        <v>42</v>
      </c>
      <c r="C150" s="2" t="s">
        <v>39</v>
      </c>
      <c r="D150" s="2">
        <v>60</v>
      </c>
      <c r="E150" s="2" t="s">
        <v>49</v>
      </c>
      <c r="F150" s="2">
        <v>0.73394495412844041</v>
      </c>
      <c r="G150" s="2">
        <v>0.7306501547987615</v>
      </c>
      <c r="H150" s="2">
        <v>-3.2947993296789102E-3</v>
      </c>
    </row>
    <row r="151" spans="1:8" ht="15.75" customHeight="1" x14ac:dyDescent="0.3">
      <c r="A151" s="2" t="s">
        <v>37</v>
      </c>
      <c r="B151" s="2" t="s">
        <v>42</v>
      </c>
      <c r="C151" s="2" t="s">
        <v>39</v>
      </c>
      <c r="D151" s="2">
        <v>60</v>
      </c>
      <c r="F151" s="2">
        <v>0.42499999999999999</v>
      </c>
      <c r="G151" s="2">
        <v>0.60436137071651097</v>
      </c>
      <c r="H151" s="2">
        <v>0.17936137071651101</v>
      </c>
    </row>
    <row r="152" spans="1:8" ht="15.75" customHeight="1" x14ac:dyDescent="0.3">
      <c r="A152" s="2" t="s">
        <v>37</v>
      </c>
      <c r="B152" s="2" t="s">
        <v>42</v>
      </c>
      <c r="C152" s="2" t="s">
        <v>39</v>
      </c>
      <c r="D152" s="2">
        <v>61</v>
      </c>
      <c r="E152" s="2" t="s">
        <v>49</v>
      </c>
      <c r="F152" s="2">
        <v>0.78032786885245908</v>
      </c>
      <c r="G152" s="2">
        <v>0.79420289855072468</v>
      </c>
      <c r="H152" s="2">
        <v>1.38750296982656E-2</v>
      </c>
    </row>
    <row r="153" spans="1:8" ht="15.75" customHeight="1" x14ac:dyDescent="0.3">
      <c r="A153" s="2" t="s">
        <v>37</v>
      </c>
      <c r="B153" s="2" t="s">
        <v>42</v>
      </c>
      <c r="C153" s="2" t="s">
        <v>39</v>
      </c>
      <c r="D153" s="2">
        <v>61</v>
      </c>
      <c r="F153" s="2">
        <v>0.63157894736842102</v>
      </c>
      <c r="G153" s="2">
        <v>0.64880952380952384</v>
      </c>
      <c r="H153" s="2">
        <v>1.7230576441102818E-2</v>
      </c>
    </row>
    <row r="154" spans="1:8" ht="15.75" customHeight="1" x14ac:dyDescent="0.3">
      <c r="A154" s="2" t="s">
        <v>37</v>
      </c>
      <c r="B154" s="2" t="s">
        <v>42</v>
      </c>
      <c r="C154" s="2" t="s">
        <v>43</v>
      </c>
      <c r="D154" s="2">
        <v>42</v>
      </c>
      <c r="E154" s="2" t="s">
        <v>49</v>
      </c>
      <c r="F154" s="2">
        <v>0.80434782608695654</v>
      </c>
      <c r="G154" s="2">
        <v>0.78287461773700318</v>
      </c>
      <c r="H154" s="2">
        <v>-2.1473208349953369E-2</v>
      </c>
    </row>
    <row r="155" spans="1:8" ht="15.75" customHeight="1" x14ac:dyDescent="0.3">
      <c r="A155" s="2" t="s">
        <v>37</v>
      </c>
      <c r="B155" s="2" t="s">
        <v>42</v>
      </c>
      <c r="C155" s="2" t="s">
        <v>43</v>
      </c>
      <c r="D155" s="2">
        <v>42</v>
      </c>
      <c r="F155" s="2">
        <v>0.58823529411764708</v>
      </c>
      <c r="G155" s="2">
        <v>0.61059190031152644</v>
      </c>
      <c r="H155" s="2">
        <v>2.2356606193879362E-2</v>
      </c>
    </row>
    <row r="156" spans="1:8" ht="15.75" customHeight="1" x14ac:dyDescent="0.3">
      <c r="A156" s="2" t="s">
        <v>37</v>
      </c>
      <c r="B156" s="2" t="s">
        <v>42</v>
      </c>
      <c r="C156" s="2" t="s">
        <v>43</v>
      </c>
      <c r="D156" s="2">
        <v>43</v>
      </c>
      <c r="E156" s="2" t="s">
        <v>49</v>
      </c>
      <c r="F156" s="2">
        <v>0.75316455696202533</v>
      </c>
      <c r="G156" s="2">
        <v>0.72297297297297303</v>
      </c>
      <c r="H156" s="2">
        <v>-3.019158398905231E-2</v>
      </c>
    </row>
    <row r="157" spans="1:8" ht="15.75" customHeight="1" x14ac:dyDescent="0.3">
      <c r="A157" s="2" t="s">
        <v>37</v>
      </c>
      <c r="B157" s="2" t="s">
        <v>42</v>
      </c>
      <c r="C157" s="2" t="s">
        <v>43</v>
      </c>
      <c r="D157" s="2">
        <v>43</v>
      </c>
      <c r="F157" s="2">
        <v>0.61631419939577037</v>
      </c>
      <c r="G157" s="2">
        <v>0.59800664451827246</v>
      </c>
      <c r="H157" s="2">
        <v>-1.8307554877497911E-2</v>
      </c>
    </row>
    <row r="158" spans="1:8" ht="15.75" customHeight="1" x14ac:dyDescent="0.3">
      <c r="A158" s="2" t="s">
        <v>37</v>
      </c>
      <c r="B158" s="2" t="s">
        <v>42</v>
      </c>
      <c r="C158" s="2" t="s">
        <v>43</v>
      </c>
      <c r="D158" s="2">
        <v>44</v>
      </c>
      <c r="E158" s="2" t="s">
        <v>49</v>
      </c>
      <c r="F158" s="2">
        <v>0.77848101265822789</v>
      </c>
      <c r="G158" s="2">
        <v>0.81388012618296524</v>
      </c>
      <c r="H158" s="2">
        <v>3.5399113524737347E-2</v>
      </c>
    </row>
    <row r="159" spans="1:8" ht="15.75" customHeight="1" x14ac:dyDescent="0.3">
      <c r="A159" s="2" t="s">
        <v>37</v>
      </c>
      <c r="B159" s="2" t="s">
        <v>42</v>
      </c>
      <c r="C159" s="2" t="s">
        <v>43</v>
      </c>
      <c r="D159" s="2">
        <v>44</v>
      </c>
      <c r="F159" s="2">
        <v>0.58385093167701863</v>
      </c>
      <c r="G159" s="2">
        <v>0.62006079027355632</v>
      </c>
      <c r="H159" s="2">
        <v>3.6209858596537692E-2</v>
      </c>
    </row>
    <row r="160" spans="1:8" ht="15.75" customHeight="1" x14ac:dyDescent="0.3">
      <c r="A160" s="2" t="s">
        <v>37</v>
      </c>
      <c r="B160" s="2" t="s">
        <v>42</v>
      </c>
      <c r="C160" s="2" t="s">
        <v>43</v>
      </c>
      <c r="D160" s="2">
        <v>45</v>
      </c>
      <c r="E160" s="2" t="s">
        <v>49</v>
      </c>
      <c r="F160" s="2">
        <v>0.78431372549019618</v>
      </c>
      <c r="G160" s="2">
        <v>0.81846153846153846</v>
      </c>
      <c r="H160" s="2">
        <v>3.4147812971342277E-2</v>
      </c>
    </row>
    <row r="161" spans="1:8" ht="15.75" customHeight="1" x14ac:dyDescent="0.3">
      <c r="A161" s="2" t="s">
        <v>37</v>
      </c>
      <c r="B161" s="2" t="s">
        <v>42</v>
      </c>
      <c r="C161" s="2" t="s">
        <v>43</v>
      </c>
      <c r="D161" s="2">
        <v>45</v>
      </c>
      <c r="F161" s="2">
        <v>0.62745098039215674</v>
      </c>
      <c r="G161" s="2">
        <v>0.65230769230769226</v>
      </c>
      <c r="H161" s="2">
        <v>2.4856711915535509E-2</v>
      </c>
    </row>
    <row r="162" spans="1:8" ht="15.75" customHeight="1" x14ac:dyDescent="0.3">
      <c r="A162" s="2" t="s">
        <v>37</v>
      </c>
      <c r="B162" s="2" t="s">
        <v>42</v>
      </c>
      <c r="C162" s="2" t="s">
        <v>43</v>
      </c>
      <c r="D162" s="2">
        <v>46</v>
      </c>
      <c r="E162" s="2" t="s">
        <v>49</v>
      </c>
      <c r="F162" s="2">
        <v>0.79259259259259263</v>
      </c>
      <c r="G162" s="2">
        <v>0.79605263157894735</v>
      </c>
      <c r="H162" s="2">
        <v>3.4600389863547192E-3</v>
      </c>
    </row>
    <row r="163" spans="1:8" ht="15.75" customHeight="1" x14ac:dyDescent="0.3">
      <c r="A163" s="2" t="s">
        <v>37</v>
      </c>
      <c r="B163" s="2" t="s">
        <v>42</v>
      </c>
      <c r="C163" s="2" t="s">
        <v>43</v>
      </c>
      <c r="D163" s="2">
        <v>46</v>
      </c>
      <c r="F163" s="2">
        <v>0.63043478260869557</v>
      </c>
      <c r="G163" s="2">
        <v>0.63398692810457524</v>
      </c>
      <c r="H163" s="2">
        <v>3.5521454958796772E-3</v>
      </c>
    </row>
    <row r="164" spans="1:8" ht="15.75" customHeight="1" x14ac:dyDescent="0.3">
      <c r="A164" s="2" t="s">
        <v>37</v>
      </c>
      <c r="B164" s="2" t="s">
        <v>42</v>
      </c>
      <c r="C164" s="2" t="s">
        <v>43</v>
      </c>
      <c r="D164" s="2">
        <v>47</v>
      </c>
      <c r="E164" s="2" t="s">
        <v>49</v>
      </c>
      <c r="F164" s="2">
        <v>0.87106017191977081</v>
      </c>
      <c r="G164" s="2">
        <v>0.80243161094224924</v>
      </c>
      <c r="H164" s="2">
        <v>-6.8628560977521569E-2</v>
      </c>
    </row>
    <row r="165" spans="1:8" ht="15.75" customHeight="1" x14ac:dyDescent="0.3">
      <c r="A165" s="2" t="s">
        <v>37</v>
      </c>
      <c r="B165" s="2" t="s">
        <v>42</v>
      </c>
      <c r="C165" s="2" t="s">
        <v>43</v>
      </c>
      <c r="D165" s="2">
        <v>47</v>
      </c>
      <c r="F165" s="2">
        <v>0.62889518413597734</v>
      </c>
      <c r="G165" s="2">
        <v>0.62089552238805978</v>
      </c>
      <c r="H165" s="2">
        <v>-7.9996617479175525E-3</v>
      </c>
    </row>
    <row r="166" spans="1:8" ht="15.75" customHeight="1" x14ac:dyDescent="0.3">
      <c r="A166" s="2" t="s">
        <v>37</v>
      </c>
      <c r="B166" s="2" t="s">
        <v>42</v>
      </c>
      <c r="C166" s="2" t="s">
        <v>43</v>
      </c>
      <c r="D166" s="2">
        <v>48</v>
      </c>
      <c r="E166" s="2" t="s">
        <v>49</v>
      </c>
      <c r="F166" s="2">
        <v>0.75862068965517249</v>
      </c>
      <c r="G166" s="2">
        <v>0.78637770897832815</v>
      </c>
      <c r="H166" s="2">
        <v>2.7757019323155659E-2</v>
      </c>
    </row>
    <row r="167" spans="1:8" ht="15.75" customHeight="1" x14ac:dyDescent="0.3">
      <c r="A167" s="2" t="s">
        <v>37</v>
      </c>
      <c r="B167" s="2" t="s">
        <v>42</v>
      </c>
      <c r="C167" s="2" t="s">
        <v>43</v>
      </c>
      <c r="D167" s="2">
        <v>48</v>
      </c>
      <c r="F167" s="2">
        <v>0.60493827160493829</v>
      </c>
      <c r="G167" s="2">
        <v>0.61861861861861855</v>
      </c>
      <c r="H167" s="2">
        <v>1.3680347013680261E-2</v>
      </c>
    </row>
    <row r="168" spans="1:8" ht="15.75" customHeight="1" x14ac:dyDescent="0.3">
      <c r="A168" s="2" t="s">
        <v>37</v>
      </c>
      <c r="B168" s="2" t="s">
        <v>42</v>
      </c>
      <c r="C168" s="2" t="s">
        <v>43</v>
      </c>
      <c r="D168" s="2">
        <v>49</v>
      </c>
      <c r="E168" s="2" t="s">
        <v>49</v>
      </c>
      <c r="F168" s="2">
        <v>0.74342105263157887</v>
      </c>
      <c r="G168" s="2">
        <v>0.7396449704142013</v>
      </c>
      <c r="H168" s="2">
        <v>-3.7760822173775739E-3</v>
      </c>
    </row>
    <row r="169" spans="1:8" ht="15.75" customHeight="1" x14ac:dyDescent="0.3">
      <c r="A169" s="2" t="s">
        <v>37</v>
      </c>
      <c r="B169" s="2" t="s">
        <v>42</v>
      </c>
      <c r="C169" s="2" t="s">
        <v>43</v>
      </c>
      <c r="D169" s="2">
        <v>49</v>
      </c>
      <c r="F169" s="2">
        <v>0.55238095238095231</v>
      </c>
      <c r="G169" s="2">
        <v>0.61818181818181817</v>
      </c>
      <c r="H169" s="2">
        <v>6.580086580086586E-2</v>
      </c>
    </row>
    <row r="170" spans="1:8" ht="15.75" customHeight="1" x14ac:dyDescent="0.3">
      <c r="A170" s="2" t="s">
        <v>37</v>
      </c>
      <c r="B170" s="2" t="s">
        <v>42</v>
      </c>
      <c r="C170" s="2" t="s">
        <v>43</v>
      </c>
      <c r="D170" s="2">
        <v>50</v>
      </c>
      <c r="E170" s="2" t="s">
        <v>49</v>
      </c>
      <c r="F170" s="2">
        <v>0.8424908424908425</v>
      </c>
      <c r="G170" s="2">
        <v>0.80528052805280537</v>
      </c>
      <c r="H170" s="2">
        <v>-3.7210314438037129E-2</v>
      </c>
    </row>
    <row r="171" spans="1:8" ht="15.75" customHeight="1" x14ac:dyDescent="0.3">
      <c r="A171" s="2" t="s">
        <v>37</v>
      </c>
      <c r="B171" s="2" t="s">
        <v>42</v>
      </c>
      <c r="C171" s="2" t="s">
        <v>43</v>
      </c>
      <c r="D171" s="2">
        <v>50</v>
      </c>
      <c r="F171" s="2">
        <v>0.55319148936170215</v>
      </c>
      <c r="G171" s="2">
        <v>0.6298701298701298</v>
      </c>
      <c r="H171" s="2">
        <v>7.6678640508427653E-2</v>
      </c>
    </row>
    <row r="172" spans="1:8" ht="15.75" customHeight="1" x14ac:dyDescent="0.3">
      <c r="A172" s="2" t="s">
        <v>37</v>
      </c>
      <c r="B172" s="2" t="s">
        <v>42</v>
      </c>
      <c r="C172" s="2" t="s">
        <v>43</v>
      </c>
      <c r="D172" s="2">
        <v>51</v>
      </c>
      <c r="E172" s="2" t="s">
        <v>49</v>
      </c>
      <c r="F172" s="2">
        <v>0.77524429967426711</v>
      </c>
      <c r="G172" s="2">
        <v>0.80368098159509194</v>
      </c>
      <c r="H172" s="2">
        <v>2.8436681920824821E-2</v>
      </c>
    </row>
    <row r="173" spans="1:8" ht="15.75" customHeight="1" x14ac:dyDescent="0.3">
      <c r="A173" s="2" t="s">
        <v>37</v>
      </c>
      <c r="B173" s="2" t="s">
        <v>42</v>
      </c>
      <c r="C173" s="2" t="s">
        <v>43</v>
      </c>
      <c r="D173" s="2">
        <v>51</v>
      </c>
      <c r="F173" s="2">
        <v>0.62987012987012991</v>
      </c>
      <c r="G173" s="2">
        <v>0.62613981762917936</v>
      </c>
      <c r="H173" s="2">
        <v>-3.7303122409505511E-3</v>
      </c>
    </row>
    <row r="174" spans="1:8" ht="15.75" customHeight="1" x14ac:dyDescent="0.3">
      <c r="A174" s="2" t="s">
        <v>37</v>
      </c>
      <c r="B174" s="2" t="s">
        <v>42</v>
      </c>
      <c r="C174" s="2" t="s">
        <v>43</v>
      </c>
      <c r="D174" s="2">
        <v>52</v>
      </c>
      <c r="E174" s="2" t="s">
        <v>49</v>
      </c>
      <c r="F174" s="2">
        <v>0.8421052631578948</v>
      </c>
      <c r="G174" s="2">
        <v>0.80733944954128445</v>
      </c>
      <c r="H174" s="2">
        <v>-3.4765813616610353E-2</v>
      </c>
    </row>
    <row r="175" spans="1:8" ht="15.75" customHeight="1" x14ac:dyDescent="0.3">
      <c r="A175" s="2" t="s">
        <v>37</v>
      </c>
      <c r="B175" s="2" t="s">
        <v>42</v>
      </c>
      <c r="C175" s="2" t="s">
        <v>43</v>
      </c>
      <c r="D175" s="2">
        <v>52</v>
      </c>
      <c r="F175" s="2">
        <v>0.55270655270655267</v>
      </c>
      <c r="G175" s="2">
        <v>0.55555555555555558</v>
      </c>
      <c r="H175" s="2">
        <v>2.8490028490029129E-3</v>
      </c>
    </row>
    <row r="176" spans="1:8" ht="15.75" customHeight="1" x14ac:dyDescent="0.3">
      <c r="A176" s="2" t="s">
        <v>37</v>
      </c>
      <c r="B176" s="2" t="s">
        <v>42</v>
      </c>
      <c r="C176" s="2" t="s">
        <v>43</v>
      </c>
      <c r="D176" s="2">
        <v>53</v>
      </c>
      <c r="E176" s="2" t="s">
        <v>49</v>
      </c>
      <c r="F176" s="2">
        <v>0.72666666666666668</v>
      </c>
      <c r="G176" s="2">
        <v>0.87261146496815278</v>
      </c>
      <c r="H176" s="2">
        <v>0.1459447983014861</v>
      </c>
    </row>
    <row r="177" spans="1:8" ht="15.75" customHeight="1" x14ac:dyDescent="0.3">
      <c r="A177" s="2" t="s">
        <v>37</v>
      </c>
      <c r="B177" s="2" t="s">
        <v>42</v>
      </c>
      <c r="C177" s="2" t="s">
        <v>43</v>
      </c>
      <c r="D177" s="2">
        <v>53</v>
      </c>
      <c r="F177" s="2">
        <v>0.57605177993527512</v>
      </c>
      <c r="G177" s="2">
        <v>0.65243902439024382</v>
      </c>
      <c r="H177" s="2">
        <v>7.6387244454968695E-2</v>
      </c>
    </row>
    <row r="178" spans="1:8" ht="15.75" customHeight="1" x14ac:dyDescent="0.3">
      <c r="A178" s="2" t="s">
        <v>37</v>
      </c>
      <c r="B178" s="2" t="s">
        <v>42</v>
      </c>
      <c r="C178" s="2" t="s">
        <v>43</v>
      </c>
      <c r="D178" s="2">
        <v>54</v>
      </c>
      <c r="E178" s="2" t="s">
        <v>49</v>
      </c>
      <c r="F178" s="2">
        <v>0.84142394822006472</v>
      </c>
      <c r="G178" s="2">
        <v>0.81433224755700329</v>
      </c>
      <c r="H178" s="2">
        <v>-2.7091700663061439E-2</v>
      </c>
    </row>
    <row r="179" spans="1:8" ht="15.75" customHeight="1" x14ac:dyDescent="0.3">
      <c r="A179" s="2" t="s">
        <v>37</v>
      </c>
      <c r="B179" s="2" t="s">
        <v>42</v>
      </c>
      <c r="C179" s="2" t="s">
        <v>43</v>
      </c>
      <c r="D179" s="2">
        <v>54</v>
      </c>
      <c r="F179" s="2">
        <v>0.56310679611650483</v>
      </c>
      <c r="G179" s="2">
        <v>0.63430420711974111</v>
      </c>
      <c r="H179" s="2">
        <v>7.1197411003236288E-2</v>
      </c>
    </row>
    <row r="180" spans="1:8" ht="15.75" customHeight="1" x14ac:dyDescent="0.3">
      <c r="A180" s="2" t="s">
        <v>37</v>
      </c>
      <c r="B180" s="2" t="s">
        <v>42</v>
      </c>
      <c r="C180" s="2" t="s">
        <v>43</v>
      </c>
      <c r="D180" s="2">
        <v>55</v>
      </c>
      <c r="E180" s="2" t="s">
        <v>49</v>
      </c>
      <c r="F180" s="2">
        <v>0.85625000000000007</v>
      </c>
      <c r="G180" s="2">
        <v>0.79393939393939394</v>
      </c>
      <c r="H180" s="2">
        <v>-6.2310606060606122E-2</v>
      </c>
    </row>
    <row r="181" spans="1:8" ht="15.75" customHeight="1" x14ac:dyDescent="0.3">
      <c r="A181" s="2" t="s">
        <v>37</v>
      </c>
      <c r="B181" s="2" t="s">
        <v>42</v>
      </c>
      <c r="C181" s="2" t="s">
        <v>43</v>
      </c>
      <c r="D181" s="2">
        <v>55</v>
      </c>
      <c r="F181" s="2">
        <v>0.55786350148367958</v>
      </c>
      <c r="G181" s="2">
        <v>0.60843373493975905</v>
      </c>
      <c r="H181" s="2">
        <v>5.0570233456079472E-2</v>
      </c>
    </row>
    <row r="182" spans="1:8" ht="15.75" customHeight="1" x14ac:dyDescent="0.3">
      <c r="A182" s="2" t="s">
        <v>37</v>
      </c>
      <c r="B182" s="2" t="s">
        <v>42</v>
      </c>
      <c r="C182" s="2" t="s">
        <v>43</v>
      </c>
      <c r="D182" s="2">
        <v>56</v>
      </c>
      <c r="E182" s="2" t="s">
        <v>49</v>
      </c>
      <c r="F182" s="2">
        <v>0.80267558528428085</v>
      </c>
      <c r="G182" s="2">
        <v>0.83706070287539935</v>
      </c>
      <c r="H182" s="2">
        <v>3.4385117591118508E-2</v>
      </c>
    </row>
    <row r="183" spans="1:8" ht="15.75" customHeight="1" x14ac:dyDescent="0.3">
      <c r="A183" s="2" t="s">
        <v>37</v>
      </c>
      <c r="B183" s="2" t="s">
        <v>42</v>
      </c>
      <c r="C183" s="2" t="s">
        <v>43</v>
      </c>
      <c r="D183" s="2">
        <v>56</v>
      </c>
      <c r="F183" s="2">
        <v>0.632996632996633</v>
      </c>
      <c r="G183" s="2">
        <v>0.65830721003134784</v>
      </c>
      <c r="H183" s="2">
        <v>2.5310577034714839E-2</v>
      </c>
    </row>
    <row r="184" spans="1:8" ht="15.75" customHeight="1" x14ac:dyDescent="0.3">
      <c r="A184" s="2" t="s">
        <v>37</v>
      </c>
      <c r="B184" s="2" t="s">
        <v>42</v>
      </c>
      <c r="C184" s="2" t="s">
        <v>43</v>
      </c>
      <c r="D184" s="2">
        <v>57</v>
      </c>
      <c r="E184" s="2" t="s">
        <v>49</v>
      </c>
      <c r="F184" s="2">
        <v>0.81707317073170738</v>
      </c>
      <c r="G184" s="2">
        <v>0.78466076696165188</v>
      </c>
      <c r="H184" s="2">
        <v>-3.2412403770055498E-2</v>
      </c>
    </row>
    <row r="185" spans="1:8" ht="15.75" customHeight="1" x14ac:dyDescent="0.3">
      <c r="A185" s="2" t="s">
        <v>37</v>
      </c>
      <c r="B185" s="2" t="s">
        <v>42</v>
      </c>
      <c r="C185" s="2" t="s">
        <v>43</v>
      </c>
      <c r="D185" s="2">
        <v>57</v>
      </c>
      <c r="F185" s="2">
        <v>0.60766961651917406</v>
      </c>
      <c r="G185" s="2">
        <v>0.59459459459459463</v>
      </c>
      <c r="H185" s="2">
        <v>-1.307502192457943E-2</v>
      </c>
    </row>
    <row r="186" spans="1:8" ht="15.75" customHeight="1" x14ac:dyDescent="0.3">
      <c r="A186" s="2" t="s">
        <v>37</v>
      </c>
      <c r="B186" s="2" t="s">
        <v>42</v>
      </c>
      <c r="C186" s="2" t="s">
        <v>43</v>
      </c>
      <c r="D186" s="2">
        <v>58</v>
      </c>
      <c r="E186" s="2" t="s">
        <v>49</v>
      </c>
      <c r="F186" s="2">
        <v>0.76160990712074306</v>
      </c>
      <c r="G186" s="2">
        <v>0.82958199356913187</v>
      </c>
      <c r="H186" s="2">
        <v>6.7972086448388813E-2</v>
      </c>
    </row>
    <row r="187" spans="1:8" ht="15.75" customHeight="1" x14ac:dyDescent="0.3">
      <c r="A187" s="2" t="s">
        <v>37</v>
      </c>
      <c r="B187" s="2" t="s">
        <v>42</v>
      </c>
      <c r="C187" s="2" t="s">
        <v>43</v>
      </c>
      <c r="D187" s="2">
        <v>58</v>
      </c>
      <c r="F187" s="2">
        <v>0.55786350148367958</v>
      </c>
      <c r="G187" s="2">
        <v>0.63694267515923564</v>
      </c>
      <c r="H187" s="2">
        <v>7.9079173675556058E-2</v>
      </c>
    </row>
    <row r="188" spans="1:8" ht="15.75" customHeight="1" x14ac:dyDescent="0.3">
      <c r="A188" s="2" t="s">
        <v>37</v>
      </c>
      <c r="B188" s="2" t="s">
        <v>42</v>
      </c>
      <c r="C188" s="2" t="s">
        <v>43</v>
      </c>
      <c r="D188" s="2">
        <v>59</v>
      </c>
      <c r="E188" s="2" t="s">
        <v>49</v>
      </c>
      <c r="F188" s="2">
        <v>0.78888888888888886</v>
      </c>
      <c r="G188" s="2">
        <v>0.78915662650602403</v>
      </c>
      <c r="H188" s="2">
        <v>2.6773761713516642E-4</v>
      </c>
    </row>
    <row r="189" spans="1:8" ht="15.75" customHeight="1" x14ac:dyDescent="0.3">
      <c r="A189" s="2" t="s">
        <v>37</v>
      </c>
      <c r="B189" s="2" t="s">
        <v>42</v>
      </c>
      <c r="C189" s="2" t="s">
        <v>43</v>
      </c>
      <c r="D189" s="2">
        <v>59</v>
      </c>
      <c r="F189" s="2">
        <v>0.55000000000000004</v>
      </c>
      <c r="G189" s="2">
        <v>0.62424242424242427</v>
      </c>
      <c r="H189" s="2">
        <v>7.4242424242424221E-2</v>
      </c>
    </row>
    <row r="190" spans="1:8" ht="15.75" customHeight="1" x14ac:dyDescent="0.3">
      <c r="A190" s="2" t="s">
        <v>37</v>
      </c>
      <c r="B190" s="2" t="s">
        <v>42</v>
      </c>
      <c r="C190" s="2" t="s">
        <v>43</v>
      </c>
      <c r="D190" s="2">
        <v>60</v>
      </c>
      <c r="E190" s="2" t="s">
        <v>49</v>
      </c>
      <c r="F190" s="2">
        <v>0.78181818181818175</v>
      </c>
      <c r="G190" s="2">
        <v>0.74461538461538468</v>
      </c>
      <c r="H190" s="2">
        <v>-3.7202797202797067E-2</v>
      </c>
    </row>
    <row r="191" spans="1:8" ht="15.75" customHeight="1" x14ac:dyDescent="0.3">
      <c r="A191" s="2" t="s">
        <v>37</v>
      </c>
      <c r="B191" s="2" t="s">
        <v>42</v>
      </c>
      <c r="C191" s="2" t="s">
        <v>43</v>
      </c>
      <c r="D191" s="2">
        <v>60</v>
      </c>
      <c r="F191" s="2">
        <v>0.53529411764705881</v>
      </c>
      <c r="G191" s="2">
        <v>0.55757575757575761</v>
      </c>
      <c r="H191" s="2">
        <v>2.2281639928698801E-2</v>
      </c>
    </row>
    <row r="192" spans="1:8" ht="15.75" customHeight="1" x14ac:dyDescent="0.3">
      <c r="A192" s="2" t="s">
        <v>37</v>
      </c>
      <c r="B192" s="2" t="s">
        <v>42</v>
      </c>
      <c r="C192" s="2" t="s">
        <v>43</v>
      </c>
      <c r="D192" s="2">
        <v>61</v>
      </c>
      <c r="E192" s="2" t="s">
        <v>49</v>
      </c>
      <c r="F192" s="2">
        <v>0.78594249201277955</v>
      </c>
      <c r="G192" s="2">
        <v>0.80571428571428572</v>
      </c>
      <c r="H192" s="2">
        <v>1.9771793701506168E-2</v>
      </c>
    </row>
    <row r="193" spans="1:8" ht="15.75" customHeight="1" x14ac:dyDescent="0.3">
      <c r="A193" s="2" t="s">
        <v>37</v>
      </c>
      <c r="B193" s="2" t="s">
        <v>42</v>
      </c>
      <c r="C193" s="2" t="s">
        <v>43</v>
      </c>
      <c r="D193" s="2">
        <v>61</v>
      </c>
      <c r="F193" s="2">
        <v>0.58745874587458735</v>
      </c>
      <c r="G193" s="2">
        <v>0.6067415730337079</v>
      </c>
      <c r="H193" s="2">
        <v>1.9282827159120549E-2</v>
      </c>
    </row>
    <row r="194" spans="1:8" ht="15.75" customHeight="1" x14ac:dyDescent="0.3">
      <c r="A194" s="2" t="s">
        <v>37</v>
      </c>
      <c r="B194" s="2" t="s">
        <v>42</v>
      </c>
      <c r="C194" s="2" t="s">
        <v>82</v>
      </c>
      <c r="D194" s="2">
        <v>42</v>
      </c>
      <c r="E194" s="2" t="s">
        <v>49</v>
      </c>
      <c r="F194" s="2">
        <v>0.86245353159851301</v>
      </c>
      <c r="G194" s="2">
        <v>0.8125</v>
      </c>
      <c r="H194" s="2">
        <v>-4.9953531598513012E-2</v>
      </c>
    </row>
    <row r="195" spans="1:8" ht="15.75" customHeight="1" x14ac:dyDescent="0.3">
      <c r="A195" s="2" t="s">
        <v>37</v>
      </c>
      <c r="B195" s="2" t="s">
        <v>42</v>
      </c>
      <c r="C195" s="2" t="s">
        <v>82</v>
      </c>
      <c r="D195" s="2">
        <v>42</v>
      </c>
      <c r="F195" s="2">
        <v>0.69534050179211471</v>
      </c>
      <c r="G195" s="2">
        <v>0.63949843260188088</v>
      </c>
      <c r="H195" s="2">
        <v>-5.5842069190233823E-2</v>
      </c>
    </row>
    <row r="196" spans="1:8" ht="15.75" customHeight="1" x14ac:dyDescent="0.3">
      <c r="A196" s="2" t="s">
        <v>37</v>
      </c>
      <c r="B196" s="2" t="s">
        <v>42</v>
      </c>
      <c r="C196" s="2" t="s">
        <v>82</v>
      </c>
      <c r="D196" s="2">
        <v>43</v>
      </c>
      <c r="E196" s="2" t="s">
        <v>49</v>
      </c>
      <c r="F196" s="2">
        <v>0.78233438485804407</v>
      </c>
      <c r="G196" s="2">
        <v>0.77931034482758632</v>
      </c>
      <c r="H196" s="2">
        <v>-3.024040030457753E-3</v>
      </c>
    </row>
    <row r="197" spans="1:8" ht="15.75" customHeight="1" x14ac:dyDescent="0.3">
      <c r="A197" s="2" t="s">
        <v>37</v>
      </c>
      <c r="B197" s="2" t="s">
        <v>42</v>
      </c>
      <c r="C197" s="2" t="s">
        <v>82</v>
      </c>
      <c r="D197" s="2">
        <v>43</v>
      </c>
      <c r="F197" s="2">
        <v>0.71028037383177567</v>
      </c>
      <c r="G197" s="2">
        <v>0.65993265993265982</v>
      </c>
      <c r="H197" s="2">
        <v>-5.0347713899115847E-2</v>
      </c>
    </row>
    <row r="198" spans="1:8" ht="15.75" customHeight="1" x14ac:dyDescent="0.3">
      <c r="A198" s="2" t="s">
        <v>37</v>
      </c>
      <c r="B198" s="2" t="s">
        <v>42</v>
      </c>
      <c r="C198" s="2" t="s">
        <v>82</v>
      </c>
      <c r="D198" s="2">
        <v>44</v>
      </c>
      <c r="E198" s="2" t="s">
        <v>49</v>
      </c>
      <c r="F198" s="2">
        <v>0.805111821086262</v>
      </c>
      <c r="G198" s="2">
        <v>0.84713375796178336</v>
      </c>
      <c r="H198" s="2">
        <v>4.202193687552136E-2</v>
      </c>
    </row>
    <row r="199" spans="1:8" ht="15.75" customHeight="1" x14ac:dyDescent="0.3">
      <c r="A199" s="2" t="s">
        <v>37</v>
      </c>
      <c r="B199" s="2" t="s">
        <v>42</v>
      </c>
      <c r="C199" s="2" t="s">
        <v>82</v>
      </c>
      <c r="D199" s="2">
        <v>44</v>
      </c>
      <c r="F199" s="2">
        <v>0.64556962025316467</v>
      </c>
      <c r="G199" s="2">
        <v>0.68098159509202449</v>
      </c>
      <c r="H199" s="2">
        <v>3.5411974838859828E-2</v>
      </c>
    </row>
    <row r="200" spans="1:8" ht="15.75" customHeight="1" x14ac:dyDescent="0.3">
      <c r="A200" s="2" t="s">
        <v>37</v>
      </c>
      <c r="B200" s="2" t="s">
        <v>42</v>
      </c>
      <c r="C200" s="2" t="s">
        <v>82</v>
      </c>
      <c r="D200" s="2">
        <v>45</v>
      </c>
      <c r="E200" s="2" t="s">
        <v>49</v>
      </c>
      <c r="F200" s="2">
        <v>0.78827361563517917</v>
      </c>
      <c r="G200" s="2">
        <v>0.84829721362229116</v>
      </c>
      <c r="H200" s="2">
        <v>6.0023597987111987E-2</v>
      </c>
    </row>
    <row r="201" spans="1:8" ht="15.75" customHeight="1" x14ac:dyDescent="0.3">
      <c r="A201" s="2" t="s">
        <v>37</v>
      </c>
      <c r="B201" s="2" t="s">
        <v>42</v>
      </c>
      <c r="C201" s="2" t="s">
        <v>82</v>
      </c>
      <c r="D201" s="2">
        <v>45</v>
      </c>
      <c r="F201" s="2">
        <v>0.66666666666666663</v>
      </c>
      <c r="G201" s="2">
        <v>0.69349845201238391</v>
      </c>
      <c r="H201" s="2">
        <v>2.6831785345717288E-2</v>
      </c>
    </row>
    <row r="202" spans="1:8" ht="15.75" customHeight="1" x14ac:dyDescent="0.3">
      <c r="A202" s="2" t="s">
        <v>37</v>
      </c>
      <c r="B202" s="2" t="s">
        <v>42</v>
      </c>
      <c r="C202" s="2" t="s">
        <v>82</v>
      </c>
      <c r="D202" s="2">
        <v>46</v>
      </c>
      <c r="E202" s="2" t="s">
        <v>49</v>
      </c>
      <c r="F202" s="2">
        <v>0.82835820895522394</v>
      </c>
      <c r="G202" s="2">
        <v>0.81879194630872487</v>
      </c>
      <c r="H202" s="2">
        <v>-9.5662626464990685E-3</v>
      </c>
    </row>
    <row r="203" spans="1:8" ht="15.75" customHeight="1" x14ac:dyDescent="0.3">
      <c r="A203" s="2" t="s">
        <v>37</v>
      </c>
      <c r="B203" s="2" t="s">
        <v>42</v>
      </c>
      <c r="C203" s="2" t="s">
        <v>82</v>
      </c>
      <c r="D203" s="2">
        <v>46</v>
      </c>
      <c r="F203" s="2">
        <v>0.69117647058823528</v>
      </c>
      <c r="G203" s="2">
        <v>0.67326732673267331</v>
      </c>
      <c r="H203" s="2">
        <v>-1.7909143855561971E-2</v>
      </c>
    </row>
    <row r="204" spans="1:8" ht="15.75" customHeight="1" x14ac:dyDescent="0.3">
      <c r="A204" s="2" t="s">
        <v>37</v>
      </c>
      <c r="B204" s="2" t="s">
        <v>42</v>
      </c>
      <c r="C204" s="2" t="s">
        <v>82</v>
      </c>
      <c r="D204" s="2">
        <v>47</v>
      </c>
      <c r="E204" s="2" t="s">
        <v>49</v>
      </c>
      <c r="F204" s="2">
        <v>0.89999999999999991</v>
      </c>
      <c r="G204" s="2">
        <v>0.82822085889570551</v>
      </c>
      <c r="H204" s="2">
        <v>-7.1779141104294397E-2</v>
      </c>
    </row>
    <row r="205" spans="1:8" ht="15.75" customHeight="1" x14ac:dyDescent="0.3">
      <c r="A205" s="2" t="s">
        <v>37</v>
      </c>
      <c r="B205" s="2" t="s">
        <v>42</v>
      </c>
      <c r="C205" s="2" t="s">
        <v>82</v>
      </c>
      <c r="D205" s="2">
        <v>47</v>
      </c>
      <c r="F205" s="2">
        <v>0.66265060240963858</v>
      </c>
      <c r="G205" s="2">
        <v>0.67462686567164176</v>
      </c>
      <c r="H205" s="2">
        <v>1.197626326200318E-2</v>
      </c>
    </row>
    <row r="206" spans="1:8" ht="15.75" customHeight="1" x14ac:dyDescent="0.3">
      <c r="A206" s="2" t="s">
        <v>37</v>
      </c>
      <c r="B206" s="2" t="s">
        <v>42</v>
      </c>
      <c r="C206" s="2" t="s">
        <v>82</v>
      </c>
      <c r="D206" s="2">
        <v>48</v>
      </c>
      <c r="E206" s="2" t="s">
        <v>49</v>
      </c>
      <c r="F206" s="2">
        <v>0.82051282051282048</v>
      </c>
      <c r="G206" s="2">
        <v>0.83018867924528295</v>
      </c>
      <c r="H206" s="2">
        <v>9.6758587324624612E-3</v>
      </c>
    </row>
    <row r="207" spans="1:8" ht="15.75" customHeight="1" x14ac:dyDescent="0.3">
      <c r="A207" s="2" t="s">
        <v>37</v>
      </c>
      <c r="B207" s="2" t="s">
        <v>42</v>
      </c>
      <c r="C207" s="2" t="s">
        <v>82</v>
      </c>
      <c r="D207" s="2">
        <v>48</v>
      </c>
      <c r="F207" s="2">
        <v>0.64174454828660432</v>
      </c>
      <c r="G207" s="2">
        <v>0.66871165644171771</v>
      </c>
      <c r="H207" s="2">
        <v>2.6967108155113381E-2</v>
      </c>
    </row>
    <row r="208" spans="1:8" ht="15.75" customHeight="1" x14ac:dyDescent="0.3">
      <c r="A208" s="2" t="s">
        <v>37</v>
      </c>
      <c r="B208" s="2" t="s">
        <v>42</v>
      </c>
      <c r="C208" s="2" t="s">
        <v>82</v>
      </c>
      <c r="D208" s="2">
        <v>49</v>
      </c>
      <c r="E208" s="2" t="s">
        <v>49</v>
      </c>
      <c r="F208" s="2">
        <v>0.78431372549019607</v>
      </c>
      <c r="G208" s="2">
        <v>0.78678678678678682</v>
      </c>
      <c r="H208" s="2">
        <v>2.473061296590751E-3</v>
      </c>
    </row>
    <row r="209" spans="1:8" ht="15.75" customHeight="1" x14ac:dyDescent="0.3">
      <c r="A209" s="2" t="s">
        <v>37</v>
      </c>
      <c r="B209" s="2" t="s">
        <v>42</v>
      </c>
      <c r="C209" s="2" t="s">
        <v>82</v>
      </c>
      <c r="D209" s="2">
        <v>49</v>
      </c>
      <c r="F209" s="2">
        <v>0.56164383561643838</v>
      </c>
      <c r="G209" s="2">
        <v>0.67492260061919507</v>
      </c>
      <c r="H209" s="2">
        <v>0.1132787650027567</v>
      </c>
    </row>
    <row r="210" spans="1:8" ht="15.75" customHeight="1" x14ac:dyDescent="0.3">
      <c r="A210" s="2" t="s">
        <v>37</v>
      </c>
      <c r="B210" s="2" t="s">
        <v>42</v>
      </c>
      <c r="C210" s="2" t="s">
        <v>82</v>
      </c>
      <c r="D210" s="2">
        <v>50</v>
      </c>
      <c r="E210" s="2" t="s">
        <v>49</v>
      </c>
      <c r="F210" s="2">
        <v>0.88805970149253732</v>
      </c>
      <c r="G210" s="2">
        <v>0.87128712871287128</v>
      </c>
      <c r="H210" s="2">
        <v>-1.677257277966604E-2</v>
      </c>
    </row>
    <row r="211" spans="1:8" ht="15.75" customHeight="1" x14ac:dyDescent="0.3">
      <c r="A211" s="2" t="s">
        <v>37</v>
      </c>
      <c r="B211" s="2" t="s">
        <v>42</v>
      </c>
      <c r="C211" s="2" t="s">
        <v>82</v>
      </c>
      <c r="D211" s="2">
        <v>50</v>
      </c>
      <c r="F211" s="2">
        <v>0.63003663003662991</v>
      </c>
      <c r="G211" s="2">
        <v>0.70779220779220775</v>
      </c>
      <c r="H211" s="2">
        <v>7.7755577755577843E-2</v>
      </c>
    </row>
    <row r="212" spans="1:8" ht="15.75" customHeight="1" x14ac:dyDescent="0.3">
      <c r="A212" s="2" t="s">
        <v>37</v>
      </c>
      <c r="B212" s="2" t="s">
        <v>42</v>
      </c>
      <c r="C212" s="2" t="s">
        <v>82</v>
      </c>
      <c r="D212" s="2">
        <v>51</v>
      </c>
      <c r="E212" s="2" t="s">
        <v>49</v>
      </c>
      <c r="F212" s="2">
        <v>0.84000000000000008</v>
      </c>
      <c r="G212" s="2">
        <v>0.8098159509202455</v>
      </c>
      <c r="H212" s="2">
        <v>-3.0184049079754579E-2</v>
      </c>
    </row>
    <row r="213" spans="1:8" ht="15.75" customHeight="1" x14ac:dyDescent="0.3">
      <c r="A213" s="2" t="s">
        <v>37</v>
      </c>
      <c r="B213" s="2" t="s">
        <v>42</v>
      </c>
      <c r="C213" s="2" t="s">
        <v>82</v>
      </c>
      <c r="D213" s="2">
        <v>51</v>
      </c>
      <c r="F213" s="2">
        <v>0.61591695501730104</v>
      </c>
      <c r="G213" s="2">
        <v>0.68693009118541037</v>
      </c>
      <c r="H213" s="2">
        <v>7.1013136168109336E-2</v>
      </c>
    </row>
    <row r="214" spans="1:8" ht="15.75" customHeight="1" x14ac:dyDescent="0.3">
      <c r="A214" s="2" t="s">
        <v>37</v>
      </c>
      <c r="B214" s="2" t="s">
        <v>42</v>
      </c>
      <c r="C214" s="2" t="s">
        <v>82</v>
      </c>
      <c r="D214" s="2">
        <v>52</v>
      </c>
      <c r="E214" s="2" t="s">
        <v>49</v>
      </c>
      <c r="F214" s="2">
        <v>0.87240356083086068</v>
      </c>
      <c r="G214" s="2">
        <v>0.82822085889570551</v>
      </c>
      <c r="H214" s="2">
        <v>-4.4182701935155173E-2</v>
      </c>
    </row>
    <row r="215" spans="1:8" ht="15.75" customHeight="1" x14ac:dyDescent="0.3">
      <c r="A215" s="2" t="s">
        <v>37</v>
      </c>
      <c r="B215" s="2" t="s">
        <v>42</v>
      </c>
      <c r="C215" s="2" t="s">
        <v>82</v>
      </c>
      <c r="D215" s="2">
        <v>52</v>
      </c>
      <c r="F215" s="2">
        <v>0.67256637168141586</v>
      </c>
      <c r="G215" s="2">
        <v>0.64864864864864857</v>
      </c>
      <c r="H215" s="2">
        <v>-2.3917723032767291E-2</v>
      </c>
    </row>
    <row r="216" spans="1:8" ht="15.75" customHeight="1" x14ac:dyDescent="0.3">
      <c r="A216" s="2" t="s">
        <v>37</v>
      </c>
      <c r="B216" s="2" t="s">
        <v>42</v>
      </c>
      <c r="C216" s="2" t="s">
        <v>82</v>
      </c>
      <c r="D216" s="2">
        <v>53</v>
      </c>
      <c r="E216" s="2" t="s">
        <v>49</v>
      </c>
      <c r="F216" s="2">
        <v>0.76450511945392485</v>
      </c>
      <c r="G216" s="2">
        <v>0.88535031847133772</v>
      </c>
      <c r="H216" s="2">
        <v>0.1208451990174129</v>
      </c>
    </row>
    <row r="217" spans="1:8" ht="15.75" customHeight="1" x14ac:dyDescent="0.3">
      <c r="A217" s="2" t="s">
        <v>37</v>
      </c>
      <c r="B217" s="2" t="s">
        <v>42</v>
      </c>
      <c r="C217" s="2" t="s">
        <v>82</v>
      </c>
      <c r="D217" s="2">
        <v>53</v>
      </c>
      <c r="F217" s="2">
        <v>0.59546925566343056</v>
      </c>
      <c r="G217" s="2">
        <v>0.70948012232415913</v>
      </c>
      <c r="H217" s="2">
        <v>0.1140108666607286</v>
      </c>
    </row>
    <row r="218" spans="1:8" ht="15.75" customHeight="1" x14ac:dyDescent="0.3">
      <c r="A218" s="2" t="s">
        <v>37</v>
      </c>
      <c r="B218" s="2" t="s">
        <v>42</v>
      </c>
      <c r="C218" s="2" t="s">
        <v>82</v>
      </c>
      <c r="D218" s="2">
        <v>54</v>
      </c>
      <c r="E218" s="2" t="s">
        <v>49</v>
      </c>
      <c r="F218" s="2">
        <v>0.89473684210526316</v>
      </c>
      <c r="G218" s="2">
        <v>0.83892617449664431</v>
      </c>
      <c r="H218" s="2">
        <v>-5.5810667608618858E-2</v>
      </c>
    </row>
    <row r="219" spans="1:8" ht="15.75" customHeight="1" x14ac:dyDescent="0.3">
      <c r="A219" s="2" t="s">
        <v>37</v>
      </c>
      <c r="B219" s="2" t="s">
        <v>42</v>
      </c>
      <c r="C219" s="2" t="s">
        <v>82</v>
      </c>
      <c r="D219" s="2">
        <v>54</v>
      </c>
      <c r="F219" s="2">
        <v>0.63606557377049189</v>
      </c>
      <c r="G219" s="2">
        <v>0.67741935483870963</v>
      </c>
      <c r="H219" s="2">
        <v>4.1353781068217743E-2</v>
      </c>
    </row>
    <row r="220" spans="1:8" ht="15.75" customHeight="1" x14ac:dyDescent="0.3">
      <c r="A220" s="2" t="s">
        <v>37</v>
      </c>
      <c r="B220" s="2" t="s">
        <v>42</v>
      </c>
      <c r="C220" s="2" t="s">
        <v>82</v>
      </c>
      <c r="D220" s="2">
        <v>55</v>
      </c>
      <c r="E220" s="2" t="s">
        <v>49</v>
      </c>
      <c r="F220" s="2">
        <v>0.88535031847133761</v>
      </c>
      <c r="G220" s="2">
        <v>0.81345565749235482</v>
      </c>
      <c r="H220" s="2">
        <v>-7.1894660978982783E-2</v>
      </c>
    </row>
    <row r="221" spans="1:8" ht="15.75" customHeight="1" x14ac:dyDescent="0.3">
      <c r="A221" s="2" t="s">
        <v>37</v>
      </c>
      <c r="B221" s="2" t="s">
        <v>42</v>
      </c>
      <c r="C221" s="2" t="s">
        <v>82</v>
      </c>
      <c r="D221" s="2">
        <v>55</v>
      </c>
      <c r="F221" s="2">
        <v>0.66463414634146345</v>
      </c>
      <c r="G221" s="2">
        <v>0.63829787234042545</v>
      </c>
      <c r="H221" s="2">
        <v>-2.6336274001037999E-2</v>
      </c>
    </row>
    <row r="222" spans="1:8" ht="15.75" customHeight="1" x14ac:dyDescent="0.3">
      <c r="A222" s="2" t="s">
        <v>37</v>
      </c>
      <c r="B222" s="2" t="s">
        <v>42</v>
      </c>
      <c r="C222" s="2" t="s">
        <v>82</v>
      </c>
      <c r="D222" s="2">
        <v>56</v>
      </c>
      <c r="E222" s="2" t="s">
        <v>49</v>
      </c>
      <c r="F222" s="2">
        <v>0.81333333333333324</v>
      </c>
      <c r="G222" s="2">
        <v>0.8673139158576052</v>
      </c>
      <c r="H222" s="2">
        <v>5.3980582524271958E-2</v>
      </c>
    </row>
    <row r="223" spans="1:8" ht="15.75" customHeight="1" x14ac:dyDescent="0.3">
      <c r="A223" s="2" t="s">
        <v>37</v>
      </c>
      <c r="B223" s="2" t="s">
        <v>42</v>
      </c>
      <c r="C223" s="2" t="s">
        <v>82</v>
      </c>
      <c r="D223" s="2">
        <v>56</v>
      </c>
      <c r="F223" s="2">
        <v>0.68211920529801329</v>
      </c>
      <c r="G223" s="2">
        <v>0.72435897435897445</v>
      </c>
      <c r="H223" s="2">
        <v>4.2239769060961163E-2</v>
      </c>
    </row>
    <row r="224" spans="1:8" ht="15.75" customHeight="1" x14ac:dyDescent="0.3">
      <c r="A224" s="2" t="s">
        <v>37</v>
      </c>
      <c r="B224" s="2" t="s">
        <v>42</v>
      </c>
      <c r="C224" s="2" t="s">
        <v>82</v>
      </c>
      <c r="D224" s="2">
        <v>57</v>
      </c>
      <c r="E224" s="2" t="s">
        <v>49</v>
      </c>
      <c r="F224" s="2">
        <v>0.85626911314984711</v>
      </c>
      <c r="G224" s="2">
        <v>0.83383685800604235</v>
      </c>
      <c r="H224" s="2">
        <v>-2.2432255143804761E-2</v>
      </c>
    </row>
    <row r="225" spans="1:8" ht="15.75" customHeight="1" x14ac:dyDescent="0.3">
      <c r="A225" s="2" t="s">
        <v>37</v>
      </c>
      <c r="B225" s="2" t="s">
        <v>42</v>
      </c>
      <c r="C225" s="2" t="s">
        <v>82</v>
      </c>
      <c r="D225" s="2">
        <v>57</v>
      </c>
      <c r="F225" s="2">
        <v>0.67655786350148372</v>
      </c>
      <c r="G225" s="2">
        <v>0.66265060240963858</v>
      </c>
      <c r="H225" s="2">
        <v>-1.390726109184515E-2</v>
      </c>
    </row>
    <row r="226" spans="1:8" ht="15.75" customHeight="1" x14ac:dyDescent="0.3">
      <c r="A226" s="2" t="s">
        <v>37</v>
      </c>
      <c r="B226" s="2" t="s">
        <v>42</v>
      </c>
      <c r="C226" s="2" t="s">
        <v>82</v>
      </c>
      <c r="D226" s="2">
        <v>58</v>
      </c>
      <c r="E226" s="2" t="s">
        <v>49</v>
      </c>
      <c r="F226" s="2">
        <v>0.8</v>
      </c>
      <c r="G226" s="2">
        <v>0.875</v>
      </c>
      <c r="H226" s="2">
        <v>7.4999999999999956E-2</v>
      </c>
    </row>
    <row r="227" spans="1:8" ht="15.75" customHeight="1" x14ac:dyDescent="0.3">
      <c r="A227" s="2" t="s">
        <v>37</v>
      </c>
      <c r="B227" s="2" t="s">
        <v>42</v>
      </c>
      <c r="C227" s="2" t="s">
        <v>82</v>
      </c>
      <c r="D227" s="2">
        <v>58</v>
      </c>
      <c r="F227" s="2">
        <v>0.64264264264264259</v>
      </c>
      <c r="G227" s="2">
        <v>0.69255663430420711</v>
      </c>
      <c r="H227" s="2">
        <v>4.9913991661564523E-2</v>
      </c>
    </row>
    <row r="228" spans="1:8" ht="15.75" customHeight="1" x14ac:dyDescent="0.3">
      <c r="A228" s="2" t="s">
        <v>37</v>
      </c>
      <c r="B228" s="2" t="s">
        <v>42</v>
      </c>
      <c r="C228" s="2" t="s">
        <v>82</v>
      </c>
      <c r="D228" s="2">
        <v>59</v>
      </c>
      <c r="E228" s="2" t="s">
        <v>49</v>
      </c>
      <c r="F228" s="2">
        <v>0.84831460674157289</v>
      </c>
      <c r="G228" s="2">
        <v>0.84756097560975607</v>
      </c>
      <c r="H228" s="2">
        <v>-7.5363113181681207E-4</v>
      </c>
    </row>
    <row r="229" spans="1:8" ht="15.75" customHeight="1" x14ac:dyDescent="0.3">
      <c r="A229" s="2" t="s">
        <v>37</v>
      </c>
      <c r="B229" s="2" t="s">
        <v>42</v>
      </c>
      <c r="C229" s="2" t="s">
        <v>82</v>
      </c>
      <c r="D229" s="2">
        <v>59</v>
      </c>
      <c r="F229" s="2">
        <v>0.65</v>
      </c>
      <c r="G229" s="2">
        <v>0.69724770642201839</v>
      </c>
      <c r="H229" s="2">
        <v>4.7247706422018372E-2</v>
      </c>
    </row>
    <row r="230" spans="1:8" ht="15.75" customHeight="1" x14ac:dyDescent="0.3">
      <c r="A230" s="2" t="s">
        <v>37</v>
      </c>
      <c r="B230" s="2" t="s">
        <v>42</v>
      </c>
      <c r="C230" s="2" t="s">
        <v>82</v>
      </c>
      <c r="D230" s="2">
        <v>60</v>
      </c>
      <c r="E230" s="2" t="s">
        <v>49</v>
      </c>
      <c r="F230" s="2">
        <v>0.81595092024539873</v>
      </c>
      <c r="G230" s="2">
        <v>0.79623824451410663</v>
      </c>
      <c r="H230" s="2">
        <v>-1.9712675731292099E-2</v>
      </c>
    </row>
    <row r="231" spans="1:8" ht="15.75" customHeight="1" x14ac:dyDescent="0.3">
      <c r="A231" s="2" t="s">
        <v>37</v>
      </c>
      <c r="B231" s="2" t="s">
        <v>42</v>
      </c>
      <c r="C231" s="2" t="s">
        <v>82</v>
      </c>
      <c r="D231" s="2">
        <v>60</v>
      </c>
      <c r="F231" s="2">
        <v>0.55445544554455439</v>
      </c>
      <c r="G231" s="2">
        <v>0.61773700305810397</v>
      </c>
      <c r="H231" s="2">
        <v>6.328155751354958E-2</v>
      </c>
    </row>
    <row r="232" spans="1:8" ht="15.75" customHeight="1" x14ac:dyDescent="0.3">
      <c r="A232" s="2" t="s">
        <v>37</v>
      </c>
      <c r="B232" s="2" t="s">
        <v>42</v>
      </c>
      <c r="C232" s="2" t="s">
        <v>82</v>
      </c>
      <c r="D232" s="2">
        <v>61</v>
      </c>
      <c r="E232" s="2" t="s">
        <v>49</v>
      </c>
      <c r="F232" s="2">
        <v>0.83443708609271516</v>
      </c>
      <c r="G232" s="2">
        <v>0.8579710144927537</v>
      </c>
      <c r="H232" s="2">
        <v>2.353392840003854E-2</v>
      </c>
    </row>
    <row r="233" spans="1:8" ht="15.75" customHeight="1" x14ac:dyDescent="0.3">
      <c r="A233" s="2" t="s">
        <v>37</v>
      </c>
      <c r="B233" s="2" t="s">
        <v>42</v>
      </c>
      <c r="C233" s="2" t="s">
        <v>82</v>
      </c>
      <c r="D233" s="2">
        <v>61</v>
      </c>
      <c r="F233" s="2">
        <v>0.66666666666666663</v>
      </c>
      <c r="G233" s="2">
        <v>0.68945868945868938</v>
      </c>
      <c r="H233" s="2">
        <v>2.2792022792022752E-2</v>
      </c>
    </row>
    <row r="234" spans="1:8" ht="15.75" customHeight="1" x14ac:dyDescent="0.3">
      <c r="A234" s="2" t="s">
        <v>360</v>
      </c>
      <c r="B234" s="2" t="s">
        <v>42</v>
      </c>
      <c r="C234" s="2" t="s">
        <v>39</v>
      </c>
      <c r="D234" s="2">
        <v>42</v>
      </c>
      <c r="E234" s="2" t="s">
        <v>49</v>
      </c>
      <c r="F234" s="2">
        <v>0.78260869565217395</v>
      </c>
      <c r="G234" s="2">
        <v>0.68181818181818188</v>
      </c>
      <c r="H234" s="2">
        <v>-0.1007905138339921</v>
      </c>
    </row>
    <row r="235" spans="1:8" ht="15.75" customHeight="1" x14ac:dyDescent="0.3">
      <c r="A235" s="2" t="s">
        <v>360</v>
      </c>
      <c r="B235" s="2" t="s">
        <v>42</v>
      </c>
      <c r="C235" s="2" t="s">
        <v>39</v>
      </c>
      <c r="D235" s="2">
        <v>42</v>
      </c>
      <c r="F235" s="2">
        <v>0.23255813953488369</v>
      </c>
      <c r="G235" s="2">
        <v>0.23076923076923081</v>
      </c>
      <c r="H235" s="2">
        <v>-1.7889087656528799E-3</v>
      </c>
    </row>
    <row r="236" spans="1:8" ht="15.75" customHeight="1" x14ac:dyDescent="0.3">
      <c r="A236" s="2" t="s">
        <v>360</v>
      </c>
      <c r="B236" s="2" t="s">
        <v>42</v>
      </c>
      <c r="C236" s="2" t="s">
        <v>39</v>
      </c>
      <c r="D236" s="2">
        <v>43</v>
      </c>
      <c r="E236" s="2" t="s">
        <v>49</v>
      </c>
      <c r="F236" s="2">
        <v>0.64864864864864868</v>
      </c>
      <c r="G236" s="2">
        <v>0.80434782608695654</v>
      </c>
      <c r="H236" s="2">
        <v>0.15569917743830791</v>
      </c>
    </row>
    <row r="237" spans="1:8" ht="15.75" customHeight="1" x14ac:dyDescent="0.3">
      <c r="A237" s="2" t="s">
        <v>360</v>
      </c>
      <c r="B237" s="2" t="s">
        <v>42</v>
      </c>
      <c r="C237" s="2" t="s">
        <v>39</v>
      </c>
      <c r="D237" s="2">
        <v>43</v>
      </c>
      <c r="F237" s="2">
        <v>0.1951219512195122</v>
      </c>
      <c r="G237" s="2">
        <v>0</v>
      </c>
      <c r="H237" s="2">
        <v>-0.1951219512195122</v>
      </c>
    </row>
    <row r="238" spans="1:8" ht="15.75" customHeight="1" x14ac:dyDescent="0.3">
      <c r="A238" s="2" t="s">
        <v>360</v>
      </c>
      <c r="B238" s="2" t="s">
        <v>42</v>
      </c>
      <c r="C238" s="2" t="s">
        <v>39</v>
      </c>
      <c r="D238" s="2">
        <v>44</v>
      </c>
      <c r="E238" s="2" t="s">
        <v>49</v>
      </c>
      <c r="F238" s="2">
        <v>0.66666666666666674</v>
      </c>
      <c r="G238" s="2">
        <v>0.65853658536585369</v>
      </c>
      <c r="H238" s="2">
        <v>-8.1300813008130524E-3</v>
      </c>
    </row>
    <row r="239" spans="1:8" ht="15.75" customHeight="1" x14ac:dyDescent="0.3">
      <c r="A239" s="2" t="s">
        <v>360</v>
      </c>
      <c r="B239" s="2" t="s">
        <v>42</v>
      </c>
      <c r="C239" s="2" t="s">
        <v>39</v>
      </c>
      <c r="D239" s="2">
        <v>44</v>
      </c>
      <c r="F239" s="2">
        <v>0.19047619047619049</v>
      </c>
      <c r="G239" s="2">
        <v>0.13043478260869559</v>
      </c>
      <c r="H239" s="2">
        <v>-6.00414078674949E-2</v>
      </c>
    </row>
    <row r="240" spans="1:8" ht="15.75" customHeight="1" x14ac:dyDescent="0.3">
      <c r="A240" s="2" t="s">
        <v>360</v>
      </c>
      <c r="B240" s="2" t="s">
        <v>42</v>
      </c>
      <c r="C240" s="2" t="s">
        <v>39</v>
      </c>
      <c r="D240" s="2">
        <v>45</v>
      </c>
      <c r="E240" s="2" t="s">
        <v>49</v>
      </c>
      <c r="F240" s="2">
        <v>0.88888888888888884</v>
      </c>
      <c r="G240" s="2">
        <v>0.72289156626506035</v>
      </c>
      <c r="H240" s="2">
        <v>-0.16599732262382849</v>
      </c>
    </row>
    <row r="241" spans="1:8" ht="15.75" customHeight="1" x14ac:dyDescent="0.3">
      <c r="A241" s="2" t="s">
        <v>360</v>
      </c>
      <c r="B241" s="2" t="s">
        <v>42</v>
      </c>
      <c r="C241" s="2" t="s">
        <v>39</v>
      </c>
      <c r="D241" s="2">
        <v>45</v>
      </c>
      <c r="F241" s="2">
        <v>0</v>
      </c>
      <c r="G241" s="2">
        <v>0.13636363636363641</v>
      </c>
      <c r="H241" s="2">
        <v>0.13636363636363641</v>
      </c>
    </row>
    <row r="242" spans="1:8" ht="15.75" customHeight="1" x14ac:dyDescent="0.3">
      <c r="A242" s="2" t="s">
        <v>360</v>
      </c>
      <c r="B242" s="2" t="s">
        <v>42</v>
      </c>
      <c r="C242" s="2" t="s">
        <v>39</v>
      </c>
      <c r="D242" s="2">
        <v>46</v>
      </c>
      <c r="E242" s="2" t="s">
        <v>49</v>
      </c>
      <c r="F242" s="2">
        <v>0.8035714285714286</v>
      </c>
      <c r="G242" s="2">
        <v>0.6966292134831461</v>
      </c>
      <c r="H242" s="2">
        <v>-0.1069422150882825</v>
      </c>
    </row>
    <row r="243" spans="1:8" ht="15.75" customHeight="1" x14ac:dyDescent="0.3">
      <c r="A243" s="2" t="s">
        <v>360</v>
      </c>
      <c r="B243" s="2" t="s">
        <v>42</v>
      </c>
      <c r="C243" s="2" t="s">
        <v>39</v>
      </c>
      <c r="D243" s="2">
        <v>46</v>
      </c>
      <c r="F243" s="2">
        <v>0</v>
      </c>
      <c r="G243" s="2">
        <v>8.3333333333333329E-2</v>
      </c>
      <c r="H243" s="2">
        <v>8.3333333333333329E-2</v>
      </c>
    </row>
    <row r="244" spans="1:8" ht="15.75" customHeight="1" x14ac:dyDescent="0.3">
      <c r="A244" s="2" t="s">
        <v>360</v>
      </c>
      <c r="B244" s="2" t="s">
        <v>42</v>
      </c>
      <c r="C244" s="2" t="s">
        <v>39</v>
      </c>
      <c r="D244" s="2">
        <v>47</v>
      </c>
      <c r="E244" s="2" t="s">
        <v>49</v>
      </c>
      <c r="F244" s="2">
        <v>0.76923076923076927</v>
      </c>
      <c r="G244" s="2">
        <v>0.82000000000000006</v>
      </c>
      <c r="H244" s="2">
        <v>5.0769230769230789E-2</v>
      </c>
    </row>
    <row r="245" spans="1:8" ht="15.75" customHeight="1" x14ac:dyDescent="0.3">
      <c r="A245" s="2" t="s">
        <v>360</v>
      </c>
      <c r="B245" s="2" t="s">
        <v>42</v>
      </c>
      <c r="C245" s="2" t="s">
        <v>39</v>
      </c>
      <c r="D245" s="2">
        <v>47</v>
      </c>
      <c r="F245" s="2">
        <v>0.26666666666666672</v>
      </c>
      <c r="G245" s="2">
        <v>7.9999999999999988E-2</v>
      </c>
      <c r="H245" s="2">
        <v>-0.1866666666666667</v>
      </c>
    </row>
    <row r="246" spans="1:8" ht="15.75" customHeight="1" x14ac:dyDescent="0.3">
      <c r="A246" s="2" t="s">
        <v>360</v>
      </c>
      <c r="B246" s="2" t="s">
        <v>42</v>
      </c>
      <c r="C246" s="2" t="s">
        <v>39</v>
      </c>
      <c r="D246" s="2">
        <v>48</v>
      </c>
      <c r="E246" s="2" t="s">
        <v>49</v>
      </c>
      <c r="F246" s="2">
        <v>0.78787878787878796</v>
      </c>
      <c r="G246" s="2">
        <v>0.83870967741935476</v>
      </c>
      <c r="H246" s="2">
        <v>5.0830889540566797E-2</v>
      </c>
    </row>
    <row r="247" spans="1:8" ht="15.75" customHeight="1" x14ac:dyDescent="0.3">
      <c r="A247" s="2" t="s">
        <v>360</v>
      </c>
      <c r="B247" s="2" t="s">
        <v>42</v>
      </c>
      <c r="C247" s="2" t="s">
        <v>39</v>
      </c>
      <c r="D247" s="2">
        <v>48</v>
      </c>
      <c r="F247" s="2">
        <v>0.34482758620689657</v>
      </c>
      <c r="G247" s="2">
        <v>0.1153846153846154</v>
      </c>
      <c r="H247" s="2">
        <v>-0.22944297082228121</v>
      </c>
    </row>
    <row r="248" spans="1:8" ht="15.75" customHeight="1" x14ac:dyDescent="0.3">
      <c r="A248" s="2" t="s">
        <v>360</v>
      </c>
      <c r="B248" s="2" t="s">
        <v>42</v>
      </c>
      <c r="C248" s="2" t="s">
        <v>39</v>
      </c>
      <c r="D248" s="2">
        <v>49</v>
      </c>
      <c r="E248" s="2" t="s">
        <v>49</v>
      </c>
      <c r="F248" s="2">
        <v>0.70967741935483863</v>
      </c>
      <c r="G248" s="2">
        <v>0.73118279569892475</v>
      </c>
      <c r="H248" s="2">
        <v>2.150537634408611E-2</v>
      </c>
    </row>
    <row r="249" spans="1:8" ht="15.75" customHeight="1" x14ac:dyDescent="0.3">
      <c r="A249" s="2" t="s">
        <v>360</v>
      </c>
      <c r="B249" s="2" t="s">
        <v>42</v>
      </c>
      <c r="C249" s="2" t="s">
        <v>39</v>
      </c>
      <c r="D249" s="2">
        <v>49</v>
      </c>
      <c r="F249" s="2">
        <v>0.2</v>
      </c>
      <c r="G249" s="2">
        <v>0.15384615384615391</v>
      </c>
      <c r="H249" s="2">
        <v>-4.6153846153846101E-2</v>
      </c>
    </row>
    <row r="250" spans="1:8" ht="15.75" customHeight="1" x14ac:dyDescent="0.3">
      <c r="A250" s="2" t="s">
        <v>360</v>
      </c>
      <c r="B250" s="2" t="s">
        <v>42</v>
      </c>
      <c r="C250" s="2" t="s">
        <v>39</v>
      </c>
      <c r="D250" s="2">
        <v>50</v>
      </c>
      <c r="E250" s="2" t="s">
        <v>49</v>
      </c>
      <c r="F250" s="2">
        <v>0.75789473684210529</v>
      </c>
      <c r="G250" s="2">
        <v>0.84782608695652184</v>
      </c>
      <c r="H250" s="2">
        <v>8.9931350114416553E-2</v>
      </c>
    </row>
    <row r="251" spans="1:8" ht="15.75" customHeight="1" x14ac:dyDescent="0.3">
      <c r="A251" s="2" t="s">
        <v>360</v>
      </c>
      <c r="B251" s="2" t="s">
        <v>42</v>
      </c>
      <c r="C251" s="2" t="s">
        <v>39</v>
      </c>
      <c r="D251" s="2">
        <v>50</v>
      </c>
      <c r="F251" s="2">
        <v>8.1632653061224483E-2</v>
      </c>
      <c r="G251" s="2">
        <v>0.16</v>
      </c>
      <c r="H251" s="2">
        <v>7.836734693877552E-2</v>
      </c>
    </row>
    <row r="252" spans="1:8" ht="15.75" customHeight="1" x14ac:dyDescent="0.3">
      <c r="A252" s="2" t="s">
        <v>360</v>
      </c>
      <c r="B252" s="2" t="s">
        <v>42</v>
      </c>
      <c r="C252" s="2" t="s">
        <v>39</v>
      </c>
      <c r="D252" s="2">
        <v>51</v>
      </c>
      <c r="E252" s="2" t="s">
        <v>49</v>
      </c>
      <c r="F252" s="2">
        <v>0.72340425531914898</v>
      </c>
      <c r="G252" s="2">
        <v>0.7816091954022989</v>
      </c>
      <c r="H252" s="2">
        <v>5.8204940083149907E-2</v>
      </c>
    </row>
    <row r="253" spans="1:8" ht="15.75" customHeight="1" x14ac:dyDescent="0.3">
      <c r="A253" s="2" t="s">
        <v>360</v>
      </c>
      <c r="B253" s="2" t="s">
        <v>42</v>
      </c>
      <c r="C253" s="2" t="s">
        <v>39</v>
      </c>
      <c r="D253" s="2">
        <v>51</v>
      </c>
      <c r="F253" s="2">
        <v>8.1632653061224483E-2</v>
      </c>
      <c r="G253" s="2">
        <v>9.0909090909090898E-2</v>
      </c>
      <c r="H253" s="2">
        <v>9.2764378478664145E-3</v>
      </c>
    </row>
    <row r="254" spans="1:8" ht="15.75" customHeight="1" x14ac:dyDescent="0.3">
      <c r="A254" s="2" t="s">
        <v>360</v>
      </c>
      <c r="B254" s="2" t="s">
        <v>42</v>
      </c>
      <c r="C254" s="2" t="s">
        <v>39</v>
      </c>
      <c r="D254" s="2">
        <v>52</v>
      </c>
      <c r="E254" s="2" t="s">
        <v>49</v>
      </c>
      <c r="F254" s="2">
        <v>0.77272727272727271</v>
      </c>
      <c r="G254" s="2">
        <v>0.82352941176470584</v>
      </c>
      <c r="H254" s="2">
        <v>5.0802139037433143E-2</v>
      </c>
    </row>
    <row r="255" spans="1:8" ht="15.75" customHeight="1" x14ac:dyDescent="0.3">
      <c r="A255" s="2" t="s">
        <v>360</v>
      </c>
      <c r="B255" s="2" t="s">
        <v>42</v>
      </c>
      <c r="C255" s="2" t="s">
        <v>39</v>
      </c>
      <c r="D255" s="2">
        <v>52</v>
      </c>
      <c r="F255" s="2">
        <v>8.8888888888888878E-2</v>
      </c>
      <c r="G255" s="2">
        <v>0</v>
      </c>
      <c r="H255" s="2">
        <v>-8.8888888888888878E-2</v>
      </c>
    </row>
    <row r="256" spans="1:8" ht="15.75" customHeight="1" x14ac:dyDescent="0.3">
      <c r="A256" s="2" t="s">
        <v>360</v>
      </c>
      <c r="B256" s="2" t="s">
        <v>42</v>
      </c>
      <c r="C256" s="2" t="s">
        <v>39</v>
      </c>
      <c r="D256" s="2">
        <v>53</v>
      </c>
      <c r="E256" s="2" t="s">
        <v>49</v>
      </c>
      <c r="F256" s="2">
        <v>0.6470588235294118</v>
      </c>
      <c r="G256" s="2">
        <v>0.76595744680851074</v>
      </c>
      <c r="H256" s="2">
        <v>0.11889862327909891</v>
      </c>
    </row>
    <row r="257" spans="1:8" ht="15.75" customHeight="1" x14ac:dyDescent="0.3">
      <c r="A257" s="2" t="s">
        <v>360</v>
      </c>
      <c r="B257" s="2" t="s">
        <v>42</v>
      </c>
      <c r="C257" s="2" t="s">
        <v>39</v>
      </c>
      <c r="D257" s="2">
        <v>53</v>
      </c>
      <c r="F257" s="2">
        <v>0.29508196721311469</v>
      </c>
      <c r="G257" s="2">
        <v>4.5454545454545449E-2</v>
      </c>
      <c r="H257" s="2">
        <v>-0.24962742175856931</v>
      </c>
    </row>
    <row r="258" spans="1:8" ht="15.75" customHeight="1" x14ac:dyDescent="0.3">
      <c r="A258" s="2" t="s">
        <v>360</v>
      </c>
      <c r="B258" s="2" t="s">
        <v>42</v>
      </c>
      <c r="C258" s="2" t="s">
        <v>39</v>
      </c>
      <c r="D258" s="2">
        <v>54</v>
      </c>
      <c r="E258" s="2" t="s">
        <v>49</v>
      </c>
      <c r="F258" s="2">
        <v>0.7872340425531914</v>
      </c>
      <c r="G258" s="2">
        <v>0.78350515463917525</v>
      </c>
      <c r="H258" s="2">
        <v>-3.728887914016155E-3</v>
      </c>
    </row>
    <row r="259" spans="1:8" ht="15.75" customHeight="1" x14ac:dyDescent="0.3">
      <c r="A259" s="2" t="s">
        <v>360</v>
      </c>
      <c r="B259" s="2" t="s">
        <v>42</v>
      </c>
      <c r="C259" s="2" t="s">
        <v>39</v>
      </c>
      <c r="D259" s="2">
        <v>54</v>
      </c>
      <c r="F259" s="2">
        <v>4.3478260869565223E-2</v>
      </c>
      <c r="G259" s="2">
        <v>3.9999999999999987E-2</v>
      </c>
      <c r="H259" s="2">
        <v>-3.4782608695652362E-3</v>
      </c>
    </row>
    <row r="260" spans="1:8" ht="15.75" customHeight="1" x14ac:dyDescent="0.3">
      <c r="A260" s="2" t="s">
        <v>360</v>
      </c>
      <c r="B260" s="2" t="s">
        <v>42</v>
      </c>
      <c r="C260" s="2" t="s">
        <v>39</v>
      </c>
      <c r="D260" s="2">
        <v>55</v>
      </c>
      <c r="E260" s="2" t="s">
        <v>49</v>
      </c>
      <c r="F260" s="2">
        <v>0.64102564102564108</v>
      </c>
      <c r="G260" s="2">
        <v>0.74999999999999989</v>
      </c>
      <c r="H260" s="2">
        <v>0.1089743589743588</v>
      </c>
    </row>
    <row r="261" spans="1:8" ht="15.75" customHeight="1" x14ac:dyDescent="0.3">
      <c r="A261" s="2" t="s">
        <v>360</v>
      </c>
      <c r="B261" s="2" t="s">
        <v>42</v>
      </c>
      <c r="C261" s="2" t="s">
        <v>39</v>
      </c>
      <c r="D261" s="2">
        <v>55</v>
      </c>
      <c r="F261" s="2">
        <v>0.2745098039215686</v>
      </c>
      <c r="G261" s="2">
        <v>0.15094339622641509</v>
      </c>
      <c r="H261" s="2">
        <v>-0.12356640769515349</v>
      </c>
    </row>
    <row r="262" spans="1:8" ht="15.75" customHeight="1" x14ac:dyDescent="0.3">
      <c r="A262" s="2" t="s">
        <v>360</v>
      </c>
      <c r="B262" s="2" t="s">
        <v>42</v>
      </c>
      <c r="C262" s="2" t="s">
        <v>39</v>
      </c>
      <c r="D262" s="2">
        <v>56</v>
      </c>
      <c r="E262" s="2" t="s">
        <v>49</v>
      </c>
      <c r="F262" s="2">
        <v>0.65909090909090906</v>
      </c>
      <c r="G262" s="2">
        <v>0.79999999999999993</v>
      </c>
      <c r="H262" s="2">
        <v>0.1409090909090909</v>
      </c>
    </row>
    <row r="263" spans="1:8" ht="15.75" customHeight="1" x14ac:dyDescent="0.3">
      <c r="A263" s="2" t="s">
        <v>360</v>
      </c>
      <c r="B263" s="2" t="s">
        <v>42</v>
      </c>
      <c r="C263" s="2" t="s">
        <v>39</v>
      </c>
      <c r="D263" s="2">
        <v>56</v>
      </c>
      <c r="F263" s="2">
        <v>8.6956521739130446E-2</v>
      </c>
      <c r="G263" s="2">
        <v>0.1276595744680851</v>
      </c>
      <c r="H263" s="2">
        <v>4.070305272895465E-2</v>
      </c>
    </row>
    <row r="264" spans="1:8" ht="15.75" customHeight="1" x14ac:dyDescent="0.3">
      <c r="A264" s="2" t="s">
        <v>360</v>
      </c>
      <c r="B264" s="2" t="s">
        <v>42</v>
      </c>
      <c r="C264" s="2" t="s">
        <v>39</v>
      </c>
      <c r="D264" s="2">
        <v>57</v>
      </c>
      <c r="E264" s="2" t="s">
        <v>49</v>
      </c>
      <c r="F264" s="2">
        <v>0.68235294117647061</v>
      </c>
      <c r="G264" s="2">
        <v>0.82105263157894737</v>
      </c>
      <c r="H264" s="2">
        <v>0.13869969040247679</v>
      </c>
    </row>
    <row r="265" spans="1:8" ht="15.75" customHeight="1" x14ac:dyDescent="0.3">
      <c r="A265" s="2" t="s">
        <v>360</v>
      </c>
      <c r="B265" s="2" t="s">
        <v>42</v>
      </c>
      <c r="C265" s="2" t="s">
        <v>39</v>
      </c>
      <c r="D265" s="2">
        <v>57</v>
      </c>
      <c r="F265" s="2">
        <v>0.17391304347826089</v>
      </c>
      <c r="G265" s="2">
        <v>0.15686274509803921</v>
      </c>
      <c r="H265" s="2">
        <v>-1.7050298380221679E-2</v>
      </c>
    </row>
    <row r="266" spans="1:8" ht="15.75" customHeight="1" x14ac:dyDescent="0.3">
      <c r="A266" s="2" t="s">
        <v>360</v>
      </c>
      <c r="B266" s="2" t="s">
        <v>42</v>
      </c>
      <c r="C266" s="2" t="s">
        <v>39</v>
      </c>
      <c r="D266" s="2">
        <v>58</v>
      </c>
      <c r="E266" s="2" t="s">
        <v>49</v>
      </c>
      <c r="F266" s="2">
        <v>0.77500000000000002</v>
      </c>
      <c r="G266" s="2">
        <v>0.74698795180722899</v>
      </c>
      <c r="H266" s="2">
        <v>-2.801204819277103E-2</v>
      </c>
    </row>
    <row r="267" spans="1:8" ht="15.75" customHeight="1" x14ac:dyDescent="0.3">
      <c r="A267" s="2" t="s">
        <v>360</v>
      </c>
      <c r="B267" s="2" t="s">
        <v>42</v>
      </c>
      <c r="C267" s="2" t="s">
        <v>39</v>
      </c>
      <c r="D267" s="2">
        <v>58</v>
      </c>
      <c r="F267" s="2">
        <v>9.0909090909090898E-2</v>
      </c>
      <c r="G267" s="2">
        <v>0.25</v>
      </c>
      <c r="H267" s="2">
        <v>0.15909090909090909</v>
      </c>
    </row>
    <row r="268" spans="1:8" ht="15.75" customHeight="1" x14ac:dyDescent="0.3">
      <c r="A268" s="2" t="s">
        <v>360</v>
      </c>
      <c r="B268" s="2" t="s">
        <v>42</v>
      </c>
      <c r="C268" s="2" t="s">
        <v>39</v>
      </c>
      <c r="D268" s="2">
        <v>59</v>
      </c>
      <c r="E268" s="2" t="s">
        <v>49</v>
      </c>
      <c r="F268" s="2">
        <v>0.78160919540229878</v>
      </c>
      <c r="G268" s="2">
        <v>0.76543209876543217</v>
      </c>
      <c r="H268" s="2">
        <v>-1.617709663686662E-2</v>
      </c>
    </row>
    <row r="269" spans="1:8" ht="15.75" customHeight="1" x14ac:dyDescent="0.3">
      <c r="A269" s="2" t="s">
        <v>360</v>
      </c>
      <c r="B269" s="2" t="s">
        <v>42</v>
      </c>
      <c r="C269" s="2" t="s">
        <v>39</v>
      </c>
      <c r="D269" s="2">
        <v>59</v>
      </c>
      <c r="F269" s="2">
        <v>0.16666666666666671</v>
      </c>
      <c r="G269" s="2">
        <v>0.13636363636363641</v>
      </c>
      <c r="H269" s="2">
        <v>-3.03030303030303E-2</v>
      </c>
    </row>
    <row r="270" spans="1:8" ht="15.75" customHeight="1" x14ac:dyDescent="0.3">
      <c r="A270" s="2" t="s">
        <v>360</v>
      </c>
      <c r="B270" s="2" t="s">
        <v>42</v>
      </c>
      <c r="C270" s="2" t="s">
        <v>39</v>
      </c>
      <c r="D270" s="2">
        <v>60</v>
      </c>
      <c r="E270" s="2" t="s">
        <v>49</v>
      </c>
      <c r="F270" s="2">
        <v>0.77272727272727271</v>
      </c>
      <c r="G270" s="2">
        <v>0.7191011235955056</v>
      </c>
      <c r="H270" s="2">
        <v>-5.3626149131767109E-2</v>
      </c>
    </row>
    <row r="271" spans="1:8" ht="15.75" customHeight="1" x14ac:dyDescent="0.3">
      <c r="A271" s="2" t="s">
        <v>360</v>
      </c>
      <c r="B271" s="2" t="s">
        <v>42</v>
      </c>
      <c r="C271" s="2" t="s">
        <v>39</v>
      </c>
      <c r="D271" s="2">
        <v>60</v>
      </c>
      <c r="F271" s="2">
        <v>4.2553191489361687E-2</v>
      </c>
      <c r="G271" s="2">
        <v>0.33333333333333343</v>
      </c>
      <c r="H271" s="2">
        <v>0.29078014184397172</v>
      </c>
    </row>
    <row r="272" spans="1:8" ht="15.75" customHeight="1" x14ac:dyDescent="0.3">
      <c r="A272" s="2" t="s">
        <v>360</v>
      </c>
      <c r="B272" s="2" t="s">
        <v>42</v>
      </c>
      <c r="C272" s="2" t="s">
        <v>39</v>
      </c>
      <c r="D272" s="2">
        <v>61</v>
      </c>
      <c r="E272" s="2" t="s">
        <v>49</v>
      </c>
      <c r="F272" s="2">
        <v>0.68181818181818188</v>
      </c>
      <c r="G272" s="2">
        <v>0.8351648351648352</v>
      </c>
      <c r="H272" s="2">
        <v>0.15334665334665329</v>
      </c>
    </row>
    <row r="273" spans="1:8" ht="15.75" customHeight="1" x14ac:dyDescent="0.3">
      <c r="A273" s="2" t="s">
        <v>360</v>
      </c>
      <c r="B273" s="2" t="s">
        <v>42</v>
      </c>
      <c r="C273" s="2" t="s">
        <v>39</v>
      </c>
      <c r="D273" s="2">
        <v>61</v>
      </c>
      <c r="F273" s="2">
        <v>0.22641509433962259</v>
      </c>
      <c r="G273" s="2">
        <v>4.3478260869565223E-2</v>
      </c>
      <c r="H273" s="2">
        <v>-0.1829368334700574</v>
      </c>
    </row>
    <row r="274" spans="1:8" ht="15.75" customHeight="1" x14ac:dyDescent="0.3">
      <c r="A274" s="2" t="s">
        <v>360</v>
      </c>
      <c r="B274" s="2" t="s">
        <v>42</v>
      </c>
      <c r="C274" s="2" t="s">
        <v>43</v>
      </c>
      <c r="D274" s="2">
        <v>42</v>
      </c>
      <c r="E274" s="2" t="s">
        <v>49</v>
      </c>
      <c r="F274" s="2">
        <v>0.81730769230769218</v>
      </c>
      <c r="G274" s="2">
        <v>0.79051383399209485</v>
      </c>
      <c r="H274" s="2">
        <v>-2.679385831559733E-2</v>
      </c>
    </row>
    <row r="275" spans="1:8" ht="15.75" customHeight="1" x14ac:dyDescent="0.3">
      <c r="A275" s="2" t="s">
        <v>360</v>
      </c>
      <c r="B275" s="2" t="s">
        <v>42</v>
      </c>
      <c r="C275" s="2" t="s">
        <v>43</v>
      </c>
      <c r="D275" s="2">
        <v>42</v>
      </c>
      <c r="F275" s="2">
        <v>0.62325581395348839</v>
      </c>
      <c r="G275" s="2">
        <v>0.65271966527196656</v>
      </c>
      <c r="H275" s="2">
        <v>2.946385131847817E-2</v>
      </c>
    </row>
    <row r="276" spans="1:8" ht="15.75" customHeight="1" x14ac:dyDescent="0.3">
      <c r="A276" s="2" t="s">
        <v>360</v>
      </c>
      <c r="B276" s="2" t="s">
        <v>42</v>
      </c>
      <c r="C276" s="2" t="s">
        <v>43</v>
      </c>
      <c r="D276" s="2">
        <v>43</v>
      </c>
      <c r="E276" s="2" t="s">
        <v>49</v>
      </c>
      <c r="F276" s="2">
        <v>0.79166666666666663</v>
      </c>
      <c r="G276" s="2">
        <v>0.78714859437751006</v>
      </c>
      <c r="H276" s="2">
        <v>-4.5180722891565717E-3</v>
      </c>
    </row>
    <row r="277" spans="1:8" ht="15.75" customHeight="1" x14ac:dyDescent="0.3">
      <c r="A277" s="2" t="s">
        <v>360</v>
      </c>
      <c r="B277" s="2" t="s">
        <v>42</v>
      </c>
      <c r="C277" s="2" t="s">
        <v>43</v>
      </c>
      <c r="D277" s="2">
        <v>43</v>
      </c>
      <c r="F277" s="2">
        <v>0.55652173913043479</v>
      </c>
      <c r="G277" s="2">
        <v>0.70204081632653059</v>
      </c>
      <c r="H277" s="2">
        <v>0.1455190771960958</v>
      </c>
    </row>
    <row r="278" spans="1:8" ht="15.75" customHeight="1" x14ac:dyDescent="0.3">
      <c r="A278" s="2" t="s">
        <v>360</v>
      </c>
      <c r="B278" s="2" t="s">
        <v>42</v>
      </c>
      <c r="C278" s="2" t="s">
        <v>43</v>
      </c>
      <c r="D278" s="2">
        <v>44</v>
      </c>
      <c r="E278" s="2" t="s">
        <v>49</v>
      </c>
      <c r="F278" s="2">
        <v>0.79087452471482889</v>
      </c>
      <c r="G278" s="2">
        <v>0.75518672199170134</v>
      </c>
      <c r="H278" s="2">
        <v>-3.5687802723127549E-2</v>
      </c>
    </row>
    <row r="279" spans="1:8" ht="15.75" customHeight="1" x14ac:dyDescent="0.3">
      <c r="A279" s="2" t="s">
        <v>360</v>
      </c>
      <c r="B279" s="2" t="s">
        <v>42</v>
      </c>
      <c r="C279" s="2" t="s">
        <v>43</v>
      </c>
      <c r="D279" s="2">
        <v>44</v>
      </c>
      <c r="F279" s="2">
        <v>0.61710037174721188</v>
      </c>
      <c r="G279" s="2">
        <v>0.59071729957805919</v>
      </c>
      <c r="H279" s="2">
        <v>-2.6383072169152699E-2</v>
      </c>
    </row>
    <row r="280" spans="1:8" ht="15.75" customHeight="1" x14ac:dyDescent="0.3">
      <c r="A280" s="2" t="s">
        <v>360</v>
      </c>
      <c r="B280" s="2" t="s">
        <v>42</v>
      </c>
      <c r="C280" s="2" t="s">
        <v>43</v>
      </c>
      <c r="D280" s="2">
        <v>45</v>
      </c>
      <c r="E280" s="2" t="s">
        <v>49</v>
      </c>
      <c r="F280" s="2">
        <v>0.84528301886792445</v>
      </c>
      <c r="G280" s="2">
        <v>0.77343750000000011</v>
      </c>
      <c r="H280" s="2">
        <v>-7.1845518867924341E-2</v>
      </c>
    </row>
    <row r="281" spans="1:8" ht="15.75" customHeight="1" x14ac:dyDescent="0.3">
      <c r="A281" s="2" t="s">
        <v>360</v>
      </c>
      <c r="B281" s="2" t="s">
        <v>42</v>
      </c>
      <c r="C281" s="2" t="s">
        <v>43</v>
      </c>
      <c r="D281" s="2">
        <v>45</v>
      </c>
      <c r="F281" s="2">
        <v>0.68634686346863472</v>
      </c>
      <c r="G281" s="2">
        <v>0.63374485596707808</v>
      </c>
      <c r="H281" s="2">
        <v>-5.2602007501556643E-2</v>
      </c>
    </row>
    <row r="282" spans="1:8" ht="15.75" customHeight="1" x14ac:dyDescent="0.3">
      <c r="A282" s="2" t="s">
        <v>360</v>
      </c>
      <c r="B282" s="2" t="s">
        <v>42</v>
      </c>
      <c r="C282" s="2" t="s">
        <v>43</v>
      </c>
      <c r="D282" s="2">
        <v>46</v>
      </c>
      <c r="E282" s="2" t="s">
        <v>49</v>
      </c>
      <c r="F282" s="2">
        <v>0.83848797250859108</v>
      </c>
      <c r="G282" s="2">
        <v>0.8226415094339623</v>
      </c>
      <c r="H282" s="2">
        <v>-1.584646307462878E-2</v>
      </c>
    </row>
    <row r="283" spans="1:8" ht="15.75" customHeight="1" x14ac:dyDescent="0.3">
      <c r="A283" s="2" t="s">
        <v>360</v>
      </c>
      <c r="B283" s="2" t="s">
        <v>42</v>
      </c>
      <c r="C283" s="2" t="s">
        <v>43</v>
      </c>
      <c r="D283" s="2">
        <v>46</v>
      </c>
      <c r="F283" s="2">
        <v>0.63345195729537374</v>
      </c>
      <c r="G283" s="2">
        <v>0.63601532567049812</v>
      </c>
      <c r="H283" s="2">
        <v>2.5633683751243859E-3</v>
      </c>
    </row>
    <row r="284" spans="1:8" ht="15.75" customHeight="1" x14ac:dyDescent="0.3">
      <c r="A284" s="2" t="s">
        <v>360</v>
      </c>
      <c r="B284" s="2" t="s">
        <v>42</v>
      </c>
      <c r="C284" s="2" t="s">
        <v>43</v>
      </c>
      <c r="D284" s="2">
        <v>47</v>
      </c>
      <c r="E284" s="2" t="s">
        <v>49</v>
      </c>
      <c r="F284" s="2">
        <v>0.83088235294117641</v>
      </c>
      <c r="G284" s="2">
        <v>0.80833333333333335</v>
      </c>
      <c r="H284" s="2">
        <v>-2.2549019607843061E-2</v>
      </c>
    </row>
    <row r="285" spans="1:8" ht="15.75" customHeight="1" x14ac:dyDescent="0.3">
      <c r="A285" s="2" t="s">
        <v>360</v>
      </c>
      <c r="B285" s="2" t="s">
        <v>42</v>
      </c>
      <c r="C285" s="2" t="s">
        <v>43</v>
      </c>
      <c r="D285" s="2">
        <v>47</v>
      </c>
      <c r="F285" s="2">
        <v>0.69260700389105068</v>
      </c>
      <c r="G285" s="2">
        <v>0.53112033195020747</v>
      </c>
      <c r="H285" s="2">
        <v>-0.16148667194084321</v>
      </c>
    </row>
    <row r="286" spans="1:8" ht="15.75" customHeight="1" x14ac:dyDescent="0.3">
      <c r="A286" s="2" t="s">
        <v>360</v>
      </c>
      <c r="B286" s="2" t="s">
        <v>42</v>
      </c>
      <c r="C286" s="2" t="s">
        <v>43</v>
      </c>
      <c r="D286" s="2">
        <v>48</v>
      </c>
      <c r="E286" s="2" t="s">
        <v>49</v>
      </c>
      <c r="F286" s="2">
        <v>0.73949579831932777</v>
      </c>
      <c r="G286" s="2">
        <v>0.7929824561403509</v>
      </c>
      <c r="H286" s="2">
        <v>5.3486657821023131E-2</v>
      </c>
    </row>
    <row r="287" spans="1:8" ht="15.75" customHeight="1" x14ac:dyDescent="0.3">
      <c r="A287" s="2" t="s">
        <v>360</v>
      </c>
      <c r="B287" s="2" t="s">
        <v>42</v>
      </c>
      <c r="C287" s="2" t="s">
        <v>43</v>
      </c>
      <c r="D287" s="2">
        <v>48</v>
      </c>
      <c r="F287" s="2">
        <v>0.56557377049180324</v>
      </c>
      <c r="G287" s="2">
        <v>0.6785714285714286</v>
      </c>
      <c r="H287" s="2">
        <v>0.1129976580796254</v>
      </c>
    </row>
    <row r="288" spans="1:8" ht="15.75" customHeight="1" x14ac:dyDescent="0.3">
      <c r="A288" s="2" t="s">
        <v>360</v>
      </c>
      <c r="B288" s="2" t="s">
        <v>42</v>
      </c>
      <c r="C288" s="2" t="s">
        <v>43</v>
      </c>
      <c r="D288" s="2">
        <v>49</v>
      </c>
      <c r="E288" s="2" t="s">
        <v>49</v>
      </c>
      <c r="F288" s="2">
        <v>0.74893617021276604</v>
      </c>
      <c r="G288" s="2">
        <v>0.75303643724696345</v>
      </c>
      <c r="H288" s="2">
        <v>4.1002670341974126E-3</v>
      </c>
    </row>
    <row r="289" spans="1:8" ht="15.75" customHeight="1" x14ac:dyDescent="0.3">
      <c r="A289" s="2" t="s">
        <v>360</v>
      </c>
      <c r="B289" s="2" t="s">
        <v>42</v>
      </c>
      <c r="C289" s="2" t="s">
        <v>43</v>
      </c>
      <c r="D289" s="2">
        <v>49</v>
      </c>
      <c r="F289" s="2">
        <v>0.61187214611872154</v>
      </c>
      <c r="G289" s="2">
        <v>0.53600000000000003</v>
      </c>
      <c r="H289" s="2">
        <v>-7.5872146118721506E-2</v>
      </c>
    </row>
    <row r="290" spans="1:8" ht="15.75" customHeight="1" x14ac:dyDescent="0.3">
      <c r="A290" s="2" t="s">
        <v>360</v>
      </c>
      <c r="B290" s="2" t="s">
        <v>42</v>
      </c>
      <c r="C290" s="2" t="s">
        <v>43</v>
      </c>
      <c r="D290" s="2">
        <v>50</v>
      </c>
      <c r="E290" s="2" t="s">
        <v>49</v>
      </c>
      <c r="F290" s="2">
        <v>0.75384615384615394</v>
      </c>
      <c r="G290" s="2">
        <v>0.81666666666666665</v>
      </c>
      <c r="H290" s="2">
        <v>6.2820512820512708E-2</v>
      </c>
    </row>
    <row r="291" spans="1:8" ht="15.75" customHeight="1" x14ac:dyDescent="0.3">
      <c r="A291" s="2" t="s">
        <v>360</v>
      </c>
      <c r="B291" s="2" t="s">
        <v>42</v>
      </c>
      <c r="C291" s="2" t="s">
        <v>43</v>
      </c>
      <c r="D291" s="2">
        <v>50</v>
      </c>
      <c r="F291" s="2">
        <v>0.53968253968253976</v>
      </c>
      <c r="G291" s="2">
        <v>0.66949152542372881</v>
      </c>
      <c r="H291" s="2">
        <v>0.12980898574118899</v>
      </c>
    </row>
    <row r="292" spans="1:8" ht="15.75" customHeight="1" x14ac:dyDescent="0.3">
      <c r="A292" s="2" t="s">
        <v>360</v>
      </c>
      <c r="B292" s="2" t="s">
        <v>42</v>
      </c>
      <c r="C292" s="2" t="s">
        <v>43</v>
      </c>
      <c r="D292" s="2">
        <v>51</v>
      </c>
      <c r="E292" s="2" t="s">
        <v>49</v>
      </c>
      <c r="F292" s="2">
        <v>0.76923076923076927</v>
      </c>
      <c r="G292" s="2">
        <v>0.80555555555555547</v>
      </c>
      <c r="H292" s="2">
        <v>3.6324786324786203E-2</v>
      </c>
    </row>
    <row r="293" spans="1:8" ht="15.75" customHeight="1" x14ac:dyDescent="0.3">
      <c r="A293" s="2" t="s">
        <v>360</v>
      </c>
      <c r="B293" s="2" t="s">
        <v>42</v>
      </c>
      <c r="C293" s="2" t="s">
        <v>43</v>
      </c>
      <c r="D293" s="2">
        <v>51</v>
      </c>
      <c r="F293" s="2">
        <v>0.60869565217391308</v>
      </c>
      <c r="G293" s="2">
        <v>0.59715639810426546</v>
      </c>
      <c r="H293" s="2">
        <v>-1.153925406964762E-2</v>
      </c>
    </row>
    <row r="294" spans="1:8" ht="15.75" customHeight="1" x14ac:dyDescent="0.3">
      <c r="A294" s="2" t="s">
        <v>360</v>
      </c>
      <c r="B294" s="2" t="s">
        <v>42</v>
      </c>
      <c r="C294" s="2" t="s">
        <v>43</v>
      </c>
      <c r="D294" s="2">
        <v>52</v>
      </c>
      <c r="E294" s="2" t="s">
        <v>49</v>
      </c>
      <c r="F294" s="2">
        <v>0.78260869565217384</v>
      </c>
      <c r="G294" s="2">
        <v>0.8270042194092827</v>
      </c>
      <c r="H294" s="2">
        <v>4.4395523757108868E-2</v>
      </c>
    </row>
    <row r="295" spans="1:8" ht="15.75" customHeight="1" x14ac:dyDescent="0.3">
      <c r="A295" s="2" t="s">
        <v>360</v>
      </c>
      <c r="B295" s="2" t="s">
        <v>42</v>
      </c>
      <c r="C295" s="2" t="s">
        <v>43</v>
      </c>
      <c r="D295" s="2">
        <v>52</v>
      </c>
      <c r="F295" s="2">
        <v>0.68181818181818188</v>
      </c>
      <c r="G295" s="2">
        <v>0.58407079646017701</v>
      </c>
      <c r="H295" s="2">
        <v>-9.7747385358004868E-2</v>
      </c>
    </row>
    <row r="296" spans="1:8" ht="15.75" customHeight="1" x14ac:dyDescent="0.3">
      <c r="A296" s="2" t="s">
        <v>360</v>
      </c>
      <c r="B296" s="2" t="s">
        <v>42</v>
      </c>
      <c r="C296" s="2" t="s">
        <v>43</v>
      </c>
      <c r="D296" s="2">
        <v>53</v>
      </c>
      <c r="E296" s="2" t="s">
        <v>49</v>
      </c>
      <c r="F296" s="2">
        <v>0.74025974025974028</v>
      </c>
      <c r="G296" s="2">
        <v>0.73684210526315785</v>
      </c>
      <c r="H296" s="2">
        <v>-3.41763499658243E-3</v>
      </c>
    </row>
    <row r="297" spans="1:8" ht="15.75" customHeight="1" x14ac:dyDescent="0.3">
      <c r="A297" s="2" t="s">
        <v>360</v>
      </c>
      <c r="B297" s="2" t="s">
        <v>42</v>
      </c>
      <c r="C297" s="2" t="s">
        <v>43</v>
      </c>
      <c r="D297" s="2">
        <v>53</v>
      </c>
      <c r="F297" s="2">
        <v>0.5714285714285714</v>
      </c>
      <c r="G297" s="2">
        <v>0.60000000000000009</v>
      </c>
      <c r="H297" s="2">
        <v>2.8571428571428688E-2</v>
      </c>
    </row>
    <row r="298" spans="1:8" ht="15.75" customHeight="1" x14ac:dyDescent="0.3">
      <c r="A298" s="2" t="s">
        <v>360</v>
      </c>
      <c r="B298" s="2" t="s">
        <v>42</v>
      </c>
      <c r="C298" s="2" t="s">
        <v>43</v>
      </c>
      <c r="D298" s="2">
        <v>54</v>
      </c>
      <c r="E298" s="2" t="s">
        <v>49</v>
      </c>
      <c r="F298" s="2">
        <v>0.7350427350427351</v>
      </c>
      <c r="G298" s="2">
        <v>0.77911646586345373</v>
      </c>
      <c r="H298" s="2">
        <v>4.4073730820718637E-2</v>
      </c>
    </row>
    <row r="299" spans="1:8" ht="15.75" customHeight="1" x14ac:dyDescent="0.3">
      <c r="A299" s="2" t="s">
        <v>360</v>
      </c>
      <c r="B299" s="2" t="s">
        <v>42</v>
      </c>
      <c r="C299" s="2" t="s">
        <v>43</v>
      </c>
      <c r="D299" s="2">
        <v>54</v>
      </c>
      <c r="F299" s="2">
        <v>0.625</v>
      </c>
      <c r="G299" s="2">
        <v>0.57723577235772361</v>
      </c>
      <c r="H299" s="2">
        <v>-4.7764227642276391E-2</v>
      </c>
    </row>
    <row r="300" spans="1:8" ht="15.75" customHeight="1" x14ac:dyDescent="0.3">
      <c r="A300" s="2" t="s">
        <v>360</v>
      </c>
      <c r="B300" s="2" t="s">
        <v>42</v>
      </c>
      <c r="C300" s="2" t="s">
        <v>43</v>
      </c>
      <c r="D300" s="2">
        <v>55</v>
      </c>
      <c r="E300" s="2" t="s">
        <v>49</v>
      </c>
      <c r="F300" s="2">
        <v>0.76315789473684204</v>
      </c>
      <c r="G300" s="2">
        <v>0.81647940074906367</v>
      </c>
      <c r="H300" s="2">
        <v>5.3321506012221631E-2</v>
      </c>
    </row>
    <row r="301" spans="1:8" ht="15.75" customHeight="1" x14ac:dyDescent="0.3">
      <c r="A301" s="2" t="s">
        <v>360</v>
      </c>
      <c r="B301" s="2" t="s">
        <v>42</v>
      </c>
      <c r="C301" s="2" t="s">
        <v>43</v>
      </c>
      <c r="D301" s="2">
        <v>55</v>
      </c>
      <c r="F301" s="2">
        <v>0.60869565217391297</v>
      </c>
      <c r="G301" s="2">
        <v>0.66412213740458015</v>
      </c>
      <c r="H301" s="2">
        <v>5.5426485230667177E-2</v>
      </c>
    </row>
    <row r="302" spans="1:8" ht="15.75" customHeight="1" x14ac:dyDescent="0.3">
      <c r="A302" s="2" t="s">
        <v>360</v>
      </c>
      <c r="B302" s="2" t="s">
        <v>42</v>
      </c>
      <c r="C302" s="2" t="s">
        <v>43</v>
      </c>
      <c r="D302" s="2">
        <v>56</v>
      </c>
      <c r="E302" s="2" t="s">
        <v>49</v>
      </c>
      <c r="F302" s="2">
        <v>0.78008298755186711</v>
      </c>
      <c r="G302" s="2">
        <v>0.78740157480314965</v>
      </c>
      <c r="H302" s="2">
        <v>7.3185872512825378E-3</v>
      </c>
    </row>
    <row r="303" spans="1:8" ht="15.75" customHeight="1" x14ac:dyDescent="0.3">
      <c r="A303" s="2" t="s">
        <v>360</v>
      </c>
      <c r="B303" s="2" t="s">
        <v>42</v>
      </c>
      <c r="C303" s="2" t="s">
        <v>43</v>
      </c>
      <c r="D303" s="2">
        <v>56</v>
      </c>
      <c r="F303" s="2">
        <v>0.63291139240506344</v>
      </c>
      <c r="G303" s="2">
        <v>0.62295081967213128</v>
      </c>
      <c r="H303" s="2">
        <v>-9.9605727329321603E-3</v>
      </c>
    </row>
    <row r="304" spans="1:8" ht="15.75" customHeight="1" x14ac:dyDescent="0.3">
      <c r="A304" s="2" t="s">
        <v>360</v>
      </c>
      <c r="B304" s="2" t="s">
        <v>42</v>
      </c>
      <c r="C304" s="2" t="s">
        <v>43</v>
      </c>
      <c r="D304" s="2">
        <v>57</v>
      </c>
      <c r="E304" s="2" t="s">
        <v>49</v>
      </c>
      <c r="F304" s="2">
        <v>0.77235772357723576</v>
      </c>
      <c r="G304" s="2">
        <v>0.82448979591836735</v>
      </c>
      <c r="H304" s="2">
        <v>5.2132072341131597E-2</v>
      </c>
    </row>
    <row r="305" spans="1:8" ht="15.75" customHeight="1" x14ac:dyDescent="0.3">
      <c r="A305" s="2" t="s">
        <v>360</v>
      </c>
      <c r="B305" s="2" t="s">
        <v>42</v>
      </c>
      <c r="C305" s="2" t="s">
        <v>43</v>
      </c>
      <c r="D305" s="2">
        <v>57</v>
      </c>
      <c r="F305" s="2">
        <v>0.59836065573770492</v>
      </c>
      <c r="G305" s="2">
        <v>0.62295081967213117</v>
      </c>
      <c r="H305" s="2">
        <v>2.459016393442626E-2</v>
      </c>
    </row>
    <row r="306" spans="1:8" ht="15.75" customHeight="1" x14ac:dyDescent="0.3">
      <c r="A306" s="2" t="s">
        <v>360</v>
      </c>
      <c r="B306" s="2" t="s">
        <v>42</v>
      </c>
      <c r="C306" s="2" t="s">
        <v>43</v>
      </c>
      <c r="D306" s="2">
        <v>58</v>
      </c>
      <c r="E306" s="2" t="s">
        <v>49</v>
      </c>
      <c r="F306" s="2">
        <v>0.71717171717171724</v>
      </c>
      <c r="G306" s="2">
        <v>0.77828054298642524</v>
      </c>
      <c r="H306" s="2">
        <v>6.1108825814708001E-2</v>
      </c>
    </row>
    <row r="307" spans="1:8" ht="15.75" customHeight="1" x14ac:dyDescent="0.3">
      <c r="A307" s="2" t="s">
        <v>360</v>
      </c>
      <c r="B307" s="2" t="s">
        <v>42</v>
      </c>
      <c r="C307" s="2" t="s">
        <v>43</v>
      </c>
      <c r="D307" s="2">
        <v>58</v>
      </c>
      <c r="F307" s="2">
        <v>0.57777777777777772</v>
      </c>
      <c r="G307" s="2">
        <v>0.65094339622641506</v>
      </c>
      <c r="H307" s="2">
        <v>7.3165618448637337E-2</v>
      </c>
    </row>
    <row r="308" spans="1:8" ht="15.75" customHeight="1" x14ac:dyDescent="0.3">
      <c r="A308" s="2" t="s">
        <v>360</v>
      </c>
      <c r="B308" s="2" t="s">
        <v>42</v>
      </c>
      <c r="C308" s="2" t="s">
        <v>43</v>
      </c>
      <c r="D308" s="2">
        <v>59</v>
      </c>
      <c r="E308" s="2" t="s">
        <v>49</v>
      </c>
      <c r="F308" s="2">
        <v>0.77777777777777779</v>
      </c>
      <c r="G308" s="2">
        <v>0.81568627450980402</v>
      </c>
      <c r="H308" s="2">
        <v>3.7908496732026231E-2</v>
      </c>
    </row>
    <row r="309" spans="1:8" ht="15.75" customHeight="1" x14ac:dyDescent="0.3">
      <c r="A309" s="2" t="s">
        <v>360</v>
      </c>
      <c r="B309" s="2" t="s">
        <v>42</v>
      </c>
      <c r="C309" s="2" t="s">
        <v>43</v>
      </c>
      <c r="D309" s="2">
        <v>59</v>
      </c>
      <c r="F309" s="2">
        <v>0.66995073891625612</v>
      </c>
      <c r="G309" s="2">
        <v>0.65020576131687247</v>
      </c>
      <c r="H309" s="2">
        <v>-1.9744977599383651E-2</v>
      </c>
    </row>
    <row r="310" spans="1:8" ht="15.75" customHeight="1" x14ac:dyDescent="0.3">
      <c r="A310" s="2" t="s">
        <v>360</v>
      </c>
      <c r="B310" s="2" t="s">
        <v>42</v>
      </c>
      <c r="C310" s="2" t="s">
        <v>43</v>
      </c>
      <c r="D310" s="2">
        <v>60</v>
      </c>
      <c r="E310" s="2" t="s">
        <v>49</v>
      </c>
      <c r="F310" s="2">
        <v>0.77500000000000002</v>
      </c>
      <c r="G310" s="2">
        <v>0.74042553191489358</v>
      </c>
      <c r="H310" s="2">
        <v>-3.4574468085106447E-2</v>
      </c>
    </row>
    <row r="311" spans="1:8" ht="15.75" customHeight="1" x14ac:dyDescent="0.3">
      <c r="A311" s="2" t="s">
        <v>360</v>
      </c>
      <c r="B311" s="2" t="s">
        <v>42</v>
      </c>
      <c r="C311" s="2" t="s">
        <v>43</v>
      </c>
      <c r="D311" s="2">
        <v>60</v>
      </c>
      <c r="F311" s="2">
        <v>0.62008733624454149</v>
      </c>
      <c r="G311" s="2">
        <v>0.51351351351351338</v>
      </c>
      <c r="H311" s="2">
        <v>-0.1065738227310281</v>
      </c>
    </row>
    <row r="312" spans="1:8" ht="15.75" customHeight="1" x14ac:dyDescent="0.3">
      <c r="A312" s="2" t="s">
        <v>360</v>
      </c>
      <c r="B312" s="2" t="s">
        <v>42</v>
      </c>
      <c r="C312" s="2" t="s">
        <v>43</v>
      </c>
      <c r="D312" s="2">
        <v>61</v>
      </c>
      <c r="E312" s="2" t="s">
        <v>49</v>
      </c>
      <c r="F312" s="2">
        <v>0.70119521912350602</v>
      </c>
      <c r="G312" s="2">
        <v>0.79820627802690591</v>
      </c>
      <c r="H312" s="2">
        <v>9.7011058903399894E-2</v>
      </c>
    </row>
    <row r="313" spans="1:8" ht="15.75" customHeight="1" x14ac:dyDescent="0.3">
      <c r="A313" s="2" t="s">
        <v>360</v>
      </c>
      <c r="B313" s="2" t="s">
        <v>42</v>
      </c>
      <c r="C313" s="2" t="s">
        <v>43</v>
      </c>
      <c r="D313" s="2">
        <v>61</v>
      </c>
      <c r="F313" s="2">
        <v>0.56224899598393574</v>
      </c>
      <c r="G313" s="2">
        <v>0.58986175115207373</v>
      </c>
      <c r="H313" s="2">
        <v>2.7612755168137989E-2</v>
      </c>
    </row>
    <row r="314" spans="1:8" ht="15.75" customHeight="1" x14ac:dyDescent="0.3">
      <c r="A314" s="2" t="s">
        <v>360</v>
      </c>
      <c r="B314" s="2" t="s">
        <v>42</v>
      </c>
      <c r="C314" s="2" t="s">
        <v>82</v>
      </c>
      <c r="D314" s="2">
        <v>42</v>
      </c>
      <c r="E314" s="2" t="s">
        <v>49</v>
      </c>
      <c r="F314" s="2">
        <v>0.67692307692307696</v>
      </c>
      <c r="G314" s="2">
        <v>0.62068965517241381</v>
      </c>
      <c r="H314" s="2">
        <v>-5.6233421750663148E-2</v>
      </c>
    </row>
    <row r="315" spans="1:8" ht="15.75" customHeight="1" x14ac:dyDescent="0.3">
      <c r="A315" s="2" t="s">
        <v>360</v>
      </c>
      <c r="B315" s="2" t="s">
        <v>42</v>
      </c>
      <c r="C315" s="2" t="s">
        <v>82</v>
      </c>
      <c r="D315" s="2">
        <v>42</v>
      </c>
      <c r="F315" s="2">
        <v>0.6033519553072626</v>
      </c>
      <c r="G315" s="2">
        <v>0.50980392156862742</v>
      </c>
      <c r="H315" s="2">
        <v>-9.3548033738635183E-2</v>
      </c>
    </row>
    <row r="316" spans="1:8" ht="15.75" customHeight="1" x14ac:dyDescent="0.3">
      <c r="A316" s="2" t="s">
        <v>360</v>
      </c>
      <c r="B316" s="2" t="s">
        <v>42</v>
      </c>
      <c r="C316" s="2" t="s">
        <v>82</v>
      </c>
      <c r="D316" s="2">
        <v>43</v>
      </c>
      <c r="E316" s="2" t="s">
        <v>49</v>
      </c>
      <c r="F316" s="2">
        <v>0.80176211453744495</v>
      </c>
      <c r="G316" s="2">
        <v>0.81355932203389836</v>
      </c>
      <c r="H316" s="2">
        <v>1.179720749645341E-2</v>
      </c>
    </row>
    <row r="317" spans="1:8" ht="15.75" customHeight="1" x14ac:dyDescent="0.3">
      <c r="A317" s="2" t="s">
        <v>360</v>
      </c>
      <c r="B317" s="2" t="s">
        <v>42</v>
      </c>
      <c r="C317" s="2" t="s">
        <v>82</v>
      </c>
      <c r="D317" s="2">
        <v>43</v>
      </c>
      <c r="F317" s="2">
        <v>0.586046511627907</v>
      </c>
      <c r="G317" s="2">
        <v>0.69709543568464738</v>
      </c>
      <c r="H317" s="2">
        <v>0.1110489240567404</v>
      </c>
    </row>
    <row r="318" spans="1:8" ht="15.75" customHeight="1" x14ac:dyDescent="0.3">
      <c r="A318" s="2" t="s">
        <v>360</v>
      </c>
      <c r="B318" s="2" t="s">
        <v>42</v>
      </c>
      <c r="C318" s="2" t="s">
        <v>82</v>
      </c>
      <c r="D318" s="2">
        <v>44</v>
      </c>
      <c r="E318" s="2" t="s">
        <v>49</v>
      </c>
      <c r="F318" s="2">
        <v>0.64705882352941169</v>
      </c>
      <c r="G318" s="2">
        <v>0.71232876712328774</v>
      </c>
      <c r="H318" s="2">
        <v>6.5269943593876056E-2</v>
      </c>
    </row>
    <row r="319" spans="1:8" ht="15.75" customHeight="1" x14ac:dyDescent="0.3">
      <c r="A319" s="2" t="s">
        <v>360</v>
      </c>
      <c r="B319" s="2" t="s">
        <v>42</v>
      </c>
      <c r="C319" s="2" t="s">
        <v>82</v>
      </c>
      <c r="D319" s="2">
        <v>44</v>
      </c>
      <c r="F319" s="2">
        <v>0.62711864406779672</v>
      </c>
      <c r="G319" s="2">
        <v>0.48780487804878048</v>
      </c>
      <c r="H319" s="2">
        <v>-0.13931376601901621</v>
      </c>
    </row>
    <row r="320" spans="1:8" ht="15.75" customHeight="1" x14ac:dyDescent="0.3">
      <c r="A320" s="2" t="s">
        <v>360</v>
      </c>
      <c r="B320" s="2" t="s">
        <v>42</v>
      </c>
      <c r="C320" s="2" t="s">
        <v>82</v>
      </c>
      <c r="D320" s="2">
        <v>45</v>
      </c>
      <c r="E320" s="2" t="s">
        <v>49</v>
      </c>
      <c r="F320" s="2">
        <v>0.82307692307692304</v>
      </c>
      <c r="G320" s="2">
        <v>0.69787234042553192</v>
      </c>
      <c r="H320" s="2">
        <v>-0.12520458265139109</v>
      </c>
    </row>
    <row r="321" spans="1:8" ht="15.75" customHeight="1" x14ac:dyDescent="0.3">
      <c r="A321" s="2" t="s">
        <v>360</v>
      </c>
      <c r="B321" s="2" t="s">
        <v>42</v>
      </c>
      <c r="C321" s="2" t="s">
        <v>82</v>
      </c>
      <c r="D321" s="2">
        <v>45</v>
      </c>
      <c r="F321" s="2">
        <v>0.65900383141762453</v>
      </c>
      <c r="G321" s="2">
        <v>0.61061946902654862</v>
      </c>
      <c r="H321" s="2">
        <v>-4.8384362391075908E-2</v>
      </c>
    </row>
    <row r="322" spans="1:8" ht="15.75" customHeight="1" x14ac:dyDescent="0.3">
      <c r="A322" s="2" t="s">
        <v>360</v>
      </c>
      <c r="B322" s="2" t="s">
        <v>42</v>
      </c>
      <c r="C322" s="2" t="s">
        <v>82</v>
      </c>
      <c r="D322" s="2">
        <v>46</v>
      </c>
      <c r="E322" s="2" t="s">
        <v>49</v>
      </c>
      <c r="F322" s="2">
        <v>0.79259259259259263</v>
      </c>
      <c r="G322" s="2">
        <v>0.81300813008130068</v>
      </c>
      <c r="H322" s="2">
        <v>2.0415537488708061E-2</v>
      </c>
    </row>
    <row r="323" spans="1:8" ht="15.75" customHeight="1" x14ac:dyDescent="0.3">
      <c r="A323" s="2" t="s">
        <v>360</v>
      </c>
      <c r="B323" s="2" t="s">
        <v>42</v>
      </c>
      <c r="C323" s="2" t="s">
        <v>82</v>
      </c>
      <c r="D323" s="2">
        <v>46</v>
      </c>
      <c r="F323" s="2">
        <v>0.5799256505576208</v>
      </c>
      <c r="G323" s="2">
        <v>0.63829787234042556</v>
      </c>
      <c r="H323" s="2">
        <v>5.8372221782804767E-2</v>
      </c>
    </row>
    <row r="324" spans="1:8" ht="15.75" customHeight="1" x14ac:dyDescent="0.3">
      <c r="A324" s="2" t="s">
        <v>360</v>
      </c>
      <c r="B324" s="2" t="s">
        <v>42</v>
      </c>
      <c r="C324" s="2" t="s">
        <v>82</v>
      </c>
      <c r="D324" s="2">
        <v>47</v>
      </c>
      <c r="E324" s="2" t="s">
        <v>49</v>
      </c>
      <c r="F324" s="2">
        <v>0.80645161290322576</v>
      </c>
      <c r="G324" s="2">
        <v>0.81385281385281383</v>
      </c>
      <c r="H324" s="2">
        <v>7.4012009495880724E-3</v>
      </c>
    </row>
    <row r="325" spans="1:8" ht="15.75" customHeight="1" x14ac:dyDescent="0.3">
      <c r="A325" s="2" t="s">
        <v>360</v>
      </c>
      <c r="B325" s="2" t="s">
        <v>42</v>
      </c>
      <c r="C325" s="2" t="s">
        <v>82</v>
      </c>
      <c r="D325" s="2">
        <v>47</v>
      </c>
      <c r="F325" s="2">
        <v>0.67826086956521736</v>
      </c>
      <c r="G325" s="2">
        <v>0.46788990825688082</v>
      </c>
      <c r="H325" s="2">
        <v>-0.2103709613083366</v>
      </c>
    </row>
    <row r="326" spans="1:8" ht="15.75" customHeight="1" x14ac:dyDescent="0.3">
      <c r="A326" s="2" t="s">
        <v>360</v>
      </c>
      <c r="B326" s="2" t="s">
        <v>42</v>
      </c>
      <c r="C326" s="2" t="s">
        <v>82</v>
      </c>
      <c r="D326" s="2">
        <v>48</v>
      </c>
      <c r="E326" s="2" t="s">
        <v>49</v>
      </c>
      <c r="F326" s="2">
        <v>0.73362445414847166</v>
      </c>
      <c r="G326" s="2">
        <v>0.80608365019011408</v>
      </c>
      <c r="H326" s="2">
        <v>7.2459196041642415E-2</v>
      </c>
    </row>
    <row r="327" spans="1:8" ht="15.75" customHeight="1" x14ac:dyDescent="0.3">
      <c r="A327" s="2" t="s">
        <v>360</v>
      </c>
      <c r="B327" s="2" t="s">
        <v>42</v>
      </c>
      <c r="C327" s="2" t="s">
        <v>82</v>
      </c>
      <c r="D327" s="2">
        <v>48</v>
      </c>
      <c r="F327" s="2">
        <v>0.48484848484848492</v>
      </c>
      <c r="G327" s="2">
        <v>0.6617100371747211</v>
      </c>
      <c r="H327" s="2">
        <v>0.17686155232623621</v>
      </c>
    </row>
    <row r="328" spans="1:8" ht="15.75" customHeight="1" x14ac:dyDescent="0.3">
      <c r="A328" s="2" t="s">
        <v>360</v>
      </c>
      <c r="B328" s="2" t="s">
        <v>42</v>
      </c>
      <c r="C328" s="2" t="s">
        <v>82</v>
      </c>
      <c r="D328" s="2">
        <v>49</v>
      </c>
      <c r="E328" s="2" t="s">
        <v>49</v>
      </c>
      <c r="F328" s="2">
        <v>0.77064220183486243</v>
      </c>
      <c r="G328" s="2">
        <v>0.76229508196721307</v>
      </c>
      <c r="H328" s="2">
        <v>-8.3471198676493552E-3</v>
      </c>
    </row>
    <row r="329" spans="1:8" ht="15.75" customHeight="1" x14ac:dyDescent="0.3">
      <c r="A329" s="2" t="s">
        <v>360</v>
      </c>
      <c r="B329" s="2" t="s">
        <v>42</v>
      </c>
      <c r="C329" s="2" t="s">
        <v>82</v>
      </c>
      <c r="D329" s="2">
        <v>49</v>
      </c>
      <c r="F329" s="2">
        <v>0.58947368421052626</v>
      </c>
      <c r="G329" s="2">
        <v>0.5321100917431193</v>
      </c>
      <c r="H329" s="2">
        <v>-5.7363592467406972E-2</v>
      </c>
    </row>
    <row r="330" spans="1:8" ht="15.75" customHeight="1" x14ac:dyDescent="0.3">
      <c r="A330" s="2" t="s">
        <v>360</v>
      </c>
      <c r="B330" s="2" t="s">
        <v>42</v>
      </c>
      <c r="C330" s="2" t="s">
        <v>82</v>
      </c>
      <c r="D330" s="2">
        <v>50</v>
      </c>
      <c r="E330" s="2" t="s">
        <v>49</v>
      </c>
      <c r="F330" s="2">
        <v>0.75102040816326532</v>
      </c>
      <c r="G330" s="2">
        <v>0.67873303167420818</v>
      </c>
      <c r="H330" s="2">
        <v>-7.2287376489057142E-2</v>
      </c>
    </row>
    <row r="331" spans="1:8" ht="15.75" customHeight="1" x14ac:dyDescent="0.3">
      <c r="A331" s="2" t="s">
        <v>360</v>
      </c>
      <c r="B331" s="2" t="s">
        <v>42</v>
      </c>
      <c r="C331" s="2" t="s">
        <v>82</v>
      </c>
      <c r="D331" s="2">
        <v>50</v>
      </c>
      <c r="F331" s="2">
        <v>0.39805825242718451</v>
      </c>
      <c r="G331" s="2">
        <v>0.52631578947368418</v>
      </c>
      <c r="H331" s="2">
        <v>0.1282575370464997</v>
      </c>
    </row>
    <row r="332" spans="1:8" ht="15.75" customHeight="1" x14ac:dyDescent="0.3">
      <c r="A332" s="2" t="s">
        <v>360</v>
      </c>
      <c r="B332" s="2" t="s">
        <v>42</v>
      </c>
      <c r="C332" s="2" t="s">
        <v>82</v>
      </c>
      <c r="D332" s="2">
        <v>51</v>
      </c>
      <c r="E332" s="2" t="s">
        <v>49</v>
      </c>
      <c r="F332" s="2">
        <v>0.75362318840579712</v>
      </c>
      <c r="G332" s="2">
        <v>0.78640776699029125</v>
      </c>
      <c r="H332" s="2">
        <v>3.2784578584494128E-2</v>
      </c>
    </row>
    <row r="333" spans="1:8" ht="15.75" customHeight="1" x14ac:dyDescent="0.3">
      <c r="A333" s="2" t="s">
        <v>360</v>
      </c>
      <c r="B333" s="2" t="s">
        <v>42</v>
      </c>
      <c r="C333" s="2" t="s">
        <v>82</v>
      </c>
      <c r="D333" s="2">
        <v>51</v>
      </c>
      <c r="F333" s="2">
        <v>0.53886010362694303</v>
      </c>
      <c r="G333" s="2">
        <v>0.61306532663316582</v>
      </c>
      <c r="H333" s="2">
        <v>7.4205223006222787E-2</v>
      </c>
    </row>
    <row r="334" spans="1:8" ht="15.75" customHeight="1" x14ac:dyDescent="0.3">
      <c r="A334" s="2" t="s">
        <v>360</v>
      </c>
      <c r="B334" s="2" t="s">
        <v>42</v>
      </c>
      <c r="C334" s="2" t="s">
        <v>82</v>
      </c>
      <c r="D334" s="2">
        <v>52</v>
      </c>
      <c r="E334" s="2" t="s">
        <v>49</v>
      </c>
      <c r="F334" s="2">
        <v>0.79611650485436891</v>
      </c>
      <c r="G334" s="2">
        <v>0.8035714285714286</v>
      </c>
      <c r="H334" s="2">
        <v>7.4549237170596916E-3</v>
      </c>
    </row>
    <row r="335" spans="1:8" ht="15.75" customHeight="1" x14ac:dyDescent="0.3">
      <c r="A335" s="2" t="s">
        <v>360</v>
      </c>
      <c r="B335" s="2" t="s">
        <v>42</v>
      </c>
      <c r="C335" s="2" t="s">
        <v>82</v>
      </c>
      <c r="D335" s="2">
        <v>52</v>
      </c>
      <c r="F335" s="2">
        <v>0.65686274509803932</v>
      </c>
      <c r="G335" s="2">
        <v>0.50505050505050508</v>
      </c>
      <c r="H335" s="2">
        <v>-0.15181224004753421</v>
      </c>
    </row>
    <row r="336" spans="1:8" ht="15.75" customHeight="1" x14ac:dyDescent="0.3">
      <c r="A336" s="2" t="s">
        <v>360</v>
      </c>
      <c r="B336" s="2" t="s">
        <v>42</v>
      </c>
      <c r="C336" s="2" t="s">
        <v>82</v>
      </c>
      <c r="D336" s="2">
        <v>53</v>
      </c>
      <c r="E336" s="2" t="s">
        <v>49</v>
      </c>
      <c r="F336" s="2">
        <v>0.73426573426573427</v>
      </c>
      <c r="G336" s="2">
        <v>0.69035532994923865</v>
      </c>
      <c r="H336" s="2">
        <v>-4.3910404316495621E-2</v>
      </c>
    </row>
    <row r="337" spans="1:8" ht="15.75" customHeight="1" x14ac:dyDescent="0.3">
      <c r="A337" s="2" t="s">
        <v>360</v>
      </c>
      <c r="B337" s="2" t="s">
        <v>42</v>
      </c>
      <c r="C337" s="2" t="s">
        <v>82</v>
      </c>
      <c r="D337" s="2">
        <v>53</v>
      </c>
      <c r="F337" s="2">
        <v>0.51851851851851838</v>
      </c>
      <c r="G337" s="2">
        <v>0.5536723163841808</v>
      </c>
      <c r="H337" s="2">
        <v>3.5153797865662417E-2</v>
      </c>
    </row>
    <row r="338" spans="1:8" ht="15.75" customHeight="1" x14ac:dyDescent="0.3">
      <c r="A338" s="2" t="s">
        <v>360</v>
      </c>
      <c r="B338" s="2" t="s">
        <v>42</v>
      </c>
      <c r="C338" s="2" t="s">
        <v>82</v>
      </c>
      <c r="D338" s="2">
        <v>54</v>
      </c>
      <c r="E338" s="2" t="s">
        <v>49</v>
      </c>
      <c r="F338" s="2">
        <v>0.71028037383177567</v>
      </c>
      <c r="G338" s="2">
        <v>0.76068376068376065</v>
      </c>
      <c r="H338" s="2">
        <v>5.0403386851984977E-2</v>
      </c>
    </row>
    <row r="339" spans="1:8" ht="15.75" customHeight="1" x14ac:dyDescent="0.3">
      <c r="A339" s="2" t="s">
        <v>360</v>
      </c>
      <c r="B339" s="2" t="s">
        <v>42</v>
      </c>
      <c r="C339" s="2" t="s">
        <v>82</v>
      </c>
      <c r="D339" s="2">
        <v>54</v>
      </c>
      <c r="F339" s="2">
        <v>0.54358974358974366</v>
      </c>
      <c r="G339" s="2">
        <v>0.57407407407407418</v>
      </c>
      <c r="H339" s="2">
        <v>3.0484330484330521E-2</v>
      </c>
    </row>
    <row r="340" spans="1:8" ht="15.75" customHeight="1" x14ac:dyDescent="0.3">
      <c r="A340" s="2" t="s">
        <v>360</v>
      </c>
      <c r="B340" s="2" t="s">
        <v>42</v>
      </c>
      <c r="C340" s="2" t="s">
        <v>82</v>
      </c>
      <c r="D340" s="2">
        <v>55</v>
      </c>
      <c r="E340" s="2" t="s">
        <v>49</v>
      </c>
      <c r="F340" s="2">
        <v>0.7439613526570048</v>
      </c>
      <c r="G340" s="2">
        <v>0.77178423236514515</v>
      </c>
      <c r="H340" s="2">
        <v>2.782287970814035E-2</v>
      </c>
    </row>
    <row r="341" spans="1:8" ht="15.75" customHeight="1" x14ac:dyDescent="0.3">
      <c r="A341" s="2" t="s">
        <v>360</v>
      </c>
      <c r="B341" s="2" t="s">
        <v>42</v>
      </c>
      <c r="C341" s="2" t="s">
        <v>82</v>
      </c>
      <c r="D341" s="2">
        <v>55</v>
      </c>
      <c r="F341" s="2">
        <v>0.60194174757281549</v>
      </c>
      <c r="G341" s="2">
        <v>0.63111111111111118</v>
      </c>
      <c r="H341" s="2">
        <v>2.916936353829569E-2</v>
      </c>
    </row>
    <row r="342" spans="1:8" ht="15.75" customHeight="1" x14ac:dyDescent="0.3">
      <c r="A342" s="2" t="s">
        <v>360</v>
      </c>
      <c r="B342" s="2" t="s">
        <v>42</v>
      </c>
      <c r="C342" s="2" t="s">
        <v>82</v>
      </c>
      <c r="D342" s="2">
        <v>56</v>
      </c>
      <c r="E342" s="2" t="s">
        <v>49</v>
      </c>
      <c r="F342" s="2">
        <v>0.61467889908256879</v>
      </c>
      <c r="G342" s="2">
        <v>0.81171548117154801</v>
      </c>
      <c r="H342" s="2">
        <v>0.1970365820889792</v>
      </c>
    </row>
    <row r="343" spans="1:8" ht="15.75" customHeight="1" x14ac:dyDescent="0.3">
      <c r="A343" s="2" t="s">
        <v>360</v>
      </c>
      <c r="B343" s="2" t="s">
        <v>42</v>
      </c>
      <c r="C343" s="2" t="s">
        <v>82</v>
      </c>
      <c r="D343" s="2">
        <v>56</v>
      </c>
      <c r="F343" s="2">
        <v>0.61139896373057001</v>
      </c>
      <c r="G343" s="2">
        <v>0.60465116279069764</v>
      </c>
      <c r="H343" s="2">
        <v>-6.7478009398723726E-3</v>
      </c>
    </row>
    <row r="344" spans="1:8" ht="15.75" customHeight="1" x14ac:dyDescent="0.3">
      <c r="A344" s="2" t="s">
        <v>360</v>
      </c>
      <c r="B344" s="2" t="s">
        <v>42</v>
      </c>
      <c r="C344" s="2" t="s">
        <v>82</v>
      </c>
      <c r="D344" s="2">
        <v>57</v>
      </c>
      <c r="E344" s="2" t="s">
        <v>49</v>
      </c>
      <c r="F344" s="2">
        <v>0.68333333333333324</v>
      </c>
      <c r="G344" s="2">
        <v>0.79130434782608694</v>
      </c>
      <c r="H344" s="2">
        <v>0.1079710144927537</v>
      </c>
    </row>
    <row r="345" spans="1:8" ht="15.75" customHeight="1" x14ac:dyDescent="0.3">
      <c r="A345" s="2" t="s">
        <v>360</v>
      </c>
      <c r="B345" s="2" t="s">
        <v>42</v>
      </c>
      <c r="C345" s="2" t="s">
        <v>82</v>
      </c>
      <c r="D345" s="2">
        <v>57</v>
      </c>
      <c r="F345" s="2">
        <v>0.55999999999999994</v>
      </c>
      <c r="G345" s="2">
        <v>0.53</v>
      </c>
      <c r="H345" s="2">
        <v>-2.9999999999999919E-2</v>
      </c>
    </row>
    <row r="346" spans="1:8" ht="15.75" customHeight="1" x14ac:dyDescent="0.3">
      <c r="A346" s="2" t="s">
        <v>360</v>
      </c>
      <c r="B346" s="2" t="s">
        <v>42</v>
      </c>
      <c r="C346" s="2" t="s">
        <v>82</v>
      </c>
      <c r="D346" s="2">
        <v>58</v>
      </c>
      <c r="E346" s="2" t="s">
        <v>49</v>
      </c>
      <c r="F346" s="2">
        <v>0.77777777777777779</v>
      </c>
      <c r="G346" s="2">
        <v>0.72448979591836749</v>
      </c>
      <c r="H346" s="2">
        <v>-5.3287981859410298E-2</v>
      </c>
    </row>
    <row r="347" spans="1:8" ht="15.75" customHeight="1" x14ac:dyDescent="0.3">
      <c r="A347" s="2" t="s">
        <v>360</v>
      </c>
      <c r="B347" s="2" t="s">
        <v>42</v>
      </c>
      <c r="C347" s="2" t="s">
        <v>82</v>
      </c>
      <c r="D347" s="2">
        <v>58</v>
      </c>
      <c r="F347" s="2">
        <v>0</v>
      </c>
      <c r="G347" s="2">
        <v>0.5106382978723405</v>
      </c>
      <c r="H347" s="2">
        <v>0.5106382978723405</v>
      </c>
    </row>
    <row r="348" spans="1:8" ht="15.75" customHeight="1" x14ac:dyDescent="0.3">
      <c r="A348" s="2" t="s">
        <v>360</v>
      </c>
      <c r="B348" s="2" t="s">
        <v>42</v>
      </c>
      <c r="C348" s="2" t="s">
        <v>82</v>
      </c>
      <c r="D348" s="2">
        <v>59</v>
      </c>
      <c r="E348" s="2" t="s">
        <v>49</v>
      </c>
      <c r="F348" s="2">
        <v>0.76237623762376239</v>
      </c>
      <c r="G348" s="2">
        <v>0.82553191489361699</v>
      </c>
      <c r="H348" s="2">
        <v>6.3155677269854604E-2</v>
      </c>
    </row>
    <row r="349" spans="1:8" ht="15.75" customHeight="1" x14ac:dyDescent="0.3">
      <c r="A349" s="2" t="s">
        <v>360</v>
      </c>
      <c r="B349" s="2" t="s">
        <v>42</v>
      </c>
      <c r="C349" s="2" t="s">
        <v>82</v>
      </c>
      <c r="D349" s="2">
        <v>59</v>
      </c>
      <c r="F349" s="2">
        <v>0.63959390862944165</v>
      </c>
      <c r="G349" s="2">
        <v>0.65560165975103735</v>
      </c>
      <c r="H349" s="2">
        <v>1.6007751121595689E-2</v>
      </c>
    </row>
    <row r="350" spans="1:8" ht="15.75" customHeight="1" x14ac:dyDescent="0.3">
      <c r="A350" s="2" t="s">
        <v>360</v>
      </c>
      <c r="B350" s="2" t="s">
        <v>42</v>
      </c>
      <c r="C350" s="2" t="s">
        <v>82</v>
      </c>
      <c r="D350" s="2">
        <v>60</v>
      </c>
      <c r="E350" s="2" t="s">
        <v>49</v>
      </c>
      <c r="F350" s="2">
        <v>0.76279069767441865</v>
      </c>
      <c r="G350" s="2">
        <v>0.7219512195121951</v>
      </c>
      <c r="H350" s="2">
        <v>-4.0839478162223553E-2</v>
      </c>
    </row>
    <row r="351" spans="1:8" ht="15.75" customHeight="1" x14ac:dyDescent="0.3">
      <c r="A351" s="2" t="s">
        <v>360</v>
      </c>
      <c r="B351" s="2" t="s">
        <v>42</v>
      </c>
      <c r="C351" s="2" t="s">
        <v>82</v>
      </c>
      <c r="D351" s="2">
        <v>60</v>
      </c>
      <c r="F351" s="2">
        <v>0.52475247524752477</v>
      </c>
      <c r="G351" s="2">
        <v>0.48167539267015708</v>
      </c>
      <c r="H351" s="2">
        <v>-4.3077082577367698E-2</v>
      </c>
    </row>
    <row r="352" spans="1:8" ht="15.75" customHeight="1" x14ac:dyDescent="0.3">
      <c r="A352" s="2" t="s">
        <v>360</v>
      </c>
      <c r="B352" s="2" t="s">
        <v>42</v>
      </c>
      <c r="C352" s="2" t="s">
        <v>82</v>
      </c>
      <c r="D352" s="2">
        <v>61</v>
      </c>
      <c r="E352" s="2" t="s">
        <v>49</v>
      </c>
      <c r="F352" s="2">
        <v>0.67248908296943222</v>
      </c>
      <c r="G352" s="2">
        <v>0.67647058823529405</v>
      </c>
      <c r="H352" s="2">
        <v>3.9815052658618288E-3</v>
      </c>
    </row>
    <row r="353" spans="1:8" ht="15.75" customHeight="1" x14ac:dyDescent="0.3">
      <c r="A353" s="2" t="s">
        <v>360</v>
      </c>
      <c r="B353" s="2" t="s">
        <v>42</v>
      </c>
      <c r="C353" s="2" t="s">
        <v>82</v>
      </c>
      <c r="D353" s="2">
        <v>61</v>
      </c>
      <c r="F353" s="2">
        <v>0.55555555555555558</v>
      </c>
      <c r="G353" s="2">
        <v>0.54644808743169404</v>
      </c>
      <c r="H353" s="2">
        <v>-9.1074681238615396E-3</v>
      </c>
    </row>
    <row r="354" spans="1:8" ht="15.75" customHeight="1" x14ac:dyDescent="0.3"/>
    <row r="355" spans="1:8" ht="15.75" customHeight="1" x14ac:dyDescent="0.3"/>
    <row r="356" spans="1:8" ht="15.75" customHeight="1" x14ac:dyDescent="0.3"/>
    <row r="357" spans="1:8" ht="15.75" customHeight="1" x14ac:dyDescent="0.3"/>
    <row r="358" spans="1:8" ht="15.75" customHeight="1" x14ac:dyDescent="0.3"/>
    <row r="359" spans="1:8" ht="15.75" customHeight="1" x14ac:dyDescent="0.3"/>
    <row r="360" spans="1:8" ht="15.75" customHeight="1" x14ac:dyDescent="0.3"/>
    <row r="361" spans="1:8" ht="15.75" customHeight="1" x14ac:dyDescent="0.3"/>
    <row r="362" spans="1:8" ht="15.75" customHeight="1" x14ac:dyDescent="0.3"/>
    <row r="363" spans="1:8" ht="15.75" customHeight="1" x14ac:dyDescent="0.3"/>
    <row r="364" spans="1:8" ht="15.75" customHeight="1" x14ac:dyDescent="0.3"/>
    <row r="365" spans="1:8" ht="15.75" customHeight="1" x14ac:dyDescent="0.3"/>
    <row r="366" spans="1:8" ht="15.75" customHeight="1" x14ac:dyDescent="0.3"/>
    <row r="367" spans="1:8" ht="15.75" customHeight="1" x14ac:dyDescent="0.3"/>
    <row r="368" spans="1: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0</v>
      </c>
      <c r="B1" s="1" t="s">
        <v>7</v>
      </c>
      <c r="C1" s="1" t="s">
        <v>4</v>
      </c>
      <c r="D1" s="1" t="s">
        <v>28</v>
      </c>
      <c r="E1" s="1" t="s">
        <v>338</v>
      </c>
      <c r="F1" s="1" t="s">
        <v>341</v>
      </c>
    </row>
    <row r="2" spans="1:6" ht="14.4" x14ac:dyDescent="0.3">
      <c r="A2" s="2" t="s">
        <v>45</v>
      </c>
      <c r="B2" s="2" t="s">
        <v>42</v>
      </c>
      <c r="C2" s="2" t="s">
        <v>39</v>
      </c>
      <c r="D2" s="2">
        <v>40</v>
      </c>
      <c r="E2" s="2">
        <v>5.9054867869582067E-3</v>
      </c>
      <c r="F2" s="2">
        <v>4.8490451270719583E-2</v>
      </c>
    </row>
    <row r="3" spans="1:6" ht="14.4" x14ac:dyDescent="0.3">
      <c r="A3" s="2" t="s">
        <v>45</v>
      </c>
      <c r="B3" s="2" t="s">
        <v>42</v>
      </c>
      <c r="C3" s="2" t="s">
        <v>43</v>
      </c>
      <c r="D3" s="2">
        <v>32</v>
      </c>
      <c r="E3" s="2">
        <v>1.8878385220079149E-3</v>
      </c>
      <c r="F3" s="2">
        <v>3.5721045046336719E-2</v>
      </c>
    </row>
    <row r="4" spans="1:6" ht="14.4" x14ac:dyDescent="0.3">
      <c r="A4" s="2" t="s">
        <v>45</v>
      </c>
      <c r="B4" s="2" t="s">
        <v>42</v>
      </c>
      <c r="C4" s="2" t="s">
        <v>82</v>
      </c>
      <c r="D4" s="2">
        <v>40</v>
      </c>
      <c r="E4" s="2">
        <v>5.2713567822371436E-3</v>
      </c>
      <c r="F4" s="2">
        <v>4.975397045910343E-2</v>
      </c>
    </row>
    <row r="5" spans="1:6" ht="14.4" x14ac:dyDescent="0.3">
      <c r="A5" s="2" t="s">
        <v>37</v>
      </c>
      <c r="B5" s="2" t="s">
        <v>42</v>
      </c>
      <c r="C5" s="2" t="s">
        <v>39</v>
      </c>
      <c r="D5" s="2">
        <v>40</v>
      </c>
      <c r="E5" s="2">
        <v>3.4472586243176707E-2</v>
      </c>
      <c r="F5" s="2">
        <v>8.863425563122207E-2</v>
      </c>
    </row>
    <row r="6" spans="1:6" ht="14.4" x14ac:dyDescent="0.3">
      <c r="A6" s="2" t="s">
        <v>37</v>
      </c>
      <c r="B6" s="2" t="s">
        <v>42</v>
      </c>
      <c r="C6" s="2" t="s">
        <v>43</v>
      </c>
      <c r="D6" s="2">
        <v>40</v>
      </c>
      <c r="E6" s="2">
        <v>1.659255719096599E-2</v>
      </c>
      <c r="F6" s="2">
        <v>4.4259805964340183E-2</v>
      </c>
    </row>
    <row r="7" spans="1:6" ht="14.4" x14ac:dyDescent="0.3">
      <c r="A7" s="2" t="s">
        <v>37</v>
      </c>
      <c r="B7" s="2" t="s">
        <v>42</v>
      </c>
      <c r="C7" s="2" t="s">
        <v>82</v>
      </c>
      <c r="D7" s="2">
        <v>40</v>
      </c>
      <c r="E7" s="2">
        <v>1.368255239252982E-2</v>
      </c>
      <c r="F7" s="2">
        <v>5.1061589361500181E-2</v>
      </c>
    </row>
    <row r="8" spans="1:6" ht="14.4" x14ac:dyDescent="0.3">
      <c r="A8" s="2" t="s">
        <v>360</v>
      </c>
      <c r="B8" s="2" t="s">
        <v>42</v>
      </c>
      <c r="C8" s="2" t="s">
        <v>39</v>
      </c>
      <c r="D8" s="2">
        <v>40</v>
      </c>
      <c r="E8" s="2">
        <v>9.5037927007599467E-4</v>
      </c>
      <c r="F8" s="2">
        <v>0.1219937119766174</v>
      </c>
    </row>
    <row r="9" spans="1:6" ht="14.4" x14ac:dyDescent="0.3">
      <c r="A9" s="2" t="s">
        <v>360</v>
      </c>
      <c r="B9" s="2" t="s">
        <v>42</v>
      </c>
      <c r="C9" s="2" t="s">
        <v>43</v>
      </c>
      <c r="D9" s="2">
        <v>40</v>
      </c>
      <c r="E9" s="2">
        <v>8.9703610468353425E-3</v>
      </c>
      <c r="F9" s="2">
        <v>6.3964635136299033E-2</v>
      </c>
    </row>
    <row r="10" spans="1:6" ht="14.4" x14ac:dyDescent="0.3">
      <c r="A10" s="2" t="s">
        <v>360</v>
      </c>
      <c r="B10" s="2" t="s">
        <v>42</v>
      </c>
      <c r="C10" s="2" t="s">
        <v>82</v>
      </c>
      <c r="D10" s="2">
        <v>40</v>
      </c>
      <c r="E10" s="2">
        <v>1.620792399850321E-2</v>
      </c>
      <c r="F10" s="2">
        <v>0.1161443193758917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467</v>
      </c>
      <c r="B1" s="1" t="s">
        <v>471</v>
      </c>
      <c r="C1" s="1" t="s">
        <v>473</v>
      </c>
    </row>
    <row r="2" spans="1:3" ht="14.4" x14ac:dyDescent="0.3">
      <c r="A2" s="2" t="s">
        <v>477</v>
      </c>
      <c r="B2" s="2" t="s">
        <v>478</v>
      </c>
      <c r="C2" s="2" t="s">
        <v>479</v>
      </c>
    </row>
    <row r="3" spans="1:3" ht="14.4" x14ac:dyDescent="0.3">
      <c r="A3" s="2" t="s">
        <v>477</v>
      </c>
      <c r="B3" s="2" t="s">
        <v>480</v>
      </c>
      <c r="C3" s="2" t="s">
        <v>482</v>
      </c>
    </row>
    <row r="4" spans="1:3" ht="14.4" x14ac:dyDescent="0.3">
      <c r="A4" s="2" t="s">
        <v>477</v>
      </c>
      <c r="B4" s="2" t="s">
        <v>485</v>
      </c>
      <c r="C4" s="2" t="s">
        <v>488</v>
      </c>
    </row>
    <row r="5" spans="1:3" ht="14.4" x14ac:dyDescent="0.3">
      <c r="A5" s="2" t="s">
        <v>477</v>
      </c>
      <c r="B5" s="2" t="s">
        <v>490</v>
      </c>
      <c r="C5" s="2" t="s">
        <v>491</v>
      </c>
    </row>
    <row r="6" spans="1:3" ht="14.4" x14ac:dyDescent="0.3">
      <c r="A6" s="2" t="s">
        <v>477</v>
      </c>
      <c r="B6" s="2" t="s">
        <v>492</v>
      </c>
      <c r="C6" s="2" t="s">
        <v>494</v>
      </c>
    </row>
    <row r="7" spans="1:3" ht="14.4" x14ac:dyDescent="0.3">
      <c r="A7" s="2" t="s">
        <v>477</v>
      </c>
      <c r="B7" s="2" t="s">
        <v>497</v>
      </c>
      <c r="C7" s="2" t="s">
        <v>500</v>
      </c>
    </row>
    <row r="8" spans="1:3" ht="14.4" x14ac:dyDescent="0.3">
      <c r="A8" s="2" t="s">
        <v>477</v>
      </c>
      <c r="B8" s="2" t="s">
        <v>501</v>
      </c>
      <c r="C8" s="2" t="s">
        <v>502</v>
      </c>
    </row>
    <row r="9" spans="1:3" ht="14.4" x14ac:dyDescent="0.3">
      <c r="A9" s="2" t="s">
        <v>477</v>
      </c>
      <c r="B9" s="2" t="s">
        <v>505</v>
      </c>
      <c r="C9" s="2" t="s">
        <v>506</v>
      </c>
    </row>
    <row r="10" spans="1:3" ht="14.4" x14ac:dyDescent="0.3">
      <c r="A10" s="2" t="s">
        <v>509</v>
      </c>
      <c r="B10" s="2" t="s">
        <v>40</v>
      </c>
      <c r="C10" s="2" t="s">
        <v>511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592</v>
      </c>
      <c r="B1" s="1" t="s">
        <v>595</v>
      </c>
    </row>
    <row r="2" spans="1:2" ht="14.4" x14ac:dyDescent="0.3">
      <c r="A2" s="2" t="s">
        <v>598</v>
      </c>
      <c r="B2" s="2" t="s">
        <v>600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dataset_details</vt:lpstr>
      <vt:lpstr>summary_pivot</vt:lpstr>
      <vt:lpstr>summary_by_train_mode</vt:lpstr>
      <vt:lpstr>all_runs</vt:lpstr>
      <vt:lpstr>deltas_split_variants</vt:lpstr>
      <vt:lpstr>paired_summary</vt:lpstr>
      <vt:lpstr>documentation</vt:lpstr>
      <vt:lpstr>exp10_error_analysis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2026-08-09T00:56:50Z</dcterms:created>
  <dcterms:modified xsi:type="dcterms:W3CDTF">2026-08-09T11:49:27Z</dcterms:modified>
</cp:coreProperties>
</file>