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menachem_sperka_intel_com/Documents/Documents/thesis/thesis_github/outputs/00 final_results/"/>
    </mc:Choice>
  </mc:AlternateContent>
  <xr:revisionPtr revIDLastSave="3309" documentId="11_01FA2FFF0A9B7FE321D429DA97813F7E167A9493" xr6:coauthVersionLast="47" xr6:coauthVersionMax="47" xr10:uidLastSave="{745EEA4C-C26F-41A5-9C51-A51B9A8183B8}"/>
  <bookViews>
    <workbookView xWindow="-108" yWindow="-108" windowWidth="23256" windowHeight="13896" firstSheet="7" activeTab="8" xr2:uid="{00000000-000D-0000-FFFF-FFFF00000000}"/>
  </bookViews>
  <sheets>
    <sheet name="summary_pivot" sheetId="1" r:id="rId1"/>
    <sheet name="deltas_exp07" sheetId="3" r:id="rId2"/>
    <sheet name="deltas_exp07_aug" sheetId="4" r:id="rId3"/>
    <sheet name="paired_tests" sheetId="5" r:id="rId4"/>
    <sheet name="variant_summary" sheetId="6" r:id="rId5"/>
    <sheet name="experiment_details" sheetId="7" r:id="rId6"/>
    <sheet name="documentation" sheetId="8" r:id="rId7"/>
    <sheet name="all_runs" sheetId="2" r:id="rId8"/>
    <sheet name="Model Comparison Summary" sheetId="9" r:id="rId9"/>
    <sheet name="Model Wilcoxon Comparison" sheetId="10" r:id="rId10"/>
    <sheet name="Method Wilcoxon Comparison" sheetId="11" r:id="rId11"/>
    <sheet name="Split Wilcoxon Test" sheetId="14" r:id="rId12"/>
    <sheet name="Method Wilcoxon (α=0.05)" sheetId="13" r:id="rId13"/>
    <sheet name="Sheet1" sheetId="16" r:id="rId14"/>
    <sheet name="Dataset Statistics" sheetId="18" r:id="rId15"/>
  </sheets>
  <definedNames>
    <definedName name="_xlnm._FilterDatabase" localSheetId="7" hidden="1">all_runs!$A$1:$W$2401</definedName>
    <definedName name="_xlnm._FilterDatabase" localSheetId="8" hidden="1">'Model Comparison Summary'!$A$104:$F$119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" i="9" l="1"/>
  <c r="C59" i="18"/>
  <c r="C58" i="18"/>
  <c r="C57" i="18"/>
  <c r="C56" i="18"/>
  <c r="C55" i="18"/>
  <c r="B59" i="18"/>
  <c r="B58" i="18"/>
  <c r="B57" i="18"/>
  <c r="B56" i="18"/>
  <c r="B55" i="18"/>
  <c r="D50" i="18"/>
  <c r="D49" i="18"/>
  <c r="D48" i="18"/>
  <c r="D47" i="18"/>
  <c r="C50" i="18"/>
  <c r="C49" i="18"/>
  <c r="C48" i="18"/>
  <c r="C47" i="18"/>
  <c r="B50" i="18"/>
  <c r="B49" i="18"/>
  <c r="B48" i="18"/>
  <c r="B47" i="18"/>
  <c r="B42" i="18"/>
  <c r="B41" i="18"/>
  <c r="B40" i="18"/>
  <c r="B39" i="18"/>
  <c r="B38" i="18"/>
  <c r="B37" i="18"/>
  <c r="B36" i="18"/>
  <c r="B35" i="18"/>
  <c r="D67" i="9" a="1"/>
  <c r="D67" i="9"/>
  <c r="Q89" i="9"/>
  <c r="P89" i="9"/>
  <c r="O89" i="9"/>
  <c r="N89" i="9"/>
  <c r="Q88" i="9"/>
  <c r="P88" i="9"/>
  <c r="O88" i="9"/>
  <c r="N88" i="9"/>
  <c r="Q87" i="9"/>
  <c r="P87" i="9"/>
  <c r="O87" i="9"/>
  <c r="N87" i="9"/>
  <c r="Q86" i="9"/>
  <c r="P86" i="9"/>
  <c r="O86" i="9"/>
  <c r="N86" i="9"/>
  <c r="M24" i="11"/>
  <c r="N24" i="11"/>
  <c r="M23" i="11"/>
  <c r="N23" i="11"/>
  <c r="M19" i="11"/>
  <c r="N19" i="11"/>
  <c r="O19" i="11"/>
  <c r="M18" i="11"/>
  <c r="N18" i="11"/>
  <c r="O18" i="11"/>
  <c r="M14" i="11"/>
  <c r="M13" i="11"/>
  <c r="M12" i="11"/>
  <c r="M11" i="11"/>
  <c r="M7" i="11"/>
  <c r="N7" i="11"/>
  <c r="O7" i="11"/>
  <c r="P7" i="11"/>
  <c r="M4" i="11"/>
  <c r="N4" i="11"/>
  <c r="O4" i="11"/>
  <c r="P4" i="11"/>
  <c r="P63" i="9"/>
  <c r="P64" i="9"/>
  <c r="P65" i="9"/>
  <c r="P66" i="9"/>
  <c r="O66" i="9"/>
  <c r="O65" i="9"/>
  <c r="O64" i="9"/>
  <c r="O63" i="9"/>
  <c r="N66" i="9"/>
  <c r="N65" i="9"/>
  <c r="N64" i="9"/>
  <c r="N63" i="9"/>
  <c r="D38" i="9" a="1"/>
  <c r="D38" i="9" s="1"/>
  <c r="I38" i="9" s="1"/>
  <c r="D119" i="9" s="1"/>
  <c r="H37" i="14"/>
  <c r="I37" i="14" s="1"/>
  <c r="F37" i="14"/>
  <c r="G37" i="14" s="1"/>
  <c r="D37" i="14"/>
  <c r="E37" i="14" s="1"/>
  <c r="B37" i="14"/>
  <c r="C37" i="14" s="1"/>
  <c r="H36" i="14"/>
  <c r="I36" i="14" s="1"/>
  <c r="F36" i="14"/>
  <c r="G36" i="14" s="1"/>
  <c r="D36" i="14"/>
  <c r="E36" i="14" s="1"/>
  <c r="B36" i="14"/>
  <c r="C36" i="14" s="1"/>
  <c r="H35" i="14"/>
  <c r="I35" i="14" s="1"/>
  <c r="F35" i="14"/>
  <c r="G35" i="14" s="1"/>
  <c r="D35" i="14"/>
  <c r="E35" i="14" s="1"/>
  <c r="B35" i="14"/>
  <c r="C35" i="14" s="1"/>
  <c r="H34" i="14"/>
  <c r="I34" i="14" s="1"/>
  <c r="F34" i="14"/>
  <c r="G34" i="14" s="1"/>
  <c r="D34" i="14"/>
  <c r="E34" i="14" s="1"/>
  <c r="B34" i="14"/>
  <c r="C34" i="14" s="1"/>
  <c r="H28" i="14"/>
  <c r="I28" i="14" s="1"/>
  <c r="F28" i="14"/>
  <c r="G28" i="14" s="1"/>
  <c r="D28" i="14"/>
  <c r="E28" i="14" s="1"/>
  <c r="B28" i="14"/>
  <c r="C28" i="14" s="1"/>
  <c r="H27" i="14"/>
  <c r="I27" i="14" s="1"/>
  <c r="F27" i="14"/>
  <c r="G27" i="14" s="1"/>
  <c r="D27" i="14"/>
  <c r="E27" i="14" s="1"/>
  <c r="B27" i="14"/>
  <c r="C27" i="14" s="1"/>
  <c r="H26" i="14"/>
  <c r="I26" i="14" s="1"/>
  <c r="F26" i="14"/>
  <c r="G26" i="14" s="1"/>
  <c r="D26" i="14"/>
  <c r="E26" i="14" s="1"/>
  <c r="B26" i="14"/>
  <c r="C26" i="14" s="1"/>
  <c r="H25" i="14"/>
  <c r="I25" i="14" s="1"/>
  <c r="F25" i="14"/>
  <c r="G25" i="14" s="1"/>
  <c r="D25" i="14"/>
  <c r="E25" i="14" s="1"/>
  <c r="B25" i="14"/>
  <c r="C25" i="14" s="1"/>
  <c r="H19" i="14"/>
  <c r="I19" i="14" s="1"/>
  <c r="F19" i="14"/>
  <c r="G19" i="14" s="1"/>
  <c r="D19" i="14"/>
  <c r="E19" i="14" s="1"/>
  <c r="B19" i="14"/>
  <c r="C19" i="14" s="1"/>
  <c r="H18" i="14"/>
  <c r="I18" i="14" s="1"/>
  <c r="F18" i="14"/>
  <c r="G18" i="14" s="1"/>
  <c r="D18" i="14"/>
  <c r="E18" i="14" s="1"/>
  <c r="B18" i="14"/>
  <c r="C18" i="14" s="1"/>
  <c r="H17" i="14"/>
  <c r="I17" i="14" s="1"/>
  <c r="F17" i="14"/>
  <c r="G17" i="14" s="1"/>
  <c r="D17" i="14"/>
  <c r="E17" i="14" s="1"/>
  <c r="B17" i="14"/>
  <c r="C17" i="14" s="1"/>
  <c r="H16" i="14"/>
  <c r="I16" i="14" s="1"/>
  <c r="F16" i="14"/>
  <c r="G16" i="14" s="1"/>
  <c r="D16" i="14"/>
  <c r="E16" i="14" s="1"/>
  <c r="B16" i="14"/>
  <c r="C16" i="14" s="1"/>
  <c r="H10" i="14"/>
  <c r="I10" i="14" s="1"/>
  <c r="F10" i="14"/>
  <c r="G10" i="14" s="1"/>
  <c r="D10" i="14"/>
  <c r="E10" i="14" s="1"/>
  <c r="B10" i="14"/>
  <c r="C10" i="14" s="1"/>
  <c r="H9" i="14"/>
  <c r="I9" i="14" s="1"/>
  <c r="F9" i="14"/>
  <c r="G9" i="14" s="1"/>
  <c r="D9" i="14"/>
  <c r="E9" i="14" s="1"/>
  <c r="B9" i="14"/>
  <c r="C9" i="14" s="1"/>
  <c r="H8" i="14"/>
  <c r="I8" i="14" s="1"/>
  <c r="F8" i="14"/>
  <c r="G8" i="14" s="1"/>
  <c r="D8" i="14"/>
  <c r="E8" i="14" s="1"/>
  <c r="B8" i="14"/>
  <c r="C8" i="14" s="1"/>
  <c r="H7" i="14"/>
  <c r="I7" i="14" s="1"/>
  <c r="F7" i="14"/>
  <c r="G7" i="14" s="1"/>
  <c r="D7" i="14"/>
  <c r="E7" i="14" s="1"/>
  <c r="B7" i="14"/>
  <c r="C7" i="14" s="1"/>
  <c r="I61" i="13"/>
  <c r="J61" i="13" s="1"/>
  <c r="G61" i="13"/>
  <c r="H61" i="13" s="1"/>
  <c r="E61" i="13"/>
  <c r="F61" i="13" s="1"/>
  <c r="C61" i="13"/>
  <c r="D61" i="13" s="1"/>
  <c r="I60" i="13"/>
  <c r="J60" i="13" s="1"/>
  <c r="G60" i="13"/>
  <c r="H60" i="13" s="1"/>
  <c r="E60" i="13"/>
  <c r="F60" i="13" s="1"/>
  <c r="C60" i="13"/>
  <c r="D60" i="13" s="1"/>
  <c r="I59" i="13"/>
  <c r="J59" i="13" s="1"/>
  <c r="G59" i="13"/>
  <c r="H59" i="13" s="1"/>
  <c r="E59" i="13"/>
  <c r="F59" i="13" s="1"/>
  <c r="C59" i="13"/>
  <c r="D59" i="13" s="1"/>
  <c r="I58" i="13"/>
  <c r="J58" i="13" s="1"/>
  <c r="G58" i="13"/>
  <c r="H58" i="13" s="1"/>
  <c r="E58" i="13"/>
  <c r="F58" i="13" s="1"/>
  <c r="C58" i="13"/>
  <c r="D58" i="13" s="1"/>
  <c r="I57" i="13"/>
  <c r="J57" i="13" s="1"/>
  <c r="G57" i="13"/>
  <c r="H57" i="13" s="1"/>
  <c r="E57" i="13"/>
  <c r="F57" i="13" s="1"/>
  <c r="C57" i="13"/>
  <c r="D57" i="13" s="1"/>
  <c r="I56" i="13"/>
  <c r="J56" i="13" s="1"/>
  <c r="G56" i="13"/>
  <c r="H56" i="13" s="1"/>
  <c r="E56" i="13"/>
  <c r="F56" i="13" s="1"/>
  <c r="C56" i="13"/>
  <c r="D56" i="13" s="1"/>
  <c r="I51" i="13"/>
  <c r="J51" i="13" s="1"/>
  <c r="G51" i="13"/>
  <c r="H51" i="13" s="1"/>
  <c r="E51" i="13"/>
  <c r="F51" i="13" s="1"/>
  <c r="C51" i="13"/>
  <c r="D51" i="13" s="1"/>
  <c r="I50" i="13"/>
  <c r="J50" i="13" s="1"/>
  <c r="G50" i="13"/>
  <c r="H50" i="13" s="1"/>
  <c r="E50" i="13"/>
  <c r="F50" i="13" s="1"/>
  <c r="C50" i="13"/>
  <c r="D50" i="13" s="1"/>
  <c r="I49" i="13"/>
  <c r="J49" i="13" s="1"/>
  <c r="G49" i="13"/>
  <c r="H49" i="13" s="1"/>
  <c r="E49" i="13"/>
  <c r="F49" i="13" s="1"/>
  <c r="C49" i="13"/>
  <c r="D49" i="13" s="1"/>
  <c r="I48" i="13"/>
  <c r="J48" i="13" s="1"/>
  <c r="G48" i="13"/>
  <c r="H48" i="13" s="1"/>
  <c r="E48" i="13"/>
  <c r="F48" i="13" s="1"/>
  <c r="C48" i="13"/>
  <c r="D48" i="13" s="1"/>
  <c r="I47" i="13"/>
  <c r="J47" i="13" s="1"/>
  <c r="G47" i="13"/>
  <c r="H47" i="13" s="1"/>
  <c r="E47" i="13"/>
  <c r="F47" i="13" s="1"/>
  <c r="C47" i="13"/>
  <c r="D47" i="13" s="1"/>
  <c r="I46" i="13"/>
  <c r="J46" i="13" s="1"/>
  <c r="G46" i="13"/>
  <c r="H46" i="13" s="1"/>
  <c r="E46" i="13"/>
  <c r="F46" i="13" s="1"/>
  <c r="C46" i="13"/>
  <c r="D46" i="13" s="1"/>
  <c r="I41" i="13"/>
  <c r="J41" i="13" s="1"/>
  <c r="G41" i="13"/>
  <c r="H41" i="13" s="1"/>
  <c r="E41" i="13"/>
  <c r="F41" i="13" s="1"/>
  <c r="C41" i="13"/>
  <c r="D41" i="13" s="1"/>
  <c r="I40" i="13"/>
  <c r="J40" i="13" s="1"/>
  <c r="G40" i="13"/>
  <c r="H40" i="13" s="1"/>
  <c r="E40" i="13"/>
  <c r="F40" i="13" s="1"/>
  <c r="C40" i="13"/>
  <c r="D40" i="13" s="1"/>
  <c r="I39" i="13"/>
  <c r="J39" i="13" s="1"/>
  <c r="G39" i="13"/>
  <c r="H39" i="13" s="1"/>
  <c r="E39" i="13"/>
  <c r="F39" i="13" s="1"/>
  <c r="C39" i="13"/>
  <c r="D39" i="13" s="1"/>
  <c r="I38" i="13"/>
  <c r="J38" i="13" s="1"/>
  <c r="G38" i="13"/>
  <c r="H38" i="13" s="1"/>
  <c r="E38" i="13"/>
  <c r="F38" i="13" s="1"/>
  <c r="C38" i="13"/>
  <c r="D38" i="13" s="1"/>
  <c r="I37" i="13"/>
  <c r="J37" i="13" s="1"/>
  <c r="G37" i="13"/>
  <c r="H37" i="13" s="1"/>
  <c r="E37" i="13"/>
  <c r="F37" i="13" s="1"/>
  <c r="C37" i="13"/>
  <c r="D37" i="13" s="1"/>
  <c r="I36" i="13"/>
  <c r="J36" i="13" s="1"/>
  <c r="G36" i="13"/>
  <c r="H36" i="13" s="1"/>
  <c r="E36" i="13"/>
  <c r="F36" i="13" s="1"/>
  <c r="C36" i="13"/>
  <c r="D36" i="13" s="1"/>
  <c r="I31" i="13"/>
  <c r="J31" i="13" s="1"/>
  <c r="G31" i="13"/>
  <c r="H31" i="13" s="1"/>
  <c r="E31" i="13"/>
  <c r="F31" i="13" s="1"/>
  <c r="C31" i="13"/>
  <c r="D31" i="13" s="1"/>
  <c r="I30" i="13"/>
  <c r="J30" i="13" s="1"/>
  <c r="G30" i="13"/>
  <c r="H30" i="13" s="1"/>
  <c r="E30" i="13"/>
  <c r="F30" i="13" s="1"/>
  <c r="C30" i="13"/>
  <c r="D30" i="13" s="1"/>
  <c r="I29" i="13"/>
  <c r="J29" i="13" s="1"/>
  <c r="G29" i="13"/>
  <c r="H29" i="13" s="1"/>
  <c r="E29" i="13"/>
  <c r="F29" i="13" s="1"/>
  <c r="C29" i="13"/>
  <c r="D29" i="13" s="1"/>
  <c r="I28" i="13"/>
  <c r="J28" i="13" s="1"/>
  <c r="G28" i="13"/>
  <c r="H28" i="13" s="1"/>
  <c r="E28" i="13"/>
  <c r="F28" i="13" s="1"/>
  <c r="C28" i="13"/>
  <c r="D28" i="13" s="1"/>
  <c r="I27" i="13"/>
  <c r="J27" i="13" s="1"/>
  <c r="G27" i="13"/>
  <c r="H27" i="13" s="1"/>
  <c r="E27" i="13"/>
  <c r="F27" i="13" s="1"/>
  <c r="C27" i="13"/>
  <c r="D27" i="13" s="1"/>
  <c r="I26" i="13"/>
  <c r="J26" i="13" s="1"/>
  <c r="G26" i="13"/>
  <c r="H26" i="13" s="1"/>
  <c r="E26" i="13"/>
  <c r="F26" i="13" s="1"/>
  <c r="C26" i="13"/>
  <c r="D26" i="13" s="1"/>
  <c r="I21" i="13"/>
  <c r="J21" i="13" s="1"/>
  <c r="G21" i="13"/>
  <c r="H21" i="13" s="1"/>
  <c r="E21" i="13"/>
  <c r="F21" i="13" s="1"/>
  <c r="C21" i="13"/>
  <c r="D21" i="13" s="1"/>
  <c r="I20" i="13"/>
  <c r="J20" i="13" s="1"/>
  <c r="G20" i="13"/>
  <c r="H20" i="13" s="1"/>
  <c r="E20" i="13"/>
  <c r="F20" i="13" s="1"/>
  <c r="C20" i="13"/>
  <c r="D20" i="13" s="1"/>
  <c r="I19" i="13"/>
  <c r="J19" i="13" s="1"/>
  <c r="G19" i="13"/>
  <c r="H19" i="13" s="1"/>
  <c r="E19" i="13"/>
  <c r="F19" i="13" s="1"/>
  <c r="C19" i="13"/>
  <c r="D19" i="13" s="1"/>
  <c r="I18" i="13"/>
  <c r="J18" i="13" s="1"/>
  <c r="G18" i="13"/>
  <c r="H18" i="13" s="1"/>
  <c r="E18" i="13"/>
  <c r="F18" i="13" s="1"/>
  <c r="C18" i="13"/>
  <c r="D18" i="13" s="1"/>
  <c r="I17" i="13"/>
  <c r="J17" i="13" s="1"/>
  <c r="G17" i="13"/>
  <c r="H17" i="13" s="1"/>
  <c r="E17" i="13"/>
  <c r="F17" i="13" s="1"/>
  <c r="C17" i="13"/>
  <c r="D17" i="13" s="1"/>
  <c r="I16" i="13"/>
  <c r="J16" i="13" s="1"/>
  <c r="G16" i="13"/>
  <c r="H16" i="13" s="1"/>
  <c r="E16" i="13"/>
  <c r="F16" i="13" s="1"/>
  <c r="C16" i="13"/>
  <c r="D16" i="13" s="1"/>
  <c r="I11" i="13"/>
  <c r="J11" i="13" s="1"/>
  <c r="G11" i="13"/>
  <c r="H11" i="13" s="1"/>
  <c r="E11" i="13"/>
  <c r="F11" i="13" s="1"/>
  <c r="C11" i="13"/>
  <c r="D11" i="13" s="1"/>
  <c r="I10" i="13"/>
  <c r="J10" i="13" s="1"/>
  <c r="G10" i="13"/>
  <c r="H10" i="13" s="1"/>
  <c r="E10" i="13"/>
  <c r="F10" i="13" s="1"/>
  <c r="C10" i="13"/>
  <c r="D10" i="13" s="1"/>
  <c r="I9" i="13"/>
  <c r="J9" i="13" s="1"/>
  <c r="G9" i="13"/>
  <c r="H9" i="13" s="1"/>
  <c r="E9" i="13"/>
  <c r="F9" i="13" s="1"/>
  <c r="C9" i="13"/>
  <c r="D9" i="13" s="1"/>
  <c r="I8" i="13"/>
  <c r="J8" i="13" s="1"/>
  <c r="G8" i="13"/>
  <c r="H8" i="13" s="1"/>
  <c r="E8" i="13"/>
  <c r="F8" i="13" s="1"/>
  <c r="C8" i="13"/>
  <c r="D8" i="13" s="1"/>
  <c r="I7" i="13"/>
  <c r="J7" i="13" s="1"/>
  <c r="G7" i="13"/>
  <c r="H7" i="13" s="1"/>
  <c r="E7" i="13"/>
  <c r="F7" i="13" s="1"/>
  <c r="C7" i="13"/>
  <c r="D7" i="13" s="1"/>
  <c r="I6" i="13"/>
  <c r="J6" i="13" s="1"/>
  <c r="G6" i="13"/>
  <c r="H6" i="13" s="1"/>
  <c r="E6" i="13"/>
  <c r="F6" i="13" s="1"/>
  <c r="C6" i="13"/>
  <c r="D6" i="13" s="1"/>
  <c r="I102" i="11"/>
  <c r="J102" i="11" s="1"/>
  <c r="G102" i="11"/>
  <c r="H102" i="11" s="1"/>
  <c r="E102" i="11"/>
  <c r="F102" i="11" s="1"/>
  <c r="C102" i="11"/>
  <c r="D102" i="11" s="1"/>
  <c r="I101" i="11"/>
  <c r="J101" i="11" s="1"/>
  <c r="G101" i="11"/>
  <c r="H101" i="11" s="1"/>
  <c r="E101" i="11"/>
  <c r="F101" i="11" s="1"/>
  <c r="C101" i="11"/>
  <c r="D101" i="11" s="1"/>
  <c r="I100" i="11"/>
  <c r="J100" i="11" s="1"/>
  <c r="G100" i="11"/>
  <c r="H100" i="11" s="1"/>
  <c r="E100" i="11"/>
  <c r="F100" i="11" s="1"/>
  <c r="C100" i="11"/>
  <c r="D100" i="11" s="1"/>
  <c r="I99" i="11"/>
  <c r="J99" i="11" s="1"/>
  <c r="G99" i="11"/>
  <c r="H99" i="11" s="1"/>
  <c r="E99" i="11"/>
  <c r="F99" i="11" s="1"/>
  <c r="C99" i="11"/>
  <c r="D99" i="11" s="1"/>
  <c r="I98" i="11"/>
  <c r="J98" i="11" s="1"/>
  <c r="G98" i="11"/>
  <c r="H98" i="11" s="1"/>
  <c r="E98" i="11"/>
  <c r="F98" i="11" s="1"/>
  <c r="C98" i="11"/>
  <c r="D98" i="11" s="1"/>
  <c r="I97" i="11"/>
  <c r="J97" i="11" s="1"/>
  <c r="G97" i="11"/>
  <c r="H97" i="11" s="1"/>
  <c r="E97" i="11"/>
  <c r="F97" i="11" s="1"/>
  <c r="C97" i="11"/>
  <c r="D97" i="11" s="1"/>
  <c r="I89" i="11"/>
  <c r="J89" i="11" s="1"/>
  <c r="G89" i="11"/>
  <c r="H89" i="11" s="1"/>
  <c r="E89" i="11"/>
  <c r="F89" i="11" s="1"/>
  <c r="C89" i="11"/>
  <c r="D89" i="11" s="1"/>
  <c r="I88" i="11"/>
  <c r="J88" i="11" s="1"/>
  <c r="G88" i="11"/>
  <c r="H88" i="11" s="1"/>
  <c r="E88" i="11"/>
  <c r="F88" i="11" s="1"/>
  <c r="C88" i="11"/>
  <c r="D88" i="11" s="1"/>
  <c r="I87" i="11"/>
  <c r="J87" i="11" s="1"/>
  <c r="G87" i="11"/>
  <c r="H87" i="11" s="1"/>
  <c r="E87" i="11"/>
  <c r="F87" i="11" s="1"/>
  <c r="C87" i="11"/>
  <c r="D87" i="11" s="1"/>
  <c r="I86" i="11"/>
  <c r="J86" i="11" s="1"/>
  <c r="G86" i="11"/>
  <c r="H86" i="11" s="1"/>
  <c r="E86" i="11"/>
  <c r="F86" i="11" s="1"/>
  <c r="C86" i="11"/>
  <c r="D86" i="11" s="1"/>
  <c r="I85" i="11"/>
  <c r="J85" i="11" s="1"/>
  <c r="G85" i="11"/>
  <c r="H85" i="11" s="1"/>
  <c r="E85" i="11"/>
  <c r="F85" i="11" s="1"/>
  <c r="C85" i="11"/>
  <c r="D85" i="11" s="1"/>
  <c r="I84" i="11"/>
  <c r="J84" i="11" s="1"/>
  <c r="G84" i="11"/>
  <c r="H84" i="11" s="1"/>
  <c r="E84" i="11"/>
  <c r="F84" i="11" s="1"/>
  <c r="C84" i="11"/>
  <c r="D84" i="11" s="1"/>
  <c r="I76" i="11"/>
  <c r="J76" i="11" s="1"/>
  <c r="G76" i="11"/>
  <c r="H76" i="11" s="1"/>
  <c r="E76" i="11"/>
  <c r="F76" i="11" s="1"/>
  <c r="C76" i="11"/>
  <c r="D76" i="11" s="1"/>
  <c r="I75" i="11"/>
  <c r="J75" i="11" s="1"/>
  <c r="G75" i="11"/>
  <c r="H75" i="11" s="1"/>
  <c r="E75" i="11"/>
  <c r="F75" i="11" s="1"/>
  <c r="C75" i="11"/>
  <c r="D75" i="11" s="1"/>
  <c r="I74" i="11"/>
  <c r="J74" i="11" s="1"/>
  <c r="G74" i="11"/>
  <c r="H74" i="11" s="1"/>
  <c r="E74" i="11"/>
  <c r="F74" i="11" s="1"/>
  <c r="C74" i="11"/>
  <c r="D74" i="11" s="1"/>
  <c r="I73" i="11"/>
  <c r="J73" i="11" s="1"/>
  <c r="G73" i="11"/>
  <c r="H73" i="11" s="1"/>
  <c r="E73" i="11"/>
  <c r="F73" i="11" s="1"/>
  <c r="C73" i="11"/>
  <c r="D73" i="11" s="1"/>
  <c r="I72" i="11"/>
  <c r="J72" i="11" s="1"/>
  <c r="G72" i="11"/>
  <c r="H72" i="11" s="1"/>
  <c r="E72" i="11"/>
  <c r="F72" i="11" s="1"/>
  <c r="C72" i="11"/>
  <c r="D72" i="11" s="1"/>
  <c r="I71" i="11"/>
  <c r="J71" i="11" s="1"/>
  <c r="G71" i="11"/>
  <c r="H71" i="11" s="1"/>
  <c r="E71" i="11"/>
  <c r="F71" i="11" s="1"/>
  <c r="C71" i="11"/>
  <c r="D71" i="11" s="1"/>
  <c r="I63" i="11"/>
  <c r="J63" i="11" s="1"/>
  <c r="G63" i="11"/>
  <c r="H63" i="11" s="1"/>
  <c r="E63" i="11"/>
  <c r="F63" i="11" s="1"/>
  <c r="C63" i="11"/>
  <c r="D63" i="11" s="1"/>
  <c r="I62" i="11"/>
  <c r="J62" i="11" s="1"/>
  <c r="G62" i="11"/>
  <c r="H62" i="11" s="1"/>
  <c r="E62" i="11"/>
  <c r="F62" i="11" s="1"/>
  <c r="C62" i="11"/>
  <c r="D62" i="11" s="1"/>
  <c r="I61" i="11"/>
  <c r="J61" i="11" s="1"/>
  <c r="G61" i="11"/>
  <c r="H61" i="11" s="1"/>
  <c r="E61" i="11"/>
  <c r="F61" i="11" s="1"/>
  <c r="C61" i="11"/>
  <c r="D61" i="11" s="1"/>
  <c r="I60" i="11"/>
  <c r="J60" i="11" s="1"/>
  <c r="G60" i="11"/>
  <c r="H60" i="11" s="1"/>
  <c r="E60" i="11"/>
  <c r="F60" i="11" s="1"/>
  <c r="C60" i="11"/>
  <c r="D60" i="11" s="1"/>
  <c r="I59" i="11"/>
  <c r="J59" i="11" s="1"/>
  <c r="G59" i="11"/>
  <c r="H59" i="11" s="1"/>
  <c r="E59" i="11"/>
  <c r="F59" i="11" s="1"/>
  <c r="C59" i="11"/>
  <c r="D59" i="11" s="1"/>
  <c r="I58" i="11"/>
  <c r="J58" i="11" s="1"/>
  <c r="G58" i="11"/>
  <c r="H58" i="11" s="1"/>
  <c r="E58" i="11"/>
  <c r="F58" i="11" s="1"/>
  <c r="C58" i="11"/>
  <c r="D58" i="11" s="1"/>
  <c r="C40" i="11"/>
  <c r="D40" i="11" s="1"/>
  <c r="E40" i="11"/>
  <c r="F40" i="11" s="1"/>
  <c r="G40" i="11"/>
  <c r="H40" i="11" s="1"/>
  <c r="I40" i="11"/>
  <c r="J40" i="11" s="1"/>
  <c r="C41" i="11"/>
  <c r="D41" i="11" s="1"/>
  <c r="E41" i="11"/>
  <c r="F41" i="11" s="1"/>
  <c r="G41" i="11"/>
  <c r="H41" i="11" s="1"/>
  <c r="I41" i="11"/>
  <c r="J41" i="11" s="1"/>
  <c r="C42" i="11"/>
  <c r="D42" i="11" s="1"/>
  <c r="E42" i="11"/>
  <c r="F42" i="11" s="1"/>
  <c r="G42" i="11"/>
  <c r="H42" i="11" s="1"/>
  <c r="I42" i="11"/>
  <c r="J42" i="11" s="1"/>
  <c r="C43" i="11"/>
  <c r="D43" i="11" s="1"/>
  <c r="E43" i="11"/>
  <c r="F43" i="11" s="1"/>
  <c r="G43" i="11"/>
  <c r="H43" i="11" s="1"/>
  <c r="I43" i="11"/>
  <c r="J43" i="11" s="1"/>
  <c r="C44" i="11"/>
  <c r="D44" i="11" s="1"/>
  <c r="E44" i="11"/>
  <c r="F44" i="11" s="1"/>
  <c r="G44" i="11"/>
  <c r="H44" i="11" s="1"/>
  <c r="I44" i="11"/>
  <c r="J44" i="11" s="1"/>
  <c r="C45" i="11"/>
  <c r="D45" i="11" s="1"/>
  <c r="E45" i="11"/>
  <c r="F45" i="11" s="1"/>
  <c r="G45" i="11"/>
  <c r="H45" i="11" s="1"/>
  <c r="I45" i="11"/>
  <c r="J45" i="11" s="1"/>
  <c r="C29" i="11"/>
  <c r="D29" i="11" s="1"/>
  <c r="E29" i="11"/>
  <c r="F29" i="11" s="1"/>
  <c r="G29" i="11"/>
  <c r="H29" i="11" s="1"/>
  <c r="I29" i="11"/>
  <c r="J29" i="11" s="1"/>
  <c r="C30" i="11"/>
  <c r="D30" i="11" s="1"/>
  <c r="E30" i="11"/>
  <c r="F30" i="11" s="1"/>
  <c r="G30" i="11"/>
  <c r="H30" i="11" s="1"/>
  <c r="I30" i="11"/>
  <c r="J30" i="11" s="1"/>
  <c r="C31" i="11"/>
  <c r="D31" i="11" s="1"/>
  <c r="E31" i="11"/>
  <c r="F31" i="11" s="1"/>
  <c r="G31" i="11"/>
  <c r="H31" i="11" s="1"/>
  <c r="I31" i="11"/>
  <c r="J31" i="11" s="1"/>
  <c r="C32" i="11"/>
  <c r="D32" i="11" s="1"/>
  <c r="E32" i="11"/>
  <c r="F32" i="11" s="1"/>
  <c r="G32" i="11"/>
  <c r="H32" i="11" s="1"/>
  <c r="I32" i="11"/>
  <c r="J32" i="11" s="1"/>
  <c r="C33" i="11"/>
  <c r="D33" i="11" s="1"/>
  <c r="E33" i="11"/>
  <c r="F33" i="11" s="1"/>
  <c r="G33" i="11"/>
  <c r="H33" i="11" s="1"/>
  <c r="I33" i="11"/>
  <c r="J33" i="11" s="1"/>
  <c r="C34" i="11"/>
  <c r="D34" i="11" s="1"/>
  <c r="E34" i="11"/>
  <c r="F34" i="11" s="1"/>
  <c r="G34" i="11"/>
  <c r="H34" i="11" s="1"/>
  <c r="I34" i="11"/>
  <c r="J34" i="11" s="1"/>
  <c r="C18" i="11"/>
  <c r="D18" i="11" s="1"/>
  <c r="E18" i="11"/>
  <c r="F18" i="11" s="1"/>
  <c r="G18" i="11"/>
  <c r="H18" i="11" s="1"/>
  <c r="I18" i="11"/>
  <c r="J18" i="11" s="1"/>
  <c r="C19" i="11"/>
  <c r="D19" i="11" s="1"/>
  <c r="E19" i="11"/>
  <c r="F19" i="11" s="1"/>
  <c r="G19" i="11"/>
  <c r="H19" i="11" s="1"/>
  <c r="I19" i="11"/>
  <c r="J19" i="11" s="1"/>
  <c r="C20" i="11"/>
  <c r="D20" i="11" s="1"/>
  <c r="E20" i="11"/>
  <c r="F20" i="11" s="1"/>
  <c r="G20" i="11"/>
  <c r="H20" i="11" s="1"/>
  <c r="I20" i="11"/>
  <c r="J20" i="11" s="1"/>
  <c r="C21" i="11"/>
  <c r="D21" i="11" s="1"/>
  <c r="E21" i="11"/>
  <c r="F21" i="11" s="1"/>
  <c r="G21" i="11"/>
  <c r="H21" i="11" s="1"/>
  <c r="I21" i="11"/>
  <c r="J21" i="11" s="1"/>
  <c r="C22" i="11"/>
  <c r="D22" i="11" s="1"/>
  <c r="E22" i="11"/>
  <c r="F22" i="11" s="1"/>
  <c r="G22" i="11"/>
  <c r="H22" i="11" s="1"/>
  <c r="I22" i="11"/>
  <c r="J22" i="11" s="1"/>
  <c r="C23" i="11"/>
  <c r="D23" i="11" s="1"/>
  <c r="E23" i="11"/>
  <c r="F23" i="11" s="1"/>
  <c r="G23" i="11"/>
  <c r="H23" i="11" s="1"/>
  <c r="I23" i="11"/>
  <c r="J23" i="11" s="1"/>
  <c r="C7" i="11"/>
  <c r="D7" i="11" s="1"/>
  <c r="E7" i="11"/>
  <c r="F7" i="11" s="1"/>
  <c r="G7" i="11"/>
  <c r="H7" i="11" s="1"/>
  <c r="I7" i="11"/>
  <c r="J7" i="11" s="1"/>
  <c r="C8" i="11"/>
  <c r="D8" i="11" s="1"/>
  <c r="E8" i="11"/>
  <c r="F8" i="11" s="1"/>
  <c r="G8" i="11"/>
  <c r="H8" i="11" s="1"/>
  <c r="I8" i="11"/>
  <c r="J8" i="11" s="1"/>
  <c r="C9" i="11"/>
  <c r="D9" i="11" s="1"/>
  <c r="E9" i="11"/>
  <c r="F9" i="11" s="1"/>
  <c r="G9" i="11"/>
  <c r="H9" i="11" s="1"/>
  <c r="I9" i="11"/>
  <c r="J9" i="11" s="1"/>
  <c r="C10" i="11"/>
  <c r="D10" i="11" s="1"/>
  <c r="E10" i="11"/>
  <c r="F10" i="11" s="1"/>
  <c r="G10" i="11"/>
  <c r="H10" i="11" s="1"/>
  <c r="I10" i="11"/>
  <c r="J10" i="11" s="1"/>
  <c r="C11" i="11"/>
  <c r="D11" i="11" s="1"/>
  <c r="E11" i="11"/>
  <c r="F11" i="11" s="1"/>
  <c r="G11" i="11"/>
  <c r="H11" i="11" s="1"/>
  <c r="I11" i="11"/>
  <c r="J11" i="11" s="1"/>
  <c r="C12" i="11"/>
  <c r="D12" i="11" s="1"/>
  <c r="E12" i="11"/>
  <c r="F12" i="11" s="1"/>
  <c r="G12" i="11"/>
  <c r="H12" i="11" s="1"/>
  <c r="I12" i="11"/>
  <c r="J12" i="11" s="1"/>
  <c r="G41" i="10"/>
  <c r="H41" i="10" s="1"/>
  <c r="E41" i="10"/>
  <c r="F41" i="10" s="1"/>
  <c r="C41" i="10"/>
  <c r="D41" i="10" s="1"/>
  <c r="G40" i="10"/>
  <c r="H40" i="10" s="1"/>
  <c r="E40" i="10"/>
  <c r="F40" i="10" s="1"/>
  <c r="C40" i="10"/>
  <c r="D40" i="10" s="1"/>
  <c r="G39" i="10"/>
  <c r="H39" i="10" s="1"/>
  <c r="E39" i="10"/>
  <c r="F39" i="10" s="1"/>
  <c r="C39" i="10"/>
  <c r="D39" i="10" s="1"/>
  <c r="G38" i="10"/>
  <c r="H38" i="10" s="1"/>
  <c r="E38" i="10"/>
  <c r="F38" i="10" s="1"/>
  <c r="C38" i="10"/>
  <c r="D38" i="10" s="1"/>
  <c r="G37" i="10"/>
  <c r="H37" i="10" s="1"/>
  <c r="E37" i="10"/>
  <c r="F37" i="10" s="1"/>
  <c r="C37" i="10"/>
  <c r="D37" i="10" s="1"/>
  <c r="G36" i="10"/>
  <c r="H36" i="10" s="1"/>
  <c r="E36" i="10"/>
  <c r="F36" i="10" s="1"/>
  <c r="C36" i="10"/>
  <c r="D36" i="10" s="1"/>
  <c r="G35" i="10"/>
  <c r="H35" i="10" s="1"/>
  <c r="E35" i="10"/>
  <c r="F35" i="10" s="1"/>
  <c r="C35" i="10"/>
  <c r="D35" i="10" s="1"/>
  <c r="G34" i="10"/>
  <c r="H34" i="10" s="1"/>
  <c r="E34" i="10"/>
  <c r="F34" i="10" s="1"/>
  <c r="C34" i="10"/>
  <c r="D34" i="10" s="1"/>
  <c r="G33" i="10"/>
  <c r="H33" i="10" s="1"/>
  <c r="E33" i="10"/>
  <c r="F33" i="10" s="1"/>
  <c r="C33" i="10"/>
  <c r="D33" i="10" s="1"/>
  <c r="G32" i="10"/>
  <c r="H32" i="10" s="1"/>
  <c r="E32" i="10"/>
  <c r="F32" i="10" s="1"/>
  <c r="C32" i="10"/>
  <c r="D32" i="10" s="1"/>
  <c r="G31" i="10"/>
  <c r="H31" i="10" s="1"/>
  <c r="E31" i="10"/>
  <c r="F31" i="10" s="1"/>
  <c r="C31" i="10"/>
  <c r="D31" i="10" s="1"/>
  <c r="G30" i="10"/>
  <c r="H30" i="10" s="1"/>
  <c r="E30" i="10"/>
  <c r="F30" i="10" s="1"/>
  <c r="C30" i="10"/>
  <c r="D30" i="10" s="1"/>
  <c r="G29" i="10"/>
  <c r="H29" i="10" s="1"/>
  <c r="E29" i="10"/>
  <c r="F29" i="10" s="1"/>
  <c r="C29" i="10"/>
  <c r="D29" i="10" s="1"/>
  <c r="G28" i="10"/>
  <c r="H28" i="10" s="1"/>
  <c r="E28" i="10"/>
  <c r="F28" i="10" s="1"/>
  <c r="C28" i="10"/>
  <c r="D28" i="10" s="1"/>
  <c r="G27" i="10"/>
  <c r="H27" i="10" s="1"/>
  <c r="E27" i="10"/>
  <c r="F27" i="10" s="1"/>
  <c r="C27" i="10"/>
  <c r="D27" i="10" s="1"/>
  <c r="G21" i="10"/>
  <c r="H21" i="10" s="1"/>
  <c r="E21" i="10"/>
  <c r="F21" i="10" s="1"/>
  <c r="C21" i="10"/>
  <c r="D21" i="10" s="1"/>
  <c r="G20" i="10"/>
  <c r="H20" i="10" s="1"/>
  <c r="E20" i="10"/>
  <c r="F20" i="10" s="1"/>
  <c r="C20" i="10"/>
  <c r="D20" i="10" s="1"/>
  <c r="G19" i="10"/>
  <c r="H19" i="10" s="1"/>
  <c r="E19" i="10"/>
  <c r="F19" i="10" s="1"/>
  <c r="C19" i="10"/>
  <c r="D19" i="10" s="1"/>
  <c r="G18" i="10"/>
  <c r="H18" i="10" s="1"/>
  <c r="E18" i="10"/>
  <c r="F18" i="10" s="1"/>
  <c r="C18" i="10"/>
  <c r="D18" i="10" s="1"/>
  <c r="G17" i="10"/>
  <c r="H17" i="10" s="1"/>
  <c r="E17" i="10"/>
  <c r="F17" i="10" s="1"/>
  <c r="C17" i="10"/>
  <c r="D17" i="10" s="1"/>
  <c r="G16" i="10"/>
  <c r="H16" i="10" s="1"/>
  <c r="E16" i="10"/>
  <c r="F16" i="10" s="1"/>
  <c r="C16" i="10"/>
  <c r="D16" i="10" s="1"/>
  <c r="G15" i="10"/>
  <c r="H15" i="10" s="1"/>
  <c r="E15" i="10"/>
  <c r="F15" i="10" s="1"/>
  <c r="C15" i="10"/>
  <c r="D15" i="10" s="1"/>
  <c r="G14" i="10"/>
  <c r="H14" i="10" s="1"/>
  <c r="E14" i="10"/>
  <c r="F14" i="10" s="1"/>
  <c r="C14" i="10"/>
  <c r="D14" i="10" s="1"/>
  <c r="G13" i="10"/>
  <c r="H13" i="10" s="1"/>
  <c r="E13" i="10"/>
  <c r="F13" i="10" s="1"/>
  <c r="C13" i="10"/>
  <c r="D13" i="10" s="1"/>
  <c r="G12" i="10"/>
  <c r="H12" i="10" s="1"/>
  <c r="E12" i="10"/>
  <c r="F12" i="10" s="1"/>
  <c r="C12" i="10"/>
  <c r="D12" i="10" s="1"/>
  <c r="G11" i="10"/>
  <c r="H11" i="10" s="1"/>
  <c r="E11" i="10"/>
  <c r="F11" i="10" s="1"/>
  <c r="C11" i="10"/>
  <c r="D11" i="10" s="1"/>
  <c r="G10" i="10"/>
  <c r="H10" i="10" s="1"/>
  <c r="E10" i="10"/>
  <c r="F10" i="10" s="1"/>
  <c r="C10" i="10"/>
  <c r="D10" i="10" s="1"/>
  <c r="G9" i="10"/>
  <c r="H9" i="10" s="1"/>
  <c r="E9" i="10"/>
  <c r="F9" i="10" s="1"/>
  <c r="C9" i="10"/>
  <c r="D9" i="10" s="1"/>
  <c r="G8" i="10"/>
  <c r="H8" i="10" s="1"/>
  <c r="E8" i="10"/>
  <c r="F8" i="10" s="1"/>
  <c r="C8" i="10"/>
  <c r="D8" i="10" s="1"/>
  <c r="G7" i="10"/>
  <c r="H7" i="10" s="1"/>
  <c r="E7" i="10"/>
  <c r="F7" i="10" s="1"/>
  <c r="C7" i="10"/>
  <c r="D7" i="10" s="1"/>
  <c r="F80" i="9" a="1"/>
  <c r="F80" i="9" s="1"/>
  <c r="E80" i="9" a="1"/>
  <c r="E80" i="9" s="1"/>
  <c r="D80" i="9" a="1"/>
  <c r="D80" i="9" s="1"/>
  <c r="C80" i="9" a="1"/>
  <c r="C80" i="9" s="1"/>
  <c r="F79" i="9" a="1"/>
  <c r="F79" i="9" s="1"/>
  <c r="E79" i="9" a="1"/>
  <c r="E79" i="9" s="1"/>
  <c r="D79" i="9" a="1"/>
  <c r="D79" i="9" s="1"/>
  <c r="C79" i="9" a="1"/>
  <c r="C79" i="9" s="1"/>
  <c r="F78" i="9" a="1"/>
  <c r="F78" i="9" s="1"/>
  <c r="E78" i="9" a="1"/>
  <c r="E78" i="9" s="1"/>
  <c r="D78" i="9" a="1"/>
  <c r="D78" i="9" s="1"/>
  <c r="C78" i="9" a="1"/>
  <c r="C78" i="9" s="1"/>
  <c r="F77" i="9" a="1"/>
  <c r="F77" i="9" s="1"/>
  <c r="E77" i="9" a="1"/>
  <c r="E77" i="9" s="1"/>
  <c r="D77" i="9" a="1"/>
  <c r="D77" i="9" s="1"/>
  <c r="C77" i="9" a="1"/>
  <c r="C77" i="9" s="1"/>
  <c r="F76" i="9" a="1"/>
  <c r="F76" i="9" s="1"/>
  <c r="E76" i="9" a="1"/>
  <c r="E76" i="9" s="1"/>
  <c r="D76" i="9" a="1"/>
  <c r="D76" i="9" s="1"/>
  <c r="C76" i="9" a="1"/>
  <c r="C76" i="9" s="1"/>
  <c r="F75" i="9" a="1"/>
  <c r="F75" i="9" s="1"/>
  <c r="E75" i="9" a="1"/>
  <c r="E75" i="9" s="1"/>
  <c r="D75" i="9" a="1"/>
  <c r="D75" i="9" s="1"/>
  <c r="C75" i="9" a="1"/>
  <c r="C75" i="9" s="1"/>
  <c r="F74" i="9" a="1"/>
  <c r="F74" i="9" s="1"/>
  <c r="E74" i="9" a="1"/>
  <c r="E74" i="9" s="1"/>
  <c r="D74" i="9" a="1"/>
  <c r="D74" i="9" s="1"/>
  <c r="C74" i="9" a="1"/>
  <c r="C74" i="9" s="1"/>
  <c r="F73" i="9" a="1"/>
  <c r="F73" i="9" s="1"/>
  <c r="E73" i="9" a="1"/>
  <c r="E73" i="9" s="1"/>
  <c r="D73" i="9" a="1"/>
  <c r="D73" i="9" s="1"/>
  <c r="C73" i="9" a="1"/>
  <c r="C73" i="9" s="1"/>
  <c r="F72" i="9" a="1"/>
  <c r="F72" i="9" s="1"/>
  <c r="E72" i="9" a="1"/>
  <c r="E72" i="9" s="1"/>
  <c r="D72" i="9" a="1"/>
  <c r="D72" i="9" s="1"/>
  <c r="C72" i="9" a="1"/>
  <c r="C72" i="9" s="1"/>
  <c r="F71" i="9" a="1"/>
  <c r="F71" i="9" s="1"/>
  <c r="E71" i="9" a="1"/>
  <c r="E71" i="9" s="1"/>
  <c r="D71" i="9" a="1"/>
  <c r="D71" i="9" s="1"/>
  <c r="C71" i="9" a="1"/>
  <c r="C71" i="9" s="1"/>
  <c r="F70" i="9" a="1"/>
  <c r="F70" i="9" s="1"/>
  <c r="E70" i="9" a="1"/>
  <c r="E70" i="9" s="1"/>
  <c r="D70" i="9" a="1"/>
  <c r="D70" i="9" s="1"/>
  <c r="C70" i="9" a="1"/>
  <c r="C70" i="9" s="1"/>
  <c r="F69" i="9" a="1"/>
  <c r="F69" i="9" s="1"/>
  <c r="E69" i="9" a="1"/>
  <c r="E69" i="9" s="1"/>
  <c r="D69" i="9" a="1"/>
  <c r="D69" i="9" s="1"/>
  <c r="C69" i="9" a="1"/>
  <c r="C69" i="9" s="1"/>
  <c r="F68" i="9" a="1"/>
  <c r="F68" i="9" s="1"/>
  <c r="E68" i="9" a="1"/>
  <c r="E68" i="9" s="1"/>
  <c r="D68" i="9" a="1"/>
  <c r="D68" i="9" s="1"/>
  <c r="C68" i="9" a="1"/>
  <c r="C68" i="9" s="1"/>
  <c r="F67" i="9" a="1"/>
  <c r="F67" i="9" s="1"/>
  <c r="E67" i="9" a="1"/>
  <c r="E67" i="9" s="1"/>
  <c r="C67" i="9" a="1"/>
  <c r="C67" i="9" s="1"/>
  <c r="F66" i="9" a="1"/>
  <c r="F66" i="9" s="1"/>
  <c r="E66" i="9" a="1"/>
  <c r="E66" i="9" s="1"/>
  <c r="D66" i="9" a="1"/>
  <c r="D66" i="9" s="1"/>
  <c r="C66" i="9" a="1"/>
  <c r="C66" i="9" s="1"/>
  <c r="F38" i="9" a="1"/>
  <c r="F38" i="9" s="1"/>
  <c r="K38" i="9" s="1"/>
  <c r="E38" i="9" a="1"/>
  <c r="E38" i="9" s="1"/>
  <c r="J38" i="9" s="1"/>
  <c r="C38" i="9" a="1"/>
  <c r="C38" i="9" s="1"/>
  <c r="H38" i="9" s="1"/>
  <c r="C119" i="9" s="1"/>
  <c r="F37" i="9" a="1"/>
  <c r="F37" i="9" s="1"/>
  <c r="K37" i="9" s="1"/>
  <c r="F118" i="9" s="1"/>
  <c r="E37" i="9" a="1"/>
  <c r="E37" i="9" s="1"/>
  <c r="J37" i="9" s="1"/>
  <c r="E118" i="9" s="1"/>
  <c r="D37" i="9" a="1"/>
  <c r="D37" i="9" s="1"/>
  <c r="I37" i="9" s="1"/>
  <c r="D118" i="9" s="1"/>
  <c r="C37" i="9" a="1"/>
  <c r="C37" i="9" s="1"/>
  <c r="H37" i="9" s="1"/>
  <c r="C118" i="9" s="1"/>
  <c r="F36" i="9" a="1"/>
  <c r="F36" i="9" s="1"/>
  <c r="K36" i="9" s="1"/>
  <c r="E36" i="9" a="1"/>
  <c r="E36" i="9" s="1"/>
  <c r="J36" i="9" s="1"/>
  <c r="D36" i="9" a="1"/>
  <c r="D36" i="9" s="1"/>
  <c r="I36" i="9" s="1"/>
  <c r="D117" i="9" s="1"/>
  <c r="C36" i="9" a="1"/>
  <c r="C36" i="9" s="1"/>
  <c r="H36" i="9" s="1"/>
  <c r="C117" i="9" s="1"/>
  <c r="F35" i="9" a="1"/>
  <c r="F35" i="9" s="1"/>
  <c r="K35" i="9" s="1"/>
  <c r="F116" i="9" s="1"/>
  <c r="E35" i="9" a="1"/>
  <c r="E35" i="9" s="1"/>
  <c r="J35" i="9" s="1"/>
  <c r="D35" i="9" a="1"/>
  <c r="D35" i="9" s="1"/>
  <c r="I35" i="9" s="1"/>
  <c r="C35" i="9" a="1"/>
  <c r="C35" i="9" s="1"/>
  <c r="H35" i="9" s="1"/>
  <c r="F34" i="9" a="1"/>
  <c r="F34" i="9" s="1"/>
  <c r="K34" i="9" s="1"/>
  <c r="E34" i="9" a="1"/>
  <c r="E34" i="9" s="1"/>
  <c r="J34" i="9" s="1"/>
  <c r="D34" i="9" a="1"/>
  <c r="D34" i="9" s="1"/>
  <c r="I34" i="9" s="1"/>
  <c r="D115" i="9" s="1"/>
  <c r="C34" i="9" a="1"/>
  <c r="C34" i="9" s="1"/>
  <c r="H34" i="9" s="1"/>
  <c r="C115" i="9" s="1"/>
  <c r="F33" i="9" a="1"/>
  <c r="F33" i="9" s="1"/>
  <c r="K33" i="9" s="1"/>
  <c r="F114" i="9" s="1"/>
  <c r="E33" i="9" a="1"/>
  <c r="E33" i="9" s="1"/>
  <c r="J33" i="9" s="1"/>
  <c r="E114" i="9" s="1"/>
  <c r="D33" i="9" a="1"/>
  <c r="D33" i="9" s="1"/>
  <c r="I33" i="9" s="1"/>
  <c r="D114" i="9" s="1"/>
  <c r="C33" i="9" a="1"/>
  <c r="C33" i="9" s="1"/>
  <c r="H33" i="9" s="1"/>
  <c r="C114" i="9" s="1"/>
  <c r="F32" i="9" a="1"/>
  <c r="F32" i="9" s="1"/>
  <c r="K32" i="9" s="1"/>
  <c r="E32" i="9" a="1"/>
  <c r="E32" i="9" s="1"/>
  <c r="J32" i="9" s="1"/>
  <c r="D32" i="9" a="1"/>
  <c r="D32" i="9" s="1"/>
  <c r="I32" i="9" s="1"/>
  <c r="D113" i="9" s="1"/>
  <c r="C32" i="9" a="1"/>
  <c r="C32" i="9" s="1"/>
  <c r="H32" i="9" s="1"/>
  <c r="C113" i="9" s="1"/>
  <c r="F31" i="9" a="1"/>
  <c r="F31" i="9" s="1"/>
  <c r="K31" i="9" s="1"/>
  <c r="F112" i="9" s="1"/>
  <c r="E31" i="9" a="1"/>
  <c r="E31" i="9" s="1"/>
  <c r="J31" i="9" s="1"/>
  <c r="D31" i="9" a="1"/>
  <c r="D31" i="9" s="1"/>
  <c r="I31" i="9" s="1"/>
  <c r="C31" i="9" a="1"/>
  <c r="C31" i="9" s="1"/>
  <c r="H31" i="9" s="1"/>
  <c r="F30" i="9" a="1"/>
  <c r="F30" i="9" s="1"/>
  <c r="K30" i="9" s="1"/>
  <c r="E30" i="9" a="1"/>
  <c r="E30" i="9" s="1"/>
  <c r="J30" i="9" s="1"/>
  <c r="D30" i="9" a="1"/>
  <c r="D30" i="9" s="1"/>
  <c r="I30" i="9" s="1"/>
  <c r="D111" i="9" s="1"/>
  <c r="C30" i="9" a="1"/>
  <c r="C30" i="9" s="1"/>
  <c r="H30" i="9" s="1"/>
  <c r="C111" i="9" s="1"/>
  <c r="F29" i="9" a="1"/>
  <c r="F29" i="9" s="1"/>
  <c r="K29" i="9" s="1"/>
  <c r="F110" i="9" s="1"/>
  <c r="E29" i="9" a="1"/>
  <c r="E29" i="9" s="1"/>
  <c r="J29" i="9" s="1"/>
  <c r="E110" i="9" s="1"/>
  <c r="D29" i="9" a="1"/>
  <c r="D29" i="9" s="1"/>
  <c r="I29" i="9" s="1"/>
  <c r="D110" i="9" s="1"/>
  <c r="C29" i="9" a="1"/>
  <c r="C29" i="9" s="1"/>
  <c r="H29" i="9" s="1"/>
  <c r="C110" i="9" s="1"/>
  <c r="F28" i="9" a="1"/>
  <c r="F28" i="9" s="1"/>
  <c r="K28" i="9" s="1"/>
  <c r="E28" i="9" a="1"/>
  <c r="E28" i="9" s="1"/>
  <c r="J28" i="9" s="1"/>
  <c r="D28" i="9" a="1"/>
  <c r="D28" i="9" s="1"/>
  <c r="I28" i="9" s="1"/>
  <c r="C28" i="9" a="1"/>
  <c r="C28" i="9" s="1"/>
  <c r="H28" i="9" s="1"/>
  <c r="C109" i="9" s="1"/>
  <c r="F27" i="9" a="1"/>
  <c r="F27" i="9" s="1"/>
  <c r="K27" i="9" s="1"/>
  <c r="F108" i="9" s="1"/>
  <c r="E27" i="9" a="1"/>
  <c r="E27" i="9" s="1"/>
  <c r="J27" i="9" s="1"/>
  <c r="D27" i="9" a="1"/>
  <c r="D27" i="9" s="1"/>
  <c r="I27" i="9" s="1"/>
  <c r="C27" i="9" a="1"/>
  <c r="C27" i="9" s="1"/>
  <c r="H27" i="9" s="1"/>
  <c r="F26" i="9" a="1"/>
  <c r="F26" i="9" s="1"/>
  <c r="K26" i="9" s="1"/>
  <c r="E26" i="9" a="1"/>
  <c r="E26" i="9" s="1"/>
  <c r="J26" i="9" s="1"/>
  <c r="D26" i="9" a="1"/>
  <c r="D26" i="9" s="1"/>
  <c r="I26" i="9" s="1"/>
  <c r="D107" i="9" s="1"/>
  <c r="C26" i="9" a="1"/>
  <c r="C26" i="9" s="1"/>
  <c r="H26" i="9" s="1"/>
  <c r="C107" i="9" s="1"/>
  <c r="F25" i="9" a="1"/>
  <c r="F25" i="9" s="1"/>
  <c r="K25" i="9" s="1"/>
  <c r="F106" i="9" s="1"/>
  <c r="E25" i="9" a="1"/>
  <c r="E25" i="9" s="1"/>
  <c r="J25" i="9" s="1"/>
  <c r="E106" i="9" s="1"/>
  <c r="D25" i="9" a="1"/>
  <c r="D25" i="9" s="1"/>
  <c r="I25" i="9" s="1"/>
  <c r="D106" i="9" s="1"/>
  <c r="C25" i="9" a="1"/>
  <c r="C25" i="9" s="1"/>
  <c r="H25" i="9" s="1"/>
  <c r="C106" i="9" s="1"/>
  <c r="F24" i="9" a="1"/>
  <c r="F24" i="9" s="1"/>
  <c r="K24" i="9" s="1"/>
  <c r="E24" i="9" a="1"/>
  <c r="E24" i="9" s="1"/>
  <c r="J24" i="9" s="1"/>
  <c r="D24" i="9" a="1"/>
  <c r="D24" i="9" s="1"/>
  <c r="I24" i="9" s="1"/>
  <c r="D105" i="9" s="1"/>
  <c r="C24" i="9" a="1"/>
  <c r="C24" i="9" s="1"/>
  <c r="H24" i="9" s="1"/>
  <c r="C105" i="9" s="1"/>
  <c r="F18" i="9" a="1"/>
  <c r="F18" i="9" s="1"/>
  <c r="K18" i="9" s="1"/>
  <c r="F100" i="9" s="1"/>
  <c r="E18" i="9" a="1"/>
  <c r="E18" i="9" s="1"/>
  <c r="J18" i="9" s="1"/>
  <c r="E100" i="9" s="1"/>
  <c r="D18" i="9" a="1"/>
  <c r="D18" i="9" s="1"/>
  <c r="I18" i="9" s="1"/>
  <c r="D100" i="9" s="1"/>
  <c r="C18" i="9" a="1"/>
  <c r="C18" i="9" s="1"/>
  <c r="H18" i="9" s="1"/>
  <c r="C100" i="9" s="1"/>
  <c r="F17" i="9" a="1"/>
  <c r="F17" i="9" s="1"/>
  <c r="K17" i="9" s="1"/>
  <c r="F99" i="9" s="1"/>
  <c r="E17" i="9" a="1"/>
  <c r="E17" i="9" s="1"/>
  <c r="J17" i="9" s="1"/>
  <c r="E99" i="9" s="1"/>
  <c r="D17" i="9" a="1"/>
  <c r="D17" i="9" s="1"/>
  <c r="I17" i="9" s="1"/>
  <c r="D99" i="9" s="1"/>
  <c r="C17" i="9" a="1"/>
  <c r="C17" i="9" s="1"/>
  <c r="H17" i="9" s="1"/>
  <c r="C99" i="9" s="1"/>
  <c r="F16" i="9" a="1"/>
  <c r="F16" i="9" s="1"/>
  <c r="K16" i="9" s="1"/>
  <c r="F98" i="9" s="1"/>
  <c r="E16" i="9" a="1"/>
  <c r="E16" i="9" s="1"/>
  <c r="J16" i="9" s="1"/>
  <c r="E98" i="9" s="1"/>
  <c r="D16" i="9" a="1"/>
  <c r="D16" i="9" s="1"/>
  <c r="I16" i="9" s="1"/>
  <c r="D98" i="9" s="1"/>
  <c r="C16" i="9" a="1"/>
  <c r="C16" i="9" s="1"/>
  <c r="H16" i="9" s="1"/>
  <c r="C98" i="9" s="1"/>
  <c r="F15" i="9" a="1"/>
  <c r="F15" i="9" s="1"/>
  <c r="K15" i="9" s="1"/>
  <c r="F97" i="9" s="1"/>
  <c r="E15" i="9" a="1"/>
  <c r="E15" i="9" s="1"/>
  <c r="J15" i="9" s="1"/>
  <c r="E97" i="9" s="1"/>
  <c r="D15" i="9" a="1"/>
  <c r="D15" i="9" s="1"/>
  <c r="I15" i="9" s="1"/>
  <c r="D97" i="9" s="1"/>
  <c r="C15" i="9" a="1"/>
  <c r="C15" i="9" s="1"/>
  <c r="H15" i="9" s="1"/>
  <c r="C97" i="9" s="1"/>
  <c r="F14" i="9" a="1"/>
  <c r="F14" i="9" s="1"/>
  <c r="K14" i="9" s="1"/>
  <c r="F96" i="9" s="1"/>
  <c r="E14" i="9" a="1"/>
  <c r="E14" i="9" s="1"/>
  <c r="J14" i="9" s="1"/>
  <c r="E96" i="9" s="1"/>
  <c r="D14" i="9" a="1"/>
  <c r="D14" i="9" s="1"/>
  <c r="I14" i="9" s="1"/>
  <c r="D96" i="9" s="1"/>
  <c r="C14" i="9" a="1"/>
  <c r="C14" i="9" s="1"/>
  <c r="H14" i="9" s="1"/>
  <c r="C96" i="9" s="1"/>
  <c r="F13" i="9" a="1"/>
  <c r="F13" i="9" s="1"/>
  <c r="K13" i="9" s="1"/>
  <c r="F95" i="9" s="1"/>
  <c r="E13" i="9" a="1"/>
  <c r="E13" i="9" s="1"/>
  <c r="J13" i="9" s="1"/>
  <c r="E95" i="9" s="1"/>
  <c r="D13" i="9" a="1"/>
  <c r="D13" i="9" s="1"/>
  <c r="I13" i="9" s="1"/>
  <c r="D95" i="9" s="1"/>
  <c r="C13" i="9" a="1"/>
  <c r="C13" i="9" s="1"/>
  <c r="H13" i="9" s="1"/>
  <c r="C95" i="9" s="1"/>
  <c r="F12" i="9" a="1"/>
  <c r="F12" i="9" s="1"/>
  <c r="K12" i="9" s="1"/>
  <c r="F94" i="9" s="1"/>
  <c r="E12" i="9" a="1"/>
  <c r="E12" i="9" s="1"/>
  <c r="J12" i="9" s="1"/>
  <c r="E94" i="9" s="1"/>
  <c r="D12" i="9" a="1"/>
  <c r="D12" i="9" s="1"/>
  <c r="I12" i="9" s="1"/>
  <c r="D94" i="9" s="1"/>
  <c r="C12" i="9" a="1"/>
  <c r="C12" i="9" s="1"/>
  <c r="H12" i="9" s="1"/>
  <c r="C94" i="9" s="1"/>
  <c r="F11" i="9" a="1"/>
  <c r="F11" i="9" s="1"/>
  <c r="K11" i="9" s="1"/>
  <c r="F93" i="9" s="1"/>
  <c r="E11" i="9" a="1"/>
  <c r="E11" i="9" s="1"/>
  <c r="J11" i="9" s="1"/>
  <c r="E93" i="9" s="1"/>
  <c r="D11" i="9" a="1"/>
  <c r="D11" i="9" s="1"/>
  <c r="I11" i="9" s="1"/>
  <c r="D93" i="9" s="1"/>
  <c r="C11" i="9" a="1"/>
  <c r="C11" i="9" s="1"/>
  <c r="H11" i="9" s="1"/>
  <c r="C93" i="9" s="1"/>
  <c r="F10" i="9" a="1"/>
  <c r="F10" i="9" s="1"/>
  <c r="K10" i="9" s="1"/>
  <c r="F92" i="9" s="1"/>
  <c r="E10" i="9" a="1"/>
  <c r="E10" i="9" s="1"/>
  <c r="J10" i="9" s="1"/>
  <c r="E92" i="9" s="1"/>
  <c r="D10" i="9" a="1"/>
  <c r="D10" i="9" s="1"/>
  <c r="I10" i="9" s="1"/>
  <c r="D92" i="9" s="1"/>
  <c r="C10" i="9" a="1"/>
  <c r="C10" i="9" s="1"/>
  <c r="H10" i="9" s="1"/>
  <c r="C92" i="9" s="1"/>
  <c r="F9" i="9" a="1"/>
  <c r="F9" i="9" s="1"/>
  <c r="K9" i="9" s="1"/>
  <c r="F91" i="9" s="1"/>
  <c r="E9" i="9" a="1"/>
  <c r="E9" i="9" s="1"/>
  <c r="J9" i="9" s="1"/>
  <c r="E91" i="9" s="1"/>
  <c r="D9" i="9" a="1"/>
  <c r="D9" i="9" s="1"/>
  <c r="I9" i="9" s="1"/>
  <c r="D91" i="9" s="1"/>
  <c r="C9" i="9" a="1"/>
  <c r="C9" i="9" s="1"/>
  <c r="H9" i="9" s="1"/>
  <c r="C91" i="9" s="1"/>
  <c r="F8" i="9" a="1"/>
  <c r="F8" i="9" s="1"/>
  <c r="K8" i="9" s="1"/>
  <c r="F90" i="9" s="1"/>
  <c r="E8" i="9" a="1"/>
  <c r="E8" i="9" s="1"/>
  <c r="J8" i="9" s="1"/>
  <c r="E90" i="9" s="1"/>
  <c r="D8" i="9" a="1"/>
  <c r="D8" i="9" s="1"/>
  <c r="I8" i="9" s="1"/>
  <c r="D90" i="9" s="1"/>
  <c r="C8" i="9" a="1"/>
  <c r="C8" i="9" s="1"/>
  <c r="H8" i="9" s="1"/>
  <c r="C90" i="9" s="1"/>
  <c r="F7" i="9" a="1"/>
  <c r="F7" i="9" s="1"/>
  <c r="K7" i="9" s="1"/>
  <c r="F89" i="9" s="1"/>
  <c r="E7" i="9" a="1"/>
  <c r="E7" i="9" s="1"/>
  <c r="J7" i="9" s="1"/>
  <c r="E89" i="9" s="1"/>
  <c r="D7" i="9" a="1"/>
  <c r="D7" i="9" s="1"/>
  <c r="I7" i="9" s="1"/>
  <c r="D89" i="9" s="1"/>
  <c r="C7" i="9" a="1"/>
  <c r="C7" i="9" s="1"/>
  <c r="H7" i="9" s="1"/>
  <c r="C89" i="9" s="1"/>
  <c r="F6" i="9" a="1"/>
  <c r="F6" i="9" s="1"/>
  <c r="K6" i="9" s="1"/>
  <c r="F88" i="9" s="1"/>
  <c r="E6" i="9" a="1"/>
  <c r="E6" i="9" s="1"/>
  <c r="J6" i="9" s="1"/>
  <c r="E88" i="9" s="1"/>
  <c r="D6" i="9" a="1"/>
  <c r="D6" i="9" s="1"/>
  <c r="I6" i="9" s="1"/>
  <c r="D88" i="9" s="1"/>
  <c r="C6" i="9" a="1"/>
  <c r="C6" i="9" s="1"/>
  <c r="H6" i="9" s="1"/>
  <c r="C88" i="9" s="1"/>
  <c r="F5" i="9" a="1"/>
  <c r="F5" i="9" s="1"/>
  <c r="K5" i="9" s="1"/>
  <c r="F87" i="9" s="1"/>
  <c r="E5" i="9" a="1"/>
  <c r="E5" i="9" s="1"/>
  <c r="J5" i="9" s="1"/>
  <c r="E87" i="9" s="1"/>
  <c r="D5" i="9" a="1"/>
  <c r="D5" i="9" s="1"/>
  <c r="I5" i="9" s="1"/>
  <c r="D87" i="9" s="1"/>
  <c r="C5" i="9" a="1"/>
  <c r="C5" i="9" s="1"/>
  <c r="H5" i="9" s="1"/>
  <c r="C87" i="9" s="1"/>
  <c r="F4" i="9" a="1"/>
  <c r="F4" i="9" s="1"/>
  <c r="K4" i="9" s="1"/>
  <c r="F86" i="9" s="1"/>
  <c r="E4" i="9" a="1"/>
  <c r="E4" i="9" s="1"/>
  <c r="J4" i="9" s="1"/>
  <c r="E86" i="9" s="1"/>
  <c r="D4" i="9" a="1"/>
  <c r="D4" i="9" s="1"/>
  <c r="I4" i="9" s="1"/>
  <c r="D86" i="9" s="1"/>
  <c r="C4" i="9" a="1"/>
  <c r="C4" i="9" s="1"/>
  <c r="H4" i="9" s="1"/>
  <c r="C86" i="9" s="1"/>
  <c r="E47" i="9" l="1"/>
  <c r="E51" i="9"/>
  <c r="E55" i="9"/>
  <c r="E59" i="9"/>
  <c r="B43" i="14"/>
  <c r="B44" i="14"/>
  <c r="B45" i="14"/>
  <c r="B46" i="14"/>
  <c r="F47" i="9"/>
  <c r="F51" i="9"/>
  <c r="F55" i="9"/>
  <c r="F59" i="9"/>
  <c r="C43" i="14"/>
  <c r="C44" i="14"/>
  <c r="C45" i="14"/>
  <c r="C46" i="14"/>
  <c r="C48" i="9"/>
  <c r="C52" i="9"/>
  <c r="C56" i="9"/>
  <c r="D43" i="14"/>
  <c r="D44" i="14"/>
  <c r="D45" i="14"/>
  <c r="D46" i="14"/>
  <c r="D48" i="9"/>
  <c r="D52" i="9"/>
  <c r="D56" i="9"/>
  <c r="E43" i="14"/>
  <c r="E44" i="14"/>
  <c r="E45" i="14"/>
  <c r="E46" i="14"/>
  <c r="E48" i="9"/>
  <c r="E52" i="9"/>
  <c r="E56" i="9"/>
  <c r="E45" i="9"/>
  <c r="E49" i="9"/>
  <c r="E53" i="9"/>
  <c r="E57" i="9"/>
  <c r="F45" i="9"/>
  <c r="F49" i="9"/>
  <c r="F53" i="9"/>
  <c r="F57" i="9"/>
  <c r="C49" i="10"/>
  <c r="B49" i="10"/>
  <c r="E48" i="10"/>
  <c r="D48" i="10"/>
  <c r="E47" i="10"/>
  <c r="D47" i="10"/>
  <c r="E49" i="10"/>
  <c r="D49" i="10"/>
  <c r="C47" i="10"/>
  <c r="B47" i="10"/>
  <c r="C48" i="10"/>
  <c r="B48" i="10"/>
  <c r="C46" i="9"/>
  <c r="C50" i="9"/>
  <c r="C54" i="9"/>
  <c r="C58" i="9"/>
  <c r="E116" i="9"/>
  <c r="E112" i="9"/>
  <c r="E108" i="9"/>
  <c r="D46" i="9"/>
  <c r="D50" i="9"/>
  <c r="D54" i="9"/>
  <c r="D58" i="9"/>
  <c r="D116" i="9"/>
  <c r="D112" i="9"/>
  <c r="D108" i="9"/>
  <c r="E46" i="9"/>
  <c r="E50" i="9"/>
  <c r="E54" i="9"/>
  <c r="E58" i="9"/>
  <c r="C116" i="9"/>
  <c r="C112" i="9"/>
  <c r="C108" i="9"/>
  <c r="F46" i="9"/>
  <c r="F50" i="9"/>
  <c r="F54" i="9"/>
  <c r="F58" i="9"/>
  <c r="F115" i="9"/>
  <c r="F111" i="9"/>
  <c r="F107" i="9"/>
  <c r="C47" i="9"/>
  <c r="C51" i="9"/>
  <c r="C55" i="9"/>
  <c r="C59" i="9"/>
  <c r="F119" i="9"/>
  <c r="E115" i="9"/>
  <c r="E111" i="9"/>
  <c r="E107" i="9"/>
  <c r="D47" i="9"/>
  <c r="D51" i="9"/>
  <c r="D55" i="9"/>
  <c r="D59" i="9"/>
  <c r="E119" i="9"/>
  <c r="F48" i="9"/>
  <c r="F52" i="9"/>
  <c r="F56" i="9"/>
  <c r="F117" i="9"/>
  <c r="F113" i="9"/>
  <c r="F109" i="9"/>
  <c r="F105" i="9"/>
  <c r="C45" i="9"/>
  <c r="C49" i="9"/>
  <c r="C53" i="9"/>
  <c r="C57" i="9"/>
  <c r="E117" i="9"/>
  <c r="E113" i="9"/>
  <c r="E109" i="9"/>
  <c r="E105" i="9"/>
  <c r="D45" i="9"/>
  <c r="D49" i="9"/>
  <c r="D53" i="9"/>
  <c r="D57" i="9"/>
  <c r="G80" i="9"/>
  <c r="G79" i="9"/>
  <c r="G78" i="9"/>
  <c r="G77" i="9"/>
  <c r="G76" i="9"/>
  <c r="G75" i="9"/>
  <c r="G74" i="9"/>
  <c r="G73" i="9"/>
  <c r="G72" i="9"/>
  <c r="G71" i="9"/>
  <c r="G70" i="9"/>
  <c r="G69" i="9"/>
  <c r="G68" i="9"/>
  <c r="G67" i="9"/>
  <c r="G66" i="9"/>
  <c r="F60" i="9" l="1"/>
  <c r="E60" i="9"/>
  <c r="C60" i="9"/>
  <c r="D60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<sst xmlns="http://schemas.openxmlformats.org/spreadsheetml/2006/main" count="66569" uniqueCount="5542">
  <si>
    <t>model</t>
  </si>
  <si>
    <t>experiment_id</t>
  </si>
  <si>
    <t>experiment_name</t>
  </si>
  <si>
    <t>Label-aware greedy</t>
  </si>
  <si>
    <t>Label-aware greedy_std</t>
  </si>
  <si>
    <t>Multilabel stratified (paper-style)</t>
  </si>
  <si>
    <t>Multilabel stratified (paper-style)_std</t>
  </si>
  <si>
    <t>Baseline (simple random split)</t>
  </si>
  <si>
    <t>Baseline (simple random split)_std</t>
  </si>
  <si>
    <t>Label-aware greedy + Aug</t>
  </si>
  <si>
    <t>Label-aware greedy + Aug_std</t>
  </si>
  <si>
    <t>Multilabel stratified (paper-style) + Aug</t>
  </si>
  <si>
    <t>Multilabel stratified (paper-style) + Aug_std</t>
  </si>
  <si>
    <t>Baseline (simple random split) + Aug</t>
  </si>
  <si>
    <t>Baseline (simple random split) + Aug_std</t>
  </si>
  <si>
    <t>best_f1</t>
  </si>
  <si>
    <t>best_condition</t>
  </si>
  <si>
    <t>DictaBERT</t>
  </si>
  <si>
    <t>exp01</t>
  </si>
  <si>
    <t>Regular NER</t>
  </si>
  <si>
    <t>exp04</t>
  </si>
  <si>
    <t>AUC Cascaded Pipeline</t>
  </si>
  <si>
    <t>exp05_ready</t>
  </si>
  <si>
    <t>AUC Cascaded Step-3 Consistency (Ready)</t>
  </si>
  <si>
    <t>exp06_ready</t>
  </si>
  <si>
    <t>Fusion Regular+Cascaded (Ready)</t>
  </si>
  <si>
    <t>exp06_svm_ready</t>
  </si>
  <si>
    <t>SVM Router Fusion (Ready)</t>
  </si>
  <si>
    <t>BEREL 3.0</t>
  </si>
  <si>
    <t>HeRo</t>
  </si>
  <si>
    <t>AlephBERT-Gimmel</t>
  </si>
  <si>
    <t>model_key</t>
  </si>
  <si>
    <t>model_id</t>
  </si>
  <si>
    <t>model_name</t>
  </si>
  <si>
    <t>data_source</t>
  </si>
  <si>
    <t>condition_key</t>
  </si>
  <si>
    <t>condition_group_key</t>
  </si>
  <si>
    <t>condition_group_short</t>
  </si>
  <si>
    <t>condition_label</t>
  </si>
  <si>
    <t>condition_short</t>
  </si>
  <si>
    <t>condition_description</t>
  </si>
  <si>
    <t>seed</t>
  </si>
  <si>
    <t>is_baseline</t>
  </si>
  <si>
    <t>f1</t>
  </si>
  <si>
    <t>precision</t>
  </si>
  <si>
    <t>recall</t>
  </si>
  <si>
    <t>status</t>
  </si>
  <si>
    <t>result_file</t>
  </si>
  <si>
    <t>metrics_file</t>
  </si>
  <si>
    <t>base_artifacts_reused</t>
  </si>
  <si>
    <t>base_mode</t>
  </si>
  <si>
    <t>elapsed_seconds</t>
  </si>
  <si>
    <t>dictabert</t>
  </si>
  <si>
    <t>dicta-il/dictabert</t>
  </si>
  <si>
    <t>exp07</t>
  </si>
  <si>
    <t>exp07_before_exp01_baseline__seed42</t>
  </si>
  <si>
    <t>exp07_before_exp01_baseline</t>
  </si>
  <si>
    <t>[Exp07] Baseline (simple random split) [seed 42]</t>
  </si>
  <si>
    <t>Baseline (simple random split) [s42]</t>
  </si>
  <si>
    <t>Regular NER with DictaBERT</t>
  </si>
  <si>
    <t>ok</t>
  </si>
  <si>
    <t>/content/drive/MyDrive/thesis_project/thesis/outputs/exp01/regular_ner_20260601_205916.json</t>
  </si>
  <si>
    <t>/content/drive/MyDrive/thesis_project/thesis/outputs/exp01/regular_ner_results_20260601_205916.xlsx</t>
  </si>
  <si>
    <t>auto</t>
  </si>
  <si>
    <t>exp07_before_exp01_baseline__seed43</t>
  </si>
  <si>
    <t>[Exp07] Baseline (simple random split) [seed 43]</t>
  </si>
  <si>
    <t>Baseline (simple random split) [s43]</t>
  </si>
  <si>
    <t>/content/drive/MyDrive/thesis_project/thesis/outputs/exp01/regular_ner_20260601_210114.json</t>
  </si>
  <si>
    <t>/content/drive/MyDrive/thesis_project/thesis/outputs/exp01/regular_ner_results_20260601_210104.xlsx</t>
  </si>
  <si>
    <t>exp07_before_exp01_baseline__seed44</t>
  </si>
  <si>
    <t>[Exp07] Baseline (simple random split) [seed 44]</t>
  </si>
  <si>
    <t>Baseline (simple random split) [s44]</t>
  </si>
  <si>
    <t>/content/drive/MyDrive/thesis_project/thesis/outputs/exp01/regular_ner_20260601_210348.json</t>
  </si>
  <si>
    <t>/content/drive/MyDrive/thesis_project/thesis/outputs/exp01/regular_ner_results_20260601_210348.xlsx</t>
  </si>
  <si>
    <t>exp07_before_exp01_baseline__seed45</t>
  </si>
  <si>
    <t>[Exp07] Baseline (simple random split) [seed 45]</t>
  </si>
  <si>
    <t>Baseline (simple random split) [s45]</t>
  </si>
  <si>
    <t>/content/drive/MyDrive/thesis_project/thesis/outputs/exp01/regular_ner_20260601_210627.json</t>
  </si>
  <si>
    <t>/content/drive/MyDrive/thesis_project/thesis/outputs/exp01/regular_ner_results_20260601_210616.xlsx</t>
  </si>
  <si>
    <t>exp07_before_exp01_baseline__seed46</t>
  </si>
  <si>
    <t>[Exp07] Baseline (simple random split) [seed 46]</t>
  </si>
  <si>
    <t>Baseline (simple random split) [s46]</t>
  </si>
  <si>
    <t>/content/drive/MyDrive/thesis_project/thesis/outputs/exp01/regular_ner_20260601_210903.json</t>
  </si>
  <si>
    <t>/content/drive/MyDrive/thesis_project/thesis/outputs/exp01/regular_ner_results_20260601_210851.xlsx</t>
  </si>
  <si>
    <t>exp07_before_exp01_baseline__seed47</t>
  </si>
  <si>
    <t>[Exp07] Baseline (simple random split) [seed 47]</t>
  </si>
  <si>
    <t>Baseline (simple random split) [s47]</t>
  </si>
  <si>
    <t>/content/drive/MyDrive/thesis_project/thesis/outputs/exp01/regular_ner_20260601_211152.json</t>
  </si>
  <si>
    <t>/content/drive/MyDrive/thesis_project/thesis/outputs/exp01/regular_ner_results_20260601_211141.xlsx</t>
  </si>
  <si>
    <t>exp07_before_exp01_baseline__seed48</t>
  </si>
  <si>
    <t>[Exp07] Baseline (simple random split) [seed 48]</t>
  </si>
  <si>
    <t>Baseline (simple random split) [s48]</t>
  </si>
  <si>
    <t>/content/drive/MyDrive/thesis_project/thesis/outputs/exp01/regular_ner_20260601_211437.json</t>
  </si>
  <si>
    <t>/content/drive/MyDrive/thesis_project/thesis/outputs/exp01/regular_ner_results_20260601_211428.xlsx</t>
  </si>
  <si>
    <t>exp07_before_exp01_baseline__seed49</t>
  </si>
  <si>
    <t>[Exp07] Baseline (simple random split) [seed 49]</t>
  </si>
  <si>
    <t>Baseline (simple random split) [s49]</t>
  </si>
  <si>
    <t>/content/drive/MyDrive/thesis_project/thesis/outputs/exp01/regular_ner_20260601_211724.json</t>
  </si>
  <si>
    <t>/content/drive/MyDrive/thesis_project/thesis/outputs/exp01/regular_ner_results_20260601_211723.xlsx</t>
  </si>
  <si>
    <t>exp07_before_exp01_baseline__seed50</t>
  </si>
  <si>
    <t>[Exp07] Baseline (simple random split) [seed 50]</t>
  </si>
  <si>
    <t>Baseline (simple random split) [s50]</t>
  </si>
  <si>
    <t>/content/drive/MyDrive/thesis_project/thesis/outputs/exp01/regular_ner_20260601_212004.json</t>
  </si>
  <si>
    <t>/content/drive/MyDrive/thesis_project/thesis/outputs/exp01/regular_ner_results_20260601_212003.xlsx</t>
  </si>
  <si>
    <t>exp07_before_exp01_baseline__seed51</t>
  </si>
  <si>
    <t>[Exp07] Baseline (simple random split) [seed 51]</t>
  </si>
  <si>
    <t>Baseline (simple random split) [s51]</t>
  </si>
  <si>
    <t>/content/drive/MyDrive/thesis_project/thesis/outputs/exp01/regular_ner_20260601_212256.json</t>
  </si>
  <si>
    <t>/content/drive/MyDrive/thesis_project/thesis/outputs/exp01/regular_ner_results_20260601_212246.xlsx</t>
  </si>
  <si>
    <t>exp07_before_exp01_baseline__seed52</t>
  </si>
  <si>
    <t>[Exp07] Baseline (simple random split) [seed 52]</t>
  </si>
  <si>
    <t>Baseline (simple random split) [s52]</t>
  </si>
  <si>
    <t>/content/drive/MyDrive/thesis_project/thesis/outputs/exp01/regular_ner_20260601_212556.json</t>
  </si>
  <si>
    <t>/content/drive/MyDrive/thesis_project/thesis/outputs/exp01/regular_ner_results_20260601_212546.xlsx</t>
  </si>
  <si>
    <t>exp07_before_exp01_baseline__seed53</t>
  </si>
  <si>
    <t>[Exp07] Baseline (simple random split) [seed 53]</t>
  </si>
  <si>
    <t>Baseline (simple random split) [s53]</t>
  </si>
  <si>
    <t>/content/drive/MyDrive/thesis_project/thesis/outputs/exp01/regular_ner_20260601_212841.json</t>
  </si>
  <si>
    <t>/content/drive/MyDrive/thesis_project/thesis/outputs/exp01/regular_ner_results_20260601_212832.xlsx</t>
  </si>
  <si>
    <t>exp07_before_exp01_baseline__seed54</t>
  </si>
  <si>
    <t>[Exp07] Baseline (simple random split) [seed 54]</t>
  </si>
  <si>
    <t>Baseline (simple random split) [s54]</t>
  </si>
  <si>
    <t>/content/drive/MyDrive/thesis_project/thesis/outputs/exp01/regular_ner_20260601_212957.json</t>
  </si>
  <si>
    <t>/content/drive/MyDrive/thesis_project/thesis/outputs/exp01/regular_ner_results_20260601_212957.xlsx</t>
  </si>
  <si>
    <t>exp07_before_exp01_baseline__seed55</t>
  </si>
  <si>
    <t>[Exp07] Baseline (simple random split) [seed 55]</t>
  </si>
  <si>
    <t>Baseline (simple random split) [s55]</t>
  </si>
  <si>
    <t>/content/drive/MyDrive/thesis_project/thesis/outputs/exp01/regular_ner_20260601_213110.json</t>
  </si>
  <si>
    <t>/content/drive/MyDrive/thesis_project/thesis/outputs/exp01/regular_ner_results_20260601_213110.xlsx</t>
  </si>
  <si>
    <t>exp07_before_exp01_baseline__seed56</t>
  </si>
  <si>
    <t>[Exp07] Baseline (simple random split) [seed 56]</t>
  </si>
  <si>
    <t>Baseline (simple random split) [s56]</t>
  </si>
  <si>
    <t>/content/drive/MyDrive/thesis_project/thesis/outputs/exp01/regular_ner_20260601_213225.json</t>
  </si>
  <si>
    <t>/content/drive/MyDrive/thesis_project/thesis/outputs/exp01/regular_ner_results_20260601_213224.xlsx</t>
  </si>
  <si>
    <t>exp07_before_exp01_baseline__seed57</t>
  </si>
  <si>
    <t>[Exp07] Baseline (simple random split) [seed 57]</t>
  </si>
  <si>
    <t>Baseline (simple random split) [s57]</t>
  </si>
  <si>
    <t>/content/drive/MyDrive/thesis_project/thesis/outputs/exp01/regular_ner_20260601_213337.json</t>
  </si>
  <si>
    <t>/content/drive/MyDrive/thesis_project/thesis/outputs/exp01/regular_ner_results_20260601_213337.xlsx</t>
  </si>
  <si>
    <t>exp07_before_exp01_baseline__seed58</t>
  </si>
  <si>
    <t>[Exp07] Baseline (simple random split) [seed 58]</t>
  </si>
  <si>
    <t>Baseline (simple random split) [s58]</t>
  </si>
  <si>
    <t>/content/drive/MyDrive/thesis_project/thesis/outputs/exp01/regular_ner_20260601_213456.json</t>
  </si>
  <si>
    <t>/content/drive/MyDrive/thesis_project/thesis/outputs/exp01/regular_ner_results_20260601_213455.xlsx</t>
  </si>
  <si>
    <t>exp07_before_exp01_baseline__seed59</t>
  </si>
  <si>
    <t>[Exp07] Baseline (simple random split) [seed 59]</t>
  </si>
  <si>
    <t>Baseline (simple random split) [s59]</t>
  </si>
  <si>
    <t>/content/drive/MyDrive/thesis_project/thesis/outputs/exp01/regular_ner_20260601_213607.json</t>
  </si>
  <si>
    <t>/content/drive/MyDrive/thesis_project/thesis/outputs/exp01/regular_ner_results_20260601_213606.xlsx</t>
  </si>
  <si>
    <t>exp07_before_exp01_baseline__seed60</t>
  </si>
  <si>
    <t>[Exp07] Baseline (simple random split) [seed 60]</t>
  </si>
  <si>
    <t>Baseline (simple random split) [s60]</t>
  </si>
  <si>
    <t>/content/drive/MyDrive/thesis_project/thesis/outputs/exp01/regular_ner_20260601_213711.json</t>
  </si>
  <si>
    <t>/content/drive/MyDrive/thesis_project/thesis/outputs/exp01/regular_ner_results_20260601_213711.xlsx</t>
  </si>
  <si>
    <t>exp07_before_exp01_baseline__seed61</t>
  </si>
  <si>
    <t>[Exp07] Baseline (simple random split) [seed 61]</t>
  </si>
  <si>
    <t>Baseline (simple random split) [s61]</t>
  </si>
  <si>
    <t>/content/drive/MyDrive/thesis_project/thesis/outputs/exp01/regular_ner_20260601_213817.json</t>
  </si>
  <si>
    <t>/content/drive/MyDrive/thesis_project/thesis/outputs/exp01/regular_ner_results_20260601_213817.xlsx</t>
  </si>
  <si>
    <t>exp07_after_label_aware_split__seed42</t>
  </si>
  <si>
    <t>exp07_after_label_aware_split</t>
  </si>
  <si>
    <t>[Exp07] Label-aware greedy [seed 42]</t>
  </si>
  <si>
    <t>Label-aware greedy [s42]</t>
  </si>
  <si>
    <t>Statistical stratified sentence split preserving non-O label distribution (with best-effort train coverage)</t>
  </si>
  <si>
    <t>/content/drive/MyDrive/thesis_project/thesis/outputs/exp01/regular_ner_20260601_213924.json</t>
  </si>
  <si>
    <t>/content/drive/MyDrive/thesis_project/thesis/outputs/exp01/regular_ner_results_20260601_213924.xlsx</t>
  </si>
  <si>
    <t>exp07_after_label_aware_split__seed43</t>
  </si>
  <si>
    <t>[Exp07] Label-aware greedy [seed 43]</t>
  </si>
  <si>
    <t>Label-aware greedy [s43]</t>
  </si>
  <si>
    <t>/content/drive/MyDrive/thesis_project/thesis/outputs/exp01/regular_ner_20260601_214028.json</t>
  </si>
  <si>
    <t>/content/drive/MyDrive/thesis_project/thesis/outputs/exp01/regular_ner_results_20260601_214028.xlsx</t>
  </si>
  <si>
    <t>exp07_after_label_aware_split__seed44</t>
  </si>
  <si>
    <t>[Exp07] Label-aware greedy [seed 44]</t>
  </si>
  <si>
    <t>Label-aware greedy [s44]</t>
  </si>
  <si>
    <t>/content/drive/MyDrive/thesis_project/thesis/outputs/exp01/regular_ner_20260601_214133.json</t>
  </si>
  <si>
    <t>/content/drive/MyDrive/thesis_project/thesis/outputs/exp01/regular_ner_results_20260601_214132.xlsx</t>
  </si>
  <si>
    <t>exp07_after_label_aware_split__seed45</t>
  </si>
  <si>
    <t>[Exp07] Label-aware greedy [seed 45]</t>
  </si>
  <si>
    <t>Label-aware greedy [s45]</t>
  </si>
  <si>
    <t>/content/drive/MyDrive/thesis_project/thesis/outputs/exp01/regular_ner_20260601_214236.json</t>
  </si>
  <si>
    <t>/content/drive/MyDrive/thesis_project/thesis/outputs/exp01/regular_ner_results_20260601_214236.xlsx</t>
  </si>
  <si>
    <t>exp07_after_label_aware_split__seed46</t>
  </si>
  <si>
    <t>[Exp07] Label-aware greedy [seed 46]</t>
  </si>
  <si>
    <t>Label-aware greedy [s46]</t>
  </si>
  <si>
    <t>/content/drive/MyDrive/thesis_project/thesis/outputs/exp01/regular_ner_20260601_214341.json</t>
  </si>
  <si>
    <t>/content/drive/MyDrive/thesis_project/thesis/outputs/exp01/regular_ner_results_20260601_214340.xlsx</t>
  </si>
  <si>
    <t>exp07_after_label_aware_split__seed47</t>
  </si>
  <si>
    <t>[Exp07] Label-aware greedy [seed 47]</t>
  </si>
  <si>
    <t>Label-aware greedy [s47]</t>
  </si>
  <si>
    <t>/content/drive/MyDrive/thesis_project/thesis/outputs/exp01/regular_ner_20260601_214444.json</t>
  </si>
  <si>
    <t>/content/drive/MyDrive/thesis_project/thesis/outputs/exp01/regular_ner_results_20260601_214444.xlsx</t>
  </si>
  <si>
    <t>exp07_after_label_aware_split__seed48</t>
  </si>
  <si>
    <t>[Exp07] Label-aware greedy [seed 48]</t>
  </si>
  <si>
    <t>Label-aware greedy [s48]</t>
  </si>
  <si>
    <t>/content/drive/MyDrive/thesis_project/thesis/outputs/exp01/regular_ner_20260601_214547.json</t>
  </si>
  <si>
    <t>/content/drive/MyDrive/thesis_project/thesis/outputs/exp01/regular_ner_results_20260601_214547.xlsx</t>
  </si>
  <si>
    <t>exp07_after_label_aware_split__seed49</t>
  </si>
  <si>
    <t>[Exp07] Label-aware greedy [seed 49]</t>
  </si>
  <si>
    <t>Label-aware greedy [s49]</t>
  </si>
  <si>
    <t>/content/drive/MyDrive/thesis_project/thesis/outputs/exp01/regular_ner_20260601_214650.json</t>
  </si>
  <si>
    <t>/content/drive/MyDrive/thesis_project/thesis/outputs/exp01/regular_ner_results_20260601_214650.xlsx</t>
  </si>
  <si>
    <t>exp07_after_label_aware_split__seed50</t>
  </si>
  <si>
    <t>[Exp07] Label-aware greedy [seed 50]</t>
  </si>
  <si>
    <t>Label-aware greedy [s50]</t>
  </si>
  <si>
    <t>/content/drive/MyDrive/thesis_project/thesis/outputs/exp01/regular_ner_20260601_214755.json</t>
  </si>
  <si>
    <t>/content/drive/MyDrive/thesis_project/thesis/outputs/exp01/regular_ner_results_20260601_214755.xlsx</t>
  </si>
  <si>
    <t>exp07_after_label_aware_split__seed51</t>
  </si>
  <si>
    <t>[Exp07] Label-aware greedy [seed 51]</t>
  </si>
  <si>
    <t>Label-aware greedy [s51]</t>
  </si>
  <si>
    <t>/content/drive/MyDrive/thesis_project/thesis/outputs/exp01/regular_ner_20260601_214900.json</t>
  </si>
  <si>
    <t>/content/drive/MyDrive/thesis_project/thesis/outputs/exp01/regular_ner_results_20260601_214859.xlsx</t>
  </si>
  <si>
    <t>exp07_after_label_aware_split__seed52</t>
  </si>
  <si>
    <t>[Exp07] Label-aware greedy [seed 52]</t>
  </si>
  <si>
    <t>Label-aware greedy [s52]</t>
  </si>
  <si>
    <t>/content/drive/MyDrive/thesis_project/thesis/outputs/exp01/regular_ner_20260601_215003.json</t>
  </si>
  <si>
    <t>/content/drive/MyDrive/thesis_project/thesis/outputs/exp01/regular_ner_results_20260601_215003.xlsx</t>
  </si>
  <si>
    <t>exp07_after_label_aware_split__seed53</t>
  </si>
  <si>
    <t>[Exp07] Label-aware greedy [seed 53]</t>
  </si>
  <si>
    <t>Label-aware greedy [s53]</t>
  </si>
  <si>
    <t>/content/drive/MyDrive/thesis_project/thesis/outputs/exp01/regular_ner_20260601_215106.json</t>
  </si>
  <si>
    <t>/content/drive/MyDrive/thesis_project/thesis/outputs/exp01/regular_ner_results_20260601_215106.xlsx</t>
  </si>
  <si>
    <t>exp07_after_label_aware_split__seed54</t>
  </si>
  <si>
    <t>[Exp07] Label-aware greedy [seed 54]</t>
  </si>
  <si>
    <t>Label-aware greedy [s54]</t>
  </si>
  <si>
    <t>/content/drive/MyDrive/thesis_project/thesis/outputs/exp01/regular_ner_20260601_215200.json</t>
  </si>
  <si>
    <t>/content/drive/MyDrive/thesis_project/thesis/outputs/exp01/regular_ner_results_20260601_215159.xlsx</t>
  </si>
  <si>
    <t>exp07_after_label_aware_split__seed55</t>
  </si>
  <si>
    <t>[Exp07] Label-aware greedy [seed 55]</t>
  </si>
  <si>
    <t>Label-aware greedy [s55]</t>
  </si>
  <si>
    <t>/content/drive/MyDrive/thesis_project/thesis/outputs/exp01/regular_ner_20260601_215303.json</t>
  </si>
  <si>
    <t>/content/drive/MyDrive/thesis_project/thesis/outputs/exp01/regular_ner_results_20260601_215303.xlsx</t>
  </si>
  <si>
    <t>exp07_after_label_aware_split__seed56</t>
  </si>
  <si>
    <t>[Exp07] Label-aware greedy [seed 56]</t>
  </si>
  <si>
    <t>Label-aware greedy [s56]</t>
  </si>
  <si>
    <t>/content/drive/MyDrive/thesis_project/thesis/outputs/exp01/regular_ner_20260601_215406.json</t>
  </si>
  <si>
    <t>/content/drive/MyDrive/thesis_project/thesis/outputs/exp01/regular_ner_results_20260601_215406.xlsx</t>
  </si>
  <si>
    <t>exp07_after_label_aware_split__seed57</t>
  </si>
  <si>
    <t>[Exp07] Label-aware greedy [seed 57]</t>
  </si>
  <si>
    <t>Label-aware greedy [s57]</t>
  </si>
  <si>
    <t>/content/drive/MyDrive/thesis_project/thesis/outputs/exp01/regular_ner_20260601_215510.json</t>
  </si>
  <si>
    <t>/content/drive/MyDrive/thesis_project/thesis/outputs/exp01/regular_ner_results_20260601_215510.xlsx</t>
  </si>
  <si>
    <t>exp07_after_label_aware_split__seed58</t>
  </si>
  <si>
    <t>[Exp07] Label-aware greedy [seed 58]</t>
  </si>
  <si>
    <t>Label-aware greedy [s58]</t>
  </si>
  <si>
    <t>/content/drive/MyDrive/thesis_project/thesis/outputs/exp01/regular_ner_20260601_215615.json</t>
  </si>
  <si>
    <t>/content/drive/MyDrive/thesis_project/thesis/outputs/exp01/regular_ner_results_20260601_215614.xlsx</t>
  </si>
  <si>
    <t>exp07_after_label_aware_split__seed59</t>
  </si>
  <si>
    <t>[Exp07] Label-aware greedy [seed 59]</t>
  </si>
  <si>
    <t>Label-aware greedy [s59]</t>
  </si>
  <si>
    <t>/content/drive/MyDrive/thesis_project/thesis/outputs/exp01/regular_ner_20260601_215719.json</t>
  </si>
  <si>
    <t>/content/drive/MyDrive/thesis_project/thesis/outputs/exp01/regular_ner_results_20260601_215719.xlsx</t>
  </si>
  <si>
    <t>exp07_after_label_aware_split__seed60</t>
  </si>
  <si>
    <t>[Exp07] Label-aware greedy [seed 60]</t>
  </si>
  <si>
    <t>Label-aware greedy [s60]</t>
  </si>
  <si>
    <t>/content/drive/MyDrive/thesis_project/thesis/outputs/exp01/regular_ner_20260601_215822.json</t>
  </si>
  <si>
    <t>/content/drive/MyDrive/thesis_project/thesis/outputs/exp01/regular_ner_results_20260601_215822.xlsx</t>
  </si>
  <si>
    <t>exp07_after_label_aware_split__seed61</t>
  </si>
  <si>
    <t>[Exp07] Label-aware greedy [seed 61]</t>
  </si>
  <si>
    <t>Label-aware greedy [s61]</t>
  </si>
  <si>
    <t>/content/drive/MyDrive/thesis_project/thesis/outputs/exp01/regular_ner_20260601_215926.json</t>
  </si>
  <si>
    <t>/content/drive/MyDrive/thesis_project/thesis/outputs/exp01/regular_ner_results_20260601_215926.xlsx</t>
  </si>
  <si>
    <t>exp07_after_multilabel_iterative_paper__seed42</t>
  </si>
  <si>
    <t>exp07_after_multilabel_iterative_paper</t>
  </si>
  <si>
    <t>[Exp07] Multilabel stratified (paper-style) [seed 42]</t>
  </si>
  <si>
    <t>Multilabel stratified (paper-style) [s42]</t>
  </si>
  <si>
    <t>Paper-style iterative stratification: rarest-label-first with tie-breaks by per-label need, then fold capacity, then random</t>
  </si>
  <si>
    <t>/content/drive/MyDrive/thesis_project/thesis/outputs/exp01/regular_ner_20260601_220032.json</t>
  </si>
  <si>
    <t>/content/drive/MyDrive/thesis_project/thesis/outputs/exp01/regular_ner_results_20260601_220031.xlsx</t>
  </si>
  <si>
    <t>exp07_after_multilabel_iterative_paper__seed43</t>
  </si>
  <si>
    <t>[Exp07] Multilabel stratified (paper-style) [seed 43]</t>
  </si>
  <si>
    <t>Multilabel stratified (paper-style) [s43]</t>
  </si>
  <si>
    <t>/content/drive/MyDrive/thesis_project/thesis/outputs/exp01/regular_ner_20260601_220137.json</t>
  </si>
  <si>
    <t>/content/drive/MyDrive/thesis_project/thesis/outputs/exp01/regular_ner_results_20260601_220137.xlsx</t>
  </si>
  <si>
    <t>exp07_after_multilabel_iterative_paper__seed44</t>
  </si>
  <si>
    <t>[Exp07] Multilabel stratified (paper-style) [seed 44]</t>
  </si>
  <si>
    <t>Multilabel stratified (paper-style) [s44]</t>
  </si>
  <si>
    <t>/content/drive/MyDrive/thesis_project/thesis/outputs/exp01/regular_ner_20260601_220242.json</t>
  </si>
  <si>
    <t>/content/drive/MyDrive/thesis_project/thesis/outputs/exp01/regular_ner_results_20260601_220242.xlsx</t>
  </si>
  <si>
    <t>exp07_after_multilabel_iterative_paper__seed45</t>
  </si>
  <si>
    <t>[Exp07] Multilabel stratified (paper-style) [seed 45]</t>
  </si>
  <si>
    <t>Multilabel stratified (paper-style) [s45]</t>
  </si>
  <si>
    <t>/content/drive/MyDrive/thesis_project/thesis/outputs/exp01/regular_ner_20260601_220347.json</t>
  </si>
  <si>
    <t>/content/drive/MyDrive/thesis_project/thesis/outputs/exp01/regular_ner_results_20260601_220347.xlsx</t>
  </si>
  <si>
    <t>exp07_after_multilabel_iterative_paper__seed46</t>
  </si>
  <si>
    <t>[Exp07] Multilabel stratified (paper-style) [seed 46]</t>
  </si>
  <si>
    <t>Multilabel stratified (paper-style) [s46]</t>
  </si>
  <si>
    <t>/content/drive/MyDrive/thesis_project/thesis/outputs/exp01/regular_ner_20260601_220453.json</t>
  </si>
  <si>
    <t>/content/drive/MyDrive/thesis_project/thesis/outputs/exp01/regular_ner_results_20260601_220453.xlsx</t>
  </si>
  <si>
    <t>exp07_after_multilabel_iterative_paper__seed47</t>
  </si>
  <si>
    <t>[Exp07] Multilabel stratified (paper-style) [seed 47]</t>
  </si>
  <si>
    <t>Multilabel stratified (paper-style) [s47]</t>
  </si>
  <si>
    <t>/content/drive/MyDrive/thesis_project/thesis/outputs/exp01/regular_ner_20260601_220558.json</t>
  </si>
  <si>
    <t>/content/drive/MyDrive/thesis_project/thesis/outputs/exp01/regular_ner_results_20260601_220558.xlsx</t>
  </si>
  <si>
    <t>exp07_after_multilabel_iterative_paper__seed48</t>
  </si>
  <si>
    <t>[Exp07] Multilabel stratified (paper-style) [seed 48]</t>
  </si>
  <si>
    <t>Multilabel stratified (paper-style) [s48]</t>
  </si>
  <si>
    <t>/content/drive/MyDrive/thesis_project/thesis/outputs/exp01/regular_ner_20260601_220704.json</t>
  </si>
  <si>
    <t>/content/drive/MyDrive/thesis_project/thesis/outputs/exp01/regular_ner_results_20260601_220704.xlsx</t>
  </si>
  <si>
    <t>exp07_after_multilabel_iterative_paper__seed49</t>
  </si>
  <si>
    <t>[Exp07] Multilabel stratified (paper-style) [seed 49]</t>
  </si>
  <si>
    <t>Multilabel stratified (paper-style) [s49]</t>
  </si>
  <si>
    <t>/content/drive/MyDrive/thesis_project/thesis/outputs/exp01/regular_ner_20260601_220809.json</t>
  </si>
  <si>
    <t>/content/drive/MyDrive/thesis_project/thesis/outputs/exp01/regular_ner_results_20260601_220808.xlsx</t>
  </si>
  <si>
    <t>exp07_after_multilabel_iterative_paper__seed50</t>
  </si>
  <si>
    <t>[Exp07] Multilabel stratified (paper-style) [seed 50]</t>
  </si>
  <si>
    <t>Multilabel stratified (paper-style) [s50]</t>
  </si>
  <si>
    <t>/content/drive/MyDrive/thesis_project/thesis/outputs/exp01/regular_ner_20260601_220914.json</t>
  </si>
  <si>
    <t>/content/drive/MyDrive/thesis_project/thesis/outputs/exp01/regular_ner_results_20260601_220914.xlsx</t>
  </si>
  <si>
    <t>exp07_after_multilabel_iterative_paper__seed51</t>
  </si>
  <si>
    <t>[Exp07] Multilabel stratified (paper-style) [seed 51]</t>
  </si>
  <si>
    <t>Multilabel stratified (paper-style) [s51]</t>
  </si>
  <si>
    <t>/content/drive/MyDrive/thesis_project/thesis/outputs/exp01/regular_ner_20260601_221019.json</t>
  </si>
  <si>
    <t>/content/drive/MyDrive/thesis_project/thesis/outputs/exp01/regular_ner_results_20260601_221019.xlsx</t>
  </si>
  <si>
    <t>exp07_after_multilabel_iterative_paper__seed52</t>
  </si>
  <si>
    <t>[Exp07] Multilabel stratified (paper-style) [seed 52]</t>
  </si>
  <si>
    <t>Multilabel stratified (paper-style) [s52]</t>
  </si>
  <si>
    <t>/content/drive/MyDrive/thesis_project/thesis/outputs/exp01/regular_ner_20260601_221125.json</t>
  </si>
  <si>
    <t>/content/drive/MyDrive/thesis_project/thesis/outputs/exp01/regular_ner_results_20260601_221124.xlsx</t>
  </si>
  <si>
    <t>exp07_after_multilabel_iterative_paper__seed53</t>
  </si>
  <si>
    <t>[Exp07] Multilabel stratified (paper-style) [seed 53]</t>
  </si>
  <si>
    <t>Multilabel stratified (paper-style) [s53]</t>
  </si>
  <si>
    <t>/content/drive/MyDrive/thesis_project/thesis/outputs/exp01/regular_ner_20260601_221230.json</t>
  </si>
  <si>
    <t>/content/drive/MyDrive/thesis_project/thesis/outputs/exp01/regular_ner_results_20260601_221230.xlsx</t>
  </si>
  <si>
    <t>exp07_after_multilabel_iterative_paper__seed54</t>
  </si>
  <si>
    <t>[Exp07] Multilabel stratified (paper-style) [seed 54]</t>
  </si>
  <si>
    <t>Multilabel stratified (paper-style) [s54]</t>
  </si>
  <si>
    <t>/content/drive/MyDrive/thesis_project/thesis/outputs/exp01/regular_ner_20260601_221336.json</t>
  </si>
  <si>
    <t>/content/drive/MyDrive/thesis_project/thesis/outputs/exp01/regular_ner_results_20260601_221336.xlsx</t>
  </si>
  <si>
    <t>exp07_after_multilabel_iterative_paper__seed55</t>
  </si>
  <si>
    <t>[Exp07] Multilabel stratified (paper-style) [seed 55]</t>
  </si>
  <si>
    <t>Multilabel stratified (paper-style) [s55]</t>
  </si>
  <si>
    <t>/content/drive/MyDrive/thesis_project/thesis/outputs/exp01/regular_ner_20260601_221442.json</t>
  </si>
  <si>
    <t>/content/drive/MyDrive/thesis_project/thesis/outputs/exp01/regular_ner_results_20260601_221441.xlsx</t>
  </si>
  <si>
    <t>exp07_after_multilabel_iterative_paper__seed56</t>
  </si>
  <si>
    <t>[Exp07] Multilabel stratified (paper-style) [seed 56]</t>
  </si>
  <si>
    <t>Multilabel stratified (paper-style) [s56]</t>
  </si>
  <si>
    <t>/content/drive/MyDrive/thesis_project/thesis/outputs/exp01/regular_ner_20260601_221548.json</t>
  </si>
  <si>
    <t>/content/drive/MyDrive/thesis_project/thesis/outputs/exp01/regular_ner_results_20260601_221547.xlsx</t>
  </si>
  <si>
    <t>exp07_after_multilabel_iterative_paper__seed57</t>
  </si>
  <si>
    <t>[Exp07] Multilabel stratified (paper-style) [seed 57]</t>
  </si>
  <si>
    <t>Multilabel stratified (paper-style) [s57]</t>
  </si>
  <si>
    <t>/content/drive/MyDrive/thesis_project/thesis/outputs/exp01/regular_ner_20260601_221652.json</t>
  </si>
  <si>
    <t>/content/drive/MyDrive/thesis_project/thesis/outputs/exp01/regular_ner_results_20260601_221652.xlsx</t>
  </si>
  <si>
    <t>exp07_after_multilabel_iterative_paper__seed58</t>
  </si>
  <si>
    <t>[Exp07] Multilabel stratified (paper-style) [seed 58]</t>
  </si>
  <si>
    <t>Multilabel stratified (paper-style) [s58]</t>
  </si>
  <si>
    <t>/content/drive/MyDrive/thesis_project/thesis/outputs/exp01/regular_ner_20260601_221757.json</t>
  </si>
  <si>
    <t>/content/drive/MyDrive/thesis_project/thesis/outputs/exp01/regular_ner_results_20260601_221757.xlsx</t>
  </si>
  <si>
    <t>exp07_after_multilabel_iterative_paper__seed59</t>
  </si>
  <si>
    <t>[Exp07] Multilabel stratified (paper-style) [seed 59]</t>
  </si>
  <si>
    <t>Multilabel stratified (paper-style) [s59]</t>
  </si>
  <si>
    <t>/content/drive/MyDrive/thesis_project/thesis/outputs/exp01/regular_ner_20260601_221903.json</t>
  </si>
  <si>
    <t>/content/drive/MyDrive/thesis_project/thesis/outputs/exp01/regular_ner_results_20260601_221903.xlsx</t>
  </si>
  <si>
    <t>exp07_after_multilabel_iterative_paper__seed60</t>
  </si>
  <si>
    <t>[Exp07] Multilabel stratified (paper-style) [seed 60]</t>
  </si>
  <si>
    <t>Multilabel stratified (paper-style) [s60]</t>
  </si>
  <si>
    <t>/content/drive/MyDrive/thesis_project/thesis/outputs/exp01/regular_ner_20260601_222008.json</t>
  </si>
  <si>
    <t>/content/drive/MyDrive/thesis_project/thesis/outputs/exp01/regular_ner_results_20260601_222007.xlsx</t>
  </si>
  <si>
    <t>exp07_after_multilabel_iterative_paper__seed61</t>
  </si>
  <si>
    <t>[Exp07] Multilabel stratified (paper-style) [seed 61]</t>
  </si>
  <si>
    <t>Multilabel stratified (paper-style) [s61]</t>
  </si>
  <si>
    <t>/content/drive/MyDrive/thesis_project/thesis/outputs/exp01/regular_ner_20260601_222113.json</t>
  </si>
  <si>
    <t>/content/drive/MyDrive/thesis_project/thesis/outputs/exp01/regular_ner_results_20260601_222113.xlsx</t>
  </si>
  <si>
    <t>exp07+aug</t>
  </si>
  <si>
    <t>exp07aug_before_exp01_baseline__seed42</t>
  </si>
  <si>
    <t>exp07aug_before_exp01_baseline</t>
  </si>
  <si>
    <t>[Exp07+Aug] Baseline (simple random split) + Augmented [seed 42]</t>
  </si>
  <si>
    <t>Baseline (simple random split) + Aug [s42]</t>
  </si>
  <si>
    <t>Regular NER with DictaBERT + LLM mask-fill augmentation</t>
  </si>
  <si>
    <t>/content/drive/MyDrive/thesis_project/thesis/outputs/exp01/regular_ner_20260601_222439.json</t>
  </si>
  <si>
    <t>/content/drive/MyDrive/thesis_project/thesis/outputs/exp01/regular_ner_results_20260601_222439.xlsx</t>
  </si>
  <si>
    <t>exp07aug_before_exp01_baseline__seed43</t>
  </si>
  <si>
    <t>[Exp07+Aug] Baseline (simple random split) + Augmented [seed 43]</t>
  </si>
  <si>
    <t>Baseline (simple random split) + Aug [s43]</t>
  </si>
  <si>
    <t>/content/drive/MyDrive/thesis_project/thesis/outputs/exp01/regular_ner_20260601_223008.json</t>
  </si>
  <si>
    <t>/content/drive/MyDrive/thesis_project/thesis/outputs/exp01/regular_ner_results_20260601_223008.xlsx</t>
  </si>
  <si>
    <t>exp07aug_before_exp01_baseline__seed44</t>
  </si>
  <si>
    <t>[Exp07+Aug] Baseline (simple random split) + Augmented [seed 44]</t>
  </si>
  <si>
    <t>Baseline (simple random split) + Aug [s44]</t>
  </si>
  <si>
    <t>/content/drive/MyDrive/thesis_project/thesis/outputs/exp01/regular_ner_20260601_223437.json</t>
  </si>
  <si>
    <t>/content/drive/MyDrive/thesis_project/thesis/outputs/exp01/regular_ner_results_20260601_223437.xlsx</t>
  </si>
  <si>
    <t>exp07aug_before_exp01_baseline__seed45</t>
  </si>
  <si>
    <t>[Exp07+Aug] Baseline (simple random split) + Augmented [seed 45]</t>
  </si>
  <si>
    <t>Baseline (simple random split) + Aug [s45]</t>
  </si>
  <si>
    <t>/content/drive/MyDrive/thesis_project/thesis/outputs/exp01/regular_ner_20260601_223855.json</t>
  </si>
  <si>
    <t>/content/drive/MyDrive/thesis_project/thesis/outputs/exp01/regular_ner_results_20260601_223855.xlsx</t>
  </si>
  <si>
    <t>exp07aug_before_exp01_baseline__seed46</t>
  </si>
  <si>
    <t>[Exp07+Aug] Baseline (simple random split) + Augmented [seed 46]</t>
  </si>
  <si>
    <t>Baseline (simple random split) + Aug [s46]</t>
  </si>
  <si>
    <t>/content/drive/MyDrive/thesis_project/thesis/outputs/exp01/regular_ner_20260601_224422.json</t>
  </si>
  <si>
    <t>/content/drive/MyDrive/thesis_project/thesis/outputs/exp01/regular_ner_results_20260601_224421.xlsx</t>
  </si>
  <si>
    <t>exp07aug_before_exp01_baseline__seed47</t>
  </si>
  <si>
    <t>[Exp07+Aug] Baseline (simple random split) + Augmented [seed 47]</t>
  </si>
  <si>
    <t>Baseline (simple random split) + Aug [s47]</t>
  </si>
  <si>
    <t>/content/drive/MyDrive/thesis_project/thesis/outputs/exp01/regular_ner_20260601_224840.json</t>
  </si>
  <si>
    <t>/content/drive/MyDrive/thesis_project/thesis/outputs/exp01/regular_ner_results_20260601_224840.xlsx</t>
  </si>
  <si>
    <t>exp07aug_before_exp01_baseline__seed48</t>
  </si>
  <si>
    <t>[Exp07+Aug] Baseline (simple random split) + Augmented [seed 48]</t>
  </si>
  <si>
    <t>Baseline (simple random split) + Aug [s48]</t>
  </si>
  <si>
    <t>/content/drive/MyDrive/thesis_project/thesis/outputs/exp01/regular_ner_20260601_225408.json</t>
  </si>
  <si>
    <t>/content/drive/MyDrive/thesis_project/thesis/outputs/exp01/regular_ner_results_20260601_225408.xlsx</t>
  </si>
  <si>
    <t>exp07aug_before_exp01_baseline__seed49</t>
  </si>
  <si>
    <t>[Exp07+Aug] Baseline (simple random split) + Augmented [seed 49]</t>
  </si>
  <si>
    <t>Baseline (simple random split) + Aug [s49]</t>
  </si>
  <si>
    <t>/content/drive/MyDrive/thesis_project/thesis/outputs/exp01/regular_ner_20260601_225838.json</t>
  </si>
  <si>
    <t>/content/drive/MyDrive/thesis_project/thesis/outputs/exp01/regular_ner_results_20260601_225838.xlsx</t>
  </si>
  <si>
    <t>exp07aug_before_exp01_baseline__seed50</t>
  </si>
  <si>
    <t>[Exp07+Aug] Baseline (simple random split) + Augmented [seed 50]</t>
  </si>
  <si>
    <t>Baseline (simple random split) + Aug [s50]</t>
  </si>
  <si>
    <t>/content/drive/MyDrive/thesis_project/thesis/outputs/exp01/regular_ner_20260601_230321.json</t>
  </si>
  <si>
    <t>/content/drive/MyDrive/thesis_project/thesis/outputs/exp01/regular_ner_results_20260601_230320.xlsx</t>
  </si>
  <si>
    <t>exp07aug_before_exp01_baseline__seed51</t>
  </si>
  <si>
    <t>[Exp07+Aug] Baseline (simple random split) + Augmented [seed 51]</t>
  </si>
  <si>
    <t>Baseline (simple random split) + Aug [s51]</t>
  </si>
  <si>
    <t>/content/drive/MyDrive/thesis_project/thesis/outputs/exp01/regular_ner_20260601_230737.json</t>
  </si>
  <si>
    <t>/content/drive/MyDrive/thesis_project/thesis/outputs/exp01/regular_ner_results_20260601_230737.xlsx</t>
  </si>
  <si>
    <t>exp07aug_before_exp01_baseline__seed52</t>
  </si>
  <si>
    <t>[Exp07+Aug] Baseline (simple random split) + Augmented [seed 52]</t>
  </si>
  <si>
    <t>Baseline (simple random split) + Aug [s52]</t>
  </si>
  <si>
    <t>/content/drive/MyDrive/thesis_project/thesis/outputs/exp01/regular_ner_20260601_231234.json</t>
  </si>
  <si>
    <t>/content/drive/MyDrive/thesis_project/thesis/outputs/exp01/regular_ner_results_20260601_231234.xlsx</t>
  </si>
  <si>
    <t>exp07aug_before_exp01_baseline__seed53</t>
  </si>
  <si>
    <t>[Exp07+Aug] Baseline (simple random split) + Augmented [seed 53]</t>
  </si>
  <si>
    <t>Baseline (simple random split) + Aug [s53]</t>
  </si>
  <si>
    <t>/content/drive/MyDrive/thesis_project/thesis/outputs/exp01/regular_ner_20260601_231703.json</t>
  </si>
  <si>
    <t>/content/drive/MyDrive/thesis_project/thesis/outputs/exp01/regular_ner_results_20260601_231703.xlsx</t>
  </si>
  <si>
    <t>exp07aug_before_exp01_baseline__seed54</t>
  </si>
  <si>
    <t>[Exp07+Aug] Baseline (simple random split) + Augmented [seed 54]</t>
  </si>
  <si>
    <t>Baseline (simple random split) + Aug [s54]</t>
  </si>
  <si>
    <t>/content/drive/MyDrive/thesis_project/thesis/outputs/exp01/regular_ner_20260601_232205.json</t>
  </si>
  <si>
    <t>/content/drive/MyDrive/thesis_project/thesis/outputs/exp01/regular_ner_results_20260601_232205.xlsx</t>
  </si>
  <si>
    <t>exp07aug_before_exp01_baseline__seed55</t>
  </si>
  <si>
    <t>[Exp07+Aug] Baseline (simple random split) + Augmented [seed 55]</t>
  </si>
  <si>
    <t>Baseline (simple random split) + Aug [s55]</t>
  </si>
  <si>
    <t>/content/drive/MyDrive/thesis_project/thesis/outputs/exp01/regular_ner_20260601_232717.json</t>
  </si>
  <si>
    <t>/content/drive/MyDrive/thesis_project/thesis/outputs/exp01/regular_ner_results_20260601_232716.xlsx</t>
  </si>
  <si>
    <t>exp07aug_before_exp01_baseline__seed56</t>
  </si>
  <si>
    <t>[Exp07+Aug] Baseline (simple random split) + Augmented [seed 56]</t>
  </si>
  <si>
    <t>Baseline (simple random split) + Aug [s56]</t>
  </si>
  <si>
    <t>/content/drive/MyDrive/thesis_project/thesis/outputs/exp01/regular_ner_20260601_233240.json</t>
  </si>
  <si>
    <t>/content/drive/MyDrive/thesis_project/thesis/outputs/exp01/regular_ner_results_20260601_233240.xlsx</t>
  </si>
  <si>
    <t>exp07aug_before_exp01_baseline__seed57</t>
  </si>
  <si>
    <t>[Exp07+Aug] Baseline (simple random split) + Augmented [seed 57]</t>
  </si>
  <si>
    <t>Baseline (simple random split) + Aug [s57]</t>
  </si>
  <si>
    <t>/content/drive/MyDrive/thesis_project/thesis/outputs/exp01/regular_ner_20260601_233716.json</t>
  </si>
  <si>
    <t>/content/drive/MyDrive/thesis_project/thesis/outputs/exp01/regular_ner_results_20260601_233715.xlsx</t>
  </si>
  <si>
    <t>exp07aug_before_exp01_baseline__seed58</t>
  </si>
  <si>
    <t>[Exp07+Aug] Baseline (simple random split) + Augmented [seed 58]</t>
  </si>
  <si>
    <t>Baseline (simple random split) + Aug [s58]</t>
  </si>
  <si>
    <t>/content/drive/MyDrive/thesis_project/thesis/outputs/exp01/regular_ner_20260601_234244.json</t>
  </si>
  <si>
    <t>/content/drive/MyDrive/thesis_project/thesis/outputs/exp01/regular_ner_results_20260601_234243.xlsx</t>
  </si>
  <si>
    <t>exp07aug_before_exp01_baseline__seed59</t>
  </si>
  <si>
    <t>[Exp07+Aug] Baseline (simple random split) + Augmented [seed 59]</t>
  </si>
  <si>
    <t>Baseline (simple random split) + Aug [s59]</t>
  </si>
  <si>
    <t>/content/drive/MyDrive/thesis_project/thesis/outputs/exp01/regular_ner_20260601_234733.json</t>
  </si>
  <si>
    <t>/content/drive/MyDrive/thesis_project/thesis/outputs/exp01/regular_ner_results_20260601_234733.xlsx</t>
  </si>
  <si>
    <t>exp07aug_before_exp01_baseline__seed60</t>
  </si>
  <si>
    <t>[Exp07+Aug] Baseline (simple random split) + Augmented [seed 60]</t>
  </si>
  <si>
    <t>Baseline (simple random split) + Aug [s60]</t>
  </si>
  <si>
    <t>/content/drive/MyDrive/thesis_project/thesis/outputs/exp01/regular_ner_20260601_235247.json</t>
  </si>
  <si>
    <t>/content/drive/MyDrive/thesis_project/thesis/outputs/exp01/regular_ner_results_20260601_235247.xlsx</t>
  </si>
  <si>
    <t>exp07aug_before_exp01_baseline__seed61</t>
  </si>
  <si>
    <t>[Exp07+Aug] Baseline (simple random split) + Augmented [seed 61]</t>
  </si>
  <si>
    <t>Baseline (simple random split) + Aug [s61]</t>
  </si>
  <si>
    <t>/content/drive/MyDrive/thesis_project/thesis/outputs/exp01/regular_ner_20260601_235813.json</t>
  </si>
  <si>
    <t>/content/drive/MyDrive/thesis_project/thesis/outputs/exp01/regular_ner_results_20260601_235812.xlsx</t>
  </si>
  <si>
    <t>exp07aug_after_label_aware_split__seed42</t>
  </si>
  <si>
    <t>exp07aug_after_label_aware_split</t>
  </si>
  <si>
    <t>[Exp07+Aug] Label-aware greedy + Augmented [seed 42]</t>
  </si>
  <si>
    <t>Label-aware greedy + Aug [s42]</t>
  </si>
  <si>
    <t>Statistical stratified sentence split preserving non-O label distribution (with best-effort train coverage) + LLM mask-fill augmentation</t>
  </si>
  <si>
    <t>/content/drive/MyDrive/thesis_project/thesis/outputs/exp01/regular_ner_20260602_000257.json</t>
  </si>
  <si>
    <t>/content/drive/MyDrive/thesis_project/thesis/outputs/exp01/regular_ner_results_20260602_000257.xlsx</t>
  </si>
  <si>
    <t>exp07aug_after_label_aware_split__seed43</t>
  </si>
  <si>
    <t>[Exp07+Aug] Label-aware greedy + Augmented [seed 43]</t>
  </si>
  <si>
    <t>Label-aware greedy + Aug [s43]</t>
  </si>
  <si>
    <t>/content/drive/MyDrive/thesis_project/thesis/outputs/exp01/regular_ner_20260602_000824.json</t>
  </si>
  <si>
    <t>/content/drive/MyDrive/thesis_project/thesis/outputs/exp01/regular_ner_results_20260602_000824.xlsx</t>
  </si>
  <si>
    <t>exp07aug_after_label_aware_split__seed44</t>
  </si>
  <si>
    <t>[Exp07+Aug] Label-aware greedy + Augmented [seed 44]</t>
  </si>
  <si>
    <t>Label-aware greedy + Aug [s44]</t>
  </si>
  <si>
    <t>/content/drive/MyDrive/thesis_project/thesis/outputs/exp01/regular_ner_20260602_001252.json</t>
  </si>
  <si>
    <t>/content/drive/MyDrive/thesis_project/thesis/outputs/exp01/regular_ner_results_20260602_001252.xlsx</t>
  </si>
  <si>
    <t>exp07aug_after_label_aware_split__seed45</t>
  </si>
  <si>
    <t>[Exp07+Aug] Label-aware greedy + Augmented [seed 45]</t>
  </si>
  <si>
    <t>Label-aware greedy + Aug [s45]</t>
  </si>
  <si>
    <t>/content/drive/MyDrive/thesis_project/thesis/outputs/exp01/regular_ner_20260602_001749.json</t>
  </si>
  <si>
    <t>/content/drive/MyDrive/thesis_project/thesis/outputs/exp01/regular_ner_results_20260602_001749.xlsx</t>
  </si>
  <si>
    <t>exp07aug_after_label_aware_split__seed46</t>
  </si>
  <si>
    <t>[Exp07+Aug] Label-aware greedy + Augmented [seed 46]</t>
  </si>
  <si>
    <t>Label-aware greedy + Aug [s46]</t>
  </si>
  <si>
    <t>/content/drive/MyDrive/thesis_project/thesis/outputs/exp01/regular_ner_20260602_002205.json</t>
  </si>
  <si>
    <t>/content/drive/MyDrive/thesis_project/thesis/outputs/exp01/regular_ner_results_20260602_002205.xlsx</t>
  </si>
  <si>
    <t>exp07aug_after_label_aware_split__seed47</t>
  </si>
  <si>
    <t>[Exp07+Aug] Label-aware greedy + Augmented [seed 47]</t>
  </si>
  <si>
    <t>Label-aware greedy + Aug [s47]</t>
  </si>
  <si>
    <t>/content/drive/MyDrive/thesis_project/thesis/outputs/exp01/regular_ner_20260602_002737.json</t>
  </si>
  <si>
    <t>/content/drive/MyDrive/thesis_project/thesis/outputs/exp01/regular_ner_results_20260602_002737.xlsx</t>
  </si>
  <si>
    <t>exp07aug_after_label_aware_split__seed48</t>
  </si>
  <si>
    <t>[Exp07+Aug] Label-aware greedy + Augmented [seed 48]</t>
  </si>
  <si>
    <t>Label-aware greedy + Aug [s48]</t>
  </si>
  <si>
    <t>/content/drive/MyDrive/thesis_project/thesis/outputs/exp01/regular_ner_20260602_003152.json</t>
  </si>
  <si>
    <t>/content/drive/MyDrive/thesis_project/thesis/outputs/exp01/regular_ner_results_20260602_003152.xlsx</t>
  </si>
  <si>
    <t>exp07aug_after_label_aware_split__seed49</t>
  </si>
  <si>
    <t>[Exp07+Aug] Label-aware greedy + Augmented [seed 49]</t>
  </si>
  <si>
    <t>Label-aware greedy + Aug [s49]</t>
  </si>
  <si>
    <t>/content/drive/MyDrive/thesis_project/thesis/outputs/exp01/regular_ner_20260602_003654.json</t>
  </si>
  <si>
    <t>/content/drive/MyDrive/thesis_project/thesis/outputs/exp01/regular_ner_results_20260602_003653.xlsx</t>
  </si>
  <si>
    <t>exp07aug_after_label_aware_split__seed50</t>
  </si>
  <si>
    <t>[Exp07+Aug] Label-aware greedy + Augmented [seed 50]</t>
  </si>
  <si>
    <t>Label-aware greedy + Aug [s50]</t>
  </si>
  <si>
    <t>/content/drive/MyDrive/thesis_project/thesis/outputs/exp01/regular_ner_20260602_004111.json</t>
  </si>
  <si>
    <t>/content/drive/MyDrive/thesis_project/thesis/outputs/exp01/regular_ner_results_20260602_004111.xlsx</t>
  </si>
  <si>
    <t>exp07aug_after_label_aware_split__seed51</t>
  </si>
  <si>
    <t>[Exp07+Aug] Label-aware greedy + Augmented [seed 51]</t>
  </si>
  <si>
    <t>Label-aware greedy + Aug [s51]</t>
  </si>
  <si>
    <t>/content/drive/MyDrive/thesis_project/thesis/outputs/exp01/regular_ner_20260602_004627.json</t>
  </si>
  <si>
    <t>/content/drive/MyDrive/thesis_project/thesis/outputs/exp01/regular_ner_results_20260602_004626.xlsx</t>
  </si>
  <si>
    <t>exp07aug_after_label_aware_split__seed52</t>
  </si>
  <si>
    <t>[Exp07+Aug] Label-aware greedy + Augmented [seed 52]</t>
  </si>
  <si>
    <t>Label-aware greedy + Aug [s52]</t>
  </si>
  <si>
    <t>/content/drive/MyDrive/thesis_project/thesis/outputs/exp01/regular_ner_20260602_005042.json</t>
  </si>
  <si>
    <t>/content/drive/MyDrive/thesis_project/thesis/outputs/exp01/regular_ner_results_20260602_005041.xlsx</t>
  </si>
  <si>
    <t>exp07aug_after_label_aware_split__seed53</t>
  </si>
  <si>
    <t>[Exp07+Aug] Label-aware greedy + Augmented [seed 53]</t>
  </si>
  <si>
    <t>Label-aware greedy + Aug [s53]</t>
  </si>
  <si>
    <t>/content/drive/MyDrive/thesis_project/thesis/outputs/exp01/regular_ner_20260602_005457.json</t>
  </si>
  <si>
    <t>/content/drive/MyDrive/thesis_project/thesis/outputs/exp01/regular_ner_results_20260602_005457.xlsx</t>
  </si>
  <si>
    <t>exp07aug_after_label_aware_split__seed54</t>
  </si>
  <si>
    <t>[Exp07+Aug] Label-aware greedy + Augmented [seed 54]</t>
  </si>
  <si>
    <t>Label-aware greedy + Aug [s54]</t>
  </si>
  <si>
    <t>/content/drive/MyDrive/thesis_project/thesis/outputs/exp01/regular_ner_20260602_005945.json</t>
  </si>
  <si>
    <t>/content/drive/MyDrive/thesis_project/thesis/outputs/exp01/regular_ner_results_20260602_005945.xlsx</t>
  </si>
  <si>
    <t>exp07aug_after_label_aware_split__seed55</t>
  </si>
  <si>
    <t>[Exp07+Aug] Label-aware greedy + Augmented [seed 55]</t>
  </si>
  <si>
    <t>Label-aware greedy + Aug [s55]</t>
  </si>
  <si>
    <t>/content/drive/MyDrive/thesis_project/thesis/outputs/exp01/regular_ner_20260602_105750.json</t>
  </si>
  <si>
    <t>/content/drive/MyDrive/thesis_project/thesis/outputs/exp01/regular_ner_results_20260602_105749.xlsx</t>
  </si>
  <si>
    <t>exp07aug_after_label_aware_split__seed56</t>
  </si>
  <si>
    <t>[Exp07+Aug] Label-aware greedy + Augmented [seed 56]</t>
  </si>
  <si>
    <t>Label-aware greedy + Aug [s56]</t>
  </si>
  <si>
    <t>/content/drive/MyDrive/thesis_project/thesis/outputs/exp01/regular_ner_20260602_132027.json</t>
  </si>
  <si>
    <t>/content/drive/MyDrive/thesis_project/thesis/outputs/exp01/regular_ner_results_20260602_132025.xlsx</t>
  </si>
  <si>
    <t>exp07aug_after_label_aware_split__seed57</t>
  </si>
  <si>
    <t>[Exp07+Aug] Label-aware greedy + Augmented [seed 57]</t>
  </si>
  <si>
    <t>Label-aware greedy + Aug [s57]</t>
  </si>
  <si>
    <t>/content/drive/MyDrive/thesis_project/thesis/outputs/exp01/regular_ner_20260602_132451.json</t>
  </si>
  <si>
    <t>/content/drive/MyDrive/thesis_project/thesis/outputs/exp01/regular_ner_results_20260602_132451.xlsx</t>
  </si>
  <si>
    <t>exp07aug_after_label_aware_split__seed58</t>
  </si>
  <si>
    <t>[Exp07+Aug] Label-aware greedy + Augmented [seed 58]</t>
  </si>
  <si>
    <t>Label-aware greedy + Aug [s58]</t>
  </si>
  <si>
    <t>/content/drive/MyDrive/thesis_project/thesis/outputs/exp01/regular_ner_20260602_132808.json</t>
  </si>
  <si>
    <t>/content/drive/MyDrive/thesis_project/thesis/outputs/exp01/regular_ner_results_20260602_132808.xlsx</t>
  </si>
  <si>
    <t>exp07aug_after_label_aware_split__seed59</t>
  </si>
  <si>
    <t>[Exp07+Aug] Label-aware greedy + Augmented [seed 59]</t>
  </si>
  <si>
    <t>Label-aware greedy + Aug [s59]</t>
  </si>
  <si>
    <t>/content/drive/MyDrive/thesis_project/thesis/outputs/exp01/regular_ner_20260602_133126.json</t>
  </si>
  <si>
    <t>/content/drive/MyDrive/thesis_project/thesis/outputs/exp01/regular_ner_results_20260602_133126.xlsx</t>
  </si>
  <si>
    <t>exp07aug_after_label_aware_split__seed60</t>
  </si>
  <si>
    <t>[Exp07+Aug] Label-aware greedy + Augmented [seed 60]</t>
  </si>
  <si>
    <t>Label-aware greedy + Aug [s60]</t>
  </si>
  <si>
    <t>/content/drive/MyDrive/thesis_project/thesis/outputs/exp01/regular_ner_20260602_133525.json</t>
  </si>
  <si>
    <t>/content/drive/MyDrive/thesis_project/thesis/outputs/exp01/regular_ner_results_20260602_133525.xlsx</t>
  </si>
  <si>
    <t>exp07aug_after_label_aware_split__seed61</t>
  </si>
  <si>
    <t>[Exp07+Aug] Label-aware greedy + Augmented [seed 61]</t>
  </si>
  <si>
    <t>Label-aware greedy + Aug [s61]</t>
  </si>
  <si>
    <t>/content/drive/MyDrive/thesis_project/thesis/outputs/exp01/regular_ner_20260602_133855.json</t>
  </si>
  <si>
    <t>/content/drive/MyDrive/thesis_project/thesis/outputs/exp01/regular_ner_results_20260602_133855.xlsx</t>
  </si>
  <si>
    <t>exp07aug_after_multilabel_iterative_paper__seed42</t>
  </si>
  <si>
    <t>exp07aug_after_multilabel_iterative_paper</t>
  </si>
  <si>
    <t>[Exp07+Aug] Multilabel stratified (paper-style) + Augmented [seed 42]</t>
  </si>
  <si>
    <t>Multilabel stratified (paper-style) + Aug [s42]</t>
  </si>
  <si>
    <t>Paper-style iterative stratification: rarest-label-first with tie-breaks by per-label need, then fold capacity, then random + LLM mask-fill augmentation</t>
  </si>
  <si>
    <t>/content/drive/MyDrive/thesis_project/thesis/outputs/exp01/regular_ner_20260602_134226.json</t>
  </si>
  <si>
    <t>/content/drive/MyDrive/thesis_project/thesis/outputs/exp01/regular_ner_results_20260602_134225.xlsx</t>
  </si>
  <si>
    <t>exp07aug_after_multilabel_iterative_paper__seed43</t>
  </si>
  <si>
    <t>[Exp07+Aug] Multilabel stratified (paper-style) + Augmented [seed 43]</t>
  </si>
  <si>
    <t>Multilabel stratified (paper-style) + Aug [s43]</t>
  </si>
  <si>
    <t>/content/drive/MyDrive/thesis_project/thesis/outputs/exp01/regular_ner_20260602_134620.json</t>
  </si>
  <si>
    <t>/content/drive/MyDrive/thesis_project/thesis/outputs/exp01/regular_ner_results_20260602_134620.xlsx</t>
  </si>
  <si>
    <t>exp07aug_after_multilabel_iterative_paper__seed44</t>
  </si>
  <si>
    <t>[Exp07+Aug] Multilabel stratified (paper-style) + Augmented [seed 44]</t>
  </si>
  <si>
    <t>Multilabel stratified (paper-style) + Aug [s44]</t>
  </si>
  <si>
    <t>/content/drive/MyDrive/thesis_project/thesis/outputs/exp01/regular_ner_20260602_135823.json</t>
  </si>
  <si>
    <t>/content/drive/MyDrive/thesis_project/thesis/outputs/exp01/regular_ner_results_20260602_135821.xlsx</t>
  </si>
  <si>
    <t>exp07aug_after_multilabel_iterative_paper__seed45</t>
  </si>
  <si>
    <t>[Exp07+Aug] Multilabel stratified (paper-style) + Augmented [seed 45]</t>
  </si>
  <si>
    <t>Multilabel stratified (paper-style) + Aug [s45]</t>
  </si>
  <si>
    <t>/content/drive/MyDrive/thesis_project/thesis/outputs/exp01/regular_ner_20260602_140211.json</t>
  </si>
  <si>
    <t>/content/drive/MyDrive/thesis_project/thesis/outputs/exp01/regular_ner_results_20260602_140211.xlsx</t>
  </si>
  <si>
    <t>exp07aug_after_multilabel_iterative_paper__seed46</t>
  </si>
  <si>
    <t>[Exp07+Aug] Multilabel stratified (paper-style) + Augmented [seed 46]</t>
  </si>
  <si>
    <t>Multilabel stratified (paper-style) + Aug [s46]</t>
  </si>
  <si>
    <t>/content/drive/MyDrive/thesis_project/thesis/outputs/exp01/regular_ner_20260602_140619.json</t>
  </si>
  <si>
    <t>/content/drive/MyDrive/thesis_project/thesis/outputs/exp01/regular_ner_results_20260602_140618.xlsx</t>
  </si>
  <si>
    <t>exp07aug_after_multilabel_iterative_paper__seed47</t>
  </si>
  <si>
    <t>[Exp07+Aug] Multilabel stratified (paper-style) + Augmented [seed 47]</t>
  </si>
  <si>
    <t>Multilabel stratified (paper-style) + Aug [s47]</t>
  </si>
  <si>
    <t>/content/drive/MyDrive/thesis_project/thesis/outputs/exp01/regular_ner_20260602_141040.json</t>
  </si>
  <si>
    <t>/content/drive/MyDrive/thesis_project/thesis/outputs/exp01/regular_ner_results_20260602_141040.xlsx</t>
  </si>
  <si>
    <t>exp07aug_after_multilabel_iterative_paper__seed48</t>
  </si>
  <si>
    <t>[Exp07+Aug] Multilabel stratified (paper-style) + Augmented [seed 48]</t>
  </si>
  <si>
    <t>Multilabel stratified (paper-style) + Aug [s48]</t>
  </si>
  <si>
    <t>/content/drive/MyDrive/thesis_project/thesis/outputs/exp01/regular_ner_20260602_141502.json</t>
  </si>
  <si>
    <t>/content/drive/MyDrive/thesis_project/thesis/outputs/exp01/regular_ner_results_20260602_141502.xlsx</t>
  </si>
  <si>
    <t>exp07aug_after_multilabel_iterative_paper__seed49</t>
  </si>
  <si>
    <t>[Exp07+Aug] Multilabel stratified (paper-style) + Augmented [seed 49]</t>
  </si>
  <si>
    <t>Multilabel stratified (paper-style) + Aug [s49]</t>
  </si>
  <si>
    <t>/content/drive/MyDrive/thesis_project/thesis/outputs/exp01/regular_ner_20260602_141858.json</t>
  </si>
  <si>
    <t>/content/drive/MyDrive/thesis_project/thesis/outputs/exp01/regular_ner_results_20260602_141858.xlsx</t>
  </si>
  <si>
    <t>exp07aug_after_multilabel_iterative_paper__seed50</t>
  </si>
  <si>
    <t>[Exp07+Aug] Multilabel stratified (paper-style) + Augmented [seed 50]</t>
  </si>
  <si>
    <t>Multilabel stratified (paper-style) + Aug [s50]</t>
  </si>
  <si>
    <t>/content/drive/MyDrive/thesis_project/thesis/outputs/exp01/regular_ner_20260602_142241.json</t>
  </si>
  <si>
    <t>/content/drive/MyDrive/thesis_project/thesis/outputs/exp01/regular_ner_results_20260602_142240.xlsx</t>
  </si>
  <si>
    <t>exp07aug_after_multilabel_iterative_paper__seed51</t>
  </si>
  <si>
    <t>[Exp07+Aug] Multilabel stratified (paper-style) + Augmented [seed 51]</t>
  </si>
  <si>
    <t>Multilabel stratified (paper-style) + Aug [s51]</t>
  </si>
  <si>
    <t>/content/drive/MyDrive/thesis_project/thesis/outputs/exp01/regular_ner_20260602_142636.json</t>
  </si>
  <si>
    <t>/content/drive/MyDrive/thesis_project/thesis/outputs/exp01/regular_ner_results_20260602_142636.xlsx</t>
  </si>
  <si>
    <t>exp07aug_after_multilabel_iterative_paper__seed52</t>
  </si>
  <si>
    <t>[Exp07+Aug] Multilabel stratified (paper-style) + Augmented [seed 52]</t>
  </si>
  <si>
    <t>Multilabel stratified (paper-style) + Aug [s52]</t>
  </si>
  <si>
    <t>/content/drive/MyDrive/thesis_project/thesis/outputs/exp01/regular_ner_20260602_143005.json</t>
  </si>
  <si>
    <t>/content/drive/MyDrive/thesis_project/thesis/outputs/exp01/regular_ner_results_20260602_143005.xlsx</t>
  </si>
  <si>
    <t>exp07aug_after_multilabel_iterative_paper__seed53</t>
  </si>
  <si>
    <t>[Exp07+Aug] Multilabel stratified (paper-style) + Augmented [seed 53]</t>
  </si>
  <si>
    <t>Multilabel stratified (paper-style) + Aug [s53]</t>
  </si>
  <si>
    <t>/content/drive/MyDrive/thesis_project/thesis/outputs/exp01/regular_ner_20260602_143401.json</t>
  </si>
  <si>
    <t>/content/drive/MyDrive/thesis_project/thesis/outputs/exp01/regular_ner_results_20260602_143400.xlsx</t>
  </si>
  <si>
    <t>exp07aug_after_multilabel_iterative_paper__seed54</t>
  </si>
  <si>
    <t>[Exp07+Aug] Multilabel stratified (paper-style) + Augmented [seed 54]</t>
  </si>
  <si>
    <t>Multilabel stratified (paper-style) + Aug [s54]</t>
  </si>
  <si>
    <t>/content/drive/MyDrive/thesis_project/thesis/outputs/exp01/regular_ner_20260602_143717.json</t>
  </si>
  <si>
    <t>/content/drive/MyDrive/thesis_project/thesis/outputs/exp01/regular_ner_results_20260602_143717.xlsx</t>
  </si>
  <si>
    <t>exp07aug_after_multilabel_iterative_paper__seed55</t>
  </si>
  <si>
    <t>[Exp07+Aug] Multilabel stratified (paper-style) + Augmented [seed 55]</t>
  </si>
  <si>
    <t>Multilabel stratified (paper-style) + Aug [s55]</t>
  </si>
  <si>
    <t>/content/drive/MyDrive/thesis_project/thesis/outputs/exp01/regular_ner_20260602_144059.json</t>
  </si>
  <si>
    <t>/content/drive/MyDrive/thesis_project/thesis/outputs/exp01/regular_ner_results_20260602_144058.xlsx</t>
  </si>
  <si>
    <t>exp07aug_after_multilabel_iterative_paper__seed56</t>
  </si>
  <si>
    <t>[Exp07+Aug] Multilabel stratified (paper-style) + Augmented [seed 56]</t>
  </si>
  <si>
    <t>Multilabel stratified (paper-style) + Aug [s56]</t>
  </si>
  <si>
    <t>/content/drive/MyDrive/thesis_project/thesis/outputs/exp01/regular_ner_20260602_144429.json</t>
  </si>
  <si>
    <t>/content/drive/MyDrive/thesis_project/thesis/outputs/exp01/regular_ner_results_20260602_144428.xlsx</t>
  </si>
  <si>
    <t>exp07aug_after_multilabel_iterative_paper__seed57</t>
  </si>
  <si>
    <t>[Exp07+Aug] Multilabel stratified (paper-style) + Augmented [seed 57]</t>
  </si>
  <si>
    <t>Multilabel stratified (paper-style) + Aug [s57]</t>
  </si>
  <si>
    <t>/content/drive/MyDrive/thesis_project/thesis/outputs/exp01/regular_ner_20260602_144812.json</t>
  </si>
  <si>
    <t>/content/drive/MyDrive/thesis_project/thesis/outputs/exp01/regular_ner_results_20260602_144812.xlsx</t>
  </si>
  <si>
    <t>exp07aug_after_multilabel_iterative_paper__seed58</t>
  </si>
  <si>
    <t>[Exp07+Aug] Multilabel stratified (paper-style) + Augmented [seed 58]</t>
  </si>
  <si>
    <t>Multilabel stratified (paper-style) + Aug [s58]</t>
  </si>
  <si>
    <t>/content/drive/MyDrive/thesis_project/thesis/outputs/exp01/regular_ner_20260602_145128.json</t>
  </si>
  <si>
    <t>/content/drive/MyDrive/thesis_project/thesis/outputs/exp01/regular_ner_results_20260602_145128.xlsx</t>
  </si>
  <si>
    <t>exp07aug_after_multilabel_iterative_paper__seed59</t>
  </si>
  <si>
    <t>[Exp07+Aug] Multilabel stratified (paper-style) + Augmented [seed 59]</t>
  </si>
  <si>
    <t>Multilabel stratified (paper-style) + Aug [s59]</t>
  </si>
  <si>
    <t>/content/drive/MyDrive/thesis_project/thesis/outputs/exp01/regular_ner_20260602_201548.json</t>
  </si>
  <si>
    <t>/content/drive/MyDrive/thesis_project/thesis/outputs/exp01/regular_ner_results_20260602_201546.xlsx</t>
  </si>
  <si>
    <t>exp07aug_after_multilabel_iterative_paper__seed60</t>
  </si>
  <si>
    <t>[Exp07+Aug] Multilabel stratified (paper-style) + Augmented [seed 60]</t>
  </si>
  <si>
    <t>Multilabel stratified (paper-style) + Aug [s60]</t>
  </si>
  <si>
    <t>/content/drive/MyDrive/thesis_project/thesis/outputs/exp01/regular_ner_20260602_201952.json</t>
  </si>
  <si>
    <t>/content/drive/MyDrive/thesis_project/thesis/outputs/exp01/regular_ner_results_20260602_201952.xlsx</t>
  </si>
  <si>
    <t>exp07aug_after_multilabel_iterative_paper__seed61</t>
  </si>
  <si>
    <t>[Exp07+Aug] Multilabel stratified (paper-style) + Augmented [seed 61]</t>
  </si>
  <si>
    <t>Multilabel stratified (paper-style) + Aug [s61]</t>
  </si>
  <si>
    <t>/content/drive/MyDrive/thesis_project/thesis/outputs/exp01/regular_ner_20260602_202416.json</t>
  </si>
  <si>
    <t>/content/drive/MyDrive/thesis_project/thesis/outputs/exp01/regular_ner_results_20260602_202416.xlsx</t>
  </si>
  <si>
    <t>ok_reused_base</t>
  </si>
  <si>
    <t>/content/drive/MyDrive/thesis_project/thesis/outputs/exp04/auc_cascaded_pipeline_20260601_210001.json</t>
  </si>
  <si>
    <t>/content/drive/MyDrive/thesis_project/thesis/outputs/exp04/cascaded_pipeline_results_20260601_210000.xlsx</t>
  </si>
  <si>
    <t>/content/drive/MyDrive/thesis_project/thesis/outputs/exp04/auc_cascaded_pipeline_20260601_210200.json</t>
  </si>
  <si>
    <t>/content/drive/MyDrive/thesis_project/thesis/outputs/exp04/cascaded_pipeline_results_20260601_210159.xlsx</t>
  </si>
  <si>
    <t>/content/drive/MyDrive/thesis_project/thesis/outputs/exp04/auc_cascaded_pipeline_20260601_210439.json</t>
  </si>
  <si>
    <t>/content/drive/MyDrive/thesis_project/thesis/outputs/exp04/cascaded_pipeline_results_20260601_210438.xlsx</t>
  </si>
  <si>
    <t>/content/drive/MyDrive/thesis_project/thesis/outputs/exp04/auc_cascaded_pipeline_20260601_210715.json</t>
  </si>
  <si>
    <t>/content/drive/MyDrive/thesis_project/thesis/outputs/exp04/cascaded_pipeline_results_20260601_210714.xlsx</t>
  </si>
  <si>
    <t>/content/drive/MyDrive/thesis_project/thesis/outputs/exp04/auc_cascaded_pipeline_20260601_211002.json</t>
  </si>
  <si>
    <t>/content/drive/MyDrive/thesis_project/thesis/outputs/exp04/cascaded_pipeline_results_20260601_211001.xlsx</t>
  </si>
  <si>
    <t>/content/drive/MyDrive/thesis_project/thesis/outputs/exp04/auc_cascaded_pipeline_20260601_211301.json</t>
  </si>
  <si>
    <t>/content/drive/MyDrive/thesis_project/thesis/outputs/exp04/cascaded_pipeline_results_20260601_211251.xlsx</t>
  </si>
  <si>
    <t>/content/drive/MyDrive/thesis_project/thesis/outputs/exp04/auc_cascaded_pipeline_20260601_211546.json</t>
  </si>
  <si>
    <t>/content/drive/MyDrive/thesis_project/thesis/outputs/exp04/cascaded_pipeline_results_20260601_211536.xlsx</t>
  </si>
  <si>
    <t>/content/drive/MyDrive/thesis_project/thesis/outputs/exp04/auc_cascaded_pipeline_20260601_211829.json</t>
  </si>
  <si>
    <t>/content/drive/MyDrive/thesis_project/thesis/outputs/exp04/cascaded_pipeline_results_20260601_211828.xlsx</t>
  </si>
  <si>
    <t>/content/drive/MyDrive/thesis_project/thesis/outputs/exp04/auc_cascaded_pipeline_20260601_212107.json</t>
  </si>
  <si>
    <t>/content/drive/MyDrive/thesis_project/thesis/outputs/exp04/cascaded_pipeline_results_20260601_212106.xlsx</t>
  </si>
  <si>
    <t>/content/drive/MyDrive/thesis_project/thesis/outputs/exp04/auc_cascaded_pipeline_20260601_212411.json</t>
  </si>
  <si>
    <t>/content/drive/MyDrive/thesis_project/thesis/outputs/exp04/cascaded_pipeline_results_20260601_212400.xlsx</t>
  </si>
  <si>
    <t>/content/drive/MyDrive/thesis_project/thesis/outputs/exp04/auc_cascaded_pipeline_20260601_212702.json</t>
  </si>
  <si>
    <t>/content/drive/MyDrive/thesis_project/thesis/outputs/exp04/cascaded_pipeline_results_20260601_212701.xlsx</t>
  </si>
  <si>
    <t>/content/drive/MyDrive/thesis_project/thesis/outputs/exp04/auc_cascaded_pipeline_20260601_212927.json</t>
  </si>
  <si>
    <t>/content/drive/MyDrive/thesis_project/thesis/outputs/exp04/cascaded_pipeline_results_20260601_212926.xlsx</t>
  </si>
  <si>
    <t>/content/drive/MyDrive/thesis_project/thesis/outputs/exp04/auc_cascaded_pipeline_20260601_213040.json</t>
  </si>
  <si>
    <t>/content/drive/MyDrive/thesis_project/thesis/outputs/exp04/cascaded_pipeline_results_20260601_213039.xlsx</t>
  </si>
  <si>
    <t>/content/drive/MyDrive/thesis_project/thesis/outputs/exp04/auc_cascaded_pipeline_20260601_213155.json</t>
  </si>
  <si>
    <t>/content/drive/MyDrive/thesis_project/thesis/outputs/exp04/cascaded_pipeline_results_20260601_213153.xlsx</t>
  </si>
  <si>
    <t>/content/drive/MyDrive/thesis_project/thesis/outputs/exp04/auc_cascaded_pipeline_20260601_213308.json</t>
  </si>
  <si>
    <t>/content/drive/MyDrive/thesis_project/thesis/outputs/exp04/cascaded_pipeline_results_20260601_213306.xlsx</t>
  </si>
  <si>
    <t>/content/drive/MyDrive/thesis_project/thesis/outputs/exp04/auc_cascaded_pipeline_20260601_213425.json</t>
  </si>
  <si>
    <t>/content/drive/MyDrive/thesis_project/thesis/outputs/exp04/cascaded_pipeline_results_20260601_213424.xlsx</t>
  </si>
  <si>
    <t>/content/drive/MyDrive/thesis_project/thesis/outputs/exp04/auc_cascaded_pipeline_20260601_213538.json</t>
  </si>
  <si>
    <t>/content/drive/MyDrive/thesis_project/thesis/outputs/exp04/cascaded_pipeline_results_20260601_213537.xlsx</t>
  </si>
  <si>
    <t>/content/drive/MyDrive/thesis_project/thesis/outputs/exp04/auc_cascaded_pipeline_20260601_213646.json</t>
  </si>
  <si>
    <t>/content/drive/MyDrive/thesis_project/thesis/outputs/exp04/cascaded_pipeline_results_20260601_213645.xlsx</t>
  </si>
  <si>
    <t>/content/drive/MyDrive/thesis_project/thesis/outputs/exp04/auc_cascaded_pipeline_20260601_213752.json</t>
  </si>
  <si>
    <t>/content/drive/MyDrive/thesis_project/thesis/outputs/exp04/cascaded_pipeline_results_20260601_213751.xlsx</t>
  </si>
  <si>
    <t>/content/drive/MyDrive/thesis_project/thesis/outputs/exp04/auc_cascaded_pipeline_20260601_213857.json</t>
  </si>
  <si>
    <t>/content/drive/MyDrive/thesis_project/thesis/outputs/exp04/cascaded_pipeline_results_20260601_213856.xlsx</t>
  </si>
  <si>
    <t>/content/drive/MyDrive/thesis_project/thesis/outputs/exp04/auc_cascaded_pipeline_20260601_214003.json</t>
  </si>
  <si>
    <t>/content/drive/MyDrive/thesis_project/thesis/outputs/exp04/cascaded_pipeline_results_20260601_214002.xlsx</t>
  </si>
  <si>
    <t>/content/drive/MyDrive/thesis_project/thesis/outputs/exp04/auc_cascaded_pipeline_20260601_214107.json</t>
  </si>
  <si>
    <t>/content/drive/MyDrive/thesis_project/thesis/outputs/exp04/cascaded_pipeline_results_20260601_214106.xlsx</t>
  </si>
  <si>
    <t>/content/drive/MyDrive/thesis_project/thesis/outputs/exp04/auc_cascaded_pipeline_20260601_214210.json</t>
  </si>
  <si>
    <t>/content/drive/MyDrive/thesis_project/thesis/outputs/exp04/cascaded_pipeline_results_20260601_214209.xlsx</t>
  </si>
  <si>
    <t>/content/drive/MyDrive/thesis_project/thesis/outputs/exp04/auc_cascaded_pipeline_20260601_214315.json</t>
  </si>
  <si>
    <t>/content/drive/MyDrive/thesis_project/thesis/outputs/exp04/cascaded_pipeline_results_20260601_214314.xlsx</t>
  </si>
  <si>
    <t>/content/drive/MyDrive/thesis_project/thesis/outputs/exp04/auc_cascaded_pipeline_20260601_214419.json</t>
  </si>
  <si>
    <t>/content/drive/MyDrive/thesis_project/thesis/outputs/exp04/cascaded_pipeline_results_20260601_214418.xlsx</t>
  </si>
  <si>
    <t>/content/drive/MyDrive/thesis_project/thesis/outputs/exp04/auc_cascaded_pipeline_20260601_214522.json</t>
  </si>
  <si>
    <t>/content/drive/MyDrive/thesis_project/thesis/outputs/exp04/cascaded_pipeline_results_20260601_214521.xlsx</t>
  </si>
  <si>
    <t>/content/drive/MyDrive/thesis_project/thesis/outputs/exp04/auc_cascaded_pipeline_20260601_214624.json</t>
  </si>
  <si>
    <t>/content/drive/MyDrive/thesis_project/thesis/outputs/exp04/cascaded_pipeline_results_20260601_214624.xlsx</t>
  </si>
  <si>
    <t>/content/drive/MyDrive/thesis_project/thesis/outputs/exp04/auc_cascaded_pipeline_20260601_214729.json</t>
  </si>
  <si>
    <t>/content/drive/MyDrive/thesis_project/thesis/outputs/exp04/cascaded_pipeline_results_20260601_214729.xlsx</t>
  </si>
  <si>
    <t>/content/drive/MyDrive/thesis_project/thesis/outputs/exp04/auc_cascaded_pipeline_20260601_214834.json</t>
  </si>
  <si>
    <t>/content/drive/MyDrive/thesis_project/thesis/outputs/exp04/cascaded_pipeline_results_20260601_214833.xlsx</t>
  </si>
  <si>
    <t>/content/drive/MyDrive/thesis_project/thesis/outputs/exp04/auc_cascaded_pipeline_20260601_214937.json</t>
  </si>
  <si>
    <t>/content/drive/MyDrive/thesis_project/thesis/outputs/exp04/cascaded_pipeline_results_20260601_214936.xlsx</t>
  </si>
  <si>
    <t>/content/drive/MyDrive/thesis_project/thesis/outputs/exp04/auc_cascaded_pipeline_20260601_215041.json</t>
  </si>
  <si>
    <t>/content/drive/MyDrive/thesis_project/thesis/outputs/exp04/cascaded_pipeline_results_20260601_215040.xlsx</t>
  </si>
  <si>
    <t>/content/drive/MyDrive/thesis_project/thesis/outputs/exp04/auc_cascaded_pipeline_20260601_215134.json</t>
  </si>
  <si>
    <t>/content/drive/MyDrive/thesis_project/thesis/outputs/exp04/cascaded_pipeline_results_20260601_215133.xlsx</t>
  </si>
  <si>
    <t>/content/drive/MyDrive/thesis_project/thesis/outputs/exp04/auc_cascaded_pipeline_20260601_215237.json</t>
  </si>
  <si>
    <t>/content/drive/MyDrive/thesis_project/thesis/outputs/exp04/cascaded_pipeline_results_20260601_215237.xlsx</t>
  </si>
  <si>
    <t>/content/drive/MyDrive/thesis_project/thesis/outputs/exp04/auc_cascaded_pipeline_20260601_215341.json</t>
  </si>
  <si>
    <t>/content/drive/MyDrive/thesis_project/thesis/outputs/exp04/cascaded_pipeline_results_20260601_215340.xlsx</t>
  </si>
  <si>
    <t>/content/drive/MyDrive/thesis_project/thesis/outputs/exp04/auc_cascaded_pipeline_20260601_215445.json</t>
  </si>
  <si>
    <t>/content/drive/MyDrive/thesis_project/thesis/outputs/exp04/cascaded_pipeline_results_20260601_215444.xlsx</t>
  </si>
  <si>
    <t>/content/drive/MyDrive/thesis_project/thesis/outputs/exp04/auc_cascaded_pipeline_20260601_215549.json</t>
  </si>
  <si>
    <t>/content/drive/MyDrive/thesis_project/thesis/outputs/exp04/cascaded_pipeline_results_20260601_215548.xlsx</t>
  </si>
  <si>
    <t>/content/drive/MyDrive/thesis_project/thesis/outputs/exp04/auc_cascaded_pipeline_20260601_215653.json</t>
  </si>
  <si>
    <t>/content/drive/MyDrive/thesis_project/thesis/outputs/exp04/cascaded_pipeline_results_20260601_215652.xlsx</t>
  </si>
  <si>
    <t>/content/drive/MyDrive/thesis_project/thesis/outputs/exp04/auc_cascaded_pipeline_20260601_215757.json</t>
  </si>
  <si>
    <t>/content/drive/MyDrive/thesis_project/thesis/outputs/exp04/cascaded_pipeline_results_20260601_215756.xlsx</t>
  </si>
  <si>
    <t>/content/drive/MyDrive/thesis_project/thesis/outputs/exp04/auc_cascaded_pipeline_20260601_215901.json</t>
  </si>
  <si>
    <t>/content/drive/MyDrive/thesis_project/thesis/outputs/exp04/cascaded_pipeline_results_20260601_215900.xlsx</t>
  </si>
  <si>
    <t>/content/drive/MyDrive/thesis_project/thesis/outputs/exp04/auc_cascaded_pipeline_20260601_220004.json</t>
  </si>
  <si>
    <t>/content/drive/MyDrive/thesis_project/thesis/outputs/exp04/cascaded_pipeline_results_20260601_220003.xlsx</t>
  </si>
  <si>
    <t>/content/drive/MyDrive/thesis_project/thesis/outputs/exp04/auc_cascaded_pipeline_20260601_220112.json</t>
  </si>
  <si>
    <t>/content/drive/MyDrive/thesis_project/thesis/outputs/exp04/cascaded_pipeline_results_20260601_220111.xlsx</t>
  </si>
  <si>
    <t>/content/drive/MyDrive/thesis_project/thesis/outputs/exp04/auc_cascaded_pipeline_20260601_220216.json</t>
  </si>
  <si>
    <t>/content/drive/MyDrive/thesis_project/thesis/outputs/exp04/cascaded_pipeline_results_20260601_220215.xlsx</t>
  </si>
  <si>
    <t>/content/drive/MyDrive/thesis_project/thesis/outputs/exp04/auc_cascaded_pipeline_20260601_220321.json</t>
  </si>
  <si>
    <t>/content/drive/MyDrive/thesis_project/thesis/outputs/exp04/cascaded_pipeline_results_20260601_220320.xlsx</t>
  </si>
  <si>
    <t>/content/drive/MyDrive/thesis_project/thesis/outputs/exp04/auc_cascaded_pipeline_20260601_220427.json</t>
  </si>
  <si>
    <t>/content/drive/MyDrive/thesis_project/thesis/outputs/exp04/cascaded_pipeline_results_20260601_220426.xlsx</t>
  </si>
  <si>
    <t>/content/drive/MyDrive/thesis_project/thesis/outputs/exp04/auc_cascaded_pipeline_20260601_220532.json</t>
  </si>
  <si>
    <t>/content/drive/MyDrive/thesis_project/thesis/outputs/exp04/cascaded_pipeline_results_20260601_220531.xlsx</t>
  </si>
  <si>
    <t>/content/drive/MyDrive/thesis_project/thesis/outputs/exp04/auc_cascaded_pipeline_20260601_220638.json</t>
  </si>
  <si>
    <t>/content/drive/MyDrive/thesis_project/thesis/outputs/exp04/cascaded_pipeline_results_20260601_220637.xlsx</t>
  </si>
  <si>
    <t>/content/drive/MyDrive/thesis_project/thesis/outputs/exp04/auc_cascaded_pipeline_20260601_220744.json</t>
  </si>
  <si>
    <t>/content/drive/MyDrive/thesis_project/thesis/outputs/exp04/cascaded_pipeline_results_20260601_220742.xlsx</t>
  </si>
  <si>
    <t>/content/drive/MyDrive/thesis_project/thesis/outputs/exp04/auc_cascaded_pipeline_20260601_220848.json</t>
  </si>
  <si>
    <t>/content/drive/MyDrive/thesis_project/thesis/outputs/exp04/cascaded_pipeline_results_20260601_220847.xlsx</t>
  </si>
  <si>
    <t>/content/drive/MyDrive/thesis_project/thesis/outputs/exp04/auc_cascaded_pipeline_20260601_220954.json</t>
  </si>
  <si>
    <t>/content/drive/MyDrive/thesis_project/thesis/outputs/exp04/cascaded_pipeline_results_20260601_220952.xlsx</t>
  </si>
  <si>
    <t>/content/drive/MyDrive/thesis_project/thesis/outputs/exp04/auc_cascaded_pipeline_20260601_221059.json</t>
  </si>
  <si>
    <t>/content/drive/MyDrive/thesis_project/thesis/outputs/exp04/cascaded_pipeline_results_20260601_221058.xlsx</t>
  </si>
  <si>
    <t>/content/drive/MyDrive/thesis_project/thesis/outputs/exp04/auc_cascaded_pipeline_20260601_221204.json</t>
  </si>
  <si>
    <t>/content/drive/MyDrive/thesis_project/thesis/outputs/exp04/cascaded_pipeline_results_20260601_221203.xlsx</t>
  </si>
  <si>
    <t>/content/drive/MyDrive/thesis_project/thesis/outputs/exp04/auc_cascaded_pipeline_20260601_221310.json</t>
  </si>
  <si>
    <t>/content/drive/MyDrive/thesis_project/thesis/outputs/exp04/cascaded_pipeline_results_20260601_221309.xlsx</t>
  </si>
  <si>
    <t>/content/drive/MyDrive/thesis_project/thesis/outputs/exp04/auc_cascaded_pipeline_20260601_221416.json</t>
  </si>
  <si>
    <t>/content/drive/MyDrive/thesis_project/thesis/outputs/exp04/cascaded_pipeline_results_20260601_221415.xlsx</t>
  </si>
  <si>
    <t>/content/drive/MyDrive/thesis_project/thesis/outputs/exp04/auc_cascaded_pipeline_20260601_221522.json</t>
  </si>
  <si>
    <t>/content/drive/MyDrive/thesis_project/thesis/outputs/exp04/cascaded_pipeline_results_20260601_221520.xlsx</t>
  </si>
  <si>
    <t>/content/drive/MyDrive/thesis_project/thesis/outputs/exp04/auc_cascaded_pipeline_20260601_221627.json</t>
  </si>
  <si>
    <t>/content/drive/MyDrive/thesis_project/thesis/outputs/exp04/cascaded_pipeline_results_20260601_221625.xlsx</t>
  </si>
  <si>
    <t>/content/drive/MyDrive/thesis_project/thesis/outputs/exp04/auc_cascaded_pipeline_20260601_221732.json</t>
  </si>
  <si>
    <t>/content/drive/MyDrive/thesis_project/thesis/outputs/exp04/cascaded_pipeline_results_20260601_221730.xlsx</t>
  </si>
  <si>
    <t>/content/drive/MyDrive/thesis_project/thesis/outputs/exp04/auc_cascaded_pipeline_20260601_221837.json</t>
  </si>
  <si>
    <t>/content/drive/MyDrive/thesis_project/thesis/outputs/exp04/cascaded_pipeline_results_20260601_221836.xlsx</t>
  </si>
  <si>
    <t>/content/drive/MyDrive/thesis_project/thesis/outputs/exp04/auc_cascaded_pipeline_20260601_221942.json</t>
  </si>
  <si>
    <t>/content/drive/MyDrive/thesis_project/thesis/outputs/exp04/cascaded_pipeline_results_20260601_221941.xlsx</t>
  </si>
  <si>
    <t>/content/drive/MyDrive/thesis_project/thesis/outputs/exp04/auc_cascaded_pipeline_20260601_222047.json</t>
  </si>
  <si>
    <t>/content/drive/MyDrive/thesis_project/thesis/outputs/exp04/cascaded_pipeline_results_20260601_222046.xlsx</t>
  </si>
  <si>
    <t>/content/drive/MyDrive/thesis_project/thesis/outputs/exp04/auc_cascaded_pipeline_20260601_222153.json</t>
  </si>
  <si>
    <t>/content/drive/MyDrive/thesis_project/thesis/outputs/exp04/cascaded_pipeline_results_20260601_222151.xlsx</t>
  </si>
  <si>
    <t>/content/drive/MyDrive/thesis_project/thesis/outputs/exp04/auc_cascaded_pipeline_20260601_222720.json</t>
  </si>
  <si>
    <t>/content/drive/MyDrive/thesis_project/thesis/outputs/exp04/cascaded_pipeline_results_20260601_222719.xlsx</t>
  </si>
  <si>
    <t>/content/drive/MyDrive/thesis_project/thesis/outputs/exp04/auc_cascaded_pipeline_20260601_223155.json</t>
  </si>
  <si>
    <t>/content/drive/MyDrive/thesis_project/thesis/outputs/exp04/cascaded_pipeline_results_20260601_223154.xlsx</t>
  </si>
  <si>
    <t>/content/drive/MyDrive/thesis_project/thesis/outputs/exp04/auc_cascaded_pipeline_20260601_223609.json</t>
  </si>
  <si>
    <t>/content/drive/MyDrive/thesis_project/thesis/outputs/exp04/cascaded_pipeline_results_20260601_223608.xlsx</t>
  </si>
  <si>
    <t>/content/drive/MyDrive/thesis_project/thesis/outputs/exp04/auc_cascaded_pipeline_20260601_224138.json</t>
  </si>
  <si>
    <t>/content/drive/MyDrive/thesis_project/thesis/outputs/exp04/cascaded_pipeline_results_20260601_224137.xlsx</t>
  </si>
  <si>
    <t>/content/drive/MyDrive/thesis_project/thesis/outputs/exp04/auc_cascaded_pipeline_20260601_224552.json</t>
  </si>
  <si>
    <t>/content/drive/MyDrive/thesis_project/thesis/outputs/exp04/cascaded_pipeline_results_20260601_224551.xlsx</t>
  </si>
  <si>
    <t>/content/drive/MyDrive/thesis_project/thesis/outputs/exp04/auc_cascaded_pipeline_20260601_225122.json</t>
  </si>
  <si>
    <t>/content/drive/MyDrive/thesis_project/thesis/outputs/exp04/cascaded_pipeline_results_20260601_225121.xlsx</t>
  </si>
  <si>
    <t>/content/drive/MyDrive/thesis_project/thesis/outputs/exp04/auc_cascaded_pipeline_20260601_225555.json</t>
  </si>
  <si>
    <t>/content/drive/MyDrive/thesis_project/thesis/outputs/exp04/cascaded_pipeline_results_20260601_225554.xlsx</t>
  </si>
  <si>
    <t>/content/drive/MyDrive/thesis_project/thesis/outputs/exp04/auc_cascaded_pipeline_20260601_230038.json</t>
  </si>
  <si>
    <t>/content/drive/MyDrive/thesis_project/thesis/outputs/exp04/cascaded_pipeline_results_20260601_230037.xlsx</t>
  </si>
  <si>
    <t>/content/drive/MyDrive/thesis_project/thesis/outputs/exp04/auc_cascaded_pipeline_20260601_230452.json</t>
  </si>
  <si>
    <t>/content/drive/MyDrive/thesis_project/thesis/outputs/exp04/cascaded_pipeline_results_20260601_230451.xlsx</t>
  </si>
  <si>
    <t>/content/drive/MyDrive/thesis_project/thesis/outputs/exp04/auc_cascaded_pipeline_20260601_230951.json</t>
  </si>
  <si>
    <t>/content/drive/MyDrive/thesis_project/thesis/outputs/exp04/cascaded_pipeline_results_20260601_230950.xlsx</t>
  </si>
  <si>
    <t>/content/drive/MyDrive/thesis_project/thesis/outputs/exp04/auc_cascaded_pipeline_20260601_231418.json</t>
  </si>
  <si>
    <t>/content/drive/MyDrive/thesis_project/thesis/outputs/exp04/cascaded_pipeline_results_20260601_231417.xlsx</t>
  </si>
  <si>
    <t>/content/drive/MyDrive/thesis_project/thesis/outputs/exp04/auc_cascaded_pipeline_20260601_231917.json</t>
  </si>
  <si>
    <t>/content/drive/MyDrive/thesis_project/thesis/outputs/exp04/cascaded_pipeline_results_20260601_231915.xlsx</t>
  </si>
  <si>
    <t>/content/drive/MyDrive/thesis_project/thesis/outputs/exp04/auc_cascaded_pipeline_20260601_232433.json</t>
  </si>
  <si>
    <t>/content/drive/MyDrive/thesis_project/thesis/outputs/exp04/cascaded_pipeline_results_20260601_232431.xlsx</t>
  </si>
  <si>
    <t>/content/drive/MyDrive/thesis_project/thesis/outputs/exp04/auc_cascaded_pipeline_20260601_232958.json</t>
  </si>
  <si>
    <t>/content/drive/MyDrive/thesis_project/thesis/outputs/exp04/cascaded_pipeline_results_20260601_232957.xlsx</t>
  </si>
  <si>
    <t>/content/drive/MyDrive/thesis_project/thesis/outputs/exp04/auc_cascaded_pipeline_20260601_233430.json</t>
  </si>
  <si>
    <t>/content/drive/MyDrive/thesis_project/thesis/outputs/exp04/cascaded_pipeline_results_20260601_233429.xlsx</t>
  </si>
  <si>
    <t>/content/drive/MyDrive/thesis_project/thesis/outputs/exp04/auc_cascaded_pipeline_20260601_234000.json</t>
  </si>
  <si>
    <t>/content/drive/MyDrive/thesis_project/thesis/outputs/exp04/cascaded_pipeline_results_20260601_233959.xlsx</t>
  </si>
  <si>
    <t>/content/drive/MyDrive/thesis_project/thesis/outputs/exp04/auc_cascaded_pipeline_20260601_234443.json</t>
  </si>
  <si>
    <t>/content/drive/MyDrive/thesis_project/thesis/outputs/exp04/cascaded_pipeline_results_20260601_234441.xlsx</t>
  </si>
  <si>
    <t>/content/drive/MyDrive/thesis_project/thesis/outputs/exp04/auc_cascaded_pipeline_20260601_235001.json</t>
  </si>
  <si>
    <t>/content/drive/MyDrive/thesis_project/thesis/outputs/exp04/cascaded_pipeline_results_20260601_235000.xlsx</t>
  </si>
  <si>
    <t>/content/drive/MyDrive/thesis_project/thesis/outputs/exp04/auc_cascaded_pipeline_20260601_235529.json</t>
  </si>
  <si>
    <t>/content/drive/MyDrive/thesis_project/thesis/outputs/exp04/cascaded_pipeline_results_20260601_235528.xlsx</t>
  </si>
  <si>
    <t>/content/drive/MyDrive/thesis_project/thesis/outputs/exp04/auc_cascaded_pipeline_20260602_000012.json</t>
  </si>
  <si>
    <t>/content/drive/MyDrive/thesis_project/thesis/outputs/exp04/cascaded_pipeline_results_20260602_000011.xlsx</t>
  </si>
  <si>
    <t>/content/drive/MyDrive/thesis_project/thesis/outputs/exp04/auc_cascaded_pipeline_20260602_000542.json</t>
  </si>
  <si>
    <t>/content/drive/MyDrive/thesis_project/thesis/outputs/exp04/cascaded_pipeline_results_20260602_000541.xlsx</t>
  </si>
  <si>
    <t>/content/drive/MyDrive/thesis_project/thesis/outputs/exp04/auc_cascaded_pipeline_20260602_001009.json</t>
  </si>
  <si>
    <t>/content/drive/MyDrive/thesis_project/thesis/outputs/exp04/cascaded_pipeline_results_20260602_001009.xlsx</t>
  </si>
  <si>
    <t>/content/drive/MyDrive/thesis_project/thesis/outputs/exp04/auc_cascaded_pipeline_20260602_001506.json</t>
  </si>
  <si>
    <t>/content/drive/MyDrive/thesis_project/thesis/outputs/exp04/cascaded_pipeline_results_20260602_001505.xlsx</t>
  </si>
  <si>
    <t>/content/drive/MyDrive/thesis_project/thesis/outputs/exp04/auc_cascaded_pipeline_20260602_001920.json</t>
  </si>
  <si>
    <t>/content/drive/MyDrive/thesis_project/thesis/outputs/exp04/cascaded_pipeline_results_20260602_001919.xlsx</t>
  </si>
  <si>
    <t>/content/drive/MyDrive/thesis_project/thesis/outputs/exp04/auc_cascaded_pipeline_20260602_002451.json</t>
  </si>
  <si>
    <t>/content/drive/MyDrive/thesis_project/thesis/outputs/exp04/cascaded_pipeline_results_20260602_002450.xlsx</t>
  </si>
  <si>
    <t>/content/drive/MyDrive/thesis_project/thesis/outputs/exp04/auc_cascaded_pipeline_20260602_002907.json</t>
  </si>
  <si>
    <t>/content/drive/MyDrive/thesis_project/thesis/outputs/exp04/cascaded_pipeline_results_20260602_002906.xlsx</t>
  </si>
  <si>
    <t>/content/drive/MyDrive/thesis_project/thesis/outputs/exp04/auc_cascaded_pipeline_20260602_003407.json</t>
  </si>
  <si>
    <t>/content/drive/MyDrive/thesis_project/thesis/outputs/exp04/cascaded_pipeline_results_20260602_003406.xlsx</t>
  </si>
  <si>
    <t>/content/drive/MyDrive/thesis_project/thesis/outputs/exp04/auc_cascaded_pipeline_20260602_003826.json</t>
  </si>
  <si>
    <t>/content/drive/MyDrive/thesis_project/thesis/outputs/exp04/cascaded_pipeline_results_20260602_003825.xlsx</t>
  </si>
  <si>
    <t>/content/drive/MyDrive/thesis_project/thesis/outputs/exp04/auc_cascaded_pipeline_20260602_004342.json</t>
  </si>
  <si>
    <t>/content/drive/MyDrive/thesis_project/thesis/outputs/exp04/cascaded_pipeline_results_20260602_004341.xlsx</t>
  </si>
  <si>
    <t>/content/drive/MyDrive/thesis_project/thesis/outputs/exp04/auc_cascaded_pipeline_20260602_004757.json</t>
  </si>
  <si>
    <t>/content/drive/MyDrive/thesis_project/thesis/outputs/exp04/cascaded_pipeline_results_20260602_004756.xlsx</t>
  </si>
  <si>
    <t>/content/drive/MyDrive/thesis_project/thesis/outputs/exp04/auc_cascaded_pipeline_20260602_005212.json</t>
  </si>
  <si>
    <t>/content/drive/MyDrive/thesis_project/thesis/outputs/exp04/cascaded_pipeline_results_20260602_005211.xlsx</t>
  </si>
  <si>
    <t>/content/drive/MyDrive/thesis_project/thesis/outputs/exp04/auc_cascaded_pipeline_20260602_005657.json</t>
  </si>
  <si>
    <t>/content/drive/MyDrive/thesis_project/thesis/outputs/exp04/cascaded_pipeline_results_20260602_005656.xlsx</t>
  </si>
  <si>
    <t>/content/drive/MyDrive/thesis_project/thesis/outputs/exp04/auc_cascaded_pipeline_20260602_010133.json</t>
  </si>
  <si>
    <t>/content/drive/MyDrive/thesis_project/thesis/outputs/exp04/cascaded_pipeline_results_20260602_010132.xlsx</t>
  </si>
  <si>
    <t>/content/drive/MyDrive/thesis_project/thesis/outputs/exp04/auc_cascaded_pipeline_20260602_105925.json</t>
  </si>
  <si>
    <t>/content/drive/MyDrive/thesis_project/thesis/outputs/exp04/cascaded_pipeline_results_20260602_105923.xlsx</t>
  </si>
  <si>
    <t>/content/drive/MyDrive/thesis_project/thesis/outputs/exp04/auc_cascaded_pipeline_20260602_132303.json</t>
  </si>
  <si>
    <t>/content/drive/MyDrive/thesis_project/thesis/outputs/exp04/cascaded_pipeline_results_20260602_132301.xlsx</t>
  </si>
  <si>
    <t>/content/drive/MyDrive/thesis_project/thesis/outputs/exp04/auc_cascaded_pipeline_20260602_132620.json</t>
  </si>
  <si>
    <t>/content/drive/MyDrive/thesis_project/thesis/outputs/exp04/cascaded_pipeline_results_20260602_132620.xlsx</t>
  </si>
  <si>
    <t>/content/drive/MyDrive/thesis_project/thesis/outputs/exp04/auc_cascaded_pipeline_20260602_132937.json</t>
  </si>
  <si>
    <t>/content/drive/MyDrive/thesis_project/thesis/outputs/exp04/cascaded_pipeline_results_20260602_132936.xlsx</t>
  </si>
  <si>
    <t>/content/drive/MyDrive/thesis_project/thesis/outputs/exp04/auc_cascaded_pipeline_20260602_133337.json</t>
  </si>
  <si>
    <t>/content/drive/MyDrive/thesis_project/thesis/outputs/exp04/cascaded_pipeline_results_20260602_133336.xlsx</t>
  </si>
  <si>
    <t>/content/drive/MyDrive/thesis_project/thesis/outputs/exp04/auc_cascaded_pipeline_20260602_133709.json</t>
  </si>
  <si>
    <t>/content/drive/MyDrive/thesis_project/thesis/outputs/exp04/cascaded_pipeline_results_20260602_133708.xlsx</t>
  </si>
  <si>
    <t>/content/drive/MyDrive/thesis_project/thesis/outputs/exp04/auc_cascaded_pipeline_20260602_134038.json</t>
  </si>
  <si>
    <t>/content/drive/MyDrive/thesis_project/thesis/outputs/exp04/cascaded_pipeline_results_20260602_134037.xlsx</t>
  </si>
  <si>
    <t>/content/drive/MyDrive/thesis_project/thesis/outputs/exp04/auc_cascaded_pipeline_20260602_134433.json</t>
  </si>
  <si>
    <t>/content/drive/MyDrive/thesis_project/thesis/outputs/exp04/cascaded_pipeline_results_20260602_134432.xlsx</t>
  </si>
  <si>
    <t>/content/drive/MyDrive/thesis_project/thesis/outputs/exp04/auc_cascaded_pipeline_20260602_134856.json</t>
  </si>
  <si>
    <t>/content/drive/MyDrive/thesis_project/thesis/outputs/exp04/cascaded_pipeline_results_20260602_134855.xlsx</t>
  </si>
  <si>
    <t>/content/drive/MyDrive/thesis_project/thesis/outputs/exp04/auc_cascaded_pipeline_20260602_140023.json</t>
  </si>
  <si>
    <t>/content/drive/MyDrive/thesis_project/thesis/outputs/exp04/cascaded_pipeline_results_20260602_140021.xlsx</t>
  </si>
  <si>
    <t>/content/drive/MyDrive/thesis_project/thesis/outputs/exp04/auc_cascaded_pipeline_20260602_140432.json</t>
  </si>
  <si>
    <t>/content/drive/MyDrive/thesis_project/thesis/outputs/exp04/cascaded_pipeline_results_20260602_140431.xlsx</t>
  </si>
  <si>
    <t>/content/drive/MyDrive/thesis_project/thesis/outputs/exp04/auc_cascaded_pipeline_20260602_140853.json</t>
  </si>
  <si>
    <t>/content/drive/MyDrive/thesis_project/thesis/outputs/exp04/cascaded_pipeline_results_20260602_140852.xlsx</t>
  </si>
  <si>
    <t>/content/drive/MyDrive/thesis_project/thesis/outputs/exp04/auc_cascaded_pipeline_20260602_141315.json</t>
  </si>
  <si>
    <t>/content/drive/MyDrive/thesis_project/thesis/outputs/exp04/cascaded_pipeline_results_20260602_141314.xlsx</t>
  </si>
  <si>
    <t>/content/drive/MyDrive/thesis_project/thesis/outputs/exp04/auc_cascaded_pipeline_20260602_141711.json</t>
  </si>
  <si>
    <t>/content/drive/MyDrive/thesis_project/thesis/outputs/exp04/cascaded_pipeline_results_20260602_141710.xlsx</t>
  </si>
  <si>
    <t>/content/drive/MyDrive/thesis_project/thesis/outputs/exp04/auc_cascaded_pipeline_20260602_142052.json</t>
  </si>
  <si>
    <t>/content/drive/MyDrive/thesis_project/thesis/outputs/exp04/cascaded_pipeline_results_20260602_142051.xlsx</t>
  </si>
  <si>
    <t>/content/drive/MyDrive/thesis_project/thesis/outputs/exp04/auc_cascaded_pipeline_20260602_142448.json</t>
  </si>
  <si>
    <t>/content/drive/MyDrive/thesis_project/thesis/outputs/exp04/cascaded_pipeline_results_20260602_142446.xlsx</t>
  </si>
  <si>
    <t>/content/drive/MyDrive/thesis_project/thesis/outputs/exp04/auc_cascaded_pipeline_20260602_142817.json</t>
  </si>
  <si>
    <t>/content/drive/MyDrive/thesis_project/thesis/outputs/exp04/cascaded_pipeline_results_20260602_142816.xlsx</t>
  </si>
  <si>
    <t>/content/drive/MyDrive/thesis_project/thesis/outputs/exp04/auc_cascaded_pipeline_20260602_143212.json</t>
  </si>
  <si>
    <t>/content/drive/MyDrive/thesis_project/thesis/outputs/exp04/cascaded_pipeline_results_20260602_143211.xlsx</t>
  </si>
  <si>
    <t>/content/drive/MyDrive/thesis_project/thesis/outputs/exp04/auc_cascaded_pipeline_20260602_143528.json</t>
  </si>
  <si>
    <t>/content/drive/MyDrive/thesis_project/thesis/outputs/exp04/cascaded_pipeline_results_20260602_143527.xlsx</t>
  </si>
  <si>
    <t>/content/drive/MyDrive/thesis_project/thesis/outputs/exp04/auc_cascaded_pipeline_20260602_143911.json</t>
  </si>
  <si>
    <t>/content/drive/MyDrive/thesis_project/thesis/outputs/exp04/cascaded_pipeline_results_20260602_143910.xlsx</t>
  </si>
  <si>
    <t>/content/drive/MyDrive/thesis_project/thesis/outputs/exp04/auc_cascaded_pipeline_20260602_144239.json</t>
  </si>
  <si>
    <t>/content/drive/MyDrive/thesis_project/thesis/outputs/exp04/cascaded_pipeline_results_20260602_144238.xlsx</t>
  </si>
  <si>
    <t>/content/drive/MyDrive/thesis_project/thesis/outputs/exp04/auc_cascaded_pipeline_20260602_144623.json</t>
  </si>
  <si>
    <t>/content/drive/MyDrive/thesis_project/thesis/outputs/exp04/cascaded_pipeline_results_20260602_144622.xlsx</t>
  </si>
  <si>
    <t>/content/drive/MyDrive/thesis_project/thesis/outputs/exp04/auc_cascaded_pipeline_20260602_144939.json</t>
  </si>
  <si>
    <t>/content/drive/MyDrive/thesis_project/thesis/outputs/exp04/cascaded_pipeline_results_20260602_144938.xlsx</t>
  </si>
  <si>
    <t>/content/drive/MyDrive/thesis_project/thesis/outputs/exp04/auc_cascaded_pipeline_20260602_145254.json</t>
  </si>
  <si>
    <t>/content/drive/MyDrive/thesis_project/thesis/outputs/exp04/cascaded_pipeline_results_20260602_145253.xlsx</t>
  </si>
  <si>
    <t>/content/drive/MyDrive/thesis_project/thesis/outputs/exp04/auc_cascaded_pipeline_20260602_201803.json</t>
  </si>
  <si>
    <t>/content/drive/MyDrive/thesis_project/thesis/outputs/exp04/cascaded_pipeline_results_20260602_201801.xlsx</t>
  </si>
  <si>
    <t>/content/drive/MyDrive/thesis_project/thesis/outputs/exp04/auc_cascaded_pipeline_20260602_202228.json</t>
  </si>
  <si>
    <t>/content/drive/MyDrive/thesis_project/thesis/outputs/exp04/cascaded_pipeline_results_20260602_202227.xlsx</t>
  </si>
  <si>
    <t>/content/drive/MyDrive/thesis_project/thesis/outputs/exp04/auc_cascaded_pipeline_20260602_202652.json</t>
  </si>
  <si>
    <t>/content/drive/MyDrive/thesis_project/thesis/outputs/exp04/cascaded_pipeline_results_20260602_202651.xlsx</t>
  </si>
  <si>
    <t>/content/drive/MyDrive/thesis_project/thesis/outputs/exp05_ready/cascaded_step3_consistent_ready_20260602_202815.json</t>
  </si>
  <si>
    <t>/content/drive/MyDrive/thesis_project/thesis/outputs/exp05_ready/cascaded_step3_consistent_ready_results_20260602_202815.xlsx</t>
  </si>
  <si>
    <t>/content/drive/MyDrive/thesis_project/thesis/outputs/exp05_ready/cascaded_step3_consistent_ready_20260602_202818.json</t>
  </si>
  <si>
    <t>/content/drive/MyDrive/thesis_project/thesis/outputs/exp05_ready/cascaded_step3_consistent_ready_results_20260602_202817.xlsx</t>
  </si>
  <si>
    <t>/content/drive/MyDrive/thesis_project/thesis/outputs/exp05_ready/cascaded_step3_consistent_ready_20260602_202820.json</t>
  </si>
  <si>
    <t>/content/drive/MyDrive/thesis_project/thesis/outputs/exp05_ready/cascaded_step3_consistent_ready_results_20260602_202819.xlsx</t>
  </si>
  <si>
    <t>/content/drive/MyDrive/thesis_project/thesis/outputs/exp05_ready/cascaded_step3_consistent_ready_20260602_202822.json</t>
  </si>
  <si>
    <t>/content/drive/MyDrive/thesis_project/thesis/outputs/exp05_ready/cascaded_step3_consistent_ready_results_20260602_202822.xlsx</t>
  </si>
  <si>
    <t>/content/drive/MyDrive/thesis_project/thesis/outputs/exp05_ready/cascaded_step3_consistent_ready_20260602_202824.json</t>
  </si>
  <si>
    <t>/content/drive/MyDrive/thesis_project/thesis/outputs/exp05_ready/cascaded_step3_consistent_ready_results_20260602_202824.xlsx</t>
  </si>
  <si>
    <t>/content/drive/MyDrive/thesis_project/thesis/outputs/exp05_ready/cascaded_step3_consistent_ready_20260602_202826.json</t>
  </si>
  <si>
    <t>/content/drive/MyDrive/thesis_project/thesis/outputs/exp05_ready/cascaded_step3_consistent_ready_results_20260602_202825.xlsx</t>
  </si>
  <si>
    <t>/content/drive/MyDrive/thesis_project/thesis/outputs/exp05_ready/cascaded_step3_consistent_ready_20260602_202827.json</t>
  </si>
  <si>
    <t>/content/drive/MyDrive/thesis_project/thesis/outputs/exp05_ready/cascaded_step3_consistent_ready_results_20260602_202827.xlsx</t>
  </si>
  <si>
    <t>/content/drive/MyDrive/thesis_project/thesis/outputs/exp05_ready/cascaded_step3_consistent_ready_20260602_202828.json</t>
  </si>
  <si>
    <t>/content/drive/MyDrive/thesis_project/thesis/outputs/exp05_ready/cascaded_step3_consistent_ready_results_20260602_202828.xlsx</t>
  </si>
  <si>
    <t>/content/drive/MyDrive/thesis_project/thesis/outputs/exp05_ready/cascaded_step3_consistent_ready_20260602_202830.json</t>
  </si>
  <si>
    <t>/content/drive/MyDrive/thesis_project/thesis/outputs/exp05_ready/cascaded_step3_consistent_ready_results_20260602_202830.xlsx</t>
  </si>
  <si>
    <t>/content/drive/MyDrive/thesis_project/thesis/outputs/exp05_ready/cascaded_step3_consistent_ready_20260602_202832.json</t>
  </si>
  <si>
    <t>/content/drive/MyDrive/thesis_project/thesis/outputs/exp05_ready/cascaded_step3_consistent_ready_results_20260602_202831.xlsx</t>
  </si>
  <si>
    <t>/content/drive/MyDrive/thesis_project/thesis/outputs/exp05_ready/cascaded_step3_consistent_ready_20260602_202833.json</t>
  </si>
  <si>
    <t>/content/drive/MyDrive/thesis_project/thesis/outputs/exp05_ready/cascaded_step3_consistent_ready_results_20260602_202833.xlsx</t>
  </si>
  <si>
    <t>/content/drive/MyDrive/thesis_project/thesis/outputs/exp05_ready/cascaded_step3_consistent_ready_20260602_202835.json</t>
  </si>
  <si>
    <t>/content/drive/MyDrive/thesis_project/thesis/outputs/exp05_ready/cascaded_step3_consistent_ready_results_20260602_202834.xlsx</t>
  </si>
  <si>
    <t>/content/drive/MyDrive/thesis_project/thesis/outputs/exp05_ready/cascaded_step3_consistent_ready_20260602_202836.json</t>
  </si>
  <si>
    <t>/content/drive/MyDrive/thesis_project/thesis/outputs/exp05_ready/cascaded_step3_consistent_ready_results_20260602_202836.xlsx</t>
  </si>
  <si>
    <t>/content/drive/MyDrive/thesis_project/thesis/outputs/exp05_ready/cascaded_step3_consistent_ready_20260602_202838.json</t>
  </si>
  <si>
    <t>/content/drive/MyDrive/thesis_project/thesis/outputs/exp05_ready/cascaded_step3_consistent_ready_results_20260602_202837.xlsx</t>
  </si>
  <si>
    <t>/content/drive/MyDrive/thesis_project/thesis/outputs/exp05_ready/cascaded_step3_consistent_ready_20260602_202839.json</t>
  </si>
  <si>
    <t>/content/drive/MyDrive/thesis_project/thesis/outputs/exp05_ready/cascaded_step3_consistent_ready_results_20260602_202839.xlsx</t>
  </si>
  <si>
    <t>/content/drive/MyDrive/thesis_project/thesis/outputs/exp05_ready/cascaded_step3_consistent_ready_20260602_202841.json</t>
  </si>
  <si>
    <t>/content/drive/MyDrive/thesis_project/thesis/outputs/exp05_ready/cascaded_step3_consistent_ready_results_20260602_202840.xlsx</t>
  </si>
  <si>
    <t>/content/drive/MyDrive/thesis_project/thesis/outputs/exp05_ready/cascaded_step3_consistent_ready_20260602_202842.json</t>
  </si>
  <si>
    <t>/content/drive/MyDrive/thesis_project/thesis/outputs/exp05_ready/cascaded_step3_consistent_ready_results_20260602_202842.xlsx</t>
  </si>
  <si>
    <t>/content/drive/MyDrive/thesis_project/thesis/outputs/exp05_ready/cascaded_step3_consistent_ready_20260602_202844.json</t>
  </si>
  <si>
    <t>/content/drive/MyDrive/thesis_project/thesis/outputs/exp05_ready/cascaded_step3_consistent_ready_results_20260602_202844.xlsx</t>
  </si>
  <si>
    <t>/content/drive/MyDrive/thesis_project/thesis/outputs/exp05_ready/cascaded_step3_consistent_ready_20260602_202845.json</t>
  </si>
  <si>
    <t>/content/drive/MyDrive/thesis_project/thesis/outputs/exp05_ready/cascaded_step3_consistent_ready_results_20260602_202845.xlsx</t>
  </si>
  <si>
    <t>/content/drive/MyDrive/thesis_project/thesis/outputs/exp05_ready/cascaded_step3_consistent_ready_20260602_202847.json</t>
  </si>
  <si>
    <t>/content/drive/MyDrive/thesis_project/thesis/outputs/exp05_ready/cascaded_step3_consistent_ready_results_20260602_202846.xlsx</t>
  </si>
  <si>
    <t>/content/drive/MyDrive/thesis_project/thesis/outputs/exp05_ready/cascaded_step3_consistent_ready_20260602_202848.json</t>
  </si>
  <si>
    <t>/content/drive/MyDrive/thesis_project/thesis/outputs/exp05_ready/cascaded_step3_consistent_ready_results_20260602_202848.xlsx</t>
  </si>
  <si>
    <t>/content/drive/MyDrive/thesis_project/thesis/outputs/exp05_ready/cascaded_step3_consistent_ready_20260602_202850.json</t>
  </si>
  <si>
    <t>/content/drive/MyDrive/thesis_project/thesis/outputs/exp05_ready/cascaded_step3_consistent_ready_results_20260602_202849.xlsx</t>
  </si>
  <si>
    <t>/content/drive/MyDrive/thesis_project/thesis/outputs/exp05_ready/cascaded_step3_consistent_ready_20260602_202851.json</t>
  </si>
  <si>
    <t>/content/drive/MyDrive/thesis_project/thesis/outputs/exp05_ready/cascaded_step3_consistent_ready_results_20260602_202851.xlsx</t>
  </si>
  <si>
    <t>/content/drive/MyDrive/thesis_project/thesis/outputs/exp05_ready/cascaded_step3_consistent_ready_20260602_202852.json</t>
  </si>
  <si>
    <t>/content/drive/MyDrive/thesis_project/thesis/outputs/exp05_ready/cascaded_step3_consistent_ready_results_20260602_202852.xlsx</t>
  </si>
  <si>
    <t>/content/drive/MyDrive/thesis_project/thesis/outputs/exp05_ready/cascaded_step3_consistent_ready_20260602_202854.json</t>
  </si>
  <si>
    <t>/content/drive/MyDrive/thesis_project/thesis/outputs/exp05_ready/cascaded_step3_consistent_ready_results_20260602_202853.xlsx</t>
  </si>
  <si>
    <t>/content/drive/MyDrive/thesis_project/thesis/outputs/exp05_ready/cascaded_step3_consistent_ready_20260602_202855.json</t>
  </si>
  <si>
    <t>/content/drive/MyDrive/thesis_project/thesis/outputs/exp05_ready/cascaded_step3_consistent_ready_results_20260602_202855.xlsx</t>
  </si>
  <si>
    <t>/content/drive/MyDrive/thesis_project/thesis/outputs/exp05_ready/cascaded_step3_consistent_ready_20260602_202856.json</t>
  </si>
  <si>
    <t>/content/drive/MyDrive/thesis_project/thesis/outputs/exp05_ready/cascaded_step3_consistent_ready_results_20260602_202856.xlsx</t>
  </si>
  <si>
    <t>/content/drive/MyDrive/thesis_project/thesis/outputs/exp05_ready/cascaded_step3_consistent_ready_20260602_202858.json</t>
  </si>
  <si>
    <t>/content/drive/MyDrive/thesis_project/thesis/outputs/exp05_ready/cascaded_step3_consistent_ready_results_20260602_202857.xlsx</t>
  </si>
  <si>
    <t>/content/drive/MyDrive/thesis_project/thesis/outputs/exp05_ready/cascaded_step3_consistent_ready_20260602_202859.json</t>
  </si>
  <si>
    <t>/content/drive/MyDrive/thesis_project/thesis/outputs/exp05_ready/cascaded_step3_consistent_ready_results_20260602_202859.xlsx</t>
  </si>
  <si>
    <t>/content/drive/MyDrive/thesis_project/thesis/outputs/exp05_ready/cascaded_step3_consistent_ready_20260602_202901.json</t>
  </si>
  <si>
    <t>/content/drive/MyDrive/thesis_project/thesis/outputs/exp05_ready/cascaded_step3_consistent_ready_results_20260602_202900.xlsx</t>
  </si>
  <si>
    <t>/content/drive/MyDrive/thesis_project/thesis/outputs/exp05_ready/cascaded_step3_consistent_ready_20260602_202902.json</t>
  </si>
  <si>
    <t>/content/drive/MyDrive/thesis_project/thesis/outputs/exp05_ready/cascaded_step3_consistent_ready_results_20260602_202902.xlsx</t>
  </si>
  <si>
    <t>/content/drive/MyDrive/thesis_project/thesis/outputs/exp05_ready/cascaded_step3_consistent_ready_20260602_202903.json</t>
  </si>
  <si>
    <t>/content/drive/MyDrive/thesis_project/thesis/outputs/exp05_ready/cascaded_step3_consistent_ready_results_20260602_202903.xlsx</t>
  </si>
  <si>
    <t>/content/drive/MyDrive/thesis_project/thesis/outputs/exp05_ready/cascaded_step3_consistent_ready_20260602_202905.json</t>
  </si>
  <si>
    <t>/content/drive/MyDrive/thesis_project/thesis/outputs/exp05_ready/cascaded_step3_consistent_ready_results_20260602_202904.xlsx</t>
  </si>
  <si>
    <t>/content/drive/MyDrive/thesis_project/thesis/outputs/exp05_ready/cascaded_step3_consistent_ready_20260602_202906.json</t>
  </si>
  <si>
    <t>/content/drive/MyDrive/thesis_project/thesis/outputs/exp05_ready/cascaded_step3_consistent_ready_results_20260602_202906.xlsx</t>
  </si>
  <si>
    <t>/content/drive/MyDrive/thesis_project/thesis/outputs/exp05_ready/cascaded_step3_consistent_ready_20260602_202907.json</t>
  </si>
  <si>
    <t>/content/drive/MyDrive/thesis_project/thesis/outputs/exp05_ready/cascaded_step3_consistent_ready_results_20260602_202907.xlsx</t>
  </si>
  <si>
    <t>/content/drive/MyDrive/thesis_project/thesis/outputs/exp05_ready/cascaded_step3_consistent_ready_20260602_202909.json</t>
  </si>
  <si>
    <t>/content/drive/MyDrive/thesis_project/thesis/outputs/exp05_ready/cascaded_step3_consistent_ready_results_20260602_202909.xlsx</t>
  </si>
  <si>
    <t>/content/drive/MyDrive/thesis_project/thesis/outputs/exp05_ready/cascaded_step3_consistent_ready_20260602_202910.json</t>
  </si>
  <si>
    <t>/content/drive/MyDrive/thesis_project/thesis/outputs/exp05_ready/cascaded_step3_consistent_ready_results_20260602_202910.xlsx</t>
  </si>
  <si>
    <t>/content/drive/MyDrive/thesis_project/thesis/outputs/exp05_ready/cascaded_step3_consistent_ready_20260602_202912.json</t>
  </si>
  <si>
    <t>/content/drive/MyDrive/thesis_project/thesis/outputs/exp05_ready/cascaded_step3_consistent_ready_results_20260602_202911.xlsx</t>
  </si>
  <si>
    <t>/content/drive/MyDrive/thesis_project/thesis/outputs/exp05_ready/cascaded_step3_consistent_ready_20260602_202913.json</t>
  </si>
  <si>
    <t>/content/drive/MyDrive/thesis_project/thesis/outputs/exp05_ready/cascaded_step3_consistent_ready_results_20260602_202913.xlsx</t>
  </si>
  <si>
    <t>/content/drive/MyDrive/thesis_project/thesis/outputs/exp05_ready/cascaded_step3_consistent_ready_20260602_202914.json</t>
  </si>
  <si>
    <t>/content/drive/MyDrive/thesis_project/thesis/outputs/exp05_ready/cascaded_step3_consistent_ready_results_20260602_202914.xlsx</t>
  </si>
  <si>
    <t>/content/drive/MyDrive/thesis_project/thesis/outputs/exp05_ready/cascaded_step3_consistent_ready_20260602_202916.json</t>
  </si>
  <si>
    <t>/content/drive/MyDrive/thesis_project/thesis/outputs/exp05_ready/cascaded_step3_consistent_ready_results_20260602_202915.xlsx</t>
  </si>
  <si>
    <t>/content/drive/MyDrive/thesis_project/thesis/outputs/exp05_ready/cascaded_step3_consistent_ready_20260602_202917.json</t>
  </si>
  <si>
    <t>/content/drive/MyDrive/thesis_project/thesis/outputs/exp05_ready/cascaded_step3_consistent_ready_results_20260602_202917.xlsx</t>
  </si>
  <si>
    <t>/content/drive/MyDrive/thesis_project/thesis/outputs/exp05_ready/cascaded_step3_consistent_ready_20260602_202919.json</t>
  </si>
  <si>
    <t>/content/drive/MyDrive/thesis_project/thesis/outputs/exp05_ready/cascaded_step3_consistent_ready_results_20260602_202919.xlsx</t>
  </si>
  <si>
    <t>/content/drive/MyDrive/thesis_project/thesis/outputs/exp05_ready/cascaded_step3_consistent_ready_20260602_202920.json</t>
  </si>
  <si>
    <t>/content/drive/MyDrive/thesis_project/thesis/outputs/exp05_ready/cascaded_step3_consistent_ready_results_20260602_202920.xlsx</t>
  </si>
  <si>
    <t>/content/drive/MyDrive/thesis_project/thesis/outputs/exp05_ready/cascaded_step3_consistent_ready_20260602_202922.json</t>
  </si>
  <si>
    <t>/content/drive/MyDrive/thesis_project/thesis/outputs/exp05_ready/cascaded_step3_consistent_ready_results_20260602_202921.xlsx</t>
  </si>
  <si>
    <t>/content/drive/MyDrive/thesis_project/thesis/outputs/exp05_ready/cascaded_step3_consistent_ready_20260602_202923.json</t>
  </si>
  <si>
    <t>/content/drive/MyDrive/thesis_project/thesis/outputs/exp05_ready/cascaded_step3_consistent_ready_results_20260602_202923.xlsx</t>
  </si>
  <si>
    <t>/content/drive/MyDrive/thesis_project/thesis/outputs/exp05_ready/cascaded_step3_consistent_ready_20260602_202924.json</t>
  </si>
  <si>
    <t>/content/drive/MyDrive/thesis_project/thesis/outputs/exp05_ready/cascaded_step3_consistent_ready_results_20260602_202924.xlsx</t>
  </si>
  <si>
    <t>/content/drive/MyDrive/thesis_project/thesis/outputs/exp05_ready/cascaded_step3_consistent_ready_20260602_202926.json</t>
  </si>
  <si>
    <t>/content/drive/MyDrive/thesis_project/thesis/outputs/exp05_ready/cascaded_step3_consistent_ready_results_20260602_202926.xlsx</t>
  </si>
  <si>
    <t>/content/drive/MyDrive/thesis_project/thesis/outputs/exp05_ready/cascaded_step3_consistent_ready_20260602_202928.json</t>
  </si>
  <si>
    <t>/content/drive/MyDrive/thesis_project/thesis/outputs/exp05_ready/cascaded_step3_consistent_ready_results_20260602_202927.xlsx</t>
  </si>
  <si>
    <t>/content/drive/MyDrive/thesis_project/thesis/outputs/exp05_ready/cascaded_step3_consistent_ready_20260602_202929.json</t>
  </si>
  <si>
    <t>/content/drive/MyDrive/thesis_project/thesis/outputs/exp05_ready/cascaded_step3_consistent_ready_results_20260602_202929.xlsx</t>
  </si>
  <si>
    <t>/content/drive/MyDrive/thesis_project/thesis/outputs/exp05_ready/cascaded_step3_consistent_ready_20260602_202930.json</t>
  </si>
  <si>
    <t>/content/drive/MyDrive/thesis_project/thesis/outputs/exp05_ready/cascaded_step3_consistent_ready_results_20260602_202930.xlsx</t>
  </si>
  <si>
    <t>/content/drive/MyDrive/thesis_project/thesis/outputs/exp05_ready/cascaded_step3_consistent_ready_20260602_202932.json</t>
  </si>
  <si>
    <t>/content/drive/MyDrive/thesis_project/thesis/outputs/exp05_ready/cascaded_step3_consistent_ready_results_20260602_202932.xlsx</t>
  </si>
  <si>
    <t>/content/drive/MyDrive/thesis_project/thesis/outputs/exp05_ready/cascaded_step3_consistent_ready_20260602_202933.json</t>
  </si>
  <si>
    <t>/content/drive/MyDrive/thesis_project/thesis/outputs/exp05_ready/cascaded_step3_consistent_ready_results_20260602_202933.xlsx</t>
  </si>
  <si>
    <t>/content/drive/MyDrive/thesis_project/thesis/outputs/exp05_ready/cascaded_step3_consistent_ready_20260602_202935.json</t>
  </si>
  <si>
    <t>/content/drive/MyDrive/thesis_project/thesis/outputs/exp05_ready/cascaded_step3_consistent_ready_results_20260602_202935.xlsx</t>
  </si>
  <si>
    <t>/content/drive/MyDrive/thesis_project/thesis/outputs/exp05_ready/cascaded_step3_consistent_ready_20260602_202937.json</t>
  </si>
  <si>
    <t>/content/drive/MyDrive/thesis_project/thesis/outputs/exp05_ready/cascaded_step3_consistent_ready_results_20260602_202936.xlsx</t>
  </si>
  <si>
    <t>/content/drive/MyDrive/thesis_project/thesis/outputs/exp05_ready/cascaded_step3_consistent_ready_20260602_202938.json</t>
  </si>
  <si>
    <t>/content/drive/MyDrive/thesis_project/thesis/outputs/exp05_ready/cascaded_step3_consistent_ready_results_20260602_202938.xlsx</t>
  </si>
  <si>
    <t>/content/drive/MyDrive/thesis_project/thesis/outputs/exp05_ready/cascaded_step3_consistent_ready_20260602_202939.json</t>
  </si>
  <si>
    <t>/content/drive/MyDrive/thesis_project/thesis/outputs/exp05_ready/cascaded_step3_consistent_ready_results_20260602_202939.xlsx</t>
  </si>
  <si>
    <t>/content/drive/MyDrive/thesis_project/thesis/outputs/exp05_ready/cascaded_step3_consistent_ready_20260602_202941.json</t>
  </si>
  <si>
    <t>/content/drive/MyDrive/thesis_project/thesis/outputs/exp05_ready/cascaded_step3_consistent_ready_results_20260602_202941.xlsx</t>
  </si>
  <si>
    <t>/content/drive/MyDrive/thesis_project/thesis/outputs/exp05_ready/cascaded_step3_consistent_ready_20260602_202942.json</t>
  </si>
  <si>
    <t>/content/drive/MyDrive/thesis_project/thesis/outputs/exp05_ready/cascaded_step3_consistent_ready_results_20260602_202942.xlsx</t>
  </si>
  <si>
    <t>/content/drive/MyDrive/thesis_project/thesis/outputs/exp05_ready/cascaded_step3_consistent_ready_20260602_202944.json</t>
  </si>
  <si>
    <t>/content/drive/MyDrive/thesis_project/thesis/outputs/exp05_ready/cascaded_step3_consistent_ready_results_20260602_202943.xlsx</t>
  </si>
  <si>
    <t>/content/drive/MyDrive/thesis_project/thesis/outputs/exp05_ready/cascaded_step3_consistent_ready_20260602_202945.json</t>
  </si>
  <si>
    <t>/content/drive/MyDrive/thesis_project/thesis/outputs/exp05_ready/cascaded_step3_consistent_ready_results_20260602_202945.xlsx</t>
  </si>
  <si>
    <t>/content/drive/MyDrive/thesis_project/thesis/outputs/exp05_ready/cascaded_step3_consistent_ready_20260602_202947.json</t>
  </si>
  <si>
    <t>/content/drive/MyDrive/thesis_project/thesis/outputs/exp05_ready/cascaded_step3_consistent_ready_results_20260602_202947.xlsx</t>
  </si>
  <si>
    <t>/content/drive/MyDrive/thesis_project/thesis/outputs/exp05_ready/cascaded_step3_consistent_ready_20260602_202948.json</t>
  </si>
  <si>
    <t>/content/drive/MyDrive/thesis_project/thesis/outputs/exp05_ready/cascaded_step3_consistent_ready_results_20260602_202948.xlsx</t>
  </si>
  <si>
    <t>/content/drive/MyDrive/thesis_project/thesis/outputs/exp05_ready/cascaded_step3_consistent_ready_20260602_202950.json</t>
  </si>
  <si>
    <t>/content/drive/MyDrive/thesis_project/thesis/outputs/exp05_ready/cascaded_step3_consistent_ready_results_20260602_202949.xlsx</t>
  </si>
  <si>
    <t>/content/drive/MyDrive/thesis_project/thesis/outputs/exp05_ready/cascaded_step3_consistent_ready_20260602_202951.json</t>
  </si>
  <si>
    <t>/content/drive/MyDrive/thesis_project/thesis/outputs/exp05_ready/cascaded_step3_consistent_ready_results_20260602_202951.xlsx</t>
  </si>
  <si>
    <t>/content/drive/MyDrive/thesis_project/thesis/outputs/exp05_ready/cascaded_step3_consistent_ready_20260602_202952.json</t>
  </si>
  <si>
    <t>/content/drive/MyDrive/thesis_project/thesis/outputs/exp05_ready/cascaded_step3_consistent_ready_results_20260602_202952.xlsx</t>
  </si>
  <si>
    <t>/content/drive/MyDrive/thesis_project/thesis/outputs/exp05_ready/cascaded_step3_consistent_ready_20260602_202954.json</t>
  </si>
  <si>
    <t>/content/drive/MyDrive/thesis_project/thesis/outputs/exp05_ready/cascaded_step3_consistent_ready_results_20260602_202954.xlsx</t>
  </si>
  <si>
    <t>/content/drive/MyDrive/thesis_project/thesis/outputs/exp05_ready/cascaded_step3_consistent_ready_20260602_202956.json</t>
  </si>
  <si>
    <t>/content/drive/MyDrive/thesis_project/thesis/outputs/exp05_ready/cascaded_step3_consistent_ready_results_20260602_202955.xlsx</t>
  </si>
  <si>
    <t>/content/drive/MyDrive/thesis_project/thesis/outputs/exp05_ready/cascaded_step3_consistent_ready_20260602_202957.json</t>
  </si>
  <si>
    <t>/content/drive/MyDrive/thesis_project/thesis/outputs/exp05_ready/cascaded_step3_consistent_ready_results_20260602_202957.xlsx</t>
  </si>
  <si>
    <t>/content/drive/MyDrive/thesis_project/thesis/outputs/exp05_ready/cascaded_step3_consistent_ready_20260602_202959.json</t>
  </si>
  <si>
    <t>/content/drive/MyDrive/thesis_project/thesis/outputs/exp05_ready/cascaded_step3_consistent_ready_results_20260602_202958.xlsx</t>
  </si>
  <si>
    <t>/content/drive/MyDrive/thesis_project/thesis/outputs/exp05_ready/cascaded_step3_consistent_ready_20260602_203000.json</t>
  </si>
  <si>
    <t>/content/drive/MyDrive/thesis_project/thesis/outputs/exp05_ready/cascaded_step3_consistent_ready_results_20260602_203000.xlsx</t>
  </si>
  <si>
    <t>/content/drive/MyDrive/thesis_project/thesis/outputs/exp05_ready/cascaded_step3_consistent_ready_20260602_203002.json</t>
  </si>
  <si>
    <t>/content/drive/MyDrive/thesis_project/thesis/outputs/exp05_ready/cascaded_step3_consistent_ready_results_20260602_203001.xlsx</t>
  </si>
  <si>
    <t>/content/drive/MyDrive/thesis_project/thesis/outputs/exp05_ready/cascaded_step3_consistent_ready_20260602_203003.json</t>
  </si>
  <si>
    <t>/content/drive/MyDrive/thesis_project/thesis/outputs/exp05_ready/cascaded_step3_consistent_ready_results_20260602_203003.xlsx</t>
  </si>
  <si>
    <t>/content/drive/MyDrive/thesis_project/thesis/outputs/exp05_ready/cascaded_step3_consistent_ready_20260602_203004.json</t>
  </si>
  <si>
    <t>/content/drive/MyDrive/thesis_project/thesis/outputs/exp05_ready/cascaded_step3_consistent_ready_results_20260602_203004.xlsx</t>
  </si>
  <si>
    <t>/content/drive/MyDrive/thesis_project/thesis/outputs/exp05_ready/cascaded_step3_consistent_ready_20260602_203006.json</t>
  </si>
  <si>
    <t>/content/drive/MyDrive/thesis_project/thesis/outputs/exp05_ready/cascaded_step3_consistent_ready_results_20260602_203006.xlsx</t>
  </si>
  <si>
    <t>/content/drive/MyDrive/thesis_project/thesis/outputs/exp05_ready/cascaded_step3_consistent_ready_20260602_203008.json</t>
  </si>
  <si>
    <t>/content/drive/MyDrive/thesis_project/thesis/outputs/exp05_ready/cascaded_step3_consistent_ready_results_20260602_203007.xlsx</t>
  </si>
  <si>
    <t>/content/drive/MyDrive/thesis_project/thesis/outputs/exp05_ready/cascaded_step3_consistent_ready_20260602_203009.json</t>
  </si>
  <si>
    <t>/content/drive/MyDrive/thesis_project/thesis/outputs/exp05_ready/cascaded_step3_consistent_ready_results_20260602_203009.xlsx</t>
  </si>
  <si>
    <t>/content/drive/MyDrive/thesis_project/thesis/outputs/exp05_ready/cascaded_step3_consistent_ready_20260602_203010.json</t>
  </si>
  <si>
    <t>/content/drive/MyDrive/thesis_project/thesis/outputs/exp05_ready/cascaded_step3_consistent_ready_results_20260602_203010.xlsx</t>
  </si>
  <si>
    <t>/content/drive/MyDrive/thesis_project/thesis/outputs/exp05_ready/cascaded_step3_consistent_ready_20260602_203012.json</t>
  </si>
  <si>
    <t>/content/drive/MyDrive/thesis_project/thesis/outputs/exp05_ready/cascaded_step3_consistent_ready_results_20260602_203012.xlsx</t>
  </si>
  <si>
    <t>/content/drive/MyDrive/thesis_project/thesis/outputs/exp05_ready/cascaded_step3_consistent_ready_20260602_203013.json</t>
  </si>
  <si>
    <t>/content/drive/MyDrive/thesis_project/thesis/outputs/exp05_ready/cascaded_step3_consistent_ready_results_20260602_203013.xlsx</t>
  </si>
  <si>
    <t>/content/drive/MyDrive/thesis_project/thesis/outputs/exp05_ready/cascaded_step3_consistent_ready_20260602_203015.json</t>
  </si>
  <si>
    <t>/content/drive/MyDrive/thesis_project/thesis/outputs/exp05_ready/cascaded_step3_consistent_ready_results_20260602_203015.xlsx</t>
  </si>
  <si>
    <t>/content/drive/MyDrive/thesis_project/thesis/outputs/exp05_ready/cascaded_step3_consistent_ready_20260602_203016.json</t>
  </si>
  <si>
    <t>/content/drive/MyDrive/thesis_project/thesis/outputs/exp05_ready/cascaded_step3_consistent_ready_results_20260602_203016.xlsx</t>
  </si>
  <si>
    <t>/content/drive/MyDrive/thesis_project/thesis/outputs/exp05_ready/cascaded_step3_consistent_ready_20260602_203017.json</t>
  </si>
  <si>
    <t>/content/drive/MyDrive/thesis_project/thesis/outputs/exp05_ready/cascaded_step3_consistent_ready_results_20260602_203017.xlsx</t>
  </si>
  <si>
    <t>/content/drive/MyDrive/thesis_project/thesis/outputs/exp05_ready/cascaded_step3_consistent_ready_20260602_203019.json</t>
  </si>
  <si>
    <t>/content/drive/MyDrive/thesis_project/thesis/outputs/exp05_ready/cascaded_step3_consistent_ready_results_20260602_203019.xlsx</t>
  </si>
  <si>
    <t>/content/drive/MyDrive/thesis_project/thesis/outputs/exp05_ready/cascaded_step3_consistent_ready_20260602_203020.json</t>
  </si>
  <si>
    <t>/content/drive/MyDrive/thesis_project/thesis/outputs/exp05_ready/cascaded_step3_consistent_ready_results_20260602_203020.xlsx</t>
  </si>
  <si>
    <t>/content/drive/MyDrive/thesis_project/thesis/outputs/exp05_ready/cascaded_step3_consistent_ready_20260602_203021.json</t>
  </si>
  <si>
    <t>/content/drive/MyDrive/thesis_project/thesis/outputs/exp05_ready/cascaded_step3_consistent_ready_results_20260602_203021.xlsx</t>
  </si>
  <si>
    <t>/content/drive/MyDrive/thesis_project/thesis/outputs/exp05_ready/cascaded_step3_consistent_ready_20260602_203023.json</t>
  </si>
  <si>
    <t>/content/drive/MyDrive/thesis_project/thesis/outputs/exp05_ready/cascaded_step3_consistent_ready_results_20260602_203023.xlsx</t>
  </si>
  <si>
    <t>/content/drive/MyDrive/thesis_project/thesis/outputs/exp05_ready/cascaded_step3_consistent_ready_20260602_203025.json</t>
  </si>
  <si>
    <t>/content/drive/MyDrive/thesis_project/thesis/outputs/exp05_ready/cascaded_step3_consistent_ready_results_20260602_203024.xlsx</t>
  </si>
  <si>
    <t>/content/drive/MyDrive/thesis_project/thesis/outputs/exp05_ready/cascaded_step3_consistent_ready_20260602_203026.json</t>
  </si>
  <si>
    <t>/content/drive/MyDrive/thesis_project/thesis/outputs/exp05_ready/cascaded_step3_consistent_ready_results_20260602_203026.xlsx</t>
  </si>
  <si>
    <t>/content/drive/MyDrive/thesis_project/thesis/outputs/exp05_ready/cascaded_step3_consistent_ready_20260602_203027.json</t>
  </si>
  <si>
    <t>/content/drive/MyDrive/thesis_project/thesis/outputs/exp05_ready/cascaded_step3_consistent_ready_results_20260602_203027.xlsx</t>
  </si>
  <si>
    <t>/content/drive/MyDrive/thesis_project/thesis/outputs/exp05_ready/cascaded_step3_consistent_ready_20260602_203029.json</t>
  </si>
  <si>
    <t>/content/drive/MyDrive/thesis_project/thesis/outputs/exp05_ready/cascaded_step3_consistent_ready_results_20260602_203028.xlsx</t>
  </si>
  <si>
    <t>/content/drive/MyDrive/thesis_project/thesis/outputs/exp05_ready/cascaded_step3_consistent_ready_20260602_203030.json</t>
  </si>
  <si>
    <t>/content/drive/MyDrive/thesis_project/thesis/outputs/exp05_ready/cascaded_step3_consistent_ready_results_20260602_203030.xlsx</t>
  </si>
  <si>
    <t>/content/drive/MyDrive/thesis_project/thesis/outputs/exp05_ready/cascaded_step3_consistent_ready_20260602_203031.json</t>
  </si>
  <si>
    <t>/content/drive/MyDrive/thesis_project/thesis/outputs/exp05_ready/cascaded_step3_consistent_ready_results_20260602_203031.xlsx</t>
  </si>
  <si>
    <t>/content/drive/MyDrive/thesis_project/thesis/outputs/exp05_ready/cascaded_step3_consistent_ready_20260602_203033.json</t>
  </si>
  <si>
    <t>/content/drive/MyDrive/thesis_project/thesis/outputs/exp05_ready/cascaded_step3_consistent_ready_results_20260602_203033.xlsx</t>
  </si>
  <si>
    <t>/content/drive/MyDrive/thesis_project/thesis/outputs/exp05_ready/cascaded_step3_consistent_ready_20260602_203035.json</t>
  </si>
  <si>
    <t>/content/drive/MyDrive/thesis_project/thesis/outputs/exp05_ready/cascaded_step3_consistent_ready_results_20260602_203034.xlsx</t>
  </si>
  <si>
    <t>/content/drive/MyDrive/thesis_project/thesis/outputs/exp05_ready/cascaded_step3_consistent_ready_20260602_203036.json</t>
  </si>
  <si>
    <t>/content/drive/MyDrive/thesis_project/thesis/outputs/exp05_ready/cascaded_step3_consistent_ready_results_20260602_203036.xlsx</t>
  </si>
  <si>
    <t>/content/drive/MyDrive/thesis_project/thesis/outputs/exp05_ready/cascaded_step3_consistent_ready_20260602_203037.json</t>
  </si>
  <si>
    <t>/content/drive/MyDrive/thesis_project/thesis/outputs/exp05_ready/cascaded_step3_consistent_ready_results_20260602_203037.xlsx</t>
  </si>
  <si>
    <t>/content/drive/MyDrive/thesis_project/thesis/outputs/exp05_ready/cascaded_step3_consistent_ready_20260602_203039.json</t>
  </si>
  <si>
    <t>/content/drive/MyDrive/thesis_project/thesis/outputs/exp05_ready/cascaded_step3_consistent_ready_results_20260602_203038.xlsx</t>
  </si>
  <si>
    <t>/content/drive/MyDrive/thesis_project/thesis/outputs/exp05_ready/cascaded_step3_consistent_ready_20260602_203040.json</t>
  </si>
  <si>
    <t>/content/drive/MyDrive/thesis_project/thesis/outputs/exp05_ready/cascaded_step3_consistent_ready_results_20260602_203040.xlsx</t>
  </si>
  <si>
    <t>/content/drive/MyDrive/thesis_project/thesis/outputs/exp05_ready/cascaded_step3_consistent_ready_20260602_203041.json</t>
  </si>
  <si>
    <t>/content/drive/MyDrive/thesis_project/thesis/outputs/exp05_ready/cascaded_step3_consistent_ready_results_20260602_203041.xlsx</t>
  </si>
  <si>
    <t>/content/drive/MyDrive/thesis_project/thesis/outputs/exp05_ready/cascaded_step3_consistent_ready_20260602_203043.json</t>
  </si>
  <si>
    <t>/content/drive/MyDrive/thesis_project/thesis/outputs/exp05_ready/cascaded_step3_consistent_ready_results_20260602_203043.xlsx</t>
  </si>
  <si>
    <t>/content/drive/MyDrive/thesis_project/thesis/outputs/exp05_ready/cascaded_step3_consistent_ready_20260602_203044.json</t>
  </si>
  <si>
    <t>/content/drive/MyDrive/thesis_project/thesis/outputs/exp05_ready/cascaded_step3_consistent_ready_results_20260602_203044.xlsx</t>
  </si>
  <si>
    <t>/content/drive/MyDrive/thesis_project/thesis/outputs/exp05_ready/cascaded_step3_consistent_ready_20260602_203046.json</t>
  </si>
  <si>
    <t>/content/drive/MyDrive/thesis_project/thesis/outputs/exp05_ready/cascaded_step3_consistent_ready_results_20260602_203046.xlsx</t>
  </si>
  <si>
    <t>/content/drive/MyDrive/thesis_project/thesis/outputs/exp05_ready/cascaded_step3_consistent_ready_20260602_203048.json</t>
  </si>
  <si>
    <t>/content/drive/MyDrive/thesis_project/thesis/outputs/exp05_ready/cascaded_step3_consistent_ready_results_20260602_203047.xlsx</t>
  </si>
  <si>
    <t>/content/drive/MyDrive/thesis_project/thesis/outputs/exp05_ready/cascaded_step3_consistent_ready_20260602_203049.json</t>
  </si>
  <si>
    <t>/content/drive/MyDrive/thesis_project/thesis/outputs/exp05_ready/cascaded_step3_consistent_ready_results_20260602_203049.xlsx</t>
  </si>
  <si>
    <t>/content/drive/MyDrive/thesis_project/thesis/outputs/exp05_ready/cascaded_step3_consistent_ready_20260602_203050.json</t>
  </si>
  <si>
    <t>/content/drive/MyDrive/thesis_project/thesis/outputs/exp05_ready/cascaded_step3_consistent_ready_results_20260602_203050.xlsx</t>
  </si>
  <si>
    <t>/content/drive/MyDrive/thesis_project/thesis/outputs/exp05_ready/cascaded_step3_consistent_ready_20260602_203052.json</t>
  </si>
  <si>
    <t>/content/drive/MyDrive/thesis_project/thesis/outputs/exp05_ready/cascaded_step3_consistent_ready_results_20260602_203052.xlsx</t>
  </si>
  <si>
    <t>/content/drive/MyDrive/thesis_project/thesis/outputs/exp05_ready/cascaded_step3_consistent_ready_20260602_203054.json</t>
  </si>
  <si>
    <t>/content/drive/MyDrive/thesis_project/thesis/outputs/exp05_ready/cascaded_step3_consistent_ready_results_20260602_203053.xlsx</t>
  </si>
  <si>
    <t>/content/drive/MyDrive/thesis_project/thesis/outputs/exp05_ready/cascaded_step3_consistent_ready_20260602_203055.json</t>
  </si>
  <si>
    <t>/content/drive/MyDrive/thesis_project/thesis/outputs/exp05_ready/cascaded_step3_consistent_ready_results_20260602_203055.xlsx</t>
  </si>
  <si>
    <t>/content/drive/MyDrive/thesis_project/thesis/outputs/exp05_ready/cascaded_step3_consistent_ready_20260602_203056.json</t>
  </si>
  <si>
    <t>/content/drive/MyDrive/thesis_project/thesis/outputs/exp05_ready/cascaded_step3_consistent_ready_results_20260602_203056.xlsx</t>
  </si>
  <si>
    <t>/content/drive/MyDrive/thesis_project/thesis/outputs/exp05_ready/cascaded_step3_consistent_ready_20260602_203058.json</t>
  </si>
  <si>
    <t>/content/drive/MyDrive/thesis_project/thesis/outputs/exp05_ready/cascaded_step3_consistent_ready_results_20260602_203058.xlsx</t>
  </si>
  <si>
    <t>/content/drive/MyDrive/thesis_project/thesis/outputs/exp05_ready/cascaded_step3_consistent_ready_20260602_203059.json</t>
  </si>
  <si>
    <t>/content/drive/MyDrive/thesis_project/thesis/outputs/exp05_ready/cascaded_step3_consistent_ready_results_20260602_203059.xlsx</t>
  </si>
  <si>
    <t>/content/drive/MyDrive/thesis_project/thesis/outputs/exp05_ready/cascaded_step3_consistent_ready_20260602_203101.json</t>
  </si>
  <si>
    <t>/content/drive/MyDrive/thesis_project/thesis/outputs/exp05_ready/cascaded_step3_consistent_ready_results_20260602_203100.xlsx</t>
  </si>
  <si>
    <t>/content/drive/MyDrive/thesis_project/thesis/outputs/exp05_ready/cascaded_step3_consistent_ready_20260602_203102.json</t>
  </si>
  <si>
    <t>/content/drive/MyDrive/thesis_project/thesis/outputs/exp05_ready/cascaded_step3_consistent_ready_results_20260602_203102.xlsx</t>
  </si>
  <si>
    <t>/content/drive/MyDrive/thesis_project/thesis/outputs/exp05_ready/cascaded_step3_consistent_ready_20260602_203104.json</t>
  </si>
  <si>
    <t>/content/drive/MyDrive/thesis_project/thesis/outputs/exp05_ready/cascaded_step3_consistent_ready_results_20260602_203104.xlsx</t>
  </si>
  <si>
    <t>/content/drive/MyDrive/thesis_project/thesis/outputs/exp05_ready/cascaded_step3_consistent_ready_20260602_203105.json</t>
  </si>
  <si>
    <t>/content/drive/MyDrive/thesis_project/thesis/outputs/exp05_ready/cascaded_step3_consistent_ready_results_20260602_203105.xlsx</t>
  </si>
  <si>
    <t>/content/drive/MyDrive/thesis_project/thesis/outputs/exp05_ready/cascaded_step3_consistent_ready_20260602_203107.json</t>
  </si>
  <si>
    <t>/content/drive/MyDrive/thesis_project/thesis/outputs/exp05_ready/cascaded_step3_consistent_ready_results_20260602_203106.xlsx</t>
  </si>
  <si>
    <t>/content/drive/MyDrive/thesis_project/thesis/outputs/exp05_ready/cascaded_step3_consistent_ready_results_20260602_203107.xlsx</t>
  </si>
  <si>
    <t>/content/drive/MyDrive/thesis_project/thesis/outputs/exp05_ready/cascaded_step3_consistent_ready_20260602_203109.json</t>
  </si>
  <si>
    <t>/content/drive/MyDrive/thesis_project/thesis/outputs/exp05_ready/cascaded_step3_consistent_ready_results_20260602_203108.xlsx</t>
  </si>
  <si>
    <t>/content/drive/MyDrive/thesis_project/thesis/outputs/exp05_ready/cascaded_step3_consistent_ready_results_20260602_203109.xlsx</t>
  </si>
  <si>
    <t>/content/drive/MyDrive/thesis_project/thesis/outputs/exp06_ready/fusion_ready_20260602_203113.json</t>
  </si>
  <si>
    <t>/content/drive/MyDrive/thesis_project/thesis/outputs/exp06_ready/fusion_ready_results_20260602_203112.xlsx</t>
  </si>
  <si>
    <t>/content/drive/MyDrive/thesis_project/thesis/outputs/exp06_ready/fusion_ready_20260602_203115.json</t>
  </si>
  <si>
    <t>/content/drive/MyDrive/thesis_project/thesis/outputs/exp06_ready/fusion_ready_results_20260602_203114.xlsx</t>
  </si>
  <si>
    <t>/content/drive/MyDrive/thesis_project/thesis/outputs/exp06_ready/fusion_ready_20260602_203117.json</t>
  </si>
  <si>
    <t>/content/drive/MyDrive/thesis_project/thesis/outputs/exp06_ready/fusion_ready_results_20260602_203116.xlsx</t>
  </si>
  <si>
    <t>/content/drive/MyDrive/thesis_project/thesis/outputs/exp06_ready/fusion_ready_20260602_203119.json</t>
  </si>
  <si>
    <t>/content/drive/MyDrive/thesis_project/thesis/outputs/exp06_ready/fusion_ready_results_20260602_203118.xlsx</t>
  </si>
  <si>
    <t>/content/drive/MyDrive/thesis_project/thesis/outputs/exp06_ready/fusion_ready_20260602_203121.json</t>
  </si>
  <si>
    <t>/content/drive/MyDrive/thesis_project/thesis/outputs/exp06_ready/fusion_ready_results_20260602_203120.xlsx</t>
  </si>
  <si>
    <t>/content/drive/MyDrive/thesis_project/thesis/outputs/exp06_ready/fusion_ready_20260602_203123.json</t>
  </si>
  <si>
    <t>/content/drive/MyDrive/thesis_project/thesis/outputs/exp06_ready/fusion_ready_results_20260602_203122.xlsx</t>
  </si>
  <si>
    <t>/content/drive/MyDrive/thesis_project/thesis/outputs/exp06_ready/fusion_ready_20260602_203125.json</t>
  </si>
  <si>
    <t>/content/drive/MyDrive/thesis_project/thesis/outputs/exp06_ready/fusion_ready_results_20260602_203125.xlsx</t>
  </si>
  <si>
    <t>/content/drive/MyDrive/thesis_project/thesis/outputs/exp06_ready/fusion_ready_20260602_203127.json</t>
  </si>
  <si>
    <t>/content/drive/MyDrive/thesis_project/thesis/outputs/exp06_ready/fusion_ready_results_20260602_203127.xlsx</t>
  </si>
  <si>
    <t>/content/drive/MyDrive/thesis_project/thesis/outputs/exp06_ready/fusion_ready_20260602_203129.json</t>
  </si>
  <si>
    <t>/content/drive/MyDrive/thesis_project/thesis/outputs/exp06_ready/fusion_ready_results_20260602_203128.xlsx</t>
  </si>
  <si>
    <t>/content/drive/MyDrive/thesis_project/thesis/outputs/exp06_ready/fusion_ready_20260602_203131.json</t>
  </si>
  <si>
    <t>/content/drive/MyDrive/thesis_project/thesis/outputs/exp06_ready/fusion_ready_results_20260602_203131.xlsx</t>
  </si>
  <si>
    <t>/content/drive/MyDrive/thesis_project/thesis/outputs/exp06_ready/fusion_ready_20260602_203133.json</t>
  </si>
  <si>
    <t>/content/drive/MyDrive/thesis_project/thesis/outputs/exp06_ready/fusion_ready_results_20260602_203133.xlsx</t>
  </si>
  <si>
    <t>/content/drive/MyDrive/thesis_project/thesis/outputs/exp06_ready/fusion_ready_20260602_203135.json</t>
  </si>
  <si>
    <t>/content/drive/MyDrive/thesis_project/thesis/outputs/exp06_ready/fusion_ready_results_20260602_203134.xlsx</t>
  </si>
  <si>
    <t>/content/drive/MyDrive/thesis_project/thesis/outputs/exp06_ready/fusion_ready_20260602_203137.json</t>
  </si>
  <si>
    <t>/content/drive/MyDrive/thesis_project/thesis/outputs/exp06_ready/fusion_ready_results_20260602_203137.xlsx</t>
  </si>
  <si>
    <t>/content/drive/MyDrive/thesis_project/thesis/outputs/exp06_ready/fusion_ready_20260602_203139.json</t>
  </si>
  <si>
    <t>/content/drive/MyDrive/thesis_project/thesis/outputs/exp06_ready/fusion_ready_results_20260602_203139.xlsx</t>
  </si>
  <si>
    <t>/content/drive/MyDrive/thesis_project/thesis/outputs/exp06_ready/fusion_ready_20260602_203142.json</t>
  </si>
  <si>
    <t>/content/drive/MyDrive/thesis_project/thesis/outputs/exp06_ready/fusion_ready_results_20260602_203141.xlsx</t>
  </si>
  <si>
    <t>/content/drive/MyDrive/thesis_project/thesis/outputs/exp06_ready/fusion_ready_20260602_203143.json</t>
  </si>
  <si>
    <t>/content/drive/MyDrive/thesis_project/thesis/outputs/exp06_ready/fusion_ready_results_20260602_203143.xlsx</t>
  </si>
  <si>
    <t>/content/drive/MyDrive/thesis_project/thesis/outputs/exp06_ready/fusion_ready_20260602_203145.json</t>
  </si>
  <si>
    <t>/content/drive/MyDrive/thesis_project/thesis/outputs/exp06_ready/fusion_ready_results_20260602_203145.xlsx</t>
  </si>
  <si>
    <t>/content/drive/MyDrive/thesis_project/thesis/outputs/exp06_ready/fusion_ready_20260602_203148.json</t>
  </si>
  <si>
    <t>/content/drive/MyDrive/thesis_project/thesis/outputs/exp06_ready/fusion_ready_results_20260602_203147.xlsx</t>
  </si>
  <si>
    <t>/content/drive/MyDrive/thesis_project/thesis/outputs/exp06_ready/fusion_ready_20260602_203149.json</t>
  </si>
  <si>
    <t>/content/drive/MyDrive/thesis_project/thesis/outputs/exp06_ready/fusion_ready_results_20260602_203149.xlsx</t>
  </si>
  <si>
    <t>/content/drive/MyDrive/thesis_project/thesis/outputs/exp06_ready/fusion_ready_20260602_203151.json</t>
  </si>
  <si>
    <t>/content/drive/MyDrive/thesis_project/thesis/outputs/exp06_ready/fusion_ready_results_20260602_203151.xlsx</t>
  </si>
  <si>
    <t>/content/drive/MyDrive/thesis_project/thesis/outputs/exp06_ready/fusion_ready_20260602_203154.json</t>
  </si>
  <si>
    <t>/content/drive/MyDrive/thesis_project/thesis/outputs/exp06_ready/fusion_ready_results_20260602_203153.xlsx</t>
  </si>
  <si>
    <t>/content/drive/MyDrive/thesis_project/thesis/outputs/exp06_ready/fusion_ready_20260602_203155.json</t>
  </si>
  <si>
    <t>/content/drive/MyDrive/thesis_project/thesis/outputs/exp06_ready/fusion_ready_results_20260602_203155.xlsx</t>
  </si>
  <si>
    <t>/content/drive/MyDrive/thesis_project/thesis/outputs/exp06_ready/fusion_ready_20260602_203157.json</t>
  </si>
  <si>
    <t>/content/drive/MyDrive/thesis_project/thesis/outputs/exp06_ready/fusion_ready_results_20260602_203156.xlsx</t>
  </si>
  <si>
    <t>/content/drive/MyDrive/thesis_project/thesis/outputs/exp06_ready/fusion_ready_20260602_203159.json</t>
  </si>
  <si>
    <t>/content/drive/MyDrive/thesis_project/thesis/outputs/exp06_ready/fusion_ready_results_20260602_203158.xlsx</t>
  </si>
  <si>
    <t>/content/drive/MyDrive/thesis_project/thesis/outputs/exp06_ready/fusion_ready_20260602_203201.json</t>
  </si>
  <si>
    <t>/content/drive/MyDrive/thesis_project/thesis/outputs/exp06_ready/fusion_ready_results_20260602_203200.xlsx</t>
  </si>
  <si>
    <t>/content/drive/MyDrive/thesis_project/thesis/outputs/exp06_ready/fusion_ready_20260602_203203.json</t>
  </si>
  <si>
    <t>/content/drive/MyDrive/thesis_project/thesis/outputs/exp06_ready/fusion_ready_results_20260602_203202.xlsx</t>
  </si>
  <si>
    <t>/content/drive/MyDrive/thesis_project/thesis/outputs/exp06_ready/fusion_ready_20260602_203204.json</t>
  </si>
  <si>
    <t>/content/drive/MyDrive/thesis_project/thesis/outputs/exp06_ready/fusion_ready_results_20260602_203204.xlsx</t>
  </si>
  <si>
    <t>/content/drive/MyDrive/thesis_project/thesis/outputs/exp06_ready/fusion_ready_20260602_203206.json</t>
  </si>
  <si>
    <t>/content/drive/MyDrive/thesis_project/thesis/outputs/exp06_ready/fusion_ready_results_20260602_203206.xlsx</t>
  </si>
  <si>
    <t>/content/drive/MyDrive/thesis_project/thesis/outputs/exp06_ready/fusion_ready_20260602_203208.json</t>
  </si>
  <si>
    <t>/content/drive/MyDrive/thesis_project/thesis/outputs/exp06_ready/fusion_ready_results_20260602_203208.xlsx</t>
  </si>
  <si>
    <t>/content/drive/MyDrive/thesis_project/thesis/outputs/exp06_ready/fusion_ready_20260602_203210.json</t>
  </si>
  <si>
    <t>/content/drive/MyDrive/thesis_project/thesis/outputs/exp06_ready/fusion_ready_results_20260602_203209.xlsx</t>
  </si>
  <si>
    <t>/content/drive/MyDrive/thesis_project/thesis/outputs/exp06_ready/fusion_ready_20260602_203212.json</t>
  </si>
  <si>
    <t>/content/drive/MyDrive/thesis_project/thesis/outputs/exp06_ready/fusion_ready_results_20260602_203211.xlsx</t>
  </si>
  <si>
    <t>/content/drive/MyDrive/thesis_project/thesis/outputs/exp06_ready/fusion_ready_20260602_203214.json</t>
  </si>
  <si>
    <t>/content/drive/MyDrive/thesis_project/thesis/outputs/exp06_ready/fusion_ready_results_20260602_203213.xlsx</t>
  </si>
  <si>
    <t>/content/drive/MyDrive/thesis_project/thesis/outputs/exp06_ready/fusion_ready_20260602_203215.json</t>
  </si>
  <si>
    <t>/content/drive/MyDrive/thesis_project/thesis/outputs/exp06_ready/fusion_ready_results_20260602_203215.xlsx</t>
  </si>
  <si>
    <t>/content/drive/MyDrive/thesis_project/thesis/outputs/exp06_ready/fusion_ready_20260602_203217.json</t>
  </si>
  <si>
    <t>/content/drive/MyDrive/thesis_project/thesis/outputs/exp06_ready/fusion_ready_results_20260602_203217.xlsx</t>
  </si>
  <si>
    <t>/content/drive/MyDrive/thesis_project/thesis/outputs/exp06_ready/fusion_ready_20260602_203219.json</t>
  </si>
  <si>
    <t>/content/drive/MyDrive/thesis_project/thesis/outputs/exp06_ready/fusion_ready_results_20260602_203218.xlsx</t>
  </si>
  <si>
    <t>/content/drive/MyDrive/thesis_project/thesis/outputs/exp06_ready/fusion_ready_20260602_203221.json</t>
  </si>
  <si>
    <t>/content/drive/MyDrive/thesis_project/thesis/outputs/exp06_ready/fusion_ready_results_20260602_203221.xlsx</t>
  </si>
  <si>
    <t>/content/drive/MyDrive/thesis_project/thesis/outputs/exp06_ready/fusion_ready_20260602_203223.json</t>
  </si>
  <si>
    <t>/content/drive/MyDrive/thesis_project/thesis/outputs/exp06_ready/fusion_ready_results_20260602_203222.xlsx</t>
  </si>
  <si>
    <t>/content/drive/MyDrive/thesis_project/thesis/outputs/exp06_ready/fusion_ready_20260602_203225.json</t>
  </si>
  <si>
    <t>/content/drive/MyDrive/thesis_project/thesis/outputs/exp06_ready/fusion_ready_results_20260602_203224.xlsx</t>
  </si>
  <si>
    <t>/content/drive/MyDrive/thesis_project/thesis/outputs/exp06_ready/fusion_ready_20260602_203227.json</t>
  </si>
  <si>
    <t>/content/drive/MyDrive/thesis_project/thesis/outputs/exp06_ready/fusion_ready_results_20260602_203226.xlsx</t>
  </si>
  <si>
    <t>/content/drive/MyDrive/thesis_project/thesis/outputs/exp06_ready/fusion_ready_20260602_203229.json</t>
  </si>
  <si>
    <t>/content/drive/MyDrive/thesis_project/thesis/outputs/exp06_ready/fusion_ready_results_20260602_203228.xlsx</t>
  </si>
  <si>
    <t>/content/drive/MyDrive/thesis_project/thesis/outputs/exp06_ready/fusion_ready_20260602_203231.json</t>
  </si>
  <si>
    <t>/content/drive/MyDrive/thesis_project/thesis/outputs/exp06_ready/fusion_ready_results_20260602_203230.xlsx</t>
  </si>
  <si>
    <t>/content/drive/MyDrive/thesis_project/thesis/outputs/exp06_ready/fusion_ready_20260602_203233.json</t>
  </si>
  <si>
    <t>/content/drive/MyDrive/thesis_project/thesis/outputs/exp06_ready/fusion_ready_results_20260602_203232.xlsx</t>
  </si>
  <si>
    <t>/content/drive/MyDrive/thesis_project/thesis/outputs/exp06_ready/fusion_ready_20260602_203235.json</t>
  </si>
  <si>
    <t>/content/drive/MyDrive/thesis_project/thesis/outputs/exp06_ready/fusion_ready_results_20260602_203234.xlsx</t>
  </si>
  <si>
    <t>/content/drive/MyDrive/thesis_project/thesis/outputs/exp06_ready/fusion_ready_20260602_203237.json</t>
  </si>
  <si>
    <t>/content/drive/MyDrive/thesis_project/thesis/outputs/exp06_ready/fusion_ready_results_20260602_203236.xlsx</t>
  </si>
  <si>
    <t>/content/drive/MyDrive/thesis_project/thesis/outputs/exp06_ready/fusion_ready_20260602_203239.json</t>
  </si>
  <si>
    <t>/content/drive/MyDrive/thesis_project/thesis/outputs/exp06_ready/fusion_ready_results_20260602_203238.xlsx</t>
  </si>
  <si>
    <t>/content/drive/MyDrive/thesis_project/thesis/outputs/exp06_ready/fusion_ready_20260602_203241.json</t>
  </si>
  <si>
    <t>/content/drive/MyDrive/thesis_project/thesis/outputs/exp06_ready/fusion_ready_results_20260602_203240.xlsx</t>
  </si>
  <si>
    <t>/content/drive/MyDrive/thesis_project/thesis/outputs/exp06_ready/fusion_ready_20260602_203243.json</t>
  </si>
  <si>
    <t>/content/drive/MyDrive/thesis_project/thesis/outputs/exp06_ready/fusion_ready_results_20260602_203242.xlsx</t>
  </si>
  <si>
    <t>/content/drive/MyDrive/thesis_project/thesis/outputs/exp06_ready/fusion_ready_20260602_203245.json</t>
  </si>
  <si>
    <t>/content/drive/MyDrive/thesis_project/thesis/outputs/exp06_ready/fusion_ready_results_20260602_203244.xlsx</t>
  </si>
  <si>
    <t>/content/drive/MyDrive/thesis_project/thesis/outputs/exp06_ready/fusion_ready_20260602_203247.json</t>
  </si>
  <si>
    <t>/content/drive/MyDrive/thesis_project/thesis/outputs/exp06_ready/fusion_ready_results_20260602_203246.xlsx</t>
  </si>
  <si>
    <t>/content/drive/MyDrive/thesis_project/thesis/outputs/exp06_ready/fusion_ready_20260602_203249.json</t>
  </si>
  <si>
    <t>/content/drive/MyDrive/thesis_project/thesis/outputs/exp06_ready/fusion_ready_results_20260602_203248.xlsx</t>
  </si>
  <si>
    <t>/content/drive/MyDrive/thesis_project/thesis/outputs/exp06_ready/fusion_ready_20260602_203251.json</t>
  </si>
  <si>
    <t>/content/drive/MyDrive/thesis_project/thesis/outputs/exp06_ready/fusion_ready_results_20260602_203250.xlsx</t>
  </si>
  <si>
    <t>/content/drive/MyDrive/thesis_project/thesis/outputs/exp06_ready/fusion_ready_20260602_203253.json</t>
  </si>
  <si>
    <t>/content/drive/MyDrive/thesis_project/thesis/outputs/exp06_ready/fusion_ready_results_20260602_203252.xlsx</t>
  </si>
  <si>
    <t>/content/drive/MyDrive/thesis_project/thesis/outputs/exp06_ready/fusion_ready_20260602_203255.json</t>
  </si>
  <si>
    <t>/content/drive/MyDrive/thesis_project/thesis/outputs/exp06_ready/fusion_ready_results_20260602_203254.xlsx</t>
  </si>
  <si>
    <t>/content/drive/MyDrive/thesis_project/thesis/outputs/exp06_ready/fusion_ready_20260602_203257.json</t>
  </si>
  <si>
    <t>/content/drive/MyDrive/thesis_project/thesis/outputs/exp06_ready/fusion_ready_results_20260602_203257.xlsx</t>
  </si>
  <si>
    <t>/content/drive/MyDrive/thesis_project/thesis/outputs/exp06_ready/fusion_ready_20260602_203259.json</t>
  </si>
  <si>
    <t>/content/drive/MyDrive/thesis_project/thesis/outputs/exp06_ready/fusion_ready_results_20260602_203258.xlsx</t>
  </si>
  <si>
    <t>/content/drive/MyDrive/thesis_project/thesis/outputs/exp06_ready/fusion_ready_20260602_203301.json</t>
  </si>
  <si>
    <t>/content/drive/MyDrive/thesis_project/thesis/outputs/exp06_ready/fusion_ready_results_20260602_203300.xlsx</t>
  </si>
  <si>
    <t>/content/drive/MyDrive/thesis_project/thesis/outputs/exp06_ready/fusion_ready_20260602_203303.json</t>
  </si>
  <si>
    <t>/content/drive/MyDrive/thesis_project/thesis/outputs/exp06_ready/fusion_ready_results_20260602_203303.xlsx</t>
  </si>
  <si>
    <t>/content/drive/MyDrive/thesis_project/thesis/outputs/exp06_ready/fusion_ready_20260602_203305.json</t>
  </si>
  <si>
    <t>/content/drive/MyDrive/thesis_project/thesis/outputs/exp06_ready/fusion_ready_results_20260602_203304.xlsx</t>
  </si>
  <si>
    <t>/content/drive/MyDrive/thesis_project/thesis/outputs/exp06_ready/fusion_ready_20260602_203307.json</t>
  </si>
  <si>
    <t>/content/drive/MyDrive/thesis_project/thesis/outputs/exp06_ready/fusion_ready_results_20260602_203306.xlsx</t>
  </si>
  <si>
    <t>/content/drive/MyDrive/thesis_project/thesis/outputs/exp06_ready/fusion_ready_20260602_203309.json</t>
  </si>
  <si>
    <t>/content/drive/MyDrive/thesis_project/thesis/outputs/exp06_ready/fusion_ready_results_20260602_203309.xlsx</t>
  </si>
  <si>
    <t>/content/drive/MyDrive/thesis_project/thesis/outputs/exp06_ready/fusion_ready_20260602_203311.json</t>
  </si>
  <si>
    <t>/content/drive/MyDrive/thesis_project/thesis/outputs/exp06_ready/fusion_ready_results_20260602_203311.xlsx</t>
  </si>
  <si>
    <t>/content/drive/MyDrive/thesis_project/thesis/outputs/exp06_ready/fusion_ready_20260602_203314.json</t>
  </si>
  <si>
    <t>/content/drive/MyDrive/thesis_project/thesis/outputs/exp06_ready/fusion_ready_results_20260602_203313.xlsx</t>
  </si>
  <si>
    <t>/content/drive/MyDrive/thesis_project/thesis/outputs/exp06_ready/fusion_ready_20260602_203315.json</t>
  </si>
  <si>
    <t>/content/drive/MyDrive/thesis_project/thesis/outputs/exp06_ready/fusion_ready_results_20260602_203315.xlsx</t>
  </si>
  <si>
    <t>/content/drive/MyDrive/thesis_project/thesis/outputs/exp06_ready/fusion_ready_20260602_203317.json</t>
  </si>
  <si>
    <t>/content/drive/MyDrive/thesis_project/thesis/outputs/exp06_ready/fusion_ready_results_20260602_203317.xlsx</t>
  </si>
  <si>
    <t>/content/drive/MyDrive/thesis_project/thesis/outputs/exp06_ready/fusion_ready_20260602_203319.json</t>
  </si>
  <si>
    <t>/content/drive/MyDrive/thesis_project/thesis/outputs/exp06_ready/fusion_ready_results_20260602_203319.xlsx</t>
  </si>
  <si>
    <t>/content/drive/MyDrive/thesis_project/thesis/outputs/exp06_ready/fusion_ready_20260602_203322.json</t>
  </si>
  <si>
    <t>/content/drive/MyDrive/thesis_project/thesis/outputs/exp06_ready/fusion_ready_results_20260602_203321.xlsx</t>
  </si>
  <si>
    <t>/content/drive/MyDrive/thesis_project/thesis/outputs/exp06_ready/fusion_ready_20260602_203324.json</t>
  </si>
  <si>
    <t>/content/drive/MyDrive/thesis_project/thesis/outputs/exp06_ready/fusion_ready_results_20260602_203323.xlsx</t>
  </si>
  <si>
    <t>/content/drive/MyDrive/thesis_project/thesis/outputs/exp06_ready/fusion_ready_20260602_203326.json</t>
  </si>
  <si>
    <t>/content/drive/MyDrive/thesis_project/thesis/outputs/exp06_ready/fusion_ready_results_20260602_203325.xlsx</t>
  </si>
  <si>
    <t>/content/drive/MyDrive/thesis_project/thesis/outputs/exp06_ready/fusion_ready_20260602_203328.json</t>
  </si>
  <si>
    <t>/content/drive/MyDrive/thesis_project/thesis/outputs/exp06_ready/fusion_ready_results_20260602_203327.xlsx</t>
  </si>
  <si>
    <t>/content/drive/MyDrive/thesis_project/thesis/outputs/exp06_ready/fusion_ready_20260602_203330.json</t>
  </si>
  <si>
    <t>/content/drive/MyDrive/thesis_project/thesis/outputs/exp06_ready/fusion_ready_results_20260602_203329.xlsx</t>
  </si>
  <si>
    <t>/content/drive/MyDrive/thesis_project/thesis/outputs/exp06_ready/fusion_ready_20260602_203332.json</t>
  </si>
  <si>
    <t>/content/drive/MyDrive/thesis_project/thesis/outputs/exp06_ready/fusion_ready_results_20260602_203331.xlsx</t>
  </si>
  <si>
    <t>/content/drive/MyDrive/thesis_project/thesis/outputs/exp06_ready/fusion_ready_20260602_203334.json</t>
  </si>
  <si>
    <t>/content/drive/MyDrive/thesis_project/thesis/outputs/exp06_ready/fusion_ready_results_20260602_203334.xlsx</t>
  </si>
  <si>
    <t>/content/drive/MyDrive/thesis_project/thesis/outputs/exp06_ready/fusion_ready_20260602_203336.json</t>
  </si>
  <si>
    <t>/content/drive/MyDrive/thesis_project/thesis/outputs/exp06_ready/fusion_ready_results_20260602_203335.xlsx</t>
  </si>
  <si>
    <t>/content/drive/MyDrive/thesis_project/thesis/outputs/exp06_ready/fusion_ready_20260602_203338.json</t>
  </si>
  <si>
    <t>/content/drive/MyDrive/thesis_project/thesis/outputs/exp06_ready/fusion_ready_results_20260602_203337.xlsx</t>
  </si>
  <si>
    <t>/content/drive/MyDrive/thesis_project/thesis/outputs/exp06_ready/fusion_ready_20260602_203340.json</t>
  </si>
  <si>
    <t>/content/drive/MyDrive/thesis_project/thesis/outputs/exp06_ready/fusion_ready_results_20260602_203340.xlsx</t>
  </si>
  <si>
    <t>/content/drive/MyDrive/thesis_project/thesis/outputs/exp06_ready/fusion_ready_20260602_203342.json</t>
  </si>
  <si>
    <t>/content/drive/MyDrive/thesis_project/thesis/outputs/exp06_ready/fusion_ready_results_20260602_203342.xlsx</t>
  </si>
  <si>
    <t>/content/drive/MyDrive/thesis_project/thesis/outputs/exp06_ready/fusion_ready_20260602_203344.json</t>
  </si>
  <si>
    <t>/content/drive/MyDrive/thesis_project/thesis/outputs/exp06_ready/fusion_ready_results_20260602_203343.xlsx</t>
  </si>
  <si>
    <t>/content/drive/MyDrive/thesis_project/thesis/outputs/exp06_ready/fusion_ready_20260602_203346.json</t>
  </si>
  <si>
    <t>/content/drive/MyDrive/thesis_project/thesis/outputs/exp06_ready/fusion_ready_results_20260602_203346.xlsx</t>
  </si>
  <si>
    <t>/content/drive/MyDrive/thesis_project/thesis/outputs/exp06_ready/fusion_ready_20260602_203348.json</t>
  </si>
  <si>
    <t>/content/drive/MyDrive/thesis_project/thesis/outputs/exp06_ready/fusion_ready_results_20260602_203348.xlsx</t>
  </si>
  <si>
    <t>/content/drive/MyDrive/thesis_project/thesis/outputs/exp06_ready/fusion_ready_20260602_203350.json</t>
  </si>
  <si>
    <t>/content/drive/MyDrive/thesis_project/thesis/outputs/exp06_ready/fusion_ready_results_20260602_203350.xlsx</t>
  </si>
  <si>
    <t>/content/drive/MyDrive/thesis_project/thesis/outputs/exp06_ready/fusion_ready_20260602_203352.json</t>
  </si>
  <si>
    <t>/content/drive/MyDrive/thesis_project/thesis/outputs/exp06_ready/fusion_ready_results_20260602_203352.xlsx</t>
  </si>
  <si>
    <t>/content/drive/MyDrive/thesis_project/thesis/outputs/exp06_ready/fusion_ready_20260602_203354.json</t>
  </si>
  <si>
    <t>/content/drive/MyDrive/thesis_project/thesis/outputs/exp06_ready/fusion_ready_results_20260602_203354.xlsx</t>
  </si>
  <si>
    <t>/content/drive/MyDrive/thesis_project/thesis/outputs/exp06_ready/fusion_ready_20260602_203356.json</t>
  </si>
  <si>
    <t>/content/drive/MyDrive/thesis_project/thesis/outputs/exp06_ready/fusion_ready_results_20260602_203355.xlsx</t>
  </si>
  <si>
    <t>/content/drive/MyDrive/thesis_project/thesis/outputs/exp06_ready/fusion_ready_20260602_203358.json</t>
  </si>
  <si>
    <t>/content/drive/MyDrive/thesis_project/thesis/outputs/exp06_ready/fusion_ready_results_20260602_203357.xlsx</t>
  </si>
  <si>
    <t>/content/drive/MyDrive/thesis_project/thesis/outputs/exp06_ready/fusion_ready_20260602_203400.json</t>
  </si>
  <si>
    <t>/content/drive/MyDrive/thesis_project/thesis/outputs/exp06_ready/fusion_ready_results_20260602_203359.xlsx</t>
  </si>
  <si>
    <t>/content/drive/MyDrive/thesis_project/thesis/outputs/exp06_ready/fusion_ready_20260602_203401.json</t>
  </si>
  <si>
    <t>/content/drive/MyDrive/thesis_project/thesis/outputs/exp06_ready/fusion_ready_results_20260602_203401.xlsx</t>
  </si>
  <si>
    <t>/content/drive/MyDrive/thesis_project/thesis/outputs/exp06_ready/fusion_ready_20260602_203403.json</t>
  </si>
  <si>
    <t>/content/drive/MyDrive/thesis_project/thesis/outputs/exp06_ready/fusion_ready_results_20260602_203403.xlsx</t>
  </si>
  <si>
    <t>/content/drive/MyDrive/thesis_project/thesis/outputs/exp06_ready/fusion_ready_20260602_203405.json</t>
  </si>
  <si>
    <t>/content/drive/MyDrive/thesis_project/thesis/outputs/exp06_ready/fusion_ready_results_20260602_203404.xlsx</t>
  </si>
  <si>
    <t>/content/drive/MyDrive/thesis_project/thesis/outputs/exp06_ready/fusion_ready_20260602_203407.json</t>
  </si>
  <si>
    <t>/content/drive/MyDrive/thesis_project/thesis/outputs/exp06_ready/fusion_ready_results_20260602_203407.xlsx</t>
  </si>
  <si>
    <t>/content/drive/MyDrive/thesis_project/thesis/outputs/exp06_ready/fusion_ready_20260602_203409.json</t>
  </si>
  <si>
    <t>/content/drive/MyDrive/thesis_project/thesis/outputs/exp06_ready/fusion_ready_results_20260602_203408.xlsx</t>
  </si>
  <si>
    <t>/content/drive/MyDrive/thesis_project/thesis/outputs/exp06_ready/fusion_ready_20260602_203411.json</t>
  </si>
  <si>
    <t>/content/drive/MyDrive/thesis_project/thesis/outputs/exp06_ready/fusion_ready_results_20260602_203410.xlsx</t>
  </si>
  <si>
    <t>/content/drive/MyDrive/thesis_project/thesis/outputs/exp06_ready/fusion_ready_20260602_203413.json</t>
  </si>
  <si>
    <t>/content/drive/MyDrive/thesis_project/thesis/outputs/exp06_ready/fusion_ready_results_20260602_203412.xlsx</t>
  </si>
  <si>
    <t>/content/drive/MyDrive/thesis_project/thesis/outputs/exp06_ready/fusion_ready_20260602_203414.json</t>
  </si>
  <si>
    <t>/content/drive/MyDrive/thesis_project/thesis/outputs/exp06_ready/fusion_ready_results_20260602_203414.xlsx</t>
  </si>
  <si>
    <t>/content/drive/MyDrive/thesis_project/thesis/outputs/exp06_ready/fusion_ready_20260602_203416.json</t>
  </si>
  <si>
    <t>/content/drive/MyDrive/thesis_project/thesis/outputs/exp06_ready/fusion_ready_results_20260602_203416.xlsx</t>
  </si>
  <si>
    <t>/content/drive/MyDrive/thesis_project/thesis/outputs/exp06_ready/fusion_ready_20260602_203418.json</t>
  </si>
  <si>
    <t>/content/drive/MyDrive/thesis_project/thesis/outputs/exp06_ready/fusion_ready_results_20260602_203417.xlsx</t>
  </si>
  <si>
    <t>/content/drive/MyDrive/thesis_project/thesis/outputs/exp06_ready/fusion_ready_20260602_203420.json</t>
  </si>
  <si>
    <t>/content/drive/MyDrive/thesis_project/thesis/outputs/exp06_ready/fusion_ready_results_20260602_203420.xlsx</t>
  </si>
  <si>
    <t>/content/drive/MyDrive/thesis_project/thesis/outputs/exp06_ready/fusion_ready_20260602_203422.json</t>
  </si>
  <si>
    <t>/content/drive/MyDrive/thesis_project/thesis/outputs/exp06_ready/fusion_ready_results_20260602_203421.xlsx</t>
  </si>
  <si>
    <t>/content/drive/MyDrive/thesis_project/thesis/outputs/exp06_ready/fusion_ready_20260602_203424.json</t>
  </si>
  <si>
    <t>/content/drive/MyDrive/thesis_project/thesis/outputs/exp06_ready/fusion_ready_results_20260602_203423.xlsx</t>
  </si>
  <si>
    <t>/content/drive/MyDrive/thesis_project/thesis/outputs/exp06_ready/fusion_ready_20260602_203426.json</t>
  </si>
  <si>
    <t>/content/drive/MyDrive/thesis_project/thesis/outputs/exp06_ready/fusion_ready_results_20260602_203425.xlsx</t>
  </si>
  <si>
    <t>/content/drive/MyDrive/thesis_project/thesis/outputs/exp06_ready/fusion_ready_20260602_203427.json</t>
  </si>
  <si>
    <t>/content/drive/MyDrive/thesis_project/thesis/outputs/exp06_ready/fusion_ready_results_20260602_203427.xlsx</t>
  </si>
  <si>
    <t>/content/drive/MyDrive/thesis_project/thesis/outputs/exp06_ready/fusion_ready_20260602_203429.json</t>
  </si>
  <si>
    <t>/content/drive/MyDrive/thesis_project/thesis/outputs/exp06_ready/fusion_ready_results_20260602_203429.xlsx</t>
  </si>
  <si>
    <t>/content/drive/MyDrive/thesis_project/thesis/outputs/exp06_ready/fusion_ready_20260602_203432.json</t>
  </si>
  <si>
    <t>/content/drive/MyDrive/thesis_project/thesis/outputs/exp06_ready/fusion_ready_results_20260602_203431.xlsx</t>
  </si>
  <si>
    <t>/content/drive/MyDrive/thesis_project/thesis/outputs/exp06_ready/fusion_ready_20260602_203434.json</t>
  </si>
  <si>
    <t>/content/drive/MyDrive/thesis_project/thesis/outputs/exp06_ready/fusion_ready_results_20260602_203433.xlsx</t>
  </si>
  <si>
    <t>/content/drive/MyDrive/thesis_project/thesis/outputs/exp06_ready/fusion_ready_20260602_203435.json</t>
  </si>
  <si>
    <t>/content/drive/MyDrive/thesis_project/thesis/outputs/exp06_ready/fusion_ready_results_20260602_203435.xlsx</t>
  </si>
  <si>
    <t>/content/drive/MyDrive/thesis_project/thesis/outputs/exp06_ready/fusion_ready_20260602_203438.json</t>
  </si>
  <si>
    <t>/content/drive/MyDrive/thesis_project/thesis/outputs/exp06_ready/fusion_ready_results_20260602_203437.xlsx</t>
  </si>
  <si>
    <t>/content/drive/MyDrive/thesis_project/thesis/outputs/exp06_ready/fusion_ready_20260602_203440.json</t>
  </si>
  <si>
    <t>/content/drive/MyDrive/thesis_project/thesis/outputs/exp06_ready/fusion_ready_results_20260602_203439.xlsx</t>
  </si>
  <si>
    <t>/content/drive/MyDrive/thesis_project/thesis/outputs/exp06_ready/fusion_ready_20260602_203441.json</t>
  </si>
  <si>
    <t>/content/drive/MyDrive/thesis_project/thesis/outputs/exp06_ready/fusion_ready_results_20260602_203441.xlsx</t>
  </si>
  <si>
    <t>/content/drive/MyDrive/thesis_project/thesis/outputs/exp06_ready/fusion_ready_20260602_203444.json</t>
  </si>
  <si>
    <t>/content/drive/MyDrive/thesis_project/thesis/outputs/exp06_ready/fusion_ready_results_20260602_203443.xlsx</t>
  </si>
  <si>
    <t>/content/drive/MyDrive/thesis_project/thesis/outputs/exp06_ready/fusion_ready_20260602_203446.json</t>
  </si>
  <si>
    <t>/content/drive/MyDrive/thesis_project/thesis/outputs/exp06_ready/fusion_ready_results_20260602_203445.xlsx</t>
  </si>
  <si>
    <t>/content/drive/MyDrive/thesis_project/thesis/outputs/exp06_ready/fusion_ready_20260602_203447.json</t>
  </si>
  <si>
    <t>/content/drive/MyDrive/thesis_project/thesis/outputs/exp06_ready/fusion_ready_results_20260602_203447.xlsx</t>
  </si>
  <si>
    <t>/content/drive/MyDrive/thesis_project/thesis/outputs/exp06_ready/fusion_ready_20260602_203450.json</t>
  </si>
  <si>
    <t>/content/drive/MyDrive/thesis_project/thesis/outputs/exp06_ready/fusion_ready_results_20260602_203449.xlsx</t>
  </si>
  <si>
    <t>/content/drive/MyDrive/thesis_project/thesis/outputs/exp06_ready/fusion_ready_20260602_203452.json</t>
  </si>
  <si>
    <t>/content/drive/MyDrive/thesis_project/thesis/outputs/exp06_ready/fusion_ready_results_20260602_203451.xlsx</t>
  </si>
  <si>
    <t>/content/drive/MyDrive/thesis_project/thesis/outputs/exp06_ready/fusion_ready_20260602_203454.json</t>
  </si>
  <si>
    <t>/content/drive/MyDrive/thesis_project/thesis/outputs/exp06_ready/fusion_ready_results_20260602_203453.xlsx</t>
  </si>
  <si>
    <t>/content/drive/MyDrive/thesis_project/thesis/outputs/exp06_ready/fusion_ready_20260602_203456.json</t>
  </si>
  <si>
    <t>/content/drive/MyDrive/thesis_project/thesis/outputs/exp06_ready/fusion_ready_results_20260602_203455.xlsx</t>
  </si>
  <si>
    <t>/content/drive/MyDrive/thesis_project/thesis/outputs/exp06_ready/fusion_ready_20260602_203458.json</t>
  </si>
  <si>
    <t>/content/drive/MyDrive/thesis_project/thesis/outputs/exp06_ready/fusion_ready_results_20260602_203457.xlsx</t>
  </si>
  <si>
    <t>/content/drive/MyDrive/thesis_project/thesis/outputs/exp06_ready/fusion_ready_20260602_203500.json</t>
  </si>
  <si>
    <t>/content/drive/MyDrive/thesis_project/thesis/outputs/exp06_ready/fusion_ready_results_20260602_203459.xlsx</t>
  </si>
  <si>
    <t>/content/drive/MyDrive/thesis_project/thesis/outputs/exp06_ready/fusion_ready_20260602_203502.json</t>
  </si>
  <si>
    <t>/content/drive/MyDrive/thesis_project/thesis/outputs/exp06_ready/fusion_ready_results_20260602_203501.xlsx</t>
  </si>
  <si>
    <t>/content/drive/MyDrive/thesis_project/thesis/outputs/exp06_ready/fusion_ready_20260602_203503.json</t>
  </si>
  <si>
    <t>/content/drive/MyDrive/thesis_project/thesis/outputs/exp06_ready/fusion_ready_results_20260602_203503.xlsx</t>
  </si>
  <si>
    <t>/content/drive/MyDrive/thesis_project/thesis/outputs/exp06_ready/fusion_ready_20260602_203505.json</t>
  </si>
  <si>
    <t>/content/drive/MyDrive/thesis_project/thesis/outputs/exp06_ready/fusion_ready_results_20260602_203504.xlsx</t>
  </si>
  <si>
    <t>/content/drive/MyDrive/thesis_project/thesis/outputs/exp06_ready/fusion_ready_20260602_203506.json</t>
  </si>
  <si>
    <t>/content/drive/MyDrive/thesis_project/thesis/outputs/exp06_ready/fusion_ready_results_20260602_203506.xlsx</t>
  </si>
  <si>
    <t>/content/drive/MyDrive/thesis_project/thesis/outputs/exp06_svm_ready/fusion_svm_ready_20260602_203509.json</t>
  </si>
  <si>
    <t>/content/drive/MyDrive/thesis_project/thesis/outputs/exp06_svm_ready/fusion_svm_ready_results_20260602_203508.xlsx</t>
  </si>
  <si>
    <t>/content/drive/MyDrive/thesis_project/thesis/outputs/exp06_svm_ready/fusion_svm_ready_20260602_203510.json</t>
  </si>
  <si>
    <t>/content/drive/MyDrive/thesis_project/thesis/outputs/exp06_svm_ready/fusion_svm_ready_results_20260602_203510.xlsx</t>
  </si>
  <si>
    <t>/content/drive/MyDrive/thesis_project/thesis/outputs/exp06_svm_ready/fusion_svm_ready_20260602_203512.json</t>
  </si>
  <si>
    <t>/content/drive/MyDrive/thesis_project/thesis/outputs/exp06_svm_ready/fusion_svm_ready_results_20260602_203511.xlsx</t>
  </si>
  <si>
    <t>/content/drive/MyDrive/thesis_project/thesis/outputs/exp06_svm_ready/fusion_svm_ready_20260602_203513.json</t>
  </si>
  <si>
    <t>/content/drive/MyDrive/thesis_project/thesis/outputs/exp06_svm_ready/fusion_svm_ready_results_20260602_203513.xlsx</t>
  </si>
  <si>
    <t>/content/drive/MyDrive/thesis_project/thesis/outputs/exp06_svm_ready/fusion_svm_ready_20260602_203515.json</t>
  </si>
  <si>
    <t>/content/drive/MyDrive/thesis_project/thesis/outputs/exp06_svm_ready/fusion_svm_ready_results_20260602_203514.xlsx</t>
  </si>
  <si>
    <t>/content/drive/MyDrive/thesis_project/thesis/outputs/exp06_svm_ready/fusion_svm_ready_20260602_203516.json</t>
  </si>
  <si>
    <t>/content/drive/MyDrive/thesis_project/thesis/outputs/exp06_svm_ready/fusion_svm_ready_results_20260602_203516.xlsx</t>
  </si>
  <si>
    <t>/content/drive/MyDrive/thesis_project/thesis/outputs/exp06_svm_ready/fusion_svm_ready_20260602_203518.json</t>
  </si>
  <si>
    <t>/content/drive/MyDrive/thesis_project/thesis/outputs/exp06_svm_ready/fusion_svm_ready_results_20260602_203517.xlsx</t>
  </si>
  <si>
    <t>/content/drive/MyDrive/thesis_project/thesis/outputs/exp06_svm_ready/fusion_svm_ready_20260602_203519.json</t>
  </si>
  <si>
    <t>/content/drive/MyDrive/thesis_project/thesis/outputs/exp06_svm_ready/fusion_svm_ready_results_20260602_203518.xlsx</t>
  </si>
  <si>
    <t>/content/drive/MyDrive/thesis_project/thesis/outputs/exp06_svm_ready/fusion_svm_ready_20260602_203521.json</t>
  </si>
  <si>
    <t>/content/drive/MyDrive/thesis_project/thesis/outputs/exp06_svm_ready/fusion_svm_ready_results_20260602_203520.xlsx</t>
  </si>
  <si>
    <t>/content/drive/MyDrive/thesis_project/thesis/outputs/exp06_svm_ready/fusion_svm_ready_20260602_203522.json</t>
  </si>
  <si>
    <t>/content/drive/MyDrive/thesis_project/thesis/outputs/exp06_svm_ready/fusion_svm_ready_results_20260602_203521.xlsx</t>
  </si>
  <si>
    <t>/content/drive/MyDrive/thesis_project/thesis/outputs/exp06_svm_ready/fusion_svm_ready_20260602_203524.json</t>
  </si>
  <si>
    <t>/content/drive/MyDrive/thesis_project/thesis/outputs/exp06_svm_ready/fusion_svm_ready_results_20260602_203523.xlsx</t>
  </si>
  <si>
    <t>/content/drive/MyDrive/thesis_project/thesis/outputs/exp06_svm_ready/fusion_svm_ready_20260602_203525.json</t>
  </si>
  <si>
    <t>/content/drive/MyDrive/thesis_project/thesis/outputs/exp06_svm_ready/fusion_svm_ready_results_20260602_203525.xlsx</t>
  </si>
  <si>
    <t>/content/drive/MyDrive/thesis_project/thesis/outputs/exp06_svm_ready/fusion_svm_ready_20260602_203527.json</t>
  </si>
  <si>
    <t>/content/drive/MyDrive/thesis_project/thesis/outputs/exp06_svm_ready/fusion_svm_ready_results_20260602_203526.xlsx</t>
  </si>
  <si>
    <t>/content/drive/MyDrive/thesis_project/thesis/outputs/exp06_svm_ready/fusion_svm_ready_20260602_203528.json</t>
  </si>
  <si>
    <t>/content/drive/MyDrive/thesis_project/thesis/outputs/exp06_svm_ready/fusion_svm_ready_results_20260602_203527.xlsx</t>
  </si>
  <si>
    <t>/content/drive/MyDrive/thesis_project/thesis/outputs/exp06_svm_ready/fusion_svm_ready_20260602_203530.json</t>
  </si>
  <si>
    <t>/content/drive/MyDrive/thesis_project/thesis/outputs/exp06_svm_ready/fusion_svm_ready_results_20260602_203529.xlsx</t>
  </si>
  <si>
    <t>/content/drive/MyDrive/thesis_project/thesis/outputs/exp06_svm_ready/fusion_svm_ready_20260602_203531.json</t>
  </si>
  <si>
    <t>/content/drive/MyDrive/thesis_project/thesis/outputs/exp06_svm_ready/fusion_svm_ready_results_20260602_203530.xlsx</t>
  </si>
  <si>
    <t>/content/drive/MyDrive/thesis_project/thesis/outputs/exp06_svm_ready/fusion_svm_ready_20260602_203533.json</t>
  </si>
  <si>
    <t>/content/drive/MyDrive/thesis_project/thesis/outputs/exp06_svm_ready/fusion_svm_ready_results_20260602_203532.xlsx</t>
  </si>
  <si>
    <t>/content/drive/MyDrive/thesis_project/thesis/outputs/exp06_svm_ready/fusion_svm_ready_20260602_203534.json</t>
  </si>
  <si>
    <t>/content/drive/MyDrive/thesis_project/thesis/outputs/exp06_svm_ready/fusion_svm_ready_results_20260602_203533.xlsx</t>
  </si>
  <si>
    <t>/content/drive/MyDrive/thesis_project/thesis/outputs/exp06_svm_ready/fusion_svm_ready_20260602_203535.json</t>
  </si>
  <si>
    <t>/content/drive/MyDrive/thesis_project/thesis/outputs/exp06_svm_ready/fusion_svm_ready_results_20260602_203535.xlsx</t>
  </si>
  <si>
    <t>/content/drive/MyDrive/thesis_project/thesis/outputs/exp06_svm_ready/fusion_svm_ready_20260602_203537.json</t>
  </si>
  <si>
    <t>/content/drive/MyDrive/thesis_project/thesis/outputs/exp06_svm_ready/fusion_svm_ready_results_20260602_203537.xlsx</t>
  </si>
  <si>
    <t>/content/drive/MyDrive/thesis_project/thesis/outputs/exp06_svm_ready/fusion_svm_ready_20260602_203538.json</t>
  </si>
  <si>
    <t>/content/drive/MyDrive/thesis_project/thesis/outputs/exp06_svm_ready/fusion_svm_ready_results_20260602_203538.xlsx</t>
  </si>
  <si>
    <t>/content/drive/MyDrive/thesis_project/thesis/outputs/exp06_svm_ready/fusion_svm_ready_20260602_203540.json</t>
  </si>
  <si>
    <t>/content/drive/MyDrive/thesis_project/thesis/outputs/exp06_svm_ready/fusion_svm_ready_results_20260602_203539.xlsx</t>
  </si>
  <si>
    <t>/content/drive/MyDrive/thesis_project/thesis/outputs/exp06_svm_ready/fusion_svm_ready_20260602_203541.json</t>
  </si>
  <si>
    <t>/content/drive/MyDrive/thesis_project/thesis/outputs/exp06_svm_ready/fusion_svm_ready_results_20260602_203541.xlsx</t>
  </si>
  <si>
    <t>/content/drive/MyDrive/thesis_project/thesis/outputs/exp06_svm_ready/fusion_svm_ready_20260602_203542.json</t>
  </si>
  <si>
    <t>/content/drive/MyDrive/thesis_project/thesis/outputs/exp06_svm_ready/fusion_svm_ready_results_20260602_203542.xlsx</t>
  </si>
  <si>
    <t>/content/drive/MyDrive/thesis_project/thesis/outputs/exp06_svm_ready/fusion_svm_ready_20260602_203543.json</t>
  </si>
  <si>
    <t>/content/drive/MyDrive/thesis_project/thesis/outputs/exp06_svm_ready/fusion_svm_ready_results_20260602_203543.xlsx</t>
  </si>
  <si>
    <t>/content/drive/MyDrive/thesis_project/thesis/outputs/exp06_svm_ready/fusion_svm_ready_20260602_203545.json</t>
  </si>
  <si>
    <t>/content/drive/MyDrive/thesis_project/thesis/outputs/exp06_svm_ready/fusion_svm_ready_results_20260602_203544.xlsx</t>
  </si>
  <si>
    <t>/content/drive/MyDrive/thesis_project/thesis/outputs/exp06_svm_ready/fusion_svm_ready_20260602_203546.json</t>
  </si>
  <si>
    <t>/content/drive/MyDrive/thesis_project/thesis/outputs/exp06_svm_ready/fusion_svm_ready_results_20260602_203546.xlsx</t>
  </si>
  <si>
    <t>/content/drive/MyDrive/thesis_project/thesis/outputs/exp06_svm_ready/fusion_svm_ready_20260602_203547.json</t>
  </si>
  <si>
    <t>/content/drive/MyDrive/thesis_project/thesis/outputs/exp06_svm_ready/fusion_svm_ready_results_20260602_203547.xlsx</t>
  </si>
  <si>
    <t>/content/drive/MyDrive/thesis_project/thesis/outputs/exp06_svm_ready/fusion_svm_ready_20260602_203549.json</t>
  </si>
  <si>
    <t>/content/drive/MyDrive/thesis_project/thesis/outputs/exp06_svm_ready/fusion_svm_ready_results_20260602_203548.xlsx</t>
  </si>
  <si>
    <t>/content/drive/MyDrive/thesis_project/thesis/outputs/exp06_svm_ready/fusion_svm_ready_20260602_203550.json</t>
  </si>
  <si>
    <t>/content/drive/MyDrive/thesis_project/thesis/outputs/exp06_svm_ready/fusion_svm_ready_results_20260602_203550.xlsx</t>
  </si>
  <si>
    <t>/content/drive/MyDrive/thesis_project/thesis/outputs/exp06_svm_ready/fusion_svm_ready_20260602_203551.json</t>
  </si>
  <si>
    <t>/content/drive/MyDrive/thesis_project/thesis/outputs/exp06_svm_ready/fusion_svm_ready_results_20260602_203551.xlsx</t>
  </si>
  <si>
    <t>/content/drive/MyDrive/thesis_project/thesis/outputs/exp06_svm_ready/fusion_svm_ready_20260602_203552.json</t>
  </si>
  <si>
    <t>/content/drive/MyDrive/thesis_project/thesis/outputs/exp06_svm_ready/fusion_svm_ready_results_20260602_203552.xlsx</t>
  </si>
  <si>
    <t>/content/drive/MyDrive/thesis_project/thesis/outputs/exp06_svm_ready/fusion_svm_ready_20260602_203554.json</t>
  </si>
  <si>
    <t>/content/drive/MyDrive/thesis_project/thesis/outputs/exp06_svm_ready/fusion_svm_ready_results_20260602_203553.xlsx</t>
  </si>
  <si>
    <t>/content/drive/MyDrive/thesis_project/thesis/outputs/exp06_svm_ready/fusion_svm_ready_20260602_203555.json</t>
  </si>
  <si>
    <t>/content/drive/MyDrive/thesis_project/thesis/outputs/exp06_svm_ready/fusion_svm_ready_results_20260602_203555.xlsx</t>
  </si>
  <si>
    <t>/content/drive/MyDrive/thesis_project/thesis/outputs/exp06_svm_ready/fusion_svm_ready_20260602_203556.json</t>
  </si>
  <si>
    <t>/content/drive/MyDrive/thesis_project/thesis/outputs/exp06_svm_ready/fusion_svm_ready_results_20260602_203556.xlsx</t>
  </si>
  <si>
    <t>/content/drive/MyDrive/thesis_project/thesis/outputs/exp06_svm_ready/fusion_svm_ready_20260602_203558.json</t>
  </si>
  <si>
    <t>/content/drive/MyDrive/thesis_project/thesis/outputs/exp06_svm_ready/fusion_svm_ready_results_20260602_203557.xlsx</t>
  </si>
  <si>
    <t>/content/drive/MyDrive/thesis_project/thesis/outputs/exp06_svm_ready/fusion_svm_ready_20260602_203559.json</t>
  </si>
  <si>
    <t>/content/drive/MyDrive/thesis_project/thesis/outputs/exp06_svm_ready/fusion_svm_ready_results_20260602_203558.xlsx</t>
  </si>
  <si>
    <t>/content/drive/MyDrive/thesis_project/thesis/outputs/exp06_svm_ready/fusion_svm_ready_20260602_203600.json</t>
  </si>
  <si>
    <t>/content/drive/MyDrive/thesis_project/thesis/outputs/exp06_svm_ready/fusion_svm_ready_results_20260602_203600.xlsx</t>
  </si>
  <si>
    <t>/content/drive/MyDrive/thesis_project/thesis/outputs/exp06_svm_ready/fusion_svm_ready_20260602_203602.json</t>
  </si>
  <si>
    <t>/content/drive/MyDrive/thesis_project/thesis/outputs/exp06_svm_ready/fusion_svm_ready_results_20260602_203601.xlsx</t>
  </si>
  <si>
    <t>/content/drive/MyDrive/thesis_project/thesis/outputs/exp06_svm_ready/fusion_svm_ready_20260602_203603.json</t>
  </si>
  <si>
    <t>/content/drive/MyDrive/thesis_project/thesis/outputs/exp06_svm_ready/fusion_svm_ready_results_20260602_203602.xlsx</t>
  </si>
  <si>
    <t>/content/drive/MyDrive/thesis_project/thesis/outputs/exp06_svm_ready/fusion_svm_ready_20260602_203605.json</t>
  </si>
  <si>
    <t>/content/drive/MyDrive/thesis_project/thesis/outputs/exp06_svm_ready/fusion_svm_ready_results_20260602_203604.xlsx</t>
  </si>
  <si>
    <t>/content/drive/MyDrive/thesis_project/thesis/outputs/exp06_svm_ready/fusion_svm_ready_20260602_203606.json</t>
  </si>
  <si>
    <t>/content/drive/MyDrive/thesis_project/thesis/outputs/exp06_svm_ready/fusion_svm_ready_results_20260602_203605.xlsx</t>
  </si>
  <si>
    <t>/content/drive/MyDrive/thesis_project/thesis/outputs/exp06_svm_ready/fusion_svm_ready_20260602_203608.json</t>
  </si>
  <si>
    <t>/content/drive/MyDrive/thesis_project/thesis/outputs/exp06_svm_ready/fusion_svm_ready_results_20260602_203607.xlsx</t>
  </si>
  <si>
    <t>/content/drive/MyDrive/thesis_project/thesis/outputs/exp06_svm_ready/fusion_svm_ready_20260602_203609.json</t>
  </si>
  <si>
    <t>/content/drive/MyDrive/thesis_project/thesis/outputs/exp06_svm_ready/fusion_svm_ready_results_20260602_203608.xlsx</t>
  </si>
  <si>
    <t>/content/drive/MyDrive/thesis_project/thesis/outputs/exp06_svm_ready/fusion_svm_ready_20260602_203610.json</t>
  </si>
  <si>
    <t>/content/drive/MyDrive/thesis_project/thesis/outputs/exp06_svm_ready/fusion_svm_ready_results_20260602_203610.xlsx</t>
  </si>
  <si>
    <t>/content/drive/MyDrive/thesis_project/thesis/outputs/exp06_svm_ready/fusion_svm_ready_20260602_203612.json</t>
  </si>
  <si>
    <t>/content/drive/MyDrive/thesis_project/thesis/outputs/exp06_svm_ready/fusion_svm_ready_results_20260602_203611.xlsx</t>
  </si>
  <si>
    <t>/content/drive/MyDrive/thesis_project/thesis/outputs/exp06_svm_ready/fusion_svm_ready_20260602_203613.json</t>
  </si>
  <si>
    <t>/content/drive/MyDrive/thesis_project/thesis/outputs/exp06_svm_ready/fusion_svm_ready_results_20260602_203613.xlsx</t>
  </si>
  <si>
    <t>/content/drive/MyDrive/thesis_project/thesis/outputs/exp06_svm_ready/fusion_svm_ready_20260602_203615.json</t>
  </si>
  <si>
    <t>/content/drive/MyDrive/thesis_project/thesis/outputs/exp06_svm_ready/fusion_svm_ready_results_20260602_203614.xlsx</t>
  </si>
  <si>
    <t>/content/drive/MyDrive/thesis_project/thesis/outputs/exp06_svm_ready/fusion_svm_ready_20260602_203616.json</t>
  </si>
  <si>
    <t>/content/drive/MyDrive/thesis_project/thesis/outputs/exp06_svm_ready/fusion_svm_ready_results_20260602_203616.xlsx</t>
  </si>
  <si>
    <t>/content/drive/MyDrive/thesis_project/thesis/outputs/exp06_svm_ready/fusion_svm_ready_20260602_203618.json</t>
  </si>
  <si>
    <t>/content/drive/MyDrive/thesis_project/thesis/outputs/exp06_svm_ready/fusion_svm_ready_results_20260602_203617.xlsx</t>
  </si>
  <si>
    <t>/content/drive/MyDrive/thesis_project/thesis/outputs/exp06_svm_ready/fusion_svm_ready_20260602_203619.json</t>
  </si>
  <si>
    <t>/content/drive/MyDrive/thesis_project/thesis/outputs/exp06_svm_ready/fusion_svm_ready_results_20260602_203619.xlsx</t>
  </si>
  <si>
    <t>/content/drive/MyDrive/thesis_project/thesis/outputs/exp06_svm_ready/fusion_svm_ready_20260602_203621.json</t>
  </si>
  <si>
    <t>/content/drive/MyDrive/thesis_project/thesis/outputs/exp06_svm_ready/fusion_svm_ready_results_20260602_203620.xlsx</t>
  </si>
  <si>
    <t>/content/drive/MyDrive/thesis_project/thesis/outputs/exp06_svm_ready/fusion_svm_ready_20260602_203622.json</t>
  </si>
  <si>
    <t>/content/drive/MyDrive/thesis_project/thesis/outputs/exp06_svm_ready/fusion_svm_ready_results_20260602_203622.xlsx</t>
  </si>
  <si>
    <t>/content/drive/MyDrive/thesis_project/thesis/outputs/exp06_svm_ready/fusion_svm_ready_20260602_203624.json</t>
  </si>
  <si>
    <t>/content/drive/MyDrive/thesis_project/thesis/outputs/exp06_svm_ready/fusion_svm_ready_results_20260602_203623.xlsx</t>
  </si>
  <si>
    <t>/content/drive/MyDrive/thesis_project/thesis/outputs/exp06_svm_ready/fusion_svm_ready_20260602_203625.json</t>
  </si>
  <si>
    <t>/content/drive/MyDrive/thesis_project/thesis/outputs/exp06_svm_ready/fusion_svm_ready_results_20260602_203625.xlsx</t>
  </si>
  <si>
    <t>/content/drive/MyDrive/thesis_project/thesis/outputs/exp06_svm_ready/fusion_svm_ready_20260602_203627.json</t>
  </si>
  <si>
    <t>/content/drive/MyDrive/thesis_project/thesis/outputs/exp06_svm_ready/fusion_svm_ready_results_20260602_203626.xlsx</t>
  </si>
  <si>
    <t>/content/drive/MyDrive/thesis_project/thesis/outputs/exp06_svm_ready/fusion_svm_ready_20260602_203628.json</t>
  </si>
  <si>
    <t>/content/drive/MyDrive/thesis_project/thesis/outputs/exp06_svm_ready/fusion_svm_ready_results_20260602_203627.xlsx</t>
  </si>
  <si>
    <t>/content/drive/MyDrive/thesis_project/thesis/outputs/exp06_svm_ready/fusion_svm_ready_20260602_203630.json</t>
  </si>
  <si>
    <t>/content/drive/MyDrive/thesis_project/thesis/outputs/exp06_svm_ready/fusion_svm_ready_results_20260602_203629.xlsx</t>
  </si>
  <si>
    <t>/content/drive/MyDrive/thesis_project/thesis/outputs/exp06_svm_ready/fusion_svm_ready_20260602_203631.json</t>
  </si>
  <si>
    <t>/content/drive/MyDrive/thesis_project/thesis/outputs/exp06_svm_ready/fusion_svm_ready_results_20260602_203630.xlsx</t>
  </si>
  <si>
    <t>/content/drive/MyDrive/thesis_project/thesis/outputs/exp06_svm_ready/fusion_svm_ready_20260602_203632.json</t>
  </si>
  <si>
    <t>/content/drive/MyDrive/thesis_project/thesis/outputs/exp06_svm_ready/fusion_svm_ready_results_20260602_203632.xlsx</t>
  </si>
  <si>
    <t>/content/drive/MyDrive/thesis_project/thesis/outputs/exp06_svm_ready/fusion_svm_ready_20260602_203634.json</t>
  </si>
  <si>
    <t>/content/drive/MyDrive/thesis_project/thesis/outputs/exp06_svm_ready/fusion_svm_ready_results_20260602_203634.xlsx</t>
  </si>
  <si>
    <t>/content/drive/MyDrive/thesis_project/thesis/outputs/exp06_svm_ready/fusion_svm_ready_20260602_203636.json</t>
  </si>
  <si>
    <t>/content/drive/MyDrive/thesis_project/thesis/outputs/exp06_svm_ready/fusion_svm_ready_results_20260602_203635.xlsx</t>
  </si>
  <si>
    <t>/content/drive/MyDrive/thesis_project/thesis/outputs/exp06_svm_ready/fusion_svm_ready_20260602_203637.json</t>
  </si>
  <si>
    <t>/content/drive/MyDrive/thesis_project/thesis/outputs/exp06_svm_ready/fusion_svm_ready_results_20260602_203636.xlsx</t>
  </si>
  <si>
    <t>/content/drive/MyDrive/thesis_project/thesis/outputs/exp06_svm_ready/fusion_svm_ready_20260602_203639.json</t>
  </si>
  <si>
    <t>/content/drive/MyDrive/thesis_project/thesis/outputs/exp06_svm_ready/fusion_svm_ready_results_20260602_203638.xlsx</t>
  </si>
  <si>
    <t>/content/drive/MyDrive/thesis_project/thesis/outputs/exp06_svm_ready/fusion_svm_ready_20260602_203640.json</t>
  </si>
  <si>
    <t>/content/drive/MyDrive/thesis_project/thesis/outputs/exp06_svm_ready/fusion_svm_ready_results_20260602_203639.xlsx</t>
  </si>
  <si>
    <t>/content/drive/MyDrive/thesis_project/thesis/outputs/exp06_svm_ready/fusion_svm_ready_20260602_203641.json</t>
  </si>
  <si>
    <t>/content/drive/MyDrive/thesis_project/thesis/outputs/exp06_svm_ready/fusion_svm_ready_results_20260602_203641.xlsx</t>
  </si>
  <si>
    <t>/content/drive/MyDrive/thesis_project/thesis/outputs/exp06_svm_ready/fusion_svm_ready_20260602_203643.json</t>
  </si>
  <si>
    <t>/content/drive/MyDrive/thesis_project/thesis/outputs/exp06_svm_ready/fusion_svm_ready_results_20260602_203642.xlsx</t>
  </si>
  <si>
    <t>/content/drive/MyDrive/thesis_project/thesis/outputs/exp06_svm_ready/fusion_svm_ready_20260602_203644.json</t>
  </si>
  <si>
    <t>/content/drive/MyDrive/thesis_project/thesis/outputs/exp06_svm_ready/fusion_svm_ready_results_20260602_203644.xlsx</t>
  </si>
  <si>
    <t>/content/drive/MyDrive/thesis_project/thesis/outputs/exp06_svm_ready/fusion_svm_ready_20260602_203646.json</t>
  </si>
  <si>
    <t>/content/drive/MyDrive/thesis_project/thesis/outputs/exp06_svm_ready/fusion_svm_ready_results_20260602_203645.xlsx</t>
  </si>
  <si>
    <t>/content/drive/MyDrive/thesis_project/thesis/outputs/exp06_svm_ready/fusion_svm_ready_20260602_203648.json</t>
  </si>
  <si>
    <t>/content/drive/MyDrive/thesis_project/thesis/outputs/exp06_svm_ready/fusion_svm_ready_results_20260602_203647.xlsx</t>
  </si>
  <si>
    <t>/content/drive/MyDrive/thesis_project/thesis/outputs/exp06_svm_ready/fusion_svm_ready_20260602_203649.json</t>
  </si>
  <si>
    <t>/content/drive/MyDrive/thesis_project/thesis/outputs/exp06_svm_ready/fusion_svm_ready_results_20260602_203648.xlsx</t>
  </si>
  <si>
    <t>/content/drive/MyDrive/thesis_project/thesis/outputs/exp06_svm_ready/fusion_svm_ready_20260602_203650.json</t>
  </si>
  <si>
    <t>/content/drive/MyDrive/thesis_project/thesis/outputs/exp06_svm_ready/fusion_svm_ready_results_20260602_203650.xlsx</t>
  </si>
  <si>
    <t>/content/drive/MyDrive/thesis_project/thesis/outputs/exp06_svm_ready/fusion_svm_ready_20260602_203652.json</t>
  </si>
  <si>
    <t>/content/drive/MyDrive/thesis_project/thesis/outputs/exp06_svm_ready/fusion_svm_ready_results_20260602_203651.xlsx</t>
  </si>
  <si>
    <t>/content/drive/MyDrive/thesis_project/thesis/outputs/exp06_svm_ready/fusion_svm_ready_20260602_203653.json</t>
  </si>
  <si>
    <t>/content/drive/MyDrive/thesis_project/thesis/outputs/exp06_svm_ready/fusion_svm_ready_results_20260602_203653.xlsx</t>
  </si>
  <si>
    <t>/content/drive/MyDrive/thesis_project/thesis/outputs/exp06_svm_ready/fusion_svm_ready_20260602_203655.json</t>
  </si>
  <si>
    <t>/content/drive/MyDrive/thesis_project/thesis/outputs/exp06_svm_ready/fusion_svm_ready_results_20260602_203654.xlsx</t>
  </si>
  <si>
    <t>/content/drive/MyDrive/thesis_project/thesis/outputs/exp06_svm_ready/fusion_svm_ready_20260602_203657.json</t>
  </si>
  <si>
    <t>/content/drive/MyDrive/thesis_project/thesis/outputs/exp06_svm_ready/fusion_svm_ready_results_20260602_203656.xlsx</t>
  </si>
  <si>
    <t>/content/drive/MyDrive/thesis_project/thesis/outputs/exp06_svm_ready/fusion_svm_ready_20260602_203658.json</t>
  </si>
  <si>
    <t>/content/drive/MyDrive/thesis_project/thesis/outputs/exp06_svm_ready/fusion_svm_ready_results_20260602_203657.xlsx</t>
  </si>
  <si>
    <t>/content/drive/MyDrive/thesis_project/thesis/outputs/exp06_svm_ready/fusion_svm_ready_20260602_203700.json</t>
  </si>
  <si>
    <t>/content/drive/MyDrive/thesis_project/thesis/outputs/exp06_svm_ready/fusion_svm_ready_results_20260602_203659.xlsx</t>
  </si>
  <si>
    <t>/content/drive/MyDrive/thesis_project/thesis/outputs/exp06_svm_ready/fusion_svm_ready_20260602_203701.json</t>
  </si>
  <si>
    <t>/content/drive/MyDrive/thesis_project/thesis/outputs/exp06_svm_ready/fusion_svm_ready_results_20260602_203700.xlsx</t>
  </si>
  <si>
    <t>/content/drive/MyDrive/thesis_project/thesis/outputs/exp06_svm_ready/fusion_svm_ready_20260602_203702.json</t>
  </si>
  <si>
    <t>/content/drive/MyDrive/thesis_project/thesis/outputs/exp06_svm_ready/fusion_svm_ready_results_20260602_203702.xlsx</t>
  </si>
  <si>
    <t>/content/drive/MyDrive/thesis_project/thesis/outputs/exp06_svm_ready/fusion_svm_ready_20260602_203704.json</t>
  </si>
  <si>
    <t>/content/drive/MyDrive/thesis_project/thesis/outputs/exp06_svm_ready/fusion_svm_ready_results_20260602_203703.xlsx</t>
  </si>
  <si>
    <t>/content/drive/MyDrive/thesis_project/thesis/outputs/exp06_svm_ready/fusion_svm_ready_20260602_203705.json</t>
  </si>
  <si>
    <t>/content/drive/MyDrive/thesis_project/thesis/outputs/exp06_svm_ready/fusion_svm_ready_results_20260602_203705.xlsx</t>
  </si>
  <si>
    <t>/content/drive/MyDrive/thesis_project/thesis/outputs/exp06_svm_ready/fusion_svm_ready_20260602_203706.json</t>
  </si>
  <si>
    <t>/content/drive/MyDrive/thesis_project/thesis/outputs/exp06_svm_ready/fusion_svm_ready_results_20260602_203706.xlsx</t>
  </si>
  <si>
    <t>/content/drive/MyDrive/thesis_project/thesis/outputs/exp06_svm_ready/fusion_svm_ready_20260602_203708.json</t>
  </si>
  <si>
    <t>/content/drive/MyDrive/thesis_project/thesis/outputs/exp06_svm_ready/fusion_svm_ready_results_20260602_203707.xlsx</t>
  </si>
  <si>
    <t>/content/drive/MyDrive/thesis_project/thesis/outputs/exp06_svm_ready/fusion_svm_ready_20260602_203709.json</t>
  </si>
  <si>
    <t>/content/drive/MyDrive/thesis_project/thesis/outputs/exp06_svm_ready/fusion_svm_ready_results_20260602_203708.xlsx</t>
  </si>
  <si>
    <t>/content/drive/MyDrive/thesis_project/thesis/outputs/exp06_svm_ready/fusion_svm_ready_20260602_203710.json</t>
  </si>
  <si>
    <t>/content/drive/MyDrive/thesis_project/thesis/outputs/exp06_svm_ready/fusion_svm_ready_results_20260602_203710.xlsx</t>
  </si>
  <si>
    <t>/content/drive/MyDrive/thesis_project/thesis/outputs/exp06_svm_ready/fusion_svm_ready_20260602_203711.json</t>
  </si>
  <si>
    <t>/content/drive/MyDrive/thesis_project/thesis/outputs/exp06_svm_ready/fusion_svm_ready_results_20260602_203711.xlsx</t>
  </si>
  <si>
    <t>/content/drive/MyDrive/thesis_project/thesis/outputs/exp06_svm_ready/fusion_svm_ready_20260602_203713.json</t>
  </si>
  <si>
    <t>/content/drive/MyDrive/thesis_project/thesis/outputs/exp06_svm_ready/fusion_svm_ready_results_20260602_203712.xlsx</t>
  </si>
  <si>
    <t>/content/drive/MyDrive/thesis_project/thesis/outputs/exp06_svm_ready/fusion_svm_ready_20260602_203714.json</t>
  </si>
  <si>
    <t>/content/drive/MyDrive/thesis_project/thesis/outputs/exp06_svm_ready/fusion_svm_ready_results_20260602_203714.xlsx</t>
  </si>
  <si>
    <t>/content/drive/MyDrive/thesis_project/thesis/outputs/exp06_svm_ready/fusion_svm_ready_20260602_203715.json</t>
  </si>
  <si>
    <t>/content/drive/MyDrive/thesis_project/thesis/outputs/exp06_svm_ready/fusion_svm_ready_results_20260602_203715.xlsx</t>
  </si>
  <si>
    <t>/content/drive/MyDrive/thesis_project/thesis/outputs/exp06_svm_ready/fusion_svm_ready_20260602_203716.json</t>
  </si>
  <si>
    <t>/content/drive/MyDrive/thesis_project/thesis/outputs/exp06_svm_ready/fusion_svm_ready_results_20260602_203716.xlsx</t>
  </si>
  <si>
    <t>/content/drive/MyDrive/thesis_project/thesis/outputs/exp06_svm_ready/fusion_svm_ready_20260602_203718.json</t>
  </si>
  <si>
    <t>/content/drive/MyDrive/thesis_project/thesis/outputs/exp06_svm_ready/fusion_svm_ready_results_20260602_203717.xlsx</t>
  </si>
  <si>
    <t>/content/drive/MyDrive/thesis_project/thesis/outputs/exp06_svm_ready/fusion_svm_ready_20260602_203719.json</t>
  </si>
  <si>
    <t>/content/drive/MyDrive/thesis_project/thesis/outputs/exp06_svm_ready/fusion_svm_ready_results_20260602_203719.xlsx</t>
  </si>
  <si>
    <t>/content/drive/MyDrive/thesis_project/thesis/outputs/exp06_svm_ready/fusion_svm_ready_20260602_203720.json</t>
  </si>
  <si>
    <t>/content/drive/MyDrive/thesis_project/thesis/outputs/exp06_svm_ready/fusion_svm_ready_results_20260602_203720.xlsx</t>
  </si>
  <si>
    <t>/content/drive/MyDrive/thesis_project/thesis/outputs/exp06_svm_ready/fusion_svm_ready_20260602_203722.json</t>
  </si>
  <si>
    <t>/content/drive/MyDrive/thesis_project/thesis/outputs/exp06_svm_ready/fusion_svm_ready_results_20260602_203721.xlsx</t>
  </si>
  <si>
    <t>/content/drive/MyDrive/thesis_project/thesis/outputs/exp06_svm_ready/fusion_svm_ready_20260602_203723.json</t>
  </si>
  <si>
    <t>/content/drive/MyDrive/thesis_project/thesis/outputs/exp06_svm_ready/fusion_svm_ready_results_20260602_203723.xlsx</t>
  </si>
  <si>
    <t>/content/drive/MyDrive/thesis_project/thesis/outputs/exp06_svm_ready/fusion_svm_ready_20260602_203724.json</t>
  </si>
  <si>
    <t>/content/drive/MyDrive/thesis_project/thesis/outputs/exp06_svm_ready/fusion_svm_ready_results_20260602_203724.xlsx</t>
  </si>
  <si>
    <t>/content/drive/MyDrive/thesis_project/thesis/outputs/exp06_svm_ready/fusion_svm_ready_20260602_203726.json</t>
  </si>
  <si>
    <t>/content/drive/MyDrive/thesis_project/thesis/outputs/exp06_svm_ready/fusion_svm_ready_results_20260602_203725.xlsx</t>
  </si>
  <si>
    <t>/content/drive/MyDrive/thesis_project/thesis/outputs/exp06_svm_ready/fusion_svm_ready_20260602_203727.json</t>
  </si>
  <si>
    <t>/content/drive/MyDrive/thesis_project/thesis/outputs/exp06_svm_ready/fusion_svm_ready_results_20260602_203726.xlsx</t>
  </si>
  <si>
    <t>/content/drive/MyDrive/thesis_project/thesis/outputs/exp06_svm_ready/fusion_svm_ready_20260602_203728.json</t>
  </si>
  <si>
    <t>/content/drive/MyDrive/thesis_project/thesis/outputs/exp06_svm_ready/fusion_svm_ready_results_20260602_203728.xlsx</t>
  </si>
  <si>
    <t>/content/drive/MyDrive/thesis_project/thesis/outputs/exp06_svm_ready/fusion_svm_ready_20260602_203730.json</t>
  </si>
  <si>
    <t>/content/drive/MyDrive/thesis_project/thesis/outputs/exp06_svm_ready/fusion_svm_ready_results_20260602_203729.xlsx</t>
  </si>
  <si>
    <t>/content/drive/MyDrive/thesis_project/thesis/outputs/exp06_svm_ready/fusion_svm_ready_20260602_203731.json</t>
  </si>
  <si>
    <t>/content/drive/MyDrive/thesis_project/thesis/outputs/exp06_svm_ready/fusion_svm_ready_results_20260602_203730.xlsx</t>
  </si>
  <si>
    <t>/content/drive/MyDrive/thesis_project/thesis/outputs/exp06_svm_ready/fusion_svm_ready_20260602_203733.json</t>
  </si>
  <si>
    <t>/content/drive/MyDrive/thesis_project/thesis/outputs/exp06_svm_ready/fusion_svm_ready_results_20260602_203732.xlsx</t>
  </si>
  <si>
    <t>/content/drive/MyDrive/thesis_project/thesis/outputs/exp06_svm_ready/fusion_svm_ready_20260602_203734.json</t>
  </si>
  <si>
    <t>/content/drive/MyDrive/thesis_project/thesis/outputs/exp06_svm_ready/fusion_svm_ready_results_20260602_203733.xlsx</t>
  </si>
  <si>
    <t>/content/drive/MyDrive/thesis_project/thesis/outputs/exp06_svm_ready/fusion_svm_ready_20260602_203736.json</t>
  </si>
  <si>
    <t>/content/drive/MyDrive/thesis_project/thesis/outputs/exp06_svm_ready/fusion_svm_ready_results_20260602_203735.xlsx</t>
  </si>
  <si>
    <t>/content/drive/MyDrive/thesis_project/thesis/outputs/exp06_svm_ready/fusion_svm_ready_20260602_203737.json</t>
  </si>
  <si>
    <t>/content/drive/MyDrive/thesis_project/thesis/outputs/exp06_svm_ready/fusion_svm_ready_results_20260602_203737.xlsx</t>
  </si>
  <si>
    <t>/content/drive/MyDrive/thesis_project/thesis/outputs/exp06_svm_ready/fusion_svm_ready_20260602_203739.json</t>
  </si>
  <si>
    <t>/content/drive/MyDrive/thesis_project/thesis/outputs/exp06_svm_ready/fusion_svm_ready_results_20260602_203738.xlsx</t>
  </si>
  <si>
    <t>/content/drive/MyDrive/thesis_project/thesis/outputs/exp06_svm_ready/fusion_svm_ready_20260602_203740.json</t>
  </si>
  <si>
    <t>/content/drive/MyDrive/thesis_project/thesis/outputs/exp06_svm_ready/fusion_svm_ready_results_20260602_203739.xlsx</t>
  </si>
  <si>
    <t>/content/drive/MyDrive/thesis_project/thesis/outputs/exp06_svm_ready/fusion_svm_ready_20260602_203742.json</t>
  </si>
  <si>
    <t>/content/drive/MyDrive/thesis_project/thesis/outputs/exp06_svm_ready/fusion_svm_ready_results_20260602_203741.xlsx</t>
  </si>
  <si>
    <t>/content/drive/MyDrive/thesis_project/thesis/outputs/exp06_svm_ready/fusion_svm_ready_20260602_203743.json</t>
  </si>
  <si>
    <t>/content/drive/MyDrive/thesis_project/thesis/outputs/exp06_svm_ready/fusion_svm_ready_results_20260602_203742.xlsx</t>
  </si>
  <si>
    <t>/content/drive/MyDrive/thesis_project/thesis/outputs/exp06_svm_ready/fusion_svm_ready_20260602_203745.json</t>
  </si>
  <si>
    <t>/content/drive/MyDrive/thesis_project/thesis/outputs/exp06_svm_ready/fusion_svm_ready_results_20260602_203744.xlsx</t>
  </si>
  <si>
    <t>/content/drive/MyDrive/thesis_project/thesis/outputs/exp06_svm_ready/fusion_svm_ready_20260602_203746.json</t>
  </si>
  <si>
    <t>/content/drive/MyDrive/thesis_project/thesis/outputs/exp06_svm_ready/fusion_svm_ready_results_20260602_203746.xlsx</t>
  </si>
  <si>
    <t>/content/drive/MyDrive/thesis_project/thesis/outputs/exp06_svm_ready/fusion_svm_ready_20260602_203747.json</t>
  </si>
  <si>
    <t>/content/drive/MyDrive/thesis_project/thesis/outputs/exp06_svm_ready/fusion_svm_ready_results_20260602_203747.xlsx</t>
  </si>
  <si>
    <t>/content/drive/MyDrive/thesis_project/thesis/outputs/exp06_svm_ready/fusion_svm_ready_20260602_203749.json</t>
  </si>
  <si>
    <t>/content/drive/MyDrive/thesis_project/thesis/outputs/exp06_svm_ready/fusion_svm_ready_results_20260602_203748.xlsx</t>
  </si>
  <si>
    <t>/content/drive/MyDrive/thesis_project/thesis/outputs/exp06_svm_ready/fusion_svm_ready_20260602_203751.json</t>
  </si>
  <si>
    <t>/content/drive/MyDrive/thesis_project/thesis/outputs/exp06_svm_ready/fusion_svm_ready_results_20260602_203750.xlsx</t>
  </si>
  <si>
    <t>/content/drive/MyDrive/thesis_project/thesis/outputs/exp06_svm_ready/fusion_svm_ready_20260602_203752.json</t>
  </si>
  <si>
    <t>/content/drive/MyDrive/thesis_project/thesis/outputs/exp06_svm_ready/fusion_svm_ready_results_20260602_203751.xlsx</t>
  </si>
  <si>
    <t>/content/drive/MyDrive/thesis_project/thesis/outputs/exp06_svm_ready/fusion_svm_ready_20260602_203753.json</t>
  </si>
  <si>
    <t>/content/drive/MyDrive/thesis_project/thesis/outputs/exp06_svm_ready/fusion_svm_ready_results_20260602_203753.xlsx</t>
  </si>
  <si>
    <t>/content/drive/MyDrive/thesis_project/thesis/outputs/exp06_svm_ready/fusion_svm_ready_20260602_203755.json</t>
  </si>
  <si>
    <t>/content/drive/MyDrive/thesis_project/thesis/outputs/exp06_svm_ready/fusion_svm_ready_results_20260602_203754.xlsx</t>
  </si>
  <si>
    <t>/content/drive/MyDrive/thesis_project/thesis/outputs/exp06_svm_ready/fusion_svm_ready_20260602_203756.json</t>
  </si>
  <si>
    <t>/content/drive/MyDrive/thesis_project/thesis/outputs/exp06_svm_ready/fusion_svm_ready_results_20260602_203756.xlsx</t>
  </si>
  <si>
    <t>/content/drive/MyDrive/thesis_project/thesis/outputs/exp06_svm_ready/fusion_svm_ready_20260602_203758.json</t>
  </si>
  <si>
    <t>/content/drive/MyDrive/thesis_project/thesis/outputs/exp06_svm_ready/fusion_svm_ready_results_20260602_203757.xlsx</t>
  </si>
  <si>
    <t>berel</t>
  </si>
  <si>
    <t>dicta-il/BEREL_3.0</t>
  </si>
  <si>
    <t>/content/drive/MyDrive/thesis_project/thesis/outputs/exp01/regular_ner_20260602_203836.json</t>
  </si>
  <si>
    <t>/content/drive/MyDrive/thesis_project/thesis/outputs/exp01/regular_ner_results_20260602_203836.xlsx</t>
  </si>
  <si>
    <t>/content/drive/MyDrive/thesis_project/thesis/outputs/exp01/regular_ner_20260602_205602.json</t>
  </si>
  <si>
    <t>/content/drive/MyDrive/thesis_project/thesis/outputs/exp01/regular_ner_results_20260602_205601.xlsx</t>
  </si>
  <si>
    <t>/content/drive/MyDrive/thesis_project/thesis/outputs/exp01/regular_ner_20260602_205700.json</t>
  </si>
  <si>
    <t>/content/drive/MyDrive/thesis_project/thesis/outputs/exp01/regular_ner_results_20260602_205700.xlsx</t>
  </si>
  <si>
    <t>/content/drive/MyDrive/thesis_project/thesis/outputs/exp01/regular_ner_20260602_205744.json</t>
  </si>
  <si>
    <t>/content/drive/MyDrive/thesis_project/thesis/outputs/exp01/regular_ner_results_20260602_205743.xlsx</t>
  </si>
  <si>
    <t>/content/drive/MyDrive/thesis_project/thesis/outputs/exp01/regular_ner_20260602_205838.json</t>
  </si>
  <si>
    <t>/content/drive/MyDrive/thesis_project/thesis/outputs/exp01/regular_ner_results_20260602_205838.xlsx</t>
  </si>
  <si>
    <t>/content/drive/MyDrive/thesis_project/thesis/outputs/exp01/regular_ner_20260602_205922.json</t>
  </si>
  <si>
    <t>/content/drive/MyDrive/thesis_project/thesis/outputs/exp01/regular_ner_results_20260602_205922.xlsx</t>
  </si>
  <si>
    <t>/content/drive/MyDrive/thesis_project/thesis/outputs/exp01/regular_ner_20260602_210017.json</t>
  </si>
  <si>
    <t>/content/drive/MyDrive/thesis_project/thesis/outputs/exp01/regular_ner_results_20260602_210017.xlsx</t>
  </si>
  <si>
    <t>/content/drive/MyDrive/thesis_project/thesis/outputs/exp01/regular_ner_20260602_210112.json</t>
  </si>
  <si>
    <t>/content/drive/MyDrive/thesis_project/thesis/outputs/exp01/regular_ner_results_20260602_210112.xlsx</t>
  </si>
  <si>
    <t>/content/drive/MyDrive/thesis_project/thesis/outputs/exp01/regular_ner_20260602_210206.json</t>
  </si>
  <si>
    <t>/content/drive/MyDrive/thesis_project/thesis/outputs/exp01/regular_ner_results_20260602_210206.xlsx</t>
  </si>
  <si>
    <t>/content/drive/MyDrive/thesis_project/thesis/outputs/exp01/regular_ner_20260602_210301.json</t>
  </si>
  <si>
    <t>/content/drive/MyDrive/thesis_project/thesis/outputs/exp01/regular_ner_results_20260602_210301.xlsx</t>
  </si>
  <si>
    <t>/content/drive/MyDrive/thesis_project/thesis/outputs/exp01/regular_ner_20260602_210345.json</t>
  </si>
  <si>
    <t>/content/drive/MyDrive/thesis_project/thesis/outputs/exp01/regular_ner_results_20260602_210345.xlsx</t>
  </si>
  <si>
    <t>/content/drive/MyDrive/thesis_project/thesis/outputs/exp01/regular_ner_20260602_210441.json</t>
  </si>
  <si>
    <t>/content/drive/MyDrive/thesis_project/thesis/outputs/exp01/regular_ner_results_20260602_210441.xlsx</t>
  </si>
  <si>
    <t>/content/drive/MyDrive/thesis_project/thesis/outputs/exp01/regular_ner_20260602_210526.json</t>
  </si>
  <si>
    <t>/content/drive/MyDrive/thesis_project/thesis/outputs/exp01/regular_ner_results_20260602_210526.xlsx</t>
  </si>
  <si>
    <t>/content/drive/MyDrive/thesis_project/thesis/outputs/exp01/regular_ner_20260602_210611.json</t>
  </si>
  <si>
    <t>/content/drive/MyDrive/thesis_project/thesis/outputs/exp01/regular_ner_results_20260602_210611.xlsx</t>
  </si>
  <si>
    <t>/content/drive/MyDrive/thesis_project/thesis/outputs/exp01/regular_ner_20260602_210656.json</t>
  </si>
  <si>
    <t>/content/drive/MyDrive/thesis_project/thesis/outputs/exp01/regular_ner_results_20260602_210656.xlsx</t>
  </si>
  <si>
    <t>/content/drive/MyDrive/thesis_project/thesis/outputs/exp01/regular_ner_20260602_210752.json</t>
  </si>
  <si>
    <t>/content/drive/MyDrive/thesis_project/thesis/outputs/exp01/regular_ner_results_20260602_210751.xlsx</t>
  </si>
  <si>
    <t>/content/drive/MyDrive/thesis_project/thesis/outputs/exp01/regular_ner_20260602_210836.json</t>
  </si>
  <si>
    <t>/content/drive/MyDrive/thesis_project/thesis/outputs/exp01/regular_ner_results_20260602_210836.xlsx</t>
  </si>
  <si>
    <t>/content/drive/MyDrive/thesis_project/thesis/outputs/exp01/regular_ner_20260602_210931.json</t>
  </si>
  <si>
    <t>/content/drive/MyDrive/thesis_project/thesis/outputs/exp01/regular_ner_results_20260602_210931.xlsx</t>
  </si>
  <si>
    <t>/content/drive/MyDrive/thesis_project/thesis/outputs/exp01/regular_ner_20260602_211026.json</t>
  </si>
  <si>
    <t>/content/drive/MyDrive/thesis_project/thesis/outputs/exp01/regular_ner_results_20260602_211026.xlsx</t>
  </si>
  <si>
    <t>/content/drive/MyDrive/thesis_project/thesis/outputs/exp01/regular_ner_20260602_211111.json</t>
  </si>
  <si>
    <t>/content/drive/MyDrive/thesis_project/thesis/outputs/exp01/regular_ner_results_20260602_211111.xlsx</t>
  </si>
  <si>
    <t>/content/drive/MyDrive/thesis_project/thesis/outputs/exp01/regular_ner_20260602_211156.json</t>
  </si>
  <si>
    <t>/content/drive/MyDrive/thesis_project/thesis/outputs/exp01/regular_ner_results_20260602_211156.xlsx</t>
  </si>
  <si>
    <t>/content/drive/MyDrive/thesis_project/thesis/outputs/exp01/regular_ner_20260602_211240.json</t>
  </si>
  <si>
    <t>/content/drive/MyDrive/thesis_project/thesis/outputs/exp01/regular_ner_results_20260602_211240.xlsx</t>
  </si>
  <si>
    <t>/content/drive/MyDrive/thesis_project/thesis/outputs/exp01/regular_ner_20260602_211324.json</t>
  </si>
  <si>
    <t>/content/drive/MyDrive/thesis_project/thesis/outputs/exp01/regular_ner_results_20260602_211323.xlsx</t>
  </si>
  <si>
    <t>/content/drive/MyDrive/thesis_project/thesis/outputs/exp01/regular_ner_20260602_211407.json</t>
  </si>
  <si>
    <t>/content/drive/MyDrive/thesis_project/thesis/outputs/exp01/regular_ner_results_20260602_211406.xlsx</t>
  </si>
  <si>
    <t>/content/drive/MyDrive/thesis_project/thesis/outputs/exp01/regular_ner_20260602_211501.json</t>
  </si>
  <si>
    <t>/content/drive/MyDrive/thesis_project/thesis/outputs/exp01/regular_ner_results_20260602_211500.xlsx</t>
  </si>
  <si>
    <t>/content/drive/MyDrive/thesis_project/thesis/outputs/exp01/regular_ner_20260602_211555.json</t>
  </si>
  <si>
    <t>/content/drive/MyDrive/thesis_project/thesis/outputs/exp01/regular_ner_results_20260602_211554.xlsx</t>
  </si>
  <si>
    <t>/content/drive/MyDrive/thesis_project/thesis/outputs/exp01/regular_ner_20260602_211649.json</t>
  </si>
  <si>
    <t>/content/drive/MyDrive/thesis_project/thesis/outputs/exp01/regular_ner_results_20260602_211649.xlsx</t>
  </si>
  <si>
    <t>/content/drive/MyDrive/thesis_project/thesis/outputs/exp01/regular_ner_20260602_211743.json</t>
  </si>
  <si>
    <t>/content/drive/MyDrive/thesis_project/thesis/outputs/exp01/regular_ner_results_20260602_211743.xlsx</t>
  </si>
  <si>
    <t>/content/drive/MyDrive/thesis_project/thesis/outputs/exp01/regular_ner_20260602_211827.json</t>
  </si>
  <si>
    <t>/content/drive/MyDrive/thesis_project/thesis/outputs/exp01/regular_ner_results_20260602_211827.xlsx</t>
  </si>
  <si>
    <t>/content/drive/MyDrive/thesis_project/thesis/outputs/exp01/regular_ner_20260602_211921.json</t>
  </si>
  <si>
    <t>/content/drive/MyDrive/thesis_project/thesis/outputs/exp01/regular_ner_results_20260602_211921.xlsx</t>
  </si>
  <si>
    <t>/content/drive/MyDrive/thesis_project/thesis/outputs/exp01/regular_ner_20260602_212015.json</t>
  </si>
  <si>
    <t>/content/drive/MyDrive/thesis_project/thesis/outputs/exp01/regular_ner_results_20260602_212015.xlsx</t>
  </si>
  <si>
    <t>/content/drive/MyDrive/thesis_project/thesis/outputs/exp01/regular_ner_20260602_212059.json</t>
  </si>
  <si>
    <t>/content/drive/MyDrive/thesis_project/thesis/outputs/exp01/regular_ner_results_20260602_212059.xlsx</t>
  </si>
  <si>
    <t>/content/drive/MyDrive/thesis_project/thesis/outputs/exp01/regular_ner_20260602_212154.json</t>
  </si>
  <si>
    <t>/content/drive/MyDrive/thesis_project/thesis/outputs/exp01/regular_ner_results_20260602_212154.xlsx</t>
  </si>
  <si>
    <t>/content/drive/MyDrive/thesis_project/thesis/outputs/exp01/regular_ner_20260602_212248.json</t>
  </si>
  <si>
    <t>/content/drive/MyDrive/thesis_project/thesis/outputs/exp01/regular_ner_results_20260602_212248.xlsx</t>
  </si>
  <si>
    <t>/content/drive/MyDrive/thesis_project/thesis/outputs/exp01/regular_ner_20260602_212342.json</t>
  </si>
  <si>
    <t>/content/drive/MyDrive/thesis_project/thesis/outputs/exp01/regular_ner_results_20260602_212342.xlsx</t>
  </si>
  <si>
    <t>/content/drive/MyDrive/thesis_project/thesis/outputs/exp01/regular_ner_20260602_212436.json</t>
  </si>
  <si>
    <t>/content/drive/MyDrive/thesis_project/thesis/outputs/exp01/regular_ner_results_20260602_212436.xlsx</t>
  </si>
  <si>
    <t>/content/drive/MyDrive/thesis_project/thesis/outputs/exp01/regular_ner_20260602_212531.json</t>
  </si>
  <si>
    <t>/content/drive/MyDrive/thesis_project/thesis/outputs/exp01/regular_ner_results_20260602_212531.xlsx</t>
  </si>
  <si>
    <t>/content/drive/MyDrive/thesis_project/thesis/outputs/exp01/regular_ner_20260602_212615.json</t>
  </si>
  <si>
    <t>/content/drive/MyDrive/thesis_project/thesis/outputs/exp01/regular_ner_results_20260602_212615.xlsx</t>
  </si>
  <si>
    <t>/content/drive/MyDrive/thesis_project/thesis/outputs/exp01/regular_ner_20260602_212658.json</t>
  </si>
  <si>
    <t>/content/drive/MyDrive/thesis_project/thesis/outputs/exp01/regular_ner_results_20260602_212658.xlsx</t>
  </si>
  <si>
    <t>/content/drive/MyDrive/thesis_project/thesis/outputs/exp01/regular_ner_20260602_212742.json</t>
  </si>
  <si>
    <t>/content/drive/MyDrive/thesis_project/thesis/outputs/exp01/regular_ner_results_20260602_212742.xlsx</t>
  </si>
  <si>
    <t>/content/drive/MyDrive/thesis_project/thesis/outputs/exp01/regular_ner_20260602_212837.json</t>
  </si>
  <si>
    <t>/content/drive/MyDrive/thesis_project/thesis/outputs/exp01/regular_ner_results_20260602_212837.xlsx</t>
  </si>
  <si>
    <t>/content/drive/MyDrive/thesis_project/thesis/outputs/exp01/regular_ner_20260602_212923.json</t>
  </si>
  <si>
    <t>/content/drive/MyDrive/thesis_project/thesis/outputs/exp01/regular_ner_results_20260602_212923.xlsx</t>
  </si>
  <si>
    <t>/content/drive/MyDrive/thesis_project/thesis/outputs/exp01/regular_ner_20260602_213008.json</t>
  </si>
  <si>
    <t>/content/drive/MyDrive/thesis_project/thesis/outputs/exp01/regular_ner_results_20260602_213007.xlsx</t>
  </si>
  <si>
    <t>/content/drive/MyDrive/thesis_project/thesis/outputs/exp01/regular_ner_20260602_213054.json</t>
  </si>
  <si>
    <t>/content/drive/MyDrive/thesis_project/thesis/outputs/exp01/regular_ner_results_20260602_213053.xlsx</t>
  </si>
  <si>
    <t>/content/drive/MyDrive/thesis_project/thesis/outputs/exp01/regular_ner_20260602_213149.json</t>
  </si>
  <si>
    <t>/content/drive/MyDrive/thesis_project/thesis/outputs/exp01/regular_ner_results_20260602_213148.xlsx</t>
  </si>
  <si>
    <t>/content/drive/MyDrive/thesis_project/thesis/outputs/exp01/regular_ner_20260602_213244.json</t>
  </si>
  <si>
    <t>/content/drive/MyDrive/thesis_project/thesis/outputs/exp01/regular_ner_results_20260602_213243.xlsx</t>
  </si>
  <si>
    <t>/content/drive/MyDrive/thesis_project/thesis/outputs/exp01/regular_ner_20260602_213339.json</t>
  </si>
  <si>
    <t>/content/drive/MyDrive/thesis_project/thesis/outputs/exp01/regular_ner_results_20260602_213339.xlsx</t>
  </si>
  <si>
    <t>/content/drive/MyDrive/thesis_project/thesis/outputs/exp01/regular_ner_20260602_213425.json</t>
  </si>
  <si>
    <t>/content/drive/MyDrive/thesis_project/thesis/outputs/exp01/regular_ner_results_20260602_213424.xlsx</t>
  </si>
  <si>
    <t>/content/drive/MyDrive/thesis_project/thesis/outputs/exp01/regular_ner_20260602_213521.json</t>
  </si>
  <si>
    <t>/content/drive/MyDrive/thesis_project/thesis/outputs/exp01/regular_ner_results_20260602_213520.xlsx</t>
  </si>
  <si>
    <t>/content/drive/MyDrive/thesis_project/thesis/outputs/exp01/regular_ner_20260602_213606.json</t>
  </si>
  <si>
    <t>/content/drive/MyDrive/thesis_project/thesis/outputs/exp01/regular_ner_results_20260602_213606.xlsx</t>
  </si>
  <si>
    <t>/content/drive/MyDrive/thesis_project/thesis/outputs/exp01/regular_ner_20260603_042950.json</t>
  </si>
  <si>
    <t>/content/drive/MyDrive/thesis_project/thesis/outputs/exp01/regular_ner_results_20260603_042948.xlsx</t>
  </si>
  <si>
    <t>/content/drive/MyDrive/thesis_project/thesis/outputs/exp01/regular_ner_20260603_043048.json</t>
  </si>
  <si>
    <t>/content/drive/MyDrive/thesis_project/thesis/outputs/exp01/regular_ner_results_20260603_043047.xlsx</t>
  </si>
  <si>
    <t>/content/drive/MyDrive/thesis_project/thesis/outputs/exp01/regular_ner_20260603_043144.json</t>
  </si>
  <si>
    <t>/content/drive/MyDrive/thesis_project/thesis/outputs/exp01/regular_ner_results_20260603_043143.xlsx</t>
  </si>
  <si>
    <t>/content/drive/MyDrive/thesis_project/thesis/outputs/exp01/regular_ner_20260603_043239.json</t>
  </si>
  <si>
    <t>/content/drive/MyDrive/thesis_project/thesis/outputs/exp01/regular_ner_results_20260603_043239.xlsx</t>
  </si>
  <si>
    <t>/content/drive/MyDrive/thesis_project/thesis/outputs/exp01/regular_ner_20260603_043324.json</t>
  </si>
  <si>
    <t>/content/drive/MyDrive/thesis_project/thesis/outputs/exp01/regular_ner_results_20260603_043324.xlsx</t>
  </si>
  <si>
    <t>/content/drive/MyDrive/thesis_project/thesis/outputs/exp01/regular_ner_20260603_043410.json</t>
  </si>
  <si>
    <t>/content/drive/MyDrive/thesis_project/thesis/outputs/exp01/regular_ner_results_20260603_043409.xlsx</t>
  </si>
  <si>
    <t>/content/drive/MyDrive/thesis_project/thesis/outputs/exp01/regular_ner_20260603_043505.json</t>
  </si>
  <si>
    <t>/content/drive/MyDrive/thesis_project/thesis/outputs/exp01/regular_ner_results_20260603_043504.xlsx</t>
  </si>
  <si>
    <t>/content/drive/MyDrive/thesis_project/thesis/outputs/exp01/regular_ner_20260603_043600.json</t>
  </si>
  <si>
    <t>/content/drive/MyDrive/thesis_project/thesis/outputs/exp01/regular_ner_results_20260603_043600.xlsx</t>
  </si>
  <si>
    <t>/content/drive/MyDrive/thesis_project/thesis/outputs/exp01/regular_ner_20260603_043656.json</t>
  </si>
  <si>
    <t>/content/drive/MyDrive/thesis_project/thesis/outputs/exp01/regular_ner_results_20260603_043655.xlsx</t>
  </si>
  <si>
    <t>/content/drive/MyDrive/thesis_project/thesis/outputs/exp01/regular_ner_20260603_043751.json</t>
  </si>
  <si>
    <t>/content/drive/MyDrive/thesis_project/thesis/outputs/exp01/regular_ner_results_20260603_043751.xlsx</t>
  </si>
  <si>
    <t>/content/drive/MyDrive/thesis_project/thesis/outputs/exp01/regular_ner_20260603_044017.json</t>
  </si>
  <si>
    <t>/content/drive/MyDrive/thesis_project/thesis/outputs/exp01/regular_ner_results_20260603_044016.xlsx</t>
  </si>
  <si>
    <t>/content/drive/MyDrive/thesis_project/thesis/outputs/exp01/regular_ner_20260603_044409.json</t>
  </si>
  <si>
    <t>/content/drive/MyDrive/thesis_project/thesis/outputs/exp01/regular_ner_results_20260603_044409.xlsx</t>
  </si>
  <si>
    <t>/content/drive/MyDrive/thesis_project/thesis/outputs/exp01/regular_ner_20260603_044803.json</t>
  </si>
  <si>
    <t>/content/drive/MyDrive/thesis_project/thesis/outputs/exp01/regular_ner_results_20260603_044803.xlsx</t>
  </si>
  <si>
    <t>/content/drive/MyDrive/thesis_project/thesis/outputs/exp01/regular_ner_20260603_063953.json</t>
  </si>
  <si>
    <t>/content/drive/MyDrive/thesis_project/thesis/outputs/exp01/regular_ner_results_20260603_063952.xlsx</t>
  </si>
  <si>
    <t>/content/drive/MyDrive/thesis_project/thesis/outputs/exp01/regular_ner_20260603_064359.json</t>
  </si>
  <si>
    <t>/content/drive/MyDrive/thesis_project/thesis/outputs/exp01/regular_ner_results_20260603_064359.xlsx</t>
  </si>
  <si>
    <t>/content/drive/MyDrive/thesis_project/thesis/outputs/exp01/regular_ner_20260603_064812.json</t>
  </si>
  <si>
    <t>/content/drive/MyDrive/thesis_project/thesis/outputs/exp01/regular_ner_results_20260603_064812.xlsx</t>
  </si>
  <si>
    <t>/content/drive/MyDrive/thesis_project/thesis/outputs/exp01/regular_ner_20260603_065145.json</t>
  </si>
  <si>
    <t>/content/drive/MyDrive/thesis_project/thesis/outputs/exp01/regular_ner_results_20260603_065144.xlsx</t>
  </si>
  <si>
    <t>/content/drive/MyDrive/thesis_project/thesis/outputs/exp01/regular_ner_20260603_065530.json</t>
  </si>
  <si>
    <t>/content/drive/MyDrive/thesis_project/thesis/outputs/exp01/regular_ner_results_20260603_065530.xlsx</t>
  </si>
  <si>
    <t>/content/drive/MyDrive/thesis_project/thesis/outputs/exp01/regular_ner_20260603_065851.json</t>
  </si>
  <si>
    <t>/content/drive/MyDrive/thesis_project/thesis/outputs/exp01/regular_ner_results_20260603_065851.xlsx</t>
  </si>
  <si>
    <t>/content/drive/MyDrive/thesis_project/thesis/outputs/exp01/regular_ner_20260603_070214.json</t>
  </si>
  <si>
    <t>/content/drive/MyDrive/thesis_project/thesis/outputs/exp01/regular_ner_results_20260603_070214.xlsx</t>
  </si>
  <si>
    <t>/content/drive/MyDrive/thesis_project/thesis/outputs/exp01/regular_ner_20260603_073509.json</t>
  </si>
  <si>
    <t>/content/drive/MyDrive/thesis_project/thesis/outputs/exp01/regular_ner_results_20260603_073507.xlsx</t>
  </si>
  <si>
    <t>/content/drive/MyDrive/thesis_project/thesis/outputs/exp01/regular_ner_20260603_073825.json</t>
  </si>
  <si>
    <t>/content/drive/MyDrive/thesis_project/thesis/outputs/exp01/regular_ner_results_20260603_073825.xlsx</t>
  </si>
  <si>
    <t>/content/drive/MyDrive/thesis_project/thesis/outputs/exp01/regular_ner_20260603_075100.json</t>
  </si>
  <si>
    <t>/content/drive/MyDrive/thesis_project/thesis/outputs/exp01/regular_ner_results_20260603_075058.xlsx</t>
  </si>
  <si>
    <t>/content/drive/MyDrive/thesis_project/thesis/outputs/exp01/regular_ner_20260603_075527.json</t>
  </si>
  <si>
    <t>/content/drive/MyDrive/thesis_project/thesis/outputs/exp01/regular_ner_results_20260603_075527.xlsx</t>
  </si>
  <si>
    <t>/content/drive/MyDrive/thesis_project/thesis/outputs/exp01/regular_ner_20260603_075904.json</t>
  </si>
  <si>
    <t>/content/drive/MyDrive/thesis_project/thesis/outputs/exp01/regular_ner_results_20260603_075904.xlsx</t>
  </si>
  <si>
    <t>/content/drive/MyDrive/thesis_project/thesis/outputs/exp01/regular_ner_20260603_080306.json</t>
  </si>
  <si>
    <t>/content/drive/MyDrive/thesis_project/thesis/outputs/exp01/regular_ner_results_20260603_080306.xlsx</t>
  </si>
  <si>
    <t>/content/drive/MyDrive/thesis_project/thesis/outputs/exp01/regular_ner_20260603_080721.json</t>
  </si>
  <si>
    <t>/content/drive/MyDrive/thesis_project/thesis/outputs/exp01/regular_ner_results_20260603_080721.xlsx</t>
  </si>
  <si>
    <t>/content/drive/MyDrive/thesis_project/thesis/outputs/exp01/regular_ner_20260603_081059.json</t>
  </si>
  <si>
    <t>/content/drive/MyDrive/thesis_project/thesis/outputs/exp01/regular_ner_results_20260603_081058.xlsx</t>
  </si>
  <si>
    <t>/content/drive/MyDrive/thesis_project/thesis/outputs/exp01/regular_ner_20260603_081514.json</t>
  </si>
  <si>
    <t>/content/drive/MyDrive/thesis_project/thesis/outputs/exp01/regular_ner_results_20260603_081513.xlsx</t>
  </si>
  <si>
    <t>/content/drive/MyDrive/thesis_project/thesis/outputs/exp01/regular_ner_20260603_081904.json</t>
  </si>
  <si>
    <t>/content/drive/MyDrive/thesis_project/thesis/outputs/exp01/regular_ner_results_20260603_081904.xlsx</t>
  </si>
  <si>
    <t>/content/drive/MyDrive/thesis_project/thesis/outputs/exp01/regular_ner_20260603_082242.json</t>
  </si>
  <si>
    <t>/content/drive/MyDrive/thesis_project/thesis/outputs/exp01/regular_ner_results_20260603_082242.xlsx</t>
  </si>
  <si>
    <t>/content/drive/MyDrive/thesis_project/thesis/outputs/exp01/regular_ner_20260603_082607.json</t>
  </si>
  <si>
    <t>/content/drive/MyDrive/thesis_project/thesis/outputs/exp01/regular_ner_results_20260603_082607.xlsx</t>
  </si>
  <si>
    <t>/content/drive/MyDrive/thesis_project/thesis/outputs/exp01/regular_ner_20260603_082931.json</t>
  </si>
  <si>
    <t>/content/drive/MyDrive/thesis_project/thesis/outputs/exp01/regular_ner_results_20260603_082931.xlsx</t>
  </si>
  <si>
    <t>/content/drive/MyDrive/thesis_project/thesis/outputs/exp01/regular_ner_20260603_083308.json</t>
  </si>
  <si>
    <t>/content/drive/MyDrive/thesis_project/thesis/outputs/exp01/regular_ner_results_20260603_083308.xlsx</t>
  </si>
  <si>
    <t>/content/drive/MyDrive/thesis_project/thesis/outputs/exp01/regular_ner_20260603_083659.json</t>
  </si>
  <si>
    <t>/content/drive/MyDrive/thesis_project/thesis/outputs/exp01/regular_ner_results_20260603_083659.xlsx</t>
  </si>
  <si>
    <t>/content/drive/MyDrive/thesis_project/thesis/outputs/exp01/regular_ner_20260603_084009.json</t>
  </si>
  <si>
    <t>/content/drive/MyDrive/thesis_project/thesis/outputs/exp01/regular_ner_results_20260603_084009.xlsx</t>
  </si>
  <si>
    <t>/content/drive/MyDrive/thesis_project/thesis/outputs/exp01/regular_ner_20260603_084425.json</t>
  </si>
  <si>
    <t>/content/drive/MyDrive/thesis_project/thesis/outputs/exp01/regular_ner_results_20260603_084425.xlsx</t>
  </si>
  <si>
    <t>/content/drive/MyDrive/thesis_project/thesis/outputs/exp01/regular_ner_20260603_084815.json</t>
  </si>
  <si>
    <t>/content/drive/MyDrive/thesis_project/thesis/outputs/exp01/regular_ner_results_20260603_084815.xlsx</t>
  </si>
  <si>
    <t>/content/drive/MyDrive/thesis_project/thesis/outputs/exp01/regular_ner_20260603_085139.json</t>
  </si>
  <si>
    <t>/content/drive/MyDrive/thesis_project/thesis/outputs/exp01/regular_ner_results_20260603_085138.xlsx</t>
  </si>
  <si>
    <t>/content/drive/MyDrive/thesis_project/thesis/outputs/exp01/regular_ner_20260603_085516.json</t>
  </si>
  <si>
    <t>/content/drive/MyDrive/thesis_project/thesis/outputs/exp01/regular_ner_results_20260603_085516.xlsx</t>
  </si>
  <si>
    <t>/content/drive/MyDrive/thesis_project/thesis/outputs/exp01/regular_ner_20260603_085929.json</t>
  </si>
  <si>
    <t>/content/drive/MyDrive/thesis_project/thesis/outputs/exp01/regular_ner_results_20260603_085929.xlsx</t>
  </si>
  <si>
    <t>/content/drive/MyDrive/thesis_project/thesis/outputs/exp01/regular_ner_20260603_093725.json</t>
  </si>
  <si>
    <t>/content/drive/MyDrive/thesis_project/thesis/outputs/exp01/regular_ner_results_20260603_093723.xlsx</t>
  </si>
  <si>
    <t>/content/drive/MyDrive/thesis_project/thesis/outputs/exp01/regular_ner_20260603_094059.json</t>
  </si>
  <si>
    <t>/content/drive/MyDrive/thesis_project/thesis/outputs/exp01/regular_ner_results_20260603_094059.xlsx</t>
  </si>
  <si>
    <t>/content/drive/MyDrive/thesis_project/thesis/outputs/exp01/regular_ner_20260603_094412.json</t>
  </si>
  <si>
    <t>/content/drive/MyDrive/thesis_project/thesis/outputs/exp01/regular_ner_results_20260603_094411.xlsx</t>
  </si>
  <si>
    <t>/content/drive/MyDrive/thesis_project/thesis/outputs/exp01/regular_ner_20260603_094830.json</t>
  </si>
  <si>
    <t>/content/drive/MyDrive/thesis_project/thesis/outputs/exp01/regular_ner_results_20260603_094830.xlsx</t>
  </si>
  <si>
    <t>/content/drive/MyDrive/thesis_project/thesis/outputs/exp01/regular_ner_20260603_095248.json</t>
  </si>
  <si>
    <t>/content/drive/MyDrive/thesis_project/thesis/outputs/exp01/regular_ner_results_20260603_095248.xlsx</t>
  </si>
  <si>
    <t>/content/drive/MyDrive/thesis_project/thesis/outputs/exp01/regular_ner_20260603_095639.json</t>
  </si>
  <si>
    <t>/content/drive/MyDrive/thesis_project/thesis/outputs/exp01/regular_ner_results_20260603_095638.xlsx</t>
  </si>
  <si>
    <t>/content/drive/MyDrive/thesis_project/thesis/outputs/exp01/regular_ner_20260603_100017.json</t>
  </si>
  <si>
    <t>/content/drive/MyDrive/thesis_project/thesis/outputs/exp01/regular_ner_results_20260603_100017.xlsx</t>
  </si>
  <si>
    <t>/content/drive/MyDrive/thesis_project/thesis/outputs/exp01/regular_ner_20260603_100436.json</t>
  </si>
  <si>
    <t>/content/drive/MyDrive/thesis_project/thesis/outputs/exp01/regular_ner_results_20260603_100436.xlsx</t>
  </si>
  <si>
    <t>/content/drive/MyDrive/thesis_project/thesis/outputs/exp01/regular_ner_20260603_100802.json</t>
  </si>
  <si>
    <t>/content/drive/MyDrive/thesis_project/thesis/outputs/exp01/regular_ner_results_20260603_100802.xlsx</t>
  </si>
  <si>
    <t>/content/drive/MyDrive/thesis_project/thesis/outputs/exp01/regular_ner_20260603_101142.json</t>
  </si>
  <si>
    <t>/content/drive/MyDrive/thesis_project/thesis/outputs/exp01/regular_ner_results_20260603_101142.xlsx</t>
  </si>
  <si>
    <t>/content/drive/MyDrive/thesis_project/thesis/outputs/exp01/regular_ner_20260603_101505.json</t>
  </si>
  <si>
    <t>/content/drive/MyDrive/thesis_project/thesis/outputs/exp01/regular_ner_results_20260603_101504.xlsx</t>
  </si>
  <si>
    <t>/content/drive/MyDrive/thesis_project/thesis/outputs/exp01/regular_ner_20260603_101842.json</t>
  </si>
  <si>
    <t>/content/drive/MyDrive/thesis_project/thesis/outputs/exp01/regular_ner_results_20260603_101842.xlsx</t>
  </si>
  <si>
    <t>/content/drive/MyDrive/thesis_project/thesis/outputs/exp01/regular_ner_20260603_102255.json</t>
  </si>
  <si>
    <t>/content/drive/MyDrive/thesis_project/thesis/outputs/exp01/regular_ner_results_20260603_102255.xlsx</t>
  </si>
  <si>
    <t>/content/drive/MyDrive/thesis_project/thesis/outputs/exp01/regular_ner_20260603_102657.json</t>
  </si>
  <si>
    <t>/content/drive/MyDrive/thesis_project/thesis/outputs/exp01/regular_ner_results_20260603_102656.xlsx</t>
  </si>
  <si>
    <t>/content/drive/MyDrive/thesis_project/thesis/outputs/exp01/regular_ner_20260603_103023.json</t>
  </si>
  <si>
    <t>/content/drive/MyDrive/thesis_project/thesis/outputs/exp01/regular_ner_results_20260603_103022.xlsx</t>
  </si>
  <si>
    <t>/content/drive/MyDrive/thesis_project/thesis/outputs/exp01/regular_ner_20260603_103400.json</t>
  </si>
  <si>
    <t>/content/drive/MyDrive/thesis_project/thesis/outputs/exp01/regular_ner_results_20260603_103400.xlsx</t>
  </si>
  <si>
    <t>/content/drive/MyDrive/thesis_project/thesis/outputs/exp01/regular_ner_20260603_103752.json</t>
  </si>
  <si>
    <t>/content/drive/MyDrive/thesis_project/thesis/outputs/exp01/regular_ner_results_20260603_103752.xlsx</t>
  </si>
  <si>
    <t>/content/drive/MyDrive/thesis_project/thesis/outputs/exp01/regular_ner_20260603_104155.json</t>
  </si>
  <si>
    <t>/content/drive/MyDrive/thesis_project/thesis/outputs/exp01/regular_ner_results_20260603_104155.xlsx</t>
  </si>
  <si>
    <t>/content/drive/MyDrive/thesis_project/thesis/outputs/exp01/regular_ner_20260603_104533.json</t>
  </si>
  <si>
    <t>/content/drive/MyDrive/thesis_project/thesis/outputs/exp01/regular_ner_results_20260603_104533.xlsx</t>
  </si>
  <si>
    <t>/content/drive/MyDrive/thesis_project/thesis/outputs/exp01/regular_ner_20260603_104915.json</t>
  </si>
  <si>
    <t>/content/drive/MyDrive/thesis_project/thesis/outputs/exp01/regular_ner_results_20260603_104915.xlsx</t>
  </si>
  <si>
    <t>/content/drive/MyDrive/thesis_project/thesis/outputs/exp01/regular_ner_20260603_105252.json</t>
  </si>
  <si>
    <t>/content/drive/MyDrive/thesis_project/thesis/outputs/exp01/regular_ner_results_20260603_105252.xlsx</t>
  </si>
  <si>
    <t>/content/drive/MyDrive/thesis_project/thesis/outputs/exp01/regular_ner_20260603_105631.json</t>
  </si>
  <si>
    <t>/content/drive/MyDrive/thesis_project/thesis/outputs/exp01/regular_ner_results_20260603_105630.xlsx</t>
  </si>
  <si>
    <t>/content/drive/MyDrive/thesis_project/thesis/outputs/exp01/regular_ner_20260603_110047.json</t>
  </si>
  <si>
    <t>/content/drive/MyDrive/thesis_project/thesis/outputs/exp01/regular_ner_results_20260603_110047.xlsx</t>
  </si>
  <si>
    <t>/content/drive/MyDrive/thesis_project/thesis/outputs/exp01/regular_ner_20260603_110424.json</t>
  </si>
  <si>
    <t>/content/drive/MyDrive/thesis_project/thesis/outputs/exp01/regular_ner_results_20260603_110423.xlsx</t>
  </si>
  <si>
    <t>/content/drive/MyDrive/thesis_project/thesis/outputs/exp01/regular_ner_20260603_110802.json</t>
  </si>
  <si>
    <t>/content/drive/MyDrive/thesis_project/thesis/outputs/exp01/regular_ner_results_20260603_110801.xlsx</t>
  </si>
  <si>
    <t>/content/drive/MyDrive/thesis_project/thesis/outputs/exp01/regular_ner_20260603_111129.json</t>
  </si>
  <si>
    <t>/content/drive/MyDrive/thesis_project/thesis/outputs/exp01/regular_ner_results_20260603_111128.xlsx</t>
  </si>
  <si>
    <t>/content/drive/MyDrive/thesis_project/thesis/outputs/exp01/regular_ner_20260603_111505.json</t>
  </si>
  <si>
    <t>/content/drive/MyDrive/thesis_project/thesis/outputs/exp01/regular_ner_results_20260603_111504.xlsx</t>
  </si>
  <si>
    <t>/content/drive/MyDrive/thesis_project/thesis/outputs/exp01/regular_ner_20260603_111918.json</t>
  </si>
  <si>
    <t>/content/drive/MyDrive/thesis_project/thesis/outputs/exp01/regular_ner_results_20260603_111918.xlsx</t>
  </si>
  <si>
    <t>/content/drive/MyDrive/thesis_project/thesis/outputs/exp01/regular_ner_20260603_112254.json</t>
  </si>
  <si>
    <t>/content/drive/MyDrive/thesis_project/thesis/outputs/exp01/regular_ner_results_20260603_112254.xlsx</t>
  </si>
  <si>
    <t>/content/drive/MyDrive/thesis_project/thesis/outputs/exp04/auc_cascaded_pipeline_20260602_203913.json</t>
  </si>
  <si>
    <t>/content/drive/MyDrive/thesis_project/thesis/outputs/exp04/cascaded_pipeline_results_20260602_203911.xlsx</t>
  </si>
  <si>
    <t>/content/drive/MyDrive/thesis_project/thesis/outputs/exp04/auc_cascaded_pipeline_20260602_205639.json</t>
  </si>
  <si>
    <t>/content/drive/MyDrive/thesis_project/thesis/outputs/exp04/cascaded_pipeline_results_20260602_205637.xlsx</t>
  </si>
  <si>
    <t>/content/drive/MyDrive/thesis_project/thesis/outputs/exp04/auc_cascaded_pipeline_20260602_205726.json</t>
  </si>
  <si>
    <t>/content/drive/MyDrive/thesis_project/thesis/outputs/exp04/cascaded_pipeline_results_20260602_205724.xlsx</t>
  </si>
  <si>
    <t>/content/drive/MyDrive/thesis_project/thesis/outputs/exp04/auc_cascaded_pipeline_20260602_205820.json</t>
  </si>
  <si>
    <t>/content/drive/MyDrive/thesis_project/thesis/outputs/exp04/cascaded_pipeline_results_20260602_205819.xlsx</t>
  </si>
  <si>
    <t>/content/drive/MyDrive/thesis_project/thesis/outputs/exp04/auc_cascaded_pipeline_20260602_205904.json</t>
  </si>
  <si>
    <t>/content/drive/MyDrive/thesis_project/thesis/outputs/exp04/cascaded_pipeline_results_20260602_205903.xlsx</t>
  </si>
  <si>
    <t>/content/drive/MyDrive/thesis_project/thesis/outputs/exp04/auc_cascaded_pipeline_20260602_205959.json</t>
  </si>
  <si>
    <t>/content/drive/MyDrive/thesis_project/thesis/outputs/exp04/cascaded_pipeline_results_20260602_205957.xlsx</t>
  </si>
  <si>
    <t>/content/drive/MyDrive/thesis_project/thesis/outputs/exp04/auc_cascaded_pipeline_20260602_210054.json</t>
  </si>
  <si>
    <t>/content/drive/MyDrive/thesis_project/thesis/outputs/exp04/cascaded_pipeline_results_20260602_210052.xlsx</t>
  </si>
  <si>
    <t>/content/drive/MyDrive/thesis_project/thesis/outputs/exp04/auc_cascaded_pipeline_20260602_210149.json</t>
  </si>
  <si>
    <t>/content/drive/MyDrive/thesis_project/thesis/outputs/exp04/cascaded_pipeline_results_20260602_210147.xlsx</t>
  </si>
  <si>
    <t>/content/drive/MyDrive/thesis_project/thesis/outputs/exp04/auc_cascaded_pipeline_20260602_210243.json</t>
  </si>
  <si>
    <t>/content/drive/MyDrive/thesis_project/thesis/outputs/exp04/cascaded_pipeline_results_20260602_210242.xlsx</t>
  </si>
  <si>
    <t>/content/drive/MyDrive/thesis_project/thesis/outputs/exp04/auc_cascaded_pipeline_20260602_210327.json</t>
  </si>
  <si>
    <t>/content/drive/MyDrive/thesis_project/thesis/outputs/exp04/cascaded_pipeline_results_20260602_210326.xlsx</t>
  </si>
  <si>
    <t>/content/drive/MyDrive/thesis_project/thesis/outputs/exp04/auc_cascaded_pipeline_20260602_210422.json</t>
  </si>
  <si>
    <t>/content/drive/MyDrive/thesis_project/thesis/outputs/exp04/cascaded_pipeline_results_20260602_210421.xlsx</t>
  </si>
  <si>
    <t>/content/drive/MyDrive/thesis_project/thesis/outputs/exp04/auc_cascaded_pipeline_20260602_210508.json</t>
  </si>
  <si>
    <t>/content/drive/MyDrive/thesis_project/thesis/outputs/exp04/cascaded_pipeline_results_20260602_210506.xlsx</t>
  </si>
  <si>
    <t>/content/drive/MyDrive/thesis_project/thesis/outputs/exp04/auc_cascaded_pipeline_20260602_210552.json</t>
  </si>
  <si>
    <t>/content/drive/MyDrive/thesis_project/thesis/outputs/exp04/cascaded_pipeline_results_20260602_210551.xlsx</t>
  </si>
  <si>
    <t>/content/drive/MyDrive/thesis_project/thesis/outputs/exp04/auc_cascaded_pipeline_20260602_210638.json</t>
  </si>
  <si>
    <t>/content/drive/MyDrive/thesis_project/thesis/outputs/exp04/cascaded_pipeline_results_20260602_210636.xlsx</t>
  </si>
  <si>
    <t>/content/drive/MyDrive/thesis_project/thesis/outputs/exp04/auc_cascaded_pipeline_20260602_210733.json</t>
  </si>
  <si>
    <t>/content/drive/MyDrive/thesis_project/thesis/outputs/exp04/cascaded_pipeline_results_20260602_210732.xlsx</t>
  </si>
  <si>
    <t>/content/drive/MyDrive/thesis_project/thesis/outputs/exp04/auc_cascaded_pipeline_20260602_210817.json</t>
  </si>
  <si>
    <t>/content/drive/MyDrive/thesis_project/thesis/outputs/exp04/cascaded_pipeline_results_20260602_210816.xlsx</t>
  </si>
  <si>
    <t>/content/drive/MyDrive/thesis_project/thesis/outputs/exp04/auc_cascaded_pipeline_20260602_210913.json</t>
  </si>
  <si>
    <t>/content/drive/MyDrive/thesis_project/thesis/outputs/exp04/cascaded_pipeline_results_20260602_210911.xlsx</t>
  </si>
  <si>
    <t>/content/drive/MyDrive/thesis_project/thesis/outputs/exp04/auc_cascaded_pipeline_20260602_211007.json</t>
  </si>
  <si>
    <t>/content/drive/MyDrive/thesis_project/thesis/outputs/exp04/cascaded_pipeline_results_20260602_211006.xlsx</t>
  </si>
  <si>
    <t>/content/drive/MyDrive/thesis_project/thesis/outputs/exp04/auc_cascaded_pipeline_20260602_211052.json</t>
  </si>
  <si>
    <t>/content/drive/MyDrive/thesis_project/thesis/outputs/exp04/cascaded_pipeline_results_20260602_211051.xlsx</t>
  </si>
  <si>
    <t>/content/drive/MyDrive/thesis_project/thesis/outputs/exp04/auc_cascaded_pipeline_20260602_211137.json</t>
  </si>
  <si>
    <t>/content/drive/MyDrive/thesis_project/thesis/outputs/exp04/cascaded_pipeline_results_20260602_211136.xlsx</t>
  </si>
  <si>
    <t>/content/drive/MyDrive/thesis_project/thesis/outputs/exp04/auc_cascaded_pipeline_20260602_211222.json</t>
  </si>
  <si>
    <t>/content/drive/MyDrive/thesis_project/thesis/outputs/exp04/cascaded_pipeline_results_20260602_211221.xlsx</t>
  </si>
  <si>
    <t>/content/drive/MyDrive/thesis_project/thesis/outputs/exp04/auc_cascaded_pipeline_20260602_211306.json</t>
  </si>
  <si>
    <t>/content/drive/MyDrive/thesis_project/thesis/outputs/exp04/cascaded_pipeline_results_20260602_211305.xlsx</t>
  </si>
  <si>
    <t>/content/drive/MyDrive/thesis_project/thesis/outputs/exp04/auc_cascaded_pipeline_20260602_211349.json</t>
  </si>
  <si>
    <t>/content/drive/MyDrive/thesis_project/thesis/outputs/exp04/cascaded_pipeline_results_20260602_211348.xlsx</t>
  </si>
  <si>
    <t>/content/drive/MyDrive/thesis_project/thesis/outputs/exp04/auc_cascaded_pipeline_20260602_211442.json</t>
  </si>
  <si>
    <t>/content/drive/MyDrive/thesis_project/thesis/outputs/exp04/cascaded_pipeline_results_20260602_211441.xlsx</t>
  </si>
  <si>
    <t>/content/drive/MyDrive/thesis_project/thesis/outputs/exp04/auc_cascaded_pipeline_20260602_211536.json</t>
  </si>
  <si>
    <t>/content/drive/MyDrive/thesis_project/thesis/outputs/exp04/cascaded_pipeline_results_20260602_211535.xlsx</t>
  </si>
  <si>
    <t>/content/drive/MyDrive/thesis_project/thesis/outputs/exp04/auc_cascaded_pipeline_20260602_211631.json</t>
  </si>
  <si>
    <t>/content/drive/MyDrive/thesis_project/thesis/outputs/exp04/cascaded_pipeline_results_20260602_211630.xlsx</t>
  </si>
  <si>
    <t>/content/drive/MyDrive/thesis_project/thesis/outputs/exp04/auc_cascaded_pipeline_20260602_211725.json</t>
  </si>
  <si>
    <t>/content/drive/MyDrive/thesis_project/thesis/outputs/exp04/cascaded_pipeline_results_20260602_211724.xlsx</t>
  </si>
  <si>
    <t>/content/drive/MyDrive/thesis_project/thesis/outputs/exp04/auc_cascaded_pipeline_20260602_211808.json</t>
  </si>
  <si>
    <t>/content/drive/MyDrive/thesis_project/thesis/outputs/exp04/cascaded_pipeline_results_20260602_211807.xlsx</t>
  </si>
  <si>
    <t>/content/drive/MyDrive/thesis_project/thesis/outputs/exp04/auc_cascaded_pipeline_20260602_211902.json</t>
  </si>
  <si>
    <t>/content/drive/MyDrive/thesis_project/thesis/outputs/exp04/cascaded_pipeline_results_20260602_211901.xlsx</t>
  </si>
  <si>
    <t>/content/drive/MyDrive/thesis_project/thesis/outputs/exp04/auc_cascaded_pipeline_20260602_211956.json</t>
  </si>
  <si>
    <t>/content/drive/MyDrive/thesis_project/thesis/outputs/exp04/cascaded_pipeline_results_20260602_211956.xlsx</t>
  </si>
  <si>
    <t>/content/drive/MyDrive/thesis_project/thesis/outputs/exp04/auc_cascaded_pipeline_20260602_212041.json</t>
  </si>
  <si>
    <t>/content/drive/MyDrive/thesis_project/thesis/outputs/exp04/cascaded_pipeline_results_20260602_212040.xlsx</t>
  </si>
  <si>
    <t>/content/drive/MyDrive/thesis_project/thesis/outputs/exp04/auc_cascaded_pipeline_20260602_212135.json</t>
  </si>
  <si>
    <t>/content/drive/MyDrive/thesis_project/thesis/outputs/exp04/cascaded_pipeline_results_20260602_212134.xlsx</t>
  </si>
  <si>
    <t>/content/drive/MyDrive/thesis_project/thesis/outputs/exp04/auc_cascaded_pipeline_20260602_212229.json</t>
  </si>
  <si>
    <t>/content/drive/MyDrive/thesis_project/thesis/outputs/exp04/cascaded_pipeline_results_20260602_212228.xlsx</t>
  </si>
  <si>
    <t>/content/drive/MyDrive/thesis_project/thesis/outputs/exp04/auc_cascaded_pipeline_20260602_212324.json</t>
  </si>
  <si>
    <t>/content/drive/MyDrive/thesis_project/thesis/outputs/exp04/cascaded_pipeline_results_20260602_212323.xlsx</t>
  </si>
  <si>
    <t>/content/drive/MyDrive/thesis_project/thesis/outputs/exp04/auc_cascaded_pipeline_20260602_212418.json</t>
  </si>
  <si>
    <t>/content/drive/MyDrive/thesis_project/thesis/outputs/exp04/cascaded_pipeline_results_20260602_212417.xlsx</t>
  </si>
  <si>
    <t>/content/drive/MyDrive/thesis_project/thesis/outputs/exp04/auc_cascaded_pipeline_20260602_212512.json</t>
  </si>
  <si>
    <t>/content/drive/MyDrive/thesis_project/thesis/outputs/exp04/cascaded_pipeline_results_20260602_212511.xlsx</t>
  </si>
  <si>
    <t>/content/drive/MyDrive/thesis_project/thesis/outputs/exp04/auc_cascaded_pipeline_20260602_212556.json</t>
  </si>
  <si>
    <t>/content/drive/MyDrive/thesis_project/thesis/outputs/exp04/cascaded_pipeline_results_20260602_212555.xlsx</t>
  </si>
  <si>
    <t>/content/drive/MyDrive/thesis_project/thesis/outputs/exp04/auc_cascaded_pipeline_20260602_212640.json</t>
  </si>
  <si>
    <t>/content/drive/MyDrive/thesis_project/thesis/outputs/exp04/cascaded_pipeline_results_20260602_212639.xlsx</t>
  </si>
  <si>
    <t>/content/drive/MyDrive/thesis_project/thesis/outputs/exp04/auc_cascaded_pipeline_20260602_212724.json</t>
  </si>
  <si>
    <t>/content/drive/MyDrive/thesis_project/thesis/outputs/exp04/cascaded_pipeline_results_20260602_212723.xlsx</t>
  </si>
  <si>
    <t>/content/drive/MyDrive/thesis_project/thesis/outputs/exp04/auc_cascaded_pipeline_20260602_212817.json</t>
  </si>
  <si>
    <t>/content/drive/MyDrive/thesis_project/thesis/outputs/exp04/cascaded_pipeline_results_20260602_212816.xlsx</t>
  </si>
  <si>
    <t>/content/drive/MyDrive/thesis_project/thesis/outputs/exp04/auc_cascaded_pipeline_20260602_212905.json</t>
  </si>
  <si>
    <t>/content/drive/MyDrive/thesis_project/thesis/outputs/exp04/cascaded_pipeline_results_20260602_212904.xlsx</t>
  </si>
  <si>
    <t>/content/drive/MyDrive/thesis_project/thesis/outputs/exp04/auc_cascaded_pipeline_20260602_212949.json</t>
  </si>
  <si>
    <t>/content/drive/MyDrive/thesis_project/thesis/outputs/exp04/cascaded_pipeline_results_20260602_212948.xlsx</t>
  </si>
  <si>
    <t>/content/drive/MyDrive/thesis_project/thesis/outputs/exp04/auc_cascaded_pipeline_20260602_213034.json</t>
  </si>
  <si>
    <t>/content/drive/MyDrive/thesis_project/thesis/outputs/exp04/cascaded_pipeline_results_20260602_213033.xlsx</t>
  </si>
  <si>
    <t>/content/drive/MyDrive/thesis_project/thesis/outputs/exp04/auc_cascaded_pipeline_20260602_213130.json</t>
  </si>
  <si>
    <t>/content/drive/MyDrive/thesis_project/thesis/outputs/exp04/cascaded_pipeline_results_20260602_213129.xlsx</t>
  </si>
  <si>
    <t>/content/drive/MyDrive/thesis_project/thesis/outputs/exp04/auc_cascaded_pipeline_20260602_213225.json</t>
  </si>
  <si>
    <t>/content/drive/MyDrive/thesis_project/thesis/outputs/exp04/cascaded_pipeline_results_20260602_213224.xlsx</t>
  </si>
  <si>
    <t>/content/drive/MyDrive/thesis_project/thesis/outputs/exp04/auc_cascaded_pipeline_20260602_213321.json</t>
  </si>
  <si>
    <t>/content/drive/MyDrive/thesis_project/thesis/outputs/exp04/cascaded_pipeline_results_20260602_213320.xlsx</t>
  </si>
  <si>
    <t>/content/drive/MyDrive/thesis_project/thesis/outputs/exp04/auc_cascaded_pipeline_20260602_213406.json</t>
  </si>
  <si>
    <t>/content/drive/MyDrive/thesis_project/thesis/outputs/exp04/cascaded_pipeline_results_20260602_213405.xlsx</t>
  </si>
  <si>
    <t>/content/drive/MyDrive/thesis_project/thesis/outputs/exp04/auc_cascaded_pipeline_20260602_213502.json</t>
  </si>
  <si>
    <t>/content/drive/MyDrive/thesis_project/thesis/outputs/exp04/cascaded_pipeline_results_20260602_213501.xlsx</t>
  </si>
  <si>
    <t>/content/drive/MyDrive/thesis_project/thesis/outputs/exp04/auc_cascaded_pipeline_20260602_213547.json</t>
  </si>
  <si>
    <t>/content/drive/MyDrive/thesis_project/thesis/outputs/exp04/cascaded_pipeline_results_20260602_213546.xlsx</t>
  </si>
  <si>
    <t>/content/drive/MyDrive/thesis_project/thesis/outputs/exp04/auc_cascaded_pipeline_20260602_213643.json</t>
  </si>
  <si>
    <t>/content/drive/MyDrive/thesis_project/thesis/outputs/exp04/cascaded_pipeline_results_20260602_213642.xlsx</t>
  </si>
  <si>
    <t>/content/drive/MyDrive/thesis_project/thesis/outputs/exp04/auc_cascaded_pipeline_20260603_043028.json</t>
  </si>
  <si>
    <t>/content/drive/MyDrive/thesis_project/thesis/outputs/exp04/cascaded_pipeline_results_20260603_043025.xlsx</t>
  </si>
  <si>
    <t>/content/drive/MyDrive/thesis_project/thesis/outputs/exp04/auc_cascaded_pipeline_20260603_043125.json</t>
  </si>
  <si>
    <t>/content/drive/MyDrive/thesis_project/thesis/outputs/exp04/cascaded_pipeline_results_20260603_043124.xlsx</t>
  </si>
  <si>
    <t>/content/drive/MyDrive/thesis_project/thesis/outputs/exp04/auc_cascaded_pipeline_20260603_043221.json</t>
  </si>
  <si>
    <t>/content/drive/MyDrive/thesis_project/thesis/outputs/exp04/cascaded_pipeline_results_20260603_043219.xlsx</t>
  </si>
  <si>
    <t>/content/drive/MyDrive/thesis_project/thesis/outputs/exp04/auc_cascaded_pipeline_20260603_043306.json</t>
  </si>
  <si>
    <t>/content/drive/MyDrive/thesis_project/thesis/outputs/exp04/cascaded_pipeline_results_20260603_043305.xlsx</t>
  </si>
  <si>
    <t>/content/drive/MyDrive/thesis_project/thesis/outputs/exp04/auc_cascaded_pipeline_20260603_043351.json</t>
  </si>
  <si>
    <t>/content/drive/MyDrive/thesis_project/thesis/outputs/exp04/cascaded_pipeline_results_20260603_043349.xlsx</t>
  </si>
  <si>
    <t>/content/drive/MyDrive/thesis_project/thesis/outputs/exp04/auc_cascaded_pipeline_20260603_043446.json</t>
  </si>
  <si>
    <t>/content/drive/MyDrive/thesis_project/thesis/outputs/exp04/cascaded_pipeline_results_20260603_043445.xlsx</t>
  </si>
  <si>
    <t>/content/drive/MyDrive/thesis_project/thesis/outputs/exp04/auc_cascaded_pipeline_20260603_043542.json</t>
  </si>
  <si>
    <t>/content/drive/MyDrive/thesis_project/thesis/outputs/exp04/cascaded_pipeline_results_20260603_043541.xlsx</t>
  </si>
  <si>
    <t>/content/drive/MyDrive/thesis_project/thesis/outputs/exp04/auc_cascaded_pipeline_20260603_043637.json</t>
  </si>
  <si>
    <t>/content/drive/MyDrive/thesis_project/thesis/outputs/exp04/cascaded_pipeline_results_20260603_043636.xlsx</t>
  </si>
  <si>
    <t>/content/drive/MyDrive/thesis_project/thesis/outputs/exp04/auc_cascaded_pipeline_20260603_043733.json</t>
  </si>
  <si>
    <t>/content/drive/MyDrive/thesis_project/thesis/outputs/exp04/cascaded_pipeline_results_20260603_043731.xlsx</t>
  </si>
  <si>
    <t>/content/drive/MyDrive/thesis_project/thesis/outputs/exp04/auc_cascaded_pipeline_20260603_043828.json</t>
  </si>
  <si>
    <t>/content/drive/MyDrive/thesis_project/thesis/outputs/exp04/cascaded_pipeline_results_20260603_043827.xlsx</t>
  </si>
  <si>
    <t>/content/drive/MyDrive/thesis_project/thesis/outputs/exp04/auc_cascaded_pipeline_20260603_044220.json</t>
  </si>
  <si>
    <t>/content/drive/MyDrive/thesis_project/thesis/outputs/exp04/cascaded_pipeline_results_20260603_044219.xlsx</t>
  </si>
  <si>
    <t>/content/drive/MyDrive/thesis_project/thesis/outputs/exp04/auc_cascaded_pipeline_20260603_044614.json</t>
  </si>
  <si>
    <t>/content/drive/MyDrive/thesis_project/thesis/outputs/exp04/cascaded_pipeline_results_20260603_044612.xlsx</t>
  </si>
  <si>
    <t>/content/drive/MyDrive/thesis_project/thesis/outputs/exp04/auc_cascaded_pipeline_20260603_044954.json</t>
  </si>
  <si>
    <t>/content/drive/MyDrive/thesis_project/thesis/outputs/exp04/cascaded_pipeline_results_20260603_044952.xlsx</t>
  </si>
  <si>
    <t>/content/drive/MyDrive/thesis_project/thesis/outputs/exp04/auc_cascaded_pipeline_20260603_064215.json</t>
  </si>
  <si>
    <t>/content/drive/MyDrive/thesis_project/thesis/outputs/exp04/cascaded_pipeline_results_20260603_064212.xlsx</t>
  </si>
  <si>
    <t>/content/drive/MyDrive/thesis_project/thesis/outputs/exp04/auc_cascaded_pipeline_20260603_064627.json</t>
  </si>
  <si>
    <t>/content/drive/MyDrive/thesis_project/thesis/outputs/exp04/cascaded_pipeline_results_20260603_064626.xlsx</t>
  </si>
  <si>
    <t>/content/drive/MyDrive/thesis_project/thesis/outputs/exp04/auc_cascaded_pipeline_20260603_065001.json</t>
  </si>
  <si>
    <t>/content/drive/MyDrive/thesis_project/thesis/outputs/exp04/cascaded_pipeline_results_20260603_065000.xlsx</t>
  </si>
  <si>
    <t>/content/drive/MyDrive/thesis_project/thesis/outputs/exp04/auc_cascaded_pipeline_20260603_065347.json</t>
  </si>
  <si>
    <t>/content/drive/MyDrive/thesis_project/thesis/outputs/exp04/cascaded_pipeline_results_20260603_065346.xlsx</t>
  </si>
  <si>
    <t>/content/drive/MyDrive/thesis_project/thesis/outputs/exp04/auc_cascaded_pipeline_20260603_065708.json</t>
  </si>
  <si>
    <t>/content/drive/MyDrive/thesis_project/thesis/outputs/exp04/cascaded_pipeline_results_20260603_065707.xlsx</t>
  </si>
  <si>
    <t>/content/drive/MyDrive/thesis_project/thesis/outputs/exp04/auc_cascaded_pipeline_20260603_070028.json</t>
  </si>
  <si>
    <t>/content/drive/MyDrive/thesis_project/thesis/outputs/exp04/cascaded_pipeline_results_20260603_070027.xlsx</t>
  </si>
  <si>
    <t>/content/drive/MyDrive/thesis_project/thesis/outputs/exp04/auc_cascaded_pipeline_20260603_070404.json</t>
  </si>
  <si>
    <t>/content/drive/MyDrive/thesis_project/thesis/outputs/exp04/cascaded_pipeline_results_20260603_070403.xlsx</t>
  </si>
  <si>
    <t>/content/drive/MyDrive/thesis_project/thesis/outputs/exp04/auc_cascaded_pipeline_20260603_073641.json</t>
  </si>
  <si>
    <t>/content/drive/MyDrive/thesis_project/thesis/outputs/exp04/cascaded_pipeline_results_20260603_073638.xlsx</t>
  </si>
  <si>
    <t>/content/drive/MyDrive/thesis_project/thesis/outputs/exp04/auc_cascaded_pipeline_20260603_074027.json</t>
  </si>
  <si>
    <t>/content/drive/MyDrive/thesis_project/thesis/outputs/exp04/cascaded_pipeline_results_20260603_074026.xlsx</t>
  </si>
  <si>
    <t>/content/drive/MyDrive/thesis_project/thesis/outputs/exp04/auc_cascaded_pipeline_20260603_075340.json</t>
  </si>
  <si>
    <t>/content/drive/MyDrive/thesis_project/thesis/outputs/exp04/cascaded_pipeline_results_20260603_075337.xlsx</t>
  </si>
  <si>
    <t>/content/drive/MyDrive/thesis_project/thesis/outputs/exp04/auc_cascaded_pipeline_20260603_075717.json</t>
  </si>
  <si>
    <t>/content/drive/MyDrive/thesis_project/thesis/outputs/exp04/cascaded_pipeline_results_20260603_075716.xlsx</t>
  </si>
  <si>
    <t>/content/drive/MyDrive/thesis_project/thesis/outputs/exp04/auc_cascaded_pipeline_20260603_080120.json</t>
  </si>
  <si>
    <t>/content/drive/MyDrive/thesis_project/thesis/outputs/exp04/cascaded_pipeline_results_20260603_080119.xlsx</t>
  </si>
  <si>
    <t>/content/drive/MyDrive/thesis_project/thesis/outputs/exp04/auc_cascaded_pipeline_20260603_080534.json</t>
  </si>
  <si>
    <t>/content/drive/MyDrive/thesis_project/thesis/outputs/exp04/cascaded_pipeline_results_20260603_080533.xlsx</t>
  </si>
  <si>
    <t>/content/drive/MyDrive/thesis_project/thesis/outputs/exp04/auc_cascaded_pipeline_20260603_080911.json</t>
  </si>
  <si>
    <t>/content/drive/MyDrive/thesis_project/thesis/outputs/exp04/cascaded_pipeline_results_20260603_080910.xlsx</t>
  </si>
  <si>
    <t>/content/drive/MyDrive/thesis_project/thesis/outputs/exp04/auc_cascaded_pipeline_20260603_081327.json</t>
  </si>
  <si>
    <t>/content/drive/MyDrive/thesis_project/thesis/outputs/exp04/cascaded_pipeline_results_20260603_081326.xlsx</t>
  </si>
  <si>
    <t>/content/drive/MyDrive/thesis_project/thesis/outputs/exp04/auc_cascaded_pipeline_20260603_081716.json</t>
  </si>
  <si>
    <t>/content/drive/MyDrive/thesis_project/thesis/outputs/exp04/cascaded_pipeline_results_20260603_081715.xlsx</t>
  </si>
  <si>
    <t>/content/drive/MyDrive/thesis_project/thesis/outputs/exp04/auc_cascaded_pipeline_20260603_082054.json</t>
  </si>
  <si>
    <t>/content/drive/MyDrive/thesis_project/thesis/outputs/exp04/cascaded_pipeline_results_20260603_082053.xlsx</t>
  </si>
  <si>
    <t>/content/drive/MyDrive/thesis_project/thesis/outputs/exp04/auc_cascaded_pipeline_20260603_082419.json</t>
  </si>
  <si>
    <t>/content/drive/MyDrive/thesis_project/thesis/outputs/exp04/cascaded_pipeline_results_20260603_082418.xlsx</t>
  </si>
  <si>
    <t>/content/drive/MyDrive/thesis_project/thesis/outputs/exp04/auc_cascaded_pipeline_20260603_082743.json</t>
  </si>
  <si>
    <t>/content/drive/MyDrive/thesis_project/thesis/outputs/exp04/cascaded_pipeline_results_20260603_082742.xlsx</t>
  </si>
  <si>
    <t>/content/drive/MyDrive/thesis_project/thesis/outputs/exp04/auc_cascaded_pipeline_20260603_083120.json</t>
  </si>
  <si>
    <t>/content/drive/MyDrive/thesis_project/thesis/outputs/exp04/cascaded_pipeline_results_20260603_083119.xlsx</t>
  </si>
  <si>
    <t>/content/drive/MyDrive/thesis_project/thesis/outputs/exp04/auc_cascaded_pipeline_20260603_083511.json</t>
  </si>
  <si>
    <t>/content/drive/MyDrive/thesis_project/thesis/outputs/exp04/cascaded_pipeline_results_20260603_083510.xlsx</t>
  </si>
  <si>
    <t>/content/drive/MyDrive/thesis_project/thesis/outputs/exp04/auc_cascaded_pipeline_20260603_083822.json</t>
  </si>
  <si>
    <t>/content/drive/MyDrive/thesis_project/thesis/outputs/exp04/cascaded_pipeline_results_20260603_083821.xlsx</t>
  </si>
  <si>
    <t>/content/drive/MyDrive/thesis_project/thesis/outputs/exp04/auc_cascaded_pipeline_20260603_084238.json</t>
  </si>
  <si>
    <t>/content/drive/MyDrive/thesis_project/thesis/outputs/exp04/cascaded_pipeline_results_20260603_084237.xlsx</t>
  </si>
  <si>
    <t>/content/drive/MyDrive/thesis_project/thesis/outputs/exp04/auc_cascaded_pipeline_20260603_084628.json</t>
  </si>
  <si>
    <t>/content/drive/MyDrive/thesis_project/thesis/outputs/exp04/cascaded_pipeline_results_20260603_084627.xlsx</t>
  </si>
  <si>
    <t>/content/drive/MyDrive/thesis_project/thesis/outputs/exp04/auc_cascaded_pipeline_20260603_084951.json</t>
  </si>
  <si>
    <t>/content/drive/MyDrive/thesis_project/thesis/outputs/exp04/cascaded_pipeline_results_20260603_084950.xlsx</t>
  </si>
  <si>
    <t>/content/drive/MyDrive/thesis_project/thesis/outputs/exp04/auc_cascaded_pipeline_20260603_085328.json</t>
  </si>
  <si>
    <t>/content/drive/MyDrive/thesis_project/thesis/outputs/exp04/cascaded_pipeline_results_20260603_085327.xlsx</t>
  </si>
  <si>
    <t>/content/drive/MyDrive/thesis_project/thesis/outputs/exp04/auc_cascaded_pipeline_20260603_085745.json</t>
  </si>
  <si>
    <t>/content/drive/MyDrive/thesis_project/thesis/outputs/exp04/cascaded_pipeline_results_20260603_085744.xlsx</t>
  </si>
  <si>
    <t>/content/drive/MyDrive/thesis_project/thesis/outputs/exp04/auc_cascaded_pipeline_20260603_090159.json</t>
  </si>
  <si>
    <t>/content/drive/MyDrive/thesis_project/thesis/outputs/exp04/cascaded_pipeline_results_20260603_090158.xlsx</t>
  </si>
  <si>
    <t>/content/drive/MyDrive/thesis_project/thesis/outputs/exp04/auc_cascaded_pipeline_20260603_093910.json</t>
  </si>
  <si>
    <t>/content/drive/MyDrive/thesis_project/thesis/outputs/exp04/cascaded_pipeline_results_20260603_093908.xlsx</t>
  </si>
  <si>
    <t>/content/drive/MyDrive/thesis_project/thesis/outputs/exp04/auc_cascaded_pipeline_20260603_094223.json</t>
  </si>
  <si>
    <t>/content/drive/MyDrive/thesis_project/thesis/outputs/exp04/cascaded_pipeline_results_20260603_094222.xlsx</t>
  </si>
  <si>
    <t>/content/drive/MyDrive/thesis_project/thesis/outputs/exp04/auc_cascaded_pipeline_20260603_094641.json</t>
  </si>
  <si>
    <t>/content/drive/MyDrive/thesis_project/thesis/outputs/exp04/cascaded_pipeline_results_20260603_094640.xlsx</t>
  </si>
  <si>
    <t>/content/drive/MyDrive/thesis_project/thesis/outputs/exp04/auc_cascaded_pipeline_20260603_095059.json</t>
  </si>
  <si>
    <t>/content/drive/MyDrive/thesis_project/thesis/outputs/exp04/cascaded_pipeline_results_20260603_095058.xlsx</t>
  </si>
  <si>
    <t>/content/drive/MyDrive/thesis_project/thesis/outputs/exp04/auc_cascaded_pipeline_20260603_095452.json</t>
  </si>
  <si>
    <t>/content/drive/MyDrive/thesis_project/thesis/outputs/exp04/cascaded_pipeline_results_20260603_095451.xlsx</t>
  </si>
  <si>
    <t>/content/drive/MyDrive/thesis_project/thesis/outputs/exp04/auc_cascaded_pipeline_20260603_095829.json</t>
  </si>
  <si>
    <t>/content/drive/MyDrive/thesis_project/thesis/outputs/exp04/cascaded_pipeline_results_20260603_095828.xlsx</t>
  </si>
  <si>
    <t>/content/drive/MyDrive/thesis_project/thesis/outputs/exp04/auc_cascaded_pipeline_20260603_100247.json</t>
  </si>
  <si>
    <t>/content/drive/MyDrive/thesis_project/thesis/outputs/exp04/cascaded_pipeline_results_20260603_100246.xlsx</t>
  </si>
  <si>
    <t>/content/drive/MyDrive/thesis_project/thesis/outputs/exp04/auc_cascaded_pipeline_20260603_100613.json</t>
  </si>
  <si>
    <t>/content/drive/MyDrive/thesis_project/thesis/outputs/exp04/cascaded_pipeline_results_20260603_100612.xlsx</t>
  </si>
  <si>
    <t>/content/drive/MyDrive/thesis_project/thesis/outputs/exp04/auc_cascaded_pipeline_20260603_100952.json</t>
  </si>
  <si>
    <t>/content/drive/MyDrive/thesis_project/thesis/outputs/exp04/cascaded_pipeline_results_20260603_100951.xlsx</t>
  </si>
  <si>
    <t>/content/drive/MyDrive/thesis_project/thesis/outputs/exp04/auc_cascaded_pipeline_20260603_101317.json</t>
  </si>
  <si>
    <t>/content/drive/MyDrive/thesis_project/thesis/outputs/exp04/cascaded_pipeline_results_20260603_101316.xlsx</t>
  </si>
  <si>
    <t>/content/drive/MyDrive/thesis_project/thesis/outputs/exp04/auc_cascaded_pipeline_20260603_101652.json</t>
  </si>
  <si>
    <t>/content/drive/MyDrive/thesis_project/thesis/outputs/exp04/cascaded_pipeline_results_20260603_101650.xlsx</t>
  </si>
  <si>
    <t>/content/drive/MyDrive/thesis_project/thesis/outputs/exp04/auc_cascaded_pipeline_20260603_102106.json</t>
  </si>
  <si>
    <t>/content/drive/MyDrive/thesis_project/thesis/outputs/exp04/cascaded_pipeline_results_20260603_102105.xlsx</t>
  </si>
  <si>
    <t>/content/drive/MyDrive/thesis_project/thesis/outputs/exp04/auc_cascaded_pipeline_20260603_102507.json</t>
  </si>
  <si>
    <t>/content/drive/MyDrive/thesis_project/thesis/outputs/exp04/cascaded_pipeline_results_20260603_102506.xlsx</t>
  </si>
  <si>
    <t>/content/drive/MyDrive/thesis_project/thesis/outputs/exp04/auc_cascaded_pipeline_20260603_102831.json</t>
  </si>
  <si>
    <t>/content/drive/MyDrive/thesis_project/thesis/outputs/exp04/cascaded_pipeline_results_20260603_102830.xlsx</t>
  </si>
  <si>
    <t>/content/drive/MyDrive/thesis_project/thesis/outputs/exp04/auc_cascaded_pipeline_20260603_103210.json</t>
  </si>
  <si>
    <t>/content/drive/MyDrive/thesis_project/thesis/outputs/exp04/cascaded_pipeline_results_20260603_103208.xlsx</t>
  </si>
  <si>
    <t>/content/drive/MyDrive/thesis_project/thesis/outputs/exp04/auc_cascaded_pipeline_20260603_103559.json</t>
  </si>
  <si>
    <t>/content/drive/MyDrive/thesis_project/thesis/outputs/exp04/cascaded_pipeline_results_20260603_103558.xlsx</t>
  </si>
  <si>
    <t>/content/drive/MyDrive/thesis_project/thesis/outputs/exp04/auc_cascaded_pipeline_20260603_104005.json</t>
  </si>
  <si>
    <t>/content/drive/MyDrive/thesis_project/thesis/outputs/exp04/cascaded_pipeline_results_20260603_104004.xlsx</t>
  </si>
  <si>
    <t>/content/drive/MyDrive/thesis_project/thesis/outputs/exp04/auc_cascaded_pipeline_20260603_104342.json</t>
  </si>
  <si>
    <t>/content/drive/MyDrive/thesis_project/thesis/outputs/exp04/cascaded_pipeline_results_20260603_104341.xlsx</t>
  </si>
  <si>
    <t>/content/drive/MyDrive/thesis_project/thesis/outputs/exp04/auc_cascaded_pipeline_20260603_104720.json</t>
  </si>
  <si>
    <t>/content/drive/MyDrive/thesis_project/thesis/outputs/exp04/cascaded_pipeline_results_20260603_104719.xlsx</t>
  </si>
  <si>
    <t>/content/drive/MyDrive/thesis_project/thesis/outputs/exp04/auc_cascaded_pipeline_20260603_105101.json</t>
  </si>
  <si>
    <t>/content/drive/MyDrive/thesis_project/thesis/outputs/exp04/cascaded_pipeline_results_20260603_105100.xlsx</t>
  </si>
  <si>
    <t>/content/drive/MyDrive/thesis_project/thesis/outputs/exp04/auc_cascaded_pipeline_20260603_105438.json</t>
  </si>
  <si>
    <t>/content/drive/MyDrive/thesis_project/thesis/outputs/exp04/cascaded_pipeline_results_20260603_105437.xlsx</t>
  </si>
  <si>
    <t>/content/drive/MyDrive/thesis_project/thesis/outputs/exp04/auc_cascaded_pipeline_20260603_105855.json</t>
  </si>
  <si>
    <t>/content/drive/MyDrive/thesis_project/thesis/outputs/exp04/cascaded_pipeline_results_20260603_105854.xlsx</t>
  </si>
  <si>
    <t>/content/drive/MyDrive/thesis_project/thesis/outputs/exp04/auc_cascaded_pipeline_20260603_110234.json</t>
  </si>
  <si>
    <t>/content/drive/MyDrive/thesis_project/thesis/outputs/exp04/cascaded_pipeline_results_20260603_110233.xlsx</t>
  </si>
  <si>
    <t>/content/drive/MyDrive/thesis_project/thesis/outputs/exp04/auc_cascaded_pipeline_20260603_110610.json</t>
  </si>
  <si>
    <t>/content/drive/MyDrive/thesis_project/thesis/outputs/exp04/cascaded_pipeline_results_20260603_110609.xlsx</t>
  </si>
  <si>
    <t>/content/drive/MyDrive/thesis_project/thesis/outputs/exp04/auc_cascaded_pipeline_20260603_110936.json</t>
  </si>
  <si>
    <t>/content/drive/MyDrive/thesis_project/thesis/outputs/exp04/cascaded_pipeline_results_20260603_110935.xlsx</t>
  </si>
  <si>
    <t>/content/drive/MyDrive/thesis_project/thesis/outputs/exp04/auc_cascaded_pipeline_20260603_111315.json</t>
  </si>
  <si>
    <t>/content/drive/MyDrive/thesis_project/thesis/outputs/exp04/cascaded_pipeline_results_20260603_111314.xlsx</t>
  </si>
  <si>
    <t>/content/drive/MyDrive/thesis_project/thesis/outputs/exp04/auc_cascaded_pipeline_20260603_111729.json</t>
  </si>
  <si>
    <t>/content/drive/MyDrive/thesis_project/thesis/outputs/exp04/cascaded_pipeline_results_20260603_111728.xlsx</t>
  </si>
  <si>
    <t>/content/drive/MyDrive/thesis_project/thesis/outputs/exp04/auc_cascaded_pipeline_20260603_112105.json</t>
  </si>
  <si>
    <t>/content/drive/MyDrive/thesis_project/thesis/outputs/exp04/cascaded_pipeline_results_20260603_112104.xlsx</t>
  </si>
  <si>
    <t>/content/drive/MyDrive/thesis_project/thesis/outputs/exp04/auc_cascaded_pipeline_20260603_112519.json</t>
  </si>
  <si>
    <t>/content/drive/MyDrive/thesis_project/thesis/outputs/exp04/cascaded_pipeline_results_20260603_112518.xlsx</t>
  </si>
  <si>
    <t>/content/drive/MyDrive/thesis_project/thesis/outputs/exp05_ready/cascaded_step3_consistent_ready_20260603_112658.json</t>
  </si>
  <si>
    <t>/content/drive/MyDrive/thesis_project/thesis/outputs/exp05_ready/cascaded_step3_consistent_ready_results_20260603_112657.xlsx</t>
  </si>
  <si>
    <t>/content/drive/MyDrive/thesis_project/thesis/outputs/exp05_ready/cascaded_step3_consistent_ready_20260603_112702.json</t>
  </si>
  <si>
    <t>/content/drive/MyDrive/thesis_project/thesis/outputs/exp05_ready/cascaded_step3_consistent_ready_results_20260603_112702.xlsx</t>
  </si>
  <si>
    <t>/content/drive/MyDrive/thesis_project/thesis/outputs/exp05_ready/cascaded_step3_consistent_ready_20260603_112704.json</t>
  </si>
  <si>
    <t>/content/drive/MyDrive/thesis_project/thesis/outputs/exp05_ready/cascaded_step3_consistent_ready_results_20260603_112703.xlsx</t>
  </si>
  <si>
    <t>/content/drive/MyDrive/thesis_project/thesis/outputs/exp05_ready/cascaded_step3_consistent_ready_20260603_112707.json</t>
  </si>
  <si>
    <t>/content/drive/MyDrive/thesis_project/thesis/outputs/exp05_ready/cascaded_step3_consistent_ready_results_20260603_112706.xlsx</t>
  </si>
  <si>
    <t>/content/drive/MyDrive/thesis_project/thesis/outputs/exp05_ready/cascaded_step3_consistent_ready_20260603_112708.json</t>
  </si>
  <si>
    <t>/content/drive/MyDrive/thesis_project/thesis/outputs/exp05_ready/cascaded_step3_consistent_ready_results_20260603_112708.xlsx</t>
  </si>
  <si>
    <t>/content/drive/MyDrive/thesis_project/thesis/outputs/exp05_ready/cascaded_step3_consistent_ready_20260603_112710.json</t>
  </si>
  <si>
    <t>/content/drive/MyDrive/thesis_project/thesis/outputs/exp05_ready/cascaded_step3_consistent_ready_results_20260603_112709.xlsx</t>
  </si>
  <si>
    <t>/content/drive/MyDrive/thesis_project/thesis/outputs/exp05_ready/cascaded_step3_consistent_ready_20260603_112711.json</t>
  </si>
  <si>
    <t>/content/drive/MyDrive/thesis_project/thesis/outputs/exp05_ready/cascaded_step3_consistent_ready_results_20260603_112711.xlsx</t>
  </si>
  <si>
    <t>/content/drive/MyDrive/thesis_project/thesis/outputs/exp05_ready/cascaded_step3_consistent_ready_20260603_112712.json</t>
  </si>
  <si>
    <t>/content/drive/MyDrive/thesis_project/thesis/outputs/exp05_ready/cascaded_step3_consistent_ready_results_20260603_112712.xlsx</t>
  </si>
  <si>
    <t>/content/drive/MyDrive/thesis_project/thesis/outputs/exp05_ready/cascaded_step3_consistent_ready_20260603_112714.json</t>
  </si>
  <si>
    <t>/content/drive/MyDrive/thesis_project/thesis/outputs/exp05_ready/cascaded_step3_consistent_ready_results_20260603_112714.xlsx</t>
  </si>
  <si>
    <t>/content/drive/MyDrive/thesis_project/thesis/outputs/exp05_ready/cascaded_step3_consistent_ready_20260603_112716.json</t>
  </si>
  <si>
    <t>/content/drive/MyDrive/thesis_project/thesis/outputs/exp05_ready/cascaded_step3_consistent_ready_results_20260603_112716.xlsx</t>
  </si>
  <si>
    <t>/content/drive/MyDrive/thesis_project/thesis/outputs/exp05_ready/cascaded_step3_consistent_ready_20260603_112717.json</t>
  </si>
  <si>
    <t>/content/drive/MyDrive/thesis_project/thesis/outputs/exp05_ready/cascaded_step3_consistent_ready_results_20260603_112717.xlsx</t>
  </si>
  <si>
    <t>/content/drive/MyDrive/thesis_project/thesis/outputs/exp05_ready/cascaded_step3_consistent_ready_20260603_112719.json</t>
  </si>
  <si>
    <t>/content/drive/MyDrive/thesis_project/thesis/outputs/exp05_ready/cascaded_step3_consistent_ready_results_20260603_112719.xlsx</t>
  </si>
  <si>
    <t>/content/drive/MyDrive/thesis_project/thesis/outputs/exp05_ready/cascaded_step3_consistent_ready_20260603_112720.json</t>
  </si>
  <si>
    <t>/content/drive/MyDrive/thesis_project/thesis/outputs/exp05_ready/cascaded_step3_consistent_ready_results_20260603_112720.xlsx</t>
  </si>
  <si>
    <t>/content/drive/MyDrive/thesis_project/thesis/outputs/exp05_ready/cascaded_step3_consistent_ready_20260603_112722.json</t>
  </si>
  <si>
    <t>/content/drive/MyDrive/thesis_project/thesis/outputs/exp05_ready/cascaded_step3_consistent_ready_results_20260603_112721.xlsx</t>
  </si>
  <si>
    <t>/content/drive/MyDrive/thesis_project/thesis/outputs/exp05_ready/cascaded_step3_consistent_ready_20260603_112724.json</t>
  </si>
  <si>
    <t>/content/drive/MyDrive/thesis_project/thesis/outputs/exp05_ready/cascaded_step3_consistent_ready_results_20260603_112723.xlsx</t>
  </si>
  <si>
    <t>/content/drive/MyDrive/thesis_project/thesis/outputs/exp05_ready/cascaded_step3_consistent_ready_20260603_112725.json</t>
  </si>
  <si>
    <t>/content/drive/MyDrive/thesis_project/thesis/outputs/exp05_ready/cascaded_step3_consistent_ready_results_20260603_112725.xlsx</t>
  </si>
  <si>
    <t>/content/drive/MyDrive/thesis_project/thesis/outputs/exp05_ready/cascaded_step3_consistent_ready_20260603_112726.json</t>
  </si>
  <si>
    <t>/content/drive/MyDrive/thesis_project/thesis/outputs/exp05_ready/cascaded_step3_consistent_ready_results_20260603_112726.xlsx</t>
  </si>
  <si>
    <t>/content/drive/MyDrive/thesis_project/thesis/outputs/exp05_ready/cascaded_step3_consistent_ready_20260603_112728.json</t>
  </si>
  <si>
    <t>/content/drive/MyDrive/thesis_project/thesis/outputs/exp05_ready/cascaded_step3_consistent_ready_results_20260603_112728.xlsx</t>
  </si>
  <si>
    <t>/content/drive/MyDrive/thesis_project/thesis/outputs/exp05_ready/cascaded_step3_consistent_ready_20260603_112729.json</t>
  </si>
  <si>
    <t>/content/drive/MyDrive/thesis_project/thesis/outputs/exp05_ready/cascaded_step3_consistent_ready_results_20260603_112729.xlsx</t>
  </si>
  <si>
    <t>/content/drive/MyDrive/thesis_project/thesis/outputs/exp05_ready/cascaded_step3_consistent_ready_20260603_112731.json</t>
  </si>
  <si>
    <t>/content/drive/MyDrive/thesis_project/thesis/outputs/exp05_ready/cascaded_step3_consistent_ready_results_20260603_112731.xlsx</t>
  </si>
  <si>
    <t>/content/drive/MyDrive/thesis_project/thesis/outputs/exp05_ready/cascaded_step3_consistent_ready_20260603_112732.json</t>
  </si>
  <si>
    <t>/content/drive/MyDrive/thesis_project/thesis/outputs/exp05_ready/cascaded_step3_consistent_ready_results_20260603_112732.xlsx</t>
  </si>
  <si>
    <t>/content/drive/MyDrive/thesis_project/thesis/outputs/exp05_ready/cascaded_step3_consistent_ready_20260603_112734.json</t>
  </si>
  <si>
    <t>/content/drive/MyDrive/thesis_project/thesis/outputs/exp05_ready/cascaded_step3_consistent_ready_results_20260603_112733.xlsx</t>
  </si>
  <si>
    <t>/content/drive/MyDrive/thesis_project/thesis/outputs/exp05_ready/cascaded_step3_consistent_ready_20260603_112736.json</t>
  </si>
  <si>
    <t>/content/drive/MyDrive/thesis_project/thesis/outputs/exp05_ready/cascaded_step3_consistent_ready_results_20260603_112735.xlsx</t>
  </si>
  <si>
    <t>/content/drive/MyDrive/thesis_project/thesis/outputs/exp05_ready/cascaded_step3_consistent_ready_20260603_112737.json</t>
  </si>
  <si>
    <t>/content/drive/MyDrive/thesis_project/thesis/outputs/exp05_ready/cascaded_step3_consistent_ready_results_20260603_112737.xlsx</t>
  </si>
  <si>
    <t>/content/drive/MyDrive/thesis_project/thesis/outputs/exp05_ready/cascaded_step3_consistent_ready_20260603_112738.json</t>
  </si>
  <si>
    <t>/content/drive/MyDrive/thesis_project/thesis/outputs/exp05_ready/cascaded_step3_consistent_ready_results_20260603_112738.xlsx</t>
  </si>
  <si>
    <t>/content/drive/MyDrive/thesis_project/thesis/outputs/exp05_ready/cascaded_step3_consistent_ready_20260603_112740.json</t>
  </si>
  <si>
    <t>/content/drive/MyDrive/thesis_project/thesis/outputs/exp05_ready/cascaded_step3_consistent_ready_results_20260603_112740.xlsx</t>
  </si>
  <si>
    <t>/content/drive/MyDrive/thesis_project/thesis/outputs/exp05_ready/cascaded_step3_consistent_ready_20260603_112741.json</t>
  </si>
  <si>
    <t>/content/drive/MyDrive/thesis_project/thesis/outputs/exp05_ready/cascaded_step3_consistent_ready_results_20260603_112741.xlsx</t>
  </si>
  <si>
    <t>/content/drive/MyDrive/thesis_project/thesis/outputs/exp05_ready/cascaded_step3_consistent_ready_20260603_112743.json</t>
  </si>
  <si>
    <t>/content/drive/MyDrive/thesis_project/thesis/outputs/exp05_ready/cascaded_step3_consistent_ready_results_20260603_112742.xlsx</t>
  </si>
  <si>
    <t>/content/drive/MyDrive/thesis_project/thesis/outputs/exp05_ready/cascaded_step3_consistent_ready_20260603_112744.json</t>
  </si>
  <si>
    <t>/content/drive/MyDrive/thesis_project/thesis/outputs/exp05_ready/cascaded_step3_consistent_ready_results_20260603_112744.xlsx</t>
  </si>
  <si>
    <t>/content/drive/MyDrive/thesis_project/thesis/outputs/exp05_ready/cascaded_step3_consistent_ready_20260603_112746.json</t>
  </si>
  <si>
    <t>/content/drive/MyDrive/thesis_project/thesis/outputs/exp05_ready/cascaded_step3_consistent_ready_results_20260603_112746.xlsx</t>
  </si>
  <si>
    <t>/content/drive/MyDrive/thesis_project/thesis/outputs/exp05_ready/cascaded_step3_consistent_ready_20260603_112747.json</t>
  </si>
  <si>
    <t>/content/drive/MyDrive/thesis_project/thesis/outputs/exp05_ready/cascaded_step3_consistent_ready_results_20260603_112747.xlsx</t>
  </si>
  <si>
    <t>/content/drive/MyDrive/thesis_project/thesis/outputs/exp05_ready/cascaded_step3_consistent_ready_20260603_112750.json</t>
  </si>
  <si>
    <t>/content/drive/MyDrive/thesis_project/thesis/outputs/exp05_ready/cascaded_step3_consistent_ready_results_20260603_112749.xlsx</t>
  </si>
  <si>
    <t>/content/drive/MyDrive/thesis_project/thesis/outputs/exp05_ready/cascaded_step3_consistent_ready_20260603_112751.json</t>
  </si>
  <si>
    <t>/content/drive/MyDrive/thesis_project/thesis/outputs/exp05_ready/cascaded_step3_consistent_ready_results_20260603_112751.xlsx</t>
  </si>
  <si>
    <t>/content/drive/MyDrive/thesis_project/thesis/outputs/exp05_ready/cascaded_step3_consistent_ready_20260603_112752.json</t>
  </si>
  <si>
    <t>/content/drive/MyDrive/thesis_project/thesis/outputs/exp05_ready/cascaded_step3_consistent_ready_results_20260603_112752.xlsx</t>
  </si>
  <si>
    <t>/content/drive/MyDrive/thesis_project/thesis/outputs/exp05_ready/cascaded_step3_consistent_ready_20260603_112754.json</t>
  </si>
  <si>
    <t>/content/drive/MyDrive/thesis_project/thesis/outputs/exp05_ready/cascaded_step3_consistent_ready_results_20260603_112754.xlsx</t>
  </si>
  <si>
    <t>/content/drive/MyDrive/thesis_project/thesis/outputs/exp05_ready/cascaded_step3_consistent_ready_20260603_112755.json</t>
  </si>
  <si>
    <t>/content/drive/MyDrive/thesis_project/thesis/outputs/exp05_ready/cascaded_step3_consistent_ready_results_20260603_112755.xlsx</t>
  </si>
  <si>
    <t>/content/drive/MyDrive/thesis_project/thesis/outputs/exp05_ready/cascaded_step3_consistent_ready_20260603_112757.json</t>
  </si>
  <si>
    <t>/content/drive/MyDrive/thesis_project/thesis/outputs/exp05_ready/cascaded_step3_consistent_ready_results_20260603_112756.xlsx</t>
  </si>
  <si>
    <t>/content/drive/MyDrive/thesis_project/thesis/outputs/exp05_ready/cascaded_step3_consistent_ready_20260603_112758.json</t>
  </si>
  <si>
    <t>/content/drive/MyDrive/thesis_project/thesis/outputs/exp05_ready/cascaded_step3_consistent_ready_results_20260603_112758.xlsx</t>
  </si>
  <si>
    <t>/content/drive/MyDrive/thesis_project/thesis/outputs/exp05_ready/cascaded_step3_consistent_ready_20260603_112800.json</t>
  </si>
  <si>
    <t>/content/drive/MyDrive/thesis_project/thesis/outputs/exp05_ready/cascaded_step3_consistent_ready_results_20260603_112759.xlsx</t>
  </si>
  <si>
    <t>/content/drive/MyDrive/thesis_project/thesis/outputs/exp05_ready/cascaded_step3_consistent_ready_20260603_112801.json</t>
  </si>
  <si>
    <t>/content/drive/MyDrive/thesis_project/thesis/outputs/exp05_ready/cascaded_step3_consistent_ready_results_20260603_112801.xlsx</t>
  </si>
  <si>
    <t>/content/drive/MyDrive/thesis_project/thesis/outputs/exp05_ready/cascaded_step3_consistent_ready_20260603_112803.json</t>
  </si>
  <si>
    <t>/content/drive/MyDrive/thesis_project/thesis/outputs/exp05_ready/cascaded_step3_consistent_ready_results_20260603_112802.xlsx</t>
  </si>
  <si>
    <t>/content/drive/MyDrive/thesis_project/thesis/outputs/exp05_ready/cascaded_step3_consistent_ready_20260603_112804.json</t>
  </si>
  <si>
    <t>/content/drive/MyDrive/thesis_project/thesis/outputs/exp05_ready/cascaded_step3_consistent_ready_results_20260603_112804.xlsx</t>
  </si>
  <si>
    <t>/content/drive/MyDrive/thesis_project/thesis/outputs/exp05_ready/cascaded_step3_consistent_ready_20260603_112806.json</t>
  </si>
  <si>
    <t>/content/drive/MyDrive/thesis_project/thesis/outputs/exp05_ready/cascaded_step3_consistent_ready_results_20260603_112806.xlsx</t>
  </si>
  <si>
    <t>/content/drive/MyDrive/thesis_project/thesis/outputs/exp05_ready/cascaded_step3_consistent_ready_20260603_112808.json</t>
  </si>
  <si>
    <t>/content/drive/MyDrive/thesis_project/thesis/outputs/exp05_ready/cascaded_step3_consistent_ready_results_20260603_112807.xlsx</t>
  </si>
  <si>
    <t>/content/drive/MyDrive/thesis_project/thesis/outputs/exp05_ready/cascaded_step3_consistent_ready_20260603_112809.json</t>
  </si>
  <si>
    <t>/content/drive/MyDrive/thesis_project/thesis/outputs/exp05_ready/cascaded_step3_consistent_ready_results_20260603_112809.xlsx</t>
  </si>
  <si>
    <t>/content/drive/MyDrive/thesis_project/thesis/outputs/exp05_ready/cascaded_step3_consistent_ready_20260603_112811.json</t>
  </si>
  <si>
    <t>/content/drive/MyDrive/thesis_project/thesis/outputs/exp05_ready/cascaded_step3_consistent_ready_results_20260603_112810.xlsx</t>
  </si>
  <si>
    <t>/content/drive/MyDrive/thesis_project/thesis/outputs/exp05_ready/cascaded_step3_consistent_ready_20260603_112812.json</t>
  </si>
  <si>
    <t>/content/drive/MyDrive/thesis_project/thesis/outputs/exp05_ready/cascaded_step3_consistent_ready_results_20260603_112812.xlsx</t>
  </si>
  <si>
    <t>/content/drive/MyDrive/thesis_project/thesis/outputs/exp05_ready/cascaded_step3_consistent_ready_20260603_112814.json</t>
  </si>
  <si>
    <t>/content/drive/MyDrive/thesis_project/thesis/outputs/exp05_ready/cascaded_step3_consistent_ready_results_20260603_112813.xlsx</t>
  </si>
  <si>
    <t>/content/drive/MyDrive/thesis_project/thesis/outputs/exp05_ready/cascaded_step3_consistent_ready_20260603_112816.json</t>
  </si>
  <si>
    <t>/content/drive/MyDrive/thesis_project/thesis/outputs/exp05_ready/cascaded_step3_consistent_ready_results_20260603_112815.xlsx</t>
  </si>
  <si>
    <t>/content/drive/MyDrive/thesis_project/thesis/outputs/exp05_ready/cascaded_step3_consistent_ready_20260603_112817.json</t>
  </si>
  <si>
    <t>/content/drive/MyDrive/thesis_project/thesis/outputs/exp05_ready/cascaded_step3_consistent_ready_results_20260603_112817.xlsx</t>
  </si>
  <si>
    <t>/content/drive/MyDrive/thesis_project/thesis/outputs/exp05_ready/cascaded_step3_consistent_ready_20260603_112819.json</t>
  </si>
  <si>
    <t>/content/drive/MyDrive/thesis_project/thesis/outputs/exp05_ready/cascaded_step3_consistent_ready_results_20260603_112819.xlsx</t>
  </si>
  <si>
    <t>/content/drive/MyDrive/thesis_project/thesis/outputs/exp05_ready/cascaded_step3_consistent_ready_20260603_112820.json</t>
  </si>
  <si>
    <t>/content/drive/MyDrive/thesis_project/thesis/outputs/exp05_ready/cascaded_step3_consistent_ready_results_20260603_112820.xlsx</t>
  </si>
  <si>
    <t>/content/drive/MyDrive/thesis_project/thesis/outputs/exp05_ready/cascaded_step3_consistent_ready_20260603_112822.json</t>
  </si>
  <si>
    <t>/content/drive/MyDrive/thesis_project/thesis/outputs/exp05_ready/cascaded_step3_consistent_ready_results_20260603_112822.xlsx</t>
  </si>
  <si>
    <t>/content/drive/MyDrive/thesis_project/thesis/outputs/exp05_ready/cascaded_step3_consistent_ready_20260603_112823.json</t>
  </si>
  <si>
    <t>/content/drive/MyDrive/thesis_project/thesis/outputs/exp05_ready/cascaded_step3_consistent_ready_results_20260603_112823.xlsx</t>
  </si>
  <si>
    <t>/content/drive/MyDrive/thesis_project/thesis/outputs/exp05_ready/cascaded_step3_consistent_ready_20260603_112825.json</t>
  </si>
  <si>
    <t>/content/drive/MyDrive/thesis_project/thesis/outputs/exp05_ready/cascaded_step3_consistent_ready_results_20260603_112825.xlsx</t>
  </si>
  <si>
    <t>/content/drive/MyDrive/thesis_project/thesis/outputs/exp05_ready/cascaded_step3_consistent_ready_20260603_112827.json</t>
  </si>
  <si>
    <t>/content/drive/MyDrive/thesis_project/thesis/outputs/exp05_ready/cascaded_step3_consistent_ready_results_20260603_112826.xlsx</t>
  </si>
  <si>
    <t>/content/drive/MyDrive/thesis_project/thesis/outputs/exp05_ready/cascaded_step3_consistent_ready_20260603_112829.json</t>
  </si>
  <si>
    <t>/content/drive/MyDrive/thesis_project/thesis/outputs/exp05_ready/cascaded_step3_consistent_ready_results_20260603_112829.xlsx</t>
  </si>
  <si>
    <t>/content/drive/MyDrive/thesis_project/thesis/outputs/exp05_ready/cascaded_step3_consistent_ready_20260603_112831.json</t>
  </si>
  <si>
    <t>/content/drive/MyDrive/thesis_project/thesis/outputs/exp05_ready/cascaded_step3_consistent_ready_results_20260603_112831.xlsx</t>
  </si>
  <si>
    <t>/content/drive/MyDrive/thesis_project/thesis/outputs/exp05_ready/cascaded_step3_consistent_ready_20260603_112832.json</t>
  </si>
  <si>
    <t>/content/drive/MyDrive/thesis_project/thesis/outputs/exp05_ready/cascaded_step3_consistent_ready_results_20260603_112832.xlsx</t>
  </si>
  <si>
    <t>/content/drive/MyDrive/thesis_project/thesis/outputs/exp05_ready/cascaded_step3_consistent_ready_20260603_112834.json</t>
  </si>
  <si>
    <t>/content/drive/MyDrive/thesis_project/thesis/outputs/exp05_ready/cascaded_step3_consistent_ready_results_20260603_112834.xlsx</t>
  </si>
  <si>
    <t>/content/drive/MyDrive/thesis_project/thesis/outputs/exp05_ready/cascaded_step3_consistent_ready_20260603_112836.json</t>
  </si>
  <si>
    <t>/content/drive/MyDrive/thesis_project/thesis/outputs/exp05_ready/cascaded_step3_consistent_ready_results_20260603_112835.xlsx</t>
  </si>
  <si>
    <t>/content/drive/MyDrive/thesis_project/thesis/outputs/exp05_ready/cascaded_step3_consistent_ready_20260603_112837.json</t>
  </si>
  <si>
    <t>/content/drive/MyDrive/thesis_project/thesis/outputs/exp05_ready/cascaded_step3_consistent_ready_results_20260603_112837.xlsx</t>
  </si>
  <si>
    <t>/content/drive/MyDrive/thesis_project/thesis/outputs/exp05_ready/cascaded_step3_consistent_ready_20260603_112839.json</t>
  </si>
  <si>
    <t>/content/drive/MyDrive/thesis_project/thesis/outputs/exp05_ready/cascaded_step3_consistent_ready_results_20260603_112839.xlsx</t>
  </si>
  <si>
    <t>/content/drive/MyDrive/thesis_project/thesis/outputs/exp05_ready/cascaded_step3_consistent_ready_20260603_112840.json</t>
  </si>
  <si>
    <t>/content/drive/MyDrive/thesis_project/thesis/outputs/exp05_ready/cascaded_step3_consistent_ready_results_20260603_112840.xlsx</t>
  </si>
  <si>
    <t>/content/drive/MyDrive/thesis_project/thesis/outputs/exp05_ready/cascaded_step3_consistent_ready_20260603_112842.json</t>
  </si>
  <si>
    <t>/content/drive/MyDrive/thesis_project/thesis/outputs/exp05_ready/cascaded_step3_consistent_ready_results_20260603_112842.xlsx</t>
  </si>
  <si>
    <t>/content/drive/MyDrive/thesis_project/thesis/outputs/exp05_ready/cascaded_step3_consistent_ready_20260603_112844.json</t>
  </si>
  <si>
    <t>/content/drive/MyDrive/thesis_project/thesis/outputs/exp05_ready/cascaded_step3_consistent_ready_results_20260603_112843.xlsx</t>
  </si>
  <si>
    <t>/content/drive/MyDrive/thesis_project/thesis/outputs/exp05_ready/cascaded_step3_consistent_ready_20260603_112846.json</t>
  </si>
  <si>
    <t>/content/drive/MyDrive/thesis_project/thesis/outputs/exp05_ready/cascaded_step3_consistent_ready_results_20260603_112846.xlsx</t>
  </si>
  <si>
    <t>/content/drive/MyDrive/thesis_project/thesis/outputs/exp05_ready/cascaded_step3_consistent_ready_20260603_112848.json</t>
  </si>
  <si>
    <t>/content/drive/MyDrive/thesis_project/thesis/outputs/exp05_ready/cascaded_step3_consistent_ready_results_20260603_112848.xlsx</t>
  </si>
  <si>
    <t>/content/drive/MyDrive/thesis_project/thesis/outputs/exp05_ready/cascaded_step3_consistent_ready_20260603_112850.json</t>
  </si>
  <si>
    <t>/content/drive/MyDrive/thesis_project/thesis/outputs/exp05_ready/cascaded_step3_consistent_ready_results_20260603_112850.xlsx</t>
  </si>
  <si>
    <t>/content/drive/MyDrive/thesis_project/thesis/outputs/exp05_ready/cascaded_step3_consistent_ready_20260603_112851.json</t>
  </si>
  <si>
    <t>/content/drive/MyDrive/thesis_project/thesis/outputs/exp05_ready/cascaded_step3_consistent_ready_results_20260603_112851.xlsx</t>
  </si>
  <si>
    <t>/content/drive/MyDrive/thesis_project/thesis/outputs/exp05_ready/cascaded_step3_consistent_ready_20260603_112853.json</t>
  </si>
  <si>
    <t>/content/drive/MyDrive/thesis_project/thesis/outputs/exp05_ready/cascaded_step3_consistent_ready_results_20260603_112853.xlsx</t>
  </si>
  <si>
    <t>/content/drive/MyDrive/thesis_project/thesis/outputs/exp05_ready/cascaded_step3_consistent_ready_20260603_112855.json</t>
  </si>
  <si>
    <t>/content/drive/MyDrive/thesis_project/thesis/outputs/exp05_ready/cascaded_step3_consistent_ready_results_20260603_112854.xlsx</t>
  </si>
  <si>
    <t>/content/drive/MyDrive/thesis_project/thesis/outputs/exp05_ready/cascaded_step3_consistent_ready_20260603_112856.json</t>
  </si>
  <si>
    <t>/content/drive/MyDrive/thesis_project/thesis/outputs/exp05_ready/cascaded_step3_consistent_ready_results_20260603_112856.xlsx</t>
  </si>
  <si>
    <t>/content/drive/MyDrive/thesis_project/thesis/outputs/exp05_ready/cascaded_step3_consistent_ready_20260603_112858.json</t>
  </si>
  <si>
    <t>/content/drive/MyDrive/thesis_project/thesis/outputs/exp05_ready/cascaded_step3_consistent_ready_results_20260603_112858.xlsx</t>
  </si>
  <si>
    <t>/content/drive/MyDrive/thesis_project/thesis/outputs/exp05_ready/cascaded_step3_consistent_ready_20260603_112900.json</t>
  </si>
  <si>
    <t>/content/drive/MyDrive/thesis_project/thesis/outputs/exp05_ready/cascaded_step3_consistent_ready_results_20260603_112859.xlsx</t>
  </si>
  <si>
    <t>/content/drive/MyDrive/thesis_project/thesis/outputs/exp05_ready/cascaded_step3_consistent_ready_20260603_112901.json</t>
  </si>
  <si>
    <t>/content/drive/MyDrive/thesis_project/thesis/outputs/exp05_ready/cascaded_step3_consistent_ready_results_20260603_112901.xlsx</t>
  </si>
  <si>
    <t>/content/drive/MyDrive/thesis_project/thesis/outputs/exp05_ready/cascaded_step3_consistent_ready_20260603_112903.json</t>
  </si>
  <si>
    <t>/content/drive/MyDrive/thesis_project/thesis/outputs/exp05_ready/cascaded_step3_consistent_ready_results_20260603_112902.xlsx</t>
  </si>
  <si>
    <t>/content/drive/MyDrive/thesis_project/thesis/outputs/exp05_ready/cascaded_step3_consistent_ready_20260603_112904.json</t>
  </si>
  <si>
    <t>/content/drive/MyDrive/thesis_project/thesis/outputs/exp05_ready/cascaded_step3_consistent_ready_results_20260603_112904.xlsx</t>
  </si>
  <si>
    <t>/content/drive/MyDrive/thesis_project/thesis/outputs/exp05_ready/cascaded_step3_consistent_ready_20260603_112906.json</t>
  </si>
  <si>
    <t>/content/drive/MyDrive/thesis_project/thesis/outputs/exp05_ready/cascaded_step3_consistent_ready_results_20260603_112905.xlsx</t>
  </si>
  <si>
    <t>/content/drive/MyDrive/thesis_project/thesis/outputs/exp05_ready/cascaded_step3_consistent_ready_20260603_112908.json</t>
  </si>
  <si>
    <t>/content/drive/MyDrive/thesis_project/thesis/outputs/exp05_ready/cascaded_step3_consistent_ready_results_20260603_112907.xlsx</t>
  </si>
  <si>
    <t>/content/drive/MyDrive/thesis_project/thesis/outputs/exp05_ready/cascaded_step3_consistent_ready_20260603_112909.json</t>
  </si>
  <si>
    <t>/content/drive/MyDrive/thesis_project/thesis/outputs/exp05_ready/cascaded_step3_consistent_ready_results_20260603_112909.xlsx</t>
  </si>
  <si>
    <t>/content/drive/MyDrive/thesis_project/thesis/outputs/exp05_ready/cascaded_step3_consistent_ready_20260603_112910.json</t>
  </si>
  <si>
    <t>/content/drive/MyDrive/thesis_project/thesis/outputs/exp05_ready/cascaded_step3_consistent_ready_results_20260603_112910.xlsx</t>
  </si>
  <si>
    <t>/content/drive/MyDrive/thesis_project/thesis/outputs/exp05_ready/cascaded_step3_consistent_ready_20260603_112912.json</t>
  </si>
  <si>
    <t>/content/drive/MyDrive/thesis_project/thesis/outputs/exp05_ready/cascaded_step3_consistent_ready_results_20260603_112911.xlsx</t>
  </si>
  <si>
    <t>/content/drive/MyDrive/thesis_project/thesis/outputs/exp05_ready/cascaded_step3_consistent_ready_20260603_112913.json</t>
  </si>
  <si>
    <t>/content/drive/MyDrive/thesis_project/thesis/outputs/exp05_ready/cascaded_step3_consistent_ready_results_20260603_112913.xlsx</t>
  </si>
  <si>
    <t>/content/drive/MyDrive/thesis_project/thesis/outputs/exp05_ready/cascaded_step3_consistent_ready_20260603_112914.json</t>
  </si>
  <si>
    <t>/content/drive/MyDrive/thesis_project/thesis/outputs/exp05_ready/cascaded_step3_consistent_ready_results_20260603_112914.xlsx</t>
  </si>
  <si>
    <t>/content/drive/MyDrive/thesis_project/thesis/outputs/exp05_ready/cascaded_step3_consistent_ready_20260603_112916.json</t>
  </si>
  <si>
    <t>/content/drive/MyDrive/thesis_project/thesis/outputs/exp05_ready/cascaded_step3_consistent_ready_results_20260603_112916.xlsx</t>
  </si>
  <si>
    <t>/content/drive/MyDrive/thesis_project/thesis/outputs/exp05_ready/cascaded_step3_consistent_ready_20260603_112918.json</t>
  </si>
  <si>
    <t>/content/drive/MyDrive/thesis_project/thesis/outputs/exp05_ready/cascaded_step3_consistent_ready_results_20260603_112917.xlsx</t>
  </si>
  <si>
    <t>/content/drive/MyDrive/thesis_project/thesis/outputs/exp05_ready/cascaded_step3_consistent_ready_20260603_112919.json</t>
  </si>
  <si>
    <t>/content/drive/MyDrive/thesis_project/thesis/outputs/exp05_ready/cascaded_step3_consistent_ready_results_20260603_112919.xlsx</t>
  </si>
  <si>
    <t>/content/drive/MyDrive/thesis_project/thesis/outputs/exp05_ready/cascaded_step3_consistent_ready_20260603_112921.json</t>
  </si>
  <si>
    <t>/content/drive/MyDrive/thesis_project/thesis/outputs/exp05_ready/cascaded_step3_consistent_ready_results_20260603_112920.xlsx</t>
  </si>
  <si>
    <t>/content/drive/MyDrive/thesis_project/thesis/outputs/exp05_ready/cascaded_step3_consistent_ready_20260603_112922.json</t>
  </si>
  <si>
    <t>/content/drive/MyDrive/thesis_project/thesis/outputs/exp05_ready/cascaded_step3_consistent_ready_results_20260603_112922.xlsx</t>
  </si>
  <si>
    <t>/content/drive/MyDrive/thesis_project/thesis/outputs/exp05_ready/cascaded_step3_consistent_ready_20260603_112923.json</t>
  </si>
  <si>
    <t>/content/drive/MyDrive/thesis_project/thesis/outputs/exp05_ready/cascaded_step3_consistent_ready_results_20260603_112923.xlsx</t>
  </si>
  <si>
    <t>/content/drive/MyDrive/thesis_project/thesis/outputs/exp05_ready/cascaded_step3_consistent_ready_20260603_112925.json</t>
  </si>
  <si>
    <t>/content/drive/MyDrive/thesis_project/thesis/outputs/exp05_ready/cascaded_step3_consistent_ready_results_20260603_112925.xlsx</t>
  </si>
  <si>
    <t>/content/drive/MyDrive/thesis_project/thesis/outputs/exp05_ready/cascaded_step3_consistent_ready_20260603_112926.json</t>
  </si>
  <si>
    <t>/content/drive/MyDrive/thesis_project/thesis/outputs/exp05_ready/cascaded_step3_consistent_ready_results_20260603_112926.xlsx</t>
  </si>
  <si>
    <t>/content/drive/MyDrive/thesis_project/thesis/outputs/exp05_ready/cascaded_step3_consistent_ready_20260603_112928.json</t>
  </si>
  <si>
    <t>/content/drive/MyDrive/thesis_project/thesis/outputs/exp05_ready/cascaded_step3_consistent_ready_results_20260603_112927.xlsx</t>
  </si>
  <si>
    <t>/content/drive/MyDrive/thesis_project/thesis/outputs/exp05_ready/cascaded_step3_consistent_ready_20260603_112929.json</t>
  </si>
  <si>
    <t>/content/drive/MyDrive/thesis_project/thesis/outputs/exp05_ready/cascaded_step3_consistent_ready_results_20260603_112929.xlsx</t>
  </si>
  <si>
    <t>/content/drive/MyDrive/thesis_project/thesis/outputs/exp05_ready/cascaded_step3_consistent_ready_20260603_112931.json</t>
  </si>
  <si>
    <t>/content/drive/MyDrive/thesis_project/thesis/outputs/exp05_ready/cascaded_step3_consistent_ready_results_20260603_112931.xlsx</t>
  </si>
  <si>
    <t>/content/drive/MyDrive/thesis_project/thesis/outputs/exp05_ready/cascaded_step3_consistent_ready_20260603_112932.json</t>
  </si>
  <si>
    <t>/content/drive/MyDrive/thesis_project/thesis/outputs/exp05_ready/cascaded_step3_consistent_ready_results_20260603_112932.xlsx</t>
  </si>
  <si>
    <t>/content/drive/MyDrive/thesis_project/thesis/outputs/exp05_ready/cascaded_step3_consistent_ready_20260603_112934.json</t>
  </si>
  <si>
    <t>/content/drive/MyDrive/thesis_project/thesis/outputs/exp05_ready/cascaded_step3_consistent_ready_results_20260603_112933.xlsx</t>
  </si>
  <si>
    <t>/content/drive/MyDrive/thesis_project/thesis/outputs/exp05_ready/cascaded_step3_consistent_ready_20260603_112935.json</t>
  </si>
  <si>
    <t>/content/drive/MyDrive/thesis_project/thesis/outputs/exp05_ready/cascaded_step3_consistent_ready_results_20260603_112935.xlsx</t>
  </si>
  <si>
    <t>/content/drive/MyDrive/thesis_project/thesis/outputs/exp05_ready/cascaded_step3_consistent_ready_20260603_112937.json</t>
  </si>
  <si>
    <t>/content/drive/MyDrive/thesis_project/thesis/outputs/exp05_ready/cascaded_step3_consistent_ready_results_20260603_112936.xlsx</t>
  </si>
  <si>
    <t>/content/drive/MyDrive/thesis_project/thesis/outputs/exp05_ready/cascaded_step3_consistent_ready_20260603_112939.json</t>
  </si>
  <si>
    <t>/content/drive/MyDrive/thesis_project/thesis/outputs/exp05_ready/cascaded_step3_consistent_ready_results_20260603_112938.xlsx</t>
  </si>
  <si>
    <t>/content/drive/MyDrive/thesis_project/thesis/outputs/exp05_ready/cascaded_step3_consistent_ready_20260603_112940.json</t>
  </si>
  <si>
    <t>/content/drive/MyDrive/thesis_project/thesis/outputs/exp05_ready/cascaded_step3_consistent_ready_results_20260603_112940.xlsx</t>
  </si>
  <si>
    <t>/content/drive/MyDrive/thesis_project/thesis/outputs/exp05_ready/cascaded_step3_consistent_ready_20260603_112941.json</t>
  </si>
  <si>
    <t>/content/drive/MyDrive/thesis_project/thesis/outputs/exp05_ready/cascaded_step3_consistent_ready_results_20260603_112941.xlsx</t>
  </si>
  <si>
    <t>/content/drive/MyDrive/thesis_project/thesis/outputs/exp05_ready/cascaded_step3_consistent_ready_20260603_112943.json</t>
  </si>
  <si>
    <t>/content/drive/MyDrive/thesis_project/thesis/outputs/exp05_ready/cascaded_step3_consistent_ready_results_20260603_112943.xlsx</t>
  </si>
  <si>
    <t>/content/drive/MyDrive/thesis_project/thesis/outputs/exp05_ready/cascaded_step3_consistent_ready_20260603_112944.json</t>
  </si>
  <si>
    <t>/content/drive/MyDrive/thesis_project/thesis/outputs/exp05_ready/cascaded_step3_consistent_ready_results_20260603_112944.xlsx</t>
  </si>
  <si>
    <t>/content/drive/MyDrive/thesis_project/thesis/outputs/exp05_ready/cascaded_step3_consistent_ready_20260603_112946.json</t>
  </si>
  <si>
    <t>/content/drive/MyDrive/thesis_project/thesis/outputs/exp05_ready/cascaded_step3_consistent_ready_results_20260603_112946.xlsx</t>
  </si>
  <si>
    <t>/content/drive/MyDrive/thesis_project/thesis/outputs/exp05_ready/cascaded_step3_consistent_ready_20260603_112948.json</t>
  </si>
  <si>
    <t>/content/drive/MyDrive/thesis_project/thesis/outputs/exp05_ready/cascaded_step3_consistent_ready_results_20260603_112948.xlsx</t>
  </si>
  <si>
    <t>/content/drive/MyDrive/thesis_project/thesis/outputs/exp05_ready/cascaded_step3_consistent_ready_20260603_112950.json</t>
  </si>
  <si>
    <t>/content/drive/MyDrive/thesis_project/thesis/outputs/exp05_ready/cascaded_step3_consistent_ready_results_20260603_112949.xlsx</t>
  </si>
  <si>
    <t>/content/drive/MyDrive/thesis_project/thesis/outputs/exp05_ready/cascaded_step3_consistent_ready_20260603_112952.json</t>
  </si>
  <si>
    <t>/content/drive/MyDrive/thesis_project/thesis/outputs/exp05_ready/cascaded_step3_consistent_ready_results_20260603_112951.xlsx</t>
  </si>
  <si>
    <t>/content/drive/MyDrive/thesis_project/thesis/outputs/exp05_ready/cascaded_step3_consistent_ready_20260603_112953.json</t>
  </si>
  <si>
    <t>/content/drive/MyDrive/thesis_project/thesis/outputs/exp05_ready/cascaded_step3_consistent_ready_results_20260603_112953.xlsx</t>
  </si>
  <si>
    <t>/content/drive/MyDrive/thesis_project/thesis/outputs/exp05_ready/cascaded_step3_consistent_ready_20260603_112955.json</t>
  </si>
  <si>
    <t>/content/drive/MyDrive/thesis_project/thesis/outputs/exp05_ready/cascaded_step3_consistent_ready_results_20260603_112955.xlsx</t>
  </si>
  <si>
    <t>/content/drive/MyDrive/thesis_project/thesis/outputs/exp05_ready/cascaded_step3_consistent_ready_20260603_112956.json</t>
  </si>
  <si>
    <t>/content/drive/MyDrive/thesis_project/thesis/outputs/exp05_ready/cascaded_step3_consistent_ready_results_20260603_112956.xlsx</t>
  </si>
  <si>
    <t>/content/drive/MyDrive/thesis_project/thesis/outputs/exp05_ready/cascaded_step3_consistent_ready_20260603_112958.json</t>
  </si>
  <si>
    <t>/content/drive/MyDrive/thesis_project/thesis/outputs/exp05_ready/cascaded_step3_consistent_ready_results_20260603_112958.xlsx</t>
  </si>
  <si>
    <t>/content/drive/MyDrive/thesis_project/thesis/outputs/exp05_ready/cascaded_step3_consistent_ready_20260603_112959.json</t>
  </si>
  <si>
    <t>/content/drive/MyDrive/thesis_project/thesis/outputs/exp05_ready/cascaded_step3_consistent_ready_results_20260603_112959.xlsx</t>
  </si>
  <si>
    <t>/content/drive/MyDrive/thesis_project/thesis/outputs/exp05_ready/cascaded_step3_consistent_ready_20260603_113000.json</t>
  </si>
  <si>
    <t>/content/drive/MyDrive/thesis_project/thesis/outputs/exp05_ready/cascaded_step3_consistent_ready_results_20260603_113000.xlsx</t>
  </si>
  <si>
    <t>/content/drive/MyDrive/thesis_project/thesis/outputs/exp05_ready/cascaded_step3_consistent_ready_20260603_113001.json</t>
  </si>
  <si>
    <t>/content/drive/MyDrive/thesis_project/thesis/outputs/exp05_ready/cascaded_step3_consistent_ready_results_20260603_113001.xlsx</t>
  </si>
  <si>
    <t>/content/drive/MyDrive/thesis_project/thesis/outputs/exp05_ready/cascaded_step3_consistent_ready_20260603_113002.json</t>
  </si>
  <si>
    <t>/content/drive/MyDrive/thesis_project/thesis/outputs/exp05_ready/cascaded_step3_consistent_ready_results_20260603_113002.xlsx</t>
  </si>
  <si>
    <t>/content/drive/MyDrive/thesis_project/thesis/outputs/exp05_ready/cascaded_step3_consistent_ready_20260603_113003.json</t>
  </si>
  <si>
    <t>/content/drive/MyDrive/thesis_project/thesis/outputs/exp05_ready/cascaded_step3_consistent_ready_results_20260603_113003.xlsx</t>
  </si>
  <si>
    <t>/content/drive/MyDrive/thesis_project/thesis/outputs/exp05_ready/cascaded_step3_consistent_ready_20260603_113004.json</t>
  </si>
  <si>
    <t>/content/drive/MyDrive/thesis_project/thesis/outputs/exp05_ready/cascaded_step3_consistent_ready_20260603_113005.json</t>
  </si>
  <si>
    <t>/content/drive/MyDrive/thesis_project/thesis/outputs/exp05_ready/cascaded_step3_consistent_ready_results_20260603_113004.xlsx</t>
  </si>
  <si>
    <t>/content/drive/MyDrive/thesis_project/thesis/outputs/exp06_ready/fusion_ready_20260603_113009.json</t>
  </si>
  <si>
    <t>/content/drive/MyDrive/thesis_project/thesis/outputs/exp06_ready/fusion_ready_results_20260603_113008.xlsx</t>
  </si>
  <si>
    <t>/content/drive/MyDrive/thesis_project/thesis/outputs/exp06_ready/fusion_ready_20260603_113012.json</t>
  </si>
  <si>
    <t>/content/drive/MyDrive/thesis_project/thesis/outputs/exp06_ready/fusion_ready_results_20260603_113012.xlsx</t>
  </si>
  <si>
    <t>/content/drive/MyDrive/thesis_project/thesis/outputs/exp06_ready/fusion_ready_20260603_113015.json</t>
  </si>
  <si>
    <t>/content/drive/MyDrive/thesis_project/thesis/outputs/exp06_ready/fusion_ready_results_20260603_113014.xlsx</t>
  </si>
  <si>
    <t>/content/drive/MyDrive/thesis_project/thesis/outputs/exp06_ready/fusion_ready_20260603_113017.json</t>
  </si>
  <si>
    <t>/content/drive/MyDrive/thesis_project/thesis/outputs/exp06_ready/fusion_ready_results_20260603_113016.xlsx</t>
  </si>
  <si>
    <t>/content/drive/MyDrive/thesis_project/thesis/outputs/exp06_ready/fusion_ready_20260603_113019.json</t>
  </si>
  <si>
    <t>/content/drive/MyDrive/thesis_project/thesis/outputs/exp06_ready/fusion_ready_results_20260603_113018.xlsx</t>
  </si>
  <si>
    <t>/content/drive/MyDrive/thesis_project/thesis/outputs/exp06_ready/fusion_ready_20260603_113021.json</t>
  </si>
  <si>
    <t>/content/drive/MyDrive/thesis_project/thesis/outputs/exp06_ready/fusion_ready_results_20260603_113020.xlsx</t>
  </si>
  <si>
    <t>/content/drive/MyDrive/thesis_project/thesis/outputs/exp06_ready/fusion_ready_20260603_113023.json</t>
  </si>
  <si>
    <t>/content/drive/MyDrive/thesis_project/thesis/outputs/exp06_ready/fusion_ready_results_20260603_113022.xlsx</t>
  </si>
  <si>
    <t>/content/drive/MyDrive/thesis_project/thesis/outputs/exp06_ready/fusion_ready_20260603_113025.json</t>
  </si>
  <si>
    <t>/content/drive/MyDrive/thesis_project/thesis/outputs/exp06_ready/fusion_ready_results_20260603_113024.xlsx</t>
  </si>
  <si>
    <t>/content/drive/MyDrive/thesis_project/thesis/outputs/exp06_ready/fusion_ready_20260603_113027.json</t>
  </si>
  <si>
    <t>/content/drive/MyDrive/thesis_project/thesis/outputs/exp06_ready/fusion_ready_results_20260603_113026.xlsx</t>
  </si>
  <si>
    <t>/content/drive/MyDrive/thesis_project/thesis/outputs/exp06_ready/fusion_ready_20260603_113029.json</t>
  </si>
  <si>
    <t>/content/drive/MyDrive/thesis_project/thesis/outputs/exp06_ready/fusion_ready_results_20260603_113029.xlsx</t>
  </si>
  <si>
    <t>/content/drive/MyDrive/thesis_project/thesis/outputs/exp06_ready/fusion_ready_20260603_113032.json</t>
  </si>
  <si>
    <t>/content/drive/MyDrive/thesis_project/thesis/outputs/exp06_ready/fusion_ready_results_20260603_113031.xlsx</t>
  </si>
  <si>
    <t>/content/drive/MyDrive/thesis_project/thesis/outputs/exp06_ready/fusion_ready_20260603_113034.json</t>
  </si>
  <si>
    <t>/content/drive/MyDrive/thesis_project/thesis/outputs/exp06_ready/fusion_ready_results_20260603_113033.xlsx</t>
  </si>
  <si>
    <t>/content/drive/MyDrive/thesis_project/thesis/outputs/exp06_ready/fusion_ready_20260603_113037.json</t>
  </si>
  <si>
    <t>/content/drive/MyDrive/thesis_project/thesis/outputs/exp06_ready/fusion_ready_results_20260603_113036.xlsx</t>
  </si>
  <si>
    <t>/content/drive/MyDrive/thesis_project/thesis/outputs/exp06_ready/fusion_ready_20260603_113039.json</t>
  </si>
  <si>
    <t>/content/drive/MyDrive/thesis_project/thesis/outputs/exp06_ready/fusion_ready_results_20260603_113038.xlsx</t>
  </si>
  <si>
    <t>/content/drive/MyDrive/thesis_project/thesis/outputs/exp06_ready/fusion_ready_20260603_113041.json</t>
  </si>
  <si>
    <t>/content/drive/MyDrive/thesis_project/thesis/outputs/exp06_ready/fusion_ready_results_20260603_113040.xlsx</t>
  </si>
  <si>
    <t>/content/drive/MyDrive/thesis_project/thesis/outputs/exp06_ready/fusion_ready_20260603_113043.json</t>
  </si>
  <si>
    <t>/content/drive/MyDrive/thesis_project/thesis/outputs/exp06_ready/fusion_ready_results_20260603_113043.xlsx</t>
  </si>
  <si>
    <t>/content/drive/MyDrive/thesis_project/thesis/outputs/exp06_ready/fusion_ready_20260603_113045.json</t>
  </si>
  <si>
    <t>/content/drive/MyDrive/thesis_project/thesis/outputs/exp06_ready/fusion_ready_results_20260603_113045.xlsx</t>
  </si>
  <si>
    <t>/content/drive/MyDrive/thesis_project/thesis/outputs/exp06_ready/fusion_ready_20260603_113048.json</t>
  </si>
  <si>
    <t>/content/drive/MyDrive/thesis_project/thesis/outputs/exp06_ready/fusion_ready_results_20260603_113047.xlsx</t>
  </si>
  <si>
    <t>/content/drive/MyDrive/thesis_project/thesis/outputs/exp06_ready/fusion_ready_20260603_113050.json</t>
  </si>
  <si>
    <t>/content/drive/MyDrive/thesis_project/thesis/outputs/exp06_ready/fusion_ready_results_20260603_113049.xlsx</t>
  </si>
  <si>
    <t>/content/drive/MyDrive/thesis_project/thesis/outputs/exp06_ready/fusion_ready_20260603_113052.json</t>
  </si>
  <si>
    <t>/content/drive/MyDrive/thesis_project/thesis/outputs/exp06_ready/fusion_ready_results_20260603_113051.xlsx</t>
  </si>
  <si>
    <t>/content/drive/MyDrive/thesis_project/thesis/outputs/exp06_ready/fusion_ready_20260603_113054.json</t>
  </si>
  <si>
    <t>/content/drive/MyDrive/thesis_project/thesis/outputs/exp06_ready/fusion_ready_results_20260603_113053.xlsx</t>
  </si>
  <si>
    <t>/content/drive/MyDrive/thesis_project/thesis/outputs/exp06_ready/fusion_ready_20260603_113056.json</t>
  </si>
  <si>
    <t>/content/drive/MyDrive/thesis_project/thesis/outputs/exp06_ready/fusion_ready_results_20260603_113055.xlsx</t>
  </si>
  <si>
    <t>/content/drive/MyDrive/thesis_project/thesis/outputs/exp06_ready/fusion_ready_20260603_113058.json</t>
  </si>
  <si>
    <t>/content/drive/MyDrive/thesis_project/thesis/outputs/exp06_ready/fusion_ready_results_20260603_113057.xlsx</t>
  </si>
  <si>
    <t>/content/drive/MyDrive/thesis_project/thesis/outputs/exp06_ready/fusion_ready_20260603_113100.json</t>
  </si>
  <si>
    <t>/content/drive/MyDrive/thesis_project/thesis/outputs/exp06_ready/fusion_ready_results_20260603_113059.xlsx</t>
  </si>
  <si>
    <t>/content/drive/MyDrive/thesis_project/thesis/outputs/exp06_ready/fusion_ready_20260603_113102.json</t>
  </si>
  <si>
    <t>/content/drive/MyDrive/thesis_project/thesis/outputs/exp06_ready/fusion_ready_results_20260603_113101.xlsx</t>
  </si>
  <si>
    <t>/content/drive/MyDrive/thesis_project/thesis/outputs/exp06_ready/fusion_ready_20260603_113104.json</t>
  </si>
  <si>
    <t>/content/drive/MyDrive/thesis_project/thesis/outputs/exp06_ready/fusion_ready_results_20260603_113103.xlsx</t>
  </si>
  <si>
    <t>/content/drive/MyDrive/thesis_project/thesis/outputs/exp06_ready/fusion_ready_20260603_113106.json</t>
  </si>
  <si>
    <t>/content/drive/MyDrive/thesis_project/thesis/outputs/exp06_ready/fusion_ready_results_20260603_113105.xlsx</t>
  </si>
  <si>
    <t>/content/drive/MyDrive/thesis_project/thesis/outputs/exp06_ready/fusion_ready_20260603_113107.json</t>
  </si>
  <si>
    <t>/content/drive/MyDrive/thesis_project/thesis/outputs/exp06_ready/fusion_ready_results_20260603_113107.xlsx</t>
  </si>
  <si>
    <t>/content/drive/MyDrive/thesis_project/thesis/outputs/exp06_ready/fusion_ready_20260603_113110.json</t>
  </si>
  <si>
    <t>/content/drive/MyDrive/thesis_project/thesis/outputs/exp06_ready/fusion_ready_results_20260603_113109.xlsx</t>
  </si>
  <si>
    <t>/content/drive/MyDrive/thesis_project/thesis/outputs/exp06_ready/fusion_ready_20260603_113112.json</t>
  </si>
  <si>
    <t>/content/drive/MyDrive/thesis_project/thesis/outputs/exp06_ready/fusion_ready_results_20260603_113111.xlsx</t>
  </si>
  <si>
    <t>/content/drive/MyDrive/thesis_project/thesis/outputs/exp06_ready/fusion_ready_20260603_113113.json</t>
  </si>
  <si>
    <t>/content/drive/MyDrive/thesis_project/thesis/outputs/exp06_ready/fusion_ready_results_20260603_113113.xlsx</t>
  </si>
  <si>
    <t>/content/drive/MyDrive/thesis_project/thesis/outputs/exp06_ready/fusion_ready_20260603_113116.json</t>
  </si>
  <si>
    <t>/content/drive/MyDrive/thesis_project/thesis/outputs/exp06_ready/fusion_ready_results_20260603_113115.xlsx</t>
  </si>
  <si>
    <t>/content/drive/MyDrive/thesis_project/thesis/outputs/exp06_ready/fusion_ready_20260603_113118.json</t>
  </si>
  <si>
    <t>/content/drive/MyDrive/thesis_project/thesis/outputs/exp06_ready/fusion_ready_results_20260603_113117.xlsx</t>
  </si>
  <si>
    <t>/content/drive/MyDrive/thesis_project/thesis/outputs/exp06_ready/fusion_ready_20260603_113119.json</t>
  </si>
  <si>
    <t>/content/drive/MyDrive/thesis_project/thesis/outputs/exp06_ready/fusion_ready_results_20260603_113119.xlsx</t>
  </si>
  <si>
    <t>/content/drive/MyDrive/thesis_project/thesis/outputs/exp06_ready/fusion_ready_20260603_113121.json</t>
  </si>
  <si>
    <t>/content/drive/MyDrive/thesis_project/thesis/outputs/exp06_ready/fusion_ready_results_20260603_113121.xlsx</t>
  </si>
  <si>
    <t>/content/drive/MyDrive/thesis_project/thesis/outputs/exp06_ready/fusion_ready_20260603_113123.json</t>
  </si>
  <si>
    <t>/content/drive/MyDrive/thesis_project/thesis/outputs/exp06_ready/fusion_ready_results_20260603_113123.xlsx</t>
  </si>
  <si>
    <t>/content/drive/MyDrive/thesis_project/thesis/outputs/exp06_ready/fusion_ready_20260603_113125.json</t>
  </si>
  <si>
    <t>/content/drive/MyDrive/thesis_project/thesis/outputs/exp06_ready/fusion_ready_results_20260603_113125.xlsx</t>
  </si>
  <si>
    <t>/content/drive/MyDrive/thesis_project/thesis/outputs/exp06_ready/fusion_ready_20260603_113127.json</t>
  </si>
  <si>
    <t>/content/drive/MyDrive/thesis_project/thesis/outputs/exp06_ready/fusion_ready_results_20260603_113126.xlsx</t>
  </si>
  <si>
    <t>/content/drive/MyDrive/thesis_project/thesis/outputs/exp06_ready/fusion_ready_20260603_113129.json</t>
  </si>
  <si>
    <t>/content/drive/MyDrive/thesis_project/thesis/outputs/exp06_ready/fusion_ready_results_20260603_113128.xlsx</t>
  </si>
  <si>
    <t>/content/drive/MyDrive/thesis_project/thesis/outputs/exp06_ready/fusion_ready_20260603_113131.json</t>
  </si>
  <si>
    <t>/content/drive/MyDrive/thesis_project/thesis/outputs/exp06_ready/fusion_ready_results_20260603_113131.xlsx</t>
  </si>
  <si>
    <t>/content/drive/MyDrive/thesis_project/thesis/outputs/exp06_ready/fusion_ready_20260603_113133.json</t>
  </si>
  <si>
    <t>/content/drive/MyDrive/thesis_project/thesis/outputs/exp06_ready/fusion_ready_results_20260603_113133.xlsx</t>
  </si>
  <si>
    <t>/content/drive/MyDrive/thesis_project/thesis/outputs/exp06_ready/fusion_ready_20260603_113136.json</t>
  </si>
  <si>
    <t>/content/drive/MyDrive/thesis_project/thesis/outputs/exp06_ready/fusion_ready_results_20260603_113135.xlsx</t>
  </si>
  <si>
    <t>/content/drive/MyDrive/thesis_project/thesis/outputs/exp06_ready/fusion_ready_20260603_113138.json</t>
  </si>
  <si>
    <t>/content/drive/MyDrive/thesis_project/thesis/outputs/exp06_ready/fusion_ready_results_20260603_113137.xlsx</t>
  </si>
  <si>
    <t>/content/drive/MyDrive/thesis_project/thesis/outputs/exp06_ready/fusion_ready_20260603_113140.json</t>
  </si>
  <si>
    <t>/content/drive/MyDrive/thesis_project/thesis/outputs/exp06_ready/fusion_ready_results_20260603_113139.xlsx</t>
  </si>
  <si>
    <t>/content/drive/MyDrive/thesis_project/thesis/outputs/exp06_ready/fusion_ready_20260603_113142.json</t>
  </si>
  <si>
    <t>/content/drive/MyDrive/thesis_project/thesis/outputs/exp06_ready/fusion_ready_results_20260603_113141.xlsx</t>
  </si>
  <si>
    <t>/content/drive/MyDrive/thesis_project/thesis/outputs/exp06_ready/fusion_ready_20260603_113144.json</t>
  </si>
  <si>
    <t>/content/drive/MyDrive/thesis_project/thesis/outputs/exp06_ready/fusion_ready_results_20260603_113144.xlsx</t>
  </si>
  <si>
    <t>/content/drive/MyDrive/thesis_project/thesis/outputs/exp06_ready/fusion_ready_20260603_113147.json</t>
  </si>
  <si>
    <t>/content/drive/MyDrive/thesis_project/thesis/outputs/exp06_ready/fusion_ready_results_20260603_113146.xlsx</t>
  </si>
  <si>
    <t>/content/drive/MyDrive/thesis_project/thesis/outputs/exp06_ready/fusion_ready_20260603_113149.json</t>
  </si>
  <si>
    <t>/content/drive/MyDrive/thesis_project/thesis/outputs/exp06_ready/fusion_ready_results_20260603_113148.xlsx</t>
  </si>
  <si>
    <t>/content/drive/MyDrive/thesis_project/thesis/outputs/exp06_ready/fusion_ready_20260603_113151.json</t>
  </si>
  <si>
    <t>/content/drive/MyDrive/thesis_project/thesis/outputs/exp06_ready/fusion_ready_results_20260603_113151.xlsx</t>
  </si>
  <si>
    <t>/content/drive/MyDrive/thesis_project/thesis/outputs/exp06_ready/fusion_ready_20260603_113153.json</t>
  </si>
  <si>
    <t>/content/drive/MyDrive/thesis_project/thesis/outputs/exp06_ready/fusion_ready_results_20260603_113153.xlsx</t>
  </si>
  <si>
    <t>/content/drive/MyDrive/thesis_project/thesis/outputs/exp06_ready/fusion_ready_20260603_113156.json</t>
  </si>
  <si>
    <t>/content/drive/MyDrive/thesis_project/thesis/outputs/exp06_ready/fusion_ready_results_20260603_113155.xlsx</t>
  </si>
  <si>
    <t>/content/drive/MyDrive/thesis_project/thesis/outputs/exp06_ready/fusion_ready_20260603_113158.json</t>
  </si>
  <si>
    <t>/content/drive/MyDrive/thesis_project/thesis/outputs/exp06_ready/fusion_ready_results_20260603_113157.xlsx</t>
  </si>
  <si>
    <t>/content/drive/MyDrive/thesis_project/thesis/outputs/exp06_ready/fusion_ready_20260603_113200.json</t>
  </si>
  <si>
    <t>/content/drive/MyDrive/thesis_project/thesis/outputs/exp06_ready/fusion_ready_results_20260603_113159.xlsx</t>
  </si>
  <si>
    <t>/content/drive/MyDrive/thesis_project/thesis/outputs/exp06_ready/fusion_ready_20260603_113202.json</t>
  </si>
  <si>
    <t>/content/drive/MyDrive/thesis_project/thesis/outputs/exp06_ready/fusion_ready_results_20260603_113201.xlsx</t>
  </si>
  <si>
    <t>/content/drive/MyDrive/thesis_project/thesis/outputs/exp06_ready/fusion_ready_20260603_113204.json</t>
  </si>
  <si>
    <t>/content/drive/MyDrive/thesis_project/thesis/outputs/exp06_ready/fusion_ready_results_20260603_113203.xlsx</t>
  </si>
  <si>
    <t>/content/drive/MyDrive/thesis_project/thesis/outputs/exp06_ready/fusion_ready_20260603_113206.json</t>
  </si>
  <si>
    <t>/content/drive/MyDrive/thesis_project/thesis/outputs/exp06_ready/fusion_ready_results_20260603_113205.xlsx</t>
  </si>
  <si>
    <t>/content/drive/MyDrive/thesis_project/thesis/outputs/exp06_ready/fusion_ready_20260603_113208.json</t>
  </si>
  <si>
    <t>/content/drive/MyDrive/thesis_project/thesis/outputs/exp06_ready/fusion_ready_results_20260603_113207.xlsx</t>
  </si>
  <si>
    <t>/content/drive/MyDrive/thesis_project/thesis/outputs/exp06_ready/fusion_ready_20260603_113210.json</t>
  </si>
  <si>
    <t>/content/drive/MyDrive/thesis_project/thesis/outputs/exp06_ready/fusion_ready_results_20260603_113210.xlsx</t>
  </si>
  <si>
    <t>/content/drive/MyDrive/thesis_project/thesis/outputs/exp06_ready/fusion_ready_20260603_113213.json</t>
  </si>
  <si>
    <t>/content/drive/MyDrive/thesis_project/thesis/outputs/exp06_ready/fusion_ready_results_20260603_113212.xlsx</t>
  </si>
  <si>
    <t>/content/drive/MyDrive/thesis_project/thesis/outputs/exp06_ready/fusion_ready_20260603_113215.json</t>
  </si>
  <si>
    <t>/content/drive/MyDrive/thesis_project/thesis/outputs/exp06_ready/fusion_ready_results_20260603_113214.xlsx</t>
  </si>
  <si>
    <t>/content/drive/MyDrive/thesis_project/thesis/outputs/exp06_ready/fusion_ready_20260603_113217.json</t>
  </si>
  <si>
    <t>/content/drive/MyDrive/thesis_project/thesis/outputs/exp06_ready/fusion_ready_results_20260603_113216.xlsx</t>
  </si>
  <si>
    <t>/content/drive/MyDrive/thesis_project/thesis/outputs/exp06_ready/fusion_ready_20260603_113219.json</t>
  </si>
  <si>
    <t>/content/drive/MyDrive/thesis_project/thesis/outputs/exp06_ready/fusion_ready_results_20260603_113218.xlsx</t>
  </si>
  <si>
    <t>/content/drive/MyDrive/thesis_project/thesis/outputs/exp06_ready/fusion_ready_20260603_113221.json</t>
  </si>
  <si>
    <t>/content/drive/MyDrive/thesis_project/thesis/outputs/exp06_ready/fusion_ready_results_20260603_113220.xlsx</t>
  </si>
  <si>
    <t>/content/drive/MyDrive/thesis_project/thesis/outputs/exp06_ready/fusion_ready_20260603_113224.json</t>
  </si>
  <si>
    <t>/content/drive/MyDrive/thesis_project/thesis/outputs/exp06_ready/fusion_ready_results_20260603_113223.xlsx</t>
  </si>
  <si>
    <t>/content/drive/MyDrive/thesis_project/thesis/outputs/exp06_ready/fusion_ready_20260603_113226.json</t>
  </si>
  <si>
    <t>/content/drive/MyDrive/thesis_project/thesis/outputs/exp06_ready/fusion_ready_results_20260603_113225.xlsx</t>
  </si>
  <si>
    <t>/content/drive/MyDrive/thesis_project/thesis/outputs/exp06_ready/fusion_ready_20260603_113228.json</t>
  </si>
  <si>
    <t>/content/drive/MyDrive/thesis_project/thesis/outputs/exp06_ready/fusion_ready_results_20260603_113227.xlsx</t>
  </si>
  <si>
    <t>/content/drive/MyDrive/thesis_project/thesis/outputs/exp06_ready/fusion_ready_20260603_113230.json</t>
  </si>
  <si>
    <t>/content/drive/MyDrive/thesis_project/thesis/outputs/exp06_ready/fusion_ready_results_20260603_113230.xlsx</t>
  </si>
  <si>
    <t>/content/drive/MyDrive/thesis_project/thesis/outputs/exp06_ready/fusion_ready_20260603_113232.json</t>
  </si>
  <si>
    <t>/content/drive/MyDrive/thesis_project/thesis/outputs/exp06_ready/fusion_ready_results_20260603_113232.xlsx</t>
  </si>
  <si>
    <t>/content/drive/MyDrive/thesis_project/thesis/outputs/exp06_ready/fusion_ready_20260603_113235.json</t>
  </si>
  <si>
    <t>/content/drive/MyDrive/thesis_project/thesis/outputs/exp06_ready/fusion_ready_results_20260603_113234.xlsx</t>
  </si>
  <si>
    <t>/content/drive/MyDrive/thesis_project/thesis/outputs/exp06_ready/fusion_ready_20260603_113237.json</t>
  </si>
  <si>
    <t>/content/drive/MyDrive/thesis_project/thesis/outputs/exp06_ready/fusion_ready_results_20260603_113236.xlsx</t>
  </si>
  <si>
    <t>/content/drive/MyDrive/thesis_project/thesis/outputs/exp06_ready/fusion_ready_20260603_113239.json</t>
  </si>
  <si>
    <t>/content/drive/MyDrive/thesis_project/thesis/outputs/exp06_ready/fusion_ready_results_20260603_113239.xlsx</t>
  </si>
  <si>
    <t>/content/drive/MyDrive/thesis_project/thesis/outputs/exp06_ready/fusion_ready_20260603_113241.json</t>
  </si>
  <si>
    <t>/content/drive/MyDrive/thesis_project/thesis/outputs/exp06_ready/fusion_ready_results_20260603_113241.xlsx</t>
  </si>
  <si>
    <t>/content/drive/MyDrive/thesis_project/thesis/outputs/exp06_ready/fusion_ready_20260603_113244.json</t>
  </si>
  <si>
    <t>/content/drive/MyDrive/thesis_project/thesis/outputs/exp06_ready/fusion_ready_results_20260603_113243.xlsx</t>
  </si>
  <si>
    <t>/content/drive/MyDrive/thesis_project/thesis/outputs/exp06_ready/fusion_ready_20260603_113246.json</t>
  </si>
  <si>
    <t>/content/drive/MyDrive/thesis_project/thesis/outputs/exp06_ready/fusion_ready_results_20260603_113245.xlsx</t>
  </si>
  <si>
    <t>/content/drive/MyDrive/thesis_project/thesis/outputs/exp06_ready/fusion_ready_20260603_113248.json</t>
  </si>
  <si>
    <t>/content/drive/MyDrive/thesis_project/thesis/outputs/exp06_ready/fusion_ready_results_20260603_113247.xlsx</t>
  </si>
  <si>
    <t>/content/drive/MyDrive/thesis_project/thesis/outputs/exp06_ready/fusion_ready_20260603_113250.json</t>
  </si>
  <si>
    <t>/content/drive/MyDrive/thesis_project/thesis/outputs/exp06_ready/fusion_ready_results_20260603_113250.xlsx</t>
  </si>
  <si>
    <t>/content/drive/MyDrive/thesis_project/thesis/outputs/exp06_ready/fusion_ready_20260603_113252.json</t>
  </si>
  <si>
    <t>/content/drive/MyDrive/thesis_project/thesis/outputs/exp06_ready/fusion_ready_results_20260603_113252.xlsx</t>
  </si>
  <si>
    <t>/content/drive/MyDrive/thesis_project/thesis/outputs/exp06_ready/fusion_ready_20260603_113254.json</t>
  </si>
  <si>
    <t>/content/drive/MyDrive/thesis_project/thesis/outputs/exp06_ready/fusion_ready_results_20260603_113254.xlsx</t>
  </si>
  <si>
    <t>/content/drive/MyDrive/thesis_project/thesis/outputs/exp06_ready/fusion_ready_20260603_113257.json</t>
  </si>
  <si>
    <t>/content/drive/MyDrive/thesis_project/thesis/outputs/exp06_ready/fusion_ready_results_20260603_113256.xlsx</t>
  </si>
  <si>
    <t>/content/drive/MyDrive/thesis_project/thesis/outputs/exp06_ready/fusion_ready_20260603_113258.json</t>
  </si>
  <si>
    <t>/content/drive/MyDrive/thesis_project/thesis/outputs/exp06_ready/fusion_ready_results_20260603_113258.xlsx</t>
  </si>
  <si>
    <t>/content/drive/MyDrive/thesis_project/thesis/outputs/exp06_ready/fusion_ready_20260603_113300.json</t>
  </si>
  <si>
    <t>/content/drive/MyDrive/thesis_project/thesis/outputs/exp06_ready/fusion_ready_results_20260603_113300.xlsx</t>
  </si>
  <si>
    <t>/content/drive/MyDrive/thesis_project/thesis/outputs/exp06_ready/fusion_ready_20260603_113302.json</t>
  </si>
  <si>
    <t>/content/drive/MyDrive/thesis_project/thesis/outputs/exp06_ready/fusion_ready_results_20260603_113302.xlsx</t>
  </si>
  <si>
    <t>/content/drive/MyDrive/thesis_project/thesis/outputs/exp06_ready/fusion_ready_20260603_113304.json</t>
  </si>
  <si>
    <t>/content/drive/MyDrive/thesis_project/thesis/outputs/exp06_ready/fusion_ready_results_20260603_113304.xlsx</t>
  </si>
  <si>
    <t>/content/drive/MyDrive/thesis_project/thesis/outputs/exp06_ready/fusion_ready_20260603_113306.json</t>
  </si>
  <si>
    <t>/content/drive/MyDrive/thesis_project/thesis/outputs/exp06_ready/fusion_ready_results_20260603_113305.xlsx</t>
  </si>
  <si>
    <t>/content/drive/MyDrive/thesis_project/thesis/outputs/exp06_ready/fusion_ready_20260603_113308.json</t>
  </si>
  <si>
    <t>/content/drive/MyDrive/thesis_project/thesis/outputs/exp06_ready/fusion_ready_results_20260603_113307.xlsx</t>
  </si>
  <si>
    <t>/content/drive/MyDrive/thesis_project/thesis/outputs/exp06_ready/fusion_ready_20260603_113310.json</t>
  </si>
  <si>
    <t>/content/drive/MyDrive/thesis_project/thesis/outputs/exp06_ready/fusion_ready_results_20260603_113310.xlsx</t>
  </si>
  <si>
    <t>/content/drive/MyDrive/thesis_project/thesis/outputs/exp06_ready/fusion_ready_20260603_113312.json</t>
  </si>
  <si>
    <t>/content/drive/MyDrive/thesis_project/thesis/outputs/exp06_ready/fusion_ready_results_20260603_113311.xlsx</t>
  </si>
  <si>
    <t>/content/drive/MyDrive/thesis_project/thesis/outputs/exp06_ready/fusion_ready_20260603_113315.json</t>
  </si>
  <si>
    <t>/content/drive/MyDrive/thesis_project/thesis/outputs/exp06_ready/fusion_ready_results_20260603_113315.xlsx</t>
  </si>
  <si>
    <t>/content/drive/MyDrive/thesis_project/thesis/outputs/exp06_ready/fusion_ready_20260603_113318.json</t>
  </si>
  <si>
    <t>/content/drive/MyDrive/thesis_project/thesis/outputs/exp06_ready/fusion_ready_results_20260603_113317.xlsx</t>
  </si>
  <si>
    <t>/content/drive/MyDrive/thesis_project/thesis/outputs/exp06_ready/fusion_ready_20260603_113320.json</t>
  </si>
  <si>
    <t>/content/drive/MyDrive/thesis_project/thesis/outputs/exp06_ready/fusion_ready_results_20260603_113319.xlsx</t>
  </si>
  <si>
    <t>/content/drive/MyDrive/thesis_project/thesis/outputs/exp06_ready/fusion_ready_20260603_113321.json</t>
  </si>
  <si>
    <t>/content/drive/MyDrive/thesis_project/thesis/outputs/exp06_ready/fusion_ready_results_20260603_113321.xlsx</t>
  </si>
  <si>
    <t>/content/drive/MyDrive/thesis_project/thesis/outputs/exp06_ready/fusion_ready_20260603_113324.json</t>
  </si>
  <si>
    <t>/content/drive/MyDrive/thesis_project/thesis/outputs/exp06_ready/fusion_ready_results_20260603_113323.xlsx</t>
  </si>
  <si>
    <t>/content/drive/MyDrive/thesis_project/thesis/outputs/exp06_ready/fusion_ready_20260603_113325.json</t>
  </si>
  <si>
    <t>/content/drive/MyDrive/thesis_project/thesis/outputs/exp06_ready/fusion_ready_results_20260603_113325.xlsx</t>
  </si>
  <si>
    <t>/content/drive/MyDrive/thesis_project/thesis/outputs/exp06_ready/fusion_ready_20260603_113327.json</t>
  </si>
  <si>
    <t>/content/drive/MyDrive/thesis_project/thesis/outputs/exp06_ready/fusion_ready_results_20260603_113327.xlsx</t>
  </si>
  <si>
    <t>/content/drive/MyDrive/thesis_project/thesis/outputs/exp06_ready/fusion_ready_20260603_113330.json</t>
  </si>
  <si>
    <t>/content/drive/MyDrive/thesis_project/thesis/outputs/exp06_ready/fusion_ready_results_20260603_113329.xlsx</t>
  </si>
  <si>
    <t>/content/drive/MyDrive/thesis_project/thesis/outputs/exp06_ready/fusion_ready_20260603_113331.json</t>
  </si>
  <si>
    <t>/content/drive/MyDrive/thesis_project/thesis/outputs/exp06_ready/fusion_ready_results_20260603_113331.xlsx</t>
  </si>
  <si>
    <t>/content/drive/MyDrive/thesis_project/thesis/outputs/exp06_ready/fusion_ready_20260603_113333.json</t>
  </si>
  <si>
    <t>/content/drive/MyDrive/thesis_project/thesis/outputs/exp06_ready/fusion_ready_results_20260603_113333.xlsx</t>
  </si>
  <si>
    <t>/content/drive/MyDrive/thesis_project/thesis/outputs/exp06_ready/fusion_ready_20260603_113335.json</t>
  </si>
  <si>
    <t>/content/drive/MyDrive/thesis_project/thesis/outputs/exp06_ready/fusion_ready_results_20260603_113334.xlsx</t>
  </si>
  <si>
    <t>/content/drive/MyDrive/thesis_project/thesis/outputs/exp06_ready/fusion_ready_20260603_113337.json</t>
  </si>
  <si>
    <t>/content/drive/MyDrive/thesis_project/thesis/outputs/exp06_ready/fusion_ready_results_20260603_113337.xlsx</t>
  </si>
  <si>
    <t>/content/drive/MyDrive/thesis_project/thesis/outputs/exp06_ready/fusion_ready_20260603_113339.json</t>
  </si>
  <si>
    <t>/content/drive/MyDrive/thesis_project/thesis/outputs/exp06_ready/fusion_ready_results_20260603_113339.xlsx</t>
  </si>
  <si>
    <t>/content/drive/MyDrive/thesis_project/thesis/outputs/exp06_ready/fusion_ready_20260603_113341.json</t>
  </si>
  <si>
    <t>/content/drive/MyDrive/thesis_project/thesis/outputs/exp06_ready/fusion_ready_results_20260603_113340.xlsx</t>
  </si>
  <si>
    <t>/content/drive/MyDrive/thesis_project/thesis/outputs/exp06_ready/fusion_ready_20260603_113343.json</t>
  </si>
  <si>
    <t>/content/drive/MyDrive/thesis_project/thesis/outputs/exp06_ready/fusion_ready_results_20260603_113342.xlsx</t>
  </si>
  <si>
    <t>/content/drive/MyDrive/thesis_project/thesis/outputs/exp06_ready/fusion_ready_20260603_113345.json</t>
  </si>
  <si>
    <t>/content/drive/MyDrive/thesis_project/thesis/outputs/exp06_ready/fusion_ready_results_20260603_113345.xlsx</t>
  </si>
  <si>
    <t>/content/drive/MyDrive/thesis_project/thesis/outputs/exp06_ready/fusion_ready_20260603_113348.json</t>
  </si>
  <si>
    <t>/content/drive/MyDrive/thesis_project/thesis/outputs/exp06_ready/fusion_ready_results_20260603_113347.xlsx</t>
  </si>
  <si>
    <t>/content/drive/MyDrive/thesis_project/thesis/outputs/exp06_ready/fusion_ready_20260603_113350.json</t>
  </si>
  <si>
    <t>/content/drive/MyDrive/thesis_project/thesis/outputs/exp06_ready/fusion_ready_results_20260603_113349.xlsx</t>
  </si>
  <si>
    <t>/content/drive/MyDrive/thesis_project/thesis/outputs/exp06_ready/fusion_ready_20260603_113352.json</t>
  </si>
  <si>
    <t>/content/drive/MyDrive/thesis_project/thesis/outputs/exp06_ready/fusion_ready_results_20260603_113351.xlsx</t>
  </si>
  <si>
    <t>/content/drive/MyDrive/thesis_project/thesis/outputs/exp06_ready/fusion_ready_20260603_113354.json</t>
  </si>
  <si>
    <t>/content/drive/MyDrive/thesis_project/thesis/outputs/exp06_ready/fusion_ready_results_20260603_113353.xlsx</t>
  </si>
  <si>
    <t>/content/drive/MyDrive/thesis_project/thesis/outputs/exp06_ready/fusion_ready_20260603_113356.json</t>
  </si>
  <si>
    <t>/content/drive/MyDrive/thesis_project/thesis/outputs/exp06_ready/fusion_ready_results_20260603_113355.xlsx</t>
  </si>
  <si>
    <t>/content/drive/MyDrive/thesis_project/thesis/outputs/exp06_ready/fusion_ready_20260603_113358.json</t>
  </si>
  <si>
    <t>/content/drive/MyDrive/thesis_project/thesis/outputs/exp06_ready/fusion_ready_results_20260603_113358.xlsx</t>
  </si>
  <si>
    <t>/content/drive/MyDrive/thesis_project/thesis/outputs/exp06_ready/fusion_ready_20260603_113400.json</t>
  </si>
  <si>
    <t>/content/drive/MyDrive/thesis_project/thesis/outputs/exp06_ready/fusion_ready_results_20260603_113359.xlsx</t>
  </si>
  <si>
    <t>/content/drive/MyDrive/thesis_project/thesis/outputs/exp06_ready/fusion_ready_20260603_113402.json</t>
  </si>
  <si>
    <t>/content/drive/MyDrive/thesis_project/thesis/outputs/exp06_ready/fusion_ready_results_20260603_113401.xlsx</t>
  </si>
  <si>
    <t>/content/drive/MyDrive/thesis_project/thesis/outputs/exp06_ready/fusion_ready_20260603_113405.json</t>
  </si>
  <si>
    <t>/content/drive/MyDrive/thesis_project/thesis/outputs/exp06_ready/fusion_ready_results_20260603_113404.xlsx</t>
  </si>
  <si>
    <t>/content/drive/MyDrive/thesis_project/thesis/outputs/exp06_ready/fusion_ready_20260603_113406.json</t>
  </si>
  <si>
    <t>/content/drive/MyDrive/thesis_project/thesis/outputs/exp06_ready/fusion_ready_results_20260603_113406.xlsx</t>
  </si>
  <si>
    <t>/content/drive/MyDrive/thesis_project/thesis/outputs/exp06_ready/fusion_ready_20260603_113409.json</t>
  </si>
  <si>
    <t>/content/drive/MyDrive/thesis_project/thesis/outputs/exp06_ready/fusion_ready_results_20260603_113408.xlsx</t>
  </si>
  <si>
    <t>/content/drive/MyDrive/thesis_project/thesis/outputs/exp06_ready/fusion_ready_20260603_113410.json</t>
  </si>
  <si>
    <t>/content/drive/MyDrive/thesis_project/thesis/outputs/exp06_ready/fusion_ready_results_20260603_113410.xlsx</t>
  </si>
  <si>
    <t>/content/drive/MyDrive/thesis_project/thesis/outputs/exp06_ready/fusion_ready_20260603_113411.json</t>
  </si>
  <si>
    <t>/content/drive/MyDrive/thesis_project/thesis/outputs/exp06_ready/fusion_ready_results_20260603_113411.xlsx</t>
  </si>
  <si>
    <t>/content/drive/MyDrive/thesis_project/thesis/outputs/exp06_ready/fusion_ready_20260603_113413.json</t>
  </si>
  <si>
    <t>/content/drive/MyDrive/thesis_project/thesis/outputs/exp06_ready/fusion_ready_results_20260603_113412.xlsx</t>
  </si>
  <si>
    <t>/content/drive/MyDrive/thesis_project/thesis/outputs/exp06_ready/fusion_ready_20260603_113415.json</t>
  </si>
  <si>
    <t>/content/drive/MyDrive/thesis_project/thesis/outputs/exp06_ready/fusion_ready_results_20260603_113414.xlsx</t>
  </si>
  <si>
    <t>/content/drive/MyDrive/thesis_project/thesis/outputs/exp06_ready/fusion_ready_20260603_113416.json</t>
  </si>
  <si>
    <t>/content/drive/MyDrive/thesis_project/thesis/outputs/exp06_ready/fusion_ready_results_20260603_113415.xlsx</t>
  </si>
  <si>
    <t>/content/drive/MyDrive/thesis_project/thesis/outputs/exp06_ready/fusion_ready_20260603_113418.json</t>
  </si>
  <si>
    <t>/content/drive/MyDrive/thesis_project/thesis/outputs/exp06_ready/fusion_ready_results_20260603_113417.xlsx</t>
  </si>
  <si>
    <t>/content/drive/MyDrive/thesis_project/thesis/outputs/exp06_svm_ready/fusion_svm_ready_20260603_113421.json</t>
  </si>
  <si>
    <t>/content/drive/MyDrive/thesis_project/thesis/outputs/exp06_svm_ready/fusion_svm_ready_results_20260603_113419.xlsx</t>
  </si>
  <si>
    <t>/content/drive/MyDrive/thesis_project/thesis/outputs/exp06_svm_ready/fusion_svm_ready_20260603_113423.json</t>
  </si>
  <si>
    <t>/content/drive/MyDrive/thesis_project/thesis/outputs/exp06_svm_ready/fusion_svm_ready_results_20260603_113423.xlsx</t>
  </si>
  <si>
    <t>/content/drive/MyDrive/thesis_project/thesis/outputs/exp06_svm_ready/fusion_svm_ready_20260603_113425.json</t>
  </si>
  <si>
    <t>/content/drive/MyDrive/thesis_project/thesis/outputs/exp06_svm_ready/fusion_svm_ready_results_20260603_113424.xlsx</t>
  </si>
  <si>
    <t>/content/drive/MyDrive/thesis_project/thesis/outputs/exp06_svm_ready/fusion_svm_ready_20260603_113427.json</t>
  </si>
  <si>
    <t>/content/drive/MyDrive/thesis_project/thesis/outputs/exp06_svm_ready/fusion_svm_ready_results_20260603_113426.xlsx</t>
  </si>
  <si>
    <t>/content/drive/MyDrive/thesis_project/thesis/outputs/exp06_svm_ready/fusion_svm_ready_20260603_113428.json</t>
  </si>
  <si>
    <t>/content/drive/MyDrive/thesis_project/thesis/outputs/exp06_svm_ready/fusion_svm_ready_results_20260603_113427.xlsx</t>
  </si>
  <si>
    <t>/content/drive/MyDrive/thesis_project/thesis/outputs/exp06_svm_ready/fusion_svm_ready_20260603_113430.json</t>
  </si>
  <si>
    <t>/content/drive/MyDrive/thesis_project/thesis/outputs/exp06_svm_ready/fusion_svm_ready_results_20260603_113429.xlsx</t>
  </si>
  <si>
    <t>/content/drive/MyDrive/thesis_project/thesis/outputs/exp06_svm_ready/fusion_svm_ready_20260603_113431.json</t>
  </si>
  <si>
    <t>/content/drive/MyDrive/thesis_project/thesis/outputs/exp06_svm_ready/fusion_svm_ready_results_20260603_113430.xlsx</t>
  </si>
  <si>
    <t>/content/drive/MyDrive/thesis_project/thesis/outputs/exp06_svm_ready/fusion_svm_ready_20260603_113432.json</t>
  </si>
  <si>
    <t>/content/drive/MyDrive/thesis_project/thesis/outputs/exp06_svm_ready/fusion_svm_ready_results_20260603_113432.xlsx</t>
  </si>
  <si>
    <t>/content/drive/MyDrive/thesis_project/thesis/outputs/exp06_svm_ready/fusion_svm_ready_20260603_113434.json</t>
  </si>
  <si>
    <t>/content/drive/MyDrive/thesis_project/thesis/outputs/exp06_svm_ready/fusion_svm_ready_results_20260603_113433.xlsx</t>
  </si>
  <si>
    <t>/content/drive/MyDrive/thesis_project/thesis/outputs/exp06_svm_ready/fusion_svm_ready_20260603_113436.json</t>
  </si>
  <si>
    <t>/content/drive/MyDrive/thesis_project/thesis/outputs/exp06_svm_ready/fusion_svm_ready_results_20260603_113435.xlsx</t>
  </si>
  <si>
    <t>/content/drive/MyDrive/thesis_project/thesis/outputs/exp06_svm_ready/fusion_svm_ready_20260603_113437.json</t>
  </si>
  <si>
    <t>/content/drive/MyDrive/thesis_project/thesis/outputs/exp06_svm_ready/fusion_svm_ready_results_20260603_113436.xlsx</t>
  </si>
  <si>
    <t>/content/drive/MyDrive/thesis_project/thesis/outputs/exp06_svm_ready/fusion_svm_ready_20260603_113438.json</t>
  </si>
  <si>
    <t>/content/drive/MyDrive/thesis_project/thesis/outputs/exp06_svm_ready/fusion_svm_ready_results_20260603_113438.xlsx</t>
  </si>
  <si>
    <t>/content/drive/MyDrive/thesis_project/thesis/outputs/exp06_svm_ready/fusion_svm_ready_20260603_113440.json</t>
  </si>
  <si>
    <t>/content/drive/MyDrive/thesis_project/thesis/outputs/exp06_svm_ready/fusion_svm_ready_results_20260603_113440.xlsx</t>
  </si>
  <si>
    <t>/content/drive/MyDrive/thesis_project/thesis/outputs/exp06_svm_ready/fusion_svm_ready_20260603_113442.json</t>
  </si>
  <si>
    <t>/content/drive/MyDrive/thesis_project/thesis/outputs/exp06_svm_ready/fusion_svm_ready_results_20260603_113441.xlsx</t>
  </si>
  <si>
    <t>/content/drive/MyDrive/thesis_project/thesis/outputs/exp06_svm_ready/fusion_svm_ready_20260603_113443.json</t>
  </si>
  <si>
    <t>/content/drive/MyDrive/thesis_project/thesis/outputs/exp06_svm_ready/fusion_svm_ready_results_20260603_113442.xlsx</t>
  </si>
  <si>
    <t>/content/drive/MyDrive/thesis_project/thesis/outputs/exp06_svm_ready/fusion_svm_ready_20260603_113445.json</t>
  </si>
  <si>
    <t>/content/drive/MyDrive/thesis_project/thesis/outputs/exp06_svm_ready/fusion_svm_ready_results_20260603_113444.xlsx</t>
  </si>
  <si>
    <t>/content/drive/MyDrive/thesis_project/thesis/outputs/exp06_svm_ready/fusion_svm_ready_20260603_113446.json</t>
  </si>
  <si>
    <t>/content/drive/MyDrive/thesis_project/thesis/outputs/exp06_svm_ready/fusion_svm_ready_results_20260603_113445.xlsx</t>
  </si>
  <si>
    <t>/content/drive/MyDrive/thesis_project/thesis/outputs/exp06_svm_ready/fusion_svm_ready_20260603_113448.json</t>
  </si>
  <si>
    <t>/content/drive/MyDrive/thesis_project/thesis/outputs/exp06_svm_ready/fusion_svm_ready_results_20260603_113447.xlsx</t>
  </si>
  <si>
    <t>/content/drive/MyDrive/thesis_project/thesis/outputs/exp06_svm_ready/fusion_svm_ready_20260603_113449.json</t>
  </si>
  <si>
    <t>/content/drive/MyDrive/thesis_project/thesis/outputs/exp06_svm_ready/fusion_svm_ready_results_20260603_113449.xlsx</t>
  </si>
  <si>
    <t>/content/drive/MyDrive/thesis_project/thesis/outputs/exp06_svm_ready/fusion_svm_ready_20260603_113451.json</t>
  </si>
  <si>
    <t>/content/drive/MyDrive/thesis_project/thesis/outputs/exp06_svm_ready/fusion_svm_ready_results_20260603_113450.xlsx</t>
  </si>
  <si>
    <t>/content/drive/MyDrive/thesis_project/thesis/outputs/exp06_svm_ready/fusion_svm_ready_20260603_113452.json</t>
  </si>
  <si>
    <t>/content/drive/MyDrive/thesis_project/thesis/outputs/exp06_svm_ready/fusion_svm_ready_results_20260603_113451.xlsx</t>
  </si>
  <si>
    <t>/content/drive/MyDrive/thesis_project/thesis/outputs/exp06_svm_ready/fusion_svm_ready_20260603_113453.json</t>
  </si>
  <si>
    <t>/content/drive/MyDrive/thesis_project/thesis/outputs/exp06_svm_ready/fusion_svm_ready_results_20260603_113453.xlsx</t>
  </si>
  <si>
    <t>/content/drive/MyDrive/thesis_project/thesis/outputs/exp06_svm_ready/fusion_svm_ready_20260603_113455.json</t>
  </si>
  <si>
    <t>/content/drive/MyDrive/thesis_project/thesis/outputs/exp06_svm_ready/fusion_svm_ready_results_20260603_113454.xlsx</t>
  </si>
  <si>
    <t>/content/drive/MyDrive/thesis_project/thesis/outputs/exp06_svm_ready/fusion_svm_ready_20260603_113456.json</t>
  </si>
  <si>
    <t>/content/drive/MyDrive/thesis_project/thesis/outputs/exp06_svm_ready/fusion_svm_ready_results_20260603_113455.xlsx</t>
  </si>
  <si>
    <t>/content/drive/MyDrive/thesis_project/thesis/outputs/exp06_svm_ready/fusion_svm_ready_20260603_113458.json</t>
  </si>
  <si>
    <t>/content/drive/MyDrive/thesis_project/thesis/outputs/exp06_svm_ready/fusion_svm_ready_results_20260603_113457.xlsx</t>
  </si>
  <si>
    <t>/content/drive/MyDrive/thesis_project/thesis/outputs/exp06_svm_ready/fusion_svm_ready_20260603_113459.json</t>
  </si>
  <si>
    <t>/content/drive/MyDrive/thesis_project/thesis/outputs/exp06_svm_ready/fusion_svm_ready_results_20260603_113458.xlsx</t>
  </si>
  <si>
    <t>/content/drive/MyDrive/thesis_project/thesis/outputs/exp06_svm_ready/fusion_svm_ready_20260603_113500.json</t>
  </si>
  <si>
    <t>/content/drive/MyDrive/thesis_project/thesis/outputs/exp06_svm_ready/fusion_svm_ready_results_20260603_113459.xlsx</t>
  </si>
  <si>
    <t>/content/drive/MyDrive/thesis_project/thesis/outputs/exp06_svm_ready/fusion_svm_ready_20260603_113501.json</t>
  </si>
  <si>
    <t>/content/drive/MyDrive/thesis_project/thesis/outputs/exp06_svm_ready/fusion_svm_ready_results_20260603_113501.xlsx</t>
  </si>
  <si>
    <t>/content/drive/MyDrive/thesis_project/thesis/outputs/exp06_svm_ready/fusion_svm_ready_20260603_113503.json</t>
  </si>
  <si>
    <t>/content/drive/MyDrive/thesis_project/thesis/outputs/exp06_svm_ready/fusion_svm_ready_results_20260603_113502.xlsx</t>
  </si>
  <si>
    <t>/content/drive/MyDrive/thesis_project/thesis/outputs/exp06_svm_ready/fusion_svm_ready_20260603_113504.json</t>
  </si>
  <si>
    <t>/content/drive/MyDrive/thesis_project/thesis/outputs/exp06_svm_ready/fusion_svm_ready_results_20260603_113503.xlsx</t>
  </si>
  <si>
    <t>/content/drive/MyDrive/thesis_project/thesis/outputs/exp06_svm_ready/fusion_svm_ready_20260603_113505.json</t>
  </si>
  <si>
    <t>/content/drive/MyDrive/thesis_project/thesis/outputs/exp06_svm_ready/fusion_svm_ready_results_20260603_113505.xlsx</t>
  </si>
  <si>
    <t>/content/drive/MyDrive/thesis_project/thesis/outputs/exp06_svm_ready/fusion_svm_ready_20260603_113507.json</t>
  </si>
  <si>
    <t>/content/drive/MyDrive/thesis_project/thesis/outputs/exp06_svm_ready/fusion_svm_ready_results_20260603_113506.xlsx</t>
  </si>
  <si>
    <t>/content/drive/MyDrive/thesis_project/thesis/outputs/exp06_svm_ready/fusion_svm_ready_20260603_113508.json</t>
  </si>
  <si>
    <t>/content/drive/MyDrive/thesis_project/thesis/outputs/exp06_svm_ready/fusion_svm_ready_results_20260603_113507.xlsx</t>
  </si>
  <si>
    <t>/content/drive/MyDrive/thesis_project/thesis/outputs/exp06_svm_ready/fusion_svm_ready_20260603_113509.json</t>
  </si>
  <si>
    <t>/content/drive/MyDrive/thesis_project/thesis/outputs/exp06_svm_ready/fusion_svm_ready_results_20260603_113509.xlsx</t>
  </si>
  <si>
    <t>/content/drive/MyDrive/thesis_project/thesis/outputs/exp06_svm_ready/fusion_svm_ready_20260603_113510.json</t>
  </si>
  <si>
    <t>/content/drive/MyDrive/thesis_project/thesis/outputs/exp06_svm_ready/fusion_svm_ready_results_20260603_113510.xlsx</t>
  </si>
  <si>
    <t>/content/drive/MyDrive/thesis_project/thesis/outputs/exp06_svm_ready/fusion_svm_ready_20260603_113512.json</t>
  </si>
  <si>
    <t>/content/drive/MyDrive/thesis_project/thesis/outputs/exp06_svm_ready/fusion_svm_ready_results_20260603_113511.xlsx</t>
  </si>
  <si>
    <t>/content/drive/MyDrive/thesis_project/thesis/outputs/exp06_svm_ready/fusion_svm_ready_20260603_113513.json</t>
  </si>
  <si>
    <t>/content/drive/MyDrive/thesis_project/thesis/outputs/exp06_svm_ready/fusion_svm_ready_results_20260603_113513.xlsx</t>
  </si>
  <si>
    <t>/content/drive/MyDrive/thesis_project/thesis/outputs/exp06_svm_ready/fusion_svm_ready_20260603_113514.json</t>
  </si>
  <si>
    <t>/content/drive/MyDrive/thesis_project/thesis/outputs/exp06_svm_ready/fusion_svm_ready_results_20260603_113514.xlsx</t>
  </si>
  <si>
    <t>/content/drive/MyDrive/thesis_project/thesis/outputs/exp06_svm_ready/fusion_svm_ready_20260603_113516.json</t>
  </si>
  <si>
    <t>/content/drive/MyDrive/thesis_project/thesis/outputs/exp06_svm_ready/fusion_svm_ready_results_20260603_113515.xlsx</t>
  </si>
  <si>
    <t>/content/drive/MyDrive/thesis_project/thesis/outputs/exp06_svm_ready/fusion_svm_ready_20260603_113517.json</t>
  </si>
  <si>
    <t>/content/drive/MyDrive/thesis_project/thesis/outputs/exp06_svm_ready/fusion_svm_ready_results_20260603_113517.xlsx</t>
  </si>
  <si>
    <t>/content/drive/MyDrive/thesis_project/thesis/outputs/exp06_svm_ready/fusion_svm_ready_20260603_113519.json</t>
  </si>
  <si>
    <t>/content/drive/MyDrive/thesis_project/thesis/outputs/exp06_svm_ready/fusion_svm_ready_results_20260603_113518.xlsx</t>
  </si>
  <si>
    <t>/content/drive/MyDrive/thesis_project/thesis/outputs/exp06_svm_ready/fusion_svm_ready_20260603_113520.json</t>
  </si>
  <si>
    <t>/content/drive/MyDrive/thesis_project/thesis/outputs/exp06_svm_ready/fusion_svm_ready_results_20260603_113519.xlsx</t>
  </si>
  <si>
    <t>/content/drive/MyDrive/thesis_project/thesis/outputs/exp06_svm_ready/fusion_svm_ready_20260603_113522.json</t>
  </si>
  <si>
    <t>/content/drive/MyDrive/thesis_project/thesis/outputs/exp06_svm_ready/fusion_svm_ready_results_20260603_113521.xlsx</t>
  </si>
  <si>
    <t>/content/drive/MyDrive/thesis_project/thesis/outputs/exp06_svm_ready/fusion_svm_ready_20260603_113523.json</t>
  </si>
  <si>
    <t>/content/drive/MyDrive/thesis_project/thesis/outputs/exp06_svm_ready/fusion_svm_ready_results_20260603_113522.xlsx</t>
  </si>
  <si>
    <t>/content/drive/MyDrive/thesis_project/thesis/outputs/exp06_svm_ready/fusion_svm_ready_20260603_113525.json</t>
  </si>
  <si>
    <t>/content/drive/MyDrive/thesis_project/thesis/outputs/exp06_svm_ready/fusion_svm_ready_results_20260603_113524.xlsx</t>
  </si>
  <si>
    <t>/content/drive/MyDrive/thesis_project/thesis/outputs/exp06_svm_ready/fusion_svm_ready_20260603_113526.json</t>
  </si>
  <si>
    <t>/content/drive/MyDrive/thesis_project/thesis/outputs/exp06_svm_ready/fusion_svm_ready_results_20260603_113526.xlsx</t>
  </si>
  <si>
    <t>/content/drive/MyDrive/thesis_project/thesis/outputs/exp06_svm_ready/fusion_svm_ready_20260603_113528.json</t>
  </si>
  <si>
    <t>/content/drive/MyDrive/thesis_project/thesis/outputs/exp06_svm_ready/fusion_svm_ready_results_20260603_113527.xlsx</t>
  </si>
  <si>
    <t>/content/drive/MyDrive/thesis_project/thesis/outputs/exp06_svm_ready/fusion_svm_ready_20260603_113529.json</t>
  </si>
  <si>
    <t>/content/drive/MyDrive/thesis_project/thesis/outputs/exp06_svm_ready/fusion_svm_ready_results_20260603_113528.xlsx</t>
  </si>
  <si>
    <t>/content/drive/MyDrive/thesis_project/thesis/outputs/exp06_svm_ready/fusion_svm_ready_20260603_113531.json</t>
  </si>
  <si>
    <t>/content/drive/MyDrive/thesis_project/thesis/outputs/exp06_svm_ready/fusion_svm_ready_results_20260603_113530.xlsx</t>
  </si>
  <si>
    <t>/content/drive/MyDrive/thesis_project/thesis/outputs/exp06_svm_ready/fusion_svm_ready_20260603_113532.json</t>
  </si>
  <si>
    <t>/content/drive/MyDrive/thesis_project/thesis/outputs/exp06_svm_ready/fusion_svm_ready_results_20260603_113532.xlsx</t>
  </si>
  <si>
    <t>/content/drive/MyDrive/thesis_project/thesis/outputs/exp06_svm_ready/fusion_svm_ready_20260603_113534.json</t>
  </si>
  <si>
    <t>/content/drive/MyDrive/thesis_project/thesis/outputs/exp06_svm_ready/fusion_svm_ready_results_20260603_113533.xlsx</t>
  </si>
  <si>
    <t>/content/drive/MyDrive/thesis_project/thesis/outputs/exp06_svm_ready/fusion_svm_ready_20260603_113535.json</t>
  </si>
  <si>
    <t>/content/drive/MyDrive/thesis_project/thesis/outputs/exp06_svm_ready/fusion_svm_ready_results_20260603_113535.xlsx</t>
  </si>
  <si>
    <t>/content/drive/MyDrive/thesis_project/thesis/outputs/exp06_svm_ready/fusion_svm_ready_20260603_113537.json</t>
  </si>
  <si>
    <t>/content/drive/MyDrive/thesis_project/thesis/outputs/exp06_svm_ready/fusion_svm_ready_results_20260603_113536.xlsx</t>
  </si>
  <si>
    <t>/content/drive/MyDrive/thesis_project/thesis/outputs/exp06_svm_ready/fusion_svm_ready_20260603_113539.json</t>
  </si>
  <si>
    <t>/content/drive/MyDrive/thesis_project/thesis/outputs/exp06_svm_ready/fusion_svm_ready_results_20260603_113537.xlsx</t>
  </si>
  <si>
    <t>/content/drive/MyDrive/thesis_project/thesis/outputs/exp06_svm_ready/fusion_svm_ready_20260603_113540.json</t>
  </si>
  <si>
    <t>/content/drive/MyDrive/thesis_project/thesis/outputs/exp06_svm_ready/fusion_svm_ready_results_20260603_113539.xlsx</t>
  </si>
  <si>
    <t>/content/drive/MyDrive/thesis_project/thesis/outputs/exp06_svm_ready/fusion_svm_ready_20260603_113541.json</t>
  </si>
  <si>
    <t>/content/drive/MyDrive/thesis_project/thesis/outputs/exp06_svm_ready/fusion_svm_ready_results_20260603_113541.xlsx</t>
  </si>
  <si>
    <t>/content/drive/MyDrive/thesis_project/thesis/outputs/exp06_svm_ready/fusion_svm_ready_20260603_113543.json</t>
  </si>
  <si>
    <t>/content/drive/MyDrive/thesis_project/thesis/outputs/exp06_svm_ready/fusion_svm_ready_results_20260603_113542.xlsx</t>
  </si>
  <si>
    <t>/content/drive/MyDrive/thesis_project/thesis/outputs/exp06_svm_ready/fusion_svm_ready_20260603_113545.json</t>
  </si>
  <si>
    <t>/content/drive/MyDrive/thesis_project/thesis/outputs/exp06_svm_ready/fusion_svm_ready_results_20260603_113544.xlsx</t>
  </si>
  <si>
    <t>/content/drive/MyDrive/thesis_project/thesis/outputs/exp06_svm_ready/fusion_svm_ready_20260603_113546.json</t>
  </si>
  <si>
    <t>/content/drive/MyDrive/thesis_project/thesis/outputs/exp06_svm_ready/fusion_svm_ready_results_20260603_113545.xlsx</t>
  </si>
  <si>
    <t>/content/drive/MyDrive/thesis_project/thesis/outputs/exp06_svm_ready/fusion_svm_ready_20260603_113548.json</t>
  </si>
  <si>
    <t>/content/drive/MyDrive/thesis_project/thesis/outputs/exp06_svm_ready/fusion_svm_ready_results_20260603_113547.xlsx</t>
  </si>
  <si>
    <t>/content/drive/MyDrive/thesis_project/thesis/outputs/exp06_svm_ready/fusion_svm_ready_20260603_113549.json</t>
  </si>
  <si>
    <t>/content/drive/MyDrive/thesis_project/thesis/outputs/exp06_svm_ready/fusion_svm_ready_results_20260603_113549.xlsx</t>
  </si>
  <si>
    <t>/content/drive/MyDrive/thesis_project/thesis/outputs/exp06_svm_ready/fusion_svm_ready_20260603_113551.json</t>
  </si>
  <si>
    <t>/content/drive/MyDrive/thesis_project/thesis/outputs/exp06_svm_ready/fusion_svm_ready_results_20260603_113550.xlsx</t>
  </si>
  <si>
    <t>/content/drive/MyDrive/thesis_project/thesis/outputs/exp06_svm_ready/fusion_svm_ready_20260603_113552.json</t>
  </si>
  <si>
    <t>/content/drive/MyDrive/thesis_project/thesis/outputs/exp06_svm_ready/fusion_svm_ready_results_20260603_113551.xlsx</t>
  </si>
  <si>
    <t>/content/drive/MyDrive/thesis_project/thesis/outputs/exp06_svm_ready/fusion_svm_ready_20260603_113554.json</t>
  </si>
  <si>
    <t>/content/drive/MyDrive/thesis_project/thesis/outputs/exp06_svm_ready/fusion_svm_ready_results_20260603_113553.xlsx</t>
  </si>
  <si>
    <t>/content/drive/MyDrive/thesis_project/thesis/outputs/exp06_svm_ready/fusion_svm_ready_20260603_113555.json</t>
  </si>
  <si>
    <t>/content/drive/MyDrive/thesis_project/thesis/outputs/exp06_svm_ready/fusion_svm_ready_results_20260603_113555.xlsx</t>
  </si>
  <si>
    <t>/content/drive/MyDrive/thesis_project/thesis/outputs/exp06_svm_ready/fusion_svm_ready_20260603_113557.json</t>
  </si>
  <si>
    <t>/content/drive/MyDrive/thesis_project/thesis/outputs/exp06_svm_ready/fusion_svm_ready_results_20260603_113556.xlsx</t>
  </si>
  <si>
    <t>/content/drive/MyDrive/thesis_project/thesis/outputs/exp06_svm_ready/fusion_svm_ready_20260603_113558.json</t>
  </si>
  <si>
    <t>/content/drive/MyDrive/thesis_project/thesis/outputs/exp06_svm_ready/fusion_svm_ready_results_20260603_113558.xlsx</t>
  </si>
  <si>
    <t>/content/drive/MyDrive/thesis_project/thesis/outputs/exp06_svm_ready/fusion_svm_ready_20260603_113600.json</t>
  </si>
  <si>
    <t>/content/drive/MyDrive/thesis_project/thesis/outputs/exp06_svm_ready/fusion_svm_ready_results_20260603_113559.xlsx</t>
  </si>
  <si>
    <t>/content/drive/MyDrive/thesis_project/thesis/outputs/exp06_svm_ready/fusion_svm_ready_20260603_113602.json</t>
  </si>
  <si>
    <t>/content/drive/MyDrive/thesis_project/thesis/outputs/exp06_svm_ready/fusion_svm_ready_results_20260603_113600.xlsx</t>
  </si>
  <si>
    <t>/content/drive/MyDrive/thesis_project/thesis/outputs/exp06_svm_ready/fusion_svm_ready_20260603_113603.json</t>
  </si>
  <si>
    <t>/content/drive/MyDrive/thesis_project/thesis/outputs/exp06_svm_ready/fusion_svm_ready_results_20260603_113602.xlsx</t>
  </si>
  <si>
    <t>/content/drive/MyDrive/thesis_project/thesis/outputs/exp06_svm_ready/fusion_svm_ready_20260603_113604.json</t>
  </si>
  <si>
    <t>/content/drive/MyDrive/thesis_project/thesis/outputs/exp06_svm_ready/fusion_svm_ready_results_20260603_113604.xlsx</t>
  </si>
  <si>
    <t>/content/drive/MyDrive/thesis_project/thesis/outputs/exp06_svm_ready/fusion_svm_ready_20260603_113606.json</t>
  </si>
  <si>
    <t>/content/drive/MyDrive/thesis_project/thesis/outputs/exp06_svm_ready/fusion_svm_ready_results_20260603_113605.xlsx</t>
  </si>
  <si>
    <t>/content/drive/MyDrive/thesis_project/thesis/outputs/exp06_svm_ready/fusion_svm_ready_20260603_113608.json</t>
  </si>
  <si>
    <t>/content/drive/MyDrive/thesis_project/thesis/outputs/exp06_svm_ready/fusion_svm_ready_results_20260603_113607.xlsx</t>
  </si>
  <si>
    <t>/content/drive/MyDrive/thesis_project/thesis/outputs/exp06_svm_ready/fusion_svm_ready_20260603_113609.json</t>
  </si>
  <si>
    <t>/content/drive/MyDrive/thesis_project/thesis/outputs/exp06_svm_ready/fusion_svm_ready_results_20260603_113608.xlsx</t>
  </si>
  <si>
    <t>/content/drive/MyDrive/thesis_project/thesis/outputs/exp06_svm_ready/fusion_svm_ready_20260603_113611.json</t>
  </si>
  <si>
    <t>/content/drive/MyDrive/thesis_project/thesis/outputs/exp06_svm_ready/fusion_svm_ready_results_20260603_113610.xlsx</t>
  </si>
  <si>
    <t>/content/drive/MyDrive/thesis_project/thesis/outputs/exp06_svm_ready/fusion_svm_ready_20260603_113612.json</t>
  </si>
  <si>
    <t>/content/drive/MyDrive/thesis_project/thesis/outputs/exp06_svm_ready/fusion_svm_ready_results_20260603_113611.xlsx</t>
  </si>
  <si>
    <t>/content/drive/MyDrive/thesis_project/thesis/outputs/exp06_svm_ready/fusion_svm_ready_20260603_113613.json</t>
  </si>
  <si>
    <t>/content/drive/MyDrive/thesis_project/thesis/outputs/exp06_svm_ready/fusion_svm_ready_results_20260603_113613.xlsx</t>
  </si>
  <si>
    <t>/content/drive/MyDrive/thesis_project/thesis/outputs/exp06_svm_ready/fusion_svm_ready_20260603_113615.json</t>
  </si>
  <si>
    <t>/content/drive/MyDrive/thesis_project/thesis/outputs/exp06_svm_ready/fusion_svm_ready_results_20260603_113614.xlsx</t>
  </si>
  <si>
    <t>/content/drive/MyDrive/thesis_project/thesis/outputs/exp06_svm_ready/fusion_svm_ready_20260603_113617.json</t>
  </si>
  <si>
    <t>/content/drive/MyDrive/thesis_project/thesis/outputs/exp06_svm_ready/fusion_svm_ready_results_20260603_113616.xlsx</t>
  </si>
  <si>
    <t>/content/drive/MyDrive/thesis_project/thesis/outputs/exp06_svm_ready/fusion_svm_ready_20260603_113618.json</t>
  </si>
  <si>
    <t>/content/drive/MyDrive/thesis_project/thesis/outputs/exp06_svm_ready/fusion_svm_ready_results_20260603_113617.xlsx</t>
  </si>
  <si>
    <t>/content/drive/MyDrive/thesis_project/thesis/outputs/exp06_svm_ready/fusion_svm_ready_20260603_113620.json</t>
  </si>
  <si>
    <t>/content/drive/MyDrive/thesis_project/thesis/outputs/exp06_svm_ready/fusion_svm_ready_results_20260603_113619.xlsx</t>
  </si>
  <si>
    <t>/content/drive/MyDrive/thesis_project/thesis/outputs/exp06_svm_ready/fusion_svm_ready_20260603_113621.json</t>
  </si>
  <si>
    <t>/content/drive/MyDrive/thesis_project/thesis/outputs/exp06_svm_ready/fusion_svm_ready_results_20260603_113620.xlsx</t>
  </si>
  <si>
    <t>/content/drive/MyDrive/thesis_project/thesis/outputs/exp06_svm_ready/fusion_svm_ready_20260603_113622.json</t>
  </si>
  <si>
    <t>/content/drive/MyDrive/thesis_project/thesis/outputs/exp06_svm_ready/fusion_svm_ready_results_20260603_113622.xlsx</t>
  </si>
  <si>
    <t>/content/drive/MyDrive/thesis_project/thesis/outputs/exp06_svm_ready/fusion_svm_ready_20260603_113624.json</t>
  </si>
  <si>
    <t>/content/drive/MyDrive/thesis_project/thesis/outputs/exp06_svm_ready/fusion_svm_ready_results_20260603_113623.xlsx</t>
  </si>
  <si>
    <t>/content/drive/MyDrive/thesis_project/thesis/outputs/exp06_svm_ready/fusion_svm_ready_20260603_113625.json</t>
  </si>
  <si>
    <t>/content/drive/MyDrive/thesis_project/thesis/outputs/exp06_svm_ready/fusion_svm_ready_results_20260603_113624.xlsx</t>
  </si>
  <si>
    <t>/content/drive/MyDrive/thesis_project/thesis/outputs/exp06_svm_ready/fusion_svm_ready_20260603_113626.json</t>
  </si>
  <si>
    <t>/content/drive/MyDrive/thesis_project/thesis/outputs/exp06_svm_ready/fusion_svm_ready_results_20260603_113626.xlsx</t>
  </si>
  <si>
    <t>/content/drive/MyDrive/thesis_project/thesis/outputs/exp06_svm_ready/fusion_svm_ready_20260603_113627.json</t>
  </si>
  <si>
    <t>/content/drive/MyDrive/thesis_project/thesis/outputs/exp06_svm_ready/fusion_svm_ready_results_20260603_113627.xlsx</t>
  </si>
  <si>
    <t>/content/drive/MyDrive/thesis_project/thesis/outputs/exp06_svm_ready/fusion_svm_ready_20260603_113629.json</t>
  </si>
  <si>
    <t>/content/drive/MyDrive/thesis_project/thesis/outputs/exp06_svm_ready/fusion_svm_ready_results_20260603_113628.xlsx</t>
  </si>
  <si>
    <t>/content/drive/MyDrive/thesis_project/thesis/outputs/exp06_svm_ready/fusion_svm_ready_20260603_113630.json</t>
  </si>
  <si>
    <t>/content/drive/MyDrive/thesis_project/thesis/outputs/exp06_svm_ready/fusion_svm_ready_results_20260603_113630.xlsx</t>
  </si>
  <si>
    <t>/content/drive/MyDrive/thesis_project/thesis/outputs/exp06_svm_ready/fusion_svm_ready_20260603_113631.json</t>
  </si>
  <si>
    <t>/content/drive/MyDrive/thesis_project/thesis/outputs/exp06_svm_ready/fusion_svm_ready_results_20260603_113631.xlsx</t>
  </si>
  <si>
    <t>/content/drive/MyDrive/thesis_project/thesis/outputs/exp06_svm_ready/fusion_svm_ready_20260603_113633.json</t>
  </si>
  <si>
    <t>/content/drive/MyDrive/thesis_project/thesis/outputs/exp06_svm_ready/fusion_svm_ready_results_20260603_113632.xlsx</t>
  </si>
  <si>
    <t>/content/drive/MyDrive/thesis_project/thesis/outputs/exp06_svm_ready/fusion_svm_ready_20260603_113634.json</t>
  </si>
  <si>
    <t>/content/drive/MyDrive/thesis_project/thesis/outputs/exp06_svm_ready/fusion_svm_ready_results_20260603_113634.xlsx</t>
  </si>
  <si>
    <t>/content/drive/MyDrive/thesis_project/thesis/outputs/exp06_svm_ready/fusion_svm_ready_20260603_113636.json</t>
  </si>
  <si>
    <t>/content/drive/MyDrive/thesis_project/thesis/outputs/exp06_svm_ready/fusion_svm_ready_results_20260603_113635.xlsx</t>
  </si>
  <si>
    <t>/content/drive/MyDrive/thesis_project/thesis/outputs/exp06_svm_ready/fusion_svm_ready_20260603_113637.json</t>
  </si>
  <si>
    <t>/content/drive/MyDrive/thesis_project/thesis/outputs/exp06_svm_ready/fusion_svm_ready_results_20260603_113636.xlsx</t>
  </si>
  <si>
    <t>/content/drive/MyDrive/thesis_project/thesis/outputs/exp06_svm_ready/fusion_svm_ready_20260603_113638.json</t>
  </si>
  <si>
    <t>/content/drive/MyDrive/thesis_project/thesis/outputs/exp06_svm_ready/fusion_svm_ready_results_20260603_113637.xlsx</t>
  </si>
  <si>
    <t>/content/drive/MyDrive/thesis_project/thesis/outputs/exp06_svm_ready/fusion_svm_ready_20260603_113640.json</t>
  </si>
  <si>
    <t>/content/drive/MyDrive/thesis_project/thesis/outputs/exp06_svm_ready/fusion_svm_ready_results_20260603_113639.xlsx</t>
  </si>
  <si>
    <t>/content/drive/MyDrive/thesis_project/thesis/outputs/exp06_svm_ready/fusion_svm_ready_20260603_113641.json</t>
  </si>
  <si>
    <t>/content/drive/MyDrive/thesis_project/thesis/outputs/exp06_svm_ready/fusion_svm_ready_results_20260603_113640.xlsx</t>
  </si>
  <si>
    <t>/content/drive/MyDrive/thesis_project/thesis/outputs/exp06_svm_ready/fusion_svm_ready_20260603_113642.json</t>
  </si>
  <si>
    <t>/content/drive/MyDrive/thesis_project/thesis/outputs/exp06_svm_ready/fusion_svm_ready_results_20260603_113641.xlsx</t>
  </si>
  <si>
    <t>/content/drive/MyDrive/thesis_project/thesis/outputs/exp06_svm_ready/fusion_svm_ready_20260603_113644.json</t>
  </si>
  <si>
    <t>/content/drive/MyDrive/thesis_project/thesis/outputs/exp06_svm_ready/fusion_svm_ready_results_20260603_113643.xlsx</t>
  </si>
  <si>
    <t>/content/drive/MyDrive/thesis_project/thesis/outputs/exp06_svm_ready/fusion_svm_ready_20260603_113645.json</t>
  </si>
  <si>
    <t>/content/drive/MyDrive/thesis_project/thesis/outputs/exp06_svm_ready/fusion_svm_ready_results_20260603_113644.xlsx</t>
  </si>
  <si>
    <t>/content/drive/MyDrive/thesis_project/thesis/outputs/exp06_svm_ready/fusion_svm_ready_20260603_113646.json</t>
  </si>
  <si>
    <t>/content/drive/MyDrive/thesis_project/thesis/outputs/exp06_svm_ready/fusion_svm_ready_results_20260603_113646.xlsx</t>
  </si>
  <si>
    <t>/content/drive/MyDrive/thesis_project/thesis/outputs/exp06_svm_ready/fusion_svm_ready_20260603_113648.json</t>
  </si>
  <si>
    <t>/content/drive/MyDrive/thesis_project/thesis/outputs/exp06_svm_ready/fusion_svm_ready_results_20260603_113647.xlsx</t>
  </si>
  <si>
    <t>/content/drive/MyDrive/thesis_project/thesis/outputs/exp06_svm_ready/fusion_svm_ready_20260603_113649.json</t>
  </si>
  <si>
    <t>/content/drive/MyDrive/thesis_project/thesis/outputs/exp06_svm_ready/fusion_svm_ready_results_20260603_113649.xlsx</t>
  </si>
  <si>
    <t>/content/drive/MyDrive/thesis_project/thesis/outputs/exp06_svm_ready/fusion_svm_ready_20260603_113651.json</t>
  </si>
  <si>
    <t>/content/drive/MyDrive/thesis_project/thesis/outputs/exp06_svm_ready/fusion_svm_ready_results_20260603_113650.xlsx</t>
  </si>
  <si>
    <t>/content/drive/MyDrive/thesis_project/thesis/outputs/exp06_svm_ready/fusion_svm_ready_20260603_113653.json</t>
  </si>
  <si>
    <t>/content/drive/MyDrive/thesis_project/thesis/outputs/exp06_svm_ready/fusion_svm_ready_results_20260603_113652.xlsx</t>
  </si>
  <si>
    <t>/content/drive/MyDrive/thesis_project/thesis/outputs/exp06_svm_ready/fusion_svm_ready_20260603_113654.json</t>
  </si>
  <si>
    <t>/content/drive/MyDrive/thesis_project/thesis/outputs/exp06_svm_ready/fusion_svm_ready_results_20260603_113653.xlsx</t>
  </si>
  <si>
    <t>/content/drive/MyDrive/thesis_project/thesis/outputs/exp06_svm_ready/fusion_svm_ready_20260603_113655.json</t>
  </si>
  <si>
    <t>/content/drive/MyDrive/thesis_project/thesis/outputs/exp06_svm_ready/fusion_svm_ready_results_20260603_113655.xlsx</t>
  </si>
  <si>
    <t>/content/drive/MyDrive/thesis_project/thesis/outputs/exp06_svm_ready/fusion_svm_ready_20260603_113657.json</t>
  </si>
  <si>
    <t>/content/drive/MyDrive/thesis_project/thesis/outputs/exp06_svm_ready/fusion_svm_ready_results_20260603_113656.xlsx</t>
  </si>
  <si>
    <t>/content/drive/MyDrive/thesis_project/thesis/outputs/exp06_svm_ready/fusion_svm_ready_20260603_113659.json</t>
  </si>
  <si>
    <t>/content/drive/MyDrive/thesis_project/thesis/outputs/exp06_svm_ready/fusion_svm_ready_results_20260603_113658.xlsx</t>
  </si>
  <si>
    <t>/content/drive/MyDrive/thesis_project/thesis/outputs/exp06_svm_ready/fusion_svm_ready_20260603_113700.json</t>
  </si>
  <si>
    <t>/content/drive/MyDrive/thesis_project/thesis/outputs/exp06_svm_ready/fusion_svm_ready_results_20260603_113659.xlsx</t>
  </si>
  <si>
    <t>/content/drive/MyDrive/thesis_project/thesis/outputs/exp06_svm_ready/fusion_svm_ready_20260603_113702.json</t>
  </si>
  <si>
    <t>/content/drive/MyDrive/thesis_project/thesis/outputs/exp06_svm_ready/fusion_svm_ready_results_20260603_113701.xlsx</t>
  </si>
  <si>
    <t>/content/drive/MyDrive/thesis_project/thesis/outputs/exp06_svm_ready/fusion_svm_ready_20260603_113703.json</t>
  </si>
  <si>
    <t>/content/drive/MyDrive/thesis_project/thesis/outputs/exp06_svm_ready/fusion_svm_ready_results_20260603_113703.xlsx</t>
  </si>
  <si>
    <t>/content/drive/MyDrive/thesis_project/thesis/outputs/exp06_svm_ready/fusion_svm_ready_20260603_113705.json</t>
  </si>
  <si>
    <t>/content/drive/MyDrive/thesis_project/thesis/outputs/exp06_svm_ready/fusion_svm_ready_results_20260603_113704.xlsx</t>
  </si>
  <si>
    <t>/content/drive/MyDrive/thesis_project/thesis/outputs/exp06_svm_ready/fusion_svm_ready_20260603_113706.json</t>
  </si>
  <si>
    <t>/content/drive/MyDrive/thesis_project/thesis/outputs/exp06_svm_ready/fusion_svm_ready_results_20260603_113706.xlsx</t>
  </si>
  <si>
    <t>/content/drive/MyDrive/thesis_project/thesis/outputs/exp06_svm_ready/fusion_svm_ready_20260603_113708.json</t>
  </si>
  <si>
    <t>/content/drive/MyDrive/thesis_project/thesis/outputs/exp06_svm_ready/fusion_svm_ready_results_20260603_113707.xlsx</t>
  </si>
  <si>
    <t>/content/drive/MyDrive/thesis_project/thesis/outputs/exp06_svm_ready/fusion_svm_ready_20260603_113709.json</t>
  </si>
  <si>
    <t>/content/drive/MyDrive/thesis_project/thesis/outputs/exp06_svm_ready/fusion_svm_ready_results_20260603_113709.xlsx</t>
  </si>
  <si>
    <t>/content/drive/MyDrive/thesis_project/thesis/outputs/exp06_svm_ready/fusion_svm_ready_20260603_113711.json</t>
  </si>
  <si>
    <t>/content/drive/MyDrive/thesis_project/thesis/outputs/exp06_svm_ready/fusion_svm_ready_results_20260603_113710.xlsx</t>
  </si>
  <si>
    <t>/content/drive/MyDrive/thesis_project/thesis/outputs/exp06_svm_ready/fusion_svm_ready_20260603_113712.json</t>
  </si>
  <si>
    <t>/content/drive/MyDrive/thesis_project/thesis/outputs/exp06_svm_ready/fusion_svm_ready_results_20260603_113712.xlsx</t>
  </si>
  <si>
    <t>/content/drive/MyDrive/thesis_project/thesis/outputs/exp06_svm_ready/fusion_svm_ready_20260603_113714.json</t>
  </si>
  <si>
    <t>/content/drive/MyDrive/thesis_project/thesis/outputs/exp06_svm_ready/fusion_svm_ready_results_20260603_113713.xlsx</t>
  </si>
  <si>
    <t>/content/drive/MyDrive/thesis_project/thesis/outputs/exp06_svm_ready/fusion_svm_ready_20260603_113716.json</t>
  </si>
  <si>
    <t>/content/drive/MyDrive/thesis_project/thesis/outputs/exp06_svm_ready/fusion_svm_ready_results_20260603_113715.xlsx</t>
  </si>
  <si>
    <t>hero</t>
  </si>
  <si>
    <t>HeNLP/HeRo</t>
  </si>
  <si>
    <t>/content/drive/MyDrive/thesis_project/thesis/outputs/exp01/regular_ner_20260603_113845.json</t>
  </si>
  <si>
    <t>/content/drive/MyDrive/thesis_project/thesis/outputs/exp01/regular_ner_results_20260603_113845.xlsx</t>
  </si>
  <si>
    <t>/content/drive/MyDrive/thesis_project/thesis/outputs/exp01/regular_ner_20260603_113938.json</t>
  </si>
  <si>
    <t>/content/drive/MyDrive/thesis_project/thesis/outputs/exp01/regular_ner_results_20260603_113938.xlsx</t>
  </si>
  <si>
    <t>/content/drive/MyDrive/thesis_project/thesis/outputs/exp01/regular_ner_20260603_114031.json</t>
  </si>
  <si>
    <t>/content/drive/MyDrive/thesis_project/thesis/outputs/exp01/regular_ner_results_20260603_114031.xlsx</t>
  </si>
  <si>
    <t>/content/drive/MyDrive/thesis_project/thesis/outputs/exp01/regular_ner_20260603_114125.json</t>
  </si>
  <si>
    <t>/content/drive/MyDrive/thesis_project/thesis/outputs/exp01/regular_ner_results_20260603_114124.xlsx</t>
  </si>
  <si>
    <t>/content/drive/MyDrive/thesis_project/thesis/outputs/exp01/regular_ner_20260603_114218.json</t>
  </si>
  <si>
    <t>/content/drive/MyDrive/thesis_project/thesis/outputs/exp01/regular_ner_results_20260603_114218.xlsx</t>
  </si>
  <si>
    <t>/content/drive/MyDrive/thesis_project/thesis/outputs/exp01/regular_ner_20260603_114311.json</t>
  </si>
  <si>
    <t>/content/drive/MyDrive/thesis_project/thesis/outputs/exp01/regular_ner_results_20260603_114310.xlsx</t>
  </si>
  <si>
    <t>/content/drive/MyDrive/thesis_project/thesis/outputs/exp01/regular_ner_20260603_114405.json</t>
  </si>
  <si>
    <t>/content/drive/MyDrive/thesis_project/thesis/outputs/exp01/regular_ner_results_20260603_114404.xlsx</t>
  </si>
  <si>
    <t>/content/drive/MyDrive/thesis_project/thesis/outputs/exp01/regular_ner_20260603_114458.json</t>
  </si>
  <si>
    <t>/content/drive/MyDrive/thesis_project/thesis/outputs/exp01/regular_ner_results_20260603_114458.xlsx</t>
  </si>
  <si>
    <t>/content/drive/MyDrive/thesis_project/thesis/outputs/exp01/regular_ner_20260603_114552.json</t>
  </si>
  <si>
    <t>/content/drive/MyDrive/thesis_project/thesis/outputs/exp01/regular_ner_results_20260603_114551.xlsx</t>
  </si>
  <si>
    <t>/content/drive/MyDrive/thesis_project/thesis/outputs/exp01/regular_ner_20260603_114644.json</t>
  </si>
  <si>
    <t>/content/drive/MyDrive/thesis_project/thesis/outputs/exp01/regular_ner_results_20260603_114644.xlsx</t>
  </si>
  <si>
    <t>/content/drive/MyDrive/thesis_project/thesis/outputs/exp01/regular_ner_20260603_114738.json</t>
  </si>
  <si>
    <t>/content/drive/MyDrive/thesis_project/thesis/outputs/exp01/regular_ner_results_20260603_114737.xlsx</t>
  </si>
  <si>
    <t>/content/drive/MyDrive/thesis_project/thesis/outputs/exp01/regular_ner_20260603_114831.json</t>
  </si>
  <si>
    <t>/content/drive/MyDrive/thesis_project/thesis/outputs/exp01/regular_ner_results_20260603_114831.xlsx</t>
  </si>
  <si>
    <t>/content/drive/MyDrive/thesis_project/thesis/outputs/exp01/regular_ner_20260603_114925.json</t>
  </si>
  <si>
    <t>/content/drive/MyDrive/thesis_project/thesis/outputs/exp01/regular_ner_results_20260603_114925.xlsx</t>
  </si>
  <si>
    <t>/content/drive/MyDrive/thesis_project/thesis/outputs/exp01/regular_ner_20260603_115019.json</t>
  </si>
  <si>
    <t>/content/drive/MyDrive/thesis_project/thesis/outputs/exp01/regular_ner_results_20260603_115019.xlsx</t>
  </si>
  <si>
    <t>/content/drive/MyDrive/thesis_project/thesis/outputs/exp01/regular_ner_20260603_115112.json</t>
  </si>
  <si>
    <t>/content/drive/MyDrive/thesis_project/thesis/outputs/exp01/regular_ner_results_20260603_115112.xlsx</t>
  </si>
  <si>
    <t>/content/drive/MyDrive/thesis_project/thesis/outputs/exp01/regular_ner_20260603_115206.json</t>
  </si>
  <si>
    <t>/content/drive/MyDrive/thesis_project/thesis/outputs/exp01/regular_ner_results_20260603_115206.xlsx</t>
  </si>
  <si>
    <t>/content/drive/MyDrive/thesis_project/thesis/outputs/exp01/regular_ner_20260603_115300.json</t>
  </si>
  <si>
    <t>/content/drive/MyDrive/thesis_project/thesis/outputs/exp01/regular_ner_results_20260603_115259.xlsx</t>
  </si>
  <si>
    <t>/content/drive/MyDrive/thesis_project/thesis/outputs/exp01/regular_ner_20260603_115353.json</t>
  </si>
  <si>
    <t>/content/drive/MyDrive/thesis_project/thesis/outputs/exp01/regular_ner_results_20260603_115353.xlsx</t>
  </si>
  <si>
    <t>/content/drive/MyDrive/thesis_project/thesis/outputs/exp01/regular_ner_20260603_115446.json</t>
  </si>
  <si>
    <t>/content/drive/MyDrive/thesis_project/thesis/outputs/exp01/regular_ner_results_20260603_115446.xlsx</t>
  </si>
  <si>
    <t>/content/drive/MyDrive/thesis_project/thesis/outputs/exp01/regular_ner_20260603_115540.json</t>
  </si>
  <si>
    <t>/content/drive/MyDrive/thesis_project/thesis/outputs/exp01/regular_ner_results_20260603_115539.xlsx</t>
  </si>
  <si>
    <t>/content/drive/MyDrive/thesis_project/thesis/outputs/exp01/regular_ner_20260603_115635.json</t>
  </si>
  <si>
    <t>/content/drive/MyDrive/thesis_project/thesis/outputs/exp01/regular_ner_results_20260603_115635.xlsx</t>
  </si>
  <si>
    <t>/content/drive/MyDrive/thesis_project/thesis/outputs/exp01/regular_ner_20260603_115727.json</t>
  </si>
  <si>
    <t>/content/drive/MyDrive/thesis_project/thesis/outputs/exp01/regular_ner_results_20260603_115727.xlsx</t>
  </si>
  <si>
    <t>/content/drive/MyDrive/thesis_project/thesis/outputs/exp01/regular_ner_20260603_115818.json</t>
  </si>
  <si>
    <t>/content/drive/MyDrive/thesis_project/thesis/outputs/exp01/regular_ner_results_20260603_115818.xlsx</t>
  </si>
  <si>
    <t>/content/drive/MyDrive/thesis_project/thesis/outputs/exp01/regular_ner_20260603_115909.json</t>
  </si>
  <si>
    <t>/content/drive/MyDrive/thesis_project/thesis/outputs/exp01/regular_ner_results_20260603_115909.xlsx</t>
  </si>
  <si>
    <t>/content/drive/MyDrive/thesis_project/thesis/outputs/exp01/regular_ner_20260603_120000.json</t>
  </si>
  <si>
    <t>/content/drive/MyDrive/thesis_project/thesis/outputs/exp01/regular_ner_results_20260603_120000.xlsx</t>
  </si>
  <si>
    <t>/content/drive/MyDrive/thesis_project/thesis/outputs/exp01/regular_ner_20260603_120051.json</t>
  </si>
  <si>
    <t>/content/drive/MyDrive/thesis_project/thesis/outputs/exp01/regular_ner_results_20260603_120051.xlsx</t>
  </si>
  <si>
    <t>/content/drive/MyDrive/thesis_project/thesis/outputs/exp01/regular_ner_20260603_120143.json</t>
  </si>
  <si>
    <t>/content/drive/MyDrive/thesis_project/thesis/outputs/exp01/regular_ner_results_20260603_120142.xlsx</t>
  </si>
  <si>
    <t>/content/drive/MyDrive/thesis_project/thesis/outputs/exp01/regular_ner_20260603_120234.json</t>
  </si>
  <si>
    <t>/content/drive/MyDrive/thesis_project/thesis/outputs/exp01/regular_ner_results_20260603_120234.xlsx</t>
  </si>
  <si>
    <t>/content/drive/MyDrive/thesis_project/thesis/outputs/exp01/regular_ner_20260603_120324.json</t>
  </si>
  <si>
    <t>/content/drive/MyDrive/thesis_project/thesis/outputs/exp01/regular_ner_results_20260603_120324.xlsx</t>
  </si>
  <si>
    <t>/content/drive/MyDrive/thesis_project/thesis/outputs/exp01/regular_ner_20260603_120416.json</t>
  </si>
  <si>
    <t>/content/drive/MyDrive/thesis_project/thesis/outputs/exp01/regular_ner_results_20260603_120416.xlsx</t>
  </si>
  <si>
    <t>/content/drive/MyDrive/thesis_project/thesis/outputs/exp01/regular_ner_20260603_120507.json</t>
  </si>
  <si>
    <t>/content/drive/MyDrive/thesis_project/thesis/outputs/exp01/regular_ner_results_20260603_120507.xlsx</t>
  </si>
  <si>
    <t>/content/drive/MyDrive/thesis_project/thesis/outputs/exp01/regular_ner_20260603_120558.json</t>
  </si>
  <si>
    <t>/content/drive/MyDrive/thesis_project/thesis/outputs/exp01/regular_ner_results_20260603_120558.xlsx</t>
  </si>
  <si>
    <t>/content/drive/MyDrive/thesis_project/thesis/outputs/exp01/regular_ner_20260603_120651.json</t>
  </si>
  <si>
    <t>/content/drive/MyDrive/thesis_project/thesis/outputs/exp01/regular_ner_results_20260603_120650.xlsx</t>
  </si>
  <si>
    <t>/content/drive/MyDrive/thesis_project/thesis/outputs/exp01/regular_ner_20260603_120743.json</t>
  </si>
  <si>
    <t>/content/drive/MyDrive/thesis_project/thesis/outputs/exp01/regular_ner_results_20260603_120742.xlsx</t>
  </si>
  <si>
    <t>/content/drive/MyDrive/thesis_project/thesis/outputs/exp01/regular_ner_20260603_120835.json</t>
  </si>
  <si>
    <t>/content/drive/MyDrive/thesis_project/thesis/outputs/exp01/regular_ner_results_20260603_120834.xlsx</t>
  </si>
  <si>
    <t>/content/drive/MyDrive/thesis_project/thesis/outputs/exp01/regular_ner_20260603_120926.json</t>
  </si>
  <si>
    <t>/content/drive/MyDrive/thesis_project/thesis/outputs/exp01/regular_ner_results_20260603_120926.xlsx</t>
  </si>
  <si>
    <t>/content/drive/MyDrive/thesis_project/thesis/outputs/exp01/regular_ner_20260603_121018.json</t>
  </si>
  <si>
    <t>/content/drive/MyDrive/thesis_project/thesis/outputs/exp01/regular_ner_results_20260603_121018.xlsx</t>
  </si>
  <si>
    <t>/content/drive/MyDrive/thesis_project/thesis/outputs/exp01/regular_ner_20260603_121109.json</t>
  </si>
  <si>
    <t>/content/drive/MyDrive/thesis_project/thesis/outputs/exp01/regular_ner_results_20260603_121109.xlsx</t>
  </si>
  <si>
    <t>/content/drive/MyDrive/thesis_project/thesis/outputs/exp01/regular_ner_20260603_121201.json</t>
  </si>
  <si>
    <t>/content/drive/MyDrive/thesis_project/thesis/outputs/exp01/regular_ner_results_20260603_121200.xlsx</t>
  </si>
  <si>
    <t>/content/drive/MyDrive/thesis_project/thesis/outputs/exp01/regular_ner_20260603_121252.json</t>
  </si>
  <si>
    <t>/content/drive/MyDrive/thesis_project/thesis/outputs/exp01/regular_ner_results_20260603_121252.xlsx</t>
  </si>
  <si>
    <t>/content/drive/MyDrive/thesis_project/thesis/outputs/exp01/regular_ner_20260603_121344.json</t>
  </si>
  <si>
    <t>/content/drive/MyDrive/thesis_project/thesis/outputs/exp01/regular_ner_results_20260603_121343.xlsx</t>
  </si>
  <si>
    <t>/content/drive/MyDrive/thesis_project/thesis/outputs/exp01/regular_ner_20260603_121437.json</t>
  </si>
  <si>
    <t>/content/drive/MyDrive/thesis_project/thesis/outputs/exp01/regular_ner_results_20260603_121437.xlsx</t>
  </si>
  <si>
    <t>/content/drive/MyDrive/thesis_project/thesis/outputs/exp01/regular_ner_20260603_121531.json</t>
  </si>
  <si>
    <t>/content/drive/MyDrive/thesis_project/thesis/outputs/exp01/regular_ner_results_20260603_121530.xlsx</t>
  </si>
  <si>
    <t>/content/drive/MyDrive/thesis_project/thesis/outputs/exp01/regular_ner_20260603_121623.json</t>
  </si>
  <si>
    <t>/content/drive/MyDrive/thesis_project/thesis/outputs/exp01/regular_ner_results_20260603_121623.xlsx</t>
  </si>
  <si>
    <t>/content/drive/MyDrive/thesis_project/thesis/outputs/exp01/regular_ner_20260603_121716.json</t>
  </si>
  <si>
    <t>/content/drive/MyDrive/thesis_project/thesis/outputs/exp01/regular_ner_results_20260603_121716.xlsx</t>
  </si>
  <si>
    <t>/content/drive/MyDrive/thesis_project/thesis/outputs/exp01/regular_ner_20260603_121810.json</t>
  </si>
  <si>
    <t>/content/drive/MyDrive/thesis_project/thesis/outputs/exp01/regular_ner_results_20260603_121810.xlsx</t>
  </si>
  <si>
    <t>/content/drive/MyDrive/thesis_project/thesis/outputs/exp01/regular_ner_20260603_121904.json</t>
  </si>
  <si>
    <t>/content/drive/MyDrive/thesis_project/thesis/outputs/exp01/regular_ner_results_20260603_121904.xlsx</t>
  </si>
  <si>
    <t>/content/drive/MyDrive/thesis_project/thesis/outputs/exp01/regular_ner_20260603_121957.json</t>
  </si>
  <si>
    <t>/content/drive/MyDrive/thesis_project/thesis/outputs/exp01/regular_ner_results_20260603_121957.xlsx</t>
  </si>
  <si>
    <t>/content/drive/MyDrive/thesis_project/thesis/outputs/exp01/regular_ner_20260603_122051.json</t>
  </si>
  <si>
    <t>/content/drive/MyDrive/thesis_project/thesis/outputs/exp01/regular_ner_results_20260603_122051.xlsx</t>
  </si>
  <si>
    <t>/content/drive/MyDrive/thesis_project/thesis/outputs/exp01/regular_ner_20260603_122144.json</t>
  </si>
  <si>
    <t>/content/drive/MyDrive/thesis_project/thesis/outputs/exp01/regular_ner_results_20260603_122143.xlsx</t>
  </si>
  <si>
    <t>/content/drive/MyDrive/thesis_project/thesis/outputs/exp01/regular_ner_20260603_122236.json</t>
  </si>
  <si>
    <t>/content/drive/MyDrive/thesis_project/thesis/outputs/exp01/regular_ner_results_20260603_122236.xlsx</t>
  </si>
  <si>
    <t>/content/drive/MyDrive/thesis_project/thesis/outputs/exp01/regular_ner_20260603_122330.json</t>
  </si>
  <si>
    <t>/content/drive/MyDrive/thesis_project/thesis/outputs/exp01/regular_ner_results_20260603_122330.xlsx</t>
  </si>
  <si>
    <t>/content/drive/MyDrive/thesis_project/thesis/outputs/exp01/regular_ner_20260603_122423.json</t>
  </si>
  <si>
    <t>/content/drive/MyDrive/thesis_project/thesis/outputs/exp01/regular_ner_results_20260603_122423.xlsx</t>
  </si>
  <si>
    <t>/content/drive/MyDrive/thesis_project/thesis/outputs/exp01/regular_ner_20260603_122517.json</t>
  </si>
  <si>
    <t>/content/drive/MyDrive/thesis_project/thesis/outputs/exp01/regular_ner_results_20260603_122517.xlsx</t>
  </si>
  <si>
    <t>/content/drive/MyDrive/thesis_project/thesis/outputs/exp01/regular_ner_20260603_122611.json</t>
  </si>
  <si>
    <t>/content/drive/MyDrive/thesis_project/thesis/outputs/exp01/regular_ner_results_20260603_122611.xlsx</t>
  </si>
  <si>
    <t>/content/drive/MyDrive/thesis_project/thesis/outputs/exp01/regular_ner_20260603_122706.json</t>
  </si>
  <si>
    <t>/content/drive/MyDrive/thesis_project/thesis/outputs/exp01/regular_ner_results_20260603_122705.xlsx</t>
  </si>
  <si>
    <t>/content/drive/MyDrive/thesis_project/thesis/outputs/exp01/regular_ner_20260603_122759.json</t>
  </si>
  <si>
    <t>/content/drive/MyDrive/thesis_project/thesis/outputs/exp01/regular_ner_results_20260603_122759.xlsx</t>
  </si>
  <si>
    <t>/content/drive/MyDrive/thesis_project/thesis/outputs/exp01/regular_ner_20260603_122852.json</t>
  </si>
  <si>
    <t>/content/drive/MyDrive/thesis_project/thesis/outputs/exp01/regular_ner_results_20260603_122851.xlsx</t>
  </si>
  <si>
    <t>/content/drive/MyDrive/thesis_project/thesis/outputs/exp01/regular_ner_20260603_122945.json</t>
  </si>
  <si>
    <t>/content/drive/MyDrive/thesis_project/thesis/outputs/exp01/regular_ner_results_20260603_122945.xlsx</t>
  </si>
  <si>
    <t>/content/drive/MyDrive/thesis_project/thesis/outputs/exp01/regular_ner_20260603_123039.json</t>
  </si>
  <si>
    <t>/content/drive/MyDrive/thesis_project/thesis/outputs/exp01/regular_ner_results_20260603_123038.xlsx</t>
  </si>
  <si>
    <t>/content/drive/MyDrive/thesis_project/thesis/outputs/exp01/regular_ner_20260603_123242.json</t>
  </si>
  <si>
    <t>/content/drive/MyDrive/thesis_project/thesis/outputs/exp01/regular_ner_results_20260603_123242.xlsx</t>
  </si>
  <si>
    <t>/content/drive/MyDrive/thesis_project/thesis/outputs/exp01/regular_ner_20260603_123626.json</t>
  </si>
  <si>
    <t>/content/drive/MyDrive/thesis_project/thesis/outputs/exp01/regular_ner_results_20260603_123626.xlsx</t>
  </si>
  <si>
    <t>/content/drive/MyDrive/thesis_project/thesis/outputs/exp01/regular_ner_20260603_123957.json</t>
  </si>
  <si>
    <t>/content/drive/MyDrive/thesis_project/thesis/outputs/exp01/regular_ner_results_20260603_123957.xlsx</t>
  </si>
  <si>
    <t>/content/drive/MyDrive/thesis_project/thesis/outputs/exp01/regular_ner_20260603_124355.json</t>
  </si>
  <si>
    <t>/content/drive/MyDrive/thesis_project/thesis/outputs/exp01/regular_ner_results_20260603_124354.xlsx</t>
  </si>
  <si>
    <t>/content/drive/MyDrive/thesis_project/thesis/outputs/exp01/regular_ner_20260603_124742.json</t>
  </si>
  <si>
    <t>/content/drive/MyDrive/thesis_project/thesis/outputs/exp01/regular_ner_results_20260603_124741.xlsx</t>
  </si>
  <si>
    <t>/content/drive/MyDrive/thesis_project/thesis/outputs/exp01/regular_ner_20260603_125129.json</t>
  </si>
  <si>
    <t>/content/drive/MyDrive/thesis_project/thesis/outputs/exp01/regular_ner_results_20260603_125128.xlsx</t>
  </si>
  <si>
    <t>/content/drive/MyDrive/thesis_project/thesis/outputs/exp01/regular_ner_20260603_125529.json</t>
  </si>
  <si>
    <t>/content/drive/MyDrive/thesis_project/thesis/outputs/exp01/regular_ner_results_20260603_125529.xlsx</t>
  </si>
  <si>
    <t>/content/drive/MyDrive/thesis_project/thesis/outputs/exp01/regular_ner_20260603_125902.json</t>
  </si>
  <si>
    <t>/content/drive/MyDrive/thesis_project/thesis/outputs/exp01/regular_ner_results_20260603_125902.xlsx</t>
  </si>
  <si>
    <t>/content/drive/MyDrive/thesis_project/thesis/outputs/exp01/regular_ner_20260603_130259.json</t>
  </si>
  <si>
    <t>/content/drive/MyDrive/thesis_project/thesis/outputs/exp01/regular_ner_results_20260603_130259.xlsx</t>
  </si>
  <si>
    <t>/content/drive/MyDrive/thesis_project/thesis/outputs/exp01/regular_ner_20260603_130647.json</t>
  </si>
  <si>
    <t>/content/drive/MyDrive/thesis_project/thesis/outputs/exp01/regular_ner_results_20260603_130646.xlsx</t>
  </si>
  <si>
    <t>/content/drive/MyDrive/thesis_project/thesis/outputs/exp01/regular_ner_20260603_131048.json</t>
  </si>
  <si>
    <t>/content/drive/MyDrive/thesis_project/thesis/outputs/exp01/regular_ner_results_20260603_131048.xlsx</t>
  </si>
  <si>
    <t>/content/drive/MyDrive/thesis_project/thesis/outputs/exp01/regular_ner_20260603_131446.json</t>
  </si>
  <si>
    <t>/content/drive/MyDrive/thesis_project/thesis/outputs/exp01/regular_ner_results_20260603_131445.xlsx</t>
  </si>
  <si>
    <t>/content/drive/MyDrive/thesis_project/thesis/outputs/exp01/regular_ner_20260603_131845.json</t>
  </si>
  <si>
    <t>/content/drive/MyDrive/thesis_project/thesis/outputs/exp01/regular_ner_results_20260603_131845.xlsx</t>
  </si>
  <si>
    <t>/content/drive/MyDrive/thesis_project/thesis/outputs/exp01/regular_ner_20260603_132152.json</t>
  </si>
  <si>
    <t>/content/drive/MyDrive/thesis_project/thesis/outputs/exp01/regular_ner_results_20260603_132152.xlsx</t>
  </si>
  <si>
    <t>/content/drive/MyDrive/thesis_project/thesis/outputs/exp01/regular_ner_20260603_132552.json</t>
  </si>
  <si>
    <t>/content/drive/MyDrive/thesis_project/thesis/outputs/exp01/regular_ner_results_20260603_132552.xlsx</t>
  </si>
  <si>
    <t>/content/drive/MyDrive/thesis_project/thesis/outputs/exp01/regular_ner_20260603_132913.json</t>
  </si>
  <si>
    <t>/content/drive/MyDrive/thesis_project/thesis/outputs/exp01/regular_ner_results_20260603_132913.xlsx</t>
  </si>
  <si>
    <t>/content/drive/MyDrive/thesis_project/thesis/outputs/exp01/regular_ner_20260603_133300.json</t>
  </si>
  <si>
    <t>/content/drive/MyDrive/thesis_project/thesis/outputs/exp01/regular_ner_results_20260603_133300.xlsx</t>
  </si>
  <si>
    <t>/content/drive/MyDrive/thesis_project/thesis/outputs/exp01/regular_ner_20260603_133658.json</t>
  </si>
  <si>
    <t>/content/drive/MyDrive/thesis_project/thesis/outputs/exp01/regular_ner_results_20260603_133658.xlsx</t>
  </si>
  <si>
    <t>/content/drive/MyDrive/thesis_project/thesis/outputs/exp01/regular_ner_20260603_134005.json</t>
  </si>
  <si>
    <t>/content/drive/MyDrive/thesis_project/thesis/outputs/exp01/regular_ner_results_20260603_134005.xlsx</t>
  </si>
  <si>
    <t>/content/drive/MyDrive/thesis_project/thesis/outputs/exp01/regular_ner_20260603_134320.json</t>
  </si>
  <si>
    <t>/content/drive/MyDrive/thesis_project/thesis/outputs/exp01/regular_ner_results_20260603_134320.xlsx</t>
  </si>
  <si>
    <t>/content/drive/MyDrive/thesis_project/thesis/outputs/exp01/regular_ner_20260603_134651.json</t>
  </si>
  <si>
    <t>/content/drive/MyDrive/thesis_project/thesis/outputs/exp01/regular_ner_results_20260603_134650.xlsx</t>
  </si>
  <si>
    <t>/content/drive/MyDrive/thesis_project/thesis/outputs/exp01/regular_ner_20260603_135024.json</t>
  </si>
  <si>
    <t>/content/drive/MyDrive/thesis_project/thesis/outputs/exp01/regular_ner_results_20260603_135023.xlsx</t>
  </si>
  <si>
    <t>/content/drive/MyDrive/thesis_project/thesis/outputs/exp01/regular_ner_20260603_135343.json</t>
  </si>
  <si>
    <t>/content/drive/MyDrive/thesis_project/thesis/outputs/exp01/regular_ner_results_20260603_135343.xlsx</t>
  </si>
  <si>
    <t>/content/drive/MyDrive/thesis_project/thesis/outputs/exp01/regular_ner_20260603_135634.json</t>
  </si>
  <si>
    <t>/content/drive/MyDrive/thesis_project/thesis/outputs/exp01/regular_ner_results_20260603_135634.xlsx</t>
  </si>
  <si>
    <t>/content/drive/MyDrive/thesis_project/thesis/outputs/exp01/regular_ner_20260603_135954.json</t>
  </si>
  <si>
    <t>/content/drive/MyDrive/thesis_project/thesis/outputs/exp01/regular_ner_results_20260603_135953.xlsx</t>
  </si>
  <si>
    <t>/content/drive/MyDrive/thesis_project/thesis/outputs/exp01/regular_ner_20260603_140300.json</t>
  </si>
  <si>
    <t>/content/drive/MyDrive/thesis_project/thesis/outputs/exp01/regular_ner_results_20260603_140300.xlsx</t>
  </si>
  <si>
    <t>/content/drive/MyDrive/thesis_project/thesis/outputs/exp01/regular_ner_20260603_140620.json</t>
  </si>
  <si>
    <t>/content/drive/MyDrive/thesis_project/thesis/outputs/exp01/regular_ner_results_20260603_140620.xlsx</t>
  </si>
  <si>
    <t>/content/drive/MyDrive/thesis_project/thesis/outputs/exp01/regular_ner_20260603_140912.json</t>
  </si>
  <si>
    <t>/content/drive/MyDrive/thesis_project/thesis/outputs/exp01/regular_ner_results_20260603_140912.xlsx</t>
  </si>
  <si>
    <t>/content/drive/MyDrive/thesis_project/thesis/outputs/exp01/regular_ner_20260603_141259.json</t>
  </si>
  <si>
    <t>/content/drive/MyDrive/thesis_project/thesis/outputs/exp01/regular_ner_results_20260603_141259.xlsx</t>
  </si>
  <si>
    <t>/content/drive/MyDrive/thesis_project/thesis/outputs/exp01/regular_ner_20260603_141552.json</t>
  </si>
  <si>
    <t>/content/drive/MyDrive/thesis_project/thesis/outputs/exp01/regular_ner_results_20260603_141552.xlsx</t>
  </si>
  <si>
    <t>/content/drive/MyDrive/thesis_project/thesis/outputs/exp01/regular_ner_20260603_141843.json</t>
  </si>
  <si>
    <t>/content/drive/MyDrive/thesis_project/thesis/outputs/exp01/regular_ner_results_20260603_141843.xlsx</t>
  </si>
  <si>
    <t>/content/drive/MyDrive/thesis_project/thesis/outputs/exp01/regular_ner_20260603_142201.json</t>
  </si>
  <si>
    <t>/content/drive/MyDrive/thesis_project/thesis/outputs/exp01/regular_ner_results_20260603_142201.xlsx</t>
  </si>
  <si>
    <t>/content/drive/MyDrive/thesis_project/thesis/outputs/exp01/regular_ner_20260603_142452.json</t>
  </si>
  <si>
    <t>/content/drive/MyDrive/thesis_project/thesis/outputs/exp01/regular_ner_results_20260603_142451.xlsx</t>
  </si>
  <si>
    <t>/content/drive/MyDrive/thesis_project/thesis/outputs/exp01/regular_ner_20260603_142839.json</t>
  </si>
  <si>
    <t>/content/drive/MyDrive/thesis_project/thesis/outputs/exp01/regular_ner_results_20260603_142839.xlsx</t>
  </si>
  <si>
    <t>/content/drive/MyDrive/thesis_project/thesis/outputs/exp01/regular_ner_20260603_143212.json</t>
  </si>
  <si>
    <t>/content/drive/MyDrive/thesis_project/thesis/outputs/exp01/regular_ner_results_20260603_143212.xlsx</t>
  </si>
  <si>
    <t>/content/drive/MyDrive/thesis_project/thesis/outputs/exp01/regular_ner_20260603_143614.json</t>
  </si>
  <si>
    <t>/content/drive/MyDrive/thesis_project/thesis/outputs/exp01/regular_ner_results_20260603_143613.xlsx</t>
  </si>
  <si>
    <t>/content/drive/MyDrive/thesis_project/thesis/outputs/exp01/regular_ner_20260603_143904.json</t>
  </si>
  <si>
    <t>/content/drive/MyDrive/thesis_project/thesis/outputs/exp01/regular_ner_results_20260603_143903.xlsx</t>
  </si>
  <si>
    <t>/content/drive/MyDrive/thesis_project/thesis/outputs/exp01/regular_ner_20260603_144209.json</t>
  </si>
  <si>
    <t>/content/drive/MyDrive/thesis_project/thesis/outputs/exp01/regular_ner_results_20260603_144208.xlsx</t>
  </si>
  <si>
    <t>/content/drive/MyDrive/thesis_project/thesis/outputs/exp01/regular_ner_20260603_144529.json</t>
  </si>
  <si>
    <t>/content/drive/MyDrive/thesis_project/thesis/outputs/exp01/regular_ner_results_20260603_144529.xlsx</t>
  </si>
  <si>
    <t>/content/drive/MyDrive/thesis_project/thesis/outputs/exp01/regular_ner_20260603_144850.json</t>
  </si>
  <si>
    <t>/content/drive/MyDrive/thesis_project/thesis/outputs/exp01/regular_ner_results_20260603_144850.xlsx</t>
  </si>
  <si>
    <t>/content/drive/MyDrive/thesis_project/thesis/outputs/exp01/regular_ner_20260603_145143.json</t>
  </si>
  <si>
    <t>/content/drive/MyDrive/thesis_project/thesis/outputs/exp01/regular_ner_results_20260603_145143.xlsx</t>
  </si>
  <si>
    <t>/content/drive/MyDrive/thesis_project/thesis/outputs/exp01/regular_ner_20260603_145525.json</t>
  </si>
  <si>
    <t>/content/drive/MyDrive/thesis_project/thesis/outputs/exp01/regular_ner_results_20260603_145525.xlsx</t>
  </si>
  <si>
    <t>/content/drive/MyDrive/thesis_project/thesis/outputs/exp01/regular_ner_20260603_145919.json</t>
  </si>
  <si>
    <t>/content/drive/MyDrive/thesis_project/thesis/outputs/exp01/regular_ner_results_20260603_145919.xlsx</t>
  </si>
  <si>
    <t>/content/drive/MyDrive/thesis_project/thesis/outputs/exp01/regular_ner_20260603_150210.json</t>
  </si>
  <si>
    <t>/content/drive/MyDrive/thesis_project/thesis/outputs/exp01/regular_ner_results_20260603_150210.xlsx</t>
  </si>
  <si>
    <t>/content/drive/MyDrive/thesis_project/thesis/outputs/exp01/regular_ner_20260603_150516.json</t>
  </si>
  <si>
    <t>/content/drive/MyDrive/thesis_project/thesis/outputs/exp01/regular_ner_results_20260603_150516.xlsx</t>
  </si>
  <si>
    <t>/content/drive/MyDrive/thesis_project/thesis/outputs/exp01/regular_ner_20260603_150817.json</t>
  </si>
  <si>
    <t>/content/drive/MyDrive/thesis_project/thesis/outputs/exp01/regular_ner_results_20260603_150817.xlsx</t>
  </si>
  <si>
    <t>/content/drive/MyDrive/thesis_project/thesis/outputs/exp01/regular_ner_20260603_151132.json</t>
  </si>
  <si>
    <t>/content/drive/MyDrive/thesis_project/thesis/outputs/exp01/regular_ner_results_20260603_151131.xlsx</t>
  </si>
  <si>
    <t>/content/drive/MyDrive/thesis_project/thesis/outputs/exp01/regular_ner_20260603_151525.json</t>
  </si>
  <si>
    <t>/content/drive/MyDrive/thesis_project/thesis/outputs/exp01/regular_ner_results_20260603_151525.xlsx</t>
  </si>
  <si>
    <t>/content/drive/MyDrive/thesis_project/thesis/outputs/exp01/regular_ner_20260603_151907.json</t>
  </si>
  <si>
    <t>/content/drive/MyDrive/thesis_project/thesis/outputs/exp01/regular_ner_results_20260603_151906.xlsx</t>
  </si>
  <si>
    <t>/content/drive/MyDrive/thesis_project/thesis/outputs/exp01/regular_ner_20260603_152247.json</t>
  </si>
  <si>
    <t>/content/drive/MyDrive/thesis_project/thesis/outputs/exp01/regular_ner_results_20260603_152247.xlsx</t>
  </si>
  <si>
    <t>/content/drive/MyDrive/thesis_project/thesis/outputs/exp01/regular_ner_20260603_152627.json</t>
  </si>
  <si>
    <t>/content/drive/MyDrive/thesis_project/thesis/outputs/exp01/regular_ner_results_20260603_152627.xlsx</t>
  </si>
  <si>
    <t>/content/drive/MyDrive/thesis_project/thesis/outputs/exp01/regular_ner_20260603_153007.json</t>
  </si>
  <si>
    <t>/content/drive/MyDrive/thesis_project/thesis/outputs/exp01/regular_ner_results_20260603_153007.xlsx</t>
  </si>
  <si>
    <t>/content/drive/MyDrive/thesis_project/thesis/outputs/exp01/regular_ner_20260603_153359.json</t>
  </si>
  <si>
    <t>/content/drive/MyDrive/thesis_project/thesis/outputs/exp01/regular_ner_results_20260603_153359.xlsx</t>
  </si>
  <si>
    <t>/content/drive/MyDrive/thesis_project/thesis/outputs/exp01/regular_ner_20260603_153714.json</t>
  </si>
  <si>
    <t>/content/drive/MyDrive/thesis_project/thesis/outputs/exp01/regular_ner_results_20260603_153714.xlsx</t>
  </si>
  <si>
    <t>/content/drive/MyDrive/thesis_project/thesis/outputs/exp01/regular_ner_20260603_154107.json</t>
  </si>
  <si>
    <t>/content/drive/MyDrive/thesis_project/thesis/outputs/exp01/regular_ner_results_20260603_154107.xlsx</t>
  </si>
  <si>
    <t>/content/drive/MyDrive/thesis_project/thesis/outputs/exp01/regular_ner_20260603_154422.json</t>
  </si>
  <si>
    <t>/content/drive/MyDrive/thesis_project/thesis/outputs/exp01/regular_ner_results_20260603_154422.xlsx</t>
  </si>
  <si>
    <t>/content/drive/MyDrive/thesis_project/thesis/outputs/exp01/regular_ner_20260603_154724.json</t>
  </si>
  <si>
    <t>/content/drive/MyDrive/thesis_project/thesis/outputs/exp01/regular_ner_results_20260603_154724.xlsx</t>
  </si>
  <si>
    <t>/content/drive/MyDrive/thesis_project/thesis/outputs/exp01/regular_ner_20260603_194330.json</t>
  </si>
  <si>
    <t>/content/drive/MyDrive/thesis_project/thesis/outputs/exp01/regular_ner_results_20260603_194328.xlsx</t>
  </si>
  <si>
    <t>/content/drive/MyDrive/thesis_project/thesis/outputs/exp01/regular_ner_20260603_194731.json</t>
  </si>
  <si>
    <t>/content/drive/MyDrive/thesis_project/thesis/outputs/exp01/regular_ner_results_20260603_194731.xlsx</t>
  </si>
  <si>
    <t>/content/drive/MyDrive/thesis_project/thesis/outputs/exp01/regular_ner_20260603_195121.json</t>
  </si>
  <si>
    <t>/content/drive/MyDrive/thesis_project/thesis/outputs/exp01/regular_ner_results_20260603_195121.xlsx</t>
  </si>
  <si>
    <t>/content/drive/MyDrive/thesis_project/thesis/outputs/exp04/auc_cascaded_pipeline_20260603_113923.json</t>
  </si>
  <si>
    <t>/content/drive/MyDrive/thesis_project/thesis/outputs/exp04/cascaded_pipeline_results_20260603_113922.xlsx</t>
  </si>
  <si>
    <t>/content/drive/MyDrive/thesis_project/thesis/outputs/exp04/auc_cascaded_pipeline_20260603_114016.json</t>
  </si>
  <si>
    <t>/content/drive/MyDrive/thesis_project/thesis/outputs/exp04/cascaded_pipeline_results_20260603_114015.xlsx</t>
  </si>
  <si>
    <t>/content/drive/MyDrive/thesis_project/thesis/outputs/exp04/auc_cascaded_pipeline_20260603_114110.json</t>
  </si>
  <si>
    <t>/content/drive/MyDrive/thesis_project/thesis/outputs/exp04/cascaded_pipeline_results_20260603_114109.xlsx</t>
  </si>
  <si>
    <t>/content/drive/MyDrive/thesis_project/thesis/outputs/exp04/auc_cascaded_pipeline_20260603_114203.json</t>
  </si>
  <si>
    <t>/content/drive/MyDrive/thesis_project/thesis/outputs/exp04/cascaded_pipeline_results_20260603_114202.xlsx</t>
  </si>
  <si>
    <t>/content/drive/MyDrive/thesis_project/thesis/outputs/exp04/auc_cascaded_pipeline_20260603_114256.json</t>
  </si>
  <si>
    <t>/content/drive/MyDrive/thesis_project/thesis/outputs/exp04/cascaded_pipeline_results_20260603_114255.xlsx</t>
  </si>
  <si>
    <t>/content/drive/MyDrive/thesis_project/thesis/outputs/exp04/auc_cascaded_pipeline_20260603_114350.json</t>
  </si>
  <si>
    <t>/content/drive/MyDrive/thesis_project/thesis/outputs/exp04/cascaded_pipeline_results_20260603_114348.xlsx</t>
  </si>
  <si>
    <t>/content/drive/MyDrive/thesis_project/thesis/outputs/exp04/auc_cascaded_pipeline_20260603_114443.json</t>
  </si>
  <si>
    <t>/content/drive/MyDrive/thesis_project/thesis/outputs/exp04/cascaded_pipeline_results_20260603_114442.xlsx</t>
  </si>
  <si>
    <t>/content/drive/MyDrive/thesis_project/thesis/outputs/exp04/auc_cascaded_pipeline_20260603_114537.json</t>
  </si>
  <si>
    <t>/content/drive/MyDrive/thesis_project/thesis/outputs/exp04/cascaded_pipeline_results_20260603_114535.xlsx</t>
  </si>
  <si>
    <t>/content/drive/MyDrive/thesis_project/thesis/outputs/exp04/auc_cascaded_pipeline_20260603_114630.json</t>
  </si>
  <si>
    <t>/content/drive/MyDrive/thesis_project/thesis/outputs/exp04/cascaded_pipeline_results_20260603_114629.xlsx</t>
  </si>
  <si>
    <t>/content/drive/MyDrive/thesis_project/thesis/outputs/exp04/auc_cascaded_pipeline_20260603_114723.json</t>
  </si>
  <si>
    <t>/content/drive/MyDrive/thesis_project/thesis/outputs/exp04/cascaded_pipeline_results_20260603_114722.xlsx</t>
  </si>
  <si>
    <t>/content/drive/MyDrive/thesis_project/thesis/outputs/exp04/auc_cascaded_pipeline_20260603_114816.json</t>
  </si>
  <si>
    <t>/content/drive/MyDrive/thesis_project/thesis/outputs/exp04/cascaded_pipeline_results_20260603_114815.xlsx</t>
  </si>
  <si>
    <t>/content/drive/MyDrive/thesis_project/thesis/outputs/exp04/auc_cascaded_pipeline_20260603_114910.json</t>
  </si>
  <si>
    <t>/content/drive/MyDrive/thesis_project/thesis/outputs/exp04/cascaded_pipeline_results_20260603_114909.xlsx</t>
  </si>
  <si>
    <t>/content/drive/MyDrive/thesis_project/thesis/outputs/exp04/auc_cascaded_pipeline_20260603_115004.json</t>
  </si>
  <si>
    <t>/content/drive/MyDrive/thesis_project/thesis/outputs/exp04/cascaded_pipeline_results_20260603_115003.xlsx</t>
  </si>
  <si>
    <t>/content/drive/MyDrive/thesis_project/thesis/outputs/exp04/auc_cascaded_pipeline_20260603_115058.json</t>
  </si>
  <si>
    <t>/content/drive/MyDrive/thesis_project/thesis/outputs/exp04/cascaded_pipeline_results_20260603_115056.xlsx</t>
  </si>
  <si>
    <t>/content/drive/MyDrive/thesis_project/thesis/outputs/exp04/auc_cascaded_pipeline_20260603_115151.json</t>
  </si>
  <si>
    <t>/content/drive/MyDrive/thesis_project/thesis/outputs/exp04/cascaded_pipeline_results_20260603_115150.xlsx</t>
  </si>
  <si>
    <t>/content/drive/MyDrive/thesis_project/thesis/outputs/exp04/auc_cascaded_pipeline_20260603_115245.json</t>
  </si>
  <si>
    <t>/content/drive/MyDrive/thesis_project/thesis/outputs/exp04/cascaded_pipeline_results_20260603_115244.xlsx</t>
  </si>
  <si>
    <t>/content/drive/MyDrive/thesis_project/thesis/outputs/exp04/auc_cascaded_pipeline_20260603_115338.json</t>
  </si>
  <si>
    <t>/content/drive/MyDrive/thesis_project/thesis/outputs/exp04/cascaded_pipeline_results_20260603_115337.xlsx</t>
  </si>
  <si>
    <t>/content/drive/MyDrive/thesis_project/thesis/outputs/exp04/auc_cascaded_pipeline_20260603_115431.json</t>
  </si>
  <si>
    <t>/content/drive/MyDrive/thesis_project/thesis/outputs/exp04/cascaded_pipeline_results_20260603_115430.xlsx</t>
  </si>
  <si>
    <t>/content/drive/MyDrive/thesis_project/thesis/outputs/exp04/auc_cascaded_pipeline_20260603_115525.json</t>
  </si>
  <si>
    <t>/content/drive/MyDrive/thesis_project/thesis/outputs/exp04/cascaded_pipeline_results_20260603_115524.xlsx</t>
  </si>
  <si>
    <t>/content/drive/MyDrive/thesis_project/thesis/outputs/exp04/auc_cascaded_pipeline_20260603_115619.json</t>
  </si>
  <si>
    <t>/content/drive/MyDrive/thesis_project/thesis/outputs/exp04/cascaded_pipeline_results_20260603_115617.xlsx</t>
  </si>
  <si>
    <t>/content/drive/MyDrive/thesis_project/thesis/outputs/exp04/auc_cascaded_pipeline_20260603_115712.json</t>
  </si>
  <si>
    <t>/content/drive/MyDrive/thesis_project/thesis/outputs/exp04/cascaded_pipeline_results_20260603_115711.xlsx</t>
  </si>
  <si>
    <t>/content/drive/MyDrive/thesis_project/thesis/outputs/exp04/auc_cascaded_pipeline_20260603_115803.json</t>
  </si>
  <si>
    <t>/content/drive/MyDrive/thesis_project/thesis/outputs/exp04/cascaded_pipeline_results_20260603_115803.xlsx</t>
  </si>
  <si>
    <t>/content/drive/MyDrive/thesis_project/thesis/outputs/exp04/auc_cascaded_pipeline_20260603_115855.json</t>
  </si>
  <si>
    <t>/content/drive/MyDrive/thesis_project/thesis/outputs/exp04/cascaded_pipeline_results_20260603_115854.xlsx</t>
  </si>
  <si>
    <t>/content/drive/MyDrive/thesis_project/thesis/outputs/exp04/auc_cascaded_pipeline_20260603_115946.json</t>
  </si>
  <si>
    <t>/content/drive/MyDrive/thesis_project/thesis/outputs/exp04/cascaded_pipeline_results_20260603_115945.xlsx</t>
  </si>
  <si>
    <t>/content/drive/MyDrive/thesis_project/thesis/outputs/exp04/auc_cascaded_pipeline_20260603_120037.json</t>
  </si>
  <si>
    <t>/content/drive/MyDrive/thesis_project/thesis/outputs/exp04/cascaded_pipeline_results_20260603_120036.xlsx</t>
  </si>
  <si>
    <t>/content/drive/MyDrive/thesis_project/thesis/outputs/exp04/auc_cascaded_pipeline_20260603_120128.json</t>
  </si>
  <si>
    <t>/content/drive/MyDrive/thesis_project/thesis/outputs/exp04/cascaded_pipeline_results_20260603_120127.xlsx</t>
  </si>
  <si>
    <t>/content/drive/MyDrive/thesis_project/thesis/outputs/exp04/auc_cascaded_pipeline_20260603_120219.json</t>
  </si>
  <si>
    <t>/content/drive/MyDrive/thesis_project/thesis/outputs/exp04/cascaded_pipeline_results_20260603_120218.xlsx</t>
  </si>
  <si>
    <t>/content/drive/MyDrive/thesis_project/thesis/outputs/exp04/auc_cascaded_pipeline_20260603_120311.json</t>
  </si>
  <si>
    <t>/content/drive/MyDrive/thesis_project/thesis/outputs/exp04/cascaded_pipeline_results_20260603_120310.xlsx</t>
  </si>
  <si>
    <t>/content/drive/MyDrive/thesis_project/thesis/outputs/exp04/auc_cascaded_pipeline_20260603_120401.json</t>
  </si>
  <si>
    <t>/content/drive/MyDrive/thesis_project/thesis/outputs/exp04/cascaded_pipeline_results_20260603_120400.xlsx</t>
  </si>
  <si>
    <t>/content/drive/MyDrive/thesis_project/thesis/outputs/exp04/auc_cascaded_pipeline_20260603_120453.json</t>
  </si>
  <si>
    <t>/content/drive/MyDrive/thesis_project/thesis/outputs/exp04/cascaded_pipeline_results_20260603_120452.xlsx</t>
  </si>
  <si>
    <t>/content/drive/MyDrive/thesis_project/thesis/outputs/exp04/auc_cascaded_pipeline_20260603_120544.json</t>
  </si>
  <si>
    <t>/content/drive/MyDrive/thesis_project/thesis/outputs/exp04/cascaded_pipeline_results_20260603_120543.xlsx</t>
  </si>
  <si>
    <t>/content/drive/MyDrive/thesis_project/thesis/outputs/exp04/auc_cascaded_pipeline_20260603_120636.json</t>
  </si>
  <si>
    <t>/content/drive/MyDrive/thesis_project/thesis/outputs/exp04/cascaded_pipeline_results_20260603_120635.xlsx</t>
  </si>
  <si>
    <t>/content/drive/MyDrive/thesis_project/thesis/outputs/exp04/auc_cascaded_pipeline_20260603_120728.json</t>
  </si>
  <si>
    <t>/content/drive/MyDrive/thesis_project/thesis/outputs/exp04/cascaded_pipeline_results_20260603_120727.xlsx</t>
  </si>
  <si>
    <t>/content/drive/MyDrive/thesis_project/thesis/outputs/exp04/auc_cascaded_pipeline_20260603_120820.json</t>
  </si>
  <si>
    <t>/content/drive/MyDrive/thesis_project/thesis/outputs/exp04/cascaded_pipeline_results_20260603_120819.xlsx</t>
  </si>
  <si>
    <t>/content/drive/MyDrive/thesis_project/thesis/outputs/exp04/auc_cascaded_pipeline_20260603_120911.json</t>
  </si>
  <si>
    <t>/content/drive/MyDrive/thesis_project/thesis/outputs/exp04/cascaded_pipeline_results_20260603_120910.xlsx</t>
  </si>
  <si>
    <t>/content/drive/MyDrive/thesis_project/thesis/outputs/exp04/auc_cascaded_pipeline_20260603_121003.json</t>
  </si>
  <si>
    <t>/content/drive/MyDrive/thesis_project/thesis/outputs/exp04/cascaded_pipeline_results_20260603_121002.xlsx</t>
  </si>
  <si>
    <t>/content/drive/MyDrive/thesis_project/thesis/outputs/exp04/auc_cascaded_pipeline_20260603_121054.json</t>
  </si>
  <si>
    <t>/content/drive/MyDrive/thesis_project/thesis/outputs/exp04/cascaded_pipeline_results_20260603_121053.xlsx</t>
  </si>
  <si>
    <t>/content/drive/MyDrive/thesis_project/thesis/outputs/exp04/auc_cascaded_pipeline_20260603_121146.json</t>
  </si>
  <si>
    <t>/content/drive/MyDrive/thesis_project/thesis/outputs/exp04/cascaded_pipeline_results_20260603_121145.xlsx</t>
  </si>
  <si>
    <t>/content/drive/MyDrive/thesis_project/thesis/outputs/exp04/auc_cascaded_pipeline_20260603_121237.json</t>
  </si>
  <si>
    <t>/content/drive/MyDrive/thesis_project/thesis/outputs/exp04/cascaded_pipeline_results_20260603_121236.xlsx</t>
  </si>
  <si>
    <t>/content/drive/MyDrive/thesis_project/thesis/outputs/exp04/auc_cascaded_pipeline_20260603_121328.json</t>
  </si>
  <si>
    <t>/content/drive/MyDrive/thesis_project/thesis/outputs/exp04/cascaded_pipeline_results_20260603_121327.xlsx</t>
  </si>
  <si>
    <t>/content/drive/MyDrive/thesis_project/thesis/outputs/exp04/auc_cascaded_pipeline_20260603_121422.json</t>
  </si>
  <si>
    <t>/content/drive/MyDrive/thesis_project/thesis/outputs/exp04/cascaded_pipeline_results_20260603_121421.xlsx</t>
  </si>
  <si>
    <t>/content/drive/MyDrive/thesis_project/thesis/outputs/exp04/auc_cascaded_pipeline_20260603_121516.json</t>
  </si>
  <si>
    <t>/content/drive/MyDrive/thesis_project/thesis/outputs/exp04/cascaded_pipeline_results_20260603_121515.xlsx</t>
  </si>
  <si>
    <t>/content/drive/MyDrive/thesis_project/thesis/outputs/exp04/auc_cascaded_pipeline_20260603_121608.json</t>
  </si>
  <si>
    <t>/content/drive/MyDrive/thesis_project/thesis/outputs/exp04/cascaded_pipeline_results_20260603_121607.xlsx</t>
  </si>
  <si>
    <t>/content/drive/MyDrive/thesis_project/thesis/outputs/exp04/auc_cascaded_pipeline_20260603_121701.json</t>
  </si>
  <si>
    <t>/content/drive/MyDrive/thesis_project/thesis/outputs/exp04/cascaded_pipeline_results_20260603_121700.xlsx</t>
  </si>
  <si>
    <t>/content/drive/MyDrive/thesis_project/thesis/outputs/exp04/auc_cascaded_pipeline_20260603_121755.json</t>
  </si>
  <si>
    <t>/content/drive/MyDrive/thesis_project/thesis/outputs/exp04/cascaded_pipeline_results_20260603_121754.xlsx</t>
  </si>
  <si>
    <t>/content/drive/MyDrive/thesis_project/thesis/outputs/exp04/auc_cascaded_pipeline_20260603_121849.json</t>
  </si>
  <si>
    <t>/content/drive/MyDrive/thesis_project/thesis/outputs/exp04/cascaded_pipeline_results_20260603_121848.xlsx</t>
  </si>
  <si>
    <t>/content/drive/MyDrive/thesis_project/thesis/outputs/exp04/auc_cascaded_pipeline_20260603_121942.json</t>
  </si>
  <si>
    <t>/content/drive/MyDrive/thesis_project/thesis/outputs/exp04/cascaded_pipeline_results_20260603_121941.xlsx</t>
  </si>
  <si>
    <t>/content/drive/MyDrive/thesis_project/thesis/outputs/exp04/auc_cascaded_pipeline_20260603_122037.json</t>
  </si>
  <si>
    <t>/content/drive/MyDrive/thesis_project/thesis/outputs/exp04/cascaded_pipeline_results_20260603_122036.xlsx</t>
  </si>
  <si>
    <t>/content/drive/MyDrive/thesis_project/thesis/outputs/exp04/auc_cascaded_pipeline_20260603_122130.json</t>
  </si>
  <si>
    <t>/content/drive/MyDrive/thesis_project/thesis/outputs/exp04/cascaded_pipeline_results_20260603_122129.xlsx</t>
  </si>
  <si>
    <t>/content/drive/MyDrive/thesis_project/thesis/outputs/exp04/auc_cascaded_pipeline_20260603_122222.json</t>
  </si>
  <si>
    <t>/content/drive/MyDrive/thesis_project/thesis/outputs/exp04/cascaded_pipeline_results_20260603_122220.xlsx</t>
  </si>
  <si>
    <t>/content/drive/MyDrive/thesis_project/thesis/outputs/exp04/auc_cascaded_pipeline_20260603_122315.json</t>
  </si>
  <si>
    <t>/content/drive/MyDrive/thesis_project/thesis/outputs/exp04/cascaded_pipeline_results_20260603_122314.xlsx</t>
  </si>
  <si>
    <t>/content/drive/MyDrive/thesis_project/thesis/outputs/exp04/auc_cascaded_pipeline_20260603_122408.json</t>
  </si>
  <si>
    <t>/content/drive/MyDrive/thesis_project/thesis/outputs/exp04/cascaded_pipeline_results_20260603_122407.xlsx</t>
  </si>
  <si>
    <t>/content/drive/MyDrive/thesis_project/thesis/outputs/exp04/auc_cascaded_pipeline_20260603_122502.json</t>
  </si>
  <si>
    <t>/content/drive/MyDrive/thesis_project/thesis/outputs/exp04/cascaded_pipeline_results_20260603_122501.xlsx</t>
  </si>
  <si>
    <t>/content/drive/MyDrive/thesis_project/thesis/outputs/exp04/auc_cascaded_pipeline_20260603_122556.json</t>
  </si>
  <si>
    <t>/content/drive/MyDrive/thesis_project/thesis/outputs/exp04/cascaded_pipeline_results_20260603_122555.xlsx</t>
  </si>
  <si>
    <t>/content/drive/MyDrive/thesis_project/thesis/outputs/exp04/auc_cascaded_pipeline_20260603_122651.json</t>
  </si>
  <si>
    <t>/content/drive/MyDrive/thesis_project/thesis/outputs/exp04/cascaded_pipeline_results_20260603_122649.xlsx</t>
  </si>
  <si>
    <t>/content/drive/MyDrive/thesis_project/thesis/outputs/exp04/auc_cascaded_pipeline_20260603_122744.json</t>
  </si>
  <si>
    <t>/content/drive/MyDrive/thesis_project/thesis/outputs/exp04/cascaded_pipeline_results_20260603_122743.xlsx</t>
  </si>
  <si>
    <t>/content/drive/MyDrive/thesis_project/thesis/outputs/exp04/auc_cascaded_pipeline_20260603_122837.json</t>
  </si>
  <si>
    <t>/content/drive/MyDrive/thesis_project/thesis/outputs/exp04/cascaded_pipeline_results_20260603_122836.xlsx</t>
  </si>
  <si>
    <t>/content/drive/MyDrive/thesis_project/thesis/outputs/exp04/auc_cascaded_pipeline_20260603_122930.json</t>
  </si>
  <si>
    <t>/content/drive/MyDrive/thesis_project/thesis/outputs/exp04/cascaded_pipeline_results_20260603_122929.xlsx</t>
  </si>
  <si>
    <t>/content/drive/MyDrive/thesis_project/thesis/outputs/exp04/auc_cascaded_pipeline_20260603_123024.json</t>
  </si>
  <si>
    <t>/content/drive/MyDrive/thesis_project/thesis/outputs/exp04/cascaded_pipeline_results_20260603_123023.xlsx</t>
  </si>
  <si>
    <t>/content/drive/MyDrive/thesis_project/thesis/outputs/exp04/auc_cascaded_pipeline_20260603_123117.json</t>
  </si>
  <si>
    <t>/content/drive/MyDrive/thesis_project/thesis/outputs/exp04/cascaded_pipeline_results_20260603_123116.xlsx</t>
  </si>
  <si>
    <t>/content/drive/MyDrive/thesis_project/thesis/outputs/exp04/auc_cascaded_pipeline_20260603_123502.json</t>
  </si>
  <si>
    <t>/content/drive/MyDrive/thesis_project/thesis/outputs/exp04/cascaded_pipeline_results_20260603_123501.xlsx</t>
  </si>
  <si>
    <t>/content/drive/MyDrive/thesis_project/thesis/outputs/exp04/auc_cascaded_pipeline_20260603_123832.json</t>
  </si>
  <si>
    <t>/content/drive/MyDrive/thesis_project/thesis/outputs/exp04/cascaded_pipeline_results_20260603_123831.xlsx</t>
  </si>
  <si>
    <t>/content/drive/MyDrive/thesis_project/thesis/outputs/exp04/auc_cascaded_pipeline_20260603_124230.json</t>
  </si>
  <si>
    <t>/content/drive/MyDrive/thesis_project/thesis/outputs/exp04/cascaded_pipeline_results_20260603_124229.xlsx</t>
  </si>
  <si>
    <t>/content/drive/MyDrive/thesis_project/thesis/outputs/exp04/auc_cascaded_pipeline_20260603_124616.json</t>
  </si>
  <si>
    <t>/content/drive/MyDrive/thesis_project/thesis/outputs/exp04/cascaded_pipeline_results_20260603_124615.xlsx</t>
  </si>
  <si>
    <t>/content/drive/MyDrive/thesis_project/thesis/outputs/exp04/auc_cascaded_pipeline_20260603_125001.json</t>
  </si>
  <si>
    <t>/content/drive/MyDrive/thesis_project/thesis/outputs/exp04/cascaded_pipeline_results_20260603_125000.xlsx</t>
  </si>
  <si>
    <t>/content/drive/MyDrive/thesis_project/thesis/outputs/exp04/auc_cascaded_pipeline_20260603_125402.json</t>
  </si>
  <si>
    <t>/content/drive/MyDrive/thesis_project/thesis/outputs/exp04/cascaded_pipeline_results_20260603_125401.xlsx</t>
  </si>
  <si>
    <t>/content/drive/MyDrive/thesis_project/thesis/outputs/exp04/auc_cascaded_pipeline_20260603_125735.json</t>
  </si>
  <si>
    <t>/content/drive/MyDrive/thesis_project/thesis/outputs/exp04/cascaded_pipeline_results_20260603_125734.xlsx</t>
  </si>
  <si>
    <t>/content/drive/MyDrive/thesis_project/thesis/outputs/exp04/auc_cascaded_pipeline_20260603_130135.json</t>
  </si>
  <si>
    <t>/content/drive/MyDrive/thesis_project/thesis/outputs/exp04/cascaded_pipeline_results_20260603_130134.xlsx</t>
  </si>
  <si>
    <t>/content/drive/MyDrive/thesis_project/thesis/outputs/exp04/auc_cascaded_pipeline_20260603_130519.json</t>
  </si>
  <si>
    <t>/content/drive/MyDrive/thesis_project/thesis/outputs/exp04/cascaded_pipeline_results_20260603_130518.xlsx</t>
  </si>
  <si>
    <t>/content/drive/MyDrive/thesis_project/thesis/outputs/exp04/auc_cascaded_pipeline_20260603_130919.json</t>
  </si>
  <si>
    <t>/content/drive/MyDrive/thesis_project/thesis/outputs/exp04/cascaded_pipeline_results_20260603_130918.xlsx</t>
  </si>
  <si>
    <t>/content/drive/MyDrive/thesis_project/thesis/outputs/exp04/auc_cascaded_pipeline_20260603_131321.json</t>
  </si>
  <si>
    <t>/content/drive/MyDrive/thesis_project/thesis/outputs/exp04/cascaded_pipeline_results_20260603_131320.xlsx</t>
  </si>
  <si>
    <t>/content/drive/MyDrive/thesis_project/thesis/outputs/exp04/auc_cascaded_pipeline_20260603_131718.json</t>
  </si>
  <si>
    <t>/content/drive/MyDrive/thesis_project/thesis/outputs/exp04/cascaded_pipeline_results_20260603_131717.xlsx</t>
  </si>
  <si>
    <t>/content/drive/MyDrive/thesis_project/thesis/outputs/exp04/auc_cascaded_pipeline_20260603_132025.json</t>
  </si>
  <si>
    <t>/content/drive/MyDrive/thesis_project/thesis/outputs/exp04/cascaded_pipeline_results_20260603_132024.xlsx</t>
  </si>
  <si>
    <t>/content/drive/MyDrive/thesis_project/thesis/outputs/exp04/auc_cascaded_pipeline_20260603_132426.json</t>
  </si>
  <si>
    <t>/content/drive/MyDrive/thesis_project/thesis/outputs/exp04/cascaded_pipeline_results_20260603_132425.xlsx</t>
  </si>
  <si>
    <t>/content/drive/MyDrive/thesis_project/thesis/outputs/exp04/auc_cascaded_pipeline_20260603_132747.json</t>
  </si>
  <si>
    <t>/content/drive/MyDrive/thesis_project/thesis/outputs/exp04/cascaded_pipeline_results_20260603_132746.xlsx</t>
  </si>
  <si>
    <t>/content/drive/MyDrive/thesis_project/thesis/outputs/exp04/auc_cascaded_pipeline_20260603_133134.json</t>
  </si>
  <si>
    <t>/content/drive/MyDrive/thesis_project/thesis/outputs/exp04/cascaded_pipeline_results_20260603_133133.xlsx</t>
  </si>
  <si>
    <t>/content/drive/MyDrive/thesis_project/thesis/outputs/exp04/auc_cascaded_pipeline_20260603_133534.json</t>
  </si>
  <si>
    <t>/content/drive/MyDrive/thesis_project/thesis/outputs/exp04/cascaded_pipeline_results_20260603_133533.xlsx</t>
  </si>
  <si>
    <t>/content/drive/MyDrive/thesis_project/thesis/outputs/exp04/auc_cascaded_pipeline_20260603_133838.json</t>
  </si>
  <si>
    <t>/content/drive/MyDrive/thesis_project/thesis/outputs/exp04/cascaded_pipeline_results_20260603_133837.xlsx</t>
  </si>
  <si>
    <t>/content/drive/MyDrive/thesis_project/thesis/outputs/exp04/auc_cascaded_pipeline_20260603_134157.json</t>
  </si>
  <si>
    <t>/content/drive/MyDrive/thesis_project/thesis/outputs/exp04/cascaded_pipeline_results_20260603_134156.xlsx</t>
  </si>
  <si>
    <t>/content/drive/MyDrive/thesis_project/thesis/outputs/exp04/auc_cascaded_pipeline_20260603_134527.json</t>
  </si>
  <si>
    <t>/content/drive/MyDrive/thesis_project/thesis/outputs/exp04/cascaded_pipeline_results_20260603_134525.xlsx</t>
  </si>
  <si>
    <t>/content/drive/MyDrive/thesis_project/thesis/outputs/exp04/auc_cascaded_pipeline_20260603_134858.json</t>
  </si>
  <si>
    <t>/content/drive/MyDrive/thesis_project/thesis/outputs/exp04/cascaded_pipeline_results_20260603_134857.xlsx</t>
  </si>
  <si>
    <t>/content/drive/MyDrive/thesis_project/thesis/outputs/exp04/auc_cascaded_pipeline_20260603_135217.json</t>
  </si>
  <si>
    <t>/content/drive/MyDrive/thesis_project/thesis/outputs/exp04/cascaded_pipeline_results_20260603_135216.xlsx</t>
  </si>
  <si>
    <t>/content/drive/MyDrive/thesis_project/thesis/outputs/exp04/auc_cascaded_pipeline_20260603_135509.json</t>
  </si>
  <si>
    <t>/content/drive/MyDrive/thesis_project/thesis/outputs/exp04/cascaded_pipeline_results_20260603_135508.xlsx</t>
  </si>
  <si>
    <t>/content/drive/MyDrive/thesis_project/thesis/outputs/exp04/auc_cascaded_pipeline_20260603_135828.json</t>
  </si>
  <si>
    <t>/content/drive/MyDrive/thesis_project/thesis/outputs/exp04/cascaded_pipeline_results_20260603_135827.xlsx</t>
  </si>
  <si>
    <t>/content/drive/MyDrive/thesis_project/thesis/outputs/exp04/auc_cascaded_pipeline_20260603_140134.json</t>
  </si>
  <si>
    <t>/content/drive/MyDrive/thesis_project/thesis/outputs/exp04/cascaded_pipeline_results_20260603_140133.xlsx</t>
  </si>
  <si>
    <t>/content/drive/MyDrive/thesis_project/thesis/outputs/exp04/auc_cascaded_pipeline_20260603_140455.json</t>
  </si>
  <si>
    <t>/content/drive/MyDrive/thesis_project/thesis/outputs/exp04/cascaded_pipeline_results_20260603_140454.xlsx</t>
  </si>
  <si>
    <t>/content/drive/MyDrive/thesis_project/thesis/outputs/exp04/auc_cascaded_pipeline_20260603_140747.json</t>
  </si>
  <si>
    <t>/content/drive/MyDrive/thesis_project/thesis/outputs/exp04/cascaded_pipeline_results_20260603_140746.xlsx</t>
  </si>
  <si>
    <t>/content/drive/MyDrive/thesis_project/thesis/outputs/exp04/auc_cascaded_pipeline_20260603_141133.json</t>
  </si>
  <si>
    <t>/content/drive/MyDrive/thesis_project/thesis/outputs/exp04/cascaded_pipeline_results_20260603_141133.xlsx</t>
  </si>
  <si>
    <t>/content/drive/MyDrive/thesis_project/thesis/outputs/exp04/auc_cascaded_pipeline_20260603_141426.json</t>
  </si>
  <si>
    <t>/content/drive/MyDrive/thesis_project/thesis/outputs/exp04/cascaded_pipeline_results_20260603_141425.xlsx</t>
  </si>
  <si>
    <t>/content/drive/MyDrive/thesis_project/thesis/outputs/exp04/auc_cascaded_pipeline_20260603_141718.json</t>
  </si>
  <si>
    <t>/content/drive/MyDrive/thesis_project/thesis/outputs/exp04/cascaded_pipeline_results_20260603_141717.xlsx</t>
  </si>
  <si>
    <t>/content/drive/MyDrive/thesis_project/thesis/outputs/exp04/auc_cascaded_pipeline_20260603_142037.json</t>
  </si>
  <si>
    <t>/content/drive/MyDrive/thesis_project/thesis/outputs/exp04/cascaded_pipeline_results_20260603_142036.xlsx</t>
  </si>
  <si>
    <t>/content/drive/MyDrive/thesis_project/thesis/outputs/exp04/auc_cascaded_pipeline_20260603_142327.json</t>
  </si>
  <si>
    <t>/content/drive/MyDrive/thesis_project/thesis/outputs/exp04/cascaded_pipeline_results_20260603_142326.xlsx</t>
  </si>
  <si>
    <t>/content/drive/MyDrive/thesis_project/thesis/outputs/exp04/auc_cascaded_pipeline_20260603_142713.json</t>
  </si>
  <si>
    <t>/content/drive/MyDrive/thesis_project/thesis/outputs/exp04/cascaded_pipeline_results_20260603_142712.xlsx</t>
  </si>
  <si>
    <t>/content/drive/MyDrive/thesis_project/thesis/outputs/exp04/auc_cascaded_pipeline_20260603_143047.json</t>
  </si>
  <si>
    <t>/content/drive/MyDrive/thesis_project/thesis/outputs/exp04/cascaded_pipeline_results_20260603_143046.xlsx</t>
  </si>
  <si>
    <t>/content/drive/MyDrive/thesis_project/thesis/outputs/exp04/auc_cascaded_pipeline_20260603_143448.json</t>
  </si>
  <si>
    <t>/content/drive/MyDrive/thesis_project/thesis/outputs/exp04/cascaded_pipeline_results_20260603_143447.xlsx</t>
  </si>
  <si>
    <t>/content/drive/MyDrive/thesis_project/thesis/outputs/exp04/auc_cascaded_pipeline_20260603_143740.json</t>
  </si>
  <si>
    <t>/content/drive/MyDrive/thesis_project/thesis/outputs/exp04/cascaded_pipeline_results_20260603_143739.xlsx</t>
  </si>
  <si>
    <t>/content/drive/MyDrive/thesis_project/thesis/outputs/exp04/auc_cascaded_pipeline_20260603_144044.json</t>
  </si>
  <si>
    <t>/content/drive/MyDrive/thesis_project/thesis/outputs/exp04/cascaded_pipeline_results_20260603_144043.xlsx</t>
  </si>
  <si>
    <t>/content/drive/MyDrive/thesis_project/thesis/outputs/exp04/auc_cascaded_pipeline_20260603_144403.json</t>
  </si>
  <si>
    <t>/content/drive/MyDrive/thesis_project/thesis/outputs/exp04/cascaded_pipeline_results_20260603_144402.xlsx</t>
  </si>
  <si>
    <t>/content/drive/MyDrive/thesis_project/thesis/outputs/exp04/auc_cascaded_pipeline_20260603_144724.json</t>
  </si>
  <si>
    <t>/content/drive/MyDrive/thesis_project/thesis/outputs/exp04/cascaded_pipeline_results_20260603_144723.xlsx</t>
  </si>
  <si>
    <t>/content/drive/MyDrive/thesis_project/thesis/outputs/exp04/auc_cascaded_pipeline_20260603_145017.json</t>
  </si>
  <si>
    <t>/content/drive/MyDrive/thesis_project/thesis/outputs/exp04/cascaded_pipeline_results_20260603_145016.xlsx</t>
  </si>
  <si>
    <t>/content/drive/MyDrive/thesis_project/thesis/outputs/exp04/auc_cascaded_pipeline_20260603_145359.json</t>
  </si>
  <si>
    <t>/content/drive/MyDrive/thesis_project/thesis/outputs/exp04/cascaded_pipeline_results_20260603_145358.xlsx</t>
  </si>
  <si>
    <t>/content/drive/MyDrive/thesis_project/thesis/outputs/exp04/auc_cascaded_pipeline_20260603_145754.json</t>
  </si>
  <si>
    <t>/content/drive/MyDrive/thesis_project/thesis/outputs/exp04/cascaded_pipeline_results_20260603_145752.xlsx</t>
  </si>
  <si>
    <t>/content/drive/MyDrive/thesis_project/thesis/outputs/exp04/auc_cascaded_pipeline_20260603_150043.json</t>
  </si>
  <si>
    <t>/content/drive/MyDrive/thesis_project/thesis/outputs/exp04/cascaded_pipeline_results_20260603_150042.xlsx</t>
  </si>
  <si>
    <t>/content/drive/MyDrive/thesis_project/thesis/outputs/exp04/auc_cascaded_pipeline_20260603_150347.json</t>
  </si>
  <si>
    <t>/content/drive/MyDrive/thesis_project/thesis/outputs/exp04/cascaded_pipeline_results_20260603_150345.xlsx</t>
  </si>
  <si>
    <t>/content/drive/MyDrive/thesis_project/thesis/outputs/exp04/auc_cascaded_pipeline_20260603_150653.json</t>
  </si>
  <si>
    <t>/content/drive/MyDrive/thesis_project/thesis/outputs/exp04/cascaded_pipeline_results_20260603_150652.xlsx</t>
  </si>
  <si>
    <t>/content/drive/MyDrive/thesis_project/thesis/outputs/exp04/auc_cascaded_pipeline_20260603_151007.json</t>
  </si>
  <si>
    <t>/content/drive/MyDrive/thesis_project/thesis/outputs/exp04/cascaded_pipeline_results_20260603_151006.xlsx</t>
  </si>
  <si>
    <t>/content/drive/MyDrive/thesis_project/thesis/outputs/exp04/auc_cascaded_pipeline_20260603_151401.json</t>
  </si>
  <si>
    <t>/content/drive/MyDrive/thesis_project/thesis/outputs/exp04/cascaded_pipeline_results_20260603_151400.xlsx</t>
  </si>
  <si>
    <t>/content/drive/MyDrive/thesis_project/thesis/outputs/exp04/auc_cascaded_pipeline_20260603_151741.json</t>
  </si>
  <si>
    <t>/content/drive/MyDrive/thesis_project/thesis/outputs/exp04/cascaded_pipeline_results_20260603_151740.xlsx</t>
  </si>
  <si>
    <t>/content/drive/MyDrive/thesis_project/thesis/outputs/exp04/auc_cascaded_pipeline_20260603_152122.json</t>
  </si>
  <si>
    <t>/content/drive/MyDrive/thesis_project/thesis/outputs/exp04/cascaded_pipeline_results_20260603_152121.xlsx</t>
  </si>
  <si>
    <t>/content/drive/MyDrive/thesis_project/thesis/outputs/exp04/auc_cascaded_pipeline_20260603_152503.json</t>
  </si>
  <si>
    <t>/content/drive/MyDrive/thesis_project/thesis/outputs/exp04/cascaded_pipeline_results_20260603_152502.xlsx</t>
  </si>
  <si>
    <t>/content/drive/MyDrive/thesis_project/thesis/outputs/exp04/auc_cascaded_pipeline_20260603_152843.json</t>
  </si>
  <si>
    <t>/content/drive/MyDrive/thesis_project/thesis/outputs/exp04/cascaded_pipeline_results_20260603_152842.xlsx</t>
  </si>
  <si>
    <t>/content/drive/MyDrive/thesis_project/thesis/outputs/exp04/auc_cascaded_pipeline_20260603_153236.json</t>
  </si>
  <si>
    <t>/content/drive/MyDrive/thesis_project/thesis/outputs/exp04/cascaded_pipeline_results_20260603_153235.xlsx</t>
  </si>
  <si>
    <t>/content/drive/MyDrive/thesis_project/thesis/outputs/exp04/auc_cascaded_pipeline_20260603_153549.json</t>
  </si>
  <si>
    <t>/content/drive/MyDrive/thesis_project/thesis/outputs/exp04/cascaded_pipeline_results_20260603_153548.xlsx</t>
  </si>
  <si>
    <t>/content/drive/MyDrive/thesis_project/thesis/outputs/exp04/auc_cascaded_pipeline_20260603_153943.json</t>
  </si>
  <si>
    <t>/content/drive/MyDrive/thesis_project/thesis/outputs/exp04/cascaded_pipeline_results_20260603_153942.xlsx</t>
  </si>
  <si>
    <t>/content/drive/MyDrive/thesis_project/thesis/outputs/exp04/auc_cascaded_pipeline_20260603_154258.json</t>
  </si>
  <si>
    <t>/content/drive/MyDrive/thesis_project/thesis/outputs/exp04/cascaded_pipeline_results_20260603_154257.xlsx</t>
  </si>
  <si>
    <t>/content/drive/MyDrive/thesis_project/thesis/outputs/exp04/auc_cascaded_pipeline_20260603_154600.json</t>
  </si>
  <si>
    <t>/content/drive/MyDrive/thesis_project/thesis/outputs/exp04/cascaded_pipeline_results_20260603_154558.xlsx</t>
  </si>
  <si>
    <t>/content/drive/MyDrive/thesis_project/thesis/outputs/exp04/auc_cascaded_pipeline_20260603_154954.json</t>
  </si>
  <si>
    <t>/content/drive/MyDrive/thesis_project/thesis/outputs/exp04/cascaded_pipeline_results_20260603_154953.xlsx</t>
  </si>
  <si>
    <t>/content/drive/MyDrive/thesis_project/thesis/outputs/exp04/auc_cascaded_pipeline_20260603_194610.json</t>
  </si>
  <si>
    <t>/content/drive/MyDrive/thesis_project/thesis/outputs/exp04/cascaded_pipeline_results_20260603_194607.xlsx</t>
  </si>
  <si>
    <t>/content/drive/MyDrive/thesis_project/thesis/outputs/exp04/auc_cascaded_pipeline_20260603_195001.json</t>
  </si>
  <si>
    <t>/content/drive/MyDrive/thesis_project/thesis/outputs/exp04/cascaded_pipeline_results_20260603_195000.xlsx</t>
  </si>
  <si>
    <t>/content/drive/MyDrive/thesis_project/thesis/outputs/exp04/auc_cascaded_pipeline_20260603_195351.json</t>
  </si>
  <si>
    <t>/content/drive/MyDrive/thesis_project/thesis/outputs/exp04/cascaded_pipeline_results_20260603_195349.xlsx</t>
  </si>
  <si>
    <t>/content/drive/MyDrive/thesis_project/thesis/outputs/exp05_ready/cascaded_step3_consistent_ready_20260603_195516.json</t>
  </si>
  <si>
    <t>/content/drive/MyDrive/thesis_project/thesis/outputs/exp05_ready/cascaded_step3_consistent_ready_results_20260603_195515.xlsx</t>
  </si>
  <si>
    <t>/content/drive/MyDrive/thesis_project/thesis/outputs/exp05_ready/cascaded_step3_consistent_ready_20260603_195520.json</t>
  </si>
  <si>
    <t>/content/drive/MyDrive/thesis_project/thesis/outputs/exp05_ready/cascaded_step3_consistent_ready_results_20260603_195520.xlsx</t>
  </si>
  <si>
    <t>/content/drive/MyDrive/thesis_project/thesis/outputs/exp05_ready/cascaded_step3_consistent_ready_20260603_195521.json</t>
  </si>
  <si>
    <t>/content/drive/MyDrive/thesis_project/thesis/outputs/exp05_ready/cascaded_step3_consistent_ready_results_20260603_195521.xlsx</t>
  </si>
  <si>
    <t>/content/drive/MyDrive/thesis_project/thesis/outputs/exp05_ready/cascaded_step3_consistent_ready_20260603_195523.json</t>
  </si>
  <si>
    <t>/content/drive/MyDrive/thesis_project/thesis/outputs/exp05_ready/cascaded_step3_consistent_ready_results_20260603_195523.xlsx</t>
  </si>
  <si>
    <t>/content/drive/MyDrive/thesis_project/thesis/outputs/exp05_ready/cascaded_step3_consistent_ready_20260603_195525.json</t>
  </si>
  <si>
    <t>/content/drive/MyDrive/thesis_project/thesis/outputs/exp05_ready/cascaded_step3_consistent_ready_results_20260603_195524.xlsx</t>
  </si>
  <si>
    <t>/content/drive/MyDrive/thesis_project/thesis/outputs/exp05_ready/cascaded_step3_consistent_ready_20260603_195526.json</t>
  </si>
  <si>
    <t>/content/drive/MyDrive/thesis_project/thesis/outputs/exp05_ready/cascaded_step3_consistent_ready_results_20260603_195526.xlsx</t>
  </si>
  <si>
    <t>/content/drive/MyDrive/thesis_project/thesis/outputs/exp05_ready/cascaded_step3_consistent_ready_20260603_195528.json</t>
  </si>
  <si>
    <t>/content/drive/MyDrive/thesis_project/thesis/outputs/exp05_ready/cascaded_step3_consistent_ready_results_20260603_195527.xlsx</t>
  </si>
  <si>
    <t>/content/drive/MyDrive/thesis_project/thesis/outputs/exp05_ready/cascaded_step3_consistent_ready_20260603_195529.json</t>
  </si>
  <si>
    <t>/content/drive/MyDrive/thesis_project/thesis/outputs/exp05_ready/cascaded_step3_consistent_ready_results_20260603_195529.xlsx</t>
  </si>
  <si>
    <t>/content/drive/MyDrive/thesis_project/thesis/outputs/exp05_ready/cascaded_step3_consistent_ready_20260603_195531.json</t>
  </si>
  <si>
    <t>/content/drive/MyDrive/thesis_project/thesis/outputs/exp05_ready/cascaded_step3_consistent_ready_results_20260603_195530.xlsx</t>
  </si>
  <si>
    <t>/content/drive/MyDrive/thesis_project/thesis/outputs/exp05_ready/cascaded_step3_consistent_ready_20260603_195532.json</t>
  </si>
  <si>
    <t>/content/drive/MyDrive/thesis_project/thesis/outputs/exp05_ready/cascaded_step3_consistent_ready_results_20260603_195532.xlsx</t>
  </si>
  <si>
    <t>/content/drive/MyDrive/thesis_project/thesis/outputs/exp05_ready/cascaded_step3_consistent_ready_20260603_195534.json</t>
  </si>
  <si>
    <t>/content/drive/MyDrive/thesis_project/thesis/outputs/exp05_ready/cascaded_step3_consistent_ready_results_20260603_195534.xlsx</t>
  </si>
  <si>
    <t>/content/drive/MyDrive/thesis_project/thesis/outputs/exp05_ready/cascaded_step3_consistent_ready_20260603_195535.json</t>
  </si>
  <si>
    <t>/content/drive/MyDrive/thesis_project/thesis/outputs/exp05_ready/cascaded_step3_consistent_ready_results_20260603_195535.xlsx</t>
  </si>
  <si>
    <t>/content/drive/MyDrive/thesis_project/thesis/outputs/exp05_ready/cascaded_step3_consistent_ready_20260603_195537.json</t>
  </si>
  <si>
    <t>/content/drive/MyDrive/thesis_project/thesis/outputs/exp05_ready/cascaded_step3_consistent_ready_results_20260603_195537.xlsx</t>
  </si>
  <si>
    <t>/content/drive/MyDrive/thesis_project/thesis/outputs/exp05_ready/cascaded_step3_consistent_ready_20260603_195538.json</t>
  </si>
  <si>
    <t>/content/drive/MyDrive/thesis_project/thesis/outputs/exp05_ready/cascaded_step3_consistent_ready_results_20260603_195538.xlsx</t>
  </si>
  <si>
    <t>/content/drive/MyDrive/thesis_project/thesis/outputs/exp05_ready/cascaded_step3_consistent_ready_20260603_195540.json</t>
  </si>
  <si>
    <t>/content/drive/MyDrive/thesis_project/thesis/outputs/exp05_ready/cascaded_step3_consistent_ready_results_20260603_195539.xlsx</t>
  </si>
  <si>
    <t>/content/drive/MyDrive/thesis_project/thesis/outputs/exp05_ready/cascaded_step3_consistent_ready_20260603_195541.json</t>
  </si>
  <si>
    <t>/content/drive/MyDrive/thesis_project/thesis/outputs/exp05_ready/cascaded_step3_consistent_ready_results_20260603_195541.xlsx</t>
  </si>
  <si>
    <t>/content/drive/MyDrive/thesis_project/thesis/outputs/exp05_ready/cascaded_step3_consistent_ready_20260603_195543.json</t>
  </si>
  <si>
    <t>/content/drive/MyDrive/thesis_project/thesis/outputs/exp05_ready/cascaded_step3_consistent_ready_results_20260603_195543.xlsx</t>
  </si>
  <si>
    <t>/content/drive/MyDrive/thesis_project/thesis/outputs/exp05_ready/cascaded_step3_consistent_ready_20260603_195544.json</t>
  </si>
  <si>
    <t>/content/drive/MyDrive/thesis_project/thesis/outputs/exp05_ready/cascaded_step3_consistent_ready_results_20260603_195544.xlsx</t>
  </si>
  <si>
    <t>/content/drive/MyDrive/thesis_project/thesis/outputs/exp05_ready/cascaded_step3_consistent_ready_20260603_195546.json</t>
  </si>
  <si>
    <t>/content/drive/MyDrive/thesis_project/thesis/outputs/exp05_ready/cascaded_step3_consistent_ready_results_20260603_195546.xlsx</t>
  </si>
  <si>
    <t>/content/drive/MyDrive/thesis_project/thesis/outputs/exp05_ready/cascaded_step3_consistent_ready_20260603_195547.json</t>
  </si>
  <si>
    <t>/content/drive/MyDrive/thesis_project/thesis/outputs/exp05_ready/cascaded_step3_consistent_ready_results_20260603_195547.xlsx</t>
  </si>
  <si>
    <t>/content/drive/MyDrive/thesis_project/thesis/outputs/exp05_ready/cascaded_step3_consistent_ready_20260603_195549.json</t>
  </si>
  <si>
    <t>/content/drive/MyDrive/thesis_project/thesis/outputs/exp05_ready/cascaded_step3_consistent_ready_results_20260603_195548.xlsx</t>
  </si>
  <si>
    <t>/content/drive/MyDrive/thesis_project/thesis/outputs/exp05_ready/cascaded_step3_consistent_ready_20260603_195550.json</t>
  </si>
  <si>
    <t>/content/drive/MyDrive/thesis_project/thesis/outputs/exp05_ready/cascaded_step3_consistent_ready_results_20260603_195550.xlsx</t>
  </si>
  <si>
    <t>/content/drive/MyDrive/thesis_project/thesis/outputs/exp05_ready/cascaded_step3_consistent_ready_20260603_195552.json</t>
  </si>
  <si>
    <t>/content/drive/MyDrive/thesis_project/thesis/outputs/exp05_ready/cascaded_step3_consistent_ready_results_20260603_195552.xlsx</t>
  </si>
  <si>
    <t>/content/drive/MyDrive/thesis_project/thesis/outputs/exp05_ready/cascaded_step3_consistent_ready_20260603_195553.json</t>
  </si>
  <si>
    <t>/content/drive/MyDrive/thesis_project/thesis/outputs/exp05_ready/cascaded_step3_consistent_ready_results_20260603_195553.xlsx</t>
  </si>
  <si>
    <t>/content/drive/MyDrive/thesis_project/thesis/outputs/exp05_ready/cascaded_step3_consistent_ready_20260603_195554.json</t>
  </si>
  <si>
    <t>/content/drive/MyDrive/thesis_project/thesis/outputs/exp05_ready/cascaded_step3_consistent_ready_results_20260603_195554.xlsx</t>
  </si>
  <si>
    <t>/content/drive/MyDrive/thesis_project/thesis/outputs/exp05_ready/cascaded_step3_consistent_ready_20260603_195556.json</t>
  </si>
  <si>
    <t>/content/drive/MyDrive/thesis_project/thesis/outputs/exp05_ready/cascaded_step3_consistent_ready_results_20260603_195556.xlsx</t>
  </si>
  <si>
    <t>/content/drive/MyDrive/thesis_project/thesis/outputs/exp05_ready/cascaded_step3_consistent_ready_20260603_195558.json</t>
  </si>
  <si>
    <t>/content/drive/MyDrive/thesis_project/thesis/outputs/exp05_ready/cascaded_step3_consistent_ready_results_20260603_195558.xlsx</t>
  </si>
  <si>
    <t>/content/drive/MyDrive/thesis_project/thesis/outputs/exp05_ready/cascaded_step3_consistent_ready_20260603_195559.json</t>
  </si>
  <si>
    <t>/content/drive/MyDrive/thesis_project/thesis/outputs/exp05_ready/cascaded_step3_consistent_ready_results_20260603_195559.xlsx</t>
  </si>
  <si>
    <t>/content/drive/MyDrive/thesis_project/thesis/outputs/exp05_ready/cascaded_step3_consistent_ready_20260603_195601.json</t>
  </si>
  <si>
    <t>/content/drive/MyDrive/thesis_project/thesis/outputs/exp05_ready/cascaded_step3_consistent_ready_results_20260603_195601.xlsx</t>
  </si>
  <si>
    <t>/content/drive/MyDrive/thesis_project/thesis/outputs/exp05_ready/cascaded_step3_consistent_ready_20260603_195602.json</t>
  </si>
  <si>
    <t>/content/drive/MyDrive/thesis_project/thesis/outputs/exp05_ready/cascaded_step3_consistent_ready_results_20260603_195602.xlsx</t>
  </si>
  <si>
    <t>/content/drive/MyDrive/thesis_project/thesis/outputs/exp05_ready/cascaded_step3_consistent_ready_20260603_195604.json</t>
  </si>
  <si>
    <t>/content/drive/MyDrive/thesis_project/thesis/outputs/exp05_ready/cascaded_step3_consistent_ready_results_20260603_195603.xlsx</t>
  </si>
  <si>
    <t>/content/drive/MyDrive/thesis_project/thesis/outputs/exp05_ready/cascaded_step3_consistent_ready_20260603_195605.json</t>
  </si>
  <si>
    <t>/content/drive/MyDrive/thesis_project/thesis/outputs/exp05_ready/cascaded_step3_consistent_ready_results_20260603_195605.xlsx</t>
  </si>
  <si>
    <t>/content/drive/MyDrive/thesis_project/thesis/outputs/exp05_ready/cascaded_step3_consistent_ready_20260603_195606.json</t>
  </si>
  <si>
    <t>/content/drive/MyDrive/thesis_project/thesis/outputs/exp05_ready/cascaded_step3_consistent_ready_results_20260603_195606.xlsx</t>
  </si>
  <si>
    <t>/content/drive/MyDrive/thesis_project/thesis/outputs/exp05_ready/cascaded_step3_consistent_ready_20260603_195608.json</t>
  </si>
  <si>
    <t>/content/drive/MyDrive/thesis_project/thesis/outputs/exp05_ready/cascaded_step3_consistent_ready_results_20260603_195607.xlsx</t>
  </si>
  <si>
    <t>/content/drive/MyDrive/thesis_project/thesis/outputs/exp05_ready/cascaded_step3_consistent_ready_20260603_195609.json</t>
  </si>
  <si>
    <t>/content/drive/MyDrive/thesis_project/thesis/outputs/exp05_ready/cascaded_step3_consistent_ready_results_20260603_195609.xlsx</t>
  </si>
  <si>
    <t>/content/drive/MyDrive/thesis_project/thesis/outputs/exp05_ready/cascaded_step3_consistent_ready_20260603_195611.json</t>
  </si>
  <si>
    <t>/content/drive/MyDrive/thesis_project/thesis/outputs/exp05_ready/cascaded_step3_consistent_ready_results_20260603_195610.xlsx</t>
  </si>
  <si>
    <t>/content/drive/MyDrive/thesis_project/thesis/outputs/exp05_ready/cascaded_step3_consistent_ready_20260603_195612.json</t>
  </si>
  <si>
    <t>/content/drive/MyDrive/thesis_project/thesis/outputs/exp05_ready/cascaded_step3_consistent_ready_results_20260603_195612.xlsx</t>
  </si>
  <si>
    <t>/content/drive/MyDrive/thesis_project/thesis/outputs/exp05_ready/cascaded_step3_consistent_ready_20260603_195614.json</t>
  </si>
  <si>
    <t>/content/drive/MyDrive/thesis_project/thesis/outputs/exp05_ready/cascaded_step3_consistent_ready_results_20260603_195613.xlsx</t>
  </si>
  <si>
    <t>/content/drive/MyDrive/thesis_project/thesis/outputs/exp05_ready/cascaded_step3_consistent_ready_20260603_195615.json</t>
  </si>
  <si>
    <t>/content/drive/MyDrive/thesis_project/thesis/outputs/exp05_ready/cascaded_step3_consistent_ready_results_20260603_195615.xlsx</t>
  </si>
  <si>
    <t>/content/drive/MyDrive/thesis_project/thesis/outputs/exp05_ready/cascaded_step3_consistent_ready_20260603_195616.json</t>
  </si>
  <si>
    <t>/content/drive/MyDrive/thesis_project/thesis/outputs/exp05_ready/cascaded_step3_consistent_ready_results_20260603_195616.xlsx</t>
  </si>
  <si>
    <t>/content/drive/MyDrive/thesis_project/thesis/outputs/exp05_ready/cascaded_step3_consistent_ready_20260603_195618.json</t>
  </si>
  <si>
    <t>/content/drive/MyDrive/thesis_project/thesis/outputs/exp05_ready/cascaded_step3_consistent_ready_results_20260603_195617.xlsx</t>
  </si>
  <si>
    <t>/content/drive/MyDrive/thesis_project/thesis/outputs/exp05_ready/cascaded_step3_consistent_ready_20260603_195619.json</t>
  </si>
  <si>
    <t>/content/drive/MyDrive/thesis_project/thesis/outputs/exp05_ready/cascaded_step3_consistent_ready_results_20260603_195619.xlsx</t>
  </si>
  <si>
    <t>/content/drive/MyDrive/thesis_project/thesis/outputs/exp05_ready/cascaded_step3_consistent_ready_20260603_195621.json</t>
  </si>
  <si>
    <t>/content/drive/MyDrive/thesis_project/thesis/outputs/exp05_ready/cascaded_step3_consistent_ready_results_20260603_195621.xlsx</t>
  </si>
  <si>
    <t>/content/drive/MyDrive/thesis_project/thesis/outputs/exp05_ready/cascaded_step3_consistent_ready_20260603_195622.json</t>
  </si>
  <si>
    <t>/content/drive/MyDrive/thesis_project/thesis/outputs/exp05_ready/cascaded_step3_consistent_ready_results_20260603_195622.xlsx</t>
  </si>
  <si>
    <t>/content/drive/MyDrive/thesis_project/thesis/outputs/exp05_ready/cascaded_step3_consistent_ready_20260603_195624.json</t>
  </si>
  <si>
    <t>/content/drive/MyDrive/thesis_project/thesis/outputs/exp05_ready/cascaded_step3_consistent_ready_results_20260603_195624.xlsx</t>
  </si>
  <si>
    <t>/content/drive/MyDrive/thesis_project/thesis/outputs/exp05_ready/cascaded_step3_consistent_ready_20260603_195625.json</t>
  </si>
  <si>
    <t>/content/drive/MyDrive/thesis_project/thesis/outputs/exp05_ready/cascaded_step3_consistent_ready_results_20260603_195625.xlsx</t>
  </si>
  <si>
    <t>/content/drive/MyDrive/thesis_project/thesis/outputs/exp05_ready/cascaded_step3_consistent_ready_20260603_195627.json</t>
  </si>
  <si>
    <t>/content/drive/MyDrive/thesis_project/thesis/outputs/exp05_ready/cascaded_step3_consistent_ready_results_20260603_195626.xlsx</t>
  </si>
  <si>
    <t>/content/drive/MyDrive/thesis_project/thesis/outputs/exp05_ready/cascaded_step3_consistent_ready_20260603_195629.json</t>
  </si>
  <si>
    <t>/content/drive/MyDrive/thesis_project/thesis/outputs/exp05_ready/cascaded_step3_consistent_ready_results_20260603_195628.xlsx</t>
  </si>
  <si>
    <t>/content/drive/MyDrive/thesis_project/thesis/outputs/exp05_ready/cascaded_step3_consistent_ready_20260603_195630.json</t>
  </si>
  <si>
    <t>/content/drive/MyDrive/thesis_project/thesis/outputs/exp05_ready/cascaded_step3_consistent_ready_results_20260603_195630.xlsx</t>
  </si>
  <si>
    <t>/content/drive/MyDrive/thesis_project/thesis/outputs/exp05_ready/cascaded_step3_consistent_ready_20260603_195632.json</t>
  </si>
  <si>
    <t>/content/drive/MyDrive/thesis_project/thesis/outputs/exp05_ready/cascaded_step3_consistent_ready_results_20260603_195631.xlsx</t>
  </si>
  <si>
    <t>/content/drive/MyDrive/thesis_project/thesis/outputs/exp05_ready/cascaded_step3_consistent_ready_20260603_195634.json</t>
  </si>
  <si>
    <t>/content/drive/MyDrive/thesis_project/thesis/outputs/exp05_ready/cascaded_step3_consistent_ready_results_20260603_195634.xlsx</t>
  </si>
  <si>
    <t>/content/drive/MyDrive/thesis_project/thesis/outputs/exp05_ready/cascaded_step3_consistent_ready_20260603_195635.json</t>
  </si>
  <si>
    <t>/content/drive/MyDrive/thesis_project/thesis/outputs/exp05_ready/cascaded_step3_consistent_ready_results_20260603_195635.xlsx</t>
  </si>
  <si>
    <t>/content/drive/MyDrive/thesis_project/thesis/outputs/exp05_ready/cascaded_step3_consistent_ready_20260603_195637.json</t>
  </si>
  <si>
    <t>/content/drive/MyDrive/thesis_project/thesis/outputs/exp05_ready/cascaded_step3_consistent_ready_results_20260603_195637.xlsx</t>
  </si>
  <si>
    <t>/content/drive/MyDrive/thesis_project/thesis/outputs/exp05_ready/cascaded_step3_consistent_ready_20260603_195638.json</t>
  </si>
  <si>
    <t>/content/drive/MyDrive/thesis_project/thesis/outputs/exp05_ready/cascaded_step3_consistent_ready_results_20260603_195638.xlsx</t>
  </si>
  <si>
    <t>/content/drive/MyDrive/thesis_project/thesis/outputs/exp05_ready/cascaded_step3_consistent_ready_20260603_195640.json</t>
  </si>
  <si>
    <t>/content/drive/MyDrive/thesis_project/thesis/outputs/exp05_ready/cascaded_step3_consistent_ready_results_20260603_195640.xlsx</t>
  </si>
  <si>
    <t>/content/drive/MyDrive/thesis_project/thesis/outputs/exp05_ready/cascaded_step3_consistent_ready_20260603_195642.json</t>
  </si>
  <si>
    <t>/content/drive/MyDrive/thesis_project/thesis/outputs/exp05_ready/cascaded_step3_consistent_ready_results_20260603_195641.xlsx</t>
  </si>
  <si>
    <t>/content/drive/MyDrive/thesis_project/thesis/outputs/exp05_ready/cascaded_step3_consistent_ready_20260603_195643.json</t>
  </si>
  <si>
    <t>/content/drive/MyDrive/thesis_project/thesis/outputs/exp05_ready/cascaded_step3_consistent_ready_results_20260603_195643.xlsx</t>
  </si>
  <si>
    <t>/content/drive/MyDrive/thesis_project/thesis/outputs/exp05_ready/cascaded_step3_consistent_ready_20260603_195645.json</t>
  </si>
  <si>
    <t>/content/drive/MyDrive/thesis_project/thesis/outputs/exp05_ready/cascaded_step3_consistent_ready_results_20260603_195644.xlsx</t>
  </si>
  <si>
    <t>/content/drive/MyDrive/thesis_project/thesis/outputs/exp05_ready/cascaded_step3_consistent_ready_20260603_195646.json</t>
  </si>
  <si>
    <t>/content/drive/MyDrive/thesis_project/thesis/outputs/exp05_ready/cascaded_step3_consistent_ready_results_20260603_195646.xlsx</t>
  </si>
  <si>
    <t>/content/drive/MyDrive/thesis_project/thesis/outputs/exp05_ready/cascaded_step3_consistent_ready_20260603_195647.json</t>
  </si>
  <si>
    <t>/content/drive/MyDrive/thesis_project/thesis/outputs/exp05_ready/cascaded_step3_consistent_ready_results_20260603_195647.xlsx</t>
  </si>
  <si>
    <t>/content/drive/MyDrive/thesis_project/thesis/outputs/exp05_ready/cascaded_step3_consistent_ready_20260603_195649.json</t>
  </si>
  <si>
    <t>/content/drive/MyDrive/thesis_project/thesis/outputs/exp05_ready/cascaded_step3_consistent_ready_results_20260603_195649.xlsx</t>
  </si>
  <si>
    <t>/content/drive/MyDrive/thesis_project/thesis/outputs/exp05_ready/cascaded_step3_consistent_ready_20260603_195651.json</t>
  </si>
  <si>
    <t>/content/drive/MyDrive/thesis_project/thesis/outputs/exp05_ready/cascaded_step3_consistent_ready_results_20260603_195650.xlsx</t>
  </si>
  <si>
    <t>/content/drive/MyDrive/thesis_project/thesis/outputs/exp05_ready/cascaded_step3_consistent_ready_20260603_195652.json</t>
  </si>
  <si>
    <t>/content/drive/MyDrive/thesis_project/thesis/outputs/exp05_ready/cascaded_step3_consistent_ready_results_20260603_195652.xlsx</t>
  </si>
  <si>
    <t>/content/drive/MyDrive/thesis_project/thesis/outputs/exp05_ready/cascaded_step3_consistent_ready_20260603_195654.json</t>
  </si>
  <si>
    <t>/content/drive/MyDrive/thesis_project/thesis/outputs/exp05_ready/cascaded_step3_consistent_ready_results_20260603_195653.xlsx</t>
  </si>
  <si>
    <t>/content/drive/MyDrive/thesis_project/thesis/outputs/exp05_ready/cascaded_step3_consistent_ready_20260603_195655.json</t>
  </si>
  <si>
    <t>/content/drive/MyDrive/thesis_project/thesis/outputs/exp05_ready/cascaded_step3_consistent_ready_results_20260603_195655.xlsx</t>
  </si>
  <si>
    <t>/content/drive/MyDrive/thesis_project/thesis/outputs/exp05_ready/cascaded_step3_consistent_ready_20260603_195656.json</t>
  </si>
  <si>
    <t>/content/drive/MyDrive/thesis_project/thesis/outputs/exp05_ready/cascaded_step3_consistent_ready_results_20260603_195656.xlsx</t>
  </si>
  <si>
    <t>/content/drive/MyDrive/thesis_project/thesis/outputs/exp05_ready/cascaded_step3_consistent_ready_20260603_195658.json</t>
  </si>
  <si>
    <t>/content/drive/MyDrive/thesis_project/thesis/outputs/exp05_ready/cascaded_step3_consistent_ready_results_20260603_195658.xlsx</t>
  </si>
  <si>
    <t>/content/drive/MyDrive/thesis_project/thesis/outputs/exp05_ready/cascaded_step3_consistent_ready_20260603_195700.json</t>
  </si>
  <si>
    <t>/content/drive/MyDrive/thesis_project/thesis/outputs/exp05_ready/cascaded_step3_consistent_ready_results_20260603_195659.xlsx</t>
  </si>
  <si>
    <t>/content/drive/MyDrive/thesis_project/thesis/outputs/exp05_ready/cascaded_step3_consistent_ready_20260603_195701.json</t>
  </si>
  <si>
    <t>/content/drive/MyDrive/thesis_project/thesis/outputs/exp05_ready/cascaded_step3_consistent_ready_results_20260603_195701.xlsx</t>
  </si>
  <si>
    <t>/content/drive/MyDrive/thesis_project/thesis/outputs/exp05_ready/cascaded_step3_consistent_ready_20260603_195702.json</t>
  </si>
  <si>
    <t>/content/drive/MyDrive/thesis_project/thesis/outputs/exp05_ready/cascaded_step3_consistent_ready_results_20260603_195702.xlsx</t>
  </si>
  <si>
    <t>/content/drive/MyDrive/thesis_project/thesis/outputs/exp05_ready/cascaded_step3_consistent_ready_20260603_195704.json</t>
  </si>
  <si>
    <t>/content/drive/MyDrive/thesis_project/thesis/outputs/exp05_ready/cascaded_step3_consistent_ready_results_20260603_195704.xlsx</t>
  </si>
  <si>
    <t>/content/drive/MyDrive/thesis_project/thesis/outputs/exp05_ready/cascaded_step3_consistent_ready_20260603_195706.json</t>
  </si>
  <si>
    <t>/content/drive/MyDrive/thesis_project/thesis/outputs/exp05_ready/cascaded_step3_consistent_ready_results_20260603_195705.xlsx</t>
  </si>
  <si>
    <t>/content/drive/MyDrive/thesis_project/thesis/outputs/exp05_ready/cascaded_step3_consistent_ready_20260603_195707.json</t>
  </si>
  <si>
    <t>/content/drive/MyDrive/thesis_project/thesis/outputs/exp05_ready/cascaded_step3_consistent_ready_results_20260603_195707.xlsx</t>
  </si>
  <si>
    <t>/content/drive/MyDrive/thesis_project/thesis/outputs/exp05_ready/cascaded_step3_consistent_ready_20260603_195708.json</t>
  </si>
  <si>
    <t>/content/drive/MyDrive/thesis_project/thesis/outputs/exp05_ready/cascaded_step3_consistent_ready_results_20260603_195708.xlsx</t>
  </si>
  <si>
    <t>/content/drive/MyDrive/thesis_project/thesis/outputs/exp05_ready/cascaded_step3_consistent_ready_20260603_195710.json</t>
  </si>
  <si>
    <t>/content/drive/MyDrive/thesis_project/thesis/outputs/exp05_ready/cascaded_step3_consistent_ready_results_20260603_195710.xlsx</t>
  </si>
  <si>
    <t>/content/drive/MyDrive/thesis_project/thesis/outputs/exp05_ready/cascaded_step3_consistent_ready_20260603_195712.json</t>
  </si>
  <si>
    <t>/content/drive/MyDrive/thesis_project/thesis/outputs/exp05_ready/cascaded_step3_consistent_ready_results_20260603_195711.xlsx</t>
  </si>
  <si>
    <t>/content/drive/MyDrive/thesis_project/thesis/outputs/exp05_ready/cascaded_step3_consistent_ready_20260603_195713.json</t>
  </si>
  <si>
    <t>/content/drive/MyDrive/thesis_project/thesis/outputs/exp05_ready/cascaded_step3_consistent_ready_results_20260603_195713.xlsx</t>
  </si>
  <si>
    <t>/content/drive/MyDrive/thesis_project/thesis/outputs/exp05_ready/cascaded_step3_consistent_ready_20260603_195714.json</t>
  </si>
  <si>
    <t>/content/drive/MyDrive/thesis_project/thesis/outputs/exp05_ready/cascaded_step3_consistent_ready_results_20260603_195714.xlsx</t>
  </si>
  <si>
    <t>/content/drive/MyDrive/thesis_project/thesis/outputs/exp05_ready/cascaded_step3_consistent_ready_20260603_195716.json</t>
  </si>
  <si>
    <t>/content/drive/MyDrive/thesis_project/thesis/outputs/exp05_ready/cascaded_step3_consistent_ready_results_20260603_195716.xlsx</t>
  </si>
  <si>
    <t>/content/drive/MyDrive/thesis_project/thesis/outputs/exp05_ready/cascaded_step3_consistent_ready_20260603_195718.json</t>
  </si>
  <si>
    <t>/content/drive/MyDrive/thesis_project/thesis/outputs/exp05_ready/cascaded_step3_consistent_ready_results_20260603_195717.xlsx</t>
  </si>
  <si>
    <t>/content/drive/MyDrive/thesis_project/thesis/outputs/exp05_ready/cascaded_step3_consistent_ready_20260603_195719.json</t>
  </si>
  <si>
    <t>/content/drive/MyDrive/thesis_project/thesis/outputs/exp05_ready/cascaded_step3_consistent_ready_results_20260603_195719.xlsx</t>
  </si>
  <si>
    <t>/content/drive/MyDrive/thesis_project/thesis/outputs/exp05_ready/cascaded_step3_consistent_ready_20260603_195721.json</t>
  </si>
  <si>
    <t>/content/drive/MyDrive/thesis_project/thesis/outputs/exp05_ready/cascaded_step3_consistent_ready_results_20260603_195721.xlsx</t>
  </si>
  <si>
    <t>/content/drive/MyDrive/thesis_project/thesis/outputs/exp05_ready/cascaded_step3_consistent_ready_20260603_195722.json</t>
  </si>
  <si>
    <t>/content/drive/MyDrive/thesis_project/thesis/outputs/exp05_ready/cascaded_step3_consistent_ready_results_20260603_195722.xlsx</t>
  </si>
  <si>
    <t>/content/drive/MyDrive/thesis_project/thesis/outputs/exp05_ready/cascaded_step3_consistent_ready_20260603_195724.json</t>
  </si>
  <si>
    <t>/content/drive/MyDrive/thesis_project/thesis/outputs/exp05_ready/cascaded_step3_consistent_ready_results_20260603_195724.xlsx</t>
  </si>
  <si>
    <t>/content/drive/MyDrive/thesis_project/thesis/outputs/exp05_ready/cascaded_step3_consistent_ready_20260603_195725.json</t>
  </si>
  <si>
    <t>/content/drive/MyDrive/thesis_project/thesis/outputs/exp05_ready/cascaded_step3_consistent_ready_results_20260603_195725.xlsx</t>
  </si>
  <si>
    <t>/content/drive/MyDrive/thesis_project/thesis/outputs/exp05_ready/cascaded_step3_consistent_ready_20260603_195727.json</t>
  </si>
  <si>
    <t>/content/drive/MyDrive/thesis_project/thesis/outputs/exp05_ready/cascaded_step3_consistent_ready_results_20260603_195726.xlsx</t>
  </si>
  <si>
    <t>/content/drive/MyDrive/thesis_project/thesis/outputs/exp05_ready/cascaded_step3_consistent_ready_20260603_195728.json</t>
  </si>
  <si>
    <t>/content/drive/MyDrive/thesis_project/thesis/outputs/exp05_ready/cascaded_step3_consistent_ready_results_20260603_195728.xlsx</t>
  </si>
  <si>
    <t>/content/drive/MyDrive/thesis_project/thesis/outputs/exp05_ready/cascaded_step3_consistent_ready_20260603_195730.json</t>
  </si>
  <si>
    <t>/content/drive/MyDrive/thesis_project/thesis/outputs/exp05_ready/cascaded_step3_consistent_ready_results_20260603_195729.xlsx</t>
  </si>
  <si>
    <t>/content/drive/MyDrive/thesis_project/thesis/outputs/exp05_ready/cascaded_step3_consistent_ready_20260603_195731.json</t>
  </si>
  <si>
    <t>/content/drive/MyDrive/thesis_project/thesis/outputs/exp05_ready/cascaded_step3_consistent_ready_results_20260603_195731.xlsx</t>
  </si>
  <si>
    <t>/content/drive/MyDrive/thesis_project/thesis/outputs/exp05_ready/cascaded_step3_consistent_ready_20260603_195732.json</t>
  </si>
  <si>
    <t>/content/drive/MyDrive/thesis_project/thesis/outputs/exp05_ready/cascaded_step3_consistent_ready_results_20260603_195732.xlsx</t>
  </si>
  <si>
    <t>/content/drive/MyDrive/thesis_project/thesis/outputs/exp05_ready/cascaded_step3_consistent_ready_20260603_195734.json</t>
  </si>
  <si>
    <t>/content/drive/MyDrive/thesis_project/thesis/outputs/exp05_ready/cascaded_step3_consistent_ready_results_20260603_195733.xlsx</t>
  </si>
  <si>
    <t>/content/drive/MyDrive/thesis_project/thesis/outputs/exp05_ready/cascaded_step3_consistent_ready_20260603_195735.json</t>
  </si>
  <si>
    <t>/content/drive/MyDrive/thesis_project/thesis/outputs/exp05_ready/cascaded_step3_consistent_ready_results_20260603_195735.xlsx</t>
  </si>
  <si>
    <t>/content/drive/MyDrive/thesis_project/thesis/outputs/exp05_ready/cascaded_step3_consistent_ready_20260603_195736.json</t>
  </si>
  <si>
    <t>/content/drive/MyDrive/thesis_project/thesis/outputs/exp05_ready/cascaded_step3_consistent_ready_results_20260603_195736.xlsx</t>
  </si>
  <si>
    <t>/content/drive/MyDrive/thesis_project/thesis/outputs/exp05_ready/cascaded_step3_consistent_ready_20260603_195738.json</t>
  </si>
  <si>
    <t>/content/drive/MyDrive/thesis_project/thesis/outputs/exp05_ready/cascaded_step3_consistent_ready_results_20260603_195738.xlsx</t>
  </si>
  <si>
    <t>/content/drive/MyDrive/thesis_project/thesis/outputs/exp05_ready/cascaded_step3_consistent_ready_20260603_195740.json</t>
  </si>
  <si>
    <t>/content/drive/MyDrive/thesis_project/thesis/outputs/exp05_ready/cascaded_step3_consistent_ready_results_20260603_195739.xlsx</t>
  </si>
  <si>
    <t>/content/drive/MyDrive/thesis_project/thesis/outputs/exp05_ready/cascaded_step3_consistent_ready_20260603_195741.json</t>
  </si>
  <si>
    <t>/content/drive/MyDrive/thesis_project/thesis/outputs/exp05_ready/cascaded_step3_consistent_ready_results_20260603_195741.xlsx</t>
  </si>
  <si>
    <t>/content/drive/MyDrive/thesis_project/thesis/outputs/exp05_ready/cascaded_step3_consistent_ready_20260603_195742.json</t>
  </si>
  <si>
    <t>/content/drive/MyDrive/thesis_project/thesis/outputs/exp05_ready/cascaded_step3_consistent_ready_results_20260603_195742.xlsx</t>
  </si>
  <si>
    <t>/content/drive/MyDrive/thesis_project/thesis/outputs/exp05_ready/cascaded_step3_consistent_ready_20260603_195744.json</t>
  </si>
  <si>
    <t>/content/drive/MyDrive/thesis_project/thesis/outputs/exp05_ready/cascaded_step3_consistent_ready_results_20260603_195743.xlsx</t>
  </si>
  <si>
    <t>/content/drive/MyDrive/thesis_project/thesis/outputs/exp05_ready/cascaded_step3_consistent_ready_20260603_195745.json</t>
  </si>
  <si>
    <t>/content/drive/MyDrive/thesis_project/thesis/outputs/exp05_ready/cascaded_step3_consistent_ready_results_20260603_195745.xlsx</t>
  </si>
  <si>
    <t>/content/drive/MyDrive/thesis_project/thesis/outputs/exp05_ready/cascaded_step3_consistent_ready_20260603_195746.json</t>
  </si>
  <si>
    <t>/content/drive/MyDrive/thesis_project/thesis/outputs/exp05_ready/cascaded_step3_consistent_ready_results_20260603_195746.xlsx</t>
  </si>
  <si>
    <t>/content/drive/MyDrive/thesis_project/thesis/outputs/exp05_ready/cascaded_step3_consistent_ready_20260603_195748.json</t>
  </si>
  <si>
    <t>/content/drive/MyDrive/thesis_project/thesis/outputs/exp05_ready/cascaded_step3_consistent_ready_results_20260603_195747.xlsx</t>
  </si>
  <si>
    <t>/content/drive/MyDrive/thesis_project/thesis/outputs/exp05_ready/cascaded_step3_consistent_ready_20260603_195749.json</t>
  </si>
  <si>
    <t>/content/drive/MyDrive/thesis_project/thesis/outputs/exp05_ready/cascaded_step3_consistent_ready_results_20260603_195749.xlsx</t>
  </si>
  <si>
    <t>/content/drive/MyDrive/thesis_project/thesis/outputs/exp05_ready/cascaded_step3_consistent_ready_20260603_195751.json</t>
  </si>
  <si>
    <t>/content/drive/MyDrive/thesis_project/thesis/outputs/exp05_ready/cascaded_step3_consistent_ready_results_20260603_195751.xlsx</t>
  </si>
  <si>
    <t>/content/drive/MyDrive/thesis_project/thesis/outputs/exp05_ready/cascaded_step3_consistent_ready_20260603_195752.json</t>
  </si>
  <si>
    <t>/content/drive/MyDrive/thesis_project/thesis/outputs/exp05_ready/cascaded_step3_consistent_ready_results_20260603_195752.xlsx</t>
  </si>
  <si>
    <t>/content/drive/MyDrive/thesis_project/thesis/outputs/exp05_ready/cascaded_step3_consistent_ready_20260603_195754.json</t>
  </si>
  <si>
    <t>/content/drive/MyDrive/thesis_project/thesis/outputs/exp05_ready/cascaded_step3_consistent_ready_results_20260603_195754.xlsx</t>
  </si>
  <si>
    <t>/content/drive/MyDrive/thesis_project/thesis/outputs/exp05_ready/cascaded_step3_consistent_ready_20260603_195755.json</t>
  </si>
  <si>
    <t>/content/drive/MyDrive/thesis_project/thesis/outputs/exp05_ready/cascaded_step3_consistent_ready_results_20260603_195755.xlsx</t>
  </si>
  <si>
    <t>/content/drive/MyDrive/thesis_project/thesis/outputs/exp05_ready/cascaded_step3_consistent_ready_20260603_195757.json</t>
  </si>
  <si>
    <t>/content/drive/MyDrive/thesis_project/thesis/outputs/exp05_ready/cascaded_step3_consistent_ready_results_20260603_195756.xlsx</t>
  </si>
  <si>
    <t>/content/drive/MyDrive/thesis_project/thesis/outputs/exp05_ready/cascaded_step3_consistent_ready_20260603_195758.json</t>
  </si>
  <si>
    <t>/content/drive/MyDrive/thesis_project/thesis/outputs/exp05_ready/cascaded_step3_consistent_ready_results_20260603_195758.xlsx</t>
  </si>
  <si>
    <t>/content/drive/MyDrive/thesis_project/thesis/outputs/exp05_ready/cascaded_step3_consistent_ready_20260603_195800.json</t>
  </si>
  <si>
    <t>/content/drive/MyDrive/thesis_project/thesis/outputs/exp05_ready/cascaded_step3_consistent_ready_results_20260603_195800.xlsx</t>
  </si>
  <si>
    <t>/content/drive/MyDrive/thesis_project/thesis/outputs/exp05_ready/cascaded_step3_consistent_ready_20260603_195801.json</t>
  </si>
  <si>
    <t>/content/drive/MyDrive/thesis_project/thesis/outputs/exp05_ready/cascaded_step3_consistent_ready_results_20260603_195801.xlsx</t>
  </si>
  <si>
    <t>/content/drive/MyDrive/thesis_project/thesis/outputs/exp05_ready/cascaded_step3_consistent_ready_20260603_195803.json</t>
  </si>
  <si>
    <t>/content/drive/MyDrive/thesis_project/thesis/outputs/exp05_ready/cascaded_step3_consistent_ready_results_20260603_195802.xlsx</t>
  </si>
  <si>
    <t>/content/drive/MyDrive/thesis_project/thesis/outputs/exp05_ready/cascaded_step3_consistent_ready_20260603_195804.json</t>
  </si>
  <si>
    <t>/content/drive/MyDrive/thesis_project/thesis/outputs/exp05_ready/cascaded_step3_consistent_ready_results_20260603_195804.xlsx</t>
  </si>
  <si>
    <t>/content/drive/MyDrive/thesis_project/thesis/outputs/exp05_ready/cascaded_step3_consistent_ready_20260603_195806.json</t>
  </si>
  <si>
    <t>/content/drive/MyDrive/thesis_project/thesis/outputs/exp05_ready/cascaded_step3_consistent_ready_results_20260603_195805.xlsx</t>
  </si>
  <si>
    <t>/content/drive/MyDrive/thesis_project/thesis/outputs/exp05_ready/cascaded_step3_consistent_ready_20260603_195807.json</t>
  </si>
  <si>
    <t>/content/drive/MyDrive/thesis_project/thesis/outputs/exp05_ready/cascaded_step3_consistent_ready_results_20260603_195807.xlsx</t>
  </si>
  <si>
    <t>/content/drive/MyDrive/thesis_project/thesis/outputs/exp05_ready/cascaded_step3_consistent_ready_20260603_195809.json</t>
  </si>
  <si>
    <t>/content/drive/MyDrive/thesis_project/thesis/outputs/exp05_ready/cascaded_step3_consistent_ready_results_20260603_195809.xlsx</t>
  </si>
  <si>
    <t>/content/drive/MyDrive/thesis_project/thesis/outputs/exp05_ready/cascaded_step3_consistent_ready_20260603_195810.json</t>
  </si>
  <si>
    <t>/content/drive/MyDrive/thesis_project/thesis/outputs/exp05_ready/cascaded_step3_consistent_ready_results_20260603_195810.xlsx</t>
  </si>
  <si>
    <t>/content/drive/MyDrive/thesis_project/thesis/outputs/exp05_ready/cascaded_step3_consistent_ready_20260603_195812.json</t>
  </si>
  <si>
    <t>/content/drive/MyDrive/thesis_project/thesis/outputs/exp05_ready/cascaded_step3_consistent_ready_results_20260603_195812.xlsx</t>
  </si>
  <si>
    <t>/content/drive/MyDrive/thesis_project/thesis/outputs/exp05_ready/cascaded_step3_consistent_ready_20260603_195813.json</t>
  </si>
  <si>
    <t>/content/drive/MyDrive/thesis_project/thesis/outputs/exp05_ready/cascaded_step3_consistent_ready_20260603_195814.json</t>
  </si>
  <si>
    <t>/content/drive/MyDrive/thesis_project/thesis/outputs/exp05_ready/cascaded_step3_consistent_ready_results_20260603_195813.xlsx</t>
  </si>
  <si>
    <t>/content/drive/MyDrive/thesis_project/thesis/outputs/exp05_ready/cascaded_step3_consistent_ready_20260603_195815.json</t>
  </si>
  <si>
    <t>/content/drive/MyDrive/thesis_project/thesis/outputs/exp05_ready/cascaded_step3_consistent_ready_results_20260603_195815.xlsx</t>
  </si>
  <si>
    <t>/content/drive/MyDrive/thesis_project/thesis/outputs/exp06_ready/fusion_ready_20260603_195820.json</t>
  </si>
  <si>
    <t>/content/drive/MyDrive/thesis_project/thesis/outputs/exp06_ready/fusion_ready_results_20260603_195818.xlsx</t>
  </si>
  <si>
    <t>/content/drive/MyDrive/thesis_project/thesis/outputs/exp06_ready/fusion_ready_20260603_195824.json</t>
  </si>
  <si>
    <t>/content/drive/MyDrive/thesis_project/thesis/outputs/exp06_ready/fusion_ready_results_20260603_195823.xlsx</t>
  </si>
  <si>
    <t>/content/drive/MyDrive/thesis_project/thesis/outputs/exp06_ready/fusion_ready_20260603_195826.json</t>
  </si>
  <si>
    <t>/content/drive/MyDrive/thesis_project/thesis/outputs/exp06_ready/fusion_ready_results_20260603_195825.xlsx</t>
  </si>
  <si>
    <t>/content/drive/MyDrive/thesis_project/thesis/outputs/exp06_ready/fusion_ready_20260603_195828.json</t>
  </si>
  <si>
    <t>/content/drive/MyDrive/thesis_project/thesis/outputs/exp06_ready/fusion_ready_results_20260603_195828.xlsx</t>
  </si>
  <si>
    <t>/content/drive/MyDrive/thesis_project/thesis/outputs/exp06_ready/fusion_ready_20260603_195830.json</t>
  </si>
  <si>
    <t>/content/drive/MyDrive/thesis_project/thesis/outputs/exp06_ready/fusion_ready_results_20260603_195829.xlsx</t>
  </si>
  <si>
    <t>/content/drive/MyDrive/thesis_project/thesis/outputs/exp06_ready/fusion_ready_20260603_195832.json</t>
  </si>
  <si>
    <t>/content/drive/MyDrive/thesis_project/thesis/outputs/exp06_ready/fusion_ready_results_20260603_195831.xlsx</t>
  </si>
  <si>
    <t>/content/drive/MyDrive/thesis_project/thesis/outputs/exp06_ready/fusion_ready_20260603_195834.json</t>
  </si>
  <si>
    <t>/content/drive/MyDrive/thesis_project/thesis/outputs/exp06_ready/fusion_ready_results_20260603_195834.xlsx</t>
  </si>
  <si>
    <t>/content/drive/MyDrive/thesis_project/thesis/outputs/exp06_ready/fusion_ready_20260603_195836.json</t>
  </si>
  <si>
    <t>/content/drive/MyDrive/thesis_project/thesis/outputs/exp06_ready/fusion_ready_results_20260603_195836.xlsx</t>
  </si>
  <si>
    <t>/content/drive/MyDrive/thesis_project/thesis/outputs/exp06_ready/fusion_ready_20260603_195839.json</t>
  </si>
  <si>
    <t>/content/drive/MyDrive/thesis_project/thesis/outputs/exp06_ready/fusion_ready_results_20260603_195838.xlsx</t>
  </si>
  <si>
    <t>/content/drive/MyDrive/thesis_project/thesis/outputs/exp06_ready/fusion_ready_20260603_195841.json</t>
  </si>
  <si>
    <t>/content/drive/MyDrive/thesis_project/thesis/outputs/exp06_ready/fusion_ready_results_20260603_195840.xlsx</t>
  </si>
  <si>
    <t>/content/drive/MyDrive/thesis_project/thesis/outputs/exp06_ready/fusion_ready_20260603_195843.json</t>
  </si>
  <si>
    <t>/content/drive/MyDrive/thesis_project/thesis/outputs/exp06_ready/fusion_ready_results_20260603_195842.xlsx</t>
  </si>
  <si>
    <t>/content/drive/MyDrive/thesis_project/thesis/outputs/exp06_ready/fusion_ready_20260603_195845.json</t>
  </si>
  <si>
    <t>/content/drive/MyDrive/thesis_project/thesis/outputs/exp06_ready/fusion_ready_results_20260603_195844.xlsx</t>
  </si>
  <si>
    <t>/content/drive/MyDrive/thesis_project/thesis/outputs/exp06_ready/fusion_ready_20260603_195847.json</t>
  </si>
  <si>
    <t>/content/drive/MyDrive/thesis_project/thesis/outputs/exp06_ready/fusion_ready_results_20260603_195846.xlsx</t>
  </si>
  <si>
    <t>/content/drive/MyDrive/thesis_project/thesis/outputs/exp06_ready/fusion_ready_20260603_195849.json</t>
  </si>
  <si>
    <t>/content/drive/MyDrive/thesis_project/thesis/outputs/exp06_ready/fusion_ready_results_20260603_195848.xlsx</t>
  </si>
  <si>
    <t>/content/drive/MyDrive/thesis_project/thesis/outputs/exp06_ready/fusion_ready_20260603_195851.json</t>
  </si>
  <si>
    <t>/content/drive/MyDrive/thesis_project/thesis/outputs/exp06_ready/fusion_ready_results_20260603_195850.xlsx</t>
  </si>
  <si>
    <t>/content/drive/MyDrive/thesis_project/thesis/outputs/exp06_ready/fusion_ready_20260603_195853.json</t>
  </si>
  <si>
    <t>/content/drive/MyDrive/thesis_project/thesis/outputs/exp06_ready/fusion_ready_results_20260603_195853.xlsx</t>
  </si>
  <si>
    <t>/content/drive/MyDrive/thesis_project/thesis/outputs/exp06_ready/fusion_ready_20260603_195855.json</t>
  </si>
  <si>
    <t>/content/drive/MyDrive/thesis_project/thesis/outputs/exp06_ready/fusion_ready_results_20260603_195854.xlsx</t>
  </si>
  <si>
    <t>/content/drive/MyDrive/thesis_project/thesis/outputs/exp06_ready/fusion_ready_20260603_195857.json</t>
  </si>
  <si>
    <t>/content/drive/MyDrive/thesis_project/thesis/outputs/exp06_ready/fusion_ready_results_20260603_195856.xlsx</t>
  </si>
  <si>
    <t>/content/drive/MyDrive/thesis_project/thesis/outputs/exp06_ready/fusion_ready_20260603_195859.json</t>
  </si>
  <si>
    <t>/content/drive/MyDrive/thesis_project/thesis/outputs/exp06_ready/fusion_ready_results_20260603_195859.xlsx</t>
  </si>
  <si>
    <t>/content/drive/MyDrive/thesis_project/thesis/outputs/exp06_ready/fusion_ready_20260603_195901.json</t>
  </si>
  <si>
    <t>/content/drive/MyDrive/thesis_project/thesis/outputs/exp06_ready/fusion_ready_results_20260603_195901.xlsx</t>
  </si>
  <si>
    <t>/content/drive/MyDrive/thesis_project/thesis/outputs/exp06_ready/fusion_ready_20260603_195903.json</t>
  </si>
  <si>
    <t>/content/drive/MyDrive/thesis_project/thesis/outputs/exp06_ready/fusion_ready_results_20260603_195902.xlsx</t>
  </si>
  <si>
    <t>/content/drive/MyDrive/thesis_project/thesis/outputs/exp06_ready/fusion_ready_20260603_195905.json</t>
  </si>
  <si>
    <t>/content/drive/MyDrive/thesis_project/thesis/outputs/exp06_ready/fusion_ready_results_20260603_195904.xlsx</t>
  </si>
  <si>
    <t>/content/drive/MyDrive/thesis_project/thesis/outputs/exp06_ready/fusion_ready_20260603_195907.json</t>
  </si>
  <si>
    <t>/content/drive/MyDrive/thesis_project/thesis/outputs/exp06_ready/fusion_ready_results_20260603_195906.xlsx</t>
  </si>
  <si>
    <t>/content/drive/MyDrive/thesis_project/thesis/outputs/exp06_ready/fusion_ready_20260603_195909.json</t>
  </si>
  <si>
    <t>/content/drive/MyDrive/thesis_project/thesis/outputs/exp06_ready/fusion_ready_results_20260603_195908.xlsx</t>
  </si>
  <si>
    <t>/content/drive/MyDrive/thesis_project/thesis/outputs/exp06_ready/fusion_ready_20260603_195911.json</t>
  </si>
  <si>
    <t>/content/drive/MyDrive/thesis_project/thesis/outputs/exp06_ready/fusion_ready_results_20260603_195910.xlsx</t>
  </si>
  <si>
    <t>/content/drive/MyDrive/thesis_project/thesis/outputs/exp06_ready/fusion_ready_20260603_195913.json</t>
  </si>
  <si>
    <t>/content/drive/MyDrive/thesis_project/thesis/outputs/exp06_ready/fusion_ready_results_20260603_195912.xlsx</t>
  </si>
  <si>
    <t>/content/drive/MyDrive/thesis_project/thesis/outputs/exp06_ready/fusion_ready_20260603_195914.json</t>
  </si>
  <si>
    <t>/content/drive/MyDrive/thesis_project/thesis/outputs/exp06_ready/fusion_ready_results_20260603_195914.xlsx</t>
  </si>
  <si>
    <t>/content/drive/MyDrive/thesis_project/thesis/outputs/exp06_ready/fusion_ready_20260603_195916.json</t>
  </si>
  <si>
    <t>/content/drive/MyDrive/thesis_project/thesis/outputs/exp06_ready/fusion_ready_results_20260603_195916.xlsx</t>
  </si>
  <si>
    <t>/content/drive/MyDrive/thesis_project/thesis/outputs/exp06_ready/fusion_ready_20260603_195918.json</t>
  </si>
  <si>
    <t>/content/drive/MyDrive/thesis_project/thesis/outputs/exp06_ready/fusion_ready_results_20260603_195918.xlsx</t>
  </si>
  <si>
    <t>/content/drive/MyDrive/thesis_project/thesis/outputs/exp06_ready/fusion_ready_20260603_195920.json</t>
  </si>
  <si>
    <t>/content/drive/MyDrive/thesis_project/thesis/outputs/exp06_ready/fusion_ready_results_20260603_195919.xlsx</t>
  </si>
  <si>
    <t>/content/drive/MyDrive/thesis_project/thesis/outputs/exp06_ready/fusion_ready_20260603_195922.json</t>
  </si>
  <si>
    <t>/content/drive/MyDrive/thesis_project/thesis/outputs/exp06_ready/fusion_ready_results_20260603_195921.xlsx</t>
  </si>
  <si>
    <t>/content/drive/MyDrive/thesis_project/thesis/outputs/exp06_ready/fusion_ready_20260603_195924.json</t>
  </si>
  <si>
    <t>/content/drive/MyDrive/thesis_project/thesis/outputs/exp06_ready/fusion_ready_results_20260603_195923.xlsx</t>
  </si>
  <si>
    <t>/content/drive/MyDrive/thesis_project/thesis/outputs/exp06_ready/fusion_ready_20260603_195926.json</t>
  </si>
  <si>
    <t>/content/drive/MyDrive/thesis_project/thesis/outputs/exp06_ready/fusion_ready_results_20260603_195925.xlsx</t>
  </si>
  <si>
    <t>/content/drive/MyDrive/thesis_project/thesis/outputs/exp06_ready/fusion_ready_20260603_195927.json</t>
  </si>
  <si>
    <t>/content/drive/MyDrive/thesis_project/thesis/outputs/exp06_ready/fusion_ready_results_20260603_195927.xlsx</t>
  </si>
  <si>
    <t>/content/drive/MyDrive/thesis_project/thesis/outputs/exp06_ready/fusion_ready_20260603_195929.json</t>
  </si>
  <si>
    <t>/content/drive/MyDrive/thesis_project/thesis/outputs/exp06_ready/fusion_ready_results_20260603_195929.xlsx</t>
  </si>
  <si>
    <t>/content/drive/MyDrive/thesis_project/thesis/outputs/exp06_ready/fusion_ready_20260603_195932.json</t>
  </si>
  <si>
    <t>/content/drive/MyDrive/thesis_project/thesis/outputs/exp06_ready/fusion_ready_results_20260603_195931.xlsx</t>
  </si>
  <si>
    <t>/content/drive/MyDrive/thesis_project/thesis/outputs/exp06_ready/fusion_ready_20260603_195934.json</t>
  </si>
  <si>
    <t>/content/drive/MyDrive/thesis_project/thesis/outputs/exp06_ready/fusion_ready_results_20260603_195933.xlsx</t>
  </si>
  <si>
    <t>/content/drive/MyDrive/thesis_project/thesis/outputs/exp06_ready/fusion_ready_20260603_195936.json</t>
  </si>
  <si>
    <t>/content/drive/MyDrive/thesis_project/thesis/outputs/exp06_ready/fusion_ready_results_20260603_195935.xlsx</t>
  </si>
  <si>
    <t>/content/drive/MyDrive/thesis_project/thesis/outputs/exp06_ready/fusion_ready_20260603_195938.json</t>
  </si>
  <si>
    <t>/content/drive/MyDrive/thesis_project/thesis/outputs/exp06_ready/fusion_ready_results_20260603_195937.xlsx</t>
  </si>
  <si>
    <t>/content/drive/MyDrive/thesis_project/thesis/outputs/exp06_ready/fusion_ready_20260603_195939.json</t>
  </si>
  <si>
    <t>/content/drive/MyDrive/thesis_project/thesis/outputs/exp06_ready/fusion_ready_results_20260603_195939.xlsx</t>
  </si>
  <si>
    <t>/content/drive/MyDrive/thesis_project/thesis/outputs/exp06_ready/fusion_ready_20260603_195941.json</t>
  </si>
  <si>
    <t>/content/drive/MyDrive/thesis_project/thesis/outputs/exp06_ready/fusion_ready_results_20260603_195941.xlsx</t>
  </si>
  <si>
    <t>/content/drive/MyDrive/thesis_project/thesis/outputs/exp06_ready/fusion_ready_20260603_195944.json</t>
  </si>
  <si>
    <t>/content/drive/MyDrive/thesis_project/thesis/outputs/exp06_ready/fusion_ready_results_20260603_195943.xlsx</t>
  </si>
  <si>
    <t>/content/drive/MyDrive/thesis_project/thesis/outputs/exp06_ready/fusion_ready_20260603_195946.json</t>
  </si>
  <si>
    <t>/content/drive/MyDrive/thesis_project/thesis/outputs/exp06_ready/fusion_ready_results_20260603_195945.xlsx</t>
  </si>
  <si>
    <t>/content/drive/MyDrive/thesis_project/thesis/outputs/exp06_ready/fusion_ready_20260603_195947.json</t>
  </si>
  <si>
    <t>/content/drive/MyDrive/thesis_project/thesis/outputs/exp06_ready/fusion_ready_results_20260603_195947.xlsx</t>
  </si>
  <si>
    <t>/content/drive/MyDrive/thesis_project/thesis/outputs/exp06_ready/fusion_ready_20260603_195950.json</t>
  </si>
  <si>
    <t>/content/drive/MyDrive/thesis_project/thesis/outputs/exp06_ready/fusion_ready_results_20260603_195949.xlsx</t>
  </si>
  <si>
    <t>/content/drive/MyDrive/thesis_project/thesis/outputs/exp06_ready/fusion_ready_20260603_195952.json</t>
  </si>
  <si>
    <t>/content/drive/MyDrive/thesis_project/thesis/outputs/exp06_ready/fusion_ready_results_20260603_195951.xlsx</t>
  </si>
  <si>
    <t>/content/drive/MyDrive/thesis_project/thesis/outputs/exp06_ready/fusion_ready_20260603_195954.json</t>
  </si>
  <si>
    <t>/content/drive/MyDrive/thesis_project/thesis/outputs/exp06_ready/fusion_ready_results_20260603_195953.xlsx</t>
  </si>
  <si>
    <t>/content/drive/MyDrive/thesis_project/thesis/outputs/exp06_ready/fusion_ready_20260603_195956.json</t>
  </si>
  <si>
    <t>/content/drive/MyDrive/thesis_project/thesis/outputs/exp06_ready/fusion_ready_results_20260603_195955.xlsx</t>
  </si>
  <si>
    <t>/content/drive/MyDrive/thesis_project/thesis/outputs/exp06_ready/fusion_ready_20260603_195958.json</t>
  </si>
  <si>
    <t>/content/drive/MyDrive/thesis_project/thesis/outputs/exp06_ready/fusion_ready_results_20260603_195957.xlsx</t>
  </si>
  <si>
    <t>/content/drive/MyDrive/thesis_project/thesis/outputs/exp06_ready/fusion_ready_20260603_200000.json</t>
  </si>
  <si>
    <t>/content/drive/MyDrive/thesis_project/thesis/outputs/exp06_ready/fusion_ready_results_20260603_195959.xlsx</t>
  </si>
  <si>
    <t>/content/drive/MyDrive/thesis_project/thesis/outputs/exp06_ready/fusion_ready_20260603_200002.json</t>
  </si>
  <si>
    <t>/content/drive/MyDrive/thesis_project/thesis/outputs/exp06_ready/fusion_ready_results_20260603_200001.xlsx</t>
  </si>
  <si>
    <t>/content/drive/MyDrive/thesis_project/thesis/outputs/exp06_ready/fusion_ready_20260603_200004.json</t>
  </si>
  <si>
    <t>/content/drive/MyDrive/thesis_project/thesis/outputs/exp06_ready/fusion_ready_results_20260603_200003.xlsx</t>
  </si>
  <si>
    <t>/content/drive/MyDrive/thesis_project/thesis/outputs/exp06_ready/fusion_ready_20260603_200006.json</t>
  </si>
  <si>
    <t>/content/drive/MyDrive/thesis_project/thesis/outputs/exp06_ready/fusion_ready_results_20260603_200005.xlsx</t>
  </si>
  <si>
    <t>/content/drive/MyDrive/thesis_project/thesis/outputs/exp06_ready/fusion_ready_20260603_200008.json</t>
  </si>
  <si>
    <t>/content/drive/MyDrive/thesis_project/thesis/outputs/exp06_ready/fusion_ready_results_20260603_200007.xlsx</t>
  </si>
  <si>
    <t>/content/drive/MyDrive/thesis_project/thesis/outputs/exp06_ready/fusion_ready_20260603_200010.json</t>
  </si>
  <si>
    <t>/content/drive/MyDrive/thesis_project/thesis/outputs/exp06_ready/fusion_ready_results_20260603_200010.xlsx</t>
  </si>
  <si>
    <t>/content/drive/MyDrive/thesis_project/thesis/outputs/exp06_ready/fusion_ready_20260603_200012.json</t>
  </si>
  <si>
    <t>/content/drive/MyDrive/thesis_project/thesis/outputs/exp06_ready/fusion_ready_results_20260603_200012.xlsx</t>
  </si>
  <si>
    <t>/content/drive/MyDrive/thesis_project/thesis/outputs/exp06_ready/fusion_ready_20260603_200014.json</t>
  </si>
  <si>
    <t>/content/drive/MyDrive/thesis_project/thesis/outputs/exp06_ready/fusion_ready_results_20260603_200013.xlsx</t>
  </si>
  <si>
    <t>/content/drive/MyDrive/thesis_project/thesis/outputs/exp06_ready/fusion_ready_20260603_200016.json</t>
  </si>
  <si>
    <t>/content/drive/MyDrive/thesis_project/thesis/outputs/exp06_ready/fusion_ready_results_20260603_200016.xlsx</t>
  </si>
  <si>
    <t>/content/drive/MyDrive/thesis_project/thesis/outputs/exp06_ready/fusion_ready_20260603_200018.json</t>
  </si>
  <si>
    <t>/content/drive/MyDrive/thesis_project/thesis/outputs/exp06_ready/fusion_ready_results_20260603_200018.xlsx</t>
  </si>
  <si>
    <t>/content/drive/MyDrive/thesis_project/thesis/outputs/exp06_ready/fusion_ready_20260603_200020.json</t>
  </si>
  <si>
    <t>/content/drive/MyDrive/thesis_project/thesis/outputs/exp06_ready/fusion_ready_results_20260603_200020.xlsx</t>
  </si>
  <si>
    <t>/content/drive/MyDrive/thesis_project/thesis/outputs/exp06_ready/fusion_ready_20260603_200023.json</t>
  </si>
  <si>
    <t>/content/drive/MyDrive/thesis_project/thesis/outputs/exp06_ready/fusion_ready_results_20260603_200022.xlsx</t>
  </si>
  <si>
    <t>/content/drive/MyDrive/thesis_project/thesis/outputs/exp06_ready/fusion_ready_20260603_200025.json</t>
  </si>
  <si>
    <t>/content/drive/MyDrive/thesis_project/thesis/outputs/exp06_ready/fusion_ready_results_20260603_200024.xlsx</t>
  </si>
  <si>
    <t>/content/drive/MyDrive/thesis_project/thesis/outputs/exp06_ready/fusion_ready_20260603_200026.json</t>
  </si>
  <si>
    <t>/content/drive/MyDrive/thesis_project/thesis/outputs/exp06_ready/fusion_ready_results_20260603_200026.xlsx</t>
  </si>
  <si>
    <t>/content/drive/MyDrive/thesis_project/thesis/outputs/exp06_ready/fusion_ready_20260603_200029.json</t>
  </si>
  <si>
    <t>/content/drive/MyDrive/thesis_project/thesis/outputs/exp06_ready/fusion_ready_results_20260603_200028.xlsx</t>
  </si>
  <si>
    <t>/content/drive/MyDrive/thesis_project/thesis/outputs/exp06_ready/fusion_ready_20260603_200031.json</t>
  </si>
  <si>
    <t>/content/drive/MyDrive/thesis_project/thesis/outputs/exp06_ready/fusion_ready_results_20260603_200030.xlsx</t>
  </si>
  <si>
    <t>/content/drive/MyDrive/thesis_project/thesis/outputs/exp06_ready/fusion_ready_20260603_200033.json</t>
  </si>
  <si>
    <t>/content/drive/MyDrive/thesis_project/thesis/outputs/exp06_ready/fusion_ready_results_20260603_200032.xlsx</t>
  </si>
  <si>
    <t>/content/drive/MyDrive/thesis_project/thesis/outputs/exp06_ready/fusion_ready_20260603_200035.json</t>
  </si>
  <si>
    <t>/content/drive/MyDrive/thesis_project/thesis/outputs/exp06_ready/fusion_ready_results_20260603_200034.xlsx</t>
  </si>
  <si>
    <t>/content/drive/MyDrive/thesis_project/thesis/outputs/exp06_ready/fusion_ready_20260603_200037.json</t>
  </si>
  <si>
    <t>/content/drive/MyDrive/thesis_project/thesis/outputs/exp06_ready/fusion_ready_results_20260603_200036.xlsx</t>
  </si>
  <si>
    <t>/content/drive/MyDrive/thesis_project/thesis/outputs/exp06_ready/fusion_ready_20260603_200039.json</t>
  </si>
  <si>
    <t>/content/drive/MyDrive/thesis_project/thesis/outputs/exp06_ready/fusion_ready_results_20260603_200038.xlsx</t>
  </si>
  <si>
    <t>/content/drive/MyDrive/thesis_project/thesis/outputs/exp06_ready/fusion_ready_20260603_200041.json</t>
  </si>
  <si>
    <t>/content/drive/MyDrive/thesis_project/thesis/outputs/exp06_ready/fusion_ready_results_20260603_200040.xlsx</t>
  </si>
  <si>
    <t>/content/drive/MyDrive/thesis_project/thesis/outputs/exp06_ready/fusion_ready_20260603_200043.json</t>
  </si>
  <si>
    <t>/content/drive/MyDrive/thesis_project/thesis/outputs/exp06_ready/fusion_ready_results_20260603_200043.xlsx</t>
  </si>
  <si>
    <t>/content/drive/MyDrive/thesis_project/thesis/outputs/exp06_ready/fusion_ready_20260603_200045.json</t>
  </si>
  <si>
    <t>/content/drive/MyDrive/thesis_project/thesis/outputs/exp06_ready/fusion_ready_results_20260603_200045.xlsx</t>
  </si>
  <si>
    <t>/content/drive/MyDrive/thesis_project/thesis/outputs/exp06_ready/fusion_ready_20260603_200048.json</t>
  </si>
  <si>
    <t>/content/drive/MyDrive/thesis_project/thesis/outputs/exp06_ready/fusion_ready_results_20260603_200047.xlsx</t>
  </si>
  <si>
    <t>/content/drive/MyDrive/thesis_project/thesis/outputs/exp06_ready/fusion_ready_20260603_200049.json</t>
  </si>
  <si>
    <t>/content/drive/MyDrive/thesis_project/thesis/outputs/exp06_ready/fusion_ready_results_20260603_200049.xlsx</t>
  </si>
  <si>
    <t>/content/drive/MyDrive/thesis_project/thesis/outputs/exp06_ready/fusion_ready_20260603_200051.json</t>
  </si>
  <si>
    <t>/content/drive/MyDrive/thesis_project/thesis/outputs/exp06_ready/fusion_ready_results_20260603_200051.xlsx</t>
  </si>
  <si>
    <t>/content/drive/MyDrive/thesis_project/thesis/outputs/exp06_ready/fusion_ready_20260603_200054.json</t>
  </si>
  <si>
    <t>/content/drive/MyDrive/thesis_project/thesis/outputs/exp06_ready/fusion_ready_results_20260603_200053.xlsx</t>
  </si>
  <si>
    <t>/content/drive/MyDrive/thesis_project/thesis/outputs/exp06_ready/fusion_ready_20260603_200056.json</t>
  </si>
  <si>
    <t>/content/drive/MyDrive/thesis_project/thesis/outputs/exp06_ready/fusion_ready_results_20260603_200055.xlsx</t>
  </si>
  <si>
    <t>/content/drive/MyDrive/thesis_project/thesis/outputs/exp06_ready/fusion_ready_20260603_200057.json</t>
  </si>
  <si>
    <t>/content/drive/MyDrive/thesis_project/thesis/outputs/exp06_ready/fusion_ready_results_20260603_200057.xlsx</t>
  </si>
  <si>
    <t>/content/drive/MyDrive/thesis_project/thesis/outputs/exp06_ready/fusion_ready_20260603_200100.json</t>
  </si>
  <si>
    <t>/content/drive/MyDrive/thesis_project/thesis/outputs/exp06_ready/fusion_ready_results_20260603_200059.xlsx</t>
  </si>
  <si>
    <t>/content/drive/MyDrive/thesis_project/thesis/outputs/exp06_ready/fusion_ready_20260603_200102.json</t>
  </si>
  <si>
    <t>/content/drive/MyDrive/thesis_project/thesis/outputs/exp06_ready/fusion_ready_results_20260603_200101.xlsx</t>
  </si>
  <si>
    <t>/content/drive/MyDrive/thesis_project/thesis/outputs/exp06_ready/fusion_ready_20260603_200103.json</t>
  </si>
  <si>
    <t>/content/drive/MyDrive/thesis_project/thesis/outputs/exp06_ready/fusion_ready_results_20260603_200103.xlsx</t>
  </si>
  <si>
    <t>/content/drive/MyDrive/thesis_project/thesis/outputs/exp06_ready/fusion_ready_20260603_200106.json</t>
  </si>
  <si>
    <t>/content/drive/MyDrive/thesis_project/thesis/outputs/exp06_ready/fusion_ready_results_20260603_200105.xlsx</t>
  </si>
  <si>
    <t>/content/drive/MyDrive/thesis_project/thesis/outputs/exp06_ready/fusion_ready_20260603_200107.json</t>
  </si>
  <si>
    <t>/content/drive/MyDrive/thesis_project/thesis/outputs/exp06_ready/fusion_ready_results_20260603_200107.xlsx</t>
  </si>
  <si>
    <t>/content/drive/MyDrive/thesis_project/thesis/outputs/exp06_ready/fusion_ready_20260603_200109.json</t>
  </si>
  <si>
    <t>/content/drive/MyDrive/thesis_project/thesis/outputs/exp06_ready/fusion_ready_results_20260603_200109.xlsx</t>
  </si>
  <si>
    <t>/content/drive/MyDrive/thesis_project/thesis/outputs/exp06_ready/fusion_ready_20260603_200111.json</t>
  </si>
  <si>
    <t>/content/drive/MyDrive/thesis_project/thesis/outputs/exp06_ready/fusion_ready_results_20260603_200110.xlsx</t>
  </si>
  <si>
    <t>/content/drive/MyDrive/thesis_project/thesis/outputs/exp06_ready/fusion_ready_20260603_200113.json</t>
  </si>
  <si>
    <t>/content/drive/MyDrive/thesis_project/thesis/outputs/exp06_ready/fusion_ready_results_20260603_200113.xlsx</t>
  </si>
  <si>
    <t>/content/drive/MyDrive/thesis_project/thesis/outputs/exp06_ready/fusion_ready_20260603_200115.json</t>
  </si>
  <si>
    <t>/content/drive/MyDrive/thesis_project/thesis/outputs/exp06_ready/fusion_ready_results_20260603_200114.xlsx</t>
  </si>
  <si>
    <t>/content/drive/MyDrive/thesis_project/thesis/outputs/exp06_ready/fusion_ready_20260603_200117.json</t>
  </si>
  <si>
    <t>/content/drive/MyDrive/thesis_project/thesis/outputs/exp06_ready/fusion_ready_results_20260603_200116.xlsx</t>
  </si>
  <si>
    <t>/content/drive/MyDrive/thesis_project/thesis/outputs/exp06_ready/fusion_ready_20260603_200119.json</t>
  </si>
  <si>
    <t>/content/drive/MyDrive/thesis_project/thesis/outputs/exp06_ready/fusion_ready_results_20260603_200118.xlsx</t>
  </si>
  <si>
    <t>/content/drive/MyDrive/thesis_project/thesis/outputs/exp06_ready/fusion_ready_20260603_200121.json</t>
  </si>
  <si>
    <t>/content/drive/MyDrive/thesis_project/thesis/outputs/exp06_ready/fusion_ready_results_20260603_200120.xlsx</t>
  </si>
  <si>
    <t>/content/drive/MyDrive/thesis_project/thesis/outputs/exp06_ready/fusion_ready_20260603_200122.json</t>
  </si>
  <si>
    <t>/content/drive/MyDrive/thesis_project/thesis/outputs/exp06_ready/fusion_ready_results_20260603_200122.xlsx</t>
  </si>
  <si>
    <t>/content/drive/MyDrive/thesis_project/thesis/outputs/exp06_ready/fusion_ready_20260603_200124.json</t>
  </si>
  <si>
    <t>/content/drive/MyDrive/thesis_project/thesis/outputs/exp06_ready/fusion_ready_results_20260603_200124.xlsx</t>
  </si>
  <si>
    <t>/content/drive/MyDrive/thesis_project/thesis/outputs/exp06_ready/fusion_ready_20260603_200126.json</t>
  </si>
  <si>
    <t>/content/drive/MyDrive/thesis_project/thesis/outputs/exp06_ready/fusion_ready_results_20260603_200126.xlsx</t>
  </si>
  <si>
    <t>/content/drive/MyDrive/thesis_project/thesis/outputs/exp06_ready/fusion_ready_20260603_200128.json</t>
  </si>
  <si>
    <t>/content/drive/MyDrive/thesis_project/thesis/outputs/exp06_ready/fusion_ready_results_20260603_200127.xlsx</t>
  </si>
  <si>
    <t>/content/drive/MyDrive/thesis_project/thesis/outputs/exp06_ready/fusion_ready_20260603_200130.json</t>
  </si>
  <si>
    <t>/content/drive/MyDrive/thesis_project/thesis/outputs/exp06_ready/fusion_ready_results_20260603_200129.xlsx</t>
  </si>
  <si>
    <t>/content/drive/MyDrive/thesis_project/thesis/outputs/exp06_ready/fusion_ready_20260603_200132.json</t>
  </si>
  <si>
    <t>/content/drive/MyDrive/thesis_project/thesis/outputs/exp06_ready/fusion_ready_results_20260603_200131.xlsx</t>
  </si>
  <si>
    <t>/content/drive/MyDrive/thesis_project/thesis/outputs/exp06_ready/fusion_ready_20260603_200134.json</t>
  </si>
  <si>
    <t>/content/drive/MyDrive/thesis_project/thesis/outputs/exp06_ready/fusion_ready_results_20260603_200133.xlsx</t>
  </si>
  <si>
    <t>/content/drive/MyDrive/thesis_project/thesis/outputs/exp06_ready/fusion_ready_20260603_200135.json</t>
  </si>
  <si>
    <t>/content/drive/MyDrive/thesis_project/thesis/outputs/exp06_ready/fusion_ready_results_20260603_200135.xlsx</t>
  </si>
  <si>
    <t>/content/drive/MyDrive/thesis_project/thesis/outputs/exp06_ready/fusion_ready_20260603_200137.json</t>
  </si>
  <si>
    <t>/content/drive/MyDrive/thesis_project/thesis/outputs/exp06_ready/fusion_ready_results_20260603_200137.xlsx</t>
  </si>
  <si>
    <t>/content/drive/MyDrive/thesis_project/thesis/outputs/exp06_ready/fusion_ready_20260603_200139.json</t>
  </si>
  <si>
    <t>/content/drive/MyDrive/thesis_project/thesis/outputs/exp06_ready/fusion_ready_results_20260603_200139.xlsx</t>
  </si>
  <si>
    <t>/content/drive/MyDrive/thesis_project/thesis/outputs/exp06_ready/fusion_ready_20260603_200141.json</t>
  </si>
  <si>
    <t>/content/drive/MyDrive/thesis_project/thesis/outputs/exp06_ready/fusion_ready_results_20260603_200141.xlsx</t>
  </si>
  <si>
    <t>/content/drive/MyDrive/thesis_project/thesis/outputs/exp06_ready/fusion_ready_20260603_200143.json</t>
  </si>
  <si>
    <t>/content/drive/MyDrive/thesis_project/thesis/outputs/exp06_ready/fusion_ready_results_20260603_200143.xlsx</t>
  </si>
  <si>
    <t>/content/drive/MyDrive/thesis_project/thesis/outputs/exp06_ready/fusion_ready_20260603_200146.json</t>
  </si>
  <si>
    <t>/content/drive/MyDrive/thesis_project/thesis/outputs/exp06_ready/fusion_ready_results_20260603_200145.xlsx</t>
  </si>
  <si>
    <t>/content/drive/MyDrive/thesis_project/thesis/outputs/exp06_ready/fusion_ready_20260603_200147.json</t>
  </si>
  <si>
    <t>/content/drive/MyDrive/thesis_project/thesis/outputs/exp06_ready/fusion_ready_results_20260603_200147.xlsx</t>
  </si>
  <si>
    <t>/content/drive/MyDrive/thesis_project/thesis/outputs/exp06_ready/fusion_ready_20260603_200149.json</t>
  </si>
  <si>
    <t>/content/drive/MyDrive/thesis_project/thesis/outputs/exp06_ready/fusion_ready_results_20260603_200149.xlsx</t>
  </si>
  <si>
    <t>/content/drive/MyDrive/thesis_project/thesis/outputs/exp06_ready/fusion_ready_20260603_200152.json</t>
  </si>
  <si>
    <t>/content/drive/MyDrive/thesis_project/thesis/outputs/exp06_ready/fusion_ready_results_20260603_200151.xlsx</t>
  </si>
  <si>
    <t>/content/drive/MyDrive/thesis_project/thesis/outputs/exp06_ready/fusion_ready_20260603_200154.json</t>
  </si>
  <si>
    <t>/content/drive/MyDrive/thesis_project/thesis/outputs/exp06_ready/fusion_ready_results_20260603_200153.xlsx</t>
  </si>
  <si>
    <t>/content/drive/MyDrive/thesis_project/thesis/outputs/exp06_ready/fusion_ready_20260603_200156.json</t>
  </si>
  <si>
    <t>/content/drive/MyDrive/thesis_project/thesis/outputs/exp06_ready/fusion_ready_results_20260603_200155.xlsx</t>
  </si>
  <si>
    <t>/content/drive/MyDrive/thesis_project/thesis/outputs/exp06_ready/fusion_ready_20260603_200158.json</t>
  </si>
  <si>
    <t>/content/drive/MyDrive/thesis_project/thesis/outputs/exp06_ready/fusion_ready_results_20260603_200157.xlsx</t>
  </si>
  <si>
    <t>/content/drive/MyDrive/thesis_project/thesis/outputs/exp06_ready/fusion_ready_20260603_200200.json</t>
  </si>
  <si>
    <t>/content/drive/MyDrive/thesis_project/thesis/outputs/exp06_ready/fusion_ready_results_20260603_200159.xlsx</t>
  </si>
  <si>
    <t>/content/drive/MyDrive/thesis_project/thesis/outputs/exp06_ready/fusion_ready_20260603_200202.json</t>
  </si>
  <si>
    <t>/content/drive/MyDrive/thesis_project/thesis/outputs/exp06_ready/fusion_ready_results_20260603_200201.xlsx</t>
  </si>
  <si>
    <t>/content/drive/MyDrive/thesis_project/thesis/outputs/exp06_ready/fusion_ready_20260603_200204.json</t>
  </si>
  <si>
    <t>/content/drive/MyDrive/thesis_project/thesis/outputs/exp06_ready/fusion_ready_results_20260603_200203.xlsx</t>
  </si>
  <si>
    <t>/content/drive/MyDrive/thesis_project/thesis/outputs/exp06_ready/fusion_ready_20260603_200206.json</t>
  </si>
  <si>
    <t>/content/drive/MyDrive/thesis_project/thesis/outputs/exp06_ready/fusion_ready_results_20260603_200205.xlsx</t>
  </si>
  <si>
    <t>/content/drive/MyDrive/thesis_project/thesis/outputs/exp06_ready/fusion_ready_20260603_200208.json</t>
  </si>
  <si>
    <t>/content/drive/MyDrive/thesis_project/thesis/outputs/exp06_ready/fusion_ready_results_20260603_200207.xlsx</t>
  </si>
  <si>
    <t>/content/drive/MyDrive/thesis_project/thesis/outputs/exp06_ready/fusion_ready_20260603_200210.json</t>
  </si>
  <si>
    <t>/content/drive/MyDrive/thesis_project/thesis/outputs/exp06_ready/fusion_ready_results_20260603_200210.xlsx</t>
  </si>
  <si>
    <t>/content/drive/MyDrive/thesis_project/thesis/outputs/exp06_ready/fusion_ready_20260603_200212.json</t>
  </si>
  <si>
    <t>/content/drive/MyDrive/thesis_project/thesis/outputs/exp06_ready/fusion_ready_results_20260603_200212.xlsx</t>
  </si>
  <si>
    <t>/content/drive/MyDrive/thesis_project/thesis/outputs/exp06_ready/fusion_ready_20260603_200214.json</t>
  </si>
  <si>
    <t>/content/drive/MyDrive/thesis_project/thesis/outputs/exp06_ready/fusion_ready_results_20260603_200214.xlsx</t>
  </si>
  <si>
    <t>/content/drive/MyDrive/thesis_project/thesis/outputs/exp06_ready/fusion_ready_20260603_200216.json</t>
  </si>
  <si>
    <t>/content/drive/MyDrive/thesis_project/thesis/outputs/exp06_ready/fusion_ready_results_20260603_200215.xlsx</t>
  </si>
  <si>
    <t>/content/drive/MyDrive/thesis_project/thesis/outputs/exp06_ready/fusion_ready_20260603_200217.json</t>
  </si>
  <si>
    <t>/content/drive/MyDrive/thesis_project/thesis/outputs/exp06_ready/fusion_ready_results_20260603_200217.xlsx</t>
  </si>
  <si>
    <t>/content/drive/MyDrive/thesis_project/thesis/outputs/exp06_ready/fusion_ready_20260603_200219.json</t>
  </si>
  <si>
    <t>/content/drive/MyDrive/thesis_project/thesis/outputs/exp06_ready/fusion_ready_results_20260603_200218.xlsx</t>
  </si>
  <si>
    <t>/content/drive/MyDrive/thesis_project/thesis/outputs/exp06_svm_ready/fusion_svm_ready_20260603_200223.json</t>
  </si>
  <si>
    <t>/content/drive/MyDrive/thesis_project/thesis/outputs/exp06_svm_ready/fusion_svm_ready_results_20260603_200220.xlsx</t>
  </si>
  <si>
    <t>/content/drive/MyDrive/thesis_project/thesis/outputs/exp06_svm_ready/fusion_svm_ready_20260603_200225.json</t>
  </si>
  <si>
    <t>/content/drive/MyDrive/thesis_project/thesis/outputs/exp06_svm_ready/fusion_svm_ready_results_20260603_200224.xlsx</t>
  </si>
  <si>
    <t>/content/drive/MyDrive/thesis_project/thesis/outputs/exp06_svm_ready/fusion_svm_ready_20260603_200226.json</t>
  </si>
  <si>
    <t>/content/drive/MyDrive/thesis_project/thesis/outputs/exp06_svm_ready/fusion_svm_ready_results_20260603_200225.xlsx</t>
  </si>
  <si>
    <t>/content/drive/MyDrive/thesis_project/thesis/outputs/exp06_svm_ready/fusion_svm_ready_20260603_200228.json</t>
  </si>
  <si>
    <t>/content/drive/MyDrive/thesis_project/thesis/outputs/exp06_svm_ready/fusion_svm_ready_results_20260603_200227.xlsx</t>
  </si>
  <si>
    <t>/content/drive/MyDrive/thesis_project/thesis/outputs/exp06_svm_ready/fusion_svm_ready_20260603_200229.json</t>
  </si>
  <si>
    <t>/content/drive/MyDrive/thesis_project/thesis/outputs/exp06_svm_ready/fusion_svm_ready_results_20260603_200229.xlsx</t>
  </si>
  <si>
    <t>/content/drive/MyDrive/thesis_project/thesis/outputs/exp06_svm_ready/fusion_svm_ready_20260603_200231.json</t>
  </si>
  <si>
    <t>/content/drive/MyDrive/thesis_project/thesis/outputs/exp06_svm_ready/fusion_svm_ready_results_20260603_200230.xlsx</t>
  </si>
  <si>
    <t>/content/drive/MyDrive/thesis_project/thesis/outputs/exp06_svm_ready/fusion_svm_ready_20260603_200232.json</t>
  </si>
  <si>
    <t>/content/drive/MyDrive/thesis_project/thesis/outputs/exp06_svm_ready/fusion_svm_ready_results_20260603_200232.xlsx</t>
  </si>
  <si>
    <t>/content/drive/MyDrive/thesis_project/thesis/outputs/exp06_svm_ready/fusion_svm_ready_20260603_200234.json</t>
  </si>
  <si>
    <t>/content/drive/MyDrive/thesis_project/thesis/outputs/exp06_svm_ready/fusion_svm_ready_results_20260603_200233.xlsx</t>
  </si>
  <si>
    <t>/content/drive/MyDrive/thesis_project/thesis/outputs/exp06_svm_ready/fusion_svm_ready_20260603_200236.json</t>
  </si>
  <si>
    <t>/content/drive/MyDrive/thesis_project/thesis/outputs/exp06_svm_ready/fusion_svm_ready_results_20260603_200234.xlsx</t>
  </si>
  <si>
    <t>/content/drive/MyDrive/thesis_project/thesis/outputs/exp06_svm_ready/fusion_svm_ready_20260603_200237.json</t>
  </si>
  <si>
    <t>/content/drive/MyDrive/thesis_project/thesis/outputs/exp06_svm_ready/fusion_svm_ready_results_20260603_200236.xlsx</t>
  </si>
  <si>
    <t>/content/drive/MyDrive/thesis_project/thesis/outputs/exp06_svm_ready/fusion_svm_ready_20260603_200238.json</t>
  </si>
  <si>
    <t>/content/drive/MyDrive/thesis_project/thesis/outputs/exp06_svm_ready/fusion_svm_ready_results_20260603_200238.xlsx</t>
  </si>
  <si>
    <t>/content/drive/MyDrive/thesis_project/thesis/outputs/exp06_svm_ready/fusion_svm_ready_20260603_200240.json</t>
  </si>
  <si>
    <t>/content/drive/MyDrive/thesis_project/thesis/outputs/exp06_svm_ready/fusion_svm_ready_results_20260603_200239.xlsx</t>
  </si>
  <si>
    <t>/content/drive/MyDrive/thesis_project/thesis/outputs/exp06_svm_ready/fusion_svm_ready_20260603_200241.json</t>
  </si>
  <si>
    <t>/content/drive/MyDrive/thesis_project/thesis/outputs/exp06_svm_ready/fusion_svm_ready_results_20260603_200241.xlsx</t>
  </si>
  <si>
    <t>/content/drive/MyDrive/thesis_project/thesis/outputs/exp06_svm_ready/fusion_svm_ready_20260603_200243.json</t>
  </si>
  <si>
    <t>/content/drive/MyDrive/thesis_project/thesis/outputs/exp06_svm_ready/fusion_svm_ready_results_20260603_200242.xlsx</t>
  </si>
  <si>
    <t>/content/drive/MyDrive/thesis_project/thesis/outputs/exp06_svm_ready/fusion_svm_ready_20260603_200245.json</t>
  </si>
  <si>
    <t>/content/drive/MyDrive/thesis_project/thesis/outputs/exp06_svm_ready/fusion_svm_ready_results_20260603_200244.xlsx</t>
  </si>
  <si>
    <t>/content/drive/MyDrive/thesis_project/thesis/outputs/exp06_svm_ready/fusion_svm_ready_20260603_200246.json</t>
  </si>
  <si>
    <t>/content/drive/MyDrive/thesis_project/thesis/outputs/exp06_svm_ready/fusion_svm_ready_results_20260603_200245.xlsx</t>
  </si>
  <si>
    <t>/content/drive/MyDrive/thesis_project/thesis/outputs/exp06_svm_ready/fusion_svm_ready_20260603_200248.json</t>
  </si>
  <si>
    <t>/content/drive/MyDrive/thesis_project/thesis/outputs/exp06_svm_ready/fusion_svm_ready_results_20260603_200247.xlsx</t>
  </si>
  <si>
    <t>/content/drive/MyDrive/thesis_project/thesis/outputs/exp06_svm_ready/fusion_svm_ready_20260603_200249.json</t>
  </si>
  <si>
    <t>/content/drive/MyDrive/thesis_project/thesis/outputs/exp06_svm_ready/fusion_svm_ready_results_20260603_200248.xlsx</t>
  </si>
  <si>
    <t>/content/drive/MyDrive/thesis_project/thesis/outputs/exp06_svm_ready/fusion_svm_ready_20260603_200250.json</t>
  </si>
  <si>
    <t>/content/drive/MyDrive/thesis_project/thesis/outputs/exp06_svm_ready/fusion_svm_ready_results_20260603_200250.xlsx</t>
  </si>
  <si>
    <t>/content/drive/MyDrive/thesis_project/thesis/outputs/exp06_svm_ready/fusion_svm_ready_20260603_200252.json</t>
  </si>
  <si>
    <t>/content/drive/MyDrive/thesis_project/thesis/outputs/exp06_svm_ready/fusion_svm_ready_results_20260603_200251.xlsx</t>
  </si>
  <si>
    <t>/content/drive/MyDrive/thesis_project/thesis/outputs/exp06_svm_ready/fusion_svm_ready_20260603_200253.json</t>
  </si>
  <si>
    <t>/content/drive/MyDrive/thesis_project/thesis/outputs/exp06_svm_ready/fusion_svm_ready_results_20260603_200253.xlsx</t>
  </si>
  <si>
    <t>/content/drive/MyDrive/thesis_project/thesis/outputs/exp06_svm_ready/fusion_svm_ready_20260603_200255.json</t>
  </si>
  <si>
    <t>/content/drive/MyDrive/thesis_project/thesis/outputs/exp06_svm_ready/fusion_svm_ready_results_20260603_200254.xlsx</t>
  </si>
  <si>
    <t>/content/drive/MyDrive/thesis_project/thesis/outputs/exp06_svm_ready/fusion_svm_ready_20260603_200256.json</t>
  </si>
  <si>
    <t>/content/drive/MyDrive/thesis_project/thesis/outputs/exp06_svm_ready/fusion_svm_ready_results_20260603_200255.xlsx</t>
  </si>
  <si>
    <t>/content/drive/MyDrive/thesis_project/thesis/outputs/exp06_svm_ready/fusion_svm_ready_20260603_200257.json</t>
  </si>
  <si>
    <t>/content/drive/MyDrive/thesis_project/thesis/outputs/exp06_svm_ready/fusion_svm_ready_results_20260603_200257.xlsx</t>
  </si>
  <si>
    <t>/content/drive/MyDrive/thesis_project/thesis/outputs/exp06_svm_ready/fusion_svm_ready_20260603_200259.json</t>
  </si>
  <si>
    <t>/content/drive/MyDrive/thesis_project/thesis/outputs/exp06_svm_ready/fusion_svm_ready_results_20260603_200258.xlsx</t>
  </si>
  <si>
    <t>/content/drive/MyDrive/thesis_project/thesis/outputs/exp06_svm_ready/fusion_svm_ready_20260603_200300.json</t>
  </si>
  <si>
    <t>/content/drive/MyDrive/thesis_project/thesis/outputs/exp06_svm_ready/fusion_svm_ready_results_20260603_200259.xlsx</t>
  </si>
  <si>
    <t>/content/drive/MyDrive/thesis_project/thesis/outputs/exp06_svm_ready/fusion_svm_ready_20260603_200301.json</t>
  </si>
  <si>
    <t>/content/drive/MyDrive/thesis_project/thesis/outputs/exp06_svm_ready/fusion_svm_ready_results_20260603_200300.xlsx</t>
  </si>
  <si>
    <t>/content/drive/MyDrive/thesis_project/thesis/outputs/exp06_svm_ready/fusion_svm_ready_20260603_200303.json</t>
  </si>
  <si>
    <t>/content/drive/MyDrive/thesis_project/thesis/outputs/exp06_svm_ready/fusion_svm_ready_results_20260603_200302.xlsx</t>
  </si>
  <si>
    <t>/content/drive/MyDrive/thesis_project/thesis/outputs/exp06_svm_ready/fusion_svm_ready_20260603_200304.json</t>
  </si>
  <si>
    <t>/content/drive/MyDrive/thesis_project/thesis/outputs/exp06_svm_ready/fusion_svm_ready_results_20260603_200303.xlsx</t>
  </si>
  <si>
    <t>/content/drive/MyDrive/thesis_project/thesis/outputs/exp06_svm_ready/fusion_svm_ready_20260603_200305.json</t>
  </si>
  <si>
    <t>/content/drive/MyDrive/thesis_project/thesis/outputs/exp06_svm_ready/fusion_svm_ready_results_20260603_200304.xlsx</t>
  </si>
  <si>
    <t>/content/drive/MyDrive/thesis_project/thesis/outputs/exp06_svm_ready/fusion_svm_ready_20260603_200307.json</t>
  </si>
  <si>
    <t>/content/drive/MyDrive/thesis_project/thesis/outputs/exp06_svm_ready/fusion_svm_ready_results_20260603_200306.xlsx</t>
  </si>
  <si>
    <t>/content/drive/MyDrive/thesis_project/thesis/outputs/exp06_svm_ready/fusion_svm_ready_20260603_200308.json</t>
  </si>
  <si>
    <t>/content/drive/MyDrive/thesis_project/thesis/outputs/exp06_svm_ready/fusion_svm_ready_results_20260603_200307.xlsx</t>
  </si>
  <si>
    <t>/content/drive/MyDrive/thesis_project/thesis/outputs/exp06_svm_ready/fusion_svm_ready_20260603_200309.json</t>
  </si>
  <si>
    <t>/content/drive/MyDrive/thesis_project/thesis/outputs/exp06_svm_ready/fusion_svm_ready_results_20260603_200308.xlsx</t>
  </si>
  <si>
    <t>/content/drive/MyDrive/thesis_project/thesis/outputs/exp06_svm_ready/fusion_svm_ready_20260603_200311.json</t>
  </si>
  <si>
    <t>/content/drive/MyDrive/thesis_project/thesis/outputs/exp06_svm_ready/fusion_svm_ready_results_20260603_200310.xlsx</t>
  </si>
  <si>
    <t>/content/drive/MyDrive/thesis_project/thesis/outputs/exp06_svm_ready/fusion_svm_ready_20260603_200312.json</t>
  </si>
  <si>
    <t>/content/drive/MyDrive/thesis_project/thesis/outputs/exp06_svm_ready/fusion_svm_ready_results_20260603_200311.xlsx</t>
  </si>
  <si>
    <t>/content/drive/MyDrive/thesis_project/thesis/outputs/exp06_svm_ready/fusion_svm_ready_20260603_200313.json</t>
  </si>
  <si>
    <t>/content/drive/MyDrive/thesis_project/thesis/outputs/exp06_svm_ready/fusion_svm_ready_results_20260603_200312.xlsx</t>
  </si>
  <si>
    <t>/content/drive/MyDrive/thesis_project/thesis/outputs/exp06_svm_ready/fusion_svm_ready_20260603_200314.json</t>
  </si>
  <si>
    <t>/content/drive/MyDrive/thesis_project/thesis/outputs/exp06_svm_ready/fusion_svm_ready_results_20260603_200314.xlsx</t>
  </si>
  <si>
    <t>/content/drive/MyDrive/thesis_project/thesis/outputs/exp06_svm_ready/fusion_svm_ready_20260603_200316.json</t>
  </si>
  <si>
    <t>/content/drive/MyDrive/thesis_project/thesis/outputs/exp06_svm_ready/fusion_svm_ready_results_20260603_200315.xlsx</t>
  </si>
  <si>
    <t>/content/drive/MyDrive/thesis_project/thesis/outputs/exp06_svm_ready/fusion_svm_ready_20260603_200317.json</t>
  </si>
  <si>
    <t>/content/drive/MyDrive/thesis_project/thesis/outputs/exp06_svm_ready/fusion_svm_ready_results_20260603_200316.xlsx</t>
  </si>
  <si>
    <t>/content/drive/MyDrive/thesis_project/thesis/outputs/exp06_svm_ready/fusion_svm_ready_20260603_200318.json</t>
  </si>
  <si>
    <t>/content/drive/MyDrive/thesis_project/thesis/outputs/exp06_svm_ready/fusion_svm_ready_results_20260603_200318.xlsx</t>
  </si>
  <si>
    <t>/content/drive/MyDrive/thesis_project/thesis/outputs/exp06_svm_ready/fusion_svm_ready_20260603_200320.json</t>
  </si>
  <si>
    <t>/content/drive/MyDrive/thesis_project/thesis/outputs/exp06_svm_ready/fusion_svm_ready_results_20260603_200319.xlsx</t>
  </si>
  <si>
    <t>/content/drive/MyDrive/thesis_project/thesis/outputs/exp06_svm_ready/fusion_svm_ready_20260603_200321.json</t>
  </si>
  <si>
    <t>/content/drive/MyDrive/thesis_project/thesis/outputs/exp06_svm_ready/fusion_svm_ready_results_20260603_200321.xlsx</t>
  </si>
  <si>
    <t>/content/drive/MyDrive/thesis_project/thesis/outputs/exp06_svm_ready/fusion_svm_ready_20260603_200323.json</t>
  </si>
  <si>
    <t>/content/drive/MyDrive/thesis_project/thesis/outputs/exp06_svm_ready/fusion_svm_ready_results_20260603_200322.xlsx</t>
  </si>
  <si>
    <t>/content/drive/MyDrive/thesis_project/thesis/outputs/exp06_svm_ready/fusion_svm_ready_20260603_200324.json</t>
  </si>
  <si>
    <t>/content/drive/MyDrive/thesis_project/thesis/outputs/exp06_svm_ready/fusion_svm_ready_results_20260603_200323.xlsx</t>
  </si>
  <si>
    <t>/content/drive/MyDrive/thesis_project/thesis/outputs/exp06_svm_ready/fusion_svm_ready_20260603_200326.json</t>
  </si>
  <si>
    <t>/content/drive/MyDrive/thesis_project/thesis/outputs/exp06_svm_ready/fusion_svm_ready_results_20260603_200325.xlsx</t>
  </si>
  <si>
    <t>/content/drive/MyDrive/thesis_project/thesis/outputs/exp06_svm_ready/fusion_svm_ready_20260603_200327.json</t>
  </si>
  <si>
    <t>/content/drive/MyDrive/thesis_project/thesis/outputs/exp06_svm_ready/fusion_svm_ready_results_20260603_200327.xlsx</t>
  </si>
  <si>
    <t>/content/drive/MyDrive/thesis_project/thesis/outputs/exp06_svm_ready/fusion_svm_ready_20260603_200329.json</t>
  </si>
  <si>
    <t>/content/drive/MyDrive/thesis_project/thesis/outputs/exp06_svm_ready/fusion_svm_ready_results_20260603_200328.xlsx</t>
  </si>
  <si>
    <t>/content/drive/MyDrive/thesis_project/thesis/outputs/exp06_svm_ready/fusion_svm_ready_20260603_200330.json</t>
  </si>
  <si>
    <t>/content/drive/MyDrive/thesis_project/thesis/outputs/exp06_svm_ready/fusion_svm_ready_results_20260603_200330.xlsx</t>
  </si>
  <si>
    <t>/content/drive/MyDrive/thesis_project/thesis/outputs/exp06_svm_ready/fusion_svm_ready_20260603_200332.json</t>
  </si>
  <si>
    <t>/content/drive/MyDrive/thesis_project/thesis/outputs/exp06_svm_ready/fusion_svm_ready_results_20260603_200331.xlsx</t>
  </si>
  <si>
    <t>/content/drive/MyDrive/thesis_project/thesis/outputs/exp06_svm_ready/fusion_svm_ready_20260603_200334.json</t>
  </si>
  <si>
    <t>/content/drive/MyDrive/thesis_project/thesis/outputs/exp06_svm_ready/fusion_svm_ready_results_20260603_200333.xlsx</t>
  </si>
  <si>
    <t>/content/drive/MyDrive/thesis_project/thesis/outputs/exp06_svm_ready/fusion_svm_ready_20260603_200335.json</t>
  </si>
  <si>
    <t>/content/drive/MyDrive/thesis_project/thesis/outputs/exp06_svm_ready/fusion_svm_ready_results_20260603_200334.xlsx</t>
  </si>
  <si>
    <t>/content/drive/MyDrive/thesis_project/thesis/outputs/exp06_svm_ready/fusion_svm_ready_20260603_200337.json</t>
  </si>
  <si>
    <t>/content/drive/MyDrive/thesis_project/thesis/outputs/exp06_svm_ready/fusion_svm_ready_results_20260603_200336.xlsx</t>
  </si>
  <si>
    <t>/content/drive/MyDrive/thesis_project/thesis/outputs/exp06_svm_ready/fusion_svm_ready_20260603_200338.json</t>
  </si>
  <si>
    <t>/content/drive/MyDrive/thesis_project/thesis/outputs/exp06_svm_ready/fusion_svm_ready_results_20260603_200337.xlsx</t>
  </si>
  <si>
    <t>/content/drive/MyDrive/thesis_project/thesis/outputs/exp06_svm_ready/fusion_svm_ready_20260603_200339.json</t>
  </si>
  <si>
    <t>/content/drive/MyDrive/thesis_project/thesis/outputs/exp06_svm_ready/fusion_svm_ready_results_20260603_200339.xlsx</t>
  </si>
  <si>
    <t>/content/drive/MyDrive/thesis_project/thesis/outputs/exp06_svm_ready/fusion_svm_ready_20260603_200341.json</t>
  </si>
  <si>
    <t>/content/drive/MyDrive/thesis_project/thesis/outputs/exp06_svm_ready/fusion_svm_ready_results_20260603_200340.xlsx</t>
  </si>
  <si>
    <t>/content/drive/MyDrive/thesis_project/thesis/outputs/exp06_svm_ready/fusion_svm_ready_20260603_200343.json</t>
  </si>
  <si>
    <t>/content/drive/MyDrive/thesis_project/thesis/outputs/exp06_svm_ready/fusion_svm_ready_results_20260603_200342.xlsx</t>
  </si>
  <si>
    <t>/content/drive/MyDrive/thesis_project/thesis/outputs/exp06_svm_ready/fusion_svm_ready_20260603_200344.json</t>
  </si>
  <si>
    <t>/content/drive/MyDrive/thesis_project/thesis/outputs/exp06_svm_ready/fusion_svm_ready_results_20260603_200343.xlsx</t>
  </si>
  <si>
    <t>/content/drive/MyDrive/thesis_project/thesis/outputs/exp06_svm_ready/fusion_svm_ready_20260603_200346.json</t>
  </si>
  <si>
    <t>/content/drive/MyDrive/thesis_project/thesis/outputs/exp06_svm_ready/fusion_svm_ready_results_20260603_200345.xlsx</t>
  </si>
  <si>
    <t>/content/drive/MyDrive/thesis_project/thesis/outputs/exp06_svm_ready/fusion_svm_ready_20260603_200347.json</t>
  </si>
  <si>
    <t>/content/drive/MyDrive/thesis_project/thesis/outputs/exp06_svm_ready/fusion_svm_ready_results_20260603_200347.xlsx</t>
  </si>
  <si>
    <t>/content/drive/MyDrive/thesis_project/thesis/outputs/exp06_svm_ready/fusion_svm_ready_20260603_200349.json</t>
  </si>
  <si>
    <t>/content/drive/MyDrive/thesis_project/thesis/outputs/exp06_svm_ready/fusion_svm_ready_results_20260603_200348.xlsx</t>
  </si>
  <si>
    <t>/content/drive/MyDrive/thesis_project/thesis/outputs/exp06_svm_ready/fusion_svm_ready_20260603_200350.json</t>
  </si>
  <si>
    <t>/content/drive/MyDrive/thesis_project/thesis/outputs/exp06_svm_ready/fusion_svm_ready_results_20260603_200350.xlsx</t>
  </si>
  <si>
    <t>/content/drive/MyDrive/thesis_project/thesis/outputs/exp06_svm_ready/fusion_svm_ready_20260603_200352.json</t>
  </si>
  <si>
    <t>/content/drive/MyDrive/thesis_project/thesis/outputs/exp06_svm_ready/fusion_svm_ready_results_20260603_200351.xlsx</t>
  </si>
  <si>
    <t>/content/drive/MyDrive/thesis_project/thesis/outputs/exp06_svm_ready/fusion_svm_ready_20260603_200354.json</t>
  </si>
  <si>
    <t>/content/drive/MyDrive/thesis_project/thesis/outputs/exp06_svm_ready/fusion_svm_ready_results_20260603_200353.xlsx</t>
  </si>
  <si>
    <t>/content/drive/MyDrive/thesis_project/thesis/outputs/exp06_svm_ready/fusion_svm_ready_20260603_200355.json</t>
  </si>
  <si>
    <t>/content/drive/MyDrive/thesis_project/thesis/outputs/exp06_svm_ready/fusion_svm_ready_results_20260603_200354.xlsx</t>
  </si>
  <si>
    <t>/content/drive/MyDrive/thesis_project/thesis/outputs/exp06_svm_ready/fusion_svm_ready_20260603_200356.json</t>
  </si>
  <si>
    <t>/content/drive/MyDrive/thesis_project/thesis/outputs/exp06_svm_ready/fusion_svm_ready_results_20260603_200356.xlsx</t>
  </si>
  <si>
    <t>/content/drive/MyDrive/thesis_project/thesis/outputs/exp06_svm_ready/fusion_svm_ready_20260603_200358.json</t>
  </si>
  <si>
    <t>/content/drive/MyDrive/thesis_project/thesis/outputs/exp06_svm_ready/fusion_svm_ready_results_20260603_200358.xlsx</t>
  </si>
  <si>
    <t>/content/drive/MyDrive/thesis_project/thesis/outputs/exp06_svm_ready/fusion_svm_ready_20260603_200400.json</t>
  </si>
  <si>
    <t>/content/drive/MyDrive/thesis_project/thesis/outputs/exp06_svm_ready/fusion_svm_ready_results_20260603_200359.xlsx</t>
  </si>
  <si>
    <t>/content/drive/MyDrive/thesis_project/thesis/outputs/exp06_svm_ready/fusion_svm_ready_20260603_200401.json</t>
  </si>
  <si>
    <t>/content/drive/MyDrive/thesis_project/thesis/outputs/exp06_svm_ready/fusion_svm_ready_results_20260603_200400.xlsx</t>
  </si>
  <si>
    <t>/content/drive/MyDrive/thesis_project/thesis/outputs/exp06_svm_ready/fusion_svm_ready_20260603_200403.json</t>
  </si>
  <si>
    <t>/content/drive/MyDrive/thesis_project/thesis/outputs/exp06_svm_ready/fusion_svm_ready_results_20260603_200402.xlsx</t>
  </si>
  <si>
    <t>/content/drive/MyDrive/thesis_project/thesis/outputs/exp06_svm_ready/fusion_svm_ready_20260603_200404.json</t>
  </si>
  <si>
    <t>/content/drive/MyDrive/thesis_project/thesis/outputs/exp06_svm_ready/fusion_svm_ready_results_20260603_200403.xlsx</t>
  </si>
  <si>
    <t>/content/drive/MyDrive/thesis_project/thesis/outputs/exp06_svm_ready/fusion_svm_ready_20260603_200406.json</t>
  </si>
  <si>
    <t>/content/drive/MyDrive/thesis_project/thesis/outputs/exp06_svm_ready/fusion_svm_ready_results_20260603_200405.xlsx</t>
  </si>
  <si>
    <t>/content/drive/MyDrive/thesis_project/thesis/outputs/exp06_svm_ready/fusion_svm_ready_20260603_200407.json</t>
  </si>
  <si>
    <t>/content/drive/MyDrive/thesis_project/thesis/outputs/exp06_svm_ready/fusion_svm_ready_results_20260603_200407.xlsx</t>
  </si>
  <si>
    <t>/content/drive/MyDrive/thesis_project/thesis/outputs/exp06_svm_ready/fusion_svm_ready_20260603_200409.json</t>
  </si>
  <si>
    <t>/content/drive/MyDrive/thesis_project/thesis/outputs/exp06_svm_ready/fusion_svm_ready_results_20260603_200408.xlsx</t>
  </si>
  <si>
    <t>/content/drive/MyDrive/thesis_project/thesis/outputs/exp06_svm_ready/fusion_svm_ready_20260603_200410.json</t>
  </si>
  <si>
    <t>/content/drive/MyDrive/thesis_project/thesis/outputs/exp06_svm_ready/fusion_svm_ready_results_20260603_200410.xlsx</t>
  </si>
  <si>
    <t>/content/drive/MyDrive/thesis_project/thesis/outputs/exp06_svm_ready/fusion_svm_ready_20260603_200412.json</t>
  </si>
  <si>
    <t>/content/drive/MyDrive/thesis_project/thesis/outputs/exp06_svm_ready/fusion_svm_ready_results_20260603_200411.xlsx</t>
  </si>
  <si>
    <t>/content/drive/MyDrive/thesis_project/thesis/outputs/exp06_svm_ready/fusion_svm_ready_20260603_200414.json</t>
  </si>
  <si>
    <t>/content/drive/MyDrive/thesis_project/thesis/outputs/exp06_svm_ready/fusion_svm_ready_results_20260603_200412.xlsx</t>
  </si>
  <si>
    <t>/content/drive/MyDrive/thesis_project/thesis/outputs/exp06_svm_ready/fusion_svm_ready_20260603_200415.json</t>
  </si>
  <si>
    <t>/content/drive/MyDrive/thesis_project/thesis/outputs/exp06_svm_ready/fusion_svm_ready_results_20260603_200414.xlsx</t>
  </si>
  <si>
    <t>/content/drive/MyDrive/thesis_project/thesis/outputs/exp06_svm_ready/fusion_svm_ready_20260603_200416.json</t>
  </si>
  <si>
    <t>/content/drive/MyDrive/thesis_project/thesis/outputs/exp06_svm_ready/fusion_svm_ready_results_20260603_200416.xlsx</t>
  </si>
  <si>
    <t>/content/drive/MyDrive/thesis_project/thesis/outputs/exp06_svm_ready/fusion_svm_ready_20260603_200418.json</t>
  </si>
  <si>
    <t>/content/drive/MyDrive/thesis_project/thesis/outputs/exp06_svm_ready/fusion_svm_ready_results_20260603_200417.xlsx</t>
  </si>
  <si>
    <t>/content/drive/MyDrive/thesis_project/thesis/outputs/exp06_svm_ready/fusion_svm_ready_20260603_200419.json</t>
  </si>
  <si>
    <t>/content/drive/MyDrive/thesis_project/thesis/outputs/exp06_svm_ready/fusion_svm_ready_results_20260603_200419.xlsx</t>
  </si>
  <si>
    <t>/content/drive/MyDrive/thesis_project/thesis/outputs/exp06_svm_ready/fusion_svm_ready_20260603_200421.json</t>
  </si>
  <si>
    <t>/content/drive/MyDrive/thesis_project/thesis/outputs/exp06_svm_ready/fusion_svm_ready_results_20260603_200420.xlsx</t>
  </si>
  <si>
    <t>/content/drive/MyDrive/thesis_project/thesis/outputs/exp06_svm_ready/fusion_svm_ready_20260603_200422.json</t>
  </si>
  <si>
    <t>/content/drive/MyDrive/thesis_project/thesis/outputs/exp06_svm_ready/fusion_svm_ready_results_20260603_200421.xlsx</t>
  </si>
  <si>
    <t>/content/drive/MyDrive/thesis_project/thesis/outputs/exp06_svm_ready/fusion_svm_ready_20260603_200423.json</t>
  </si>
  <si>
    <t>/content/drive/MyDrive/thesis_project/thesis/outputs/exp06_svm_ready/fusion_svm_ready_results_20260603_200423.xlsx</t>
  </si>
  <si>
    <t>/content/drive/MyDrive/thesis_project/thesis/outputs/exp06_svm_ready/fusion_svm_ready_20260603_200425.json</t>
  </si>
  <si>
    <t>/content/drive/MyDrive/thesis_project/thesis/outputs/exp06_svm_ready/fusion_svm_ready_results_20260603_200424.xlsx</t>
  </si>
  <si>
    <t>/content/drive/MyDrive/thesis_project/thesis/outputs/exp06_svm_ready/fusion_svm_ready_20260603_200426.json</t>
  </si>
  <si>
    <t>/content/drive/MyDrive/thesis_project/thesis/outputs/exp06_svm_ready/fusion_svm_ready_results_20260603_200425.xlsx</t>
  </si>
  <si>
    <t>/content/drive/MyDrive/thesis_project/thesis/outputs/exp06_svm_ready/fusion_svm_ready_20260603_200428.json</t>
  </si>
  <si>
    <t>/content/drive/MyDrive/thesis_project/thesis/outputs/exp06_svm_ready/fusion_svm_ready_results_20260603_200427.xlsx</t>
  </si>
  <si>
    <t>/content/drive/MyDrive/thesis_project/thesis/outputs/exp06_svm_ready/fusion_svm_ready_20260603_200429.json</t>
  </si>
  <si>
    <t>/content/drive/MyDrive/thesis_project/thesis/outputs/exp06_svm_ready/fusion_svm_ready_results_20260603_200428.xlsx</t>
  </si>
  <si>
    <t>/content/drive/MyDrive/thesis_project/thesis/outputs/exp06_svm_ready/fusion_svm_ready_20260603_200430.json</t>
  </si>
  <si>
    <t>/content/drive/MyDrive/thesis_project/thesis/outputs/exp06_svm_ready/fusion_svm_ready_results_20260603_200429.xlsx</t>
  </si>
  <si>
    <t>/content/drive/MyDrive/thesis_project/thesis/outputs/exp06_svm_ready/fusion_svm_ready_20260603_200431.json</t>
  </si>
  <si>
    <t>/content/drive/MyDrive/thesis_project/thesis/outputs/exp06_svm_ready/fusion_svm_ready_results_20260603_200431.xlsx</t>
  </si>
  <si>
    <t>/content/drive/MyDrive/thesis_project/thesis/outputs/exp06_svm_ready/fusion_svm_ready_20260603_200433.json</t>
  </si>
  <si>
    <t>/content/drive/MyDrive/thesis_project/thesis/outputs/exp06_svm_ready/fusion_svm_ready_results_20260603_200432.xlsx</t>
  </si>
  <si>
    <t>/content/drive/MyDrive/thesis_project/thesis/outputs/exp06_svm_ready/fusion_svm_ready_20260603_200434.json</t>
  </si>
  <si>
    <t>/content/drive/MyDrive/thesis_project/thesis/outputs/exp06_svm_ready/fusion_svm_ready_results_20260603_200433.xlsx</t>
  </si>
  <si>
    <t>/content/drive/MyDrive/thesis_project/thesis/outputs/exp06_svm_ready/fusion_svm_ready_20260603_200435.json</t>
  </si>
  <si>
    <t>/content/drive/MyDrive/thesis_project/thesis/outputs/exp06_svm_ready/fusion_svm_ready_results_20260603_200435.xlsx</t>
  </si>
  <si>
    <t>/content/drive/MyDrive/thesis_project/thesis/outputs/exp06_svm_ready/fusion_svm_ready_20260603_200436.json</t>
  </si>
  <si>
    <t>/content/drive/MyDrive/thesis_project/thesis/outputs/exp06_svm_ready/fusion_svm_ready_results_20260603_200436.xlsx</t>
  </si>
  <si>
    <t>/content/drive/MyDrive/thesis_project/thesis/outputs/exp06_svm_ready/fusion_svm_ready_20260603_200438.json</t>
  </si>
  <si>
    <t>/content/drive/MyDrive/thesis_project/thesis/outputs/exp06_svm_ready/fusion_svm_ready_results_20260603_200437.xlsx</t>
  </si>
  <si>
    <t>/content/drive/MyDrive/thesis_project/thesis/outputs/exp06_svm_ready/fusion_svm_ready_20260603_200439.json</t>
  </si>
  <si>
    <t>/content/drive/MyDrive/thesis_project/thesis/outputs/exp06_svm_ready/fusion_svm_ready_results_20260603_200439.xlsx</t>
  </si>
  <si>
    <t>/content/drive/MyDrive/thesis_project/thesis/outputs/exp06_svm_ready/fusion_svm_ready_20260603_200440.json</t>
  </si>
  <si>
    <t>/content/drive/MyDrive/thesis_project/thesis/outputs/exp06_svm_ready/fusion_svm_ready_results_20260603_200440.xlsx</t>
  </si>
  <si>
    <t>/content/drive/MyDrive/thesis_project/thesis/outputs/exp06_svm_ready/fusion_svm_ready_20260603_200442.json</t>
  </si>
  <si>
    <t>/content/drive/MyDrive/thesis_project/thesis/outputs/exp06_svm_ready/fusion_svm_ready_results_20260603_200441.xlsx</t>
  </si>
  <si>
    <t>/content/drive/MyDrive/thesis_project/thesis/outputs/exp06_svm_ready/fusion_svm_ready_20260603_200443.json</t>
  </si>
  <si>
    <t>/content/drive/MyDrive/thesis_project/thesis/outputs/exp06_svm_ready/fusion_svm_ready_results_20260603_200443.xlsx</t>
  </si>
  <si>
    <t>/content/drive/MyDrive/thesis_project/thesis/outputs/exp06_svm_ready/fusion_svm_ready_20260603_200444.json</t>
  </si>
  <si>
    <t>/content/drive/MyDrive/thesis_project/thesis/outputs/exp06_svm_ready/fusion_svm_ready_results_20260603_200444.xlsx</t>
  </si>
  <si>
    <t>/content/drive/MyDrive/thesis_project/thesis/outputs/exp06_svm_ready/fusion_svm_ready_20260603_200446.json</t>
  </si>
  <si>
    <t>/content/drive/MyDrive/thesis_project/thesis/outputs/exp06_svm_ready/fusion_svm_ready_results_20260603_200445.xlsx</t>
  </si>
  <si>
    <t>/content/drive/MyDrive/thesis_project/thesis/outputs/exp06_svm_ready/fusion_svm_ready_20260603_200447.json</t>
  </si>
  <si>
    <t>/content/drive/MyDrive/thesis_project/thesis/outputs/exp06_svm_ready/fusion_svm_ready_results_20260603_200447.xlsx</t>
  </si>
  <si>
    <t>/content/drive/MyDrive/thesis_project/thesis/outputs/exp06_svm_ready/fusion_svm_ready_20260603_200449.json</t>
  </si>
  <si>
    <t>/content/drive/MyDrive/thesis_project/thesis/outputs/exp06_svm_ready/fusion_svm_ready_results_20260603_200448.xlsx</t>
  </si>
  <si>
    <t>/content/drive/MyDrive/thesis_project/thesis/outputs/exp06_svm_ready/fusion_svm_ready_20260603_200450.json</t>
  </si>
  <si>
    <t>/content/drive/MyDrive/thesis_project/thesis/outputs/exp06_svm_ready/fusion_svm_ready_results_20260603_200449.xlsx</t>
  </si>
  <si>
    <t>/content/drive/MyDrive/thesis_project/thesis/outputs/exp06_svm_ready/fusion_svm_ready_20260603_200452.json</t>
  </si>
  <si>
    <t>/content/drive/MyDrive/thesis_project/thesis/outputs/exp06_svm_ready/fusion_svm_ready_results_20260603_200451.xlsx</t>
  </si>
  <si>
    <t>/content/drive/MyDrive/thesis_project/thesis/outputs/exp06_svm_ready/fusion_svm_ready_20260603_200453.json</t>
  </si>
  <si>
    <t>/content/drive/MyDrive/thesis_project/thesis/outputs/exp06_svm_ready/fusion_svm_ready_results_20260603_200453.xlsx</t>
  </si>
  <si>
    <t>/content/drive/MyDrive/thesis_project/thesis/outputs/exp06_svm_ready/fusion_svm_ready_20260603_200455.json</t>
  </si>
  <si>
    <t>/content/drive/MyDrive/thesis_project/thesis/outputs/exp06_svm_ready/fusion_svm_ready_results_20260603_200454.xlsx</t>
  </si>
  <si>
    <t>/content/drive/MyDrive/thesis_project/thesis/outputs/exp06_svm_ready/fusion_svm_ready_20260603_200456.json</t>
  </si>
  <si>
    <t>/content/drive/MyDrive/thesis_project/thesis/outputs/exp06_svm_ready/fusion_svm_ready_results_20260603_200456.xlsx</t>
  </si>
  <si>
    <t>/content/drive/MyDrive/thesis_project/thesis/outputs/exp06_svm_ready/fusion_svm_ready_20260603_200458.json</t>
  </si>
  <si>
    <t>/content/drive/MyDrive/thesis_project/thesis/outputs/exp06_svm_ready/fusion_svm_ready_results_20260603_200457.xlsx</t>
  </si>
  <si>
    <t>/content/drive/MyDrive/thesis_project/thesis/outputs/exp06_svm_ready/fusion_svm_ready_20260603_200500.json</t>
  </si>
  <si>
    <t>/content/drive/MyDrive/thesis_project/thesis/outputs/exp06_svm_ready/fusion_svm_ready_results_20260603_200458.xlsx</t>
  </si>
  <si>
    <t>/content/drive/MyDrive/thesis_project/thesis/outputs/exp06_svm_ready/fusion_svm_ready_20260603_200501.json</t>
  </si>
  <si>
    <t>/content/drive/MyDrive/thesis_project/thesis/outputs/exp06_svm_ready/fusion_svm_ready_results_20260603_200500.xlsx</t>
  </si>
  <si>
    <t>/content/drive/MyDrive/thesis_project/thesis/outputs/exp06_svm_ready/fusion_svm_ready_20260603_200502.json</t>
  </si>
  <si>
    <t>/content/drive/MyDrive/thesis_project/thesis/outputs/exp06_svm_ready/fusion_svm_ready_results_20260603_200502.xlsx</t>
  </si>
  <si>
    <t>/content/drive/MyDrive/thesis_project/thesis/outputs/exp06_svm_ready/fusion_svm_ready_20260603_200504.json</t>
  </si>
  <si>
    <t>/content/drive/MyDrive/thesis_project/thesis/outputs/exp06_svm_ready/fusion_svm_ready_results_20260603_200503.xlsx</t>
  </si>
  <si>
    <t>/content/drive/MyDrive/thesis_project/thesis/outputs/exp06_svm_ready/fusion_svm_ready_20260603_200505.json</t>
  </si>
  <si>
    <t>/content/drive/MyDrive/thesis_project/thesis/outputs/exp06_svm_ready/fusion_svm_ready_results_20260603_200505.xlsx</t>
  </si>
  <si>
    <t>/content/drive/MyDrive/thesis_project/thesis/outputs/exp06_svm_ready/fusion_svm_ready_20260603_200507.json</t>
  </si>
  <si>
    <t>/content/drive/MyDrive/thesis_project/thesis/outputs/exp06_svm_ready/fusion_svm_ready_results_20260603_200506.xlsx</t>
  </si>
  <si>
    <t>/content/drive/MyDrive/thesis_project/thesis/outputs/exp06_svm_ready/fusion_svm_ready_20260603_200509.json</t>
  </si>
  <si>
    <t>/content/drive/MyDrive/thesis_project/thesis/outputs/exp06_svm_ready/fusion_svm_ready_results_20260603_200508.xlsx</t>
  </si>
  <si>
    <t>/content/drive/MyDrive/thesis_project/thesis/outputs/exp06_svm_ready/fusion_svm_ready_20260603_200510.json</t>
  </si>
  <si>
    <t>/content/drive/MyDrive/thesis_project/thesis/outputs/exp06_svm_ready/fusion_svm_ready_results_20260603_200509.xlsx</t>
  </si>
  <si>
    <t>/content/drive/MyDrive/thesis_project/thesis/outputs/exp06_svm_ready/fusion_svm_ready_20260603_200511.json</t>
  </si>
  <si>
    <t>/content/drive/MyDrive/thesis_project/thesis/outputs/exp06_svm_ready/fusion_svm_ready_results_20260603_200511.xlsx</t>
  </si>
  <si>
    <t>/content/drive/MyDrive/thesis_project/thesis/outputs/exp06_svm_ready/fusion_svm_ready_20260603_200513.json</t>
  </si>
  <si>
    <t>/content/drive/MyDrive/thesis_project/thesis/outputs/exp06_svm_ready/fusion_svm_ready_results_20260603_200512.xlsx</t>
  </si>
  <si>
    <t>/content/drive/MyDrive/thesis_project/thesis/outputs/exp06_svm_ready/fusion_svm_ready_20260603_200514.json</t>
  </si>
  <si>
    <t>/content/drive/MyDrive/thesis_project/thesis/outputs/exp06_svm_ready/fusion_svm_ready_results_20260603_200514.xlsx</t>
  </si>
  <si>
    <t>/content/drive/MyDrive/thesis_project/thesis/outputs/exp06_svm_ready/fusion_svm_ready_20260603_200516.json</t>
  </si>
  <si>
    <t>/content/drive/MyDrive/thesis_project/thesis/outputs/exp06_svm_ready/fusion_svm_ready_results_20260603_200515.xlsx</t>
  </si>
  <si>
    <t>alephbertgimmel</t>
  </si>
  <si>
    <t>dicta-il/alephbertgimmel-base</t>
  </si>
  <si>
    <t>/content/drive/MyDrive/thesis_project/thesis/outputs/exp01/regular_ner_20260603_200553.json</t>
  </si>
  <si>
    <t>/content/drive/MyDrive/thesis_project/thesis/outputs/exp01/regular_ner_results_20260603_200553.xlsx</t>
  </si>
  <si>
    <t>/content/drive/MyDrive/thesis_project/thesis/outputs/exp01/regular_ner_20260603_200652.json</t>
  </si>
  <si>
    <t>/content/drive/MyDrive/thesis_project/thesis/outputs/exp01/regular_ner_results_20260603_200651.xlsx</t>
  </si>
  <si>
    <t>/content/drive/MyDrive/thesis_project/thesis/outputs/exp01/regular_ner_20260603_200750.json</t>
  </si>
  <si>
    <t>/content/drive/MyDrive/thesis_project/thesis/outputs/exp01/regular_ner_results_20260603_200750.xlsx</t>
  </si>
  <si>
    <t>/content/drive/MyDrive/thesis_project/thesis/outputs/exp01/regular_ner_20260603_200850.json</t>
  </si>
  <si>
    <t>/content/drive/MyDrive/thesis_project/thesis/outputs/exp01/regular_ner_results_20260603_200849.xlsx</t>
  </si>
  <si>
    <t>/content/drive/MyDrive/thesis_project/thesis/outputs/exp01/regular_ner_20260603_200948.json</t>
  </si>
  <si>
    <t>/content/drive/MyDrive/thesis_project/thesis/outputs/exp01/regular_ner_results_20260603_200948.xlsx</t>
  </si>
  <si>
    <t>/content/drive/MyDrive/thesis_project/thesis/outputs/exp01/regular_ner_20260603_201048.json</t>
  </si>
  <si>
    <t>/content/drive/MyDrive/thesis_project/thesis/outputs/exp01/regular_ner_results_20260603_201047.xlsx</t>
  </si>
  <si>
    <t>/content/drive/MyDrive/thesis_project/thesis/outputs/exp01/regular_ner_20260603_201147.json</t>
  </si>
  <si>
    <t>/content/drive/MyDrive/thesis_project/thesis/outputs/exp01/regular_ner_results_20260603_201147.xlsx</t>
  </si>
  <si>
    <t>/content/drive/MyDrive/thesis_project/thesis/outputs/exp01/regular_ner_20260603_201247.json</t>
  </si>
  <si>
    <t>/content/drive/MyDrive/thesis_project/thesis/outputs/exp01/regular_ner_results_20260603_201246.xlsx</t>
  </si>
  <si>
    <t>/content/drive/MyDrive/thesis_project/thesis/outputs/exp01/regular_ner_20260603_201347.json</t>
  </si>
  <si>
    <t>/content/drive/MyDrive/thesis_project/thesis/outputs/exp01/regular_ner_results_20260603_201346.xlsx</t>
  </si>
  <si>
    <t>/content/drive/MyDrive/thesis_project/thesis/outputs/exp01/regular_ner_20260603_201445.json</t>
  </si>
  <si>
    <t>/content/drive/MyDrive/thesis_project/thesis/outputs/exp01/regular_ner_results_20260603_201445.xlsx</t>
  </si>
  <si>
    <t>/content/drive/MyDrive/thesis_project/thesis/outputs/exp01/regular_ner_20260603_201544.json</t>
  </si>
  <si>
    <t>/content/drive/MyDrive/thesis_project/thesis/outputs/exp01/regular_ner_results_20260603_201544.xlsx</t>
  </si>
  <si>
    <t>/content/drive/MyDrive/thesis_project/thesis/outputs/exp01/regular_ner_20260603_201643.json</t>
  </si>
  <si>
    <t>/content/drive/MyDrive/thesis_project/thesis/outputs/exp01/regular_ner_results_20260603_201643.xlsx</t>
  </si>
  <si>
    <t>/content/drive/MyDrive/thesis_project/thesis/outputs/exp01/regular_ner_20260603_201743.json</t>
  </si>
  <si>
    <t>/content/drive/MyDrive/thesis_project/thesis/outputs/exp01/regular_ner_results_20260603_201742.xlsx</t>
  </si>
  <si>
    <t>/content/drive/MyDrive/thesis_project/thesis/outputs/exp01/regular_ner_20260603_201842.json</t>
  </si>
  <si>
    <t>/content/drive/MyDrive/thesis_project/thesis/outputs/exp01/regular_ner_results_20260603_201842.xlsx</t>
  </si>
  <si>
    <t>/content/drive/MyDrive/thesis_project/thesis/outputs/exp01/regular_ner_20260603_201942.json</t>
  </si>
  <si>
    <t>/content/drive/MyDrive/thesis_project/thesis/outputs/exp01/regular_ner_results_20260603_201941.xlsx</t>
  </si>
  <si>
    <t>/content/drive/MyDrive/thesis_project/thesis/outputs/exp01/regular_ner_20260603_202041.json</t>
  </si>
  <si>
    <t>/content/drive/MyDrive/thesis_project/thesis/outputs/exp01/regular_ner_results_20260603_202041.xlsx</t>
  </si>
  <si>
    <t>/content/drive/MyDrive/thesis_project/thesis/outputs/exp01/regular_ner_20260603_202140.json</t>
  </si>
  <si>
    <t>/content/drive/MyDrive/thesis_project/thesis/outputs/exp01/regular_ner_results_20260603_202139.xlsx</t>
  </si>
  <si>
    <t>/content/drive/MyDrive/thesis_project/thesis/outputs/exp01/regular_ner_20260603_202239.json</t>
  </si>
  <si>
    <t>/content/drive/MyDrive/thesis_project/thesis/outputs/exp01/regular_ner_results_20260603_202239.xlsx</t>
  </si>
  <si>
    <t>/content/drive/MyDrive/thesis_project/thesis/outputs/exp01/regular_ner_20260603_202338.json</t>
  </si>
  <si>
    <t>/content/drive/MyDrive/thesis_project/thesis/outputs/exp01/regular_ner_results_20260603_202338.xlsx</t>
  </si>
  <si>
    <t>/content/drive/MyDrive/thesis_project/thesis/outputs/exp01/regular_ner_20260603_202437.json</t>
  </si>
  <si>
    <t>/content/drive/MyDrive/thesis_project/thesis/outputs/exp01/regular_ner_results_20260603_202436.xlsx</t>
  </si>
  <si>
    <t>/content/drive/MyDrive/thesis_project/thesis/outputs/exp01/regular_ner_20260603_202538.json</t>
  </si>
  <si>
    <t>/content/drive/MyDrive/thesis_project/thesis/outputs/exp01/regular_ner_results_20260603_202538.xlsx</t>
  </si>
  <si>
    <t>/content/drive/MyDrive/thesis_project/thesis/outputs/exp01/regular_ner_20260603_202635.json</t>
  </si>
  <si>
    <t>/content/drive/MyDrive/thesis_project/thesis/outputs/exp01/regular_ner_results_20260603_202635.xlsx</t>
  </si>
  <si>
    <t>/content/drive/MyDrive/thesis_project/thesis/outputs/exp01/regular_ner_20260603_202733.json</t>
  </si>
  <si>
    <t>/content/drive/MyDrive/thesis_project/thesis/outputs/exp01/regular_ner_results_20260603_202733.xlsx</t>
  </si>
  <si>
    <t>/content/drive/MyDrive/thesis_project/thesis/outputs/exp01/regular_ner_20260603_202830.json</t>
  </si>
  <si>
    <t>/content/drive/MyDrive/thesis_project/thesis/outputs/exp01/regular_ner_results_20260603_202830.xlsx</t>
  </si>
  <si>
    <t>/content/drive/MyDrive/thesis_project/thesis/outputs/exp01/regular_ner_20260603_202928.json</t>
  </si>
  <si>
    <t>/content/drive/MyDrive/thesis_project/thesis/outputs/exp01/regular_ner_results_20260603_202927.xlsx</t>
  </si>
  <si>
    <t>/content/drive/MyDrive/thesis_project/thesis/outputs/exp01/regular_ner_20260603_203025.json</t>
  </si>
  <si>
    <t>/content/drive/MyDrive/thesis_project/thesis/outputs/exp01/regular_ner_results_20260603_203025.xlsx</t>
  </si>
  <si>
    <t>/content/drive/MyDrive/thesis_project/thesis/outputs/exp01/regular_ner_20260603_203122.json</t>
  </si>
  <si>
    <t>/content/drive/MyDrive/thesis_project/thesis/outputs/exp01/regular_ner_results_20260603_203122.xlsx</t>
  </si>
  <si>
    <t>/content/drive/MyDrive/thesis_project/thesis/outputs/exp01/regular_ner_20260603_203219.json</t>
  </si>
  <si>
    <t>/content/drive/MyDrive/thesis_project/thesis/outputs/exp01/regular_ner_results_20260603_203219.xlsx</t>
  </si>
  <si>
    <t>/content/drive/MyDrive/thesis_project/thesis/outputs/exp01/regular_ner_20260603_203316.json</t>
  </si>
  <si>
    <t>/content/drive/MyDrive/thesis_project/thesis/outputs/exp01/regular_ner_results_20260603_203316.xlsx</t>
  </si>
  <si>
    <t>/content/drive/MyDrive/thesis_project/thesis/outputs/exp01/regular_ner_20260603_203414.json</t>
  </si>
  <si>
    <t>/content/drive/MyDrive/thesis_project/thesis/outputs/exp01/regular_ner_results_20260603_203414.xlsx</t>
  </si>
  <si>
    <t>/content/drive/MyDrive/thesis_project/thesis/outputs/exp01/regular_ner_20260603_203512.json</t>
  </si>
  <si>
    <t>/content/drive/MyDrive/thesis_project/thesis/outputs/exp01/regular_ner_results_20260603_203512.xlsx</t>
  </si>
  <si>
    <t>/content/drive/MyDrive/thesis_project/thesis/outputs/exp01/regular_ner_20260603_203610.json</t>
  </si>
  <si>
    <t>/content/drive/MyDrive/thesis_project/thesis/outputs/exp01/regular_ner_results_20260603_203610.xlsx</t>
  </si>
  <si>
    <t>/content/drive/MyDrive/thesis_project/thesis/outputs/exp01/regular_ner_20260603_203708.json</t>
  </si>
  <si>
    <t>/content/drive/MyDrive/thesis_project/thesis/outputs/exp01/regular_ner_results_20260603_203707.xlsx</t>
  </si>
  <si>
    <t>/content/drive/MyDrive/thesis_project/thesis/outputs/exp01/regular_ner_20260603_203805.json</t>
  </si>
  <si>
    <t>/content/drive/MyDrive/thesis_project/thesis/outputs/exp01/regular_ner_results_20260603_203805.xlsx</t>
  </si>
  <si>
    <t>/content/drive/MyDrive/thesis_project/thesis/outputs/exp01/regular_ner_20260603_203903.json</t>
  </si>
  <si>
    <t>/content/drive/MyDrive/thesis_project/thesis/outputs/exp01/regular_ner_results_20260603_203903.xlsx</t>
  </si>
  <si>
    <t>/content/drive/MyDrive/thesis_project/thesis/outputs/exp01/regular_ner_20260603_204001.json</t>
  </si>
  <si>
    <t>/content/drive/MyDrive/thesis_project/thesis/outputs/exp01/regular_ner_results_20260603_204000.xlsx</t>
  </si>
  <si>
    <t>/content/drive/MyDrive/thesis_project/thesis/outputs/exp01/regular_ner_20260603_204058.json</t>
  </si>
  <si>
    <t>/content/drive/MyDrive/thesis_project/thesis/outputs/exp01/regular_ner_results_20260603_204058.xlsx</t>
  </si>
  <si>
    <t>/content/drive/MyDrive/thesis_project/thesis/outputs/exp01/regular_ner_20260603_204156.json</t>
  </si>
  <si>
    <t>/content/drive/MyDrive/thesis_project/thesis/outputs/exp01/regular_ner_results_20260603_204156.xlsx</t>
  </si>
  <si>
    <t>/content/drive/MyDrive/thesis_project/thesis/outputs/exp01/regular_ner_20260603_204253.json</t>
  </si>
  <si>
    <t>/content/drive/MyDrive/thesis_project/thesis/outputs/exp01/regular_ner_results_20260603_204253.xlsx</t>
  </si>
  <si>
    <t>/content/drive/MyDrive/thesis_project/thesis/outputs/exp01/regular_ner_20260603_210305.json</t>
  </si>
  <si>
    <t>/content/drive/MyDrive/thesis_project/thesis/outputs/exp01/regular_ner_results_20260603_210258.xlsx</t>
  </si>
  <si>
    <t>/content/drive/MyDrive/thesis_project/thesis/outputs/exp01/regular_ner_20260603_210415.json</t>
  </si>
  <si>
    <t>/content/drive/MyDrive/thesis_project/thesis/outputs/exp01/regular_ner_results_20260603_210415.xlsx</t>
  </si>
  <si>
    <t>/content/drive/MyDrive/thesis_project/thesis/outputs/exp01/regular_ner_20260603_210515.json</t>
  </si>
  <si>
    <t>/content/drive/MyDrive/thesis_project/thesis/outputs/exp01/regular_ner_results_20260603_210515.xlsx</t>
  </si>
  <si>
    <t>/content/drive/MyDrive/thesis_project/thesis/outputs/exp01/regular_ner_20260603_210615.json</t>
  </si>
  <si>
    <t>/content/drive/MyDrive/thesis_project/thesis/outputs/exp01/regular_ner_results_20260603_210614.xlsx</t>
  </si>
  <si>
    <t>/content/drive/MyDrive/thesis_project/thesis/outputs/exp01/regular_ner_20260603_210714.json</t>
  </si>
  <si>
    <t>/content/drive/MyDrive/thesis_project/thesis/outputs/exp01/regular_ner_results_20260603_210714.xlsx</t>
  </si>
  <si>
    <t>/content/drive/MyDrive/thesis_project/thesis/outputs/exp01/regular_ner_20260603_210814.json</t>
  </si>
  <si>
    <t>/content/drive/MyDrive/thesis_project/thesis/outputs/exp01/regular_ner_results_20260603_210813.xlsx</t>
  </si>
  <si>
    <t>/content/drive/MyDrive/thesis_project/thesis/outputs/exp01/regular_ner_20260603_210912.json</t>
  </si>
  <si>
    <t>/content/drive/MyDrive/thesis_project/thesis/outputs/exp01/regular_ner_results_20260603_210912.xlsx</t>
  </si>
  <si>
    <t>/content/drive/MyDrive/thesis_project/thesis/outputs/exp01/regular_ner_20260603_211012.json</t>
  </si>
  <si>
    <t>/content/drive/MyDrive/thesis_project/thesis/outputs/exp01/regular_ner_results_20260603_211011.xlsx</t>
  </si>
  <si>
    <t>/content/drive/MyDrive/thesis_project/thesis/outputs/exp01/regular_ner_20260603_211111.json</t>
  </si>
  <si>
    <t>/content/drive/MyDrive/thesis_project/thesis/outputs/exp01/regular_ner_results_20260603_211111.xlsx</t>
  </si>
  <si>
    <t>/content/drive/MyDrive/thesis_project/thesis/outputs/exp01/regular_ner_20260603_211210.json</t>
  </si>
  <si>
    <t>/content/drive/MyDrive/thesis_project/thesis/outputs/exp01/regular_ner_results_20260603_211210.xlsx</t>
  </si>
  <si>
    <t>/content/drive/MyDrive/thesis_project/thesis/outputs/exp01/regular_ner_20260603_211310.json</t>
  </si>
  <si>
    <t>/content/drive/MyDrive/thesis_project/thesis/outputs/exp01/regular_ner_results_20260603_211309.xlsx</t>
  </si>
  <si>
    <t>/content/drive/MyDrive/thesis_project/thesis/outputs/exp01/regular_ner_20260603_211408.json</t>
  </si>
  <si>
    <t>/content/drive/MyDrive/thesis_project/thesis/outputs/exp01/regular_ner_results_20260603_211408.xlsx</t>
  </si>
  <si>
    <t>/content/drive/MyDrive/thesis_project/thesis/outputs/exp01/regular_ner_20260603_211508.json</t>
  </si>
  <si>
    <t>/content/drive/MyDrive/thesis_project/thesis/outputs/exp01/regular_ner_results_20260603_211508.xlsx</t>
  </si>
  <si>
    <t>/content/drive/MyDrive/thesis_project/thesis/outputs/exp01/regular_ner_20260603_211608.json</t>
  </si>
  <si>
    <t>/content/drive/MyDrive/thesis_project/thesis/outputs/exp01/regular_ner_results_20260603_211608.xlsx</t>
  </si>
  <si>
    <t>/content/drive/MyDrive/thesis_project/thesis/outputs/exp01/regular_ner_20260603_211708.json</t>
  </si>
  <si>
    <t>/content/drive/MyDrive/thesis_project/thesis/outputs/exp01/regular_ner_results_20260603_211707.xlsx</t>
  </si>
  <si>
    <t>/content/drive/MyDrive/thesis_project/thesis/outputs/exp01/regular_ner_20260603_211806.json</t>
  </si>
  <si>
    <t>/content/drive/MyDrive/thesis_project/thesis/outputs/exp01/regular_ner_results_20260603_211806.xlsx</t>
  </si>
  <si>
    <t>/content/drive/MyDrive/thesis_project/thesis/outputs/exp01/regular_ner_20260603_211906.json</t>
  </si>
  <si>
    <t>/content/drive/MyDrive/thesis_project/thesis/outputs/exp01/regular_ner_results_20260603_211905.xlsx</t>
  </si>
  <si>
    <t>/content/drive/MyDrive/thesis_project/thesis/outputs/exp01/regular_ner_20260603_212006.json</t>
  </si>
  <si>
    <t>/content/drive/MyDrive/thesis_project/thesis/outputs/exp01/regular_ner_results_20260603_212005.xlsx</t>
  </si>
  <si>
    <t>/content/drive/MyDrive/thesis_project/thesis/outputs/exp01/regular_ner_20260603_212104.json</t>
  </si>
  <si>
    <t>/content/drive/MyDrive/thesis_project/thesis/outputs/exp01/regular_ner_results_20260603_212104.xlsx</t>
  </si>
  <si>
    <t>/content/drive/MyDrive/thesis_project/thesis/outputs/exp01/regular_ner_20260603_212204.json</t>
  </si>
  <si>
    <t>/content/drive/MyDrive/thesis_project/thesis/outputs/exp01/regular_ner_results_20260603_212204.xlsx</t>
  </si>
  <si>
    <t>/content/drive/MyDrive/thesis_project/thesis/outputs/exp01/regular_ner_20260603_212303.json</t>
  </si>
  <si>
    <t>/content/drive/MyDrive/thesis_project/thesis/outputs/exp01/regular_ner_results_20260603_212303.xlsx</t>
  </si>
  <si>
    <t>/content/drive/MyDrive/thesis_project/thesis/outputs/exp01/regular_ner_20260603_212535.json</t>
  </si>
  <si>
    <t>/content/drive/MyDrive/thesis_project/thesis/outputs/exp01/regular_ner_results_20260603_212535.xlsx</t>
  </si>
  <si>
    <t>/content/drive/MyDrive/thesis_project/thesis/outputs/exp01/regular_ner_20260603_212858.json</t>
  </si>
  <si>
    <t>/content/drive/MyDrive/thesis_project/thesis/outputs/exp01/regular_ner_results_20260603_212858.xlsx</t>
  </si>
  <si>
    <t>/content/drive/MyDrive/thesis_project/thesis/outputs/exp01/regular_ner_20260603_213222.json</t>
  </si>
  <si>
    <t>/content/drive/MyDrive/thesis_project/thesis/outputs/exp01/regular_ner_results_20260603_213222.xlsx</t>
  </si>
  <si>
    <t>/content/drive/MyDrive/thesis_project/thesis/outputs/exp01/regular_ner_20260603_213701.json</t>
  </si>
  <si>
    <t>/content/drive/MyDrive/thesis_project/thesis/outputs/exp01/regular_ner_results_20260603_213700.xlsx</t>
  </si>
  <si>
    <t>/content/drive/MyDrive/thesis_project/thesis/outputs/exp01/regular_ner_20260603_214024.json</t>
  </si>
  <si>
    <t>/content/drive/MyDrive/thesis_project/thesis/outputs/exp01/regular_ner_results_20260603_214023.xlsx</t>
  </si>
  <si>
    <t>/content/drive/MyDrive/thesis_project/thesis/outputs/exp01/regular_ner_20260603_214446.json</t>
  </si>
  <si>
    <t>/content/drive/MyDrive/thesis_project/thesis/outputs/exp01/regular_ner_results_20260603_214446.xlsx</t>
  </si>
  <si>
    <t>/content/drive/MyDrive/thesis_project/thesis/outputs/exp01/regular_ner_20260603_221115.json</t>
  </si>
  <si>
    <t>/content/drive/MyDrive/thesis_project/thesis/outputs/exp01/regular_ner_results_20260603_221106.xlsx</t>
  </si>
  <si>
    <t>/content/drive/MyDrive/thesis_project/thesis/outputs/exp01/regular_ner_20260603_221457.json</t>
  </si>
  <si>
    <t>/content/drive/MyDrive/thesis_project/thesis/outputs/exp01/regular_ner_results_20260603_221456.xlsx</t>
  </si>
  <si>
    <t>/content/drive/MyDrive/thesis_project/thesis/outputs/exp01/regular_ner_20260603_221812.json</t>
  </si>
  <si>
    <t>/content/drive/MyDrive/thesis_project/thesis/outputs/exp01/regular_ner_results_20260603_221812.xlsx</t>
  </si>
  <si>
    <t>/content/drive/MyDrive/thesis_project/thesis/outputs/exp01/regular_ner_20260603_222131.json</t>
  </si>
  <si>
    <t>/content/drive/MyDrive/thesis_project/thesis/outputs/exp01/regular_ner_results_20260603_222131.xlsx</t>
  </si>
  <si>
    <t>/content/drive/MyDrive/thesis_project/thesis/outputs/exp01/regular_ner_20260603_222533.json</t>
  </si>
  <si>
    <t>/content/drive/MyDrive/thesis_project/thesis/outputs/exp01/regular_ner_results_20260603_222532.xlsx</t>
  </si>
  <si>
    <t>/content/drive/MyDrive/thesis_project/thesis/outputs/exp01/regular_ner_20260603_222933.json</t>
  </si>
  <si>
    <t>/content/drive/MyDrive/thesis_project/thesis/outputs/exp01/regular_ner_results_20260603_222933.xlsx</t>
  </si>
  <si>
    <t>/content/drive/MyDrive/thesis_project/thesis/outputs/exp01/regular_ner_20260603_223306.json</t>
  </si>
  <si>
    <t>/content/drive/MyDrive/thesis_project/thesis/outputs/exp01/regular_ner_results_20260603_223306.xlsx</t>
  </si>
  <si>
    <t>/content/drive/MyDrive/thesis_project/thesis/outputs/exp01/regular_ner_20260603_223725.json</t>
  </si>
  <si>
    <t>/content/drive/MyDrive/thesis_project/thesis/outputs/exp01/regular_ner_results_20260603_223725.xlsx</t>
  </si>
  <si>
    <t>/content/drive/MyDrive/thesis_project/thesis/outputs/exp01/regular_ner_20260603_224058.json</t>
  </si>
  <si>
    <t>/content/drive/MyDrive/thesis_project/thesis/outputs/exp01/regular_ner_results_20260603_224058.xlsx</t>
  </si>
  <si>
    <t>/content/drive/MyDrive/thesis_project/thesis/outputs/exp01/regular_ner_20260603_224530.json</t>
  </si>
  <si>
    <t>/content/drive/MyDrive/thesis_project/thesis/outputs/exp01/regular_ner_results_20260603_224530.xlsx</t>
  </si>
  <si>
    <t>/content/drive/MyDrive/thesis_project/thesis/outputs/exp01/regular_ner_20260603_224947.json</t>
  </si>
  <si>
    <t>/content/drive/MyDrive/thesis_project/thesis/outputs/exp01/regular_ner_results_20260603_224946.xlsx</t>
  </si>
  <si>
    <t>/content/drive/MyDrive/thesis_project/thesis/outputs/exp01/regular_ner_20260604_031724.json</t>
  </si>
  <si>
    <t>/content/drive/MyDrive/thesis_project/thesis/outputs/exp01/regular_ner_results_20260604_031720.xlsx</t>
  </si>
  <si>
    <t>/content/drive/MyDrive/thesis_project/thesis/outputs/exp01/regular_ner_20260604_032159.json</t>
  </si>
  <si>
    <t>/content/drive/MyDrive/thesis_project/thesis/outputs/exp01/regular_ner_results_20260604_032159.xlsx</t>
  </si>
  <si>
    <t>/content/drive/MyDrive/thesis_project/thesis/outputs/exp01/regular_ner_20260604_032550.json</t>
  </si>
  <si>
    <t>/content/drive/MyDrive/thesis_project/thesis/outputs/exp01/regular_ner_results_20260604_032550.xlsx</t>
  </si>
  <si>
    <t>/content/drive/MyDrive/thesis_project/thesis/outputs/exp01/regular_ner_20260604_032926.json</t>
  </si>
  <si>
    <t>/content/drive/MyDrive/thesis_project/thesis/outputs/exp01/regular_ner_results_20260604_032926.xlsx</t>
  </si>
  <si>
    <t>/content/drive/MyDrive/thesis_project/thesis/outputs/exp01/regular_ner_20260604_033315.json</t>
  </si>
  <si>
    <t>/content/drive/MyDrive/thesis_project/thesis/outputs/exp01/regular_ner_results_20260604_033315.xlsx</t>
  </si>
  <si>
    <t>/content/drive/MyDrive/thesis_project/thesis/outputs/exp01/regular_ner_20260604_033749.json</t>
  </si>
  <si>
    <t>/content/drive/MyDrive/thesis_project/thesis/outputs/exp01/regular_ner_results_20260604_033748.xlsx</t>
  </si>
  <si>
    <t>/content/drive/MyDrive/thesis_project/thesis/outputs/exp01/regular_ner_20260604_034055.json</t>
  </si>
  <si>
    <t>/content/drive/MyDrive/thesis_project/thesis/outputs/exp01/regular_ner_results_20260604_034055.xlsx</t>
  </si>
  <si>
    <t>/content/drive/MyDrive/thesis_project/thesis/outputs/exp01/regular_ner_20260604_060434.json</t>
  </si>
  <si>
    <t>/content/drive/MyDrive/thesis_project/thesis/outputs/exp01/regular_ner_results_20260604_060431.xlsx</t>
  </si>
  <si>
    <t>/content/drive/MyDrive/thesis_project/thesis/outputs/exp01/regular_ner_20260604_060846.json</t>
  </si>
  <si>
    <t>/content/drive/MyDrive/thesis_project/thesis/outputs/exp01/regular_ner_results_20260604_060845.xlsx</t>
  </si>
  <si>
    <t>/content/drive/MyDrive/thesis_project/thesis/outputs/exp01/regular_ner_20260604_061232.json</t>
  </si>
  <si>
    <t>/content/drive/MyDrive/thesis_project/thesis/outputs/exp01/regular_ner_results_20260604_061232.xlsx</t>
  </si>
  <si>
    <t>/content/drive/MyDrive/thesis_project/thesis/outputs/exp01/regular_ner_20260604_061603.json</t>
  </si>
  <si>
    <t>/content/drive/MyDrive/thesis_project/thesis/outputs/exp01/regular_ner_results_20260604_061603.xlsx</t>
  </si>
  <si>
    <t>/content/drive/MyDrive/thesis_project/thesis/outputs/exp01/regular_ner_20260604_061919.json</t>
  </si>
  <si>
    <t>/content/drive/MyDrive/thesis_project/thesis/outputs/exp01/regular_ner_results_20260604_061919.xlsx</t>
  </si>
  <si>
    <t>/content/drive/MyDrive/thesis_project/thesis/outputs/exp01/regular_ner_20260604_062237.json</t>
  </si>
  <si>
    <t>/content/drive/MyDrive/thesis_project/thesis/outputs/exp01/regular_ner_results_20260604_062237.xlsx</t>
  </si>
  <si>
    <t>/content/drive/MyDrive/thesis_project/thesis/outputs/exp01/regular_ner_20260604_062638.json</t>
  </si>
  <si>
    <t>/content/drive/MyDrive/thesis_project/thesis/outputs/exp01/regular_ner_results_20260604_062638.xlsx</t>
  </si>
  <si>
    <t>/content/drive/MyDrive/thesis_project/thesis/outputs/exp01/regular_ner_20260604_063011.json</t>
  </si>
  <si>
    <t>/content/drive/MyDrive/thesis_project/thesis/outputs/exp01/regular_ner_results_20260604_063010.xlsx</t>
  </si>
  <si>
    <t>/content/drive/MyDrive/thesis_project/thesis/outputs/exp01/regular_ner_20260604_063425.json</t>
  </si>
  <si>
    <t>/content/drive/MyDrive/thesis_project/thesis/outputs/exp01/regular_ner_results_20260604_063425.xlsx</t>
  </si>
  <si>
    <t>/content/drive/MyDrive/thesis_project/thesis/outputs/exp01/regular_ner_20260604_063758.json</t>
  </si>
  <si>
    <t>/content/drive/MyDrive/thesis_project/thesis/outputs/exp01/regular_ner_results_20260604_063758.xlsx</t>
  </si>
  <si>
    <t>/content/drive/MyDrive/thesis_project/thesis/outputs/exp01/regular_ner_20260604_064213.json</t>
  </si>
  <si>
    <t>/content/drive/MyDrive/thesis_project/thesis/outputs/exp01/regular_ner_results_20260604_064212.xlsx</t>
  </si>
  <si>
    <t>/content/drive/MyDrive/thesis_project/thesis/outputs/exp01/regular_ner_20260604_064545.json</t>
  </si>
  <si>
    <t>/content/drive/MyDrive/thesis_project/thesis/outputs/exp01/regular_ner_results_20260604_064544.xlsx</t>
  </si>
  <si>
    <t>/content/drive/MyDrive/thesis_project/thesis/outputs/exp01/regular_ner_20260604_065015.json</t>
  </si>
  <si>
    <t>/content/drive/MyDrive/thesis_project/thesis/outputs/exp01/regular_ner_results_20260604_065015.xlsx</t>
  </si>
  <si>
    <t>/content/drive/MyDrive/thesis_project/thesis/outputs/exp01/regular_ner_20260604_065334.json</t>
  </si>
  <si>
    <t>/content/drive/MyDrive/thesis_project/thesis/outputs/exp01/regular_ner_results_20260604_065334.xlsx</t>
  </si>
  <si>
    <t>/content/drive/MyDrive/thesis_project/thesis/outputs/exp01/regular_ner_20260604_065720.json</t>
  </si>
  <si>
    <t>/content/drive/MyDrive/thesis_project/thesis/outputs/exp01/regular_ner_results_20260604_065720.xlsx</t>
  </si>
  <si>
    <t>/content/drive/MyDrive/thesis_project/thesis/outputs/exp01/regular_ner_20260604_070053.json</t>
  </si>
  <si>
    <t>/content/drive/MyDrive/thesis_project/thesis/outputs/exp01/regular_ner_results_20260604_070053.xlsx</t>
  </si>
  <si>
    <t>/content/drive/MyDrive/thesis_project/thesis/outputs/exp01/regular_ner_20260604_070441.json</t>
  </si>
  <si>
    <t>/content/drive/MyDrive/thesis_project/thesis/outputs/exp01/regular_ner_results_20260604_070441.xlsx</t>
  </si>
  <si>
    <t>/content/drive/MyDrive/thesis_project/thesis/outputs/exp01/regular_ner_20260604_070905.json</t>
  </si>
  <si>
    <t>/content/drive/MyDrive/thesis_project/thesis/outputs/exp01/regular_ner_results_20260604_070905.xlsx</t>
  </si>
  <si>
    <t>/content/drive/MyDrive/thesis_project/thesis/outputs/exp01/regular_ner_20260604_071235.json</t>
  </si>
  <si>
    <t>/content/drive/MyDrive/thesis_project/thesis/outputs/exp01/regular_ner_results_20260604_071235.xlsx</t>
  </si>
  <si>
    <t>/content/drive/MyDrive/thesis_project/thesis/outputs/exp01/regular_ner_20260604_071620.json</t>
  </si>
  <si>
    <t>/content/drive/MyDrive/thesis_project/thesis/outputs/exp01/regular_ner_results_20260604_071620.xlsx</t>
  </si>
  <si>
    <t>/content/drive/MyDrive/thesis_project/thesis/outputs/exp01/regular_ner_20260604_072043.json</t>
  </si>
  <si>
    <t>/content/drive/MyDrive/thesis_project/thesis/outputs/exp01/regular_ner_results_20260604_072043.xlsx</t>
  </si>
  <si>
    <t>/content/drive/MyDrive/thesis_project/thesis/outputs/exp01/regular_ner_20260604_072441.json</t>
  </si>
  <si>
    <t>/content/drive/MyDrive/thesis_project/thesis/outputs/exp01/regular_ner_results_20260604_072440.xlsx</t>
  </si>
  <si>
    <t>/content/drive/MyDrive/thesis_project/thesis/outputs/exp01/regular_ner_20260604_072823.json</t>
  </si>
  <si>
    <t>/content/drive/MyDrive/thesis_project/thesis/outputs/exp01/regular_ner_results_20260604_072823.xlsx</t>
  </si>
  <si>
    <t>/content/drive/MyDrive/thesis_project/thesis/outputs/exp01/regular_ner_20260604_073249.json</t>
  </si>
  <si>
    <t>/content/drive/MyDrive/thesis_project/thesis/outputs/exp01/regular_ner_results_20260604_073249.xlsx</t>
  </si>
  <si>
    <t>/content/drive/MyDrive/thesis_project/thesis/outputs/exp01/regular_ner_20260604_073658.json</t>
  </si>
  <si>
    <t>/content/drive/MyDrive/thesis_project/thesis/outputs/exp01/regular_ner_results_20260604_073658.xlsx</t>
  </si>
  <si>
    <t>/content/drive/MyDrive/thesis_project/thesis/outputs/exp01/regular_ner_20260604_074055.json</t>
  </si>
  <si>
    <t>/content/drive/MyDrive/thesis_project/thesis/outputs/exp01/regular_ner_results_20260604_074055.xlsx</t>
  </si>
  <si>
    <t>/content/drive/MyDrive/thesis_project/thesis/outputs/exp01/regular_ner_20260604_074427.json</t>
  </si>
  <si>
    <t>/content/drive/MyDrive/thesis_project/thesis/outputs/exp01/regular_ner_results_20260604_074426.xlsx</t>
  </si>
  <si>
    <t>/content/drive/MyDrive/thesis_project/thesis/outputs/exp01/regular_ner_20260604_074852.json</t>
  </si>
  <si>
    <t>/content/drive/MyDrive/thesis_project/thesis/outputs/exp01/regular_ner_results_20260604_074852.xlsx</t>
  </si>
  <si>
    <t>/content/drive/MyDrive/thesis_project/thesis/outputs/exp01/regular_ner_20260604_075250.json</t>
  </si>
  <si>
    <t>/content/drive/MyDrive/thesis_project/thesis/outputs/exp01/regular_ner_results_20260604_075250.xlsx</t>
  </si>
  <si>
    <t>/content/drive/MyDrive/thesis_project/thesis/outputs/exp01/regular_ner_20260604_075714.json</t>
  </si>
  <si>
    <t>/content/drive/MyDrive/thesis_project/thesis/outputs/exp01/regular_ner_results_20260604_075714.xlsx</t>
  </si>
  <si>
    <t>/content/drive/MyDrive/thesis_project/thesis/outputs/exp01/regular_ner_20260604_080113.json</t>
  </si>
  <si>
    <t>/content/drive/MyDrive/thesis_project/thesis/outputs/exp01/regular_ner_results_20260604_080112.xlsx</t>
  </si>
  <si>
    <t>/content/drive/MyDrive/thesis_project/thesis/outputs/exp01/regular_ner_20260604_080456.json</t>
  </si>
  <si>
    <t>/content/drive/MyDrive/thesis_project/thesis/outputs/exp01/regular_ner_results_20260604_080456.xlsx</t>
  </si>
  <si>
    <t>/content/drive/MyDrive/thesis_project/thesis/outputs/exp01/regular_ner_20260604_080921.json</t>
  </si>
  <si>
    <t>/content/drive/MyDrive/thesis_project/thesis/outputs/exp01/regular_ner_results_20260604_080920.xlsx</t>
  </si>
  <si>
    <t>/content/drive/MyDrive/thesis_project/thesis/outputs/exp01/regular_ner_20260604_081318.json</t>
  </si>
  <si>
    <t>/content/drive/MyDrive/thesis_project/thesis/outputs/exp01/regular_ner_results_20260604_081317.xlsx</t>
  </si>
  <si>
    <t>/content/drive/MyDrive/thesis_project/thesis/outputs/exp01/regular_ner_20260604_081728.json</t>
  </si>
  <si>
    <t>/content/drive/MyDrive/thesis_project/thesis/outputs/exp01/regular_ner_results_20260604_081727.xlsx</t>
  </si>
  <si>
    <t>/content/drive/MyDrive/thesis_project/thesis/outputs/exp01/regular_ner_20260604_082153.json</t>
  </si>
  <si>
    <t>/content/drive/MyDrive/thesis_project/thesis/outputs/exp01/regular_ner_results_20260604_082153.xlsx</t>
  </si>
  <si>
    <t>/content/drive/MyDrive/thesis_project/thesis/outputs/exp04/auc_cascaded_pipeline_20260603_200632.json</t>
  </si>
  <si>
    <t>/content/drive/MyDrive/thesis_project/thesis/outputs/exp04/cascaded_pipeline_results_20260603_200631.xlsx</t>
  </si>
  <si>
    <t>/content/drive/MyDrive/thesis_project/thesis/outputs/exp04/auc_cascaded_pipeline_20260603_200731.json</t>
  </si>
  <si>
    <t>/content/drive/MyDrive/thesis_project/thesis/outputs/exp04/cascaded_pipeline_results_20260603_200730.xlsx</t>
  </si>
  <si>
    <t>/content/drive/MyDrive/thesis_project/thesis/outputs/exp04/auc_cascaded_pipeline_20260603_200830.json</t>
  </si>
  <si>
    <t>/content/drive/MyDrive/thesis_project/thesis/outputs/exp04/cascaded_pipeline_results_20260603_200829.xlsx</t>
  </si>
  <si>
    <t>/content/drive/MyDrive/thesis_project/thesis/outputs/exp04/auc_cascaded_pipeline_20260603_200929.json</t>
  </si>
  <si>
    <t>/content/drive/MyDrive/thesis_project/thesis/outputs/exp04/cascaded_pipeline_results_20260603_200928.xlsx</t>
  </si>
  <si>
    <t>/content/drive/MyDrive/thesis_project/thesis/outputs/exp04/auc_cascaded_pipeline_20260603_201028.json</t>
  </si>
  <si>
    <t>/content/drive/MyDrive/thesis_project/thesis/outputs/exp04/cascaded_pipeline_results_20260603_201027.xlsx</t>
  </si>
  <si>
    <t>/content/drive/MyDrive/thesis_project/thesis/outputs/exp04/auc_cascaded_pipeline_20260603_201128.json</t>
  </si>
  <si>
    <t>/content/drive/MyDrive/thesis_project/thesis/outputs/exp04/cascaded_pipeline_results_20260603_201127.xlsx</t>
  </si>
  <si>
    <t>/content/drive/MyDrive/thesis_project/thesis/outputs/exp04/auc_cascaded_pipeline_20260603_201227.json</t>
  </si>
  <si>
    <t>/content/drive/MyDrive/thesis_project/thesis/outputs/exp04/cascaded_pipeline_results_20260603_201226.xlsx</t>
  </si>
  <si>
    <t>/content/drive/MyDrive/thesis_project/thesis/outputs/exp04/auc_cascaded_pipeline_20260603_201327.json</t>
  </si>
  <si>
    <t>/content/drive/MyDrive/thesis_project/thesis/outputs/exp04/cascaded_pipeline_results_20260603_201326.xlsx</t>
  </si>
  <si>
    <t>/content/drive/MyDrive/thesis_project/thesis/outputs/exp04/auc_cascaded_pipeline_20260603_201426.json</t>
  </si>
  <si>
    <t>/content/drive/MyDrive/thesis_project/thesis/outputs/exp04/cascaded_pipeline_results_20260603_201425.xlsx</t>
  </si>
  <si>
    <t>/content/drive/MyDrive/thesis_project/thesis/outputs/exp04/auc_cascaded_pipeline_20260603_201525.json</t>
  </si>
  <si>
    <t>/content/drive/MyDrive/thesis_project/thesis/outputs/exp04/cascaded_pipeline_results_20260603_201524.xlsx</t>
  </si>
  <si>
    <t>/content/drive/MyDrive/thesis_project/thesis/outputs/exp04/auc_cascaded_pipeline_20260603_201624.json</t>
  </si>
  <si>
    <t>/content/drive/MyDrive/thesis_project/thesis/outputs/exp04/cascaded_pipeline_results_20260603_201623.xlsx</t>
  </si>
  <si>
    <t>/content/drive/MyDrive/thesis_project/thesis/outputs/exp04/auc_cascaded_pipeline_20260603_201724.json</t>
  </si>
  <si>
    <t>/content/drive/MyDrive/thesis_project/thesis/outputs/exp04/cascaded_pipeline_results_20260603_201722.xlsx</t>
  </si>
  <si>
    <t>/content/drive/MyDrive/thesis_project/thesis/outputs/exp04/auc_cascaded_pipeline_20260603_201823.json</t>
  </si>
  <si>
    <t>/content/drive/MyDrive/thesis_project/thesis/outputs/exp04/cascaded_pipeline_results_20260603_201822.xlsx</t>
  </si>
  <si>
    <t>/content/drive/MyDrive/thesis_project/thesis/outputs/exp04/auc_cascaded_pipeline_20260603_201922.json</t>
  </si>
  <si>
    <t>/content/drive/MyDrive/thesis_project/thesis/outputs/exp04/cascaded_pipeline_results_20260603_201921.xlsx</t>
  </si>
  <si>
    <t>/content/drive/MyDrive/thesis_project/thesis/outputs/exp04/auc_cascaded_pipeline_20260603_202022.json</t>
  </si>
  <si>
    <t>/content/drive/MyDrive/thesis_project/thesis/outputs/exp04/cascaded_pipeline_results_20260603_202020.xlsx</t>
  </si>
  <si>
    <t>/content/drive/MyDrive/thesis_project/thesis/outputs/exp04/auc_cascaded_pipeline_20260603_202120.json</t>
  </si>
  <si>
    <t>/content/drive/MyDrive/thesis_project/thesis/outputs/exp04/cascaded_pipeline_results_20260603_202119.xlsx</t>
  </si>
  <si>
    <t>/content/drive/MyDrive/thesis_project/thesis/outputs/exp04/auc_cascaded_pipeline_20260603_202220.json</t>
  </si>
  <si>
    <t>/content/drive/MyDrive/thesis_project/thesis/outputs/exp04/cascaded_pipeline_results_20260603_202219.xlsx</t>
  </si>
  <si>
    <t>/content/drive/MyDrive/thesis_project/thesis/outputs/exp04/auc_cascaded_pipeline_20260603_202320.json</t>
  </si>
  <si>
    <t>/content/drive/MyDrive/thesis_project/thesis/outputs/exp04/cascaded_pipeline_results_20260603_202318.xlsx</t>
  </si>
  <si>
    <t>/content/drive/MyDrive/thesis_project/thesis/outputs/exp04/auc_cascaded_pipeline_20260603_202418.json</t>
  </si>
  <si>
    <t>/content/drive/MyDrive/thesis_project/thesis/outputs/exp04/cascaded_pipeline_results_20260603_202417.xlsx</t>
  </si>
  <si>
    <t>/content/drive/MyDrive/thesis_project/thesis/outputs/exp04/auc_cascaded_pipeline_20260603_202518.json</t>
  </si>
  <si>
    <t>/content/drive/MyDrive/thesis_project/thesis/outputs/exp04/cascaded_pipeline_results_20260603_202517.xlsx</t>
  </si>
  <si>
    <t>/content/drive/MyDrive/thesis_project/thesis/outputs/exp04/auc_cascaded_pipeline_20260603_202616.json</t>
  </si>
  <si>
    <t>/content/drive/MyDrive/thesis_project/thesis/outputs/exp04/cascaded_pipeline_results_20260603_202615.xlsx</t>
  </si>
  <si>
    <t>/content/drive/MyDrive/thesis_project/thesis/outputs/exp04/auc_cascaded_pipeline_20260603_202714.json</t>
  </si>
  <si>
    <t>/content/drive/MyDrive/thesis_project/thesis/outputs/exp04/cascaded_pipeline_results_20260603_202713.xlsx</t>
  </si>
  <si>
    <t>/content/drive/MyDrive/thesis_project/thesis/outputs/exp04/auc_cascaded_pipeline_20260603_202811.json</t>
  </si>
  <si>
    <t>/content/drive/MyDrive/thesis_project/thesis/outputs/exp04/cascaded_pipeline_results_20260603_202810.xlsx</t>
  </si>
  <si>
    <t>/content/drive/MyDrive/thesis_project/thesis/outputs/exp04/auc_cascaded_pipeline_20260603_202909.json</t>
  </si>
  <si>
    <t>/content/drive/MyDrive/thesis_project/thesis/outputs/exp04/cascaded_pipeline_results_20260603_202908.xlsx</t>
  </si>
  <si>
    <t>/content/drive/MyDrive/thesis_project/thesis/outputs/exp04/auc_cascaded_pipeline_20260603_203006.json</t>
  </si>
  <si>
    <t>/content/drive/MyDrive/thesis_project/thesis/outputs/exp04/cascaded_pipeline_results_20260603_203006.xlsx</t>
  </si>
  <si>
    <t>/content/drive/MyDrive/thesis_project/thesis/outputs/exp04/auc_cascaded_pipeline_20260603_203103.json</t>
  </si>
  <si>
    <t>/content/drive/MyDrive/thesis_project/thesis/outputs/exp04/cascaded_pipeline_results_20260603_203102.xlsx</t>
  </si>
  <si>
    <t>/content/drive/MyDrive/thesis_project/thesis/outputs/exp04/auc_cascaded_pipeline_20260603_203200.json</t>
  </si>
  <si>
    <t>/content/drive/MyDrive/thesis_project/thesis/outputs/exp04/cascaded_pipeline_results_20260603_203159.xlsx</t>
  </si>
  <si>
    <t>/content/drive/MyDrive/thesis_project/thesis/outputs/exp04/auc_cascaded_pipeline_20260603_203257.json</t>
  </si>
  <si>
    <t>/content/drive/MyDrive/thesis_project/thesis/outputs/exp04/cascaded_pipeline_results_20260603_203256.xlsx</t>
  </si>
  <si>
    <t>/content/drive/MyDrive/thesis_project/thesis/outputs/exp04/auc_cascaded_pipeline_20260603_203355.json</t>
  </si>
  <si>
    <t>/content/drive/MyDrive/thesis_project/thesis/outputs/exp04/cascaded_pipeline_results_20260603_203354.xlsx</t>
  </si>
  <si>
    <t>/content/drive/MyDrive/thesis_project/thesis/outputs/exp04/auc_cascaded_pipeline_20260603_203453.json</t>
  </si>
  <si>
    <t>/content/drive/MyDrive/thesis_project/thesis/outputs/exp04/cascaded_pipeline_results_20260603_203452.xlsx</t>
  </si>
  <si>
    <t>/content/drive/MyDrive/thesis_project/thesis/outputs/exp04/auc_cascaded_pipeline_20260603_203551.json</t>
  </si>
  <si>
    <t>/content/drive/MyDrive/thesis_project/thesis/outputs/exp04/cascaded_pipeline_results_20260603_203550.xlsx</t>
  </si>
  <si>
    <t>/content/drive/MyDrive/thesis_project/thesis/outputs/exp04/auc_cascaded_pipeline_20260603_203649.json</t>
  </si>
  <si>
    <t>/content/drive/MyDrive/thesis_project/thesis/outputs/exp04/cascaded_pipeline_results_20260603_203648.xlsx</t>
  </si>
  <si>
    <t>/content/drive/MyDrive/thesis_project/thesis/outputs/exp04/auc_cascaded_pipeline_20260603_203746.json</t>
  </si>
  <si>
    <t>/content/drive/MyDrive/thesis_project/thesis/outputs/exp04/cascaded_pipeline_results_20260603_203745.xlsx</t>
  </si>
  <si>
    <t>/content/drive/MyDrive/thesis_project/thesis/outputs/exp04/auc_cascaded_pipeline_20260603_203844.json</t>
  </si>
  <si>
    <t>/content/drive/MyDrive/thesis_project/thesis/outputs/exp04/cascaded_pipeline_results_20260603_203843.xlsx</t>
  </si>
  <si>
    <t>/content/drive/MyDrive/thesis_project/thesis/outputs/exp04/auc_cascaded_pipeline_20260603_203942.json</t>
  </si>
  <si>
    <t>/content/drive/MyDrive/thesis_project/thesis/outputs/exp04/cascaded_pipeline_results_20260603_203941.xlsx</t>
  </si>
  <si>
    <t>/content/drive/MyDrive/thesis_project/thesis/outputs/exp04/auc_cascaded_pipeline_20260603_204039.json</t>
  </si>
  <si>
    <t>/content/drive/MyDrive/thesis_project/thesis/outputs/exp04/cascaded_pipeline_results_20260603_204038.xlsx</t>
  </si>
  <si>
    <t>/content/drive/MyDrive/thesis_project/thesis/outputs/exp04/auc_cascaded_pipeline_20260603_204137.json</t>
  </si>
  <si>
    <t>/content/drive/MyDrive/thesis_project/thesis/outputs/exp04/cascaded_pipeline_results_20260603_204136.xlsx</t>
  </si>
  <si>
    <t>/content/drive/MyDrive/thesis_project/thesis/outputs/exp04/auc_cascaded_pipeline_20260603_204234.json</t>
  </si>
  <si>
    <t>/content/drive/MyDrive/thesis_project/thesis/outputs/exp04/cascaded_pipeline_results_20260603_204233.xlsx</t>
  </si>
  <si>
    <t>/content/drive/MyDrive/thesis_project/thesis/outputs/exp04/auc_cascaded_pipeline_20260603_204332.json</t>
  </si>
  <si>
    <t>/content/drive/MyDrive/thesis_project/thesis/outputs/exp04/cascaded_pipeline_results_20260603_204331.xlsx</t>
  </si>
  <si>
    <t>/content/drive/MyDrive/thesis_project/thesis/outputs/exp04/auc_cascaded_pipeline_20260603_210354.json</t>
  </si>
  <si>
    <t>/content/drive/MyDrive/thesis_project/thesis/outputs/exp04/cascaded_pipeline_results_20260603_210350.xlsx</t>
  </si>
  <si>
    <t>/content/drive/MyDrive/thesis_project/thesis/outputs/exp04/auc_cascaded_pipeline_20260603_210455.json</t>
  </si>
  <si>
    <t>/content/drive/MyDrive/thesis_project/thesis/outputs/exp04/cascaded_pipeline_results_20260603_210454.xlsx</t>
  </si>
  <si>
    <t>/content/drive/MyDrive/thesis_project/thesis/outputs/exp04/auc_cascaded_pipeline_20260603_210555.json</t>
  </si>
  <si>
    <t>/content/drive/MyDrive/thesis_project/thesis/outputs/exp04/cascaded_pipeline_results_20260603_210554.xlsx</t>
  </si>
  <si>
    <t>/content/drive/MyDrive/thesis_project/thesis/outputs/exp04/auc_cascaded_pipeline_20260603_210655.json</t>
  </si>
  <si>
    <t>/content/drive/MyDrive/thesis_project/thesis/outputs/exp04/cascaded_pipeline_results_20260603_210653.xlsx</t>
  </si>
  <si>
    <t>/content/drive/MyDrive/thesis_project/thesis/outputs/exp04/auc_cascaded_pipeline_20260603_210754.json</t>
  </si>
  <si>
    <t>/content/drive/MyDrive/thesis_project/thesis/outputs/exp04/cascaded_pipeline_results_20260603_210753.xlsx</t>
  </si>
  <si>
    <t>/content/drive/MyDrive/thesis_project/thesis/outputs/exp04/auc_cascaded_pipeline_20260603_210853.json</t>
  </si>
  <si>
    <t>/content/drive/MyDrive/thesis_project/thesis/outputs/exp04/cascaded_pipeline_results_20260603_210852.xlsx</t>
  </si>
  <si>
    <t>/content/drive/MyDrive/thesis_project/thesis/outputs/exp04/auc_cascaded_pipeline_20260603_210952.json</t>
  </si>
  <si>
    <t>/content/drive/MyDrive/thesis_project/thesis/outputs/exp04/cascaded_pipeline_results_20260603_210951.xlsx</t>
  </si>
  <si>
    <t>/content/drive/MyDrive/thesis_project/thesis/outputs/exp04/auc_cascaded_pipeline_20260603_211051.json</t>
  </si>
  <si>
    <t>/content/drive/MyDrive/thesis_project/thesis/outputs/exp04/cascaded_pipeline_results_20260603_211050.xlsx</t>
  </si>
  <si>
    <t>/content/drive/MyDrive/thesis_project/thesis/outputs/exp04/auc_cascaded_pipeline_20260603_211151.json</t>
  </si>
  <si>
    <t>/content/drive/MyDrive/thesis_project/thesis/outputs/exp04/cascaded_pipeline_results_20260603_211149.xlsx</t>
  </si>
  <si>
    <t>/content/drive/MyDrive/thesis_project/thesis/outputs/exp04/auc_cascaded_pipeline_20260603_211250.json</t>
  </si>
  <si>
    <t>/content/drive/MyDrive/thesis_project/thesis/outputs/exp04/cascaded_pipeline_results_20260603_211249.xlsx</t>
  </si>
  <si>
    <t>/content/drive/MyDrive/thesis_project/thesis/outputs/exp04/auc_cascaded_pipeline_20260603_211349.json</t>
  </si>
  <si>
    <t>/content/drive/MyDrive/thesis_project/thesis/outputs/exp04/cascaded_pipeline_results_20260603_211348.xlsx</t>
  </si>
  <si>
    <t>/content/drive/MyDrive/thesis_project/thesis/outputs/exp04/auc_cascaded_pipeline_20260603_211449.json</t>
  </si>
  <si>
    <t>/content/drive/MyDrive/thesis_project/thesis/outputs/exp04/cascaded_pipeline_results_20260603_211447.xlsx</t>
  </si>
  <si>
    <t>/content/drive/MyDrive/thesis_project/thesis/outputs/exp04/auc_cascaded_pipeline_20260603_211547.json</t>
  </si>
  <si>
    <t>/content/drive/MyDrive/thesis_project/thesis/outputs/exp04/cascaded_pipeline_results_20260603_211546.xlsx</t>
  </si>
  <si>
    <t>/content/drive/MyDrive/thesis_project/thesis/outputs/exp04/auc_cascaded_pipeline_20260603_211648.json</t>
  </si>
  <si>
    <t>/content/drive/MyDrive/thesis_project/thesis/outputs/exp04/cascaded_pipeline_results_20260603_211647.xlsx</t>
  </si>
  <si>
    <t>/content/drive/MyDrive/thesis_project/thesis/outputs/exp04/auc_cascaded_pipeline_20260603_211747.json</t>
  </si>
  <si>
    <t>/content/drive/MyDrive/thesis_project/thesis/outputs/exp04/cascaded_pipeline_results_20260603_211746.xlsx</t>
  </si>
  <si>
    <t>/content/drive/MyDrive/thesis_project/thesis/outputs/exp04/auc_cascaded_pipeline_20260603_211846.json</t>
  </si>
  <si>
    <t>/content/drive/MyDrive/thesis_project/thesis/outputs/exp04/cascaded_pipeline_results_20260603_211845.xlsx</t>
  </si>
  <si>
    <t>/content/drive/MyDrive/thesis_project/thesis/outputs/exp04/auc_cascaded_pipeline_20260603_211946.json</t>
  </si>
  <si>
    <t>/content/drive/MyDrive/thesis_project/thesis/outputs/exp04/cascaded_pipeline_results_20260603_211945.xlsx</t>
  </si>
  <si>
    <t>/content/drive/MyDrive/thesis_project/thesis/outputs/exp04/auc_cascaded_pipeline_20260603_212045.json</t>
  </si>
  <si>
    <t>/content/drive/MyDrive/thesis_project/thesis/outputs/exp04/cascaded_pipeline_results_20260603_212044.xlsx</t>
  </si>
  <si>
    <t>/content/drive/MyDrive/thesis_project/thesis/outputs/exp04/auc_cascaded_pipeline_20260603_212145.json</t>
  </si>
  <si>
    <t>/content/drive/MyDrive/thesis_project/thesis/outputs/exp04/cascaded_pipeline_results_20260603_212143.xlsx</t>
  </si>
  <si>
    <t>/content/drive/MyDrive/thesis_project/thesis/outputs/exp04/auc_cascaded_pipeline_20260603_212244.json</t>
  </si>
  <si>
    <t>/content/drive/MyDrive/thesis_project/thesis/outputs/exp04/cascaded_pipeline_results_20260603_212242.xlsx</t>
  </si>
  <si>
    <t>/content/drive/MyDrive/thesis_project/thesis/outputs/exp04/auc_cascaded_pipeline_20260603_212343.json</t>
  </si>
  <si>
    <t>/content/drive/MyDrive/thesis_project/thesis/outputs/exp04/cascaded_pipeline_results_20260603_212342.xlsx</t>
  </si>
  <si>
    <t>/content/drive/MyDrive/thesis_project/thesis/outputs/exp04/auc_cascaded_pipeline_20260603_212708.json</t>
  </si>
  <si>
    <t>/content/drive/MyDrive/thesis_project/thesis/outputs/exp04/cascaded_pipeline_results_20260603_212707.xlsx</t>
  </si>
  <si>
    <t>/content/drive/MyDrive/thesis_project/thesis/outputs/exp04/auc_cascaded_pipeline_20260603_213031.json</t>
  </si>
  <si>
    <t>/content/drive/MyDrive/thesis_project/thesis/outputs/exp04/cascaded_pipeline_results_20260603_213030.xlsx</t>
  </si>
  <si>
    <t>/content/drive/MyDrive/thesis_project/thesis/outputs/exp04/auc_cascaded_pipeline_20260603_213509.json</t>
  </si>
  <si>
    <t>/content/drive/MyDrive/thesis_project/thesis/outputs/exp04/cascaded_pipeline_results_20260603_213508.xlsx</t>
  </si>
  <si>
    <t>/content/drive/MyDrive/thesis_project/thesis/outputs/exp04/auc_cascaded_pipeline_20260603_213833.json</t>
  </si>
  <si>
    <t>/content/drive/MyDrive/thesis_project/thesis/outputs/exp04/cascaded_pipeline_results_20260603_213832.xlsx</t>
  </si>
  <si>
    <t>/content/drive/MyDrive/thesis_project/thesis/outputs/exp04/auc_cascaded_pipeline_20260603_214255.json</t>
  </si>
  <si>
    <t>/content/drive/MyDrive/thesis_project/thesis/outputs/exp04/cascaded_pipeline_results_20260603_214254.xlsx</t>
  </si>
  <si>
    <t>/content/drive/MyDrive/thesis_project/thesis/outputs/exp04/auc_cascaded_pipeline_20260603_214703.json</t>
  </si>
  <si>
    <t>/content/drive/MyDrive/thesis_project/thesis/outputs/exp04/cascaded_pipeline_results_20260603_214702.xlsx</t>
  </si>
  <si>
    <t>/content/drive/MyDrive/thesis_project/thesis/outputs/exp04/auc_cascaded_pipeline_20260603_221310.json</t>
  </si>
  <si>
    <t>/content/drive/MyDrive/thesis_project/thesis/outputs/exp04/cascaded_pipeline_results_20260603_221306.xlsx</t>
  </si>
  <si>
    <t>/content/drive/MyDrive/thesis_project/thesis/outputs/exp04/auc_cascaded_pipeline_20260603_221629.json</t>
  </si>
  <si>
    <t>/content/drive/MyDrive/thesis_project/thesis/outputs/exp04/cascaded_pipeline_results_20260603_221628.xlsx</t>
  </si>
  <si>
    <t>/content/drive/MyDrive/thesis_project/thesis/outputs/exp04/auc_cascaded_pipeline_20260603_221945.json</t>
  </si>
  <si>
    <t>/content/drive/MyDrive/thesis_project/thesis/outputs/exp04/cascaded_pipeline_results_20260603_221944.xlsx</t>
  </si>
  <si>
    <t>/content/drive/MyDrive/thesis_project/thesis/outputs/exp04/auc_cascaded_pipeline_20260603_222348.json</t>
  </si>
  <si>
    <t>/content/drive/MyDrive/thesis_project/thesis/outputs/exp04/cascaded_pipeline_results_20260603_222347.xlsx</t>
  </si>
  <si>
    <t>/content/drive/MyDrive/thesis_project/thesis/outputs/exp04/auc_cascaded_pipeline_20260603_222749.json</t>
  </si>
  <si>
    <t>/content/drive/MyDrive/thesis_project/thesis/outputs/exp04/cascaded_pipeline_results_20260603_222748.xlsx</t>
  </si>
  <si>
    <t>/content/drive/MyDrive/thesis_project/thesis/outputs/exp04/auc_cascaded_pipeline_20260603_223121.json</t>
  </si>
  <si>
    <t>/content/drive/MyDrive/thesis_project/thesis/outputs/exp04/cascaded_pipeline_results_20260603_223119.xlsx</t>
  </si>
  <si>
    <t>/content/drive/MyDrive/thesis_project/thesis/outputs/exp04/auc_cascaded_pipeline_20260603_223537.json</t>
  </si>
  <si>
    <t>/content/drive/MyDrive/thesis_project/thesis/outputs/exp04/cascaded_pipeline_results_20260603_223536.xlsx</t>
  </si>
  <si>
    <t>/content/drive/MyDrive/thesis_project/thesis/outputs/exp04/auc_cascaded_pipeline_20260603_223912.json</t>
  </si>
  <si>
    <t>/content/drive/MyDrive/thesis_project/thesis/outputs/exp04/cascaded_pipeline_results_20260603_223910.xlsx</t>
  </si>
  <si>
    <t>/content/drive/MyDrive/thesis_project/thesis/outputs/exp04/auc_cascaded_pipeline_20260603_224344.json</t>
  </si>
  <si>
    <t>/content/drive/MyDrive/thesis_project/thesis/outputs/exp04/cascaded_pipeline_results_20260603_224343.xlsx</t>
  </si>
  <si>
    <t>/content/drive/MyDrive/thesis_project/thesis/outputs/exp04/auc_cascaded_pipeline_20260603_224801.json</t>
  </si>
  <si>
    <t>/content/drive/MyDrive/thesis_project/thesis/outputs/exp04/cascaded_pipeline_results_20260603_224800.xlsx</t>
  </si>
  <si>
    <t>/content/drive/MyDrive/thesis_project/thesis/outputs/exp04/auc_cascaded_pipeline_20260603_225233.json</t>
  </si>
  <si>
    <t>/content/drive/MyDrive/thesis_project/thesis/outputs/exp04/cascaded_pipeline_results_20260603_225232.xlsx</t>
  </si>
  <si>
    <t>/content/drive/MyDrive/thesis_project/thesis/outputs/exp04/auc_cascaded_pipeline_20260604_032009.json</t>
  </si>
  <si>
    <t>/content/drive/MyDrive/thesis_project/thesis/outputs/exp04/cascaded_pipeline_results_20260604_032005.xlsx</t>
  </si>
  <si>
    <t>/content/drive/MyDrive/thesis_project/thesis/outputs/exp04/auc_cascaded_pipeline_20260604_032402.json</t>
  </si>
  <si>
    <t>/content/drive/MyDrive/thesis_project/thesis/outputs/exp04/cascaded_pipeline_results_20260604_032401.xlsx</t>
  </si>
  <si>
    <t>/content/drive/MyDrive/thesis_project/thesis/outputs/exp04/auc_cascaded_pipeline_20260604_032739.json</t>
  </si>
  <si>
    <t>/content/drive/MyDrive/thesis_project/thesis/outputs/exp04/cascaded_pipeline_results_20260604_032737.xlsx</t>
  </si>
  <si>
    <t>/content/drive/MyDrive/thesis_project/thesis/outputs/exp04/auc_cascaded_pipeline_20260604_033128.json</t>
  </si>
  <si>
    <t>/content/drive/MyDrive/thesis_project/thesis/outputs/exp04/cascaded_pipeline_results_20260604_033127.xlsx</t>
  </si>
  <si>
    <t>/content/drive/MyDrive/thesis_project/thesis/outputs/exp04/auc_cascaded_pipeline_20260604_033602.json</t>
  </si>
  <si>
    <t>/content/drive/MyDrive/thesis_project/thesis/outputs/exp04/cascaded_pipeline_results_20260604_033601.xlsx</t>
  </si>
  <si>
    <t>/content/drive/MyDrive/thesis_project/thesis/outputs/exp04/auc_cascaded_pipeline_20260604_033907.json</t>
  </si>
  <si>
    <t>/content/drive/MyDrive/thesis_project/thesis/outputs/exp04/cascaded_pipeline_results_20260604_033906.xlsx</t>
  </si>
  <si>
    <t>/content/drive/MyDrive/thesis_project/thesis/outputs/exp04/auc_cascaded_pipeline_20260604_034243.json</t>
  </si>
  <si>
    <t>/content/drive/MyDrive/thesis_project/thesis/outputs/exp04/cascaded_pipeline_results_20260604_034242.xlsx</t>
  </si>
  <si>
    <t>/content/drive/MyDrive/thesis_project/thesis/outputs/exp04/auc_cascaded_pipeline_20260604_060659.json</t>
  </si>
  <si>
    <t>/content/drive/MyDrive/thesis_project/thesis/outputs/exp04/cascaded_pipeline_results_20260604_060654.xlsx</t>
  </si>
  <si>
    <t>/content/drive/MyDrive/thesis_project/thesis/outputs/exp04/auc_cascaded_pipeline_20260604_061046.json</t>
  </si>
  <si>
    <t>/content/drive/MyDrive/thesis_project/thesis/outputs/exp04/cascaded_pipeline_results_20260604_061045.xlsx</t>
  </si>
  <si>
    <t>/content/drive/MyDrive/thesis_project/thesis/outputs/exp04/auc_cascaded_pipeline_20260604_061418.json</t>
  </si>
  <si>
    <t>/content/drive/MyDrive/thesis_project/thesis/outputs/exp04/cascaded_pipeline_results_20260604_061417.xlsx</t>
  </si>
  <si>
    <t>/content/drive/MyDrive/thesis_project/thesis/outputs/exp04/auc_cascaded_pipeline_20260604_061735.json</t>
  </si>
  <si>
    <t>/content/drive/MyDrive/thesis_project/thesis/outputs/exp04/cascaded_pipeline_results_20260604_061734.xlsx</t>
  </si>
  <si>
    <t>/content/drive/MyDrive/thesis_project/thesis/outputs/exp04/auc_cascaded_pipeline_20260604_062051.json</t>
  </si>
  <si>
    <t>/content/drive/MyDrive/thesis_project/thesis/outputs/exp04/cascaded_pipeline_results_20260604_062050.xlsx</t>
  </si>
  <si>
    <t>/content/drive/MyDrive/thesis_project/thesis/outputs/exp04/auc_cascaded_pipeline_20260604_062453.json</t>
  </si>
  <si>
    <t>/content/drive/MyDrive/thesis_project/thesis/outputs/exp04/cascaded_pipeline_results_20260604_062452.xlsx</t>
  </si>
  <si>
    <t>/content/drive/MyDrive/thesis_project/thesis/outputs/exp04/auc_cascaded_pipeline_20260604_062824.json</t>
  </si>
  <si>
    <t>/content/drive/MyDrive/thesis_project/thesis/outputs/exp04/cascaded_pipeline_results_20260604_062824.xlsx</t>
  </si>
  <si>
    <t>/content/drive/MyDrive/thesis_project/thesis/outputs/exp04/auc_cascaded_pipeline_20260604_063240.json</t>
  </si>
  <si>
    <t>/content/drive/MyDrive/thesis_project/thesis/outputs/exp04/cascaded_pipeline_results_20260604_063240.xlsx</t>
  </si>
  <si>
    <t>/content/drive/MyDrive/thesis_project/thesis/outputs/exp04/auc_cascaded_pipeline_20260604_063611.json</t>
  </si>
  <si>
    <t>/content/drive/MyDrive/thesis_project/thesis/outputs/exp04/cascaded_pipeline_results_20260604_063610.xlsx</t>
  </si>
  <si>
    <t>/content/drive/MyDrive/thesis_project/thesis/outputs/exp04/auc_cascaded_pipeline_20260604_064028.json</t>
  </si>
  <si>
    <t>/content/drive/MyDrive/thesis_project/thesis/outputs/exp04/cascaded_pipeline_results_20260604_064027.xlsx</t>
  </si>
  <si>
    <t>/content/drive/MyDrive/thesis_project/thesis/outputs/exp04/auc_cascaded_pipeline_20260604_064359.json</t>
  </si>
  <si>
    <t>/content/drive/MyDrive/thesis_project/thesis/outputs/exp04/cascaded_pipeline_results_20260604_064358.xlsx</t>
  </si>
  <si>
    <t>/content/drive/MyDrive/thesis_project/thesis/outputs/exp04/auc_cascaded_pipeline_20260604_064830.json</t>
  </si>
  <si>
    <t>/content/drive/MyDrive/thesis_project/thesis/outputs/exp04/cascaded_pipeline_results_20260604_064829.xlsx</t>
  </si>
  <si>
    <t>/content/drive/MyDrive/thesis_project/thesis/outputs/exp04/auc_cascaded_pipeline_20260604_065147.json</t>
  </si>
  <si>
    <t>/content/drive/MyDrive/thesis_project/thesis/outputs/exp04/cascaded_pipeline_results_20260604_065146.xlsx</t>
  </si>
  <si>
    <t>/content/drive/MyDrive/thesis_project/thesis/outputs/exp04/auc_cascaded_pipeline_20260604_065535.json</t>
  </si>
  <si>
    <t>/content/drive/MyDrive/thesis_project/thesis/outputs/exp04/cascaded_pipeline_results_20260604_065534.xlsx</t>
  </si>
  <si>
    <t>/content/drive/MyDrive/thesis_project/thesis/outputs/exp04/auc_cascaded_pipeline_20260604_065907.json</t>
  </si>
  <si>
    <t>/content/drive/MyDrive/thesis_project/thesis/outputs/exp04/cascaded_pipeline_results_20260604_065906.xlsx</t>
  </si>
  <si>
    <t>/content/drive/MyDrive/thesis_project/thesis/outputs/exp04/auc_cascaded_pipeline_20260604_070254.json</t>
  </si>
  <si>
    <t>/content/drive/MyDrive/thesis_project/thesis/outputs/exp04/cascaded_pipeline_results_20260604_070253.xlsx</t>
  </si>
  <si>
    <t>/content/drive/MyDrive/thesis_project/thesis/outputs/exp04/auc_cascaded_pipeline_20260604_070718.json</t>
  </si>
  <si>
    <t>/content/drive/MyDrive/thesis_project/thesis/outputs/exp04/cascaded_pipeline_results_20260604_070717.xlsx</t>
  </si>
  <si>
    <t>/content/drive/MyDrive/thesis_project/thesis/outputs/exp04/auc_cascaded_pipeline_20260604_071048.json</t>
  </si>
  <si>
    <t>/content/drive/MyDrive/thesis_project/thesis/outputs/exp04/cascaded_pipeline_results_20260604_071047.xlsx</t>
  </si>
  <si>
    <t>/content/drive/MyDrive/thesis_project/thesis/outputs/exp04/auc_cascaded_pipeline_20260604_071432.json</t>
  </si>
  <si>
    <t>/content/drive/MyDrive/thesis_project/thesis/outputs/exp04/cascaded_pipeline_results_20260604_071431.xlsx</t>
  </si>
  <si>
    <t>/content/drive/MyDrive/thesis_project/thesis/outputs/exp04/auc_cascaded_pipeline_20260604_071858.json</t>
  </si>
  <si>
    <t>/content/drive/MyDrive/thesis_project/thesis/outputs/exp04/cascaded_pipeline_results_20260604_071857.xlsx</t>
  </si>
  <si>
    <t>/content/drive/MyDrive/thesis_project/thesis/outputs/exp04/auc_cascaded_pipeline_20260604_072253.json</t>
  </si>
  <si>
    <t>/content/drive/MyDrive/thesis_project/thesis/outputs/exp04/cascaded_pipeline_results_20260604_072252.xlsx</t>
  </si>
  <si>
    <t>/content/drive/MyDrive/thesis_project/thesis/outputs/exp04/auc_cascaded_pipeline_20260604_072637.json</t>
  </si>
  <si>
    <t>/content/drive/MyDrive/thesis_project/thesis/outputs/exp04/cascaded_pipeline_results_20260604_072636.xlsx</t>
  </si>
  <si>
    <t>/content/drive/MyDrive/thesis_project/thesis/outputs/exp04/auc_cascaded_pipeline_20260604_073101.json</t>
  </si>
  <si>
    <t>/content/drive/MyDrive/thesis_project/thesis/outputs/exp04/cascaded_pipeline_results_20260604_073100.xlsx</t>
  </si>
  <si>
    <t>/content/drive/MyDrive/thesis_project/thesis/outputs/exp04/auc_cascaded_pipeline_20260604_073512.json</t>
  </si>
  <si>
    <t>/content/drive/MyDrive/thesis_project/thesis/outputs/exp04/cascaded_pipeline_results_20260604_073511.xlsx</t>
  </si>
  <si>
    <t>/content/drive/MyDrive/thesis_project/thesis/outputs/exp04/auc_cascaded_pipeline_20260604_073908.json</t>
  </si>
  <si>
    <t>/content/drive/MyDrive/thesis_project/thesis/outputs/exp04/cascaded_pipeline_results_20260604_073907.xlsx</t>
  </si>
  <si>
    <t>/content/drive/MyDrive/thesis_project/thesis/outputs/exp04/auc_cascaded_pipeline_20260604_074238.json</t>
  </si>
  <si>
    <t>/content/drive/MyDrive/thesis_project/thesis/outputs/exp04/cascaded_pipeline_results_20260604_074237.xlsx</t>
  </si>
  <si>
    <t>/content/drive/MyDrive/thesis_project/thesis/outputs/exp04/auc_cascaded_pipeline_20260604_074705.json</t>
  </si>
  <si>
    <t>/content/drive/MyDrive/thesis_project/thesis/outputs/exp04/cascaded_pipeline_results_20260604_074704.xlsx</t>
  </si>
  <si>
    <t>/content/drive/MyDrive/thesis_project/thesis/outputs/exp04/auc_cascaded_pipeline_20260604_075102.json</t>
  </si>
  <si>
    <t>/content/drive/MyDrive/thesis_project/thesis/outputs/exp04/cascaded_pipeline_results_20260604_075101.xlsx</t>
  </si>
  <si>
    <t>/content/drive/MyDrive/thesis_project/thesis/outputs/exp04/auc_cascaded_pipeline_20260604_075528.json</t>
  </si>
  <si>
    <t>/content/drive/MyDrive/thesis_project/thesis/outputs/exp04/cascaded_pipeline_results_20260604_075526.xlsx</t>
  </si>
  <si>
    <t>/content/drive/MyDrive/thesis_project/thesis/outputs/exp04/auc_cascaded_pipeline_20260604_075924.json</t>
  </si>
  <si>
    <t>/content/drive/MyDrive/thesis_project/thesis/outputs/exp04/cascaded_pipeline_results_20260604_075923.xlsx</t>
  </si>
  <si>
    <t>/content/drive/MyDrive/thesis_project/thesis/outputs/exp04/auc_cascaded_pipeline_20260604_080309.json</t>
  </si>
  <si>
    <t>/content/drive/MyDrive/thesis_project/thesis/outputs/exp04/cascaded_pipeline_results_20260604_080308.xlsx</t>
  </si>
  <si>
    <t>/content/drive/MyDrive/thesis_project/thesis/outputs/exp04/auc_cascaded_pipeline_20260604_080734.json</t>
  </si>
  <si>
    <t>/content/drive/MyDrive/thesis_project/thesis/outputs/exp04/cascaded_pipeline_results_20260604_080733.xlsx</t>
  </si>
  <si>
    <t>/content/drive/MyDrive/thesis_project/thesis/outputs/exp04/auc_cascaded_pipeline_20260604_081131.json</t>
  </si>
  <si>
    <t>/content/drive/MyDrive/thesis_project/thesis/outputs/exp04/cascaded_pipeline_results_20260604_081130.xlsx</t>
  </si>
  <si>
    <t>/content/drive/MyDrive/thesis_project/thesis/outputs/exp04/auc_cascaded_pipeline_20260604_081541.json</t>
  </si>
  <si>
    <t>/content/drive/MyDrive/thesis_project/thesis/outputs/exp04/cascaded_pipeline_results_20260604_081540.xlsx</t>
  </si>
  <si>
    <t>/content/drive/MyDrive/thesis_project/thesis/outputs/exp04/auc_cascaded_pipeline_20260604_082005.json</t>
  </si>
  <si>
    <t>/content/drive/MyDrive/thesis_project/thesis/outputs/exp04/cascaded_pipeline_results_20260604_082004.xlsx</t>
  </si>
  <si>
    <t>/content/drive/MyDrive/thesis_project/thesis/outputs/exp04/auc_cascaded_pipeline_20260604_082404.json</t>
  </si>
  <si>
    <t>/content/drive/MyDrive/thesis_project/thesis/outputs/exp04/cascaded_pipeline_results_20260604_082403.xlsx</t>
  </si>
  <si>
    <t>/content/drive/MyDrive/thesis_project/thesis/outputs/exp05_ready/cascaded_step3_consistent_ready_20260604_082544.json</t>
  </si>
  <si>
    <t>/content/drive/MyDrive/thesis_project/thesis/outputs/exp05_ready/cascaded_step3_consistent_ready_results_20260604_082541.xlsx</t>
  </si>
  <si>
    <t>/content/drive/MyDrive/thesis_project/thesis/outputs/exp05_ready/cascaded_step3_consistent_ready_20260604_082547.json</t>
  </si>
  <si>
    <t>/content/drive/MyDrive/thesis_project/thesis/outputs/exp05_ready/cascaded_step3_consistent_ready_results_20260604_082547.xlsx</t>
  </si>
  <si>
    <t>/content/drive/MyDrive/thesis_project/thesis/outputs/exp05_ready/cascaded_step3_consistent_ready_20260604_082549.json</t>
  </si>
  <si>
    <t>/content/drive/MyDrive/thesis_project/thesis/outputs/exp05_ready/cascaded_step3_consistent_ready_results_20260604_082548.xlsx</t>
  </si>
  <si>
    <t>/content/drive/MyDrive/thesis_project/thesis/outputs/exp05_ready/cascaded_step3_consistent_ready_20260604_082550.json</t>
  </si>
  <si>
    <t>/content/drive/MyDrive/thesis_project/thesis/outputs/exp05_ready/cascaded_step3_consistent_ready_results_20260604_082550.xlsx</t>
  </si>
  <si>
    <t>/content/drive/MyDrive/thesis_project/thesis/outputs/exp05_ready/cascaded_step3_consistent_ready_20260604_082552.json</t>
  </si>
  <si>
    <t>/content/drive/MyDrive/thesis_project/thesis/outputs/exp05_ready/cascaded_step3_consistent_ready_results_20260604_082552.xlsx</t>
  </si>
  <si>
    <t>/content/drive/MyDrive/thesis_project/thesis/outputs/exp05_ready/cascaded_step3_consistent_ready_20260604_082553.json</t>
  </si>
  <si>
    <t>/content/drive/MyDrive/thesis_project/thesis/outputs/exp05_ready/cascaded_step3_consistent_ready_results_20260604_082553.xlsx</t>
  </si>
  <si>
    <t>/content/drive/MyDrive/thesis_project/thesis/outputs/exp05_ready/cascaded_step3_consistent_ready_20260604_082555.json</t>
  </si>
  <si>
    <t>/content/drive/MyDrive/thesis_project/thesis/outputs/exp05_ready/cascaded_step3_consistent_ready_results_20260604_082555.xlsx</t>
  </si>
  <si>
    <t>/content/drive/MyDrive/thesis_project/thesis/outputs/exp05_ready/cascaded_step3_consistent_ready_20260604_082556.json</t>
  </si>
  <si>
    <t>/content/drive/MyDrive/thesis_project/thesis/outputs/exp05_ready/cascaded_step3_consistent_ready_results_20260604_082556.xlsx</t>
  </si>
  <si>
    <t>/content/drive/MyDrive/thesis_project/thesis/outputs/exp05_ready/cascaded_step3_consistent_ready_20260604_082558.json</t>
  </si>
  <si>
    <t>/content/drive/MyDrive/thesis_project/thesis/outputs/exp05_ready/cascaded_step3_consistent_ready_results_20260604_082558.xlsx</t>
  </si>
  <si>
    <t>/content/drive/MyDrive/thesis_project/thesis/outputs/exp05_ready/cascaded_step3_consistent_ready_20260604_082600.json</t>
  </si>
  <si>
    <t>/content/drive/MyDrive/thesis_project/thesis/outputs/exp05_ready/cascaded_step3_consistent_ready_results_20260604_082559.xlsx</t>
  </si>
  <si>
    <t>/content/drive/MyDrive/thesis_project/thesis/outputs/exp05_ready/cascaded_step3_consistent_ready_20260604_082602.json</t>
  </si>
  <si>
    <t>/content/drive/MyDrive/thesis_project/thesis/outputs/exp05_ready/cascaded_step3_consistent_ready_results_20260604_082601.xlsx</t>
  </si>
  <si>
    <t>/content/drive/MyDrive/thesis_project/thesis/outputs/exp05_ready/cascaded_step3_consistent_ready_20260604_082603.json</t>
  </si>
  <si>
    <t>/content/drive/MyDrive/thesis_project/thesis/outputs/exp05_ready/cascaded_step3_consistent_ready_results_20260604_082603.xlsx</t>
  </si>
  <si>
    <t>/content/drive/MyDrive/thesis_project/thesis/outputs/exp05_ready/cascaded_step3_consistent_ready_20260604_082605.json</t>
  </si>
  <si>
    <t>/content/drive/MyDrive/thesis_project/thesis/outputs/exp05_ready/cascaded_step3_consistent_ready_results_20260604_082605.xlsx</t>
  </si>
  <si>
    <t>/content/drive/MyDrive/thesis_project/thesis/outputs/exp05_ready/cascaded_step3_consistent_ready_20260604_082606.json</t>
  </si>
  <si>
    <t>/content/drive/MyDrive/thesis_project/thesis/outputs/exp05_ready/cascaded_step3_consistent_ready_results_20260604_082606.xlsx</t>
  </si>
  <si>
    <t>/content/drive/MyDrive/thesis_project/thesis/outputs/exp05_ready/cascaded_step3_consistent_ready_20260604_082608.json</t>
  </si>
  <si>
    <t>/content/drive/MyDrive/thesis_project/thesis/outputs/exp05_ready/cascaded_step3_consistent_ready_results_20260604_082607.xlsx</t>
  </si>
  <si>
    <t>/content/drive/MyDrive/thesis_project/thesis/outputs/exp05_ready/cascaded_step3_consistent_ready_20260604_082609.json</t>
  </si>
  <si>
    <t>/content/drive/MyDrive/thesis_project/thesis/outputs/exp05_ready/cascaded_step3_consistent_ready_results_20260604_082609.xlsx</t>
  </si>
  <si>
    <t>/content/drive/MyDrive/thesis_project/thesis/outputs/exp05_ready/cascaded_step3_consistent_ready_20260604_082611.json</t>
  </si>
  <si>
    <t>/content/drive/MyDrive/thesis_project/thesis/outputs/exp05_ready/cascaded_step3_consistent_ready_results_20260604_082611.xlsx</t>
  </si>
  <si>
    <t>/content/drive/MyDrive/thesis_project/thesis/outputs/exp05_ready/cascaded_step3_consistent_ready_20260604_082612.json</t>
  </si>
  <si>
    <t>/content/drive/MyDrive/thesis_project/thesis/outputs/exp05_ready/cascaded_step3_consistent_ready_results_20260604_082612.xlsx</t>
  </si>
  <si>
    <t>/content/drive/MyDrive/thesis_project/thesis/outputs/exp05_ready/cascaded_step3_consistent_ready_20260604_082614.json</t>
  </si>
  <si>
    <t>/content/drive/MyDrive/thesis_project/thesis/outputs/exp05_ready/cascaded_step3_consistent_ready_results_20260604_082614.xlsx</t>
  </si>
  <si>
    <t>/content/drive/MyDrive/thesis_project/thesis/outputs/exp05_ready/cascaded_step3_consistent_ready_20260604_082616.json</t>
  </si>
  <si>
    <t>/content/drive/MyDrive/thesis_project/thesis/outputs/exp05_ready/cascaded_step3_consistent_ready_results_20260604_082615.xlsx</t>
  </si>
  <si>
    <t>/content/drive/MyDrive/thesis_project/thesis/outputs/exp05_ready/cascaded_step3_consistent_ready_20260604_082617.json</t>
  </si>
  <si>
    <t>/content/drive/MyDrive/thesis_project/thesis/outputs/exp05_ready/cascaded_step3_consistent_ready_results_20260604_082617.xlsx</t>
  </si>
  <si>
    <t>/content/drive/MyDrive/thesis_project/thesis/outputs/exp05_ready/cascaded_step3_consistent_ready_20260604_082619.json</t>
  </si>
  <si>
    <t>/content/drive/MyDrive/thesis_project/thesis/outputs/exp05_ready/cascaded_step3_consistent_ready_results_20260604_082618.xlsx</t>
  </si>
  <si>
    <t>/content/drive/MyDrive/thesis_project/thesis/outputs/exp05_ready/cascaded_step3_consistent_ready_20260604_082620.json</t>
  </si>
  <si>
    <t>/content/drive/MyDrive/thesis_project/thesis/outputs/exp05_ready/cascaded_step3_consistent_ready_results_20260604_082620.xlsx</t>
  </si>
  <si>
    <t>/content/drive/MyDrive/thesis_project/thesis/outputs/exp05_ready/cascaded_step3_consistent_ready_20260604_082622.json</t>
  </si>
  <si>
    <t>/content/drive/MyDrive/thesis_project/thesis/outputs/exp05_ready/cascaded_step3_consistent_ready_results_20260604_082621.xlsx</t>
  </si>
  <si>
    <t>/content/drive/MyDrive/thesis_project/thesis/outputs/exp05_ready/cascaded_step3_consistent_ready_20260604_082623.json</t>
  </si>
  <si>
    <t>/content/drive/MyDrive/thesis_project/thesis/outputs/exp05_ready/cascaded_step3_consistent_ready_results_20260604_082623.xlsx</t>
  </si>
  <si>
    <t>/content/drive/MyDrive/thesis_project/thesis/outputs/exp05_ready/cascaded_step3_consistent_ready_20260604_082625.json</t>
  </si>
  <si>
    <t>/content/drive/MyDrive/thesis_project/thesis/outputs/exp05_ready/cascaded_step3_consistent_ready_results_20260604_082624.xlsx</t>
  </si>
  <si>
    <t>/content/drive/MyDrive/thesis_project/thesis/outputs/exp05_ready/cascaded_step3_consistent_ready_20260604_082626.json</t>
  </si>
  <si>
    <t>/content/drive/MyDrive/thesis_project/thesis/outputs/exp05_ready/cascaded_step3_consistent_ready_results_20260604_082626.xlsx</t>
  </si>
  <si>
    <t>/content/drive/MyDrive/thesis_project/thesis/outputs/exp05_ready/cascaded_step3_consistent_ready_20260604_082627.json</t>
  </si>
  <si>
    <t>/content/drive/MyDrive/thesis_project/thesis/outputs/exp05_ready/cascaded_step3_consistent_ready_results_20260604_082627.xlsx</t>
  </si>
  <si>
    <t>/content/drive/MyDrive/thesis_project/thesis/outputs/exp05_ready/cascaded_step3_consistent_ready_20260604_082629.json</t>
  </si>
  <si>
    <t>/content/drive/MyDrive/thesis_project/thesis/outputs/exp05_ready/cascaded_step3_consistent_ready_results_20260604_082628.xlsx</t>
  </si>
  <si>
    <t>/content/drive/MyDrive/thesis_project/thesis/outputs/exp05_ready/cascaded_step3_consistent_ready_20260604_082630.json</t>
  </si>
  <si>
    <t>/content/drive/MyDrive/thesis_project/thesis/outputs/exp05_ready/cascaded_step3_consistent_ready_results_20260604_082630.xlsx</t>
  </si>
  <si>
    <t>/content/drive/MyDrive/thesis_project/thesis/outputs/exp05_ready/cascaded_step3_consistent_ready_20260604_082632.json</t>
  </si>
  <si>
    <t>/content/drive/MyDrive/thesis_project/thesis/outputs/exp05_ready/cascaded_step3_consistent_ready_results_20260604_082632.xlsx</t>
  </si>
  <si>
    <t>/content/drive/MyDrive/thesis_project/thesis/outputs/exp05_ready/cascaded_step3_consistent_ready_20260604_082633.json</t>
  </si>
  <si>
    <t>/content/drive/MyDrive/thesis_project/thesis/outputs/exp05_ready/cascaded_step3_consistent_ready_results_20260604_082633.xlsx</t>
  </si>
  <si>
    <t>/content/drive/MyDrive/thesis_project/thesis/outputs/exp05_ready/cascaded_step3_consistent_ready_20260604_082635.json</t>
  </si>
  <si>
    <t>/content/drive/MyDrive/thesis_project/thesis/outputs/exp05_ready/cascaded_step3_consistent_ready_results_20260604_082635.xlsx</t>
  </si>
  <si>
    <t>/content/drive/MyDrive/thesis_project/thesis/outputs/exp05_ready/cascaded_step3_consistent_ready_20260604_082636.json</t>
  </si>
  <si>
    <t>/content/drive/MyDrive/thesis_project/thesis/outputs/exp05_ready/cascaded_step3_consistent_ready_results_20260604_082636.xlsx</t>
  </si>
  <si>
    <t>/content/drive/MyDrive/thesis_project/thesis/outputs/exp05_ready/cascaded_step3_consistent_ready_20260604_082638.json</t>
  </si>
  <si>
    <t>/content/drive/MyDrive/thesis_project/thesis/outputs/exp05_ready/cascaded_step3_consistent_ready_results_20260604_082638.xlsx</t>
  </si>
  <si>
    <t>/content/drive/MyDrive/thesis_project/thesis/outputs/exp05_ready/cascaded_step3_consistent_ready_20260604_082639.json</t>
  </si>
  <si>
    <t>/content/drive/MyDrive/thesis_project/thesis/outputs/exp05_ready/cascaded_step3_consistent_ready_results_20260604_082639.xlsx</t>
  </si>
  <si>
    <t>/content/drive/MyDrive/thesis_project/thesis/outputs/exp05_ready/cascaded_step3_consistent_ready_20260604_082641.json</t>
  </si>
  <si>
    <t>/content/drive/MyDrive/thesis_project/thesis/outputs/exp05_ready/cascaded_step3_consistent_ready_results_20260604_082641.xlsx</t>
  </si>
  <si>
    <t>/content/drive/MyDrive/thesis_project/thesis/outputs/exp05_ready/cascaded_step3_consistent_ready_20260604_082642.json</t>
  </si>
  <si>
    <t>/content/drive/MyDrive/thesis_project/thesis/outputs/exp05_ready/cascaded_step3_consistent_ready_results_20260604_082642.xlsx</t>
  </si>
  <si>
    <t>/content/drive/MyDrive/thesis_project/thesis/outputs/exp05_ready/cascaded_step3_consistent_ready_20260604_082644.json</t>
  </si>
  <si>
    <t>/content/drive/MyDrive/thesis_project/thesis/outputs/exp05_ready/cascaded_step3_consistent_ready_results_20260604_082644.xlsx</t>
  </si>
  <si>
    <t>/content/drive/MyDrive/thesis_project/thesis/outputs/exp05_ready/cascaded_step3_consistent_ready_20260604_082645.json</t>
  </si>
  <si>
    <t>/content/drive/MyDrive/thesis_project/thesis/outputs/exp05_ready/cascaded_step3_consistent_ready_results_20260604_082645.xlsx</t>
  </si>
  <si>
    <t>/content/drive/MyDrive/thesis_project/thesis/outputs/exp05_ready/cascaded_step3_consistent_ready_20260604_082647.json</t>
  </si>
  <si>
    <t>/content/drive/MyDrive/thesis_project/thesis/outputs/exp05_ready/cascaded_step3_consistent_ready_results_20260604_082647.xlsx</t>
  </si>
  <si>
    <t>/content/drive/MyDrive/thesis_project/thesis/outputs/exp05_ready/cascaded_step3_consistent_ready_20260604_082648.json</t>
  </si>
  <si>
    <t>/content/drive/MyDrive/thesis_project/thesis/outputs/exp05_ready/cascaded_step3_consistent_ready_results_20260604_082648.xlsx</t>
  </si>
  <si>
    <t>/content/drive/MyDrive/thesis_project/thesis/outputs/exp05_ready/cascaded_step3_consistent_ready_20260604_082650.json</t>
  </si>
  <si>
    <t>/content/drive/MyDrive/thesis_project/thesis/outputs/exp05_ready/cascaded_step3_consistent_ready_results_20260604_082649.xlsx</t>
  </si>
  <si>
    <t>/content/drive/MyDrive/thesis_project/thesis/outputs/exp05_ready/cascaded_step3_consistent_ready_20260604_082651.json</t>
  </si>
  <si>
    <t>/content/drive/MyDrive/thesis_project/thesis/outputs/exp05_ready/cascaded_step3_consistent_ready_results_20260604_082651.xlsx</t>
  </si>
  <si>
    <t>/content/drive/MyDrive/thesis_project/thesis/outputs/exp05_ready/cascaded_step3_consistent_ready_20260604_082653.json</t>
  </si>
  <si>
    <t>/content/drive/MyDrive/thesis_project/thesis/outputs/exp05_ready/cascaded_step3_consistent_ready_results_20260604_082653.xlsx</t>
  </si>
  <si>
    <t>/content/drive/MyDrive/thesis_project/thesis/outputs/exp05_ready/cascaded_step3_consistent_ready_20260604_082655.json</t>
  </si>
  <si>
    <t>/content/drive/MyDrive/thesis_project/thesis/outputs/exp05_ready/cascaded_step3_consistent_ready_results_20260604_082654.xlsx</t>
  </si>
  <si>
    <t>/content/drive/MyDrive/thesis_project/thesis/outputs/exp05_ready/cascaded_step3_consistent_ready_20260604_082656.json</t>
  </si>
  <si>
    <t>/content/drive/MyDrive/thesis_project/thesis/outputs/exp05_ready/cascaded_step3_consistent_ready_results_20260604_082656.xlsx</t>
  </si>
  <si>
    <t>/content/drive/MyDrive/thesis_project/thesis/outputs/exp05_ready/cascaded_step3_consistent_ready_20260604_082657.json</t>
  </si>
  <si>
    <t>/content/drive/MyDrive/thesis_project/thesis/outputs/exp05_ready/cascaded_step3_consistent_ready_results_20260604_082657.xlsx</t>
  </si>
  <si>
    <t>/content/drive/MyDrive/thesis_project/thesis/outputs/exp05_ready/cascaded_step3_consistent_ready_20260604_082659.json</t>
  </si>
  <si>
    <t>/content/drive/MyDrive/thesis_project/thesis/outputs/exp05_ready/cascaded_step3_consistent_ready_results_20260604_082659.xlsx</t>
  </si>
  <si>
    <t>/content/drive/MyDrive/thesis_project/thesis/outputs/exp05_ready/cascaded_step3_consistent_ready_20260604_082702.json</t>
  </si>
  <si>
    <t>/content/drive/MyDrive/thesis_project/thesis/outputs/exp05_ready/cascaded_step3_consistent_ready_results_20260604_082701.xlsx</t>
  </si>
  <si>
    <t>/content/drive/MyDrive/thesis_project/thesis/outputs/exp05_ready/cascaded_step3_consistent_ready_20260604_082703.json</t>
  </si>
  <si>
    <t>/content/drive/MyDrive/thesis_project/thesis/outputs/exp05_ready/cascaded_step3_consistent_ready_results_20260604_082703.xlsx</t>
  </si>
  <si>
    <t>/content/drive/MyDrive/thesis_project/thesis/outputs/exp05_ready/cascaded_step3_consistent_ready_20260604_082705.json</t>
  </si>
  <si>
    <t>/content/drive/MyDrive/thesis_project/thesis/outputs/exp05_ready/cascaded_step3_consistent_ready_results_20260604_082704.xlsx</t>
  </si>
  <si>
    <t>/content/drive/MyDrive/thesis_project/thesis/outputs/exp05_ready/cascaded_step3_consistent_ready_20260604_082706.json</t>
  </si>
  <si>
    <t>/content/drive/MyDrive/thesis_project/thesis/outputs/exp05_ready/cascaded_step3_consistent_ready_results_20260604_082706.xlsx</t>
  </si>
  <si>
    <t>/content/drive/MyDrive/thesis_project/thesis/outputs/exp05_ready/cascaded_step3_consistent_ready_20260604_082708.json</t>
  </si>
  <si>
    <t>/content/drive/MyDrive/thesis_project/thesis/outputs/exp05_ready/cascaded_step3_consistent_ready_results_20260604_082708.xlsx</t>
  </si>
  <si>
    <t>/content/drive/MyDrive/thesis_project/thesis/outputs/exp05_ready/cascaded_step3_consistent_ready_20260604_082709.json</t>
  </si>
  <si>
    <t>/content/drive/MyDrive/thesis_project/thesis/outputs/exp05_ready/cascaded_step3_consistent_ready_results_20260604_082709.xlsx</t>
  </si>
  <si>
    <t>/content/drive/MyDrive/thesis_project/thesis/outputs/exp05_ready/cascaded_step3_consistent_ready_20260604_082711.json</t>
  </si>
  <si>
    <t>/content/drive/MyDrive/thesis_project/thesis/outputs/exp05_ready/cascaded_step3_consistent_ready_results_20260604_082711.xlsx</t>
  </si>
  <si>
    <t>/content/drive/MyDrive/thesis_project/thesis/outputs/exp05_ready/cascaded_step3_consistent_ready_20260604_082713.json</t>
  </si>
  <si>
    <t>/content/drive/MyDrive/thesis_project/thesis/outputs/exp05_ready/cascaded_step3_consistent_ready_results_20260604_082713.xlsx</t>
  </si>
  <si>
    <t>/content/drive/MyDrive/thesis_project/thesis/outputs/exp05_ready/cascaded_step3_consistent_ready_20260604_082714.json</t>
  </si>
  <si>
    <t>/content/drive/MyDrive/thesis_project/thesis/outputs/exp05_ready/cascaded_step3_consistent_ready_results_20260604_082714.xlsx</t>
  </si>
  <si>
    <t>/content/drive/MyDrive/thesis_project/thesis/outputs/exp05_ready/cascaded_step3_consistent_ready_20260604_082716.json</t>
  </si>
  <si>
    <t>/content/drive/MyDrive/thesis_project/thesis/outputs/exp05_ready/cascaded_step3_consistent_ready_results_20260604_082715.xlsx</t>
  </si>
  <si>
    <t>/content/drive/MyDrive/thesis_project/thesis/outputs/exp05_ready/cascaded_step3_consistent_ready_20260604_082717.json</t>
  </si>
  <si>
    <t>/content/drive/MyDrive/thesis_project/thesis/outputs/exp05_ready/cascaded_step3_consistent_ready_results_20260604_082717.xlsx</t>
  </si>
  <si>
    <t>/content/drive/MyDrive/thesis_project/thesis/outputs/exp05_ready/cascaded_step3_consistent_ready_20260604_082719.json</t>
  </si>
  <si>
    <t>/content/drive/MyDrive/thesis_project/thesis/outputs/exp05_ready/cascaded_step3_consistent_ready_results_20260604_082718.xlsx</t>
  </si>
  <si>
    <t>/content/drive/MyDrive/thesis_project/thesis/outputs/exp05_ready/cascaded_step3_consistent_ready_20260604_082720.json</t>
  </si>
  <si>
    <t>/content/drive/MyDrive/thesis_project/thesis/outputs/exp05_ready/cascaded_step3_consistent_ready_results_20260604_082720.xlsx</t>
  </si>
  <si>
    <t>/content/drive/MyDrive/thesis_project/thesis/outputs/exp05_ready/cascaded_step3_consistent_ready_20260604_082722.json</t>
  </si>
  <si>
    <t>/content/drive/MyDrive/thesis_project/thesis/outputs/exp05_ready/cascaded_step3_consistent_ready_results_20260604_082722.xlsx</t>
  </si>
  <si>
    <t>/content/drive/MyDrive/thesis_project/thesis/outputs/exp05_ready/cascaded_step3_consistent_ready_20260604_082723.json</t>
  </si>
  <si>
    <t>/content/drive/MyDrive/thesis_project/thesis/outputs/exp05_ready/cascaded_step3_consistent_ready_results_20260604_082723.xlsx</t>
  </si>
  <si>
    <t>/content/drive/MyDrive/thesis_project/thesis/outputs/exp05_ready/cascaded_step3_consistent_ready_20260604_082725.json</t>
  </si>
  <si>
    <t>/content/drive/MyDrive/thesis_project/thesis/outputs/exp05_ready/cascaded_step3_consistent_ready_results_20260604_082725.xlsx</t>
  </si>
  <si>
    <t>/content/drive/MyDrive/thesis_project/thesis/outputs/exp05_ready/cascaded_step3_consistent_ready_20260604_082726.json</t>
  </si>
  <si>
    <t>/content/drive/MyDrive/thesis_project/thesis/outputs/exp05_ready/cascaded_step3_consistent_ready_results_20260604_082726.xlsx</t>
  </si>
  <si>
    <t>/content/drive/MyDrive/thesis_project/thesis/outputs/exp05_ready/cascaded_step3_consistent_ready_20260604_082728.json</t>
  </si>
  <si>
    <t>/content/drive/MyDrive/thesis_project/thesis/outputs/exp05_ready/cascaded_step3_consistent_ready_results_20260604_082727.xlsx</t>
  </si>
  <si>
    <t>/content/drive/MyDrive/thesis_project/thesis/outputs/exp05_ready/cascaded_step3_consistent_ready_20260604_082729.json</t>
  </si>
  <si>
    <t>/content/drive/MyDrive/thesis_project/thesis/outputs/exp05_ready/cascaded_step3_consistent_ready_results_20260604_082729.xlsx</t>
  </si>
  <si>
    <t>/content/drive/MyDrive/thesis_project/thesis/outputs/exp05_ready/cascaded_step3_consistent_ready_20260604_082731.json</t>
  </si>
  <si>
    <t>/content/drive/MyDrive/thesis_project/thesis/outputs/exp05_ready/cascaded_step3_consistent_ready_results_20260604_082731.xlsx</t>
  </si>
  <si>
    <t>/content/drive/MyDrive/thesis_project/thesis/outputs/exp05_ready/cascaded_step3_consistent_ready_20260604_082733.json</t>
  </si>
  <si>
    <t>/content/drive/MyDrive/thesis_project/thesis/outputs/exp05_ready/cascaded_step3_consistent_ready_results_20260604_082732.xlsx</t>
  </si>
  <si>
    <t>/content/drive/MyDrive/thesis_project/thesis/outputs/exp05_ready/cascaded_step3_consistent_ready_20260604_082734.json</t>
  </si>
  <si>
    <t>/content/drive/MyDrive/thesis_project/thesis/outputs/exp05_ready/cascaded_step3_consistent_ready_results_20260604_082734.xlsx</t>
  </si>
  <si>
    <t>/content/drive/MyDrive/thesis_project/thesis/outputs/exp05_ready/cascaded_step3_consistent_ready_20260604_082742.json</t>
  </si>
  <si>
    <t>/content/drive/MyDrive/thesis_project/thesis/outputs/exp05_ready/cascaded_step3_consistent_ready_results_20260604_082741.xlsx</t>
  </si>
  <si>
    <t>/content/drive/MyDrive/thesis_project/thesis/outputs/exp05_ready/cascaded_step3_consistent_ready_20260604_082744.json</t>
  </si>
  <si>
    <t>/content/drive/MyDrive/thesis_project/thesis/outputs/exp05_ready/cascaded_step3_consistent_ready_results_20260604_082744.xlsx</t>
  </si>
  <si>
    <t>/content/drive/MyDrive/thesis_project/thesis/outputs/exp05_ready/cascaded_step3_consistent_ready_20260604_082746.json</t>
  </si>
  <si>
    <t>/content/drive/MyDrive/thesis_project/thesis/outputs/exp05_ready/cascaded_step3_consistent_ready_results_20260604_082745.xlsx</t>
  </si>
  <si>
    <t>/content/drive/MyDrive/thesis_project/thesis/outputs/exp05_ready/cascaded_step3_consistent_ready_20260604_082748.json</t>
  </si>
  <si>
    <t>/content/drive/MyDrive/thesis_project/thesis/outputs/exp05_ready/cascaded_step3_consistent_ready_results_20260604_082747.xlsx</t>
  </si>
  <si>
    <t>/content/drive/MyDrive/thesis_project/thesis/outputs/exp05_ready/cascaded_step3_consistent_ready_20260604_082749.json</t>
  </si>
  <si>
    <t>/content/drive/MyDrive/thesis_project/thesis/outputs/exp05_ready/cascaded_step3_consistent_ready_results_20260604_082749.xlsx</t>
  </si>
  <si>
    <t>/content/drive/MyDrive/thesis_project/thesis/outputs/exp05_ready/cascaded_step3_consistent_ready_20260604_082750.json</t>
  </si>
  <si>
    <t>/content/drive/MyDrive/thesis_project/thesis/outputs/exp05_ready/cascaded_step3_consistent_ready_results_20260604_082750.xlsx</t>
  </si>
  <si>
    <t>/content/drive/MyDrive/thesis_project/thesis/outputs/exp05_ready/cascaded_step3_consistent_ready_20260604_082752.json</t>
  </si>
  <si>
    <t>/content/drive/MyDrive/thesis_project/thesis/outputs/exp05_ready/cascaded_step3_consistent_ready_results_20260604_082752.xlsx</t>
  </si>
  <si>
    <t>/content/drive/MyDrive/thesis_project/thesis/outputs/exp05_ready/cascaded_step3_consistent_ready_20260604_082753.json</t>
  </si>
  <si>
    <t>/content/drive/MyDrive/thesis_project/thesis/outputs/exp05_ready/cascaded_step3_consistent_ready_results_20260604_082753.xlsx</t>
  </si>
  <si>
    <t>/content/drive/MyDrive/thesis_project/thesis/outputs/exp05_ready/cascaded_step3_consistent_ready_20260604_082755.json</t>
  </si>
  <si>
    <t>/content/drive/MyDrive/thesis_project/thesis/outputs/exp05_ready/cascaded_step3_consistent_ready_results_20260604_082754.xlsx</t>
  </si>
  <si>
    <t>/content/drive/MyDrive/thesis_project/thesis/outputs/exp05_ready/cascaded_step3_consistent_ready_20260604_082756.json</t>
  </si>
  <si>
    <t>/content/drive/MyDrive/thesis_project/thesis/outputs/exp05_ready/cascaded_step3_consistent_ready_results_20260604_082756.xlsx</t>
  </si>
  <si>
    <t>/content/drive/MyDrive/thesis_project/thesis/outputs/exp05_ready/cascaded_step3_consistent_ready_20260604_082758.json</t>
  </si>
  <si>
    <t>/content/drive/MyDrive/thesis_project/thesis/outputs/exp05_ready/cascaded_step3_consistent_ready_results_20260604_082758.xlsx</t>
  </si>
  <si>
    <t>/content/drive/MyDrive/thesis_project/thesis/outputs/exp05_ready/cascaded_step3_consistent_ready_20260604_082759.json</t>
  </si>
  <si>
    <t>/content/drive/MyDrive/thesis_project/thesis/outputs/exp05_ready/cascaded_step3_consistent_ready_results_20260604_082759.xlsx</t>
  </si>
  <si>
    <t>/content/drive/MyDrive/thesis_project/thesis/outputs/exp05_ready/cascaded_step3_consistent_ready_20260604_082801.json</t>
  </si>
  <si>
    <t>/content/drive/MyDrive/thesis_project/thesis/outputs/exp05_ready/cascaded_step3_consistent_ready_results_20260604_082800.xlsx</t>
  </si>
  <si>
    <t>/content/drive/MyDrive/thesis_project/thesis/outputs/exp05_ready/cascaded_step3_consistent_ready_20260604_082802.json</t>
  </si>
  <si>
    <t>/content/drive/MyDrive/thesis_project/thesis/outputs/exp05_ready/cascaded_step3_consistent_ready_results_20260604_082802.xlsx</t>
  </si>
  <si>
    <t>/content/drive/MyDrive/thesis_project/thesis/outputs/exp05_ready/cascaded_step3_consistent_ready_20260604_082803.json</t>
  </si>
  <si>
    <t>/content/drive/MyDrive/thesis_project/thesis/outputs/exp05_ready/cascaded_step3_consistent_ready_results_20260604_082803.xlsx</t>
  </si>
  <si>
    <t>/content/drive/MyDrive/thesis_project/thesis/outputs/exp05_ready/cascaded_step3_consistent_ready_20260604_082805.json</t>
  </si>
  <si>
    <t>/content/drive/MyDrive/thesis_project/thesis/outputs/exp05_ready/cascaded_step3_consistent_ready_results_20260604_082804.xlsx</t>
  </si>
  <si>
    <t>/content/drive/MyDrive/thesis_project/thesis/outputs/exp05_ready/cascaded_step3_consistent_ready_20260604_082806.json</t>
  </si>
  <si>
    <t>/content/drive/MyDrive/thesis_project/thesis/outputs/exp05_ready/cascaded_step3_consistent_ready_results_20260604_082806.xlsx</t>
  </si>
  <si>
    <t>/content/drive/MyDrive/thesis_project/thesis/outputs/exp05_ready/cascaded_step3_consistent_ready_20260604_082808.json</t>
  </si>
  <si>
    <t>/content/drive/MyDrive/thesis_project/thesis/outputs/exp05_ready/cascaded_step3_consistent_ready_results_20260604_082807.xlsx</t>
  </si>
  <si>
    <t>/content/drive/MyDrive/thesis_project/thesis/outputs/exp05_ready/cascaded_step3_consistent_ready_20260604_082809.json</t>
  </si>
  <si>
    <t>/content/drive/MyDrive/thesis_project/thesis/outputs/exp05_ready/cascaded_step3_consistent_ready_results_20260604_082809.xlsx</t>
  </si>
  <si>
    <t>/content/drive/MyDrive/thesis_project/thesis/outputs/exp05_ready/cascaded_step3_consistent_ready_20260604_082811.json</t>
  </si>
  <si>
    <t>/content/drive/MyDrive/thesis_project/thesis/outputs/exp05_ready/cascaded_step3_consistent_ready_results_20260604_082810.xlsx</t>
  </si>
  <si>
    <t>/content/drive/MyDrive/thesis_project/thesis/outputs/exp05_ready/cascaded_step3_consistent_ready_20260604_082812.json</t>
  </si>
  <si>
    <t>/content/drive/MyDrive/thesis_project/thesis/outputs/exp05_ready/cascaded_step3_consistent_ready_results_20260604_082812.xlsx</t>
  </si>
  <si>
    <t>/content/drive/MyDrive/thesis_project/thesis/outputs/exp05_ready/cascaded_step3_consistent_ready_20260604_082813.json</t>
  </si>
  <si>
    <t>/content/drive/MyDrive/thesis_project/thesis/outputs/exp05_ready/cascaded_step3_consistent_ready_results_20260604_082813.xlsx</t>
  </si>
  <si>
    <t>/content/drive/MyDrive/thesis_project/thesis/outputs/exp05_ready/cascaded_step3_consistent_ready_20260604_082815.json</t>
  </si>
  <si>
    <t>/content/drive/MyDrive/thesis_project/thesis/outputs/exp05_ready/cascaded_step3_consistent_ready_results_20260604_082815.xlsx</t>
  </si>
  <si>
    <t>/content/drive/MyDrive/thesis_project/thesis/outputs/exp05_ready/cascaded_step3_consistent_ready_20260604_082816.json</t>
  </si>
  <si>
    <t>/content/drive/MyDrive/thesis_project/thesis/outputs/exp05_ready/cascaded_step3_consistent_ready_results_20260604_082816.xlsx</t>
  </si>
  <si>
    <t>/content/drive/MyDrive/thesis_project/thesis/outputs/exp05_ready/cascaded_step3_consistent_ready_20260604_082818.json</t>
  </si>
  <si>
    <t>/content/drive/MyDrive/thesis_project/thesis/outputs/exp05_ready/cascaded_step3_consistent_ready_results_20260604_082817.xlsx</t>
  </si>
  <si>
    <t>/content/drive/MyDrive/thesis_project/thesis/outputs/exp05_ready/cascaded_step3_consistent_ready_20260604_082819.json</t>
  </si>
  <si>
    <t>/content/drive/MyDrive/thesis_project/thesis/outputs/exp05_ready/cascaded_step3_consistent_ready_results_20260604_082819.xlsx</t>
  </si>
  <si>
    <t>/content/drive/MyDrive/thesis_project/thesis/outputs/exp05_ready/cascaded_step3_consistent_ready_20260604_082821.json</t>
  </si>
  <si>
    <t>/content/drive/MyDrive/thesis_project/thesis/outputs/exp05_ready/cascaded_step3_consistent_ready_results_20260604_082821.xlsx</t>
  </si>
  <si>
    <t>/content/drive/MyDrive/thesis_project/thesis/outputs/exp05_ready/cascaded_step3_consistent_ready_20260604_082822.json</t>
  </si>
  <si>
    <t>/content/drive/MyDrive/thesis_project/thesis/outputs/exp05_ready/cascaded_step3_consistent_ready_results_20260604_082822.xlsx</t>
  </si>
  <si>
    <t>/content/drive/MyDrive/thesis_project/thesis/outputs/exp05_ready/cascaded_step3_consistent_ready_20260604_082824.json</t>
  </si>
  <si>
    <t>/content/drive/MyDrive/thesis_project/thesis/outputs/exp05_ready/cascaded_step3_consistent_ready_results_20260604_082823.xlsx</t>
  </si>
  <si>
    <t>/content/drive/MyDrive/thesis_project/thesis/outputs/exp05_ready/cascaded_step3_consistent_ready_20260604_082825.json</t>
  </si>
  <si>
    <t>/content/drive/MyDrive/thesis_project/thesis/outputs/exp05_ready/cascaded_step3_consistent_ready_results_20260604_082825.xlsx</t>
  </si>
  <si>
    <t>/content/drive/MyDrive/thesis_project/thesis/outputs/exp05_ready/cascaded_step3_consistent_ready_20260604_082828.json</t>
  </si>
  <si>
    <t>/content/drive/MyDrive/thesis_project/thesis/outputs/exp05_ready/cascaded_step3_consistent_ready_results_20260604_082827.xlsx</t>
  </si>
  <si>
    <t>/content/drive/MyDrive/thesis_project/thesis/outputs/exp05_ready/cascaded_step3_consistent_ready_20260604_082829.json</t>
  </si>
  <si>
    <t>/content/drive/MyDrive/thesis_project/thesis/outputs/exp05_ready/cascaded_step3_consistent_ready_results_20260604_082829.xlsx</t>
  </si>
  <si>
    <t>/content/drive/MyDrive/thesis_project/thesis/outputs/exp05_ready/cascaded_step3_consistent_ready_20260604_082831.json</t>
  </si>
  <si>
    <t>/content/drive/MyDrive/thesis_project/thesis/outputs/exp05_ready/cascaded_step3_consistent_ready_results_20260604_082831.xlsx</t>
  </si>
  <si>
    <t>/content/drive/MyDrive/thesis_project/thesis/outputs/exp05_ready/cascaded_step3_consistent_ready_20260604_082833.json</t>
  </si>
  <si>
    <t>/content/drive/MyDrive/thesis_project/thesis/outputs/exp05_ready/cascaded_step3_consistent_ready_results_20260604_082833.xlsx</t>
  </si>
  <si>
    <t>/content/drive/MyDrive/thesis_project/thesis/outputs/exp05_ready/cascaded_step3_consistent_ready_20260604_082835.json</t>
  </si>
  <si>
    <t>/content/drive/MyDrive/thesis_project/thesis/outputs/exp05_ready/cascaded_step3_consistent_ready_results_20260604_082834.xlsx</t>
  </si>
  <si>
    <t>/content/drive/MyDrive/thesis_project/thesis/outputs/exp05_ready/cascaded_step3_consistent_ready_20260604_082836.json</t>
  </si>
  <si>
    <t>/content/drive/MyDrive/thesis_project/thesis/outputs/exp05_ready/cascaded_step3_consistent_ready_results_20260604_082836.xlsx</t>
  </si>
  <si>
    <t>/content/drive/MyDrive/thesis_project/thesis/outputs/exp05_ready/cascaded_step3_consistent_ready_20260604_082838.json</t>
  </si>
  <si>
    <t>/content/drive/MyDrive/thesis_project/thesis/outputs/exp05_ready/cascaded_step3_consistent_ready_results_20260604_082838.xlsx</t>
  </si>
  <si>
    <t>/content/drive/MyDrive/thesis_project/thesis/outputs/exp05_ready/cascaded_step3_consistent_ready_20260604_082840.json</t>
  </si>
  <si>
    <t>/content/drive/MyDrive/thesis_project/thesis/outputs/exp05_ready/cascaded_step3_consistent_ready_results_20260604_082839.xlsx</t>
  </si>
  <si>
    <t>/content/drive/MyDrive/thesis_project/thesis/outputs/exp05_ready/cascaded_step3_consistent_ready_20260604_082841.json</t>
  </si>
  <si>
    <t>/content/drive/MyDrive/thesis_project/thesis/outputs/exp05_ready/cascaded_step3_consistent_ready_results_20260604_082841.xlsx</t>
  </si>
  <si>
    <t>/content/drive/MyDrive/thesis_project/thesis/outputs/exp05_ready/cascaded_step3_consistent_ready_20260604_082843.json</t>
  </si>
  <si>
    <t>/content/drive/MyDrive/thesis_project/thesis/outputs/exp05_ready/cascaded_step3_consistent_ready_results_20260604_082842.xlsx</t>
  </si>
  <si>
    <t>/content/drive/MyDrive/thesis_project/thesis/outputs/exp05_ready/cascaded_step3_consistent_ready_20260604_082845.json</t>
  </si>
  <si>
    <t>/content/drive/MyDrive/thesis_project/thesis/outputs/exp05_ready/cascaded_step3_consistent_ready_results_20260604_082845.xlsx</t>
  </si>
  <si>
    <t>/content/drive/MyDrive/thesis_project/thesis/outputs/exp05_ready/cascaded_step3_consistent_ready_20260604_082847.json</t>
  </si>
  <si>
    <t>/content/drive/MyDrive/thesis_project/thesis/outputs/exp05_ready/cascaded_step3_consistent_ready_results_20260604_082846.xlsx</t>
  </si>
  <si>
    <t>/content/drive/MyDrive/thesis_project/thesis/outputs/exp05_ready/cascaded_step3_consistent_ready_20260604_082848.json</t>
  </si>
  <si>
    <t>/content/drive/MyDrive/thesis_project/thesis/outputs/exp05_ready/cascaded_step3_consistent_ready_results_20260604_082848.xlsx</t>
  </si>
  <si>
    <t>/content/drive/MyDrive/thesis_project/thesis/outputs/exp05_ready/cascaded_step3_consistent_ready_20260604_082849.json</t>
  </si>
  <si>
    <t>/content/drive/MyDrive/thesis_project/thesis/outputs/exp05_ready/cascaded_step3_consistent_ready_results_20260604_082849.xlsx</t>
  </si>
  <si>
    <t>/content/drive/MyDrive/thesis_project/thesis/outputs/exp05_ready/cascaded_step3_consistent_ready_20260604_082850.json</t>
  </si>
  <si>
    <t>/content/drive/MyDrive/thesis_project/thesis/outputs/exp05_ready/cascaded_step3_consistent_ready_results_20260604_082850.xlsx</t>
  </si>
  <si>
    <t>/content/drive/MyDrive/thesis_project/thesis/outputs/exp05_ready/cascaded_step3_consistent_ready_20260604_082851.json</t>
  </si>
  <si>
    <t>/content/drive/MyDrive/thesis_project/thesis/outputs/exp05_ready/cascaded_step3_consistent_ready_results_20260604_082851.xlsx</t>
  </si>
  <si>
    <t>/content/drive/MyDrive/thesis_project/thesis/outputs/exp05_ready/cascaded_step3_consistent_ready_20260604_082852.json</t>
  </si>
  <si>
    <t>/content/drive/MyDrive/thesis_project/thesis/outputs/exp05_ready/cascaded_step3_consistent_ready_results_20260604_082852.xlsx</t>
  </si>
  <si>
    <t>/content/drive/MyDrive/thesis_project/thesis/outputs/exp05_ready/cascaded_step3_consistent_ready_20260604_082853.json</t>
  </si>
  <si>
    <t>/content/drive/MyDrive/thesis_project/thesis/outputs/exp05_ready/cascaded_step3_consistent_ready_results_20260604_082853.xlsx</t>
  </si>
  <si>
    <t>/content/drive/MyDrive/thesis_project/thesis/outputs/exp06_ready/fusion_ready_20260604_082900.json</t>
  </si>
  <si>
    <t>/content/drive/MyDrive/thesis_project/thesis/outputs/exp06_ready/fusion_ready_results_20260604_082856.xlsx</t>
  </si>
  <si>
    <t>/content/drive/MyDrive/thesis_project/thesis/outputs/exp06_ready/fusion_ready_20260604_082902.json</t>
  </si>
  <si>
    <t>/content/drive/MyDrive/thesis_project/thesis/outputs/exp06_ready/fusion_ready_results_20260604_082902.xlsx</t>
  </si>
  <si>
    <t>/content/drive/MyDrive/thesis_project/thesis/outputs/exp06_ready/fusion_ready_20260604_082905.json</t>
  </si>
  <si>
    <t>/content/drive/MyDrive/thesis_project/thesis/outputs/exp06_ready/fusion_ready_results_20260604_082904.xlsx</t>
  </si>
  <si>
    <t>/content/drive/MyDrive/thesis_project/thesis/outputs/exp06_ready/fusion_ready_20260604_082907.json</t>
  </si>
  <si>
    <t>/content/drive/MyDrive/thesis_project/thesis/outputs/exp06_ready/fusion_ready_results_20260604_082906.xlsx</t>
  </si>
  <si>
    <t>/content/drive/MyDrive/thesis_project/thesis/outputs/exp06_ready/fusion_ready_20260604_082909.json</t>
  </si>
  <si>
    <t>/content/drive/MyDrive/thesis_project/thesis/outputs/exp06_ready/fusion_ready_results_20260604_082908.xlsx</t>
  </si>
  <si>
    <t>/content/drive/MyDrive/thesis_project/thesis/outputs/exp06_ready/fusion_ready_20260604_082911.json</t>
  </si>
  <si>
    <t>/content/drive/MyDrive/thesis_project/thesis/outputs/exp06_ready/fusion_ready_results_20260604_082910.xlsx</t>
  </si>
  <si>
    <t>/content/drive/MyDrive/thesis_project/thesis/outputs/exp06_ready/fusion_ready_20260604_082913.json</t>
  </si>
  <si>
    <t>/content/drive/MyDrive/thesis_project/thesis/outputs/exp06_ready/fusion_ready_results_20260604_082913.xlsx</t>
  </si>
  <si>
    <t>/content/drive/MyDrive/thesis_project/thesis/outputs/exp06_ready/fusion_ready_20260604_082915.json</t>
  </si>
  <si>
    <t>/content/drive/MyDrive/thesis_project/thesis/outputs/exp06_ready/fusion_ready_results_20260604_082915.xlsx</t>
  </si>
  <si>
    <t>/content/drive/MyDrive/thesis_project/thesis/outputs/exp06_ready/fusion_ready_20260604_082917.json</t>
  </si>
  <si>
    <t>/content/drive/MyDrive/thesis_project/thesis/outputs/exp06_ready/fusion_ready_results_20260604_082917.xlsx</t>
  </si>
  <si>
    <t>/content/drive/MyDrive/thesis_project/thesis/outputs/exp06_ready/fusion_ready_20260604_082920.json</t>
  </si>
  <si>
    <t>/content/drive/MyDrive/thesis_project/thesis/outputs/exp06_ready/fusion_ready_results_20260604_082919.xlsx</t>
  </si>
  <si>
    <t>/content/drive/MyDrive/thesis_project/thesis/outputs/exp06_ready/fusion_ready_20260604_082922.json</t>
  </si>
  <si>
    <t>/content/drive/MyDrive/thesis_project/thesis/outputs/exp06_ready/fusion_ready_results_20260604_082921.xlsx</t>
  </si>
  <si>
    <t>/content/drive/MyDrive/thesis_project/thesis/outputs/exp06_ready/fusion_ready_20260604_082924.json</t>
  </si>
  <si>
    <t>/content/drive/MyDrive/thesis_project/thesis/outputs/exp06_ready/fusion_ready_results_20260604_082923.xlsx</t>
  </si>
  <si>
    <t>/content/drive/MyDrive/thesis_project/thesis/outputs/exp06_ready/fusion_ready_20260604_082926.json</t>
  </si>
  <si>
    <t>/content/drive/MyDrive/thesis_project/thesis/outputs/exp06_ready/fusion_ready_results_20260604_082926.xlsx</t>
  </si>
  <si>
    <t>/content/drive/MyDrive/thesis_project/thesis/outputs/exp06_ready/fusion_ready_20260604_082928.json</t>
  </si>
  <si>
    <t>/content/drive/MyDrive/thesis_project/thesis/outputs/exp06_ready/fusion_ready_results_20260604_082928.xlsx</t>
  </si>
  <si>
    <t>/content/drive/MyDrive/thesis_project/thesis/outputs/exp06_ready/fusion_ready_20260604_082930.json</t>
  </si>
  <si>
    <t>/content/drive/MyDrive/thesis_project/thesis/outputs/exp06_ready/fusion_ready_results_20260604_082930.xlsx</t>
  </si>
  <si>
    <t>/content/drive/MyDrive/thesis_project/thesis/outputs/exp06_ready/fusion_ready_20260604_082933.json</t>
  </si>
  <si>
    <t>/content/drive/MyDrive/thesis_project/thesis/outputs/exp06_ready/fusion_ready_results_20260604_082932.xlsx</t>
  </si>
  <si>
    <t>/content/drive/MyDrive/thesis_project/thesis/outputs/exp06_ready/fusion_ready_20260604_082935.json</t>
  </si>
  <si>
    <t>/content/drive/MyDrive/thesis_project/thesis/outputs/exp06_ready/fusion_ready_results_20260604_082934.xlsx</t>
  </si>
  <si>
    <t>/content/drive/MyDrive/thesis_project/thesis/outputs/exp06_ready/fusion_ready_20260604_082937.json</t>
  </si>
  <si>
    <t>/content/drive/MyDrive/thesis_project/thesis/outputs/exp06_ready/fusion_ready_results_20260604_082936.xlsx</t>
  </si>
  <si>
    <t>/content/drive/MyDrive/thesis_project/thesis/outputs/exp06_ready/fusion_ready_20260604_082939.json</t>
  </si>
  <si>
    <t>/content/drive/MyDrive/thesis_project/thesis/outputs/exp06_ready/fusion_ready_results_20260604_082939.xlsx</t>
  </si>
  <si>
    <t>/content/drive/MyDrive/thesis_project/thesis/outputs/exp06_ready/fusion_ready_20260604_082941.json</t>
  </si>
  <si>
    <t>/content/drive/MyDrive/thesis_project/thesis/outputs/exp06_ready/fusion_ready_results_20260604_082941.xlsx</t>
  </si>
  <si>
    <t>/content/drive/MyDrive/thesis_project/thesis/outputs/exp06_ready/fusion_ready_20260604_082943.json</t>
  </si>
  <si>
    <t>/content/drive/MyDrive/thesis_project/thesis/outputs/exp06_ready/fusion_ready_results_20260604_082942.xlsx</t>
  </si>
  <si>
    <t>/content/drive/MyDrive/thesis_project/thesis/outputs/exp06_ready/fusion_ready_20260604_082945.json</t>
  </si>
  <si>
    <t>/content/drive/MyDrive/thesis_project/thesis/outputs/exp06_ready/fusion_ready_results_20260604_082944.xlsx</t>
  </si>
  <si>
    <t>/content/drive/MyDrive/thesis_project/thesis/outputs/exp06_ready/fusion_ready_20260604_082947.json</t>
  </si>
  <si>
    <t>/content/drive/MyDrive/thesis_project/thesis/outputs/exp06_ready/fusion_ready_results_20260604_082947.xlsx</t>
  </si>
  <si>
    <t>/content/drive/MyDrive/thesis_project/thesis/outputs/exp06_ready/fusion_ready_20260604_082949.json</t>
  </si>
  <si>
    <t>/content/drive/MyDrive/thesis_project/thesis/outputs/exp06_ready/fusion_ready_results_20260604_082948.xlsx</t>
  </si>
  <si>
    <t>/content/drive/MyDrive/thesis_project/thesis/outputs/exp06_ready/fusion_ready_20260604_082951.json</t>
  </si>
  <si>
    <t>/content/drive/MyDrive/thesis_project/thesis/outputs/exp06_ready/fusion_ready_results_20260604_082950.xlsx</t>
  </si>
  <si>
    <t>/content/drive/MyDrive/thesis_project/thesis/outputs/exp06_ready/fusion_ready_20260604_082953.json</t>
  </si>
  <si>
    <t>/content/drive/MyDrive/thesis_project/thesis/outputs/exp06_ready/fusion_ready_results_20260604_082952.xlsx</t>
  </si>
  <si>
    <t>/content/drive/MyDrive/thesis_project/thesis/outputs/exp06_ready/fusion_ready_20260604_082955.json</t>
  </si>
  <si>
    <t>/content/drive/MyDrive/thesis_project/thesis/outputs/exp06_ready/fusion_ready_results_20260604_082954.xlsx</t>
  </si>
  <si>
    <t>/content/drive/MyDrive/thesis_project/thesis/outputs/exp06_ready/fusion_ready_20260604_082957.json</t>
  </si>
  <si>
    <t>/content/drive/MyDrive/thesis_project/thesis/outputs/exp06_ready/fusion_ready_results_20260604_082956.xlsx</t>
  </si>
  <si>
    <t>/content/drive/MyDrive/thesis_project/thesis/outputs/exp06_ready/fusion_ready_20260604_082959.json</t>
  </si>
  <si>
    <t>/content/drive/MyDrive/thesis_project/thesis/outputs/exp06_ready/fusion_ready_results_20260604_082959.xlsx</t>
  </si>
  <si>
    <t>/content/drive/MyDrive/thesis_project/thesis/outputs/exp06_ready/fusion_ready_20260604_083001.json</t>
  </si>
  <si>
    <t>/content/drive/MyDrive/thesis_project/thesis/outputs/exp06_ready/fusion_ready_results_20260604_083001.xlsx</t>
  </si>
  <si>
    <t>/content/drive/MyDrive/thesis_project/thesis/outputs/exp06_ready/fusion_ready_20260604_083004.json</t>
  </si>
  <si>
    <t>/content/drive/MyDrive/thesis_project/thesis/outputs/exp06_ready/fusion_ready_results_20260604_083003.xlsx</t>
  </si>
  <si>
    <t>/content/drive/MyDrive/thesis_project/thesis/outputs/exp06_ready/fusion_ready_20260604_083006.json</t>
  </si>
  <si>
    <t>/content/drive/MyDrive/thesis_project/thesis/outputs/exp06_ready/fusion_ready_results_20260604_083005.xlsx</t>
  </si>
  <si>
    <t>/content/drive/MyDrive/thesis_project/thesis/outputs/exp06_ready/fusion_ready_20260604_083008.json</t>
  </si>
  <si>
    <t>/content/drive/MyDrive/thesis_project/thesis/outputs/exp06_ready/fusion_ready_results_20260604_083007.xlsx</t>
  </si>
  <si>
    <t>/content/drive/MyDrive/thesis_project/thesis/outputs/exp06_ready/fusion_ready_20260604_083010.json</t>
  </si>
  <si>
    <t>/content/drive/MyDrive/thesis_project/thesis/outputs/exp06_ready/fusion_ready_results_20260604_083009.xlsx</t>
  </si>
  <si>
    <t>/content/drive/MyDrive/thesis_project/thesis/outputs/exp06_ready/fusion_ready_20260604_083011.json</t>
  </si>
  <si>
    <t>/content/drive/MyDrive/thesis_project/thesis/outputs/exp06_ready/fusion_ready_results_20260604_083011.xlsx</t>
  </si>
  <si>
    <t>/content/drive/MyDrive/thesis_project/thesis/outputs/exp06_ready/fusion_ready_20260604_083014.json</t>
  </si>
  <si>
    <t>/content/drive/MyDrive/thesis_project/thesis/outputs/exp06_ready/fusion_ready_results_20260604_083013.xlsx</t>
  </si>
  <si>
    <t>/content/drive/MyDrive/thesis_project/thesis/outputs/exp06_ready/fusion_ready_20260604_083015.json</t>
  </si>
  <si>
    <t>/content/drive/MyDrive/thesis_project/thesis/outputs/exp06_ready/fusion_ready_results_20260604_083015.xlsx</t>
  </si>
  <si>
    <t>/content/drive/MyDrive/thesis_project/thesis/outputs/exp06_ready/fusion_ready_20260604_083017.json</t>
  </si>
  <si>
    <t>/content/drive/MyDrive/thesis_project/thesis/outputs/exp06_ready/fusion_ready_results_20260604_083017.xlsx</t>
  </si>
  <si>
    <t>/content/drive/MyDrive/thesis_project/thesis/outputs/exp06_ready/fusion_ready_20260604_083019.json</t>
  </si>
  <si>
    <t>/content/drive/MyDrive/thesis_project/thesis/outputs/exp06_ready/fusion_ready_results_20260604_083018.xlsx</t>
  </si>
  <si>
    <t>/content/drive/MyDrive/thesis_project/thesis/outputs/exp06_ready/fusion_ready_20260604_083021.json</t>
  </si>
  <si>
    <t>/content/drive/MyDrive/thesis_project/thesis/outputs/exp06_ready/fusion_ready_results_20260604_083021.xlsx</t>
  </si>
  <si>
    <t>/content/drive/MyDrive/thesis_project/thesis/outputs/exp06_ready/fusion_ready_20260604_083023.json</t>
  </si>
  <si>
    <t>/content/drive/MyDrive/thesis_project/thesis/outputs/exp06_ready/fusion_ready_results_20260604_083022.xlsx</t>
  </si>
  <si>
    <t>/content/drive/MyDrive/thesis_project/thesis/outputs/exp06_ready/fusion_ready_20260604_083025.json</t>
  </si>
  <si>
    <t>/content/drive/MyDrive/thesis_project/thesis/outputs/exp06_ready/fusion_ready_results_20260604_083024.xlsx</t>
  </si>
  <si>
    <t>/content/drive/MyDrive/thesis_project/thesis/outputs/exp06_ready/fusion_ready_20260604_083027.json</t>
  </si>
  <si>
    <t>/content/drive/MyDrive/thesis_project/thesis/outputs/exp06_ready/fusion_ready_results_20260604_083027.xlsx</t>
  </si>
  <si>
    <t>/content/drive/MyDrive/thesis_project/thesis/outputs/exp06_ready/fusion_ready_20260604_083029.json</t>
  </si>
  <si>
    <t>/content/drive/MyDrive/thesis_project/thesis/outputs/exp06_ready/fusion_ready_results_20260604_083029.xlsx</t>
  </si>
  <si>
    <t>/content/drive/MyDrive/thesis_project/thesis/outputs/exp06_ready/fusion_ready_20260604_083032.json</t>
  </si>
  <si>
    <t>/content/drive/MyDrive/thesis_project/thesis/outputs/exp06_ready/fusion_ready_results_20260604_083031.xlsx</t>
  </si>
  <si>
    <t>/content/drive/MyDrive/thesis_project/thesis/outputs/exp06_ready/fusion_ready_20260604_083034.json</t>
  </si>
  <si>
    <t>/content/drive/MyDrive/thesis_project/thesis/outputs/exp06_ready/fusion_ready_results_20260604_083033.xlsx</t>
  </si>
  <si>
    <t>/content/drive/MyDrive/thesis_project/thesis/outputs/exp06_ready/fusion_ready_20260604_083036.json</t>
  </si>
  <si>
    <t>/content/drive/MyDrive/thesis_project/thesis/outputs/exp06_ready/fusion_ready_results_20260604_083035.xlsx</t>
  </si>
  <si>
    <t>/content/drive/MyDrive/thesis_project/thesis/outputs/exp06_ready/fusion_ready_20260604_083038.json</t>
  </si>
  <si>
    <t>/content/drive/MyDrive/thesis_project/thesis/outputs/exp06_ready/fusion_ready_results_20260604_083037.xlsx</t>
  </si>
  <si>
    <t>/content/drive/MyDrive/thesis_project/thesis/outputs/exp06_ready/fusion_ready_20260604_083040.json</t>
  </si>
  <si>
    <t>/content/drive/MyDrive/thesis_project/thesis/outputs/exp06_ready/fusion_ready_results_20260604_083039.xlsx</t>
  </si>
  <si>
    <t>/content/drive/MyDrive/thesis_project/thesis/outputs/exp06_ready/fusion_ready_20260604_083042.json</t>
  </si>
  <si>
    <t>/content/drive/MyDrive/thesis_project/thesis/outputs/exp06_ready/fusion_ready_results_20260604_083042.xlsx</t>
  </si>
  <si>
    <t>/content/drive/MyDrive/thesis_project/thesis/outputs/exp06_ready/fusion_ready_20260604_083045.json</t>
  </si>
  <si>
    <t>/content/drive/MyDrive/thesis_project/thesis/outputs/exp06_ready/fusion_ready_results_20260604_083044.xlsx</t>
  </si>
  <si>
    <t>/content/drive/MyDrive/thesis_project/thesis/outputs/exp06_ready/fusion_ready_20260604_083047.json</t>
  </si>
  <si>
    <t>/content/drive/MyDrive/thesis_project/thesis/outputs/exp06_ready/fusion_ready_results_20260604_083046.xlsx</t>
  </si>
  <si>
    <t>/content/drive/MyDrive/thesis_project/thesis/outputs/exp06_ready/fusion_ready_20260604_083049.json</t>
  </si>
  <si>
    <t>/content/drive/MyDrive/thesis_project/thesis/outputs/exp06_ready/fusion_ready_results_20260604_083048.xlsx</t>
  </si>
  <si>
    <t>/content/drive/MyDrive/thesis_project/thesis/outputs/exp06_ready/fusion_ready_20260604_083051.json</t>
  </si>
  <si>
    <t>/content/drive/MyDrive/thesis_project/thesis/outputs/exp06_ready/fusion_ready_results_20260604_083050.xlsx</t>
  </si>
  <si>
    <t>/content/drive/MyDrive/thesis_project/thesis/outputs/exp06_ready/fusion_ready_20260604_083053.json</t>
  </si>
  <si>
    <t>/content/drive/MyDrive/thesis_project/thesis/outputs/exp06_ready/fusion_ready_results_20260604_083052.xlsx</t>
  </si>
  <si>
    <t>/content/drive/MyDrive/thesis_project/thesis/outputs/exp06_ready/fusion_ready_20260604_083055.json</t>
  </si>
  <si>
    <t>/content/drive/MyDrive/thesis_project/thesis/outputs/exp06_ready/fusion_ready_results_20260604_083054.xlsx</t>
  </si>
  <si>
    <t>/content/drive/MyDrive/thesis_project/thesis/outputs/exp06_ready/fusion_ready_20260604_083057.json</t>
  </si>
  <si>
    <t>/content/drive/MyDrive/thesis_project/thesis/outputs/exp06_ready/fusion_ready_results_20260604_083056.xlsx</t>
  </si>
  <si>
    <t>/content/drive/MyDrive/thesis_project/thesis/outputs/exp06_ready/fusion_ready_20260604_083059.json</t>
  </si>
  <si>
    <t>/content/drive/MyDrive/thesis_project/thesis/outputs/exp06_ready/fusion_ready_results_20260604_083059.xlsx</t>
  </si>
  <si>
    <t>/content/drive/MyDrive/thesis_project/thesis/outputs/exp06_ready/fusion_ready_20260604_083102.json</t>
  </si>
  <si>
    <t>/content/drive/MyDrive/thesis_project/thesis/outputs/exp06_ready/fusion_ready_results_20260604_083101.xlsx</t>
  </si>
  <si>
    <t>/content/drive/MyDrive/thesis_project/thesis/outputs/exp06_ready/fusion_ready_20260604_083104.json</t>
  </si>
  <si>
    <t>/content/drive/MyDrive/thesis_project/thesis/outputs/exp06_ready/fusion_ready_results_20260604_083103.xlsx</t>
  </si>
  <si>
    <t>/content/drive/MyDrive/thesis_project/thesis/outputs/exp06_ready/fusion_ready_20260604_083106.json</t>
  </si>
  <si>
    <t>/content/drive/MyDrive/thesis_project/thesis/outputs/exp06_ready/fusion_ready_results_20260604_083105.xlsx</t>
  </si>
  <si>
    <t>/content/drive/MyDrive/thesis_project/thesis/outputs/exp06_ready/fusion_ready_20260604_083108.json</t>
  </si>
  <si>
    <t>/content/drive/MyDrive/thesis_project/thesis/outputs/exp06_ready/fusion_ready_results_20260604_083108.xlsx</t>
  </si>
  <si>
    <t>/content/drive/MyDrive/thesis_project/thesis/outputs/exp06_ready/fusion_ready_20260604_083111.json</t>
  </si>
  <si>
    <t>/content/drive/MyDrive/thesis_project/thesis/outputs/exp06_ready/fusion_ready_results_20260604_083110.xlsx</t>
  </si>
  <si>
    <t>/content/drive/MyDrive/thesis_project/thesis/outputs/exp06_ready/fusion_ready_20260604_083112.json</t>
  </si>
  <si>
    <t>/content/drive/MyDrive/thesis_project/thesis/outputs/exp06_ready/fusion_ready_results_20260604_083112.xlsx</t>
  </si>
  <si>
    <t>/content/drive/MyDrive/thesis_project/thesis/outputs/exp06_ready/fusion_ready_20260604_083114.json</t>
  </si>
  <si>
    <t>/content/drive/MyDrive/thesis_project/thesis/outputs/exp06_ready/fusion_ready_results_20260604_083114.xlsx</t>
  </si>
  <si>
    <t>/content/drive/MyDrive/thesis_project/thesis/outputs/exp06_ready/fusion_ready_20260604_083117.json</t>
  </si>
  <si>
    <t>/content/drive/MyDrive/thesis_project/thesis/outputs/exp06_ready/fusion_ready_results_20260604_083116.xlsx</t>
  </si>
  <si>
    <t>/content/drive/MyDrive/thesis_project/thesis/outputs/exp06_ready/fusion_ready_20260604_083119.json</t>
  </si>
  <si>
    <t>/content/drive/MyDrive/thesis_project/thesis/outputs/exp06_ready/fusion_ready_results_20260604_083118.xlsx</t>
  </si>
  <si>
    <t>/content/drive/MyDrive/thesis_project/thesis/outputs/exp06_ready/fusion_ready_20260604_083121.json</t>
  </si>
  <si>
    <t>/content/drive/MyDrive/thesis_project/thesis/outputs/exp06_ready/fusion_ready_results_20260604_083120.xlsx</t>
  </si>
  <si>
    <t>/content/drive/MyDrive/thesis_project/thesis/outputs/exp06_ready/fusion_ready_20260604_083123.json</t>
  </si>
  <si>
    <t>/content/drive/MyDrive/thesis_project/thesis/outputs/exp06_ready/fusion_ready_results_20260604_083122.xlsx</t>
  </si>
  <si>
    <t>/content/drive/MyDrive/thesis_project/thesis/outputs/exp06_ready/fusion_ready_20260604_083125.json</t>
  </si>
  <si>
    <t>/content/drive/MyDrive/thesis_project/thesis/outputs/exp06_ready/fusion_ready_results_20260604_083125.xlsx</t>
  </si>
  <si>
    <t>/content/drive/MyDrive/thesis_project/thesis/outputs/exp06_ready/fusion_ready_20260604_083127.json</t>
  </si>
  <si>
    <t>/content/drive/MyDrive/thesis_project/thesis/outputs/exp06_ready/fusion_ready_results_20260604_083127.xlsx</t>
  </si>
  <si>
    <t>/content/drive/MyDrive/thesis_project/thesis/outputs/exp06_ready/fusion_ready_20260604_083130.json</t>
  </si>
  <si>
    <t>/content/drive/MyDrive/thesis_project/thesis/outputs/exp06_ready/fusion_ready_results_20260604_083129.xlsx</t>
  </si>
  <si>
    <t>/content/drive/MyDrive/thesis_project/thesis/outputs/exp06_ready/fusion_ready_20260604_083132.json</t>
  </si>
  <si>
    <t>/content/drive/MyDrive/thesis_project/thesis/outputs/exp06_ready/fusion_ready_results_20260604_083131.xlsx</t>
  </si>
  <si>
    <t>/content/drive/MyDrive/thesis_project/thesis/outputs/exp06_ready/fusion_ready_20260604_083134.json</t>
  </si>
  <si>
    <t>/content/drive/MyDrive/thesis_project/thesis/outputs/exp06_ready/fusion_ready_results_20260604_083133.xlsx</t>
  </si>
  <si>
    <t>/content/drive/MyDrive/thesis_project/thesis/outputs/exp06_ready/fusion_ready_20260604_083136.json</t>
  </si>
  <si>
    <t>/content/drive/MyDrive/thesis_project/thesis/outputs/exp06_ready/fusion_ready_results_20260604_083135.xlsx</t>
  </si>
  <si>
    <t>/content/drive/MyDrive/thesis_project/thesis/outputs/exp06_ready/fusion_ready_20260604_083138.json</t>
  </si>
  <si>
    <t>/content/drive/MyDrive/thesis_project/thesis/outputs/exp06_ready/fusion_ready_results_20260604_083138.xlsx</t>
  </si>
  <si>
    <t>/content/drive/MyDrive/thesis_project/thesis/outputs/exp06_ready/fusion_ready_20260604_083140.json</t>
  </si>
  <si>
    <t>/content/drive/MyDrive/thesis_project/thesis/outputs/exp06_ready/fusion_ready_results_20260604_083140.xlsx</t>
  </si>
  <si>
    <t>/content/drive/MyDrive/thesis_project/thesis/outputs/exp06_ready/fusion_ready_20260604_083143.json</t>
  </si>
  <si>
    <t>/content/drive/MyDrive/thesis_project/thesis/outputs/exp06_ready/fusion_ready_results_20260604_083142.xlsx</t>
  </si>
  <si>
    <t>/content/drive/MyDrive/thesis_project/thesis/outputs/exp06_ready/fusion_ready_20260604_083145.json</t>
  </si>
  <si>
    <t>/content/drive/MyDrive/thesis_project/thesis/outputs/exp06_ready/fusion_ready_results_20260604_083144.xlsx</t>
  </si>
  <si>
    <t>/content/drive/MyDrive/thesis_project/thesis/outputs/exp06_ready/fusion_ready_20260604_083147.json</t>
  </si>
  <si>
    <t>/content/drive/MyDrive/thesis_project/thesis/outputs/exp06_ready/fusion_ready_results_20260604_083146.xlsx</t>
  </si>
  <si>
    <t>/content/drive/MyDrive/thesis_project/thesis/outputs/exp06_ready/fusion_ready_20260604_083149.json</t>
  </si>
  <si>
    <t>/content/drive/MyDrive/thesis_project/thesis/outputs/exp06_ready/fusion_ready_results_20260604_083148.xlsx</t>
  </si>
  <si>
    <t>/content/drive/MyDrive/thesis_project/thesis/outputs/exp06_ready/fusion_ready_20260604_083151.json</t>
  </si>
  <si>
    <t>/content/drive/MyDrive/thesis_project/thesis/outputs/exp06_ready/fusion_ready_results_20260604_083150.xlsx</t>
  </si>
  <si>
    <t>/content/drive/MyDrive/thesis_project/thesis/outputs/exp06_ready/fusion_ready_20260604_083153.json</t>
  </si>
  <si>
    <t>/content/drive/MyDrive/thesis_project/thesis/outputs/exp06_ready/fusion_ready_results_20260604_083152.xlsx</t>
  </si>
  <si>
    <t>/content/drive/MyDrive/thesis_project/thesis/outputs/exp06_ready/fusion_ready_20260604_083154.json</t>
  </si>
  <si>
    <t>/content/drive/MyDrive/thesis_project/thesis/outputs/exp06_ready/fusion_ready_results_20260604_083154.xlsx</t>
  </si>
  <si>
    <t>/content/drive/MyDrive/thesis_project/thesis/outputs/exp06_ready/fusion_ready_20260604_083157.json</t>
  </si>
  <si>
    <t>/content/drive/MyDrive/thesis_project/thesis/outputs/exp06_ready/fusion_ready_results_20260604_083156.xlsx</t>
  </si>
  <si>
    <t>/content/drive/MyDrive/thesis_project/thesis/outputs/exp06_ready/fusion_ready_20260604_083159.json</t>
  </si>
  <si>
    <t>/content/drive/MyDrive/thesis_project/thesis/outputs/exp06_ready/fusion_ready_results_20260604_083158.xlsx</t>
  </si>
  <si>
    <t>/content/drive/MyDrive/thesis_project/thesis/outputs/exp06_ready/fusion_ready_20260604_083200.json</t>
  </si>
  <si>
    <t>/content/drive/MyDrive/thesis_project/thesis/outputs/exp06_ready/fusion_ready_results_20260604_083200.xlsx</t>
  </si>
  <si>
    <t>/content/drive/MyDrive/thesis_project/thesis/outputs/exp06_ready/fusion_ready_20260604_083203.json</t>
  </si>
  <si>
    <t>/content/drive/MyDrive/thesis_project/thesis/outputs/exp06_ready/fusion_ready_results_20260604_083202.xlsx</t>
  </si>
  <si>
    <t>/content/drive/MyDrive/thesis_project/thesis/outputs/exp06_ready/fusion_ready_20260604_083204.json</t>
  </si>
  <si>
    <t>/content/drive/MyDrive/thesis_project/thesis/outputs/exp06_ready/fusion_ready_results_20260604_083204.xlsx</t>
  </si>
  <si>
    <t>/content/drive/MyDrive/thesis_project/thesis/outputs/exp06_ready/fusion_ready_20260604_083206.json</t>
  </si>
  <si>
    <t>/content/drive/MyDrive/thesis_project/thesis/outputs/exp06_ready/fusion_ready_results_20260604_083206.xlsx</t>
  </si>
  <si>
    <t>/content/drive/MyDrive/thesis_project/thesis/outputs/exp06_ready/fusion_ready_20260604_083208.json</t>
  </si>
  <si>
    <t>/content/drive/MyDrive/thesis_project/thesis/outputs/exp06_ready/fusion_ready_results_20260604_083207.xlsx</t>
  </si>
  <si>
    <t>/content/drive/MyDrive/thesis_project/thesis/outputs/exp06_ready/fusion_ready_20260604_083210.json</t>
  </si>
  <si>
    <t>/content/drive/MyDrive/thesis_project/thesis/outputs/exp06_ready/fusion_ready_results_20260604_083209.xlsx</t>
  </si>
  <si>
    <t>/content/drive/MyDrive/thesis_project/thesis/outputs/exp06_ready/fusion_ready_20260604_083212.json</t>
  </si>
  <si>
    <t>/content/drive/MyDrive/thesis_project/thesis/outputs/exp06_ready/fusion_ready_results_20260604_083211.xlsx</t>
  </si>
  <si>
    <t>/content/drive/MyDrive/thesis_project/thesis/outputs/exp06_ready/fusion_ready_20260604_083214.json</t>
  </si>
  <si>
    <t>/content/drive/MyDrive/thesis_project/thesis/outputs/exp06_ready/fusion_ready_results_20260604_083213.xlsx</t>
  </si>
  <si>
    <t>/content/drive/MyDrive/thesis_project/thesis/outputs/exp06_ready/fusion_ready_20260604_083216.json</t>
  </si>
  <si>
    <t>/content/drive/MyDrive/thesis_project/thesis/outputs/exp06_ready/fusion_ready_results_20260604_083215.xlsx</t>
  </si>
  <si>
    <t>/content/drive/MyDrive/thesis_project/thesis/outputs/exp06_ready/fusion_ready_20260604_083218.json</t>
  </si>
  <si>
    <t>/content/drive/MyDrive/thesis_project/thesis/outputs/exp06_ready/fusion_ready_results_20260604_083217.xlsx</t>
  </si>
  <si>
    <t>/content/drive/MyDrive/thesis_project/thesis/outputs/exp06_ready/fusion_ready_20260604_083220.json</t>
  </si>
  <si>
    <t>/content/drive/MyDrive/thesis_project/thesis/outputs/exp06_ready/fusion_ready_results_20260604_083219.xlsx</t>
  </si>
  <si>
    <t>/content/drive/MyDrive/thesis_project/thesis/outputs/exp06_ready/fusion_ready_20260604_083222.json</t>
  </si>
  <si>
    <t>/content/drive/MyDrive/thesis_project/thesis/outputs/exp06_ready/fusion_ready_results_20260604_083221.xlsx</t>
  </si>
  <si>
    <t>/content/drive/MyDrive/thesis_project/thesis/outputs/exp06_ready/fusion_ready_20260604_083224.json</t>
  </si>
  <si>
    <t>/content/drive/MyDrive/thesis_project/thesis/outputs/exp06_ready/fusion_ready_results_20260604_083223.xlsx</t>
  </si>
  <si>
    <t>/content/drive/MyDrive/thesis_project/thesis/outputs/exp06_ready/fusion_ready_20260604_083226.json</t>
  </si>
  <si>
    <t>/content/drive/MyDrive/thesis_project/thesis/outputs/exp06_ready/fusion_ready_results_20260604_083225.xlsx</t>
  </si>
  <si>
    <t>/content/drive/MyDrive/thesis_project/thesis/outputs/exp06_ready/fusion_ready_20260604_083228.json</t>
  </si>
  <si>
    <t>/content/drive/MyDrive/thesis_project/thesis/outputs/exp06_ready/fusion_ready_results_20260604_083227.xlsx</t>
  </si>
  <si>
    <t>/content/drive/MyDrive/thesis_project/thesis/outputs/exp06_ready/fusion_ready_20260604_083230.json</t>
  </si>
  <si>
    <t>/content/drive/MyDrive/thesis_project/thesis/outputs/exp06_ready/fusion_ready_results_20260604_083229.xlsx</t>
  </si>
  <si>
    <t>/content/drive/MyDrive/thesis_project/thesis/outputs/exp06_ready/fusion_ready_20260604_083232.json</t>
  </si>
  <si>
    <t>/content/drive/MyDrive/thesis_project/thesis/outputs/exp06_ready/fusion_ready_results_20260604_083231.xlsx</t>
  </si>
  <si>
    <t>/content/drive/MyDrive/thesis_project/thesis/outputs/exp06_ready/fusion_ready_20260604_083234.json</t>
  </si>
  <si>
    <t>/content/drive/MyDrive/thesis_project/thesis/outputs/exp06_ready/fusion_ready_results_20260604_083233.xlsx</t>
  </si>
  <si>
    <t>/content/drive/MyDrive/thesis_project/thesis/outputs/exp06_ready/fusion_ready_20260604_083236.json</t>
  </si>
  <si>
    <t>/content/drive/MyDrive/thesis_project/thesis/outputs/exp06_ready/fusion_ready_results_20260604_083235.xlsx</t>
  </si>
  <si>
    <t>/content/drive/MyDrive/thesis_project/thesis/outputs/exp06_ready/fusion_ready_20260604_083238.json</t>
  </si>
  <si>
    <t>/content/drive/MyDrive/thesis_project/thesis/outputs/exp06_ready/fusion_ready_results_20260604_083238.xlsx</t>
  </si>
  <si>
    <t>/content/drive/MyDrive/thesis_project/thesis/outputs/exp06_ready/fusion_ready_20260604_083240.json</t>
  </si>
  <si>
    <t>/content/drive/MyDrive/thesis_project/thesis/outputs/exp06_ready/fusion_ready_results_20260604_083239.xlsx</t>
  </si>
  <si>
    <t>/content/drive/MyDrive/thesis_project/thesis/outputs/exp06_ready/fusion_ready_20260604_083242.json</t>
  </si>
  <si>
    <t>/content/drive/MyDrive/thesis_project/thesis/outputs/exp06_ready/fusion_ready_results_20260604_083241.xlsx</t>
  </si>
  <si>
    <t>/content/drive/MyDrive/thesis_project/thesis/outputs/exp06_ready/fusion_ready_20260604_083244.json</t>
  </si>
  <si>
    <t>/content/drive/MyDrive/thesis_project/thesis/outputs/exp06_ready/fusion_ready_results_20260604_083244.xlsx</t>
  </si>
  <si>
    <t>/content/drive/MyDrive/thesis_project/thesis/outputs/exp06_ready/fusion_ready_20260604_083246.json</t>
  </si>
  <si>
    <t>/content/drive/MyDrive/thesis_project/thesis/outputs/exp06_ready/fusion_ready_results_20260604_083246.xlsx</t>
  </si>
  <si>
    <t>/content/drive/MyDrive/thesis_project/thesis/outputs/exp06_ready/fusion_ready_20260604_083249.json</t>
  </si>
  <si>
    <t>/content/drive/MyDrive/thesis_project/thesis/outputs/exp06_ready/fusion_ready_results_20260604_083248.xlsx</t>
  </si>
  <si>
    <t>/content/drive/MyDrive/thesis_project/thesis/outputs/exp06_ready/fusion_ready_20260604_083251.json</t>
  </si>
  <si>
    <t>/content/drive/MyDrive/thesis_project/thesis/outputs/exp06_ready/fusion_ready_results_20260604_083250.xlsx</t>
  </si>
  <si>
    <t>/content/drive/MyDrive/thesis_project/thesis/outputs/exp06_ready/fusion_ready_20260604_083253.json</t>
  </si>
  <si>
    <t>/content/drive/MyDrive/thesis_project/thesis/outputs/exp06_ready/fusion_ready_results_20260604_083252.xlsx</t>
  </si>
  <si>
    <t>/content/drive/MyDrive/thesis_project/thesis/outputs/exp06_ready/fusion_ready_20260604_083255.json</t>
  </si>
  <si>
    <t>/content/drive/MyDrive/thesis_project/thesis/outputs/exp06_ready/fusion_ready_results_20260604_083254.xlsx</t>
  </si>
  <si>
    <t>/content/drive/MyDrive/thesis_project/thesis/outputs/exp06_ready/fusion_ready_20260604_083257.json</t>
  </si>
  <si>
    <t>/content/drive/MyDrive/thesis_project/thesis/outputs/exp06_ready/fusion_ready_results_20260604_083256.xlsx</t>
  </si>
  <si>
    <t>/content/drive/MyDrive/thesis_project/thesis/outputs/exp06_ready/fusion_ready_20260604_083258.json</t>
  </si>
  <si>
    <t>/content/drive/MyDrive/thesis_project/thesis/outputs/exp06_ready/fusion_ready_results_20260604_083258.xlsx</t>
  </si>
  <si>
    <t>/content/drive/MyDrive/thesis_project/thesis/outputs/exp06_ready/fusion_ready_20260604_083300.json</t>
  </si>
  <si>
    <t>/content/drive/MyDrive/thesis_project/thesis/outputs/exp06_ready/fusion_ready_results_20260604_083259.xlsx</t>
  </si>
  <si>
    <t>/content/drive/MyDrive/thesis_project/thesis/outputs/exp06_ready/fusion_ready_20260604_083301.json</t>
  </si>
  <si>
    <t>/content/drive/MyDrive/thesis_project/thesis/outputs/exp06_ready/fusion_ready_results_20260604_083301.xlsx</t>
  </si>
  <si>
    <t>/content/drive/MyDrive/thesis_project/thesis/outputs/exp06_ready/fusion_ready_20260604_083303.json</t>
  </si>
  <si>
    <t>/content/drive/MyDrive/thesis_project/thesis/outputs/exp06_ready/fusion_ready_results_20260604_083302.xlsx</t>
  </si>
  <si>
    <t>/content/drive/MyDrive/thesis_project/thesis/outputs/exp06_ready/fusion_ready_20260604_083304.json</t>
  </si>
  <si>
    <t>/content/drive/MyDrive/thesis_project/thesis/outputs/exp06_ready/fusion_ready_results_20260604_083303.xlsx</t>
  </si>
  <si>
    <t>/content/drive/MyDrive/thesis_project/thesis/outputs/exp06_svm_ready/fusion_svm_ready_20260604_083309.json</t>
  </si>
  <si>
    <t>/content/drive/MyDrive/thesis_project/thesis/outputs/exp06_svm_ready/fusion_svm_ready_results_20260604_083306.xlsx</t>
  </si>
  <si>
    <t>/content/drive/MyDrive/thesis_project/thesis/outputs/exp06_svm_ready/fusion_svm_ready_20260604_083311.json</t>
  </si>
  <si>
    <t>/content/drive/MyDrive/thesis_project/thesis/outputs/exp06_svm_ready/fusion_svm_ready_results_20260604_083311.xlsx</t>
  </si>
  <si>
    <t>/content/drive/MyDrive/thesis_project/thesis/outputs/exp06_svm_ready/fusion_svm_ready_20260604_083313.json</t>
  </si>
  <si>
    <t>/content/drive/MyDrive/thesis_project/thesis/outputs/exp06_svm_ready/fusion_svm_ready_results_20260604_083312.xlsx</t>
  </si>
  <si>
    <t>/content/drive/MyDrive/thesis_project/thesis/outputs/exp06_svm_ready/fusion_svm_ready_20260604_083314.json</t>
  </si>
  <si>
    <t>/content/drive/MyDrive/thesis_project/thesis/outputs/exp06_svm_ready/fusion_svm_ready_results_20260604_083314.xlsx</t>
  </si>
  <si>
    <t>/content/drive/MyDrive/thesis_project/thesis/outputs/exp06_svm_ready/fusion_svm_ready_20260604_083316.json</t>
  </si>
  <si>
    <t>/content/drive/MyDrive/thesis_project/thesis/outputs/exp06_svm_ready/fusion_svm_ready_results_20260604_083315.xlsx</t>
  </si>
  <si>
    <t>/content/drive/MyDrive/thesis_project/thesis/outputs/exp06_svm_ready/fusion_svm_ready_20260604_083317.json</t>
  </si>
  <si>
    <t>/content/drive/MyDrive/thesis_project/thesis/outputs/exp06_svm_ready/fusion_svm_ready_results_20260604_083316.xlsx</t>
  </si>
  <si>
    <t>/content/drive/MyDrive/thesis_project/thesis/outputs/exp06_svm_ready/fusion_svm_ready_20260604_083319.json</t>
  </si>
  <si>
    <t>/content/drive/MyDrive/thesis_project/thesis/outputs/exp06_svm_ready/fusion_svm_ready_results_20260604_083318.xlsx</t>
  </si>
  <si>
    <t>/content/drive/MyDrive/thesis_project/thesis/outputs/exp06_svm_ready/fusion_svm_ready_20260604_083320.json</t>
  </si>
  <si>
    <t>/content/drive/MyDrive/thesis_project/thesis/outputs/exp06_svm_ready/fusion_svm_ready_results_20260604_083320.xlsx</t>
  </si>
  <si>
    <t>/content/drive/MyDrive/thesis_project/thesis/outputs/exp06_svm_ready/fusion_svm_ready_20260604_083322.json</t>
  </si>
  <si>
    <t>/content/drive/MyDrive/thesis_project/thesis/outputs/exp06_svm_ready/fusion_svm_ready_results_20260604_083321.xlsx</t>
  </si>
  <si>
    <t>/content/drive/MyDrive/thesis_project/thesis/outputs/exp06_svm_ready/fusion_svm_ready_20260604_083323.json</t>
  </si>
  <si>
    <t>/content/drive/MyDrive/thesis_project/thesis/outputs/exp06_svm_ready/fusion_svm_ready_results_20260604_083323.xlsx</t>
  </si>
  <si>
    <t>/content/drive/MyDrive/thesis_project/thesis/outputs/exp06_svm_ready/fusion_svm_ready_20260604_083325.json</t>
  </si>
  <si>
    <t>/content/drive/MyDrive/thesis_project/thesis/outputs/exp06_svm_ready/fusion_svm_ready_results_20260604_083324.xlsx</t>
  </si>
  <si>
    <t>/content/drive/MyDrive/thesis_project/thesis/outputs/exp06_svm_ready/fusion_svm_ready_20260604_083326.json</t>
  </si>
  <si>
    <t>/content/drive/MyDrive/thesis_project/thesis/outputs/exp06_svm_ready/fusion_svm_ready_results_20260604_083326.xlsx</t>
  </si>
  <si>
    <t>/content/drive/MyDrive/thesis_project/thesis/outputs/exp06_svm_ready/fusion_svm_ready_20260604_083328.json</t>
  </si>
  <si>
    <t>/content/drive/MyDrive/thesis_project/thesis/outputs/exp06_svm_ready/fusion_svm_ready_results_20260604_083327.xlsx</t>
  </si>
  <si>
    <t>/content/drive/MyDrive/thesis_project/thesis/outputs/exp06_svm_ready/fusion_svm_ready_20260604_083330.json</t>
  </si>
  <si>
    <t>/content/drive/MyDrive/thesis_project/thesis/outputs/exp06_svm_ready/fusion_svm_ready_results_20260604_083328.xlsx</t>
  </si>
  <si>
    <t>/content/drive/MyDrive/thesis_project/thesis/outputs/exp06_svm_ready/fusion_svm_ready_20260604_083331.json</t>
  </si>
  <si>
    <t>/content/drive/MyDrive/thesis_project/thesis/outputs/exp06_svm_ready/fusion_svm_ready_results_20260604_083330.xlsx</t>
  </si>
  <si>
    <t>/content/drive/MyDrive/thesis_project/thesis/outputs/exp06_svm_ready/fusion_svm_ready_20260604_083332.json</t>
  </si>
  <si>
    <t>/content/drive/MyDrive/thesis_project/thesis/outputs/exp06_svm_ready/fusion_svm_ready_results_20260604_083332.xlsx</t>
  </si>
  <si>
    <t>/content/drive/MyDrive/thesis_project/thesis/outputs/exp06_svm_ready/fusion_svm_ready_20260604_083334.json</t>
  </si>
  <si>
    <t>/content/drive/MyDrive/thesis_project/thesis/outputs/exp06_svm_ready/fusion_svm_ready_results_20260604_083333.xlsx</t>
  </si>
  <si>
    <t>/content/drive/MyDrive/thesis_project/thesis/outputs/exp06_svm_ready/fusion_svm_ready_20260604_083335.json</t>
  </si>
  <si>
    <t>/content/drive/MyDrive/thesis_project/thesis/outputs/exp06_svm_ready/fusion_svm_ready_results_20260604_083335.xlsx</t>
  </si>
  <si>
    <t>/content/drive/MyDrive/thesis_project/thesis/outputs/exp06_svm_ready/fusion_svm_ready_20260604_083337.json</t>
  </si>
  <si>
    <t>/content/drive/MyDrive/thesis_project/thesis/outputs/exp06_svm_ready/fusion_svm_ready_results_20260604_083336.xlsx</t>
  </si>
  <si>
    <t>/content/drive/MyDrive/thesis_project/thesis/outputs/exp06_svm_ready/fusion_svm_ready_20260604_083338.json</t>
  </si>
  <si>
    <t>/content/drive/MyDrive/thesis_project/thesis/outputs/exp06_svm_ready/fusion_svm_ready_results_20260604_083337.xlsx</t>
  </si>
  <si>
    <t>/content/drive/MyDrive/thesis_project/thesis/outputs/exp06_svm_ready/fusion_svm_ready_20260604_083340.json</t>
  </si>
  <si>
    <t>/content/drive/MyDrive/thesis_project/thesis/outputs/exp06_svm_ready/fusion_svm_ready_results_20260604_083339.xlsx</t>
  </si>
  <si>
    <t>/content/drive/MyDrive/thesis_project/thesis/outputs/exp06_svm_ready/fusion_svm_ready_20260604_083341.json</t>
  </si>
  <si>
    <t>/content/drive/MyDrive/thesis_project/thesis/outputs/exp06_svm_ready/fusion_svm_ready_results_20260604_083340.xlsx</t>
  </si>
  <si>
    <t>/content/drive/MyDrive/thesis_project/thesis/outputs/exp06_svm_ready/fusion_svm_ready_20260604_083342.json</t>
  </si>
  <si>
    <t>/content/drive/MyDrive/thesis_project/thesis/outputs/exp06_svm_ready/fusion_svm_ready_results_20260604_083342.xlsx</t>
  </si>
  <si>
    <t>/content/drive/MyDrive/thesis_project/thesis/outputs/exp06_svm_ready/fusion_svm_ready_20260604_083344.json</t>
  </si>
  <si>
    <t>/content/drive/MyDrive/thesis_project/thesis/outputs/exp06_svm_ready/fusion_svm_ready_results_20260604_083343.xlsx</t>
  </si>
  <si>
    <t>/content/drive/MyDrive/thesis_project/thesis/outputs/exp06_svm_ready/fusion_svm_ready_20260604_083345.json</t>
  </si>
  <si>
    <t>/content/drive/MyDrive/thesis_project/thesis/outputs/exp06_svm_ready/fusion_svm_ready_results_20260604_083344.xlsx</t>
  </si>
  <si>
    <t>/content/drive/MyDrive/thesis_project/thesis/outputs/exp06_svm_ready/fusion_svm_ready_20260604_083346.json</t>
  </si>
  <si>
    <t>/content/drive/MyDrive/thesis_project/thesis/outputs/exp06_svm_ready/fusion_svm_ready_results_20260604_083346.xlsx</t>
  </si>
  <si>
    <t>/content/drive/MyDrive/thesis_project/thesis/outputs/exp06_svm_ready/fusion_svm_ready_20260604_083347.json</t>
  </si>
  <si>
    <t>/content/drive/MyDrive/thesis_project/thesis/outputs/exp06_svm_ready/fusion_svm_ready_results_20260604_083347.xlsx</t>
  </si>
  <si>
    <t>/content/drive/MyDrive/thesis_project/thesis/outputs/exp06_svm_ready/fusion_svm_ready_20260604_083349.json</t>
  </si>
  <si>
    <t>/content/drive/MyDrive/thesis_project/thesis/outputs/exp06_svm_ready/fusion_svm_ready_results_20260604_083348.xlsx</t>
  </si>
  <si>
    <t>/content/drive/MyDrive/thesis_project/thesis/outputs/exp06_svm_ready/fusion_svm_ready_20260604_083350.json</t>
  </si>
  <si>
    <t>/content/drive/MyDrive/thesis_project/thesis/outputs/exp06_svm_ready/fusion_svm_ready_results_20260604_083350.xlsx</t>
  </si>
  <si>
    <t>/content/drive/MyDrive/thesis_project/thesis/outputs/exp06_svm_ready/fusion_svm_ready_20260604_083351.json</t>
  </si>
  <si>
    <t>/content/drive/MyDrive/thesis_project/thesis/outputs/exp06_svm_ready/fusion_svm_ready_results_20260604_083351.xlsx</t>
  </si>
  <si>
    <t>/content/drive/MyDrive/thesis_project/thesis/outputs/exp06_svm_ready/fusion_svm_ready_20260604_083353.json</t>
  </si>
  <si>
    <t>/content/drive/MyDrive/thesis_project/thesis/outputs/exp06_svm_ready/fusion_svm_ready_results_20260604_083352.xlsx</t>
  </si>
  <si>
    <t>/content/drive/MyDrive/thesis_project/thesis/outputs/exp06_svm_ready/fusion_svm_ready_20260604_083354.json</t>
  </si>
  <si>
    <t>/content/drive/MyDrive/thesis_project/thesis/outputs/exp06_svm_ready/fusion_svm_ready_results_20260604_083353.xlsx</t>
  </si>
  <si>
    <t>/content/drive/MyDrive/thesis_project/thesis/outputs/exp06_svm_ready/fusion_svm_ready_20260604_083355.json</t>
  </si>
  <si>
    <t>/content/drive/MyDrive/thesis_project/thesis/outputs/exp06_svm_ready/fusion_svm_ready_results_20260604_083355.xlsx</t>
  </si>
  <si>
    <t>/content/drive/MyDrive/thesis_project/thesis/outputs/exp06_svm_ready/fusion_svm_ready_20260604_083356.json</t>
  </si>
  <si>
    <t>/content/drive/MyDrive/thesis_project/thesis/outputs/exp06_svm_ready/fusion_svm_ready_results_20260604_083356.xlsx</t>
  </si>
  <si>
    <t>/content/drive/MyDrive/thesis_project/thesis/outputs/exp06_svm_ready/fusion_svm_ready_20260604_083358.json</t>
  </si>
  <si>
    <t>/content/drive/MyDrive/thesis_project/thesis/outputs/exp06_svm_ready/fusion_svm_ready_results_20260604_083357.xlsx</t>
  </si>
  <si>
    <t>/content/drive/MyDrive/thesis_project/thesis/outputs/exp06_svm_ready/fusion_svm_ready_20260604_083359.json</t>
  </si>
  <si>
    <t>/content/drive/MyDrive/thesis_project/thesis/outputs/exp06_svm_ready/fusion_svm_ready_results_20260604_083359.xlsx</t>
  </si>
  <si>
    <t>/content/drive/MyDrive/thesis_project/thesis/outputs/exp06_svm_ready/fusion_svm_ready_20260604_083400.json</t>
  </si>
  <si>
    <t>/content/drive/MyDrive/thesis_project/thesis/outputs/exp06_svm_ready/fusion_svm_ready_results_20260604_083400.xlsx</t>
  </si>
  <si>
    <t>/content/drive/MyDrive/thesis_project/thesis/outputs/exp06_svm_ready/fusion_svm_ready_20260604_083402.json</t>
  </si>
  <si>
    <t>/content/drive/MyDrive/thesis_project/thesis/outputs/exp06_svm_ready/fusion_svm_ready_results_20260604_083401.xlsx</t>
  </si>
  <si>
    <t>/content/drive/MyDrive/thesis_project/thesis/outputs/exp06_svm_ready/fusion_svm_ready_20260604_083403.json</t>
  </si>
  <si>
    <t>/content/drive/MyDrive/thesis_project/thesis/outputs/exp06_svm_ready/fusion_svm_ready_results_20260604_083403.xlsx</t>
  </si>
  <si>
    <t>/content/drive/MyDrive/thesis_project/thesis/outputs/exp06_svm_ready/fusion_svm_ready_20260604_083404.json</t>
  </si>
  <si>
    <t>/content/drive/MyDrive/thesis_project/thesis/outputs/exp06_svm_ready/fusion_svm_ready_results_20260604_083404.xlsx</t>
  </si>
  <si>
    <t>/content/drive/MyDrive/thesis_project/thesis/outputs/exp06_svm_ready/fusion_svm_ready_20260604_083406.json</t>
  </si>
  <si>
    <t>/content/drive/MyDrive/thesis_project/thesis/outputs/exp06_svm_ready/fusion_svm_ready_results_20260604_083405.xlsx</t>
  </si>
  <si>
    <t>/content/drive/MyDrive/thesis_project/thesis/outputs/exp06_svm_ready/fusion_svm_ready_20260604_083408.json</t>
  </si>
  <si>
    <t>/content/drive/MyDrive/thesis_project/thesis/outputs/exp06_svm_ready/fusion_svm_ready_results_20260604_083407.xlsx</t>
  </si>
  <si>
    <t>/content/drive/MyDrive/thesis_project/thesis/outputs/exp06_svm_ready/fusion_svm_ready_20260604_083409.json</t>
  </si>
  <si>
    <t>/content/drive/MyDrive/thesis_project/thesis/outputs/exp06_svm_ready/fusion_svm_ready_results_20260604_083408.xlsx</t>
  </si>
  <si>
    <t>/content/drive/MyDrive/thesis_project/thesis/outputs/exp06_svm_ready/fusion_svm_ready_20260604_083410.json</t>
  </si>
  <si>
    <t>/content/drive/MyDrive/thesis_project/thesis/outputs/exp06_svm_ready/fusion_svm_ready_results_20260604_083410.xlsx</t>
  </si>
  <si>
    <t>/content/drive/MyDrive/thesis_project/thesis/outputs/exp06_svm_ready/fusion_svm_ready_20260604_083412.json</t>
  </si>
  <si>
    <t>/content/drive/MyDrive/thesis_project/thesis/outputs/exp06_svm_ready/fusion_svm_ready_results_20260604_083411.xlsx</t>
  </si>
  <si>
    <t>/content/drive/MyDrive/thesis_project/thesis/outputs/exp06_svm_ready/fusion_svm_ready_20260604_083413.json</t>
  </si>
  <si>
    <t>/content/drive/MyDrive/thesis_project/thesis/outputs/exp06_svm_ready/fusion_svm_ready_results_20260604_083413.xlsx</t>
  </si>
  <si>
    <t>/content/drive/MyDrive/thesis_project/thesis/outputs/exp06_svm_ready/fusion_svm_ready_20260604_083415.json</t>
  </si>
  <si>
    <t>/content/drive/MyDrive/thesis_project/thesis/outputs/exp06_svm_ready/fusion_svm_ready_results_20260604_083414.xlsx</t>
  </si>
  <si>
    <t>/content/drive/MyDrive/thesis_project/thesis/outputs/exp06_svm_ready/fusion_svm_ready_20260604_083416.json</t>
  </si>
  <si>
    <t>/content/drive/MyDrive/thesis_project/thesis/outputs/exp06_svm_ready/fusion_svm_ready_results_20260604_083416.xlsx</t>
  </si>
  <si>
    <t>/content/drive/MyDrive/thesis_project/thesis/outputs/exp06_svm_ready/fusion_svm_ready_20260604_083418.json</t>
  </si>
  <si>
    <t>/content/drive/MyDrive/thesis_project/thesis/outputs/exp06_svm_ready/fusion_svm_ready_results_20260604_083417.xlsx</t>
  </si>
  <si>
    <t>/content/drive/MyDrive/thesis_project/thesis/outputs/exp06_svm_ready/fusion_svm_ready_20260604_083419.json</t>
  </si>
  <si>
    <t>/content/drive/MyDrive/thesis_project/thesis/outputs/exp06_svm_ready/fusion_svm_ready_results_20260604_083419.xlsx</t>
  </si>
  <si>
    <t>/content/drive/MyDrive/thesis_project/thesis/outputs/exp06_svm_ready/fusion_svm_ready_20260604_083421.json</t>
  </si>
  <si>
    <t>/content/drive/MyDrive/thesis_project/thesis/outputs/exp06_svm_ready/fusion_svm_ready_results_20260604_083420.xlsx</t>
  </si>
  <si>
    <t>/content/drive/MyDrive/thesis_project/thesis/outputs/exp06_svm_ready/fusion_svm_ready_20260604_083422.json</t>
  </si>
  <si>
    <t>/content/drive/MyDrive/thesis_project/thesis/outputs/exp06_svm_ready/fusion_svm_ready_results_20260604_083422.xlsx</t>
  </si>
  <si>
    <t>/content/drive/MyDrive/thesis_project/thesis/outputs/exp06_svm_ready/fusion_svm_ready_20260604_083424.json</t>
  </si>
  <si>
    <t>/content/drive/MyDrive/thesis_project/thesis/outputs/exp06_svm_ready/fusion_svm_ready_results_20260604_083423.xlsx</t>
  </si>
  <si>
    <t>/content/drive/MyDrive/thesis_project/thesis/outputs/exp06_svm_ready/fusion_svm_ready_20260604_083425.json</t>
  </si>
  <si>
    <t>/content/drive/MyDrive/thesis_project/thesis/outputs/exp06_svm_ready/fusion_svm_ready_results_20260604_083425.xlsx</t>
  </si>
  <si>
    <t>/content/drive/MyDrive/thesis_project/thesis/outputs/exp06_svm_ready/fusion_svm_ready_20260604_083427.json</t>
  </si>
  <si>
    <t>/content/drive/MyDrive/thesis_project/thesis/outputs/exp06_svm_ready/fusion_svm_ready_results_20260604_083426.xlsx</t>
  </si>
  <si>
    <t>/content/drive/MyDrive/thesis_project/thesis/outputs/exp06_svm_ready/fusion_svm_ready_20260604_083429.json</t>
  </si>
  <si>
    <t>/content/drive/MyDrive/thesis_project/thesis/outputs/exp06_svm_ready/fusion_svm_ready_results_20260604_083428.xlsx</t>
  </si>
  <si>
    <t>/content/drive/MyDrive/thesis_project/thesis/outputs/exp06_svm_ready/fusion_svm_ready_20260604_083430.json</t>
  </si>
  <si>
    <t>/content/drive/MyDrive/thesis_project/thesis/outputs/exp06_svm_ready/fusion_svm_ready_results_20260604_083429.xlsx</t>
  </si>
  <si>
    <t>/content/drive/MyDrive/thesis_project/thesis/outputs/exp06_svm_ready/fusion_svm_ready_20260604_083431.json</t>
  </si>
  <si>
    <t>/content/drive/MyDrive/thesis_project/thesis/outputs/exp06_svm_ready/fusion_svm_ready_results_20260604_083431.xlsx</t>
  </si>
  <si>
    <t>/content/drive/MyDrive/thesis_project/thesis/outputs/exp06_svm_ready/fusion_svm_ready_20260604_083433.json</t>
  </si>
  <si>
    <t>/content/drive/MyDrive/thesis_project/thesis/outputs/exp06_svm_ready/fusion_svm_ready_results_20260604_083432.xlsx</t>
  </si>
  <si>
    <t>/content/drive/MyDrive/thesis_project/thesis/outputs/exp06_svm_ready/fusion_svm_ready_20260604_083434.json</t>
  </si>
  <si>
    <t>/content/drive/MyDrive/thesis_project/thesis/outputs/exp06_svm_ready/fusion_svm_ready_results_20260604_083434.xlsx</t>
  </si>
  <si>
    <t>/content/drive/MyDrive/thesis_project/thesis/outputs/exp06_svm_ready/fusion_svm_ready_20260604_083436.json</t>
  </si>
  <si>
    <t>/content/drive/MyDrive/thesis_project/thesis/outputs/exp06_svm_ready/fusion_svm_ready_results_20260604_083435.xlsx</t>
  </si>
  <si>
    <t>/content/drive/MyDrive/thesis_project/thesis/outputs/exp06_svm_ready/fusion_svm_ready_20260604_083437.json</t>
  </si>
  <si>
    <t>/content/drive/MyDrive/thesis_project/thesis/outputs/exp06_svm_ready/fusion_svm_ready_results_20260604_083437.xlsx</t>
  </si>
  <si>
    <t>/content/drive/MyDrive/thesis_project/thesis/outputs/exp06_svm_ready/fusion_svm_ready_20260604_083439.json</t>
  </si>
  <si>
    <t>/content/drive/MyDrive/thesis_project/thesis/outputs/exp06_svm_ready/fusion_svm_ready_results_20260604_083438.xlsx</t>
  </si>
  <si>
    <t>/content/drive/MyDrive/thesis_project/thesis/outputs/exp06_svm_ready/fusion_svm_ready_20260604_083440.json</t>
  </si>
  <si>
    <t>/content/drive/MyDrive/thesis_project/thesis/outputs/exp06_svm_ready/fusion_svm_ready_results_20260604_083440.xlsx</t>
  </si>
  <si>
    <t>/content/drive/MyDrive/thesis_project/thesis/outputs/exp06_svm_ready/fusion_svm_ready_20260604_083442.json</t>
  </si>
  <si>
    <t>/content/drive/MyDrive/thesis_project/thesis/outputs/exp06_svm_ready/fusion_svm_ready_results_20260604_083441.xlsx</t>
  </si>
  <si>
    <t>/content/drive/MyDrive/thesis_project/thesis/outputs/exp06_svm_ready/fusion_svm_ready_20260604_083443.json</t>
  </si>
  <si>
    <t>/content/drive/MyDrive/thesis_project/thesis/outputs/exp06_svm_ready/fusion_svm_ready_results_20260604_083443.xlsx</t>
  </si>
  <si>
    <t>/content/drive/MyDrive/thesis_project/thesis/outputs/exp06_svm_ready/fusion_svm_ready_20260604_083445.json</t>
  </si>
  <si>
    <t>/content/drive/MyDrive/thesis_project/thesis/outputs/exp06_svm_ready/fusion_svm_ready_results_20260604_083444.xlsx</t>
  </si>
  <si>
    <t>/content/drive/MyDrive/thesis_project/thesis/outputs/exp06_svm_ready/fusion_svm_ready_20260604_083447.json</t>
  </si>
  <si>
    <t>/content/drive/MyDrive/thesis_project/thesis/outputs/exp06_svm_ready/fusion_svm_ready_results_20260604_083446.xlsx</t>
  </si>
  <si>
    <t>/content/drive/MyDrive/thesis_project/thesis/outputs/exp06_svm_ready/fusion_svm_ready_20260604_083448.json</t>
  </si>
  <si>
    <t>/content/drive/MyDrive/thesis_project/thesis/outputs/exp06_svm_ready/fusion_svm_ready_results_20260604_083447.xlsx</t>
  </si>
  <si>
    <t>/content/drive/MyDrive/thesis_project/thesis/outputs/exp06_svm_ready/fusion_svm_ready_20260604_083449.json</t>
  </si>
  <si>
    <t>/content/drive/MyDrive/thesis_project/thesis/outputs/exp06_svm_ready/fusion_svm_ready_results_20260604_083449.xlsx</t>
  </si>
  <si>
    <t>/content/drive/MyDrive/thesis_project/thesis/outputs/exp06_svm_ready/fusion_svm_ready_20260604_083451.json</t>
  </si>
  <si>
    <t>/content/drive/MyDrive/thesis_project/thesis/outputs/exp06_svm_ready/fusion_svm_ready_results_20260604_083450.xlsx</t>
  </si>
  <si>
    <t>/content/drive/MyDrive/thesis_project/thesis/outputs/exp06_svm_ready/fusion_svm_ready_20260604_083452.json</t>
  </si>
  <si>
    <t>/content/drive/MyDrive/thesis_project/thesis/outputs/exp06_svm_ready/fusion_svm_ready_results_20260604_083452.xlsx</t>
  </si>
  <si>
    <t>/content/drive/MyDrive/thesis_project/thesis/outputs/exp06_svm_ready/fusion_svm_ready_20260604_083454.json</t>
  </si>
  <si>
    <t>/content/drive/MyDrive/thesis_project/thesis/outputs/exp06_svm_ready/fusion_svm_ready_results_20260604_083453.xlsx</t>
  </si>
  <si>
    <t>/content/drive/MyDrive/thesis_project/thesis/outputs/exp06_svm_ready/fusion_svm_ready_20260604_083456.json</t>
  </si>
  <si>
    <t>/content/drive/MyDrive/thesis_project/thesis/outputs/exp06_svm_ready/fusion_svm_ready_results_20260604_083455.xlsx</t>
  </si>
  <si>
    <t>/content/drive/MyDrive/thesis_project/thesis/outputs/exp06_svm_ready/fusion_svm_ready_20260604_083457.json</t>
  </si>
  <si>
    <t>/content/drive/MyDrive/thesis_project/thesis/outputs/exp06_svm_ready/fusion_svm_ready_results_20260604_083456.xlsx</t>
  </si>
  <si>
    <t>/content/drive/MyDrive/thesis_project/thesis/outputs/exp06_svm_ready/fusion_svm_ready_20260604_083458.json</t>
  </si>
  <si>
    <t>/content/drive/MyDrive/thesis_project/thesis/outputs/exp06_svm_ready/fusion_svm_ready_results_20260604_083458.xlsx</t>
  </si>
  <si>
    <t>/content/drive/MyDrive/thesis_project/thesis/outputs/exp06_svm_ready/fusion_svm_ready_20260604_083500.json</t>
  </si>
  <si>
    <t>/content/drive/MyDrive/thesis_project/thesis/outputs/exp06_svm_ready/fusion_svm_ready_results_20260604_083459.xlsx</t>
  </si>
  <si>
    <t>/content/drive/MyDrive/thesis_project/thesis/outputs/exp06_svm_ready/fusion_svm_ready_20260604_083502.json</t>
  </si>
  <si>
    <t>/content/drive/MyDrive/thesis_project/thesis/outputs/exp06_svm_ready/fusion_svm_ready_results_20260604_083501.xlsx</t>
  </si>
  <si>
    <t>/content/drive/MyDrive/thesis_project/thesis/outputs/exp06_svm_ready/fusion_svm_ready_20260604_083503.json</t>
  </si>
  <si>
    <t>/content/drive/MyDrive/thesis_project/thesis/outputs/exp06_svm_ready/fusion_svm_ready_results_20260604_083502.xlsx</t>
  </si>
  <si>
    <t>/content/drive/MyDrive/thesis_project/thesis/outputs/exp06_svm_ready/fusion_svm_ready_20260604_083505.json</t>
  </si>
  <si>
    <t>/content/drive/MyDrive/thesis_project/thesis/outputs/exp06_svm_ready/fusion_svm_ready_results_20260604_083504.xlsx</t>
  </si>
  <si>
    <t>/content/drive/MyDrive/thesis_project/thesis/outputs/exp06_svm_ready/fusion_svm_ready_20260604_083506.json</t>
  </si>
  <si>
    <t>/content/drive/MyDrive/thesis_project/thesis/outputs/exp06_svm_ready/fusion_svm_ready_results_20260604_083505.xlsx</t>
  </si>
  <si>
    <t>/content/drive/MyDrive/thesis_project/thesis/outputs/exp06_svm_ready/fusion_svm_ready_20260604_083507.json</t>
  </si>
  <si>
    <t>/content/drive/MyDrive/thesis_project/thesis/outputs/exp06_svm_ready/fusion_svm_ready_results_20260604_083507.xlsx</t>
  </si>
  <si>
    <t>/content/drive/MyDrive/thesis_project/thesis/outputs/exp06_svm_ready/fusion_svm_ready_20260604_083508.json</t>
  </si>
  <si>
    <t>/content/drive/MyDrive/thesis_project/thesis/outputs/exp06_svm_ready/fusion_svm_ready_results_20260604_083508.xlsx</t>
  </si>
  <si>
    <t>/content/drive/MyDrive/thesis_project/thesis/outputs/exp06_svm_ready/fusion_svm_ready_20260604_083510.json</t>
  </si>
  <si>
    <t>/content/drive/MyDrive/thesis_project/thesis/outputs/exp06_svm_ready/fusion_svm_ready_results_20260604_083509.xlsx</t>
  </si>
  <si>
    <t>/content/drive/MyDrive/thesis_project/thesis/outputs/exp06_svm_ready/fusion_svm_ready_20260604_083511.json</t>
  </si>
  <si>
    <t>/content/drive/MyDrive/thesis_project/thesis/outputs/exp06_svm_ready/fusion_svm_ready_results_20260604_083511.xlsx</t>
  </si>
  <si>
    <t>/content/drive/MyDrive/thesis_project/thesis/outputs/exp06_svm_ready/fusion_svm_ready_20260604_083512.json</t>
  </si>
  <si>
    <t>/content/drive/MyDrive/thesis_project/thesis/outputs/exp06_svm_ready/fusion_svm_ready_results_20260604_083512.xlsx</t>
  </si>
  <si>
    <t>/content/drive/MyDrive/thesis_project/thesis/outputs/exp06_svm_ready/fusion_svm_ready_20260604_083514.json</t>
  </si>
  <si>
    <t>/content/drive/MyDrive/thesis_project/thesis/outputs/exp06_svm_ready/fusion_svm_ready_results_20260604_083513.xlsx</t>
  </si>
  <si>
    <t>/content/drive/MyDrive/thesis_project/thesis/outputs/exp06_svm_ready/fusion_svm_ready_20260604_083515.json</t>
  </si>
  <si>
    <t>/content/drive/MyDrive/thesis_project/thesis/outputs/exp06_svm_ready/fusion_svm_ready_results_20260604_083514.xlsx</t>
  </si>
  <si>
    <t>/content/drive/MyDrive/thesis_project/thesis/outputs/exp06_svm_ready/fusion_svm_ready_20260604_083516.json</t>
  </si>
  <si>
    <t>/content/drive/MyDrive/thesis_project/thesis/outputs/exp06_svm_ready/fusion_svm_ready_results_20260604_083516.xlsx</t>
  </si>
  <si>
    <t>/content/drive/MyDrive/thesis_project/thesis/outputs/exp06_svm_ready/fusion_svm_ready_20260604_083518.json</t>
  </si>
  <si>
    <t>/content/drive/MyDrive/thesis_project/thesis/outputs/exp06_svm_ready/fusion_svm_ready_results_20260604_083517.xlsx</t>
  </si>
  <si>
    <t>/content/drive/MyDrive/thesis_project/thesis/outputs/exp06_svm_ready/fusion_svm_ready_20260604_083519.json</t>
  </si>
  <si>
    <t>/content/drive/MyDrive/thesis_project/thesis/outputs/exp06_svm_ready/fusion_svm_ready_results_20260604_083518.xlsx</t>
  </si>
  <si>
    <t>/content/drive/MyDrive/thesis_project/thesis/outputs/exp06_svm_ready/fusion_svm_ready_20260604_083520.json</t>
  </si>
  <si>
    <t>/content/drive/MyDrive/thesis_project/thesis/outputs/exp06_svm_ready/fusion_svm_ready_results_20260604_083520.xlsx</t>
  </si>
  <si>
    <t>/content/drive/MyDrive/thesis_project/thesis/outputs/exp06_svm_ready/fusion_svm_ready_20260604_083522.json</t>
  </si>
  <si>
    <t>/content/drive/MyDrive/thesis_project/thesis/outputs/exp06_svm_ready/fusion_svm_ready_results_20260604_083521.xlsx</t>
  </si>
  <si>
    <t>/content/drive/MyDrive/thesis_project/thesis/outputs/exp06_svm_ready/fusion_svm_ready_20260604_083523.json</t>
  </si>
  <si>
    <t>/content/drive/MyDrive/thesis_project/thesis/outputs/exp06_svm_ready/fusion_svm_ready_results_20260604_083522.xlsx</t>
  </si>
  <si>
    <t>/content/drive/MyDrive/thesis_project/thesis/outputs/exp06_svm_ready/fusion_svm_ready_20260604_083524.json</t>
  </si>
  <si>
    <t>/content/drive/MyDrive/thesis_project/thesis/outputs/exp06_svm_ready/fusion_svm_ready_results_20260604_083524.xlsx</t>
  </si>
  <si>
    <t>/content/drive/MyDrive/thesis_project/thesis/outputs/exp06_svm_ready/fusion_svm_ready_20260604_083526.json</t>
  </si>
  <si>
    <t>/content/drive/MyDrive/thesis_project/thesis/outputs/exp06_svm_ready/fusion_svm_ready_results_20260604_083525.xlsx</t>
  </si>
  <si>
    <t>/content/drive/MyDrive/thesis_project/thesis/outputs/exp06_svm_ready/fusion_svm_ready_20260604_083527.json</t>
  </si>
  <si>
    <t>/content/drive/MyDrive/thesis_project/thesis/outputs/exp06_svm_ready/fusion_svm_ready_results_20260604_083526.xlsx</t>
  </si>
  <si>
    <t>/content/drive/MyDrive/thesis_project/thesis/outputs/exp06_svm_ready/fusion_svm_ready_20260604_083528.json</t>
  </si>
  <si>
    <t>/content/drive/MyDrive/thesis_project/thesis/outputs/exp06_svm_ready/fusion_svm_ready_results_20260604_083527.xlsx</t>
  </si>
  <si>
    <t>/content/drive/MyDrive/thesis_project/thesis/outputs/exp06_svm_ready/fusion_svm_ready_20260604_083530.json</t>
  </si>
  <si>
    <t>/content/drive/MyDrive/thesis_project/thesis/outputs/exp06_svm_ready/fusion_svm_ready_results_20260604_083529.xlsx</t>
  </si>
  <si>
    <t>/content/drive/MyDrive/thesis_project/thesis/outputs/exp06_svm_ready/fusion_svm_ready_20260604_083531.json</t>
  </si>
  <si>
    <t>/content/drive/MyDrive/thesis_project/thesis/outputs/exp06_svm_ready/fusion_svm_ready_results_20260604_083530.xlsx</t>
  </si>
  <si>
    <t>/content/drive/MyDrive/thesis_project/thesis/outputs/exp06_svm_ready/fusion_svm_ready_20260604_083532.json</t>
  </si>
  <si>
    <t>/content/drive/MyDrive/thesis_project/thesis/outputs/exp06_svm_ready/fusion_svm_ready_results_20260604_083532.xlsx</t>
  </si>
  <si>
    <t>/content/drive/MyDrive/thesis_project/thesis/outputs/exp06_svm_ready/fusion_svm_ready_20260604_083534.json</t>
  </si>
  <si>
    <t>/content/drive/MyDrive/thesis_project/thesis/outputs/exp06_svm_ready/fusion_svm_ready_results_20260604_083533.xlsx</t>
  </si>
  <si>
    <t>/content/drive/MyDrive/thesis_project/thesis/outputs/exp06_svm_ready/fusion_svm_ready_20260604_083535.json</t>
  </si>
  <si>
    <t>/content/drive/MyDrive/thesis_project/thesis/outputs/exp06_svm_ready/fusion_svm_ready_results_20260604_083535.xlsx</t>
  </si>
  <si>
    <t>/content/drive/MyDrive/thesis_project/thesis/outputs/exp06_svm_ready/fusion_svm_ready_20260604_083537.json</t>
  </si>
  <si>
    <t>/content/drive/MyDrive/thesis_project/thesis/outputs/exp06_svm_ready/fusion_svm_ready_results_20260604_083536.xlsx</t>
  </si>
  <si>
    <t>/content/drive/MyDrive/thesis_project/thesis/outputs/exp06_svm_ready/fusion_svm_ready_20260604_083538.json</t>
  </si>
  <si>
    <t>/content/drive/MyDrive/thesis_project/thesis/outputs/exp06_svm_ready/fusion_svm_ready_results_20260604_083538.xlsx</t>
  </si>
  <si>
    <t>/content/drive/MyDrive/thesis_project/thesis/outputs/exp06_svm_ready/fusion_svm_ready_20260604_083540.json</t>
  </si>
  <si>
    <t>/content/drive/MyDrive/thesis_project/thesis/outputs/exp06_svm_ready/fusion_svm_ready_results_20260604_083539.xlsx</t>
  </si>
  <si>
    <t>/content/drive/MyDrive/thesis_project/thesis/outputs/exp06_svm_ready/fusion_svm_ready_20260604_083542.json</t>
  </si>
  <si>
    <t>/content/drive/MyDrive/thesis_project/thesis/outputs/exp06_svm_ready/fusion_svm_ready_results_20260604_083540.xlsx</t>
  </si>
  <si>
    <t>/content/drive/MyDrive/thesis_project/thesis/outputs/exp06_svm_ready/fusion_svm_ready_20260604_083543.json</t>
  </si>
  <si>
    <t>/content/drive/MyDrive/thesis_project/thesis/outputs/exp06_svm_ready/fusion_svm_ready_results_20260604_083542.xlsx</t>
  </si>
  <si>
    <t>/content/drive/MyDrive/thesis_project/thesis/outputs/exp06_svm_ready/fusion_svm_ready_20260604_083544.json</t>
  </si>
  <si>
    <t>/content/drive/MyDrive/thesis_project/thesis/outputs/exp06_svm_ready/fusion_svm_ready_results_20260604_083544.xlsx</t>
  </si>
  <si>
    <t>/content/drive/MyDrive/thesis_project/thesis/outputs/exp06_svm_ready/fusion_svm_ready_20260604_083546.json</t>
  </si>
  <si>
    <t>/content/drive/MyDrive/thesis_project/thesis/outputs/exp06_svm_ready/fusion_svm_ready_results_20260604_083545.xlsx</t>
  </si>
  <si>
    <t>/content/drive/MyDrive/thesis_project/thesis/outputs/exp06_svm_ready/fusion_svm_ready_20260604_083547.json</t>
  </si>
  <si>
    <t>/content/drive/MyDrive/thesis_project/thesis/outputs/exp06_svm_ready/fusion_svm_ready_results_20260604_083547.xlsx</t>
  </si>
  <si>
    <t>/content/drive/MyDrive/thesis_project/thesis/outputs/exp06_svm_ready/fusion_svm_ready_20260604_083549.json</t>
  </si>
  <si>
    <t>/content/drive/MyDrive/thesis_project/thesis/outputs/exp06_svm_ready/fusion_svm_ready_results_20260604_083548.xlsx</t>
  </si>
  <si>
    <t>/content/drive/MyDrive/thesis_project/thesis/outputs/exp06_svm_ready/fusion_svm_ready_20260604_083550.json</t>
  </si>
  <si>
    <t>/content/drive/MyDrive/thesis_project/thesis/outputs/exp06_svm_ready/fusion_svm_ready_results_20260604_083550.xlsx</t>
  </si>
  <si>
    <t>/content/drive/MyDrive/thesis_project/thesis/outputs/exp06_svm_ready/fusion_svm_ready_20260604_083552.json</t>
  </si>
  <si>
    <t>/content/drive/MyDrive/thesis_project/thesis/outputs/exp06_svm_ready/fusion_svm_ready_results_20260604_083551.xlsx</t>
  </si>
  <si>
    <t>/content/drive/MyDrive/thesis_project/thesis/outputs/exp06_svm_ready/fusion_svm_ready_20260604_083553.json</t>
  </si>
  <si>
    <t>/content/drive/MyDrive/thesis_project/thesis/outputs/exp06_svm_ready/fusion_svm_ready_results_20260604_083553.xlsx</t>
  </si>
  <si>
    <t>/content/drive/MyDrive/thesis_project/thesis/outputs/exp06_svm_ready/fusion_svm_ready_20260604_083555.json</t>
  </si>
  <si>
    <t>/content/drive/MyDrive/thesis_project/thesis/outputs/exp06_svm_ready/fusion_svm_ready_results_20260604_083554.xlsx</t>
  </si>
  <si>
    <t>/content/drive/MyDrive/thesis_project/thesis/outputs/exp06_svm_ready/fusion_svm_ready_20260604_083556.json</t>
  </si>
  <si>
    <t>/content/drive/MyDrive/thesis_project/thesis/outputs/exp06_svm_ready/fusion_svm_ready_results_20260604_083556.xlsx</t>
  </si>
  <si>
    <t>/content/drive/MyDrive/thesis_project/thesis/outputs/exp06_svm_ready/fusion_svm_ready_20260604_083558.json</t>
  </si>
  <si>
    <t>/content/drive/MyDrive/thesis_project/thesis/outputs/exp06_svm_ready/fusion_svm_ready_results_20260604_083557.xlsx</t>
  </si>
  <si>
    <t>/content/drive/MyDrive/thesis_project/thesis/outputs/exp06_svm_ready/fusion_svm_ready_20260604_083600.json</t>
  </si>
  <si>
    <t>/content/drive/MyDrive/thesis_project/thesis/outputs/exp06_svm_ready/fusion_svm_ready_results_20260604_083559.xlsx</t>
  </si>
  <si>
    <t>/content/drive/MyDrive/thesis_project/thesis/outputs/exp06_svm_ready/fusion_svm_ready_20260604_083601.json</t>
  </si>
  <si>
    <t>/content/drive/MyDrive/thesis_project/thesis/outputs/exp06_svm_ready/fusion_svm_ready_results_20260604_083600.xlsx</t>
  </si>
  <si>
    <t>variant</t>
  </si>
  <si>
    <t>baseline_f1</t>
  </si>
  <si>
    <t>variant_f1</t>
  </si>
  <si>
    <t>delta_f1</t>
  </si>
  <si>
    <t>baseline_precision</t>
  </si>
  <si>
    <t>variant_precision</t>
  </si>
  <si>
    <t>baseline_recall</t>
  </si>
  <si>
    <t>variant_recall</t>
  </si>
  <si>
    <t>split_variant</t>
  </si>
  <si>
    <t>split_only_f1</t>
  </si>
  <si>
    <t>split_plus_aug_f1</t>
  </si>
  <si>
    <t>comparison</t>
  </si>
  <si>
    <t>condition</t>
  </si>
  <si>
    <t>n_pairs</t>
  </si>
  <si>
    <t>split_only_f1_mean</t>
  </si>
  <si>
    <t>split_only_f1_sd</t>
  </si>
  <si>
    <t>split_plus_aug_f1_mean</t>
  </si>
  <si>
    <t>split_plus_aug_f1_sd</t>
  </si>
  <si>
    <t>delta_mean_f1</t>
  </si>
  <si>
    <t>t_statistic</t>
  </si>
  <si>
    <t>t_p_value</t>
  </si>
  <si>
    <t>t_p_lt_0_05</t>
  </si>
  <si>
    <t>wilcoxon_statistic</t>
  </si>
  <si>
    <t>wilcoxon_p_value</t>
  </si>
  <si>
    <t>wilcoxon_p_lt_0_05</t>
  </si>
  <si>
    <t>exp07+aug vs exp07</t>
  </si>
  <si>
    <t>after_label_aware_split</t>
  </si>
  <si>
    <t>after_multilabel_iterative_paper</t>
  </si>
  <si>
    <t>before_exp01_baseline</t>
  </si>
  <si>
    <t>description</t>
  </si>
  <si>
    <t>num_runs</t>
  </si>
  <si>
    <t>f1_mean</t>
  </si>
  <si>
    <t>f1_std</t>
  </si>
  <si>
    <t>f1_min</t>
  </si>
  <si>
    <t>f1_max</t>
  </si>
  <si>
    <t>Section</t>
  </si>
  <si>
    <t>Key</t>
  </si>
  <si>
    <t>Value</t>
  </si>
  <si>
    <t>Experiment</t>
  </si>
  <si>
    <t>ID</t>
  </si>
  <si>
    <t>cross_comparison</t>
  </si>
  <si>
    <t>Name</t>
  </si>
  <si>
    <t>Cross-Data × Multi-Model Comparison (Ready Setup)</t>
  </si>
  <si>
    <t>Dataset</t>
  </si>
  <si>
    <t>Source</t>
  </si>
  <si>
    <t>ner_dataset.csv (Hebrew NER corpus)</t>
  </si>
  <si>
    <t>Format</t>
  </si>
  <si>
    <t>Token-level BIO tags (B-TYPE, I-TYPE, O)</t>
  </si>
  <si>
    <t>Split Protocol</t>
  </si>
  <si>
    <t>Train / Eval Ratio</t>
  </si>
  <si>
    <t>70% / 30%</t>
  </si>
  <si>
    <t>Split Granularity</t>
  </si>
  <si>
    <t>Sentence-level (no token leakage)</t>
  </si>
  <si>
    <t>Seeds</t>
  </si>
  <si>
    <t>5 independent random seeds (42–46)</t>
  </si>
  <si>
    <t>Stratification</t>
  </si>
  <si>
    <t>Non-O label distribution preserved via greedy optimisation</t>
  </si>
  <si>
    <t>Model</t>
  </si>
  <si>
    <t>Base Model</t>
  </si>
  <si>
    <t>DictaBERT (dicta-il/dictabert)</t>
  </si>
  <si>
    <t>Language</t>
  </si>
  <si>
    <t>Hebrew</t>
  </si>
  <si>
    <t>Evaluation</t>
  </si>
  <si>
    <t>Primary Metric</t>
  </si>
  <si>
    <t>Entity-level F1 (seqeval strict)</t>
  </si>
  <si>
    <t>Secondary Metrics</t>
  </si>
  <si>
    <t>Precision, Recall, Accuracy</t>
  </si>
  <si>
    <t>Aggregation</t>
  </si>
  <si>
    <t>Mean ± standard deviation across seeds</t>
  </si>
  <si>
    <t>Reporting</t>
  </si>
  <si>
    <t>Significance</t>
  </si>
  <si>
    <t>Paired seed-by-seed comparison (same train/eval per seed)</t>
  </si>
  <si>
    <t>Delta</t>
  </si>
  <si>
    <t>Improvement = split_variant_metric − baseline_metric</t>
  </si>
  <si>
    <t>Citation</t>
  </si>
  <si>
    <t>Condition Labels</t>
  </si>
  <si>
    <t>Baseline = simple random split; others = label-aware split strategies from Experiment 07</t>
  </si>
  <si>
    <t>Design</t>
  </si>
  <si>
    <t>Models</t>
  </si>
  <si>
    <t>DictaBERT, BEREL 3.0, HeRo, AlephBERT-Gimmel</t>
  </si>
  <si>
    <t>Paired Seed Design</t>
  </si>
  <si>
    <t>Same seed list used for every model/condition: 42..61 (20 seeds)</t>
  </si>
  <si>
    <t>Exp07 Conditions</t>
  </si>
  <si>
    <t>3 variants: Baseline (simple random split); Label-aware greedy; Multilabel stratified; Multilabel stratified (paper-style)</t>
  </si>
  <si>
    <t>Exp08 Conditions</t>
  </si>
  <si>
    <t>Baseline (no augmentation) vs Augmented (LLM mask-fill)</t>
  </si>
  <si>
    <t>Exp07+Aug Conditions</t>
  </si>
  <si>
    <t>3 variants: each exp07 split variant with LLM augmentation applied to training data</t>
  </si>
  <si>
    <t>Exp08 Augmentation</t>
  </si>
  <si>
    <t>Seed=42, multiplier=3, baseline_train=181 sents, augmented_train=2042 sents (+1861 generated)</t>
  </si>
  <si>
    <t>Downstream Experiments</t>
  </si>
  <si>
    <t>exp01: Regular NER; exp04: AUC Cascaded Pipeline; exp05_ready: AUC Cascaded Step-3 Consistency (Ready); exp06_ready: Fusion Regular+Cascaded (Ready); exp06_svm_ready: SVM Router Fusion (Ready)</t>
  </si>
  <si>
    <t>Total Runs</t>
  </si>
  <si>
    <t>2400</t>
  </si>
  <si>
    <t>Interpretation</t>
  </si>
  <si>
    <t>Positive delta_f1 (exp07)</t>
  </si>
  <si>
    <t>The split variant improved F1 vs the exp07 baseline (simple random split)</t>
  </si>
  <si>
    <t>Positive delta_f1 (exp08)</t>
  </si>
  <si>
    <t>LLM augmentation improved F1 vs the non-augmented baseline</t>
  </si>
  <si>
    <t>delta_f1 (model)</t>
  </si>
  <si>
    <t>Head-to-head delta between models</t>
  </si>
  <si>
    <t>Sheets</t>
  </si>
  <si>
    <t>summary_pivot</t>
  </si>
  <si>
    <t>One row per (model × experiment) with F1 for every condition + best overall</t>
  </si>
  <si>
    <t>all_runs</t>
  </si>
  <si>
    <t>Complete per-run detail: model, experiment, condition, F1/P/R, timing</t>
  </si>
  <si>
    <t>deltas_exp07</t>
  </si>
  <si>
    <t>Paired delta (variant − baseline) for exp07 conditions per model per experiment</t>
  </si>
  <si>
    <t>deltas_exp08</t>
  </si>
  <si>
    <t>Paired delta (augmented − baseline) for exp08 conditions per model per experiment</t>
  </si>
  <si>
    <t>deltas_exp07_aug</t>
  </si>
  <si>
    <t>Paired delta (split+augmentation − split only) for each exp07 variant per model per experiment</t>
  </si>
  <si>
    <t>paired_tests</t>
  </si>
  <si>
    <t>Paired t-test + Wilcoxon signed-rank across shared seeds (mean±SD, test statistic, p-value, p&lt;0.05)</t>
  </si>
  <si>
    <t>model_comparison</t>
  </si>
  <si>
    <t>Head-to-head F1 comparison per (experiment × condition) pair</t>
  </si>
  <si>
    <t>variant_summary</t>
  </si>
  <si>
    <t>Per-condition aggregate statistics (mean/std/min/max F1) across all models and experiments</t>
  </si>
  <si>
    <t>experiment_details</t>
  </si>
  <si>
    <t>Extended detail including file paths and descriptions</t>
  </si>
  <si>
    <t>documentation</t>
  </si>
  <si>
    <t>This sheet — describes columns and interpretation guidelines</t>
  </si>
  <si>
    <t>NON-AUGMENTED DATA - Average F1 by Model, Split Method, and Experiment</t>
  </si>
  <si>
    <t>Split Method</t>
  </si>
  <si>
    <t>AUGMENTED DATA - Average F1 by Model, Split Method, and Experiment</t>
  </si>
  <si>
    <t>DictaBERT_mean</t>
  </si>
  <si>
    <t>BEREL_mean</t>
  </si>
  <si>
    <t>HeRo_mean</t>
  </si>
  <si>
    <t>AlephBERT_mean</t>
  </si>
  <si>
    <t>AUGMENTATION EFFECT: Delta (Augmented - Non-Augmented) by Model</t>
  </si>
  <si>
    <t>DictaBERT Δ</t>
  </si>
  <si>
    <t>BEREL 3.0 Δ</t>
  </si>
  <si>
    <t>HeRo Δ</t>
  </si>
  <si>
    <t>AlephBERT-Gimmel Δ</t>
  </si>
  <si>
    <t>WILCOXON SIGNED-RANK TEST: Augmented vs Non-Augmented</t>
  </si>
  <si>
    <t>(p-values from paired_tests sheet - testing if augmentation significantly improves F1)</t>
  </si>
  <si>
    <t>DictaBERT p-value</t>
  </si>
  <si>
    <t>BEREL 3.0 p-value</t>
  </si>
  <si>
    <t>HeRo p-value</t>
  </si>
  <si>
    <t>AlephBERT p-value</t>
  </si>
  <si>
    <t>Significance Key</t>
  </si>
  <si>
    <t>ns = not significant</t>
  </si>
  <si>
    <t>All Significant?</t>
  </si>
  <si>
    <t>Average Δ</t>
  </si>
  <si>
    <t>(All Experiments)</t>
  </si>
  <si>
    <t>p &lt; 0.001 (highly sig.)</t>
  </si>
  <si>
    <t>p &lt; 0.05 (significant)</t>
  </si>
  <si>
    <t>p ≥ 0.05 (not sig.)</t>
  </si>
  <si>
    <t>NON-AUGMENTED: F1 by Split Method and Experiment (All 4 Models)</t>
  </si>
  <si>
    <t>Method</t>
  </si>
  <si>
    <t>DictaBERT F1</t>
  </si>
  <si>
    <t>BEREL 3.0 F1</t>
  </si>
  <si>
    <t>HeRo F1</t>
  </si>
  <si>
    <t>AlephBERT-Gimmel F1</t>
  </si>
  <si>
    <t>Baseline (random)</t>
  </si>
  <si>
    <t>Label-Aware Greedy</t>
  </si>
  <si>
    <t>Multilabel Stratified</t>
  </si>
  <si>
    <t>AUGMENTED: F1 by Split Method and Experiment (All 4 Models)</t>
  </si>
  <si>
    <t>Baseline (random) + Aug</t>
  </si>
  <si>
    <t>Label-Aware Greedy + Aug</t>
  </si>
  <si>
    <t>Multilabel Stratified + Aug</t>
  </si>
  <si>
    <t>NON-AUGMENTED DATA</t>
  </si>
  <si>
    <t>BEREL vs DictaBERT</t>
  </si>
  <si>
    <t>BEREL vs HeRo</t>
  </si>
  <si>
    <t>BEREL vs AlephBERT</t>
  </si>
  <si>
    <t>AUGMENTED DATA</t>
  </si>
  <si>
    <t>Comparison</t>
  </si>
  <si>
    <t>BEREL vs DictaBERT (Δ)</t>
  </si>
  <si>
    <t>BEREL vs HeRo (Δ)</t>
  </si>
  <si>
    <t>BEREL vs AlephBERT (Δ)</t>
  </si>
  <si>
    <t>AUC Cascaded Step-3 Consistency</t>
  </si>
  <si>
    <t>Fusion Regular+Cascaded</t>
  </si>
  <si>
    <t>SVM Router Fusion</t>
  </si>
  <si>
    <t>Non-Aug Significant Wins</t>
  </si>
  <si>
    <t>Non-Aug Significant Losses</t>
  </si>
  <si>
    <t>Aug Significant Wins</t>
  </si>
  <si>
    <t>Aug Significant Losses</t>
  </si>
  <si>
    <t>NOTE: Wilcoxon Signed-Rank Test with n=20 paired observations</t>
  </si>
  <si>
    <t>Positive Δ = BEREL outperforms; Negative Δ = BEREL underperforms</t>
  </si>
  <si>
    <t>p &lt; 0.01?</t>
  </si>
  <si>
    <t>For α=0.01 significance with 20 pairs, effect size |Δ| &gt; 0.025 is required</t>
  </si>
  <si>
    <t>✓ p&lt;0.01 = Statistically significant at 1% level; ✗ NS = Not significant</t>
  </si>
  <si>
    <t>WILCOXON SIGNED-RANK TEST: Model Comparisons (α = 0.05)</t>
  </si>
  <si>
    <t>Testing if BEREL 3.0 significantly outperforms each model. Significance: p &lt; 0.05</t>
  </si>
  <si>
    <t>p &lt; 0.05?</t>
  </si>
  <si>
    <t>SUMMARY: BEREL 3.0 Significance at α = 0.05</t>
  </si>
  <si>
    <t>For α=0.05 significance with 20 pairs, effect size |Δ| &gt; 0.015 is required</t>
  </si>
  <si>
    <t>✓ p&lt;0.05 = Statistically significant at 5% level; ✗ NS = Not significant</t>
  </si>
  <si>
    <t>WILCOXON SIGNED-RANK TEST: Method Comparisons (α = 0.01)</t>
  </si>
  <si>
    <t>Comparing experiment methods. Significance: p &lt; 0.01 (threshold |Δ| &gt; 0.025 for n=20 pairs)</t>
  </si>
  <si>
    <t>SECTION 1: AUC CASCADED PIPELINE vs REGULAR NER</t>
  </si>
  <si>
    <t>Augmented?</t>
  </si>
  <si>
    <t>DictaBERT (Δ)</t>
  </si>
  <si>
    <t>BEREL 3.0 (Δ)</t>
  </si>
  <si>
    <t>HeRo (Δ)</t>
  </si>
  <si>
    <t>AlephBERT (Δ)</t>
  </si>
  <si>
    <t>No</t>
  </si>
  <si>
    <t>Yes</t>
  </si>
  <si>
    <t>SECTION 2: FUSION REGULAR+CASCADED vs AUC CASCADED PIPELINE</t>
  </si>
  <si>
    <t>SECTION 3: SVM ROUTER FUSION vs AUC CASCADED PIPELINE</t>
  </si>
  <si>
    <t>SECTION 4: SVM ROUTER FUSION vs FUSION REGULAR+CASCADED</t>
  </si>
  <si>
    <t>Positive Δ = First method outperforms; Negative Δ = Second method outperforms</t>
  </si>
  <si>
    <t>SECTION 5: SVM ROUTER FUSION vs AUC CASCADED STEP-3 CONSISTENCY (α = 0.01)</t>
  </si>
  <si>
    <t>Testing if SVM Router Fusion significantly outperforms Cascaded Step-3 Consistency. Threshold: |Δ| &gt; 0.025</t>
  </si>
  <si>
    <t>AlephBERT Δ</t>
  </si>
  <si>
    <t>SECTION 6: FUSION REGULAR+CASCADED vs AUC CASCADED STEP-3 CONSISTENCY (α = 0.01)</t>
  </si>
  <si>
    <t>Testing if Fusion Regular+Cascaded significantly outperforms Cascaded Step-3 Consistency. Threshold: |Δ| &gt; 0.025</t>
  </si>
  <si>
    <t>SECTION 7: REGULAR NER vs AUC CASCADED STEP-3 CONSISTENCY (α = 0.01)</t>
  </si>
  <si>
    <t>Testing if Regular NER significantly differs from Cascaded Step-3 Consistency. Threshold: |Δ| &gt; 0.025</t>
  </si>
  <si>
    <t>SECTION 8: AUC CASCADED PIPELINE vs AUC CASCADED STEP-3 CONSISTENCY (α = 0.01)</t>
  </si>
  <si>
    <t>Testing if Cascaded Pipeline significantly differs from Cascaded Step-3 Consistency. Threshold: |Δ| &gt; 0.025</t>
  </si>
  <si>
    <t>METHOD COMPARISONS - WILCOXON SIGNED-RANK TEST (α = 0.05)</t>
  </si>
  <si>
    <t>SECTION 1: SVM Router Fusion vs Regular NER</t>
  </si>
  <si>
    <t>p&lt;0.05?</t>
  </si>
  <si>
    <t>Significance threshold: |Δ| &gt; 0.015 for p &lt; 0.05. Excludes AUC Cascaded Pipeline.</t>
  </si>
  <si>
    <t>SECTION 2: SVM Router Fusion vs Step-3 Consistency</t>
  </si>
  <si>
    <t>SECTION 3: SVM Router Fusion vs Fusion Regular+Cascaded</t>
  </si>
  <si>
    <t>SECTION 4: Step-3 Consistency vs Regular NER</t>
  </si>
  <si>
    <t>SECTION 5: Fusion Regular+Cascaded vs Regular NER</t>
  </si>
  <si>
    <t>SECTION 6: Fusion Regular+Cascaded vs Step-3 Consistency</t>
  </si>
  <si>
    <t>LEGEND:</t>
  </si>
  <si>
    <t>Positive Δ = First method outperforms | Negative Δ = Second method outperforms</t>
  </si>
  <si>
    <t>✓ p&lt;0.05 = Significant (|Δ| &gt; 0.015) | ✗ NS = Not significant | Yellow = Augmented</t>
  </si>
  <si>
    <t>WILCOXON SIGNED-RANK TEST: Split Methods vs Baseline (α = 0.05)</t>
  </si>
  <si>
    <t>Testing if Label-Aware Greedy and Multilabel Stratified significantly outperform Baseline (random split)</t>
  </si>
  <si>
    <t>SECTION 1: LABEL-AWARE GREEDY vs BASELINE (Non-Augmented)</t>
  </si>
  <si>
    <t>SECTION 2: MULTILABEL STRATIFIED (PAPER-STYLE) vs BASELINE (Non-Augmented)</t>
  </si>
  <si>
    <t>SECTION 3: LABEL-AWARE GREEDY + AUG vs BASELINE + AUG (Augmented)</t>
  </si>
  <si>
    <t>SECTION 4: MULTILABEL STRATIFIED + AUG vs BASELINE + AUG (Augmented)</t>
  </si>
  <si>
    <t>SUMMARY: Split Method Significance vs Baseline (α = 0.05)</t>
  </si>
  <si>
    <t>DictaBERT Wins</t>
  </si>
  <si>
    <t>BEREL 3.0 Wins</t>
  </si>
  <si>
    <t>HeRo Wins</t>
  </si>
  <si>
    <t>AlephBERT Wins</t>
  </si>
  <si>
    <t>Label-Aware Greedy (Non-Aug)</t>
  </si>
  <si>
    <t>Multilabel Stratified (Non-Aug)</t>
  </si>
  <si>
    <t>Label-Aware Greedy (Aug)</t>
  </si>
  <si>
    <t>Multilabel Stratified (Aug)</t>
  </si>
  <si>
    <t>Positive Δ = Split method outperforms Baseline; Negative Δ = Baseline outperforms</t>
  </si>
  <si>
    <t>✓ p&lt;0.05 = Statistically significant; ✗ NS = Not significant</t>
  </si>
  <si>
    <t>Non-Augmented</t>
  </si>
  <si>
    <t>Augmented</t>
  </si>
  <si>
    <t>SVM Router Fusion (Multilabel Stratified): Non-Aug vs Augmented</t>
  </si>
  <si>
    <t>Δ (Improvement)</t>
  </si>
  <si>
    <t>CHART DATA FOR VISUALIZATIONS</t>
  </si>
  <si>
    <t>SVM vs Cascaded Pipeline (Non-Aug)</t>
  </si>
  <si>
    <t>AlephBERT</t>
  </si>
  <si>
    <t>Δ F1 Improvement</t>
  </si>
  <si>
    <t>SVM vs Fusion (Non-Aug)</t>
  </si>
  <si>
    <t>Method Comparison (Non-Aug Avg Δ)</t>
  </si>
  <si>
    <t>Avg Δ</t>
  </si>
  <si>
    <t>SVM vs Cascaded Pipeline</t>
  </si>
  <si>
    <t>SVM vs Fusion</t>
  </si>
  <si>
    <t>Fusion vs Cascaded</t>
  </si>
  <si>
    <t>Cascaded vs Regular NER</t>
  </si>
  <si>
    <t>BEREL 3.0: SVM Improvement by Condition</t>
  </si>
  <si>
    <t>Baseline</t>
  </si>
  <si>
    <t>Label-aware</t>
  </si>
  <si>
    <t>Multilabel Strat</t>
  </si>
  <si>
    <t>vs Cascaded Pipeline (Non-Aug)</t>
  </si>
  <si>
    <t>vs Fusion (Non-Aug)</t>
  </si>
  <si>
    <t>Significant Improvements (p&lt;0.01)</t>
  </si>
  <si>
    <t>Non-Aug</t>
  </si>
  <si>
    <t>AUC Cascaded Step-3</t>
  </si>
  <si>
    <t>DATASET STATISTICS</t>
  </si>
  <si>
    <t>DATASET OVERVIEW</t>
  </si>
  <si>
    <t>Metric</t>
  </si>
  <si>
    <t>Notes</t>
  </si>
  <si>
    <t>Dataset Source</t>
  </si>
  <si>
    <t>ner_dataset.csv</t>
  </si>
  <si>
    <t>Hebrew NER corpus</t>
  </si>
  <si>
    <t>Token-level BIO tags</t>
  </si>
  <si>
    <t>B-TYPE, I-TYPE, O</t>
  </si>
  <si>
    <t>Train/Eval Ratio</t>
  </si>
  <si>
    <t>Sentence-level split</t>
  </si>
  <si>
    <t>Sentence-level</t>
  </si>
  <si>
    <t>No token leakage</t>
  </si>
  <si>
    <t>Entity-level F1</t>
  </si>
  <si>
    <t>seqeval strict</t>
  </si>
  <si>
    <t>TRAINING DATA (Seed=42)</t>
  </si>
  <si>
    <t>Change</t>
  </si>
  <si>
    <t>Training Sentences</t>
  </si>
  <si>
    <t>+1861 (+1028%)</t>
  </si>
  <si>
    <t>Augmentation Multiplier</t>
  </si>
  <si>
    <t>-</t>
  </si>
  <si>
    <t>Generated Sentences</t>
  </si>
  <si>
    <t>LLM mask-fill</t>
  </si>
  <si>
    <t>Eval Sentences (estimated)</t>
  </si>
  <si>
    <t>~78</t>
  </si>
  <si>
    <t>Same eval set</t>
  </si>
  <si>
    <t>EXPERIMENT DESIGN</t>
  </si>
  <si>
    <t>Total Models</t>
  </si>
  <si>
    <t>Total Experiments</t>
  </si>
  <si>
    <t>Split Strategies</t>
  </si>
  <si>
    <t>Data Conditions</t>
  </si>
  <si>
    <t>Seeds per Condition</t>
  </si>
  <si>
    <t>Seeds Range</t>
  </si>
  <si>
    <t>42-61</t>
  </si>
  <si>
    <t>COMPUTED STATISTICS (from experiment_details)</t>
  </si>
  <si>
    <t>Total Runs Recorded</t>
  </si>
  <si>
    <t>Average F1 (All Runs)</t>
  </si>
  <si>
    <t>Min F1</t>
  </si>
  <si>
    <t>Max F1</t>
  </si>
  <si>
    <t>F1 Std Dev</t>
  </si>
  <si>
    <t>Non-Augmented Runs</t>
  </si>
  <si>
    <t>Augmented Runs</t>
  </si>
  <si>
    <t>PERFORMANCE BY MODEL (Mean F1 across all conditions)</t>
  </si>
  <si>
    <t>Non-Augmented F1</t>
  </si>
  <si>
    <t>Augmented F1</t>
  </si>
  <si>
    <t>Avg F1 Improvement (Aug)</t>
  </si>
  <si>
    <t>PERFORMANCE BY EXPERIMENT (Mean F1)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</si>
</sst>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\+0.000;\-0.000;0.000"/>
    <numFmt numFmtId="165" formatCode="_(* #,##0.000000_);_(* \(#,##0.000000\);_(* &quot;-&quot;??_);_(@_)"/>
    <numFmt numFmtId="166" formatCode="0.000"/>
    <numFmt numFmtId="167" formatCode="\+0.000"/>
    <numFmt numFmtId="168" formatCode="0.0000"/>
    <numFmt numFmtId="169" formatCode="\+0.0000"/>
  </numFmts>
  <fonts count="1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4472C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0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E2E8F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2" borderId="0" applyNumberFormat="0" applyBorder="0" applyAlignment="0" applyProtection="0"/>
  </cellStyleXfs>
  <cellXfs count="79">
    <xf numFmtId="0" fontId="0" fillId="0" borderId="0" xfId="0"/>
    <xf numFmtId="0" fontId="1" fillId="0" borderId="1" xfId="0" applyFont="1" applyBorder="1" applyAlignment="1">
      <alignment horizontal="center" vertical="top"/>
    </xf>
    <xf numFmtId="0" fontId="6" fillId="0" borderId="0" xfId="0" applyFont="1"/>
    <xf numFmtId="0" fontId="7" fillId="0" borderId="0" xfId="0" applyFont="1"/>
    <xf numFmtId="10" fontId="0" fillId="0" borderId="0" xfId="0" applyNumberFormat="1"/>
    <xf numFmtId="0" fontId="0" fillId="0" borderId="2" xfId="0" applyBorder="1"/>
    <xf numFmtId="0" fontId="0" fillId="0" borderId="3" xfId="0" applyBorder="1"/>
    <xf numFmtId="10" fontId="0" fillId="0" borderId="3" xfId="0" applyNumberFormat="1" applyBorder="1"/>
    <xf numFmtId="10" fontId="0" fillId="0" borderId="4" xfId="0" applyNumberFormat="1" applyBorder="1"/>
    <xf numFmtId="0" fontId="0" fillId="0" borderId="5" xfId="0" applyBorder="1"/>
    <xf numFmtId="10" fontId="0" fillId="0" borderId="6" xfId="0" applyNumberFormat="1" applyBorder="1"/>
    <xf numFmtId="0" fontId="0" fillId="0" borderId="7" xfId="0" applyBorder="1"/>
    <xf numFmtId="0" fontId="0" fillId="0" borderId="8" xfId="0" applyBorder="1"/>
    <xf numFmtId="10" fontId="0" fillId="0" borderId="8" xfId="0" applyNumberFormat="1" applyBorder="1"/>
    <xf numFmtId="10" fontId="0" fillId="0" borderId="9" xfId="0" applyNumberFormat="1" applyBorder="1"/>
    <xf numFmtId="0" fontId="6" fillId="0" borderId="2" xfId="0" applyFont="1" applyBorder="1"/>
    <xf numFmtId="0" fontId="6" fillId="0" borderId="3" xfId="0" applyFont="1" applyBorder="1"/>
    <xf numFmtId="0" fontId="6" fillId="0" borderId="4" xfId="0" applyFont="1" applyBorder="1"/>
    <xf numFmtId="0" fontId="3" fillId="2" borderId="0" xfId="2" applyBorder="1"/>
    <xf numFmtId="0" fontId="3" fillId="2" borderId="8" xfId="2" applyBorder="1"/>
    <xf numFmtId="0" fontId="8" fillId="3" borderId="0" xfId="0" applyFont="1" applyFill="1"/>
    <xf numFmtId="0" fontId="0" fillId="0" borderId="1" xfId="0" applyBorder="1"/>
    <xf numFmtId="0" fontId="8" fillId="3" borderId="1" xfId="0" applyFont="1" applyFill="1" applyBorder="1"/>
    <xf numFmtId="164" fontId="0" fillId="0" borderId="1" xfId="0" applyNumberFormat="1" applyBorder="1"/>
    <xf numFmtId="0" fontId="9" fillId="0" borderId="0" xfId="0" applyFont="1"/>
    <xf numFmtId="0" fontId="4" fillId="4" borderId="0" xfId="0" applyFont="1" applyFill="1"/>
    <xf numFmtId="0" fontId="6" fillId="5" borderId="10" xfId="0" applyFont="1" applyFill="1" applyBorder="1"/>
    <xf numFmtId="164" fontId="6" fillId="5" borderId="10" xfId="0" applyNumberFormat="1" applyFont="1" applyFill="1" applyBorder="1"/>
    <xf numFmtId="0" fontId="3" fillId="6" borderId="0" xfId="0" applyFont="1" applyFill="1"/>
    <xf numFmtId="0" fontId="5" fillId="7" borderId="0" xfId="0" applyFont="1" applyFill="1"/>
    <xf numFmtId="165" fontId="0" fillId="0" borderId="1" xfId="1" applyNumberFormat="1" applyFont="1" applyBorder="1"/>
    <xf numFmtId="0" fontId="10" fillId="0" borderId="0" xfId="0" applyFont="1"/>
    <xf numFmtId="166" fontId="0" fillId="0" borderId="0" xfId="0" applyNumberFormat="1"/>
    <xf numFmtId="0" fontId="0" fillId="8" borderId="1" xfId="0" applyFill="1" applyBorder="1"/>
    <xf numFmtId="166" fontId="0" fillId="8" borderId="1" xfId="0" applyNumberFormat="1" applyFill="1" applyBorder="1"/>
    <xf numFmtId="0" fontId="0" fillId="9" borderId="1" xfId="0" applyFill="1" applyBorder="1"/>
    <xf numFmtId="166" fontId="0" fillId="9" borderId="1" xfId="0" applyNumberFormat="1" applyFill="1" applyBorder="1"/>
    <xf numFmtId="0" fontId="0" fillId="10" borderId="1" xfId="0" applyFill="1" applyBorder="1"/>
    <xf numFmtId="166" fontId="0" fillId="10" borderId="1" xfId="0" applyNumberFormat="1" applyFill="1" applyBorder="1"/>
    <xf numFmtId="0" fontId="6" fillId="11" borderId="0" xfId="0" applyFont="1" applyFill="1"/>
    <xf numFmtId="0" fontId="8" fillId="12" borderId="0" xfId="0" applyFont="1" applyFill="1"/>
    <xf numFmtId="0" fontId="6" fillId="8" borderId="0" xfId="0" applyFont="1" applyFill="1"/>
    <xf numFmtId="0" fontId="6" fillId="5" borderId="0" xfId="0" applyFont="1" applyFill="1"/>
    <xf numFmtId="0" fontId="6" fillId="13" borderId="0" xfId="0" applyFont="1" applyFill="1"/>
    <xf numFmtId="0" fontId="6" fillId="11" borderId="1" xfId="0" applyFont="1" applyFill="1" applyBorder="1"/>
    <xf numFmtId="0" fontId="6" fillId="8" borderId="1" xfId="0" applyFont="1" applyFill="1" applyBorder="1"/>
    <xf numFmtId="0" fontId="6" fillId="16" borderId="1" xfId="0" applyFont="1" applyFill="1" applyBorder="1"/>
    <xf numFmtId="0" fontId="6" fillId="18" borderId="1" xfId="0" applyFont="1" applyFill="1" applyBorder="1"/>
    <xf numFmtId="0" fontId="11" fillId="3" borderId="0" xfId="0" applyFont="1" applyFill="1"/>
    <xf numFmtId="0" fontId="0" fillId="10" borderId="0" xfId="0" applyFill="1"/>
    <xf numFmtId="0" fontId="6" fillId="10" borderId="0" xfId="0" applyFont="1" applyFill="1"/>
    <xf numFmtId="166" fontId="11" fillId="3" borderId="0" xfId="0" applyNumberFormat="1" applyFont="1" applyFill="1"/>
    <xf numFmtId="166" fontId="6" fillId="11" borderId="0" xfId="0" applyNumberFormat="1" applyFont="1" applyFill="1"/>
    <xf numFmtId="166" fontId="0" fillId="10" borderId="0" xfId="0" applyNumberFormat="1" applyFill="1"/>
    <xf numFmtId="0" fontId="11" fillId="12" borderId="0" xfId="0" applyFont="1" applyFill="1"/>
    <xf numFmtId="0" fontId="0" fillId="13" borderId="0" xfId="0" applyFill="1"/>
    <xf numFmtId="0" fontId="6" fillId="20" borderId="0" xfId="0" applyFont="1" applyFill="1"/>
    <xf numFmtId="0" fontId="6" fillId="19" borderId="1" xfId="0" applyFont="1" applyFill="1" applyBorder="1"/>
    <xf numFmtId="167" fontId="0" fillId="0" borderId="0" xfId="0" applyNumberFormat="1"/>
    <xf numFmtId="0" fontId="8" fillId="3" borderId="11" xfId="0" applyFont="1" applyFill="1" applyBorder="1"/>
    <xf numFmtId="0" fontId="0" fillId="0" borderId="11" xfId="0" applyBorder="1"/>
    <xf numFmtId="0" fontId="6" fillId="5" borderId="13" xfId="0" applyFont="1" applyFill="1" applyBorder="1"/>
    <xf numFmtId="164" fontId="0" fillId="0" borderId="14" xfId="0" applyNumberFormat="1" applyBorder="1"/>
    <xf numFmtId="164" fontId="6" fillId="5" borderId="12" xfId="0" applyNumberFormat="1" applyFont="1" applyFill="1" applyBorder="1"/>
    <xf numFmtId="0" fontId="8" fillId="3" borderId="15" xfId="0" applyFont="1" applyFill="1" applyBorder="1"/>
    <xf numFmtId="0" fontId="8" fillId="3" borderId="16" xfId="0" applyFont="1" applyFill="1" applyBorder="1"/>
    <xf numFmtId="0" fontId="8" fillId="3" borderId="17" xfId="0" applyFont="1" applyFill="1" applyBorder="1"/>
    <xf numFmtId="0" fontId="12" fillId="0" borderId="0" xfId="0" applyFont="1"/>
    <xf numFmtId="0" fontId="6" fillId="21" borderId="0" xfId="0" applyFont="1" applyFill="1"/>
    <xf numFmtId="168" fontId="0" fillId="0" borderId="0" xfId="0" applyNumberFormat="1"/>
    <xf numFmtId="169" fontId="0" fillId="0" borderId="0" xfId="0" applyNumberFormat="1"/>
    <xf numFmtId="0" fontId="8" fillId="3" borderId="0" xfId="0" applyFont="1" applyFill="1"/>
    <xf numFmtId="0" fontId="6" fillId="3" borderId="0" xfId="0" applyFont="1" applyFill="1"/>
    <xf numFmtId="0" fontId="8" fillId="14" borderId="0" xfId="0" applyFont="1" applyFill="1"/>
    <xf numFmtId="0" fontId="6" fillId="14" borderId="0" xfId="0" applyFont="1" applyFill="1"/>
    <xf numFmtId="0" fontId="8" fillId="15" borderId="0" xfId="0" applyFont="1" applyFill="1"/>
    <xf numFmtId="0" fontId="6" fillId="15" borderId="0" xfId="0" applyFont="1" applyFill="1"/>
    <xf numFmtId="0" fontId="8" fillId="17" borderId="0" xfId="0" applyFont="1" applyFill="1"/>
    <xf numFmtId="0" fontId="6" fillId="17" borderId="0" xfId="0" applyFont="1" applyFill="1"/>
  </cellXfs>
  <cellStyles count="3">
    <cellStyle name="Comma" xfId="1" builtinId="3"/>
    <cellStyle name="Good" xfId="2" builtinId="26"/>
    <cellStyle name="Normal" xfId="0" builtinId="0"/>
  </cellStyles>
  <dxfs count="161"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ill>
        <patternFill patternType="solid">
          <fgColor indexed="64"/>
          <bgColor rgb="FFFFC7CE"/>
        </patternFill>
      </fill>
    </dxf>
    <dxf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164" formatCode="\+0.000;\-0.000;0.00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4" formatCode="\+0.000;\-0.000;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\+0.000;\-0.000;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4" formatCode="\+0.000;\-0.000;0.00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_);_(* \(#,##0.0000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_);_(* \(#,##0.0000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_);_(* \(#,##0.0000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.000000_);_(* \(#,##0.000000\);_(* &quot;-&quot;??_);_(@_)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left style="thin">
          <color auto="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minor"/>
      </font>
      <fill>
        <patternFill patternType="solid">
          <fgColor indexed="64"/>
          <bgColor rgb="FF4472C4"/>
        </patternFill>
      </fill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SVM Router Fusion: Non-Augmented F1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'Model Comparison Summary'!$H$8:$K$8</c:f>
              <c:numCache>
                <c:formatCode>General</c:formatCode>
                <c:ptCount val="4"/>
                <c:pt idx="0">
                  <c:v>0.76600000000000001</c:v>
                </c:pt>
                <c:pt idx="1">
                  <c:v>0.77100000000000002</c:v>
                </c:pt>
                <c:pt idx="2">
                  <c:v>0.79500000000000004</c:v>
                </c:pt>
                <c:pt idx="3">
                  <c:v>0.73899999999999999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E9-4B21-AA2A-5F181CA3C8FC}"/>
            </c:ext>
          </c:extLst>
        </c:ser>
        <c:ser>
          <c:idx val="1"/>
          <c:order val="1"/>
          <c:tx>
            <c:v>Label-aware greedy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 Comparison Summary'!$H$13:$K$13</c:f>
              <c:numCache>
                <c:formatCode>General</c:formatCode>
                <c:ptCount val="4"/>
                <c:pt idx="0">
                  <c:v>0.81100000000000005</c:v>
                </c:pt>
                <c:pt idx="1">
                  <c:v>0.79</c:v>
                </c:pt>
                <c:pt idx="2">
                  <c:v>0.79900000000000004</c:v>
                </c:pt>
                <c:pt idx="3">
                  <c:v>0.76300000000000001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E9-4B21-AA2A-5F181CA3C8FC}"/>
            </c:ext>
          </c:extLst>
        </c:ser>
        <c:ser>
          <c:idx val="2"/>
          <c:order val="2"/>
          <c:tx>
            <c:v>Multilabel stratified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Comparison Summary'!$H$18:$K$18</c:f>
              <c:numCache>
                <c:formatCode>General</c:formatCode>
                <c:ptCount val="4"/>
                <c:pt idx="0">
                  <c:v>0.80700000000000005</c:v>
                </c:pt>
                <c:pt idx="1">
                  <c:v>0.79500000000000004</c:v>
                </c:pt>
                <c:pt idx="2">
                  <c:v>0.80500000000000005</c:v>
                </c:pt>
                <c:pt idx="3">
                  <c:v>0.76600000000000001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E9-4B21-AA2A-5F181CA3C8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695888"/>
        <c:axId val="1566696368"/>
      </c:barChart>
      <c:catAx>
        <c:axId val="15666958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66696368"/>
        <c:crosses val="autoZero"/>
        <c:auto val="1"/>
        <c:lblAlgn val="ctr"/>
        <c:lblOffset val="100"/>
        <c:noMultiLvlLbl val="0"/>
      </c:catAx>
      <c:valAx>
        <c:axId val="1566696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56669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SVM Router Fusion: Augmented F1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 + Aug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'Model Comparison Summary'!$H$28:$K$28</c:f>
              <c:numCache>
                <c:formatCode>General</c:formatCode>
                <c:ptCount val="4"/>
                <c:pt idx="0">
                  <c:v>0.81299999999999994</c:v>
                </c:pt>
                <c:pt idx="1">
                  <c:v>0.85699999999999998</c:v>
                </c:pt>
                <c:pt idx="2">
                  <c:v>0.82499999999999996</c:v>
                </c:pt>
                <c:pt idx="3">
                  <c:v>0.80900000000000005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9D-4B63-B334-E55B725911F4}"/>
            </c:ext>
          </c:extLst>
        </c:ser>
        <c:ser>
          <c:idx val="1"/>
          <c:order val="1"/>
          <c:tx>
            <c:v>Label-aware + Aug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 Comparison Summary'!$H$33:$K$33</c:f>
              <c:numCache>
                <c:formatCode>General</c:formatCode>
                <c:ptCount val="4"/>
                <c:pt idx="0">
                  <c:v>0.84099999999999997</c:v>
                </c:pt>
                <c:pt idx="1">
                  <c:v>0.84399999999999997</c:v>
                </c:pt>
                <c:pt idx="2">
                  <c:v>0.83099999999999996</c:v>
                </c:pt>
                <c:pt idx="3">
                  <c:v>0.84099999999999997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9D-4B63-B334-E55B725911F4}"/>
            </c:ext>
          </c:extLst>
        </c:ser>
        <c:ser>
          <c:idx val="2"/>
          <c:order val="2"/>
          <c:tx>
            <c:v>Multilabel + Aug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'Model Comparison Summary'!$H$38:$K$38</c:f>
              <c:numCache>
                <c:formatCode>General</c:formatCode>
                <c:ptCount val="4"/>
                <c:pt idx="0">
                  <c:v>0.83599999999999997</c:v>
                </c:pt>
                <c:pt idx="1">
                  <c:v>0.85199999999999998</c:v>
                </c:pt>
                <c:pt idx="2">
                  <c:v>0.84099999999999997</c:v>
                </c:pt>
                <c:pt idx="3">
                  <c:v>0.84699999999999998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A9D-4B63-B334-E55B725911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34800"/>
        <c:axId val="1933331728"/>
      </c:barChart>
      <c:catAx>
        <c:axId val="10934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933331728"/>
        <c:crosses val="autoZero"/>
        <c:auto val="1"/>
        <c:lblAlgn val="ctr"/>
        <c:lblOffset val="100"/>
        <c:noMultiLvlLbl val="0"/>
      </c:catAx>
      <c:valAx>
        <c:axId val="1933331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934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Augmentation Effect (</a:t>
            </a:r>
            <a:r>
              <a:rPr lang="el-GR"/>
              <a:t>Δ </a:t>
            </a:r>
            <a:r>
              <a:rPr lang="en-US"/>
              <a:t>F1) by Model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'Model Comparison Summary'!$C$60:$F$60</c:f>
              <c:numCache>
                <c:formatCode>\+0.000;\-0.000;0.000</c:formatCode>
                <c:ptCount val="4"/>
                <c:pt idx="0">
                  <c:v>6.3199999999999992E-2</c:v>
                </c:pt>
                <c:pt idx="1">
                  <c:v>0.13706666666666664</c:v>
                </c:pt>
                <c:pt idx="2">
                  <c:v>4.3599999999999986E-2</c:v>
                </c:pt>
                <c:pt idx="3">
                  <c:v>0.10666666666666667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37-4FFE-9821-D9F39F12A5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0095696"/>
        <c:axId val="610097616"/>
      </c:barChart>
      <c:catAx>
        <c:axId val="6100956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10097616"/>
        <c:crosses val="autoZero"/>
        <c:auto val="1"/>
        <c:lblAlgn val="ctr"/>
        <c:lblOffset val="100"/>
        <c:noMultiLvlLbl val="0"/>
      </c:catAx>
      <c:valAx>
        <c:axId val="610097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\+0.000;\-0.000;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10095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Regular NER: Non-Aug vs Aug (Baseline Split)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Non-Augmented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'Model Comparison Summary'!$H$4:$K$4</c:f>
              <c:numCache>
                <c:formatCode>General</c:formatCode>
                <c:ptCount val="4"/>
                <c:pt idx="0">
                  <c:v>0.67200000000000004</c:v>
                </c:pt>
                <c:pt idx="1">
                  <c:v>0.70499999999999996</c:v>
                </c:pt>
                <c:pt idx="2">
                  <c:v>0.745</c:v>
                </c:pt>
                <c:pt idx="3">
                  <c:v>0.66400000000000003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27-4ABA-8F77-8A9EEF38583F}"/>
            </c:ext>
          </c:extLst>
        </c:ser>
        <c:ser>
          <c:idx val="1"/>
          <c:order val="1"/>
          <c:tx>
            <c:v>Augmented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'Model Comparison Summary'!$H$24:$K$24</c:f>
              <c:numCache>
                <c:formatCode>General</c:formatCode>
                <c:ptCount val="4"/>
                <c:pt idx="0">
                  <c:v>0.78100000000000003</c:v>
                </c:pt>
                <c:pt idx="1">
                  <c:v>0.83599999999999997</c:v>
                </c:pt>
                <c:pt idx="2">
                  <c:v>0.79200000000000004</c:v>
                </c:pt>
                <c:pt idx="3">
                  <c:v>0.78100000000000003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527-4ABA-8F77-8A9EEF3858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61072"/>
        <c:axId val="112160112"/>
      </c:barChart>
      <c:catAx>
        <c:axId val="1121610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2160112"/>
        <c:crosses val="autoZero"/>
        <c:auto val="1"/>
        <c:lblAlgn val="ctr"/>
        <c:lblOffset val="100"/>
        <c:noMultiLvlLbl val="0"/>
      </c:catAx>
      <c:valAx>
        <c:axId val="11216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216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BEREL 3.0: Multilabel Stratified + Aug by Experiment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'Model Comparison Summary'!$I$34:$I$38</c:f>
              <c:numCache>
                <c:formatCode>General</c:formatCode>
                <c:ptCount val="5"/>
                <c:pt idx="0">
                  <c:v>0.84699999999999998</c:v>
                </c:pt>
                <c:pt idx="1">
                  <c:v>0.83599999999999997</c:v>
                </c:pt>
                <c:pt idx="2">
                  <c:v>0.84599999999999997</c:v>
                </c:pt>
                <c:pt idx="3">
                  <c:v>0.84799999999999998</c:v>
                </c:pt>
                <c:pt idx="4">
                  <c:v>0.85199999999999998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87-47AF-AB29-9463F033B6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2158672"/>
        <c:axId val="112159152"/>
      </c:barChart>
      <c:catAx>
        <c:axId val="1121586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2159152"/>
        <c:crosses val="autoZero"/>
        <c:auto val="1"/>
        <c:lblAlgn val="ctr"/>
        <c:lblOffset val="100"/>
        <c:noMultiLvlLbl val="0"/>
      </c:catAx>
      <c:valAx>
        <c:axId val="112159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2158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SVM Router Fusion: Non-Augmented vs Augmented
Split Methos: Multilabel Stratified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 Summary'!$N$62</c:f>
              <c:strCache>
                <c:ptCount val="1"/>
                <c:pt idx="0">
                  <c:v>Non-Augmented</c:v>
                </c:pt>
              </c:strCache>
            </c:strRef>
          </c:tx>
          <c:spPr>
            <a:solidFill>
              <a:srgbClr val="6B7280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Comparison Summary'!$M$63:$M$66</c:f>
              <c:strCache>
                <c:ptCount val="4"/>
                <c:pt idx="0">
                  <c:v>DictaBERT</c:v>
                </c:pt>
                <c:pt idx="1">
                  <c:v>BEREL 3.0</c:v>
                </c:pt>
                <c:pt idx="2">
                  <c:v>HeRo</c:v>
                </c:pt>
                <c:pt idx="3">
                  <c:v>AlephBERT-Gimmel</c:v>
                </c:pt>
              </c:strCache>
            </c:strRef>
          </c:cat>
          <c:val>
            <c:numRef>
              <c:f>'Model Comparison Summary'!$N$63:$N$66</c:f>
              <c:numCache>
                <c:formatCode>0.000</c:formatCode>
                <c:ptCount val="4"/>
                <c:pt idx="0">
                  <c:v>0.80700000000000005</c:v>
                </c:pt>
                <c:pt idx="1">
                  <c:v>0.79500000000000004</c:v>
                </c:pt>
                <c:pt idx="2">
                  <c:v>0.80500000000000005</c:v>
                </c:pt>
                <c:pt idx="3">
                  <c:v>0.76600000000000001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732-4231-8ED4-33C3680B8B42}"/>
            </c:ext>
          </c:extLst>
        </c:ser>
        <c:ser>
          <c:idx val="1"/>
          <c:order val="1"/>
          <c:tx>
            <c:strRef>
              <c:f>'Model Comparison Summary'!$O$62</c:f>
              <c:strCache>
                <c:ptCount val="1"/>
                <c:pt idx="0">
                  <c:v>Augmented</c:v>
                </c:pt>
              </c:strCache>
            </c:strRef>
          </c:tx>
          <c:spPr>
            <a:solidFill>
              <a:srgbClr val="10B981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Comparison Summary'!$M$63:$M$66</c:f>
              <c:strCache>
                <c:ptCount val="4"/>
                <c:pt idx="0">
                  <c:v>DictaBERT</c:v>
                </c:pt>
                <c:pt idx="1">
                  <c:v>BEREL 3.0</c:v>
                </c:pt>
                <c:pt idx="2">
                  <c:v>HeRo</c:v>
                </c:pt>
                <c:pt idx="3">
                  <c:v>AlephBERT-Gimmel</c:v>
                </c:pt>
              </c:strCache>
            </c:strRef>
          </c:cat>
          <c:val>
            <c:numRef>
              <c:f>'Model Comparison Summary'!$O$63:$O$66</c:f>
              <c:numCache>
                <c:formatCode>0.000</c:formatCode>
                <c:ptCount val="4"/>
                <c:pt idx="0">
                  <c:v>0.83599999999999997</c:v>
                </c:pt>
                <c:pt idx="1">
                  <c:v>0.85199999999999998</c:v>
                </c:pt>
                <c:pt idx="2">
                  <c:v>0.84099999999999997</c:v>
                </c:pt>
                <c:pt idx="3">
                  <c:v>0.84699999999999998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732-4231-8ED4-33C3680B8B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1155584"/>
        <c:axId val="601156064"/>
      </c:barChart>
      <c:catAx>
        <c:axId val="6011555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1156064"/>
        <c:crosses val="autoZero"/>
        <c:auto val="1"/>
        <c:lblAlgn val="ctr"/>
        <c:lblOffset val="100"/>
        <c:noMultiLvlLbl val="0"/>
      </c:catAx>
      <c:valAx>
        <c:axId val="601156064"/>
        <c:scaling>
          <c:orientation val="minMax"/>
          <c:max val="0.9"/>
          <c:min val="0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1155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rgbClr val="E5E7EB"/>
      </a:solidFill>
      <a:prstDash val="solid"/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Augmentation Effect (</a:t>
            </a:r>
            <a:r>
              <a:rPr lang="el-GR"/>
              <a:t>Δ </a:t>
            </a:r>
            <a:r>
              <a:rPr lang="en-US"/>
              <a:t>F1) by Model
Multilabel Stratified Split | All p &lt; 0.001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 Summary'!$N$85</c:f>
              <c:strCache>
                <c:ptCount val="1"/>
                <c:pt idx="0">
                  <c:v>DictaBERT 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'Model Comparison Summary'!$M$86:$M$89</c:f>
              <c:strCache>
                <c:ptCount val="4"/>
                <c:pt idx="0">
                  <c:v>Regular NER</c:v>
                </c:pt>
                <c:pt idx="1">
                  <c:v>AUC Cascaded Step-3</c:v>
                </c:pt>
                <c:pt idx="2">
                  <c:v>Fusion Regular+Cascaded</c:v>
                </c:pt>
                <c:pt idx="3">
                  <c:v>SVM Router Fusion</c:v>
                </c:pt>
              </c:strCache>
            </c:strRef>
          </c:cat>
          <c:val>
            <c:numRef>
              <c:f>'Model Comparison Summary'!$N$86:$N$89</c:f>
              <c:numCache>
                <c:formatCode>General</c:formatCode>
                <c:ptCount val="4"/>
                <c:pt idx="0">
                  <c:v>7.0000000000000062E-2</c:v>
                </c:pt>
                <c:pt idx="1">
                  <c:v>6.3999999999999946E-2</c:v>
                </c:pt>
                <c:pt idx="2">
                  <c:v>6.899999999999995E-2</c:v>
                </c:pt>
                <c:pt idx="3">
                  <c:v>2.8999999999999915E-2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3DC-4735-92C2-CBAC965B9470}"/>
            </c:ext>
          </c:extLst>
        </c:ser>
        <c:ser>
          <c:idx val="1"/>
          <c:order val="1"/>
          <c:tx>
            <c:strRef>
              <c:f>'Model Comparison Summary'!$O$85</c:f>
              <c:strCache>
                <c:ptCount val="1"/>
                <c:pt idx="0">
                  <c:v>BEREL 3.0 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'Model Comparison Summary'!$M$86:$M$89</c:f>
              <c:strCache>
                <c:ptCount val="4"/>
                <c:pt idx="0">
                  <c:v>Regular NER</c:v>
                </c:pt>
                <c:pt idx="1">
                  <c:v>AUC Cascaded Step-3</c:v>
                </c:pt>
                <c:pt idx="2">
                  <c:v>Fusion Regular+Cascaded</c:v>
                </c:pt>
                <c:pt idx="3">
                  <c:v>SVM Router Fusion</c:v>
                </c:pt>
              </c:strCache>
            </c:strRef>
          </c:cat>
          <c:val>
            <c:numRef>
              <c:f>'Model Comparison Summary'!$O$86:$O$89</c:f>
              <c:numCache>
                <c:formatCode>General</c:formatCode>
                <c:ptCount val="4"/>
                <c:pt idx="0">
                  <c:v>0.11599999999999999</c:v>
                </c:pt>
                <c:pt idx="1">
                  <c:v>0.20699999999999996</c:v>
                </c:pt>
                <c:pt idx="2">
                  <c:v>0.10899999999999999</c:v>
                </c:pt>
                <c:pt idx="3">
                  <c:v>5.699999999999994E-2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3DC-4735-92C2-CBAC965B9470}"/>
            </c:ext>
          </c:extLst>
        </c:ser>
        <c:ser>
          <c:idx val="2"/>
          <c:order val="2"/>
          <c:tx>
            <c:strRef>
              <c:f>'Model Comparison Summary'!$P$85</c:f>
              <c:strCache>
                <c:ptCount val="1"/>
                <c:pt idx="0">
                  <c:v>HeRo 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'Model Comparison Summary'!$M$86:$M$89</c:f>
              <c:strCache>
                <c:ptCount val="4"/>
                <c:pt idx="0">
                  <c:v>Regular NER</c:v>
                </c:pt>
                <c:pt idx="1">
                  <c:v>AUC Cascaded Step-3</c:v>
                </c:pt>
                <c:pt idx="2">
                  <c:v>Fusion Regular+Cascaded</c:v>
                </c:pt>
                <c:pt idx="3">
                  <c:v>SVM Router Fusion</c:v>
                </c:pt>
              </c:strCache>
            </c:strRef>
          </c:cat>
          <c:val>
            <c:numRef>
              <c:f>'Model Comparison Summary'!$P$86:$P$89</c:f>
              <c:numCache>
                <c:formatCode>General</c:formatCode>
                <c:ptCount val="4"/>
                <c:pt idx="0">
                  <c:v>5.1999999999999935E-2</c:v>
                </c:pt>
                <c:pt idx="1">
                  <c:v>7.4999999999999956E-2</c:v>
                </c:pt>
                <c:pt idx="2">
                  <c:v>4.6999999999999931E-2</c:v>
                </c:pt>
                <c:pt idx="3">
                  <c:v>3.5999999999999921E-2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3DC-4735-92C2-CBAC965B9470}"/>
            </c:ext>
          </c:extLst>
        </c:ser>
        <c:ser>
          <c:idx val="3"/>
          <c:order val="3"/>
          <c:tx>
            <c:strRef>
              <c:f>'Model Comparison Summary'!$Q$85</c:f>
              <c:strCache>
                <c:ptCount val="1"/>
                <c:pt idx="0">
                  <c:v>AlephBERT 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'Model Comparison Summary'!$M$86:$M$89</c:f>
              <c:strCache>
                <c:ptCount val="4"/>
                <c:pt idx="0">
                  <c:v>Regular NER</c:v>
                </c:pt>
                <c:pt idx="1">
                  <c:v>AUC Cascaded Step-3</c:v>
                </c:pt>
                <c:pt idx="2">
                  <c:v>Fusion Regular+Cascaded</c:v>
                </c:pt>
                <c:pt idx="3">
                  <c:v>SVM Router Fusion</c:v>
                </c:pt>
              </c:strCache>
            </c:strRef>
          </c:cat>
          <c:val>
            <c:numRef>
              <c:f>'Model Comparison Summary'!$Q$86:$Q$89</c:f>
              <c:numCache>
                <c:formatCode>General</c:formatCode>
                <c:ptCount val="4"/>
                <c:pt idx="0">
                  <c:v>0.20699999999999996</c:v>
                </c:pt>
                <c:pt idx="1">
                  <c:v>0.11099999999999999</c:v>
                </c:pt>
                <c:pt idx="2">
                  <c:v>0.13</c:v>
                </c:pt>
                <c:pt idx="3">
                  <c:v>8.0999999999999961E-2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DC-4735-92C2-CBAC965B94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653568"/>
        <c:axId val="118650208"/>
      </c:barChart>
      <c:catAx>
        <c:axId val="1186535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Experiment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8650208"/>
        <c:crosses val="autoZero"/>
        <c:auto val="1"/>
        <c:lblAlgn val="ctr"/>
        <c:lblOffset val="100"/>
        <c:noMultiLvlLbl val="0"/>
      </c:catAx>
      <c:valAx>
        <c:axId val="118650208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n-US"/>
                  <a:t>F1 (Augmented - Non-Augmented)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1865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Augmentation Effect (</a:t>
            </a:r>
            <a:r>
              <a:rPr lang="el-GR"/>
              <a:t>Δ </a:t>
            </a:r>
            <a:r>
              <a:rPr lang="en-US"/>
              <a:t>F1) by Model
Multilabel Stratified Split | All p &lt; 0.001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'Model Comparison Summary'!$N$85</c:f>
              <c:strCache>
                <c:ptCount val="1"/>
                <c:pt idx="0">
                  <c:v>DictaBERT Δ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Comparison Summary'!$M$86:$M$89</c:f>
              <c:strCache>
                <c:ptCount val="4"/>
                <c:pt idx="0">
                  <c:v>Regular NER</c:v>
                </c:pt>
                <c:pt idx="1">
                  <c:v>AUC Cascaded Step-3</c:v>
                </c:pt>
                <c:pt idx="2">
                  <c:v>Fusion Regular+Cascaded</c:v>
                </c:pt>
                <c:pt idx="3">
                  <c:v>SVM Router Fusion</c:v>
                </c:pt>
              </c:strCache>
            </c:strRef>
          </c:cat>
          <c:val>
            <c:numRef>
              <c:f>'Model Comparison Summary'!$N$86:$N$89</c:f>
              <c:numCache>
                <c:formatCode>General</c:formatCode>
                <c:ptCount val="4"/>
                <c:pt idx="0">
                  <c:v>7.0000000000000062E-2</c:v>
                </c:pt>
                <c:pt idx="1">
                  <c:v>6.3999999999999946E-2</c:v>
                </c:pt>
                <c:pt idx="2">
                  <c:v>6.899999999999995E-2</c:v>
                </c:pt>
                <c:pt idx="3">
                  <c:v>2.8999999999999915E-2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8E-480A-9439-3759C163F6EF}"/>
            </c:ext>
          </c:extLst>
        </c:ser>
        <c:ser>
          <c:idx val="1"/>
          <c:order val="1"/>
          <c:tx>
            <c:strRef>
              <c:f>'Model Comparison Summary'!$O$85</c:f>
              <c:strCache>
                <c:ptCount val="1"/>
                <c:pt idx="0">
                  <c:v>BEREL 3.0 Δ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Comparison Summary'!$M$86:$M$89</c:f>
              <c:strCache>
                <c:ptCount val="4"/>
                <c:pt idx="0">
                  <c:v>Regular NER</c:v>
                </c:pt>
                <c:pt idx="1">
                  <c:v>AUC Cascaded Step-3</c:v>
                </c:pt>
                <c:pt idx="2">
                  <c:v>Fusion Regular+Cascaded</c:v>
                </c:pt>
                <c:pt idx="3">
                  <c:v>SVM Router Fusion</c:v>
                </c:pt>
              </c:strCache>
            </c:strRef>
          </c:cat>
          <c:val>
            <c:numRef>
              <c:f>'Model Comparison Summary'!$O$86:$O$89</c:f>
              <c:numCache>
                <c:formatCode>General</c:formatCode>
                <c:ptCount val="4"/>
                <c:pt idx="0">
                  <c:v>0.11599999999999999</c:v>
                </c:pt>
                <c:pt idx="1">
                  <c:v>0.20699999999999996</c:v>
                </c:pt>
                <c:pt idx="2">
                  <c:v>0.10899999999999999</c:v>
                </c:pt>
                <c:pt idx="3">
                  <c:v>5.699999999999994E-2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8E-480A-9439-3759C163F6EF}"/>
            </c:ext>
          </c:extLst>
        </c:ser>
        <c:ser>
          <c:idx val="2"/>
          <c:order val="2"/>
          <c:tx>
            <c:strRef>
              <c:f>'Model Comparison Summary'!$P$85</c:f>
              <c:strCache>
                <c:ptCount val="1"/>
                <c:pt idx="0">
                  <c:v>HeRo Δ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Comparison Summary'!$M$86:$M$89</c:f>
              <c:strCache>
                <c:ptCount val="4"/>
                <c:pt idx="0">
                  <c:v>Regular NER</c:v>
                </c:pt>
                <c:pt idx="1">
                  <c:v>AUC Cascaded Step-3</c:v>
                </c:pt>
                <c:pt idx="2">
                  <c:v>Fusion Regular+Cascaded</c:v>
                </c:pt>
                <c:pt idx="3">
                  <c:v>SVM Router Fusion</c:v>
                </c:pt>
              </c:strCache>
            </c:strRef>
          </c:cat>
          <c:val>
            <c:numRef>
              <c:f>'Model Comparison Summary'!$P$86:$P$89</c:f>
              <c:numCache>
                <c:formatCode>General</c:formatCode>
                <c:ptCount val="4"/>
                <c:pt idx="0">
                  <c:v>5.1999999999999935E-2</c:v>
                </c:pt>
                <c:pt idx="1">
                  <c:v>7.4999999999999956E-2</c:v>
                </c:pt>
                <c:pt idx="2">
                  <c:v>4.6999999999999931E-2</c:v>
                </c:pt>
                <c:pt idx="3">
                  <c:v>3.5999999999999921E-2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8E-480A-9439-3759C163F6EF}"/>
            </c:ext>
          </c:extLst>
        </c:ser>
        <c:ser>
          <c:idx val="3"/>
          <c:order val="3"/>
          <c:tx>
            <c:strRef>
              <c:f>'Model Comparison Summary'!$Q$85</c:f>
              <c:strCache>
                <c:ptCount val="1"/>
                <c:pt idx="0">
                  <c:v>AlephBERT Δ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'Model Comparison Summary'!$M$86:$M$89</c:f>
              <c:strCache>
                <c:ptCount val="4"/>
                <c:pt idx="0">
                  <c:v>Regular NER</c:v>
                </c:pt>
                <c:pt idx="1">
                  <c:v>AUC Cascaded Step-3</c:v>
                </c:pt>
                <c:pt idx="2">
                  <c:v>Fusion Regular+Cascaded</c:v>
                </c:pt>
                <c:pt idx="3">
                  <c:v>SVM Router Fusion</c:v>
                </c:pt>
              </c:strCache>
            </c:strRef>
          </c:cat>
          <c:val>
            <c:numRef>
              <c:f>'Model Comparison Summary'!$Q$86:$Q$89</c:f>
              <c:numCache>
                <c:formatCode>General</c:formatCode>
                <c:ptCount val="4"/>
                <c:pt idx="0">
                  <c:v>0.20699999999999996</c:v>
                </c:pt>
                <c:pt idx="1">
                  <c:v>0.11099999999999999</c:v>
                </c:pt>
                <c:pt idx="2">
                  <c:v>0.13</c:v>
                </c:pt>
                <c:pt idx="3">
                  <c:v>8.0999999999999961E-2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28E-480A-9439-3759C163F6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2363792"/>
        <c:axId val="602366192"/>
      </c:barChart>
      <c:catAx>
        <c:axId val="6023637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Experiment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2366192"/>
        <c:crosses val="autoZero"/>
        <c:auto val="1"/>
        <c:lblAlgn val="ctr"/>
        <c:lblOffset val="100"/>
        <c:noMultiLvlLbl val="0"/>
      </c:catAx>
      <c:valAx>
        <c:axId val="602366192"/>
        <c:scaling>
          <c:orientation val="minMax"/>
          <c:max val="0.25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n-US"/>
                  <a:t>F1 (Augmented - Non-Augmented)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2363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SVM Router Fusion vs AUC Cascaded Pipeline
(Non-Augmented, Multilabel Stratified, p&lt;0.01)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Δ F1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'Method Wilcoxon Comparison'!$M$4:$P$4</c:f>
              <c:numCache>
                <c:formatCode>General</c:formatCode>
                <c:ptCount val="4"/>
                <c:pt idx="0">
                  <c:v>4.2999999999999997E-2</c:v>
                </c:pt>
                <c:pt idx="1">
                  <c:v>0.161</c:v>
                </c:pt>
                <c:pt idx="2">
                  <c:v>5.6000000000000001E-2</c:v>
                </c:pt>
                <c:pt idx="3">
                  <c:v>3.7999999999999999E-2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2-47A3-ACEB-3F47D85745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66128"/>
        <c:axId val="122867088"/>
      </c:barChart>
      <c:catAx>
        <c:axId val="1228661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Model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2867088"/>
        <c:crosses val="autoZero"/>
        <c:auto val="1"/>
        <c:lblAlgn val="ctr"/>
        <c:lblOffset val="100"/>
        <c:noMultiLvlLbl val="0"/>
      </c:catAx>
      <c:valAx>
        <c:axId val="12286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n-US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2866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F1 Improvement by Method Comparison
(Non-Augmented, All Models)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'Method Wilcoxon Comparison'!$L$11:$L$14</c:f>
              <c:strCache>
                <c:ptCount val="4"/>
                <c:pt idx="0">
                  <c:v>SVM vs Cascaded Pipeline</c:v>
                </c:pt>
                <c:pt idx="1">
                  <c:v>SVM vs Fusion</c:v>
                </c:pt>
                <c:pt idx="2">
                  <c:v>Fusion vs Cascaded</c:v>
                </c:pt>
                <c:pt idx="3">
                  <c:v>Cascaded vs Regular NER</c:v>
                </c:pt>
              </c:strCache>
            </c:strRef>
          </c:cat>
          <c:val>
            <c:numRef>
              <c:f>'Method Wilcoxon Comparison'!$M$11:$M$14</c:f>
              <c:numCache>
                <c:formatCode>General</c:formatCode>
                <c:ptCount val="4"/>
                <c:pt idx="0">
                  <c:v>7.4416666666666687E-2</c:v>
                </c:pt>
                <c:pt idx="1">
                  <c:v>5.7500000000000009E-2</c:v>
                </c:pt>
                <c:pt idx="2">
                  <c:v>1.7416666666666667E-2</c:v>
                </c:pt>
                <c:pt idx="3">
                  <c:v>-8.3333333333333176E-4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2-4CDA-8C92-E579105EB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01663056"/>
        <c:axId val="601663536"/>
      </c:barChart>
      <c:catAx>
        <c:axId val="601663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1663536"/>
        <c:crosses val="autoZero"/>
        <c:auto val="1"/>
        <c:lblAlgn val="ctr"/>
        <c:lblOffset val="100"/>
        <c:noMultiLvlLbl val="0"/>
      </c:catAx>
      <c:valAx>
        <c:axId val="601663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Avg </a:t>
                </a:r>
                <a:r>
                  <a:rPr lang="el-GR"/>
                  <a:t>Δ </a:t>
                </a:r>
                <a:r>
                  <a:rPr lang="en-US"/>
                  <a:t>F1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1663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BEREL 3.0: SVM Router Fusion Improvement
over Other Methods (Non-Augmented)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'Method Wilcoxon Comparison'!$L$18:$N$18</c:f>
              <c:strCache>
                <c:ptCount val="3"/>
                <c:pt idx="0">
                  <c:v>vs Cascaded Pipeline (Non-Aug)</c:v>
                </c:pt>
                <c:pt idx="1">
                  <c:v>0.144</c:v>
                </c:pt>
                <c:pt idx="2">
                  <c:v>0.143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'Method Wilcoxon Comparison'!$O$17</c:f>
              <c:strCache>
                <c:ptCount val="1"/>
                <c:pt idx="0">
                  <c:v>Multilabel Strat</c:v>
                </c:pt>
              </c:strCache>
            </c:strRef>
          </c:cat>
          <c:val>
            <c:numRef>
              <c:f>'Method Wilcoxon Comparison'!$O$18</c:f>
              <c:numCache>
                <c:formatCode>General</c:formatCode>
                <c:ptCount val="1"/>
                <c:pt idx="0">
                  <c:v>0.161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42-4E0C-A882-3647E662AFD5}"/>
            </c:ext>
          </c:extLst>
        </c:ser>
        <c:ser>
          <c:idx val="1"/>
          <c:order val="1"/>
          <c:tx>
            <c:strRef>
              <c:f>'Method Wilcoxon Comparison'!$L$19:$N$19</c:f>
              <c:strCache>
                <c:ptCount val="3"/>
                <c:pt idx="0">
                  <c:v>vs Fusion (Non-Aug)</c:v>
                </c:pt>
                <c:pt idx="1">
                  <c:v>0</c:v>
                </c:pt>
                <c:pt idx="2">
                  <c:v>BEREL 3.0 (Δ)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'Method Wilcoxon Comparison'!$O$17</c:f>
              <c:strCache>
                <c:ptCount val="1"/>
                <c:pt idx="0">
                  <c:v>Multilabel Strat</c:v>
                </c:pt>
              </c:strCache>
            </c:strRef>
          </c:cat>
          <c:val>
            <c:numRef>
              <c:f>'Method Wilcoxon Comparison'!$O$19</c:f>
              <c:numCache>
                <c:formatCode>General</c:formatCode>
                <c:ptCount val="1"/>
                <c:pt idx="0">
                  <c:v>6.0999999999999999E-2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42-4E0C-A882-3647E662AF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411696"/>
        <c:axId val="614408816"/>
      </c:barChart>
      <c:catAx>
        <c:axId val="614411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14408816"/>
        <c:crosses val="autoZero"/>
        <c:auto val="1"/>
        <c:lblAlgn val="ctr"/>
        <c:lblOffset val="100"/>
        <c:noMultiLvlLbl val="0"/>
      </c:catAx>
      <c:valAx>
        <c:axId val="614408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Δ </a:t>
                </a:r>
                <a:r>
                  <a:rPr lang="en-US"/>
                  <a:t>F1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14411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Significant Results (p&lt;0.01)
SVM Router Fusion vs Other Methods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'Method Wilcoxon Comparison'!$M$22</c:f>
              <c:strCache>
                <c:ptCount val="1"/>
                <c:pt idx="0">
                  <c:v>Non-Aug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'Method Wilcoxon Comparison'!$L$23:$L$24</c:f>
              <c:strCache>
                <c:ptCount val="2"/>
                <c:pt idx="0">
                  <c:v>SVM vs Cascaded Pipeline</c:v>
                </c:pt>
                <c:pt idx="1">
                  <c:v>SVM vs Fusion</c:v>
                </c:pt>
              </c:strCache>
            </c:strRef>
          </c:cat>
          <c:val>
            <c:numRef>
              <c:f>'Method Wilcoxon Comparison'!$M$23:$M$24</c:f>
              <c:numCache>
                <c:formatCode>General</c:formatCode>
                <c:ptCount val="2"/>
                <c:pt idx="0">
                  <c:v>12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D7-411B-910F-DC7515749875}"/>
            </c:ext>
          </c:extLst>
        </c:ser>
        <c:ser>
          <c:idx val="1"/>
          <c:order val="1"/>
          <c:tx>
            <c:strRef>
              <c:f>'Method Wilcoxon Comparison'!$N$22</c:f>
              <c:strCache>
                <c:ptCount val="1"/>
                <c:pt idx="0">
                  <c:v>Augmented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'Method Wilcoxon Comparison'!$L$23:$L$24</c:f>
              <c:strCache>
                <c:ptCount val="2"/>
                <c:pt idx="0">
                  <c:v>SVM vs Cascaded Pipeline</c:v>
                </c:pt>
                <c:pt idx="1">
                  <c:v>SVM vs Fusion</c:v>
                </c:pt>
              </c:strCache>
            </c:strRef>
          </c:cat>
          <c:val>
            <c:numRef>
              <c:f>'Method Wilcoxon Comparison'!$N$23:$N$24</c:f>
              <c:numCache>
                <c:formatCode>General</c:formatCode>
                <c:ptCount val="2"/>
                <c:pt idx="0">
                  <c:v>7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4D7-411B-910F-DC75157498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7981680"/>
        <c:axId val="607982160"/>
      </c:barChart>
      <c:catAx>
        <c:axId val="607981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982160"/>
        <c:crosses val="autoZero"/>
        <c:auto val="1"/>
        <c:lblAlgn val="ctr"/>
        <c:lblOffset val="100"/>
        <c:noMultiLvlLbl val="0"/>
      </c:catAx>
      <c:valAx>
        <c:axId val="60798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Significant Comparisons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607981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592454</xdr:colOff>
      <xdr:row>1</xdr:row>
      <xdr:rowOff>190499</xdr:rowOff>
    </xdr:from>
    <xdr:to>
      <xdr:col>19</xdr:col>
      <xdr:colOff>592454</xdr:colOff>
      <xdr:row>18</xdr:row>
      <xdr:rowOff>19049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D578B5-77A2-AB02-E6DE-BB4810C4C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592454</xdr:colOff>
      <xdr:row>20</xdr:row>
      <xdr:rowOff>17145</xdr:rowOff>
    </xdr:from>
    <xdr:to>
      <xdr:col>19</xdr:col>
      <xdr:colOff>592454</xdr:colOff>
      <xdr:row>36</xdr:row>
      <xdr:rowOff>45720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FA46E-8599-9362-A653-ABC77CC43D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592454</xdr:colOff>
      <xdr:row>41</xdr:row>
      <xdr:rowOff>60959</xdr:rowOff>
    </xdr:from>
    <xdr:to>
      <xdr:col>19</xdr:col>
      <xdr:colOff>592454</xdr:colOff>
      <xdr:row>57</xdr:row>
      <xdr:rowOff>87629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4BA5DF6-8268-4CEA-79DA-9B23DE774F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19</xdr:col>
      <xdr:colOff>592454</xdr:colOff>
      <xdr:row>1</xdr:row>
      <xdr:rowOff>190499</xdr:rowOff>
    </xdr:from>
    <xdr:to>
      <xdr:col>27</xdr:col>
      <xdr:colOff>592454</xdr:colOff>
      <xdr:row>18</xdr:row>
      <xdr:rowOff>19049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0EE91-AD2A-F137-0B5F-A76204777E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592454</xdr:colOff>
      <xdr:row>20</xdr:row>
      <xdr:rowOff>17145</xdr:rowOff>
    </xdr:from>
    <xdr:to>
      <xdr:col>27</xdr:col>
      <xdr:colOff>592454</xdr:colOff>
      <xdr:row>36</xdr:row>
      <xdr:rowOff>45720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4B2837C-0CD9-987E-A38F-6B1708A21F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104846</xdr:colOff>
      <xdr:row>66</xdr:row>
      <xdr:rowOff>57223</xdr:rowOff>
    </xdr:from>
    <xdr:to>
      <xdr:col>28</xdr:col>
      <xdr:colOff>311696</xdr:colOff>
      <xdr:row>88</xdr:row>
      <xdr:rowOff>126920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8E38FC96-D414-AEC2-6218-460A9642E7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592454</xdr:colOff>
      <xdr:row>92</xdr:row>
      <xdr:rowOff>140971</xdr:rowOff>
    </xdr:from>
    <xdr:to>
      <xdr:col>20</xdr:col>
      <xdr:colOff>592454</xdr:colOff>
      <xdr:row>116</xdr:row>
      <xdr:rowOff>177166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39E1BADE-6F16-74D5-0C62-53E1BA593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592454</xdr:colOff>
      <xdr:row>92</xdr:row>
      <xdr:rowOff>140971</xdr:rowOff>
    </xdr:from>
    <xdr:to>
      <xdr:col>20</xdr:col>
      <xdr:colOff>592454</xdr:colOff>
      <xdr:row>116</xdr:row>
      <xdr:rowOff>177166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A598B2F-DF2F-7650-69B9-43D3CC712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600076</xdr:colOff>
      <xdr:row>27</xdr:row>
      <xdr:rowOff>60959</xdr:rowOff>
    </xdr:from>
    <xdr:to>
      <xdr:col>18</xdr:col>
      <xdr:colOff>600076</xdr:colOff>
      <xdr:row>45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D39897-40D2-CA5F-D5E2-03F484C8F6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18</xdr:col>
      <xdr:colOff>600076</xdr:colOff>
      <xdr:row>27</xdr:row>
      <xdr:rowOff>60959</xdr:rowOff>
    </xdr:from>
    <xdr:to>
      <xdr:col>26</xdr:col>
      <xdr:colOff>600076</xdr:colOff>
      <xdr:row>45</xdr:row>
      <xdr:rowOff>95249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EA3C9F1-1ABC-1324-E0B5-F964993C24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600076</xdr:colOff>
      <xdr:row>47</xdr:row>
      <xdr:rowOff>99059</xdr:rowOff>
    </xdr:from>
    <xdr:to>
      <xdr:col>18</xdr:col>
      <xdr:colOff>600076</xdr:colOff>
      <xdr:row>65</xdr:row>
      <xdr:rowOff>127634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F811D9-323F-510F-210F-A6A7DBE04A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600076</xdr:colOff>
      <xdr:row>47</xdr:row>
      <xdr:rowOff>99059</xdr:rowOff>
    </xdr:from>
    <xdr:to>
      <xdr:col>26</xdr:col>
      <xdr:colOff>600076</xdr:colOff>
      <xdr:row>65</xdr:row>
      <xdr:rowOff>127634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B330642-40D6-90F5-BD9E-4196B3C98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A39848-523E-4138-BCB3-8F3DD89FF9CF}" name="Table1" displayName="Table1" ref="A65:G80" totalsRowShown="0" headerRowDxfId="160" dataDxfId="159" tableBorderDxfId="158" dataCellStyle="Comma">
  <autoFilter ref="A65:G80" xr:uid="{75A39848-523E-4138-BCB3-8F3DD89FF9CF}"/>
  <tableColumns count="7">
    <tableColumn id="1" xr3:uid="{85714E7C-B038-41F9-B5A4-B717EACD0F2E}" name="Split Method" dataDxfId="157"/>
    <tableColumn id="2" xr3:uid="{D25ACD91-95AA-4244-BD55-1387F16DA14A}" name="Experiment" dataDxfId="156"/>
    <tableColumn id="3" xr3:uid="{1F7D83C6-8DD1-4E09-A2CC-F9C00BC33A48}" name="DictaBERT p-value" dataDxfId="155" dataCellStyle="Comma"/>
    <tableColumn id="4" xr3:uid="{A99FFA9F-C013-4A12-82E4-F70FF3A2C26C}" name="BEREL 3.0 p-value" dataDxfId="154" dataCellStyle="Comma"/>
    <tableColumn id="5" xr3:uid="{742BDF77-12F6-47C3-B335-86340BE5FA8B}" name="HeRo p-value" dataDxfId="153" dataCellStyle="Comma"/>
    <tableColumn id="6" xr3:uid="{2FB35110-8426-45C7-97C5-89D1DEF4F2D5}" name="AlephBERT p-value" dataDxfId="152" dataCellStyle="Comma"/>
    <tableColumn id="7" xr3:uid="{7344DA73-874C-4290-804D-DB903F2973CA}" name="All Significant?">
      <calculatedColumnFormula>IF(AND(C66&lt;0.05,D66&lt;0.05,E66&lt;0.05,F66&lt;0.05),"✓ All p&lt;0.05","Mixed")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3BB1C01-30DA-47A3-881F-C7BC6A316876}" name="Table2" displayName="Table2" ref="A44:F60" totalsRowShown="0" headerRowDxfId="151" headerRowBorderDxfId="150" tableBorderDxfId="149">
  <autoFilter ref="A44:F60" xr:uid="{43BB1C01-30DA-47A3-881F-C7BC6A316876}"/>
  <tableColumns count="6">
    <tableColumn id="1" xr3:uid="{D66F9EEB-7EF0-48E7-9671-B6355B7B90DD}" name="Split Method" dataDxfId="148"/>
    <tableColumn id="2" xr3:uid="{1A122A01-F1E9-484D-81AC-54303329C21E}" name="Experiment" dataDxfId="147"/>
    <tableColumn id="3" xr3:uid="{81C5842E-D768-4F74-A196-A046EF59D913}" name="DictaBERT Δ" dataDxfId="146"/>
    <tableColumn id="4" xr3:uid="{99362A8C-FC9E-4077-845A-F16C0EC62DDA}" name="BEREL 3.0 Δ" dataDxfId="145"/>
    <tableColumn id="5" xr3:uid="{38D2F3D1-6F3D-4C21-8824-6D22FEA520E1}" name="HeRo Δ" dataDxfId="144"/>
    <tableColumn id="6" xr3:uid="{D577DEFB-2051-42A1-B0D6-F3F90847A2C8}" name="AlephBERT-Gimmel Δ" dataDxfId="14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"/>
  <sheetViews>
    <sheetView workbookViewId="0">
      <selection activeCell="C14" sqref="C14"/>
    </sheetView>
  </sheetViews>
  <sheetFormatPr defaultRowHeight="14.4" x14ac:dyDescent="0.3"/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 t="s">
        <v>18</v>
      </c>
      <c r="C2" t="s">
        <v>19</v>
      </c>
      <c r="D2">
        <v>0.75409836065573754</v>
      </c>
      <c r="E2">
        <v>2.2781295785038269E-16</v>
      </c>
      <c r="F2">
        <v>0.73799126637554591</v>
      </c>
      <c r="G2">
        <v>3.417194367755741E-16</v>
      </c>
      <c r="H2">
        <v>0.67181551858737554</v>
      </c>
      <c r="I2">
        <v>1.107677073143167E-2</v>
      </c>
      <c r="J2">
        <v>0.80152097959524371</v>
      </c>
      <c r="K2">
        <v>1.060477126962335E-2</v>
      </c>
      <c r="L2">
        <v>0.80826280371216563</v>
      </c>
      <c r="M2">
        <v>9.7207098558992917E-3</v>
      </c>
      <c r="N2">
        <v>0.78054156427532351</v>
      </c>
      <c r="O2">
        <v>1.1008322858023931E-2</v>
      </c>
      <c r="P2">
        <v>0.80826280371216563</v>
      </c>
      <c r="Q2" t="s">
        <v>11</v>
      </c>
    </row>
    <row r="3" spans="1:17" x14ac:dyDescent="0.3">
      <c r="A3" t="s">
        <v>17</v>
      </c>
      <c r="B3" t="s">
        <v>20</v>
      </c>
      <c r="C3" t="s">
        <v>21</v>
      </c>
      <c r="D3">
        <v>0.72685318253112807</v>
      </c>
      <c r="E3">
        <v>2.711582942219138E-2</v>
      </c>
      <c r="F3">
        <v>0.76418618848387543</v>
      </c>
      <c r="G3">
        <v>2.416837065019407E-2</v>
      </c>
      <c r="H3">
        <v>0.73106191340851212</v>
      </c>
      <c r="I3">
        <v>2.4010882971136429E-2</v>
      </c>
      <c r="J3">
        <v>0.79726934236287383</v>
      </c>
      <c r="K3">
        <v>1.7485199884733078E-2</v>
      </c>
      <c r="L3">
        <v>0.82310019604609774</v>
      </c>
      <c r="M3">
        <v>8.7882860446541911E-3</v>
      </c>
      <c r="N3">
        <v>0.78903841585384016</v>
      </c>
      <c r="O3">
        <v>1.00201427522628E-2</v>
      </c>
      <c r="P3">
        <v>0.82310019604609774</v>
      </c>
      <c r="Q3" t="s">
        <v>11</v>
      </c>
    </row>
    <row r="4" spans="1:17" x14ac:dyDescent="0.3">
      <c r="A4" t="s">
        <v>17</v>
      </c>
      <c r="B4" t="s">
        <v>22</v>
      </c>
      <c r="C4" t="s">
        <v>23</v>
      </c>
      <c r="D4">
        <v>0.73443891411821938</v>
      </c>
      <c r="E4">
        <v>2.8230272398329419E-2</v>
      </c>
      <c r="F4">
        <v>0.76395529316575772</v>
      </c>
      <c r="G4">
        <v>2.395682966990717E-2</v>
      </c>
      <c r="H4">
        <v>0.73744218323660449</v>
      </c>
      <c r="I4">
        <v>2.423260130306254E-2</v>
      </c>
      <c r="J4">
        <v>0.80508364855552872</v>
      </c>
      <c r="K4">
        <v>1.6875653448024022E-2</v>
      </c>
      <c r="L4">
        <v>0.82769691671384182</v>
      </c>
      <c r="M4">
        <v>9.0495980960419112E-3</v>
      </c>
      <c r="N4">
        <v>0.78995314067211686</v>
      </c>
      <c r="O4">
        <v>1.1122802345428741E-2</v>
      </c>
      <c r="P4">
        <v>0.82769691671384182</v>
      </c>
      <c r="Q4" t="s">
        <v>11</v>
      </c>
    </row>
    <row r="5" spans="1:17" x14ac:dyDescent="0.3">
      <c r="A5" t="s">
        <v>17</v>
      </c>
      <c r="B5" t="s">
        <v>24</v>
      </c>
      <c r="C5" t="s">
        <v>25</v>
      </c>
      <c r="D5">
        <v>0.73789067129499541</v>
      </c>
      <c r="E5">
        <v>1.077979295725621E-2</v>
      </c>
      <c r="F5">
        <v>0.74547408305819629</v>
      </c>
      <c r="G5">
        <v>1.3113579321368359E-2</v>
      </c>
      <c r="H5">
        <v>0.68608841158229361</v>
      </c>
      <c r="I5">
        <v>1.4169352259998481E-2</v>
      </c>
      <c r="J5">
        <v>0.80682219808455946</v>
      </c>
      <c r="K5">
        <v>1.111700048782917E-2</v>
      </c>
      <c r="L5">
        <v>0.8140709825197382</v>
      </c>
      <c r="M5">
        <v>1.1637444987473889E-2</v>
      </c>
      <c r="N5">
        <v>0.78834551932759178</v>
      </c>
      <c r="O5">
        <v>1.0753397160074731E-2</v>
      </c>
      <c r="P5">
        <v>0.8140709825197382</v>
      </c>
      <c r="Q5" t="s">
        <v>11</v>
      </c>
    </row>
    <row r="6" spans="1:17" x14ac:dyDescent="0.3">
      <c r="A6" t="s">
        <v>17</v>
      </c>
      <c r="B6" t="s">
        <v>26</v>
      </c>
      <c r="C6" t="s">
        <v>27</v>
      </c>
      <c r="D6">
        <v>0.81102868472690715</v>
      </c>
      <c r="E6">
        <v>1.304131814405087E-2</v>
      </c>
      <c r="F6">
        <v>0.80724123534896641</v>
      </c>
      <c r="G6">
        <v>1.003303159498518E-2</v>
      </c>
      <c r="H6">
        <v>0.76571232108992049</v>
      </c>
      <c r="I6">
        <v>1.5620878791015161E-2</v>
      </c>
      <c r="J6">
        <v>0.84055704606398574</v>
      </c>
      <c r="K6">
        <v>1.3059294015161311E-2</v>
      </c>
      <c r="L6">
        <v>0.83559819095918542</v>
      </c>
      <c r="M6">
        <v>8.110477944324599E-3</v>
      </c>
      <c r="N6">
        <v>0.81348943998441037</v>
      </c>
      <c r="O6">
        <v>1.159378422760148E-2</v>
      </c>
      <c r="P6">
        <v>0.84055704606398574</v>
      </c>
      <c r="Q6" t="s">
        <v>9</v>
      </c>
    </row>
    <row r="7" spans="1:17" x14ac:dyDescent="0.3">
      <c r="A7" t="s">
        <v>28</v>
      </c>
      <c r="B7" t="s">
        <v>18</v>
      </c>
      <c r="C7" t="s">
        <v>19</v>
      </c>
      <c r="D7">
        <v>0.70744680851063835</v>
      </c>
      <c r="E7">
        <v>2.2781295785038269E-16</v>
      </c>
      <c r="F7">
        <v>0.73057104586955313</v>
      </c>
      <c r="G7">
        <v>6.0819190793622623E-3</v>
      </c>
      <c r="H7">
        <v>0.70511025193707066</v>
      </c>
      <c r="I7">
        <v>1.352687235369599E-3</v>
      </c>
      <c r="J7">
        <v>0.82436639396885947</v>
      </c>
      <c r="K7">
        <v>1.2613510219487501E-2</v>
      </c>
      <c r="L7">
        <v>0.84665880076631728</v>
      </c>
      <c r="M7">
        <v>8.0643158468099146E-3</v>
      </c>
      <c r="N7">
        <v>0.83614723452310324</v>
      </c>
      <c r="O7">
        <v>6.5103702142480556E-3</v>
      </c>
      <c r="P7">
        <v>0.84665880076631728</v>
      </c>
      <c r="Q7" t="s">
        <v>11</v>
      </c>
    </row>
    <row r="8" spans="1:17" x14ac:dyDescent="0.3">
      <c r="A8" t="s">
        <v>28</v>
      </c>
      <c r="B8" t="s">
        <v>20</v>
      </c>
      <c r="C8" t="s">
        <v>21</v>
      </c>
      <c r="D8">
        <v>0.64704887584757764</v>
      </c>
      <c r="E8">
        <v>0.11132152604117961</v>
      </c>
      <c r="F8">
        <v>0.63439021292293629</v>
      </c>
      <c r="G8">
        <v>0.14351280459786939</v>
      </c>
      <c r="H8">
        <v>0.62779772607825912</v>
      </c>
      <c r="I8">
        <v>0.1046080021710174</v>
      </c>
      <c r="J8">
        <v>0.8159557413375087</v>
      </c>
      <c r="K8">
        <v>6.5993900177811976E-3</v>
      </c>
      <c r="L8">
        <v>0.83591913859789513</v>
      </c>
      <c r="M8">
        <v>8.6014899590185177E-3</v>
      </c>
      <c r="N8">
        <v>0.82874574279401192</v>
      </c>
      <c r="O8">
        <v>1.2713987503011181E-2</v>
      </c>
      <c r="P8">
        <v>0.83591913859789513</v>
      </c>
      <c r="Q8" t="s">
        <v>11</v>
      </c>
    </row>
    <row r="9" spans="1:17" x14ac:dyDescent="0.3">
      <c r="A9" t="s">
        <v>28</v>
      </c>
      <c r="B9" t="s">
        <v>22</v>
      </c>
      <c r="C9" t="s">
        <v>23</v>
      </c>
      <c r="D9">
        <v>0.65224870088947029</v>
      </c>
      <c r="E9">
        <v>0.1157003573679769</v>
      </c>
      <c r="F9">
        <v>0.6390280743528417</v>
      </c>
      <c r="G9">
        <v>0.14660029812997211</v>
      </c>
      <c r="H9">
        <v>0.63513909287180803</v>
      </c>
      <c r="I9">
        <v>0.110344887730097</v>
      </c>
      <c r="J9">
        <v>0.82165325309505288</v>
      </c>
      <c r="K9">
        <v>7.2845941567600946E-3</v>
      </c>
      <c r="L9">
        <v>0.84585671257670614</v>
      </c>
      <c r="M9">
        <v>8.3360766695843996E-3</v>
      </c>
      <c r="N9">
        <v>0.83827538654139322</v>
      </c>
      <c r="O9">
        <v>1.0276886302129491E-2</v>
      </c>
      <c r="P9">
        <v>0.84585671257670614</v>
      </c>
      <c r="Q9" t="s">
        <v>11</v>
      </c>
    </row>
    <row r="10" spans="1:17" x14ac:dyDescent="0.3">
      <c r="A10" t="s">
        <v>28</v>
      </c>
      <c r="B10" t="s">
        <v>24</v>
      </c>
      <c r="C10" t="s">
        <v>25</v>
      </c>
      <c r="D10">
        <v>0.71525238415735448</v>
      </c>
      <c r="E10">
        <v>9.6972907891011168E-3</v>
      </c>
      <c r="F10">
        <v>0.73881673180162033</v>
      </c>
      <c r="G10">
        <v>1.2072209198014411E-2</v>
      </c>
      <c r="H10">
        <v>0.71044711573758856</v>
      </c>
      <c r="I10">
        <v>1.298505910158191E-2</v>
      </c>
      <c r="J10">
        <v>0.82288888041069375</v>
      </c>
      <c r="K10">
        <v>1.071932521984607E-2</v>
      </c>
      <c r="L10">
        <v>0.84783112605914435</v>
      </c>
      <c r="M10">
        <v>7.5188100912061354E-3</v>
      </c>
      <c r="N10">
        <v>0.83552702516223898</v>
      </c>
      <c r="O10">
        <v>9.4922486907181823E-3</v>
      </c>
      <c r="P10">
        <v>0.84783112605914435</v>
      </c>
      <c r="Q10" t="s">
        <v>11</v>
      </c>
    </row>
    <row r="11" spans="1:17" x14ac:dyDescent="0.3">
      <c r="A11" t="s">
        <v>28</v>
      </c>
      <c r="B11" t="s">
        <v>26</v>
      </c>
      <c r="C11" t="s">
        <v>27</v>
      </c>
      <c r="D11">
        <v>0.78997537875370027</v>
      </c>
      <c r="E11">
        <v>2.8101796279328049E-2</v>
      </c>
      <c r="F11">
        <v>0.79533462011526701</v>
      </c>
      <c r="G11">
        <v>3.0389165160448841E-2</v>
      </c>
      <c r="H11">
        <v>0.77142140574425566</v>
      </c>
      <c r="I11">
        <v>2.4770365591543608E-2</v>
      </c>
      <c r="J11">
        <v>0.84437106741985379</v>
      </c>
      <c r="K11">
        <v>1.192292097436233E-2</v>
      </c>
      <c r="L11">
        <v>0.85182050611420124</v>
      </c>
      <c r="M11">
        <v>7.9883507070205931E-3</v>
      </c>
      <c r="N11">
        <v>0.85735749448063125</v>
      </c>
      <c r="O11">
        <v>7.7227635027462436E-3</v>
      </c>
      <c r="P11">
        <v>0.85735749448063125</v>
      </c>
      <c r="Q11" t="s">
        <v>13</v>
      </c>
    </row>
    <row r="12" spans="1:17" x14ac:dyDescent="0.3">
      <c r="A12" t="s">
        <v>29</v>
      </c>
      <c r="B12" t="s">
        <v>18</v>
      </c>
      <c r="C12" t="s">
        <v>19</v>
      </c>
      <c r="D12">
        <v>0.75482093663911853</v>
      </c>
      <c r="E12">
        <v>2.2781295785038269E-16</v>
      </c>
      <c r="F12">
        <v>0.76923076923076938</v>
      </c>
      <c r="G12">
        <v>3.417194367755741E-16</v>
      </c>
      <c r="H12">
        <v>0.74452226790939535</v>
      </c>
      <c r="I12">
        <v>9.5200986867429206E-3</v>
      </c>
      <c r="J12">
        <v>0.79677005363522779</v>
      </c>
      <c r="K12">
        <v>1.4615599571438671E-2</v>
      </c>
      <c r="L12">
        <v>0.82132975622236071</v>
      </c>
      <c r="M12">
        <v>8.8822938973617833E-3</v>
      </c>
      <c r="N12">
        <v>0.79216156804913151</v>
      </c>
      <c r="O12">
        <v>1.0749116297822501E-2</v>
      </c>
      <c r="P12">
        <v>0.82132975622236071</v>
      </c>
      <c r="Q12" t="s">
        <v>11</v>
      </c>
    </row>
    <row r="13" spans="1:17" x14ac:dyDescent="0.3">
      <c r="A13" t="s">
        <v>29</v>
      </c>
      <c r="B13" t="s">
        <v>20</v>
      </c>
      <c r="C13" t="s">
        <v>21</v>
      </c>
      <c r="D13">
        <v>0.75913558296272765</v>
      </c>
      <c r="E13">
        <v>1.8095095881840578E-2</v>
      </c>
      <c r="F13">
        <v>0.74842777552495854</v>
      </c>
      <c r="G13">
        <v>2.29688387936022E-2</v>
      </c>
      <c r="H13">
        <v>0.73960006504807607</v>
      </c>
      <c r="I13">
        <v>2.6599109909670599E-2</v>
      </c>
      <c r="J13">
        <v>0.78420892339693637</v>
      </c>
      <c r="K13">
        <v>1.841373535859803E-2</v>
      </c>
      <c r="L13">
        <v>0.82312821556604499</v>
      </c>
      <c r="M13">
        <v>1.296465672522348E-2</v>
      </c>
      <c r="N13">
        <v>0.79025982990174204</v>
      </c>
      <c r="O13">
        <v>1.1076741363818161E-2</v>
      </c>
      <c r="P13">
        <v>0.82312821556604499</v>
      </c>
      <c r="Q13" t="s">
        <v>11</v>
      </c>
    </row>
    <row r="14" spans="1:17" x14ac:dyDescent="0.3">
      <c r="A14" t="s">
        <v>29</v>
      </c>
      <c r="B14" t="s">
        <v>22</v>
      </c>
      <c r="C14" t="s">
        <v>23</v>
      </c>
      <c r="D14">
        <v>0.76025622466328846</v>
      </c>
      <c r="E14">
        <v>1.8652361938506209E-2</v>
      </c>
      <c r="F14">
        <v>0.75022812921577342</v>
      </c>
      <c r="G14">
        <v>2.1774980820556379E-2</v>
      </c>
      <c r="H14">
        <v>0.7387224277864346</v>
      </c>
      <c r="I14">
        <v>2.8350663978943501E-2</v>
      </c>
      <c r="J14">
        <v>0.78455873160924861</v>
      </c>
      <c r="K14">
        <v>1.6257924699711369E-2</v>
      </c>
      <c r="L14">
        <v>0.82547459876090135</v>
      </c>
      <c r="M14">
        <v>1.4495027916526669E-2</v>
      </c>
      <c r="N14">
        <v>0.79632753643877618</v>
      </c>
      <c r="O14">
        <v>9.0025173137897648E-3</v>
      </c>
      <c r="P14">
        <v>0.82547459876090135</v>
      </c>
      <c r="Q14" t="s">
        <v>11</v>
      </c>
    </row>
    <row r="15" spans="1:17" x14ac:dyDescent="0.3">
      <c r="A15" t="s">
        <v>29</v>
      </c>
      <c r="B15" t="s">
        <v>24</v>
      </c>
      <c r="C15" t="s">
        <v>25</v>
      </c>
      <c r="D15">
        <v>0.7580555062635348</v>
      </c>
      <c r="E15">
        <v>1.0614104908016651E-2</v>
      </c>
      <c r="F15">
        <v>0.77648238258058844</v>
      </c>
      <c r="G15">
        <v>5.5092386005929214E-3</v>
      </c>
      <c r="H15">
        <v>0.75261348546653584</v>
      </c>
      <c r="I15">
        <v>1.169564885347011E-2</v>
      </c>
      <c r="J15">
        <v>0.78701031685779044</v>
      </c>
      <c r="K15">
        <v>1.7382494936206101E-2</v>
      </c>
      <c r="L15">
        <v>0.8232262074911445</v>
      </c>
      <c r="M15">
        <v>8.5599209508187262E-3</v>
      </c>
      <c r="N15">
        <v>0.78457871462438533</v>
      </c>
      <c r="O15">
        <v>1.193674590174288E-2</v>
      </c>
      <c r="P15">
        <v>0.8232262074911445</v>
      </c>
      <c r="Q15" t="s">
        <v>11</v>
      </c>
    </row>
    <row r="16" spans="1:17" x14ac:dyDescent="0.3">
      <c r="A16" t="s">
        <v>29</v>
      </c>
      <c r="B16" t="s">
        <v>26</v>
      </c>
      <c r="C16" t="s">
        <v>27</v>
      </c>
      <c r="D16">
        <v>0.79907825641472119</v>
      </c>
      <c r="E16">
        <v>1.2274848587910619E-2</v>
      </c>
      <c r="F16">
        <v>0.80450812138344696</v>
      </c>
      <c r="G16">
        <v>1.084834319831832E-2</v>
      </c>
      <c r="H16">
        <v>0.79453784354982437</v>
      </c>
      <c r="I16">
        <v>1.323010408464461E-2</v>
      </c>
      <c r="J16">
        <v>0.83102101449330912</v>
      </c>
      <c r="K16">
        <v>1.322895284395284E-2</v>
      </c>
      <c r="L16">
        <v>0.84123686245392015</v>
      </c>
      <c r="M16">
        <v>1.015460170595568E-2</v>
      </c>
      <c r="N16">
        <v>0.82468309212889834</v>
      </c>
      <c r="O16">
        <v>1.549990710727704E-2</v>
      </c>
      <c r="P16">
        <v>0.84123686245392015</v>
      </c>
      <c r="Q16" t="s">
        <v>11</v>
      </c>
    </row>
    <row r="17" spans="1:17" x14ac:dyDescent="0.3">
      <c r="A17" t="s">
        <v>30</v>
      </c>
      <c r="B17" t="s">
        <v>18</v>
      </c>
      <c r="C17" t="s">
        <v>19</v>
      </c>
      <c r="D17">
        <v>0.65753424657534265</v>
      </c>
      <c r="E17">
        <v>2.2781295785038269E-16</v>
      </c>
      <c r="F17">
        <v>0.62735343862295778</v>
      </c>
      <c r="G17">
        <v>4.487996896412186E-3</v>
      </c>
      <c r="H17">
        <v>0.66407607440439165</v>
      </c>
      <c r="I17">
        <v>9.4151066972386003E-4</v>
      </c>
      <c r="J17">
        <v>0.81278979434377663</v>
      </c>
      <c r="K17">
        <v>1.0493310825935071E-2</v>
      </c>
      <c r="L17">
        <v>0.83362573254823613</v>
      </c>
      <c r="M17">
        <v>6.229199166007897E-3</v>
      </c>
      <c r="N17">
        <v>0.78109950717551058</v>
      </c>
      <c r="O17">
        <v>7.9348035267386863E-3</v>
      </c>
      <c r="P17">
        <v>0.83362573254823613</v>
      </c>
      <c r="Q17" t="s">
        <v>11</v>
      </c>
    </row>
    <row r="18" spans="1:17" x14ac:dyDescent="0.3">
      <c r="A18" t="s">
        <v>30</v>
      </c>
      <c r="B18" t="s">
        <v>20</v>
      </c>
      <c r="C18" t="s">
        <v>21</v>
      </c>
      <c r="D18">
        <v>0.71846002441823287</v>
      </c>
      <c r="E18">
        <v>2.36840154326514E-2</v>
      </c>
      <c r="F18">
        <v>0.72815697261376189</v>
      </c>
      <c r="G18">
        <v>3.0732392434600062E-2</v>
      </c>
      <c r="H18">
        <v>0.6891004327243031</v>
      </c>
      <c r="I18">
        <v>3.6390662873776743E-2</v>
      </c>
      <c r="J18">
        <v>0.79948865858925133</v>
      </c>
      <c r="K18">
        <v>1.2902439324731049E-2</v>
      </c>
      <c r="L18">
        <v>0.83754064439099363</v>
      </c>
      <c r="M18">
        <v>9.0291163117868067E-3</v>
      </c>
      <c r="N18">
        <v>0.77985128589487462</v>
      </c>
      <c r="O18">
        <v>1.217333136803549E-2</v>
      </c>
      <c r="P18">
        <v>0.83754064439099363</v>
      </c>
      <c r="Q18" t="s">
        <v>11</v>
      </c>
    </row>
    <row r="19" spans="1:17" x14ac:dyDescent="0.3">
      <c r="A19" t="s">
        <v>30</v>
      </c>
      <c r="B19" t="s">
        <v>22</v>
      </c>
      <c r="C19" t="s">
        <v>23</v>
      </c>
      <c r="D19">
        <v>0.72315462730299029</v>
      </c>
      <c r="E19">
        <v>2.4964894936206489E-2</v>
      </c>
      <c r="F19">
        <v>0.72819085793976934</v>
      </c>
      <c r="G19">
        <v>3.0997995647196019E-2</v>
      </c>
      <c r="H19">
        <v>0.6895194248840959</v>
      </c>
      <c r="I19">
        <v>3.5452766210791867E-2</v>
      </c>
      <c r="J19">
        <v>0.799005790658605</v>
      </c>
      <c r="K19">
        <v>1.116906873250002E-2</v>
      </c>
      <c r="L19">
        <v>0.83896084722972974</v>
      </c>
      <c r="M19">
        <v>9.7406439870224727E-3</v>
      </c>
      <c r="N19">
        <v>0.78390505509427899</v>
      </c>
      <c r="O19">
        <v>1.1048797537822411E-2</v>
      </c>
      <c r="P19">
        <v>0.83896084722972974</v>
      </c>
      <c r="Q19" t="s">
        <v>11</v>
      </c>
    </row>
    <row r="20" spans="1:17" x14ac:dyDescent="0.3">
      <c r="A20" t="s">
        <v>30</v>
      </c>
      <c r="B20" t="s">
        <v>24</v>
      </c>
      <c r="C20" t="s">
        <v>25</v>
      </c>
      <c r="D20">
        <v>0.70971458813488864</v>
      </c>
      <c r="E20">
        <v>2.2044055212256539E-2</v>
      </c>
      <c r="F20">
        <v>0.70211746265310992</v>
      </c>
      <c r="G20">
        <v>2.009957683530884E-2</v>
      </c>
      <c r="H20">
        <v>0.69123040056983531</v>
      </c>
      <c r="I20">
        <v>1.9936273999926538E-2</v>
      </c>
      <c r="J20">
        <v>0.81492869420386405</v>
      </c>
      <c r="K20">
        <v>1.170868697118954E-2</v>
      </c>
      <c r="L20">
        <v>0.83203843842544722</v>
      </c>
      <c r="M20">
        <v>8.2406377692338696E-3</v>
      </c>
      <c r="N20">
        <v>0.78457272988844118</v>
      </c>
      <c r="O20">
        <v>1.287195604152448E-2</v>
      </c>
      <c r="P20">
        <v>0.83203843842544722</v>
      </c>
      <c r="Q20" t="s">
        <v>11</v>
      </c>
    </row>
    <row r="21" spans="1:17" x14ac:dyDescent="0.3">
      <c r="A21" t="s">
        <v>30</v>
      </c>
      <c r="B21" t="s">
        <v>26</v>
      </c>
      <c r="C21" t="s">
        <v>27</v>
      </c>
      <c r="D21">
        <v>0.76258496488722205</v>
      </c>
      <c r="E21">
        <v>1.109240799631574E-2</v>
      </c>
      <c r="F21">
        <v>0.76638494721801809</v>
      </c>
      <c r="G21">
        <v>1.520014493183324E-2</v>
      </c>
      <c r="H21">
        <v>0.73863343938483883</v>
      </c>
      <c r="I21">
        <v>1.717261202481575E-2</v>
      </c>
      <c r="J21">
        <v>0.84055849309696895</v>
      </c>
      <c r="K21">
        <v>1.2323308339859659E-2</v>
      </c>
      <c r="L21">
        <v>0.84660585039251346</v>
      </c>
      <c r="M21">
        <v>7.8277960280364843E-3</v>
      </c>
      <c r="N21">
        <v>0.80922192138308835</v>
      </c>
      <c r="O21">
        <v>1.032926576654309E-2</v>
      </c>
      <c r="P21">
        <v>0.84660585039251346</v>
      </c>
      <c r="Q2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41"/>
  <sheetViews>
    <sheetView workbookViewId="0"/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5231</v>
      </c>
      <c r="E1" s="1" t="s">
        <v>5232</v>
      </c>
      <c r="F1" s="1" t="s">
        <v>5233</v>
      </c>
      <c r="G1" s="1" t="s">
        <v>5234</v>
      </c>
      <c r="H1" s="1" t="s">
        <v>5235</v>
      </c>
      <c r="I1" s="1" t="s">
        <v>5236</v>
      </c>
      <c r="J1" s="1" t="s">
        <v>5237</v>
      </c>
      <c r="K1" s="1" t="s">
        <v>5238</v>
      </c>
    </row>
    <row r="2" spans="1:11" x14ac:dyDescent="0.3">
      <c r="A2" t="s">
        <v>17</v>
      </c>
      <c r="B2" t="s">
        <v>18</v>
      </c>
      <c r="C2" t="s">
        <v>19</v>
      </c>
      <c r="D2" t="s">
        <v>3</v>
      </c>
      <c r="E2">
        <v>0.67181551858737554</v>
      </c>
      <c r="F2">
        <v>0.75409836065573754</v>
      </c>
      <c r="G2">
        <v>8.2282842068362005E-2</v>
      </c>
      <c r="H2">
        <v>0.62317247406092202</v>
      </c>
      <c r="I2">
        <v>0.70050761421319785</v>
      </c>
      <c r="J2">
        <v>0.72869565217391297</v>
      </c>
      <c r="K2">
        <v>0.81656804733727795</v>
      </c>
    </row>
    <row r="3" spans="1:11" x14ac:dyDescent="0.3">
      <c r="A3" t="s">
        <v>17</v>
      </c>
      <c r="B3" t="s">
        <v>18</v>
      </c>
      <c r="C3" t="s">
        <v>19</v>
      </c>
      <c r="D3" t="s">
        <v>5</v>
      </c>
      <c r="E3">
        <v>0.67181551858737554</v>
      </c>
      <c r="F3">
        <v>0.73799126637554591</v>
      </c>
      <c r="G3">
        <v>6.6175747788170369E-2</v>
      </c>
      <c r="H3">
        <v>0.62317247406092202</v>
      </c>
      <c r="I3">
        <v>0.71610169491525422</v>
      </c>
      <c r="J3">
        <v>0.72869565217391297</v>
      </c>
      <c r="K3">
        <v>0.76126126126126115</v>
      </c>
    </row>
    <row r="4" spans="1:11" x14ac:dyDescent="0.3">
      <c r="A4" t="s">
        <v>17</v>
      </c>
      <c r="B4" t="s">
        <v>20</v>
      </c>
      <c r="C4" t="s">
        <v>21</v>
      </c>
      <c r="D4" t="s">
        <v>3</v>
      </c>
      <c r="E4">
        <v>0.73106191340851212</v>
      </c>
      <c r="F4">
        <v>0.72685318253112807</v>
      </c>
      <c r="G4">
        <v>-4.2087308773840482E-3</v>
      </c>
    </row>
    <row r="5" spans="1:11" x14ac:dyDescent="0.3">
      <c r="A5" t="s">
        <v>17</v>
      </c>
      <c r="B5" t="s">
        <v>20</v>
      </c>
      <c r="C5" t="s">
        <v>21</v>
      </c>
      <c r="D5" t="s">
        <v>5</v>
      </c>
      <c r="E5">
        <v>0.73106191340851212</v>
      </c>
      <c r="F5">
        <v>0.76418618848387543</v>
      </c>
      <c r="G5">
        <v>3.3124275075363308E-2</v>
      </c>
    </row>
    <row r="6" spans="1:11" x14ac:dyDescent="0.3">
      <c r="A6" t="s">
        <v>17</v>
      </c>
      <c r="B6" t="s">
        <v>22</v>
      </c>
      <c r="C6" t="s">
        <v>23</v>
      </c>
      <c r="D6" t="s">
        <v>3</v>
      </c>
      <c r="E6">
        <v>0.73744218323660449</v>
      </c>
      <c r="F6">
        <v>0.73443891411821938</v>
      </c>
      <c r="G6">
        <v>-3.0032691183851101E-3</v>
      </c>
      <c r="H6">
        <v>0.70629027894530405</v>
      </c>
      <c r="I6">
        <v>0.69016433108099073</v>
      </c>
      <c r="J6">
        <v>0.77326086956521745</v>
      </c>
      <c r="K6">
        <v>0.7857988165680474</v>
      </c>
    </row>
    <row r="7" spans="1:11" x14ac:dyDescent="0.3">
      <c r="A7" t="s">
        <v>17</v>
      </c>
      <c r="B7" t="s">
        <v>22</v>
      </c>
      <c r="C7" t="s">
        <v>23</v>
      </c>
      <c r="D7" t="s">
        <v>5</v>
      </c>
      <c r="E7">
        <v>0.73744218323660449</v>
      </c>
      <c r="F7">
        <v>0.76395529316575772</v>
      </c>
      <c r="G7">
        <v>2.651310992915323E-2</v>
      </c>
      <c r="H7">
        <v>0.70629027894530405</v>
      </c>
      <c r="I7">
        <v>0.7305892669961167</v>
      </c>
      <c r="J7">
        <v>0.77326086956521745</v>
      </c>
      <c r="K7">
        <v>0.80270270270270261</v>
      </c>
    </row>
    <row r="8" spans="1:11" x14ac:dyDescent="0.3">
      <c r="A8" t="s">
        <v>17</v>
      </c>
      <c r="B8" t="s">
        <v>24</v>
      </c>
      <c r="C8" t="s">
        <v>25</v>
      </c>
      <c r="D8" t="s">
        <v>3</v>
      </c>
      <c r="E8">
        <v>0.68608841158229361</v>
      </c>
      <c r="F8">
        <v>0.73789067129499541</v>
      </c>
      <c r="G8">
        <v>5.1802259712701797E-2</v>
      </c>
      <c r="H8">
        <v>0.66145053387172759</v>
      </c>
      <c r="I8">
        <v>0.69268503716092888</v>
      </c>
      <c r="J8">
        <v>0.71304347826086967</v>
      </c>
      <c r="K8">
        <v>0.78964497041420123</v>
      </c>
    </row>
    <row r="9" spans="1:11" x14ac:dyDescent="0.3">
      <c r="A9" t="s">
        <v>17</v>
      </c>
      <c r="B9" t="s">
        <v>24</v>
      </c>
      <c r="C9" t="s">
        <v>25</v>
      </c>
      <c r="D9" t="s">
        <v>5</v>
      </c>
      <c r="E9">
        <v>0.68608841158229361</v>
      </c>
      <c r="F9">
        <v>0.74547408305819629</v>
      </c>
      <c r="G9">
        <v>5.9385671475902679E-2</v>
      </c>
      <c r="H9">
        <v>0.66145053387172759</v>
      </c>
      <c r="I9">
        <v>0.73764669992790877</v>
      </c>
      <c r="J9">
        <v>0.71304347826086967</v>
      </c>
      <c r="K9">
        <v>0.75360360360360379</v>
      </c>
    </row>
    <row r="10" spans="1:11" x14ac:dyDescent="0.3">
      <c r="A10" t="s">
        <v>17</v>
      </c>
      <c r="B10" t="s">
        <v>26</v>
      </c>
      <c r="C10" t="s">
        <v>27</v>
      </c>
      <c r="D10" t="s">
        <v>3</v>
      </c>
      <c r="E10">
        <v>0.76571232108992049</v>
      </c>
      <c r="F10">
        <v>0.81102868472690715</v>
      </c>
      <c r="G10">
        <v>4.5316363636986663E-2</v>
      </c>
      <c r="H10">
        <v>0.73369659765542516</v>
      </c>
      <c r="I10">
        <v>0.77879082926267462</v>
      </c>
      <c r="J10">
        <v>0.80086956521739128</v>
      </c>
      <c r="K10">
        <v>0.84615384615384615</v>
      </c>
    </row>
    <row r="11" spans="1:11" x14ac:dyDescent="0.3">
      <c r="A11" t="s">
        <v>17</v>
      </c>
      <c r="B11" t="s">
        <v>26</v>
      </c>
      <c r="C11" t="s">
        <v>27</v>
      </c>
      <c r="D11" t="s">
        <v>5</v>
      </c>
      <c r="E11">
        <v>0.76571232108992049</v>
      </c>
      <c r="F11">
        <v>0.80724123534896641</v>
      </c>
      <c r="G11">
        <v>4.1528914259045917E-2</v>
      </c>
      <c r="H11">
        <v>0.73369659765542516</v>
      </c>
      <c r="I11">
        <v>0.79198190855284978</v>
      </c>
      <c r="J11">
        <v>0.80086956521739128</v>
      </c>
      <c r="K11">
        <v>0.82319819819819828</v>
      </c>
    </row>
    <row r="12" spans="1:11" x14ac:dyDescent="0.3">
      <c r="A12" t="s">
        <v>28</v>
      </c>
      <c r="B12" t="s">
        <v>18</v>
      </c>
      <c r="C12" t="s">
        <v>19</v>
      </c>
      <c r="D12" t="s">
        <v>3</v>
      </c>
      <c r="E12">
        <v>0.70511025193707066</v>
      </c>
      <c r="F12">
        <v>0.70744680851063835</v>
      </c>
      <c r="G12">
        <v>2.336556573567683E-3</v>
      </c>
      <c r="H12">
        <v>0.64499455785924753</v>
      </c>
      <c r="I12">
        <v>0.64251207729468596</v>
      </c>
      <c r="J12">
        <v>0.77760869565217394</v>
      </c>
      <c r="K12">
        <v>0.78698224852071008</v>
      </c>
    </row>
    <row r="13" spans="1:11" x14ac:dyDescent="0.3">
      <c r="A13" t="s">
        <v>28</v>
      </c>
      <c r="B13" t="s">
        <v>18</v>
      </c>
      <c r="C13" t="s">
        <v>19</v>
      </c>
      <c r="D13" t="s">
        <v>5</v>
      </c>
      <c r="E13">
        <v>0.70511025193707066</v>
      </c>
      <c r="F13">
        <v>0.73057104586955313</v>
      </c>
      <c r="G13">
        <v>2.5460793932482462E-2</v>
      </c>
      <c r="H13">
        <v>0.64499455785924753</v>
      </c>
      <c r="I13">
        <v>0.69366791744840506</v>
      </c>
      <c r="J13">
        <v>0.77760869565217394</v>
      </c>
      <c r="K13">
        <v>0.77162162162162162</v>
      </c>
    </row>
    <row r="14" spans="1:11" x14ac:dyDescent="0.3">
      <c r="A14" t="s">
        <v>28</v>
      </c>
      <c r="B14" t="s">
        <v>20</v>
      </c>
      <c r="C14" t="s">
        <v>21</v>
      </c>
      <c r="D14" t="s">
        <v>3</v>
      </c>
      <c r="E14">
        <v>0.62779772607825912</v>
      </c>
      <c r="F14">
        <v>0.64704887584757764</v>
      </c>
      <c r="G14">
        <v>1.9251149769318521E-2</v>
      </c>
    </row>
    <row r="15" spans="1:11" x14ac:dyDescent="0.3">
      <c r="A15" t="s">
        <v>28</v>
      </c>
      <c r="B15" t="s">
        <v>20</v>
      </c>
      <c r="C15" t="s">
        <v>21</v>
      </c>
      <c r="D15" t="s">
        <v>5</v>
      </c>
      <c r="E15">
        <v>0.62779772607825912</v>
      </c>
      <c r="F15">
        <v>0.63439021292293629</v>
      </c>
      <c r="G15">
        <v>6.5924868446771701E-3</v>
      </c>
    </row>
    <row r="16" spans="1:11" x14ac:dyDescent="0.3">
      <c r="A16" t="s">
        <v>28</v>
      </c>
      <c r="B16" t="s">
        <v>22</v>
      </c>
      <c r="C16" t="s">
        <v>23</v>
      </c>
      <c r="D16" t="s">
        <v>3</v>
      </c>
      <c r="E16">
        <v>0.63513909287180803</v>
      </c>
      <c r="F16">
        <v>0.65224870088947029</v>
      </c>
      <c r="G16">
        <v>1.7109608017662259E-2</v>
      </c>
      <c r="H16">
        <v>0.61015776058929894</v>
      </c>
      <c r="I16">
        <v>0.6053274198921168</v>
      </c>
      <c r="J16">
        <v>0.66760869565217384</v>
      </c>
      <c r="K16">
        <v>0.7079881656804734</v>
      </c>
    </row>
    <row r="17" spans="1:11" x14ac:dyDescent="0.3">
      <c r="A17" t="s">
        <v>28</v>
      </c>
      <c r="B17" t="s">
        <v>22</v>
      </c>
      <c r="C17" t="s">
        <v>23</v>
      </c>
      <c r="D17" t="s">
        <v>5</v>
      </c>
      <c r="E17">
        <v>0.63513909287180803</v>
      </c>
      <c r="F17">
        <v>0.6390280743528417</v>
      </c>
      <c r="G17">
        <v>3.8889814810336709E-3</v>
      </c>
      <c r="H17">
        <v>0.61015776058929894</v>
      </c>
      <c r="I17">
        <v>0.60735366203109642</v>
      </c>
      <c r="J17">
        <v>0.66760869565217384</v>
      </c>
      <c r="K17">
        <v>0.68108108108108101</v>
      </c>
    </row>
    <row r="18" spans="1:11" x14ac:dyDescent="0.3">
      <c r="A18" t="s">
        <v>28</v>
      </c>
      <c r="B18" t="s">
        <v>24</v>
      </c>
      <c r="C18" t="s">
        <v>25</v>
      </c>
      <c r="D18" t="s">
        <v>3</v>
      </c>
      <c r="E18">
        <v>0.71044711573758856</v>
      </c>
      <c r="F18">
        <v>0.71525238415735448</v>
      </c>
      <c r="G18">
        <v>4.8052684197659179E-3</v>
      </c>
      <c r="H18">
        <v>0.69649941170431517</v>
      </c>
      <c r="I18">
        <v>0.67073467083509497</v>
      </c>
      <c r="J18">
        <v>0.72739130434782617</v>
      </c>
      <c r="K18">
        <v>0.76715976331360947</v>
      </c>
    </row>
    <row r="19" spans="1:11" x14ac:dyDescent="0.3">
      <c r="A19" t="s">
        <v>28</v>
      </c>
      <c r="B19" t="s">
        <v>24</v>
      </c>
      <c r="C19" t="s">
        <v>25</v>
      </c>
      <c r="D19" t="s">
        <v>5</v>
      </c>
      <c r="E19">
        <v>0.71044711573758856</v>
      </c>
      <c r="F19">
        <v>0.73881673180162033</v>
      </c>
      <c r="G19">
        <v>2.836961606403177E-2</v>
      </c>
      <c r="H19">
        <v>0.69649941170431517</v>
      </c>
      <c r="I19">
        <v>0.73617241344614981</v>
      </c>
      <c r="J19">
        <v>0.72739130434782617</v>
      </c>
      <c r="K19">
        <v>0.74391891891891881</v>
      </c>
    </row>
    <row r="20" spans="1:11" x14ac:dyDescent="0.3">
      <c r="A20" t="s">
        <v>28</v>
      </c>
      <c r="B20" t="s">
        <v>26</v>
      </c>
      <c r="C20" t="s">
        <v>27</v>
      </c>
      <c r="D20" t="s">
        <v>3</v>
      </c>
      <c r="E20">
        <v>0.77142140574425566</v>
      </c>
      <c r="F20">
        <v>0.78997537875370027</v>
      </c>
      <c r="G20">
        <v>1.855397300944461E-2</v>
      </c>
      <c r="H20">
        <v>0.75011689253307678</v>
      </c>
      <c r="I20">
        <v>0.76383708940202133</v>
      </c>
      <c r="J20">
        <v>0.79456521739130426</v>
      </c>
      <c r="K20">
        <v>0.81893491124260342</v>
      </c>
    </row>
    <row r="21" spans="1:11" x14ac:dyDescent="0.3">
      <c r="A21" t="s">
        <v>28</v>
      </c>
      <c r="B21" t="s">
        <v>26</v>
      </c>
      <c r="C21" t="s">
        <v>27</v>
      </c>
      <c r="D21" t="s">
        <v>5</v>
      </c>
      <c r="E21">
        <v>0.77142140574425566</v>
      </c>
      <c r="F21">
        <v>0.79533462011526701</v>
      </c>
      <c r="G21">
        <v>2.3913214371011349E-2</v>
      </c>
      <c r="H21">
        <v>0.75011689253307678</v>
      </c>
      <c r="I21">
        <v>0.7807681100456656</v>
      </c>
      <c r="J21">
        <v>0.79456521739130426</v>
      </c>
      <c r="K21">
        <v>0.81126126126126119</v>
      </c>
    </row>
    <row r="22" spans="1:11" x14ac:dyDescent="0.3">
      <c r="A22" t="s">
        <v>29</v>
      </c>
      <c r="B22" t="s">
        <v>18</v>
      </c>
      <c r="C22" t="s">
        <v>19</v>
      </c>
      <c r="D22" t="s">
        <v>3</v>
      </c>
      <c r="E22">
        <v>0.74452226790939535</v>
      </c>
      <c r="F22">
        <v>0.75482093663911853</v>
      </c>
      <c r="G22">
        <v>1.029866872972318E-2</v>
      </c>
      <c r="H22">
        <v>0.69877761998564591</v>
      </c>
      <c r="I22">
        <v>0.70618556701030921</v>
      </c>
      <c r="J22">
        <v>0.79673913043478239</v>
      </c>
      <c r="K22">
        <v>0.81065088757396464</v>
      </c>
    </row>
    <row r="23" spans="1:11" x14ac:dyDescent="0.3">
      <c r="A23" t="s">
        <v>29</v>
      </c>
      <c r="B23" t="s">
        <v>18</v>
      </c>
      <c r="C23" t="s">
        <v>19</v>
      </c>
      <c r="D23" t="s">
        <v>5</v>
      </c>
      <c r="E23">
        <v>0.74452226790939535</v>
      </c>
      <c r="F23">
        <v>0.76923076923076938</v>
      </c>
      <c r="G23">
        <v>2.4708501321374029E-2</v>
      </c>
      <c r="H23">
        <v>0.69877761998564591</v>
      </c>
      <c r="I23">
        <v>0.75107296137339052</v>
      </c>
      <c r="J23">
        <v>0.79673913043478239</v>
      </c>
      <c r="K23">
        <v>0.78828828828828845</v>
      </c>
    </row>
    <row r="24" spans="1:11" x14ac:dyDescent="0.3">
      <c r="A24" t="s">
        <v>29</v>
      </c>
      <c r="B24" t="s">
        <v>20</v>
      </c>
      <c r="C24" t="s">
        <v>21</v>
      </c>
      <c r="D24" t="s">
        <v>3</v>
      </c>
      <c r="E24">
        <v>0.73960006504807607</v>
      </c>
      <c r="F24">
        <v>0.75913558296272765</v>
      </c>
      <c r="G24">
        <v>1.9535517914651579E-2</v>
      </c>
    </row>
    <row r="25" spans="1:11" x14ac:dyDescent="0.3">
      <c r="A25" t="s">
        <v>29</v>
      </c>
      <c r="B25" t="s">
        <v>20</v>
      </c>
      <c r="C25" t="s">
        <v>21</v>
      </c>
      <c r="D25" t="s">
        <v>5</v>
      </c>
      <c r="E25">
        <v>0.73960006504807607</v>
      </c>
      <c r="F25">
        <v>0.74842777552495854</v>
      </c>
      <c r="G25">
        <v>8.8277104768824666E-3</v>
      </c>
    </row>
    <row r="26" spans="1:11" x14ac:dyDescent="0.3">
      <c r="A26" t="s">
        <v>29</v>
      </c>
      <c r="B26" t="s">
        <v>22</v>
      </c>
      <c r="C26" t="s">
        <v>23</v>
      </c>
      <c r="D26" t="s">
        <v>3</v>
      </c>
      <c r="E26">
        <v>0.7387224277864346</v>
      </c>
      <c r="F26">
        <v>0.76025622466328846</v>
      </c>
      <c r="G26">
        <v>2.1533796876853861E-2</v>
      </c>
      <c r="H26">
        <v>0.70813732189857936</v>
      </c>
      <c r="I26">
        <v>0.72089331363487452</v>
      </c>
      <c r="J26">
        <v>0.77456521739130424</v>
      </c>
      <c r="K26">
        <v>0.80502958579881656</v>
      </c>
    </row>
    <row r="27" spans="1:11" x14ac:dyDescent="0.3">
      <c r="A27" t="s">
        <v>29</v>
      </c>
      <c r="B27" t="s">
        <v>22</v>
      </c>
      <c r="C27" t="s">
        <v>23</v>
      </c>
      <c r="D27" t="s">
        <v>5</v>
      </c>
      <c r="E27">
        <v>0.7387224277864346</v>
      </c>
      <c r="F27">
        <v>0.75022812921577342</v>
      </c>
      <c r="G27">
        <v>1.150570142933882E-2</v>
      </c>
      <c r="H27">
        <v>0.70813732189857936</v>
      </c>
      <c r="I27">
        <v>0.70928033388621681</v>
      </c>
      <c r="J27">
        <v>0.77456521739130424</v>
      </c>
      <c r="K27">
        <v>0.79774774774774759</v>
      </c>
    </row>
    <row r="28" spans="1:11" x14ac:dyDescent="0.3">
      <c r="A28" t="s">
        <v>29</v>
      </c>
      <c r="B28" t="s">
        <v>24</v>
      </c>
      <c r="C28" t="s">
        <v>25</v>
      </c>
      <c r="D28" t="s">
        <v>3</v>
      </c>
      <c r="E28">
        <v>0.75261348546653584</v>
      </c>
      <c r="F28">
        <v>0.7580555062635348</v>
      </c>
      <c r="G28">
        <v>5.4420207969989587E-3</v>
      </c>
      <c r="H28">
        <v>0.72761881345955337</v>
      </c>
      <c r="I28">
        <v>0.71893055426108055</v>
      </c>
      <c r="J28">
        <v>0.77956521739130435</v>
      </c>
      <c r="K28">
        <v>0.80177514792899418</v>
      </c>
    </row>
    <row r="29" spans="1:11" x14ac:dyDescent="0.3">
      <c r="A29" t="s">
        <v>29</v>
      </c>
      <c r="B29" t="s">
        <v>24</v>
      </c>
      <c r="C29" t="s">
        <v>25</v>
      </c>
      <c r="D29" t="s">
        <v>5</v>
      </c>
      <c r="E29">
        <v>0.75261348546653584</v>
      </c>
      <c r="F29">
        <v>0.77648238258058844</v>
      </c>
      <c r="G29">
        <v>2.3868897114052601E-2</v>
      </c>
      <c r="H29">
        <v>0.72761881345955337</v>
      </c>
      <c r="I29">
        <v>0.76400738938528123</v>
      </c>
      <c r="J29">
        <v>0.77956521739130435</v>
      </c>
      <c r="K29">
        <v>0.7894144144144144</v>
      </c>
    </row>
    <row r="30" spans="1:11" x14ac:dyDescent="0.3">
      <c r="A30" t="s">
        <v>29</v>
      </c>
      <c r="B30" t="s">
        <v>26</v>
      </c>
      <c r="C30" t="s">
        <v>27</v>
      </c>
      <c r="D30" t="s">
        <v>3</v>
      </c>
      <c r="E30">
        <v>0.79453784354982437</v>
      </c>
      <c r="F30">
        <v>0.79907825641472119</v>
      </c>
      <c r="G30">
        <v>4.5404128648968154E-3</v>
      </c>
      <c r="H30">
        <v>0.75987096367389206</v>
      </c>
      <c r="I30">
        <v>0.76309828846779493</v>
      </c>
      <c r="J30">
        <v>0.83260869565217399</v>
      </c>
      <c r="K30">
        <v>0.83875739644970415</v>
      </c>
    </row>
    <row r="31" spans="1:11" x14ac:dyDescent="0.3">
      <c r="A31" t="s">
        <v>29</v>
      </c>
      <c r="B31" t="s">
        <v>26</v>
      </c>
      <c r="C31" t="s">
        <v>27</v>
      </c>
      <c r="D31" t="s">
        <v>5</v>
      </c>
      <c r="E31">
        <v>0.79453784354982437</v>
      </c>
      <c r="F31">
        <v>0.80450812138344696</v>
      </c>
      <c r="G31">
        <v>9.9702778336225872E-3</v>
      </c>
      <c r="H31">
        <v>0.75987096367389206</v>
      </c>
      <c r="I31">
        <v>0.78691213583140596</v>
      </c>
      <c r="J31">
        <v>0.83260869565217399</v>
      </c>
      <c r="K31">
        <v>0.822972972972973</v>
      </c>
    </row>
    <row r="32" spans="1:11" x14ac:dyDescent="0.3">
      <c r="A32" t="s">
        <v>30</v>
      </c>
      <c r="B32" t="s">
        <v>18</v>
      </c>
      <c r="C32" t="s">
        <v>19</v>
      </c>
      <c r="D32" t="s">
        <v>3</v>
      </c>
      <c r="E32">
        <v>0.66407607440439165</v>
      </c>
      <c r="F32">
        <v>0.65753424657534265</v>
      </c>
      <c r="G32">
        <v>-6.5418278290489962E-3</v>
      </c>
      <c r="H32">
        <v>0.64267288969185998</v>
      </c>
      <c r="I32">
        <v>0.61224489795918358</v>
      </c>
      <c r="J32">
        <v>0.68695652173913047</v>
      </c>
      <c r="K32">
        <v>0.7100591715976331</v>
      </c>
    </row>
    <row r="33" spans="1:11" x14ac:dyDescent="0.3">
      <c r="A33" t="s">
        <v>30</v>
      </c>
      <c r="B33" t="s">
        <v>18</v>
      </c>
      <c r="C33" t="s">
        <v>19</v>
      </c>
      <c r="D33" t="s">
        <v>5</v>
      </c>
      <c r="E33">
        <v>0.66407607440439165</v>
      </c>
      <c r="F33">
        <v>0.62735343862295778</v>
      </c>
      <c r="G33">
        <v>-3.6722635781433872E-2</v>
      </c>
      <c r="H33">
        <v>0.64267288969185998</v>
      </c>
      <c r="I33">
        <v>0.60274831160263198</v>
      </c>
      <c r="J33">
        <v>0.68695652173913047</v>
      </c>
      <c r="K33">
        <v>0.65405405405405426</v>
      </c>
    </row>
    <row r="34" spans="1:11" x14ac:dyDescent="0.3">
      <c r="A34" t="s">
        <v>30</v>
      </c>
      <c r="B34" t="s">
        <v>20</v>
      </c>
      <c r="C34" t="s">
        <v>21</v>
      </c>
      <c r="D34" t="s">
        <v>3</v>
      </c>
      <c r="E34">
        <v>0.6891004327243031</v>
      </c>
      <c r="F34">
        <v>0.71846002441823287</v>
      </c>
      <c r="G34">
        <v>2.9359591693929769E-2</v>
      </c>
    </row>
    <row r="35" spans="1:11" x14ac:dyDescent="0.3">
      <c r="A35" t="s">
        <v>30</v>
      </c>
      <c r="B35" t="s">
        <v>20</v>
      </c>
      <c r="C35" t="s">
        <v>21</v>
      </c>
      <c r="D35" t="s">
        <v>5</v>
      </c>
      <c r="E35">
        <v>0.6891004327243031</v>
      </c>
      <c r="F35">
        <v>0.72815697261376189</v>
      </c>
      <c r="G35">
        <v>3.9056539889458793E-2</v>
      </c>
    </row>
    <row r="36" spans="1:11" x14ac:dyDescent="0.3">
      <c r="A36" t="s">
        <v>30</v>
      </c>
      <c r="B36" t="s">
        <v>22</v>
      </c>
      <c r="C36" t="s">
        <v>23</v>
      </c>
      <c r="D36" t="s">
        <v>3</v>
      </c>
      <c r="E36">
        <v>0.6895194248840959</v>
      </c>
      <c r="F36">
        <v>0.72315462730299029</v>
      </c>
      <c r="G36">
        <v>3.3635202418894387E-2</v>
      </c>
      <c r="H36">
        <v>0.6620430041638069</v>
      </c>
      <c r="I36">
        <v>0.68485114016404824</v>
      </c>
      <c r="J36">
        <v>0.72021739130434792</v>
      </c>
      <c r="K36">
        <v>0.76834319526627215</v>
      </c>
    </row>
    <row r="37" spans="1:11" x14ac:dyDescent="0.3">
      <c r="A37" t="s">
        <v>30</v>
      </c>
      <c r="B37" t="s">
        <v>22</v>
      </c>
      <c r="C37" t="s">
        <v>23</v>
      </c>
      <c r="D37" t="s">
        <v>5</v>
      </c>
      <c r="E37">
        <v>0.6895194248840959</v>
      </c>
      <c r="F37">
        <v>0.72819085793976934</v>
      </c>
      <c r="G37">
        <v>3.8671433055673443E-2</v>
      </c>
      <c r="H37">
        <v>0.6620430041638069</v>
      </c>
      <c r="I37">
        <v>0.70758256600641056</v>
      </c>
      <c r="J37">
        <v>0.72021739130434792</v>
      </c>
      <c r="K37">
        <v>0.75180180180180178</v>
      </c>
    </row>
    <row r="38" spans="1:11" x14ac:dyDescent="0.3">
      <c r="A38" t="s">
        <v>30</v>
      </c>
      <c r="B38" t="s">
        <v>24</v>
      </c>
      <c r="C38" t="s">
        <v>25</v>
      </c>
      <c r="D38" t="s">
        <v>3</v>
      </c>
      <c r="E38">
        <v>0.69123040056983531</v>
      </c>
      <c r="F38">
        <v>0.70971458813488864</v>
      </c>
      <c r="G38">
        <v>1.8484187565053319E-2</v>
      </c>
      <c r="H38">
        <v>0.68801269345149341</v>
      </c>
      <c r="I38">
        <v>0.68892677779563516</v>
      </c>
      <c r="J38">
        <v>0.69521739130434779</v>
      </c>
      <c r="K38">
        <v>0.73254437869822486</v>
      </c>
    </row>
    <row r="39" spans="1:11" x14ac:dyDescent="0.3">
      <c r="A39" t="s">
        <v>30</v>
      </c>
      <c r="B39" t="s">
        <v>24</v>
      </c>
      <c r="C39" t="s">
        <v>25</v>
      </c>
      <c r="D39" t="s">
        <v>5</v>
      </c>
      <c r="E39">
        <v>0.69123040056983531</v>
      </c>
      <c r="F39">
        <v>0.70211746265310992</v>
      </c>
      <c r="G39">
        <v>1.0887062083274611E-2</v>
      </c>
      <c r="H39">
        <v>0.68801269345149341</v>
      </c>
      <c r="I39">
        <v>0.70065024761547623</v>
      </c>
      <c r="J39">
        <v>0.69521739130434779</v>
      </c>
      <c r="K39">
        <v>0.70405405405405386</v>
      </c>
    </row>
    <row r="40" spans="1:11" x14ac:dyDescent="0.3">
      <c r="A40" t="s">
        <v>30</v>
      </c>
      <c r="B40" t="s">
        <v>26</v>
      </c>
      <c r="C40" t="s">
        <v>27</v>
      </c>
      <c r="D40" t="s">
        <v>3</v>
      </c>
      <c r="E40">
        <v>0.73863343938483883</v>
      </c>
      <c r="F40">
        <v>0.76258496488722205</v>
      </c>
      <c r="G40">
        <v>2.395152550238322E-2</v>
      </c>
      <c r="H40">
        <v>0.7193941805627988</v>
      </c>
      <c r="I40">
        <v>0.73824759220187186</v>
      </c>
      <c r="J40">
        <v>0.75913043478260878</v>
      </c>
      <c r="K40">
        <v>0.788757396449704</v>
      </c>
    </row>
    <row r="41" spans="1:11" x14ac:dyDescent="0.3">
      <c r="A41" t="s">
        <v>30</v>
      </c>
      <c r="B41" t="s">
        <v>26</v>
      </c>
      <c r="C41" t="s">
        <v>27</v>
      </c>
      <c r="D41" t="s">
        <v>5</v>
      </c>
      <c r="E41">
        <v>0.73863343938483883</v>
      </c>
      <c r="F41">
        <v>0.76638494721801809</v>
      </c>
      <c r="G41">
        <v>2.775150783317926E-2</v>
      </c>
      <c r="H41">
        <v>0.7193941805627988</v>
      </c>
      <c r="I41">
        <v>0.76159130348799586</v>
      </c>
      <c r="J41">
        <v>0.75913043478260878</v>
      </c>
      <c r="K41">
        <v>0.77139639639639646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61"/>
  <sheetViews>
    <sheetView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5239</v>
      </c>
      <c r="E1" s="1" t="s">
        <v>5240</v>
      </c>
      <c r="F1" s="1" t="s">
        <v>5241</v>
      </c>
      <c r="G1" s="1" t="s">
        <v>5234</v>
      </c>
    </row>
    <row r="2" spans="1:7" x14ac:dyDescent="0.3">
      <c r="A2" t="s">
        <v>17</v>
      </c>
      <c r="B2" t="s">
        <v>18</v>
      </c>
      <c r="C2" t="s">
        <v>19</v>
      </c>
      <c r="D2" t="s">
        <v>3</v>
      </c>
      <c r="E2">
        <v>0.75409836065573754</v>
      </c>
      <c r="F2">
        <v>0.80152097959524371</v>
      </c>
      <c r="G2">
        <v>4.7422618939506167E-2</v>
      </c>
    </row>
    <row r="3" spans="1:7" x14ac:dyDescent="0.3">
      <c r="A3" t="s">
        <v>17</v>
      </c>
      <c r="B3" t="s">
        <v>18</v>
      </c>
      <c r="C3" t="s">
        <v>19</v>
      </c>
      <c r="D3" t="s">
        <v>5</v>
      </c>
      <c r="E3">
        <v>0.73799126637554591</v>
      </c>
      <c r="F3">
        <v>0.80826280371216563</v>
      </c>
      <c r="G3">
        <v>7.0271537336619727E-2</v>
      </c>
    </row>
    <row r="4" spans="1:7" x14ac:dyDescent="0.3">
      <c r="A4" t="s">
        <v>17</v>
      </c>
      <c r="B4" t="s">
        <v>18</v>
      </c>
      <c r="C4" t="s">
        <v>19</v>
      </c>
      <c r="D4" t="s">
        <v>7</v>
      </c>
      <c r="E4">
        <v>0.67181551858737554</v>
      </c>
      <c r="F4">
        <v>0.78054156427532351</v>
      </c>
      <c r="G4">
        <v>0.108726045687948</v>
      </c>
    </row>
    <row r="5" spans="1:7" x14ac:dyDescent="0.3">
      <c r="A5" t="s">
        <v>17</v>
      </c>
      <c r="B5" t="s">
        <v>20</v>
      </c>
      <c r="C5" t="s">
        <v>21</v>
      </c>
      <c r="D5" t="s">
        <v>3</v>
      </c>
      <c r="E5">
        <v>0.72685318253112807</v>
      </c>
      <c r="F5">
        <v>0.79726934236287383</v>
      </c>
      <c r="G5">
        <v>7.0416159831745762E-2</v>
      </c>
    </row>
    <row r="6" spans="1:7" x14ac:dyDescent="0.3">
      <c r="A6" t="s">
        <v>17</v>
      </c>
      <c r="B6" t="s">
        <v>20</v>
      </c>
      <c r="C6" t="s">
        <v>21</v>
      </c>
      <c r="D6" t="s">
        <v>5</v>
      </c>
      <c r="E6">
        <v>0.76418618848387543</v>
      </c>
      <c r="F6">
        <v>0.82310019604609774</v>
      </c>
      <c r="G6">
        <v>5.8914007562222308E-2</v>
      </c>
    </row>
    <row r="7" spans="1:7" x14ac:dyDescent="0.3">
      <c r="A7" t="s">
        <v>17</v>
      </c>
      <c r="B7" t="s">
        <v>20</v>
      </c>
      <c r="C7" t="s">
        <v>21</v>
      </c>
      <c r="D7" t="s">
        <v>7</v>
      </c>
      <c r="E7">
        <v>0.73106191340851212</v>
      </c>
      <c r="F7">
        <v>0.78903841585384016</v>
      </c>
      <c r="G7">
        <v>5.7976502445328038E-2</v>
      </c>
    </row>
    <row r="8" spans="1:7" x14ac:dyDescent="0.3">
      <c r="A8" t="s">
        <v>17</v>
      </c>
      <c r="B8" t="s">
        <v>22</v>
      </c>
      <c r="C8" t="s">
        <v>23</v>
      </c>
      <c r="D8" t="s">
        <v>3</v>
      </c>
      <c r="E8">
        <v>0.73443891411821938</v>
      </c>
      <c r="F8">
        <v>0.80508364855552872</v>
      </c>
      <c r="G8">
        <v>7.0644734437309342E-2</v>
      </c>
    </row>
    <row r="9" spans="1:7" x14ac:dyDescent="0.3">
      <c r="A9" t="s">
        <v>17</v>
      </c>
      <c r="B9" t="s">
        <v>22</v>
      </c>
      <c r="C9" t="s">
        <v>23</v>
      </c>
      <c r="D9" t="s">
        <v>5</v>
      </c>
      <c r="E9">
        <v>0.76395529316575772</v>
      </c>
      <c r="F9">
        <v>0.82769691671384182</v>
      </c>
      <c r="G9">
        <v>6.3741623548084103E-2</v>
      </c>
    </row>
    <row r="10" spans="1:7" x14ac:dyDescent="0.3">
      <c r="A10" t="s">
        <v>17</v>
      </c>
      <c r="B10" t="s">
        <v>22</v>
      </c>
      <c r="C10" t="s">
        <v>23</v>
      </c>
      <c r="D10" t="s">
        <v>7</v>
      </c>
      <c r="E10">
        <v>0.73744218323660449</v>
      </c>
      <c r="F10">
        <v>0.78995314067211686</v>
      </c>
      <c r="G10">
        <v>5.2510957435512373E-2</v>
      </c>
    </row>
    <row r="11" spans="1:7" x14ac:dyDescent="0.3">
      <c r="A11" t="s">
        <v>17</v>
      </c>
      <c r="B11" t="s">
        <v>24</v>
      </c>
      <c r="C11" t="s">
        <v>25</v>
      </c>
      <c r="D11" t="s">
        <v>3</v>
      </c>
      <c r="E11">
        <v>0.73789067129499541</v>
      </c>
      <c r="F11">
        <v>0.80682219808455946</v>
      </c>
      <c r="G11">
        <v>6.8931526789564046E-2</v>
      </c>
    </row>
    <row r="12" spans="1:7" x14ac:dyDescent="0.3">
      <c r="A12" t="s">
        <v>17</v>
      </c>
      <c r="B12" t="s">
        <v>24</v>
      </c>
      <c r="C12" t="s">
        <v>25</v>
      </c>
      <c r="D12" t="s">
        <v>5</v>
      </c>
      <c r="E12">
        <v>0.74547408305819629</v>
      </c>
      <c r="F12">
        <v>0.8140709825197382</v>
      </c>
      <c r="G12">
        <v>6.8596899461541905E-2</v>
      </c>
    </row>
    <row r="13" spans="1:7" x14ac:dyDescent="0.3">
      <c r="A13" t="s">
        <v>17</v>
      </c>
      <c r="B13" t="s">
        <v>24</v>
      </c>
      <c r="C13" t="s">
        <v>25</v>
      </c>
      <c r="D13" t="s">
        <v>7</v>
      </c>
      <c r="E13">
        <v>0.68608841158229361</v>
      </c>
      <c r="F13">
        <v>0.78834551932759178</v>
      </c>
      <c r="G13">
        <v>0.1022571077452982</v>
      </c>
    </row>
    <row r="14" spans="1:7" x14ac:dyDescent="0.3">
      <c r="A14" t="s">
        <v>17</v>
      </c>
      <c r="B14" t="s">
        <v>26</v>
      </c>
      <c r="C14" t="s">
        <v>27</v>
      </c>
      <c r="D14" t="s">
        <v>3</v>
      </c>
      <c r="E14">
        <v>0.81102868472690715</v>
      </c>
      <c r="F14">
        <v>0.84055704606398574</v>
      </c>
      <c r="G14">
        <v>2.952836133707859E-2</v>
      </c>
    </row>
    <row r="15" spans="1:7" x14ac:dyDescent="0.3">
      <c r="A15" t="s">
        <v>17</v>
      </c>
      <c r="B15" t="s">
        <v>26</v>
      </c>
      <c r="C15" t="s">
        <v>27</v>
      </c>
      <c r="D15" t="s">
        <v>5</v>
      </c>
      <c r="E15">
        <v>0.80724123534896641</v>
      </c>
      <c r="F15">
        <v>0.83559819095918542</v>
      </c>
      <c r="G15">
        <v>2.8356955610219E-2</v>
      </c>
    </row>
    <row r="16" spans="1:7" x14ac:dyDescent="0.3">
      <c r="A16" t="s">
        <v>17</v>
      </c>
      <c r="B16" t="s">
        <v>26</v>
      </c>
      <c r="C16" t="s">
        <v>27</v>
      </c>
      <c r="D16" t="s">
        <v>7</v>
      </c>
      <c r="E16">
        <v>0.76571232108992049</v>
      </c>
      <c r="F16">
        <v>0.81348943998441037</v>
      </c>
      <c r="G16">
        <v>4.7777118894489878E-2</v>
      </c>
    </row>
    <row r="17" spans="1:7" x14ac:dyDescent="0.3">
      <c r="A17" t="s">
        <v>28</v>
      </c>
      <c r="B17" t="s">
        <v>18</v>
      </c>
      <c r="C17" t="s">
        <v>19</v>
      </c>
      <c r="D17" t="s">
        <v>3</v>
      </c>
      <c r="E17">
        <v>0.70744680851063835</v>
      </c>
      <c r="F17">
        <v>0.82436639396885947</v>
      </c>
      <c r="G17">
        <v>0.11691958545822111</v>
      </c>
    </row>
    <row r="18" spans="1:7" x14ac:dyDescent="0.3">
      <c r="A18" t="s">
        <v>28</v>
      </c>
      <c r="B18" t="s">
        <v>18</v>
      </c>
      <c r="C18" t="s">
        <v>19</v>
      </c>
      <c r="D18" t="s">
        <v>5</v>
      </c>
      <c r="E18">
        <v>0.73057104586955313</v>
      </c>
      <c r="F18">
        <v>0.84665880076631728</v>
      </c>
      <c r="G18">
        <v>0.11608775489676421</v>
      </c>
    </row>
    <row r="19" spans="1:7" x14ac:dyDescent="0.3">
      <c r="A19" t="s">
        <v>28</v>
      </c>
      <c r="B19" t="s">
        <v>18</v>
      </c>
      <c r="C19" t="s">
        <v>19</v>
      </c>
      <c r="D19" t="s">
        <v>7</v>
      </c>
      <c r="E19">
        <v>0.70511025193707066</v>
      </c>
      <c r="F19">
        <v>0.83614723452310324</v>
      </c>
      <c r="G19">
        <v>0.13103698258603261</v>
      </c>
    </row>
    <row r="20" spans="1:7" x14ac:dyDescent="0.3">
      <c r="A20" t="s">
        <v>28</v>
      </c>
      <c r="B20" t="s">
        <v>20</v>
      </c>
      <c r="C20" t="s">
        <v>21</v>
      </c>
      <c r="D20" t="s">
        <v>3</v>
      </c>
      <c r="E20">
        <v>0.64704887584757764</v>
      </c>
      <c r="F20">
        <v>0.8159557413375087</v>
      </c>
      <c r="G20">
        <v>0.16890686548993111</v>
      </c>
    </row>
    <row r="21" spans="1:7" x14ac:dyDescent="0.3">
      <c r="A21" t="s">
        <v>28</v>
      </c>
      <c r="B21" t="s">
        <v>20</v>
      </c>
      <c r="C21" t="s">
        <v>21</v>
      </c>
      <c r="D21" t="s">
        <v>5</v>
      </c>
      <c r="E21">
        <v>0.63439021292293629</v>
      </c>
      <c r="F21">
        <v>0.83591913859789513</v>
      </c>
      <c r="G21">
        <v>0.20152892567495881</v>
      </c>
    </row>
    <row r="22" spans="1:7" x14ac:dyDescent="0.3">
      <c r="A22" t="s">
        <v>28</v>
      </c>
      <c r="B22" t="s">
        <v>20</v>
      </c>
      <c r="C22" t="s">
        <v>21</v>
      </c>
      <c r="D22" t="s">
        <v>7</v>
      </c>
      <c r="E22">
        <v>0.62779772607825912</v>
      </c>
      <c r="F22">
        <v>0.82874574279401192</v>
      </c>
      <c r="G22">
        <v>0.2009480167157528</v>
      </c>
    </row>
    <row r="23" spans="1:7" x14ac:dyDescent="0.3">
      <c r="A23" t="s">
        <v>28</v>
      </c>
      <c r="B23" t="s">
        <v>22</v>
      </c>
      <c r="C23" t="s">
        <v>23</v>
      </c>
      <c r="D23" t="s">
        <v>3</v>
      </c>
      <c r="E23">
        <v>0.65224870088947029</v>
      </c>
      <c r="F23">
        <v>0.82165325309505288</v>
      </c>
      <c r="G23">
        <v>0.16940455220558259</v>
      </c>
    </row>
    <row r="24" spans="1:7" x14ac:dyDescent="0.3">
      <c r="A24" t="s">
        <v>28</v>
      </c>
      <c r="B24" t="s">
        <v>22</v>
      </c>
      <c r="C24" t="s">
        <v>23</v>
      </c>
      <c r="D24" t="s">
        <v>5</v>
      </c>
      <c r="E24">
        <v>0.6390280743528417</v>
      </c>
      <c r="F24">
        <v>0.84585671257670614</v>
      </c>
      <c r="G24">
        <v>0.20682863822386441</v>
      </c>
    </row>
    <row r="25" spans="1:7" x14ac:dyDescent="0.3">
      <c r="A25" t="s">
        <v>28</v>
      </c>
      <c r="B25" t="s">
        <v>22</v>
      </c>
      <c r="C25" t="s">
        <v>23</v>
      </c>
      <c r="D25" t="s">
        <v>7</v>
      </c>
      <c r="E25">
        <v>0.63513909287180803</v>
      </c>
      <c r="F25">
        <v>0.83827538654139322</v>
      </c>
      <c r="G25">
        <v>0.20313629366958519</v>
      </c>
    </row>
    <row r="26" spans="1:7" x14ac:dyDescent="0.3">
      <c r="A26" t="s">
        <v>28</v>
      </c>
      <c r="B26" t="s">
        <v>24</v>
      </c>
      <c r="C26" t="s">
        <v>25</v>
      </c>
      <c r="D26" t="s">
        <v>3</v>
      </c>
      <c r="E26">
        <v>0.71525238415735448</v>
      </c>
      <c r="F26">
        <v>0.82288888041069375</v>
      </c>
      <c r="G26">
        <v>0.10763649625333931</v>
      </c>
    </row>
    <row r="27" spans="1:7" x14ac:dyDescent="0.3">
      <c r="A27" t="s">
        <v>28</v>
      </c>
      <c r="B27" t="s">
        <v>24</v>
      </c>
      <c r="C27" t="s">
        <v>25</v>
      </c>
      <c r="D27" t="s">
        <v>5</v>
      </c>
      <c r="E27">
        <v>0.73881673180162033</v>
      </c>
      <c r="F27">
        <v>0.84783112605914435</v>
      </c>
      <c r="G27">
        <v>0.109014394257524</v>
      </c>
    </row>
    <row r="28" spans="1:7" x14ac:dyDescent="0.3">
      <c r="A28" t="s">
        <v>28</v>
      </c>
      <c r="B28" t="s">
        <v>24</v>
      </c>
      <c r="C28" t="s">
        <v>25</v>
      </c>
      <c r="D28" t="s">
        <v>7</v>
      </c>
      <c r="E28">
        <v>0.71044711573758856</v>
      </c>
      <c r="F28">
        <v>0.83552702516223898</v>
      </c>
      <c r="G28">
        <v>0.12507990942465039</v>
      </c>
    </row>
    <row r="29" spans="1:7" x14ac:dyDescent="0.3">
      <c r="A29" t="s">
        <v>28</v>
      </c>
      <c r="B29" t="s">
        <v>26</v>
      </c>
      <c r="C29" t="s">
        <v>27</v>
      </c>
      <c r="D29" t="s">
        <v>3</v>
      </c>
      <c r="E29">
        <v>0.78997537875370027</v>
      </c>
      <c r="F29">
        <v>0.84437106741985379</v>
      </c>
      <c r="G29">
        <v>5.4395688666153519E-2</v>
      </c>
    </row>
    <row r="30" spans="1:7" x14ac:dyDescent="0.3">
      <c r="A30" t="s">
        <v>28</v>
      </c>
      <c r="B30" t="s">
        <v>26</v>
      </c>
      <c r="C30" t="s">
        <v>27</v>
      </c>
      <c r="D30" t="s">
        <v>5</v>
      </c>
      <c r="E30">
        <v>0.79533462011526701</v>
      </c>
      <c r="F30">
        <v>0.85182050611420124</v>
      </c>
      <c r="G30">
        <v>5.6485885998934227E-2</v>
      </c>
    </row>
    <row r="31" spans="1:7" x14ac:dyDescent="0.3">
      <c r="A31" t="s">
        <v>28</v>
      </c>
      <c r="B31" t="s">
        <v>26</v>
      </c>
      <c r="C31" t="s">
        <v>27</v>
      </c>
      <c r="D31" t="s">
        <v>7</v>
      </c>
      <c r="E31">
        <v>0.77142140574425566</v>
      </c>
      <c r="F31">
        <v>0.85735749448063125</v>
      </c>
      <c r="G31">
        <v>8.5936088736375593E-2</v>
      </c>
    </row>
    <row r="32" spans="1:7" x14ac:dyDescent="0.3">
      <c r="A32" t="s">
        <v>29</v>
      </c>
      <c r="B32" t="s">
        <v>18</v>
      </c>
      <c r="C32" t="s">
        <v>19</v>
      </c>
      <c r="D32" t="s">
        <v>3</v>
      </c>
      <c r="E32">
        <v>0.75482093663911853</v>
      </c>
      <c r="F32">
        <v>0.79677005363522779</v>
      </c>
      <c r="G32">
        <v>4.1949116996109259E-2</v>
      </c>
    </row>
    <row r="33" spans="1:7" x14ac:dyDescent="0.3">
      <c r="A33" t="s">
        <v>29</v>
      </c>
      <c r="B33" t="s">
        <v>18</v>
      </c>
      <c r="C33" t="s">
        <v>19</v>
      </c>
      <c r="D33" t="s">
        <v>5</v>
      </c>
      <c r="E33">
        <v>0.76923076923076938</v>
      </c>
      <c r="F33">
        <v>0.82132975622236071</v>
      </c>
      <c r="G33">
        <v>5.2098986991591323E-2</v>
      </c>
    </row>
    <row r="34" spans="1:7" x14ac:dyDescent="0.3">
      <c r="A34" t="s">
        <v>29</v>
      </c>
      <c r="B34" t="s">
        <v>18</v>
      </c>
      <c r="C34" t="s">
        <v>19</v>
      </c>
      <c r="D34" t="s">
        <v>7</v>
      </c>
      <c r="E34">
        <v>0.74452226790939535</v>
      </c>
      <c r="F34">
        <v>0.79216156804913151</v>
      </c>
      <c r="G34">
        <v>4.7639300139736163E-2</v>
      </c>
    </row>
    <row r="35" spans="1:7" x14ac:dyDescent="0.3">
      <c r="A35" t="s">
        <v>29</v>
      </c>
      <c r="B35" t="s">
        <v>20</v>
      </c>
      <c r="C35" t="s">
        <v>21</v>
      </c>
      <c r="D35" t="s">
        <v>3</v>
      </c>
      <c r="E35">
        <v>0.75913558296272765</v>
      </c>
      <c r="F35">
        <v>0.78420892339693637</v>
      </c>
      <c r="G35">
        <v>2.5073340434208721E-2</v>
      </c>
    </row>
    <row r="36" spans="1:7" x14ac:dyDescent="0.3">
      <c r="A36" t="s">
        <v>29</v>
      </c>
      <c r="B36" t="s">
        <v>20</v>
      </c>
      <c r="C36" t="s">
        <v>21</v>
      </c>
      <c r="D36" t="s">
        <v>5</v>
      </c>
      <c r="E36">
        <v>0.74842777552495854</v>
      </c>
      <c r="F36">
        <v>0.82312821556604499</v>
      </c>
      <c r="G36">
        <v>7.4700440041086447E-2</v>
      </c>
    </row>
    <row r="37" spans="1:7" x14ac:dyDescent="0.3">
      <c r="A37" t="s">
        <v>29</v>
      </c>
      <c r="B37" t="s">
        <v>20</v>
      </c>
      <c r="C37" t="s">
        <v>21</v>
      </c>
      <c r="D37" t="s">
        <v>7</v>
      </c>
      <c r="E37">
        <v>0.73960006504807607</v>
      </c>
      <c r="F37">
        <v>0.79025982990174204</v>
      </c>
      <c r="G37">
        <v>5.0659764853665967E-2</v>
      </c>
    </row>
    <row r="38" spans="1:7" x14ac:dyDescent="0.3">
      <c r="A38" t="s">
        <v>29</v>
      </c>
      <c r="B38" t="s">
        <v>22</v>
      </c>
      <c r="C38" t="s">
        <v>23</v>
      </c>
      <c r="D38" t="s">
        <v>3</v>
      </c>
      <c r="E38">
        <v>0.76025622466328846</v>
      </c>
      <c r="F38">
        <v>0.78455873160924861</v>
      </c>
      <c r="G38">
        <v>2.4302506945960149E-2</v>
      </c>
    </row>
    <row r="39" spans="1:7" x14ac:dyDescent="0.3">
      <c r="A39" t="s">
        <v>29</v>
      </c>
      <c r="B39" t="s">
        <v>22</v>
      </c>
      <c r="C39" t="s">
        <v>23</v>
      </c>
      <c r="D39" t="s">
        <v>5</v>
      </c>
      <c r="E39">
        <v>0.75022812921577342</v>
      </c>
      <c r="F39">
        <v>0.82547459876090135</v>
      </c>
      <c r="G39">
        <v>7.5246469545127925E-2</v>
      </c>
    </row>
    <row r="40" spans="1:7" x14ac:dyDescent="0.3">
      <c r="A40" t="s">
        <v>29</v>
      </c>
      <c r="B40" t="s">
        <v>22</v>
      </c>
      <c r="C40" t="s">
        <v>23</v>
      </c>
      <c r="D40" t="s">
        <v>7</v>
      </c>
      <c r="E40">
        <v>0.7387224277864346</v>
      </c>
      <c r="F40">
        <v>0.79632753643877618</v>
      </c>
      <c r="G40">
        <v>5.7605108652341593E-2</v>
      </c>
    </row>
    <row r="41" spans="1:7" x14ac:dyDescent="0.3">
      <c r="A41" t="s">
        <v>29</v>
      </c>
      <c r="B41" t="s">
        <v>24</v>
      </c>
      <c r="C41" t="s">
        <v>25</v>
      </c>
      <c r="D41" t="s">
        <v>3</v>
      </c>
      <c r="E41">
        <v>0.7580555062635348</v>
      </c>
      <c r="F41">
        <v>0.78701031685779044</v>
      </c>
      <c r="G41">
        <v>2.8954810594255639E-2</v>
      </c>
    </row>
    <row r="42" spans="1:7" x14ac:dyDescent="0.3">
      <c r="A42" t="s">
        <v>29</v>
      </c>
      <c r="B42" t="s">
        <v>24</v>
      </c>
      <c r="C42" t="s">
        <v>25</v>
      </c>
      <c r="D42" t="s">
        <v>5</v>
      </c>
      <c r="E42">
        <v>0.77648238258058844</v>
      </c>
      <c r="F42">
        <v>0.8232262074911445</v>
      </c>
      <c r="G42">
        <v>4.6743824910556057E-2</v>
      </c>
    </row>
    <row r="43" spans="1:7" x14ac:dyDescent="0.3">
      <c r="A43" t="s">
        <v>29</v>
      </c>
      <c r="B43" t="s">
        <v>24</v>
      </c>
      <c r="C43" t="s">
        <v>25</v>
      </c>
      <c r="D43" t="s">
        <v>7</v>
      </c>
      <c r="E43">
        <v>0.75261348546653584</v>
      </c>
      <c r="F43">
        <v>0.78457871462438533</v>
      </c>
      <c r="G43">
        <v>3.1965229157849502E-2</v>
      </c>
    </row>
    <row r="44" spans="1:7" x14ac:dyDescent="0.3">
      <c r="A44" t="s">
        <v>29</v>
      </c>
      <c r="B44" t="s">
        <v>26</v>
      </c>
      <c r="C44" t="s">
        <v>27</v>
      </c>
      <c r="D44" t="s">
        <v>3</v>
      </c>
      <c r="E44">
        <v>0.79907825641472119</v>
      </c>
      <c r="F44">
        <v>0.83102101449330912</v>
      </c>
      <c r="G44">
        <v>3.1942758078587929E-2</v>
      </c>
    </row>
    <row r="45" spans="1:7" x14ac:dyDescent="0.3">
      <c r="A45" t="s">
        <v>29</v>
      </c>
      <c r="B45" t="s">
        <v>26</v>
      </c>
      <c r="C45" t="s">
        <v>27</v>
      </c>
      <c r="D45" t="s">
        <v>5</v>
      </c>
      <c r="E45">
        <v>0.80450812138344696</v>
      </c>
      <c r="F45">
        <v>0.84123686245392015</v>
      </c>
      <c r="G45">
        <v>3.6728741070473192E-2</v>
      </c>
    </row>
    <row r="46" spans="1:7" x14ac:dyDescent="0.3">
      <c r="A46" t="s">
        <v>29</v>
      </c>
      <c r="B46" t="s">
        <v>26</v>
      </c>
      <c r="C46" t="s">
        <v>27</v>
      </c>
      <c r="D46" t="s">
        <v>7</v>
      </c>
      <c r="E46">
        <v>0.79453784354982437</v>
      </c>
      <c r="F46">
        <v>0.82468309212889834</v>
      </c>
      <c r="G46">
        <v>3.0145248579073969E-2</v>
      </c>
    </row>
    <row r="47" spans="1:7" x14ac:dyDescent="0.3">
      <c r="A47" t="s">
        <v>30</v>
      </c>
      <c r="B47" t="s">
        <v>18</v>
      </c>
      <c r="C47" t="s">
        <v>19</v>
      </c>
      <c r="D47" t="s">
        <v>3</v>
      </c>
      <c r="E47">
        <v>0.65753424657534265</v>
      </c>
      <c r="F47">
        <v>0.81278979434377663</v>
      </c>
      <c r="G47">
        <v>0.155255547768434</v>
      </c>
    </row>
    <row r="48" spans="1:7" x14ac:dyDescent="0.3">
      <c r="A48" t="s">
        <v>30</v>
      </c>
      <c r="B48" t="s">
        <v>18</v>
      </c>
      <c r="C48" t="s">
        <v>19</v>
      </c>
      <c r="D48" t="s">
        <v>5</v>
      </c>
      <c r="E48">
        <v>0.62735343862295778</v>
      </c>
      <c r="F48">
        <v>0.83362573254823613</v>
      </c>
      <c r="G48">
        <v>0.20627229392527829</v>
      </c>
    </row>
    <row r="49" spans="1:7" x14ac:dyDescent="0.3">
      <c r="A49" t="s">
        <v>30</v>
      </c>
      <c r="B49" t="s">
        <v>18</v>
      </c>
      <c r="C49" t="s">
        <v>19</v>
      </c>
      <c r="D49" t="s">
        <v>7</v>
      </c>
      <c r="E49">
        <v>0.66407607440439165</v>
      </c>
      <c r="F49">
        <v>0.78109950717551058</v>
      </c>
      <c r="G49">
        <v>0.1170234327711189</v>
      </c>
    </row>
    <row r="50" spans="1:7" x14ac:dyDescent="0.3">
      <c r="A50" t="s">
        <v>30</v>
      </c>
      <c r="B50" t="s">
        <v>20</v>
      </c>
      <c r="C50" t="s">
        <v>21</v>
      </c>
      <c r="D50" t="s">
        <v>3</v>
      </c>
      <c r="E50">
        <v>0.71846002441823287</v>
      </c>
      <c r="F50">
        <v>0.79948865858925133</v>
      </c>
      <c r="G50">
        <v>8.1028634171018465E-2</v>
      </c>
    </row>
    <row r="51" spans="1:7" x14ac:dyDescent="0.3">
      <c r="A51" t="s">
        <v>30</v>
      </c>
      <c r="B51" t="s">
        <v>20</v>
      </c>
      <c r="C51" t="s">
        <v>21</v>
      </c>
      <c r="D51" t="s">
        <v>5</v>
      </c>
      <c r="E51">
        <v>0.72815697261376189</v>
      </c>
      <c r="F51">
        <v>0.83754064439099363</v>
      </c>
      <c r="G51">
        <v>0.1093836717772317</v>
      </c>
    </row>
    <row r="52" spans="1:7" x14ac:dyDescent="0.3">
      <c r="A52" t="s">
        <v>30</v>
      </c>
      <c r="B52" t="s">
        <v>20</v>
      </c>
      <c r="C52" t="s">
        <v>21</v>
      </c>
      <c r="D52" t="s">
        <v>7</v>
      </c>
      <c r="E52">
        <v>0.6891004327243031</v>
      </c>
      <c r="F52">
        <v>0.77985128589487462</v>
      </c>
      <c r="G52">
        <v>9.0750853170571522E-2</v>
      </c>
    </row>
    <row r="53" spans="1:7" x14ac:dyDescent="0.3">
      <c r="A53" t="s">
        <v>30</v>
      </c>
      <c r="B53" t="s">
        <v>22</v>
      </c>
      <c r="C53" t="s">
        <v>23</v>
      </c>
      <c r="D53" t="s">
        <v>3</v>
      </c>
      <c r="E53">
        <v>0.72315462730299029</v>
      </c>
      <c r="F53">
        <v>0.799005790658605</v>
      </c>
      <c r="G53">
        <v>7.5851163355614704E-2</v>
      </c>
    </row>
    <row r="54" spans="1:7" x14ac:dyDescent="0.3">
      <c r="A54" t="s">
        <v>30</v>
      </c>
      <c r="B54" t="s">
        <v>22</v>
      </c>
      <c r="C54" t="s">
        <v>23</v>
      </c>
      <c r="D54" t="s">
        <v>5</v>
      </c>
      <c r="E54">
        <v>0.72819085793976934</v>
      </c>
      <c r="F54">
        <v>0.83896084722972974</v>
      </c>
      <c r="G54">
        <v>0.1107699892899604</v>
      </c>
    </row>
    <row r="55" spans="1:7" x14ac:dyDescent="0.3">
      <c r="A55" t="s">
        <v>30</v>
      </c>
      <c r="B55" t="s">
        <v>22</v>
      </c>
      <c r="C55" t="s">
        <v>23</v>
      </c>
      <c r="D55" t="s">
        <v>7</v>
      </c>
      <c r="E55">
        <v>0.6895194248840959</v>
      </c>
      <c r="F55">
        <v>0.78390505509427899</v>
      </c>
      <c r="G55">
        <v>9.4385630210183091E-2</v>
      </c>
    </row>
    <row r="56" spans="1:7" x14ac:dyDescent="0.3">
      <c r="A56" t="s">
        <v>30</v>
      </c>
      <c r="B56" t="s">
        <v>24</v>
      </c>
      <c r="C56" t="s">
        <v>25</v>
      </c>
      <c r="D56" t="s">
        <v>3</v>
      </c>
      <c r="E56">
        <v>0.70971458813488864</v>
      </c>
      <c r="F56">
        <v>0.81492869420386405</v>
      </c>
      <c r="G56">
        <v>0.1052141060689754</v>
      </c>
    </row>
    <row r="57" spans="1:7" x14ac:dyDescent="0.3">
      <c r="A57" t="s">
        <v>30</v>
      </c>
      <c r="B57" t="s">
        <v>24</v>
      </c>
      <c r="C57" t="s">
        <v>25</v>
      </c>
      <c r="D57" t="s">
        <v>5</v>
      </c>
      <c r="E57">
        <v>0.70211746265310992</v>
      </c>
      <c r="F57">
        <v>0.83203843842544722</v>
      </c>
      <c r="G57">
        <v>0.1299209757723373</v>
      </c>
    </row>
    <row r="58" spans="1:7" x14ac:dyDescent="0.3">
      <c r="A58" t="s">
        <v>30</v>
      </c>
      <c r="B58" t="s">
        <v>24</v>
      </c>
      <c r="C58" t="s">
        <v>25</v>
      </c>
      <c r="D58" t="s">
        <v>7</v>
      </c>
      <c r="E58">
        <v>0.69123040056983531</v>
      </c>
      <c r="F58">
        <v>0.78457272988844118</v>
      </c>
      <c r="G58">
        <v>9.3342329318605866E-2</v>
      </c>
    </row>
    <row r="59" spans="1:7" x14ac:dyDescent="0.3">
      <c r="A59" t="s">
        <v>30</v>
      </c>
      <c r="B59" t="s">
        <v>26</v>
      </c>
      <c r="C59" t="s">
        <v>27</v>
      </c>
      <c r="D59" t="s">
        <v>3</v>
      </c>
      <c r="E59">
        <v>0.76258496488722205</v>
      </c>
      <c r="F59">
        <v>0.84055849309696895</v>
      </c>
      <c r="G59">
        <v>7.7973528209746901E-2</v>
      </c>
    </row>
    <row r="60" spans="1:7" x14ac:dyDescent="0.3">
      <c r="A60" t="s">
        <v>30</v>
      </c>
      <c r="B60" t="s">
        <v>26</v>
      </c>
      <c r="C60" t="s">
        <v>27</v>
      </c>
      <c r="D60" t="s">
        <v>5</v>
      </c>
      <c r="E60">
        <v>0.76638494721801809</v>
      </c>
      <c r="F60">
        <v>0.84660585039251346</v>
      </c>
      <c r="G60">
        <v>8.0220903174495373E-2</v>
      </c>
    </row>
    <row r="61" spans="1:7" x14ac:dyDescent="0.3">
      <c r="A61" t="s">
        <v>30</v>
      </c>
      <c r="B61" t="s">
        <v>26</v>
      </c>
      <c r="C61" t="s">
        <v>27</v>
      </c>
      <c r="D61" t="s">
        <v>7</v>
      </c>
      <c r="E61">
        <v>0.73863343938483883</v>
      </c>
      <c r="F61">
        <v>0.80922192138308835</v>
      </c>
      <c r="G61">
        <v>7.0588481998249519E-2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61"/>
  <sheetViews>
    <sheetView workbookViewId="0"/>
  </sheetViews>
  <sheetFormatPr defaultRowHeight="14.4" x14ac:dyDescent="0.3"/>
  <sheetData>
    <row r="1" spans="1:16" x14ac:dyDescent="0.3">
      <c r="A1" s="1" t="s">
        <v>0</v>
      </c>
      <c r="B1" s="1" t="s">
        <v>1</v>
      </c>
      <c r="C1" s="1" t="s">
        <v>5242</v>
      </c>
      <c r="D1" s="1" t="s">
        <v>5243</v>
      </c>
      <c r="E1" s="1" t="s">
        <v>5244</v>
      </c>
      <c r="F1" s="1" t="s">
        <v>5245</v>
      </c>
      <c r="G1" s="1" t="s">
        <v>5246</v>
      </c>
      <c r="H1" s="1" t="s">
        <v>5247</v>
      </c>
      <c r="I1" s="1" t="s">
        <v>5248</v>
      </c>
      <c r="J1" s="1" t="s">
        <v>5249</v>
      </c>
      <c r="K1" s="1" t="s">
        <v>5250</v>
      </c>
      <c r="L1" s="1" t="s">
        <v>5251</v>
      </c>
      <c r="M1" s="1" t="s">
        <v>5252</v>
      </c>
      <c r="N1" s="1" t="s">
        <v>5253</v>
      </c>
      <c r="O1" s="1" t="s">
        <v>5254</v>
      </c>
      <c r="P1" s="1" t="s">
        <v>5255</v>
      </c>
    </row>
    <row r="2" spans="1:16" x14ac:dyDescent="0.3">
      <c r="A2" t="s">
        <v>30</v>
      </c>
      <c r="B2" t="s">
        <v>18</v>
      </c>
      <c r="C2" t="s">
        <v>5256</v>
      </c>
      <c r="D2" t="s">
        <v>5257</v>
      </c>
      <c r="E2">
        <v>20</v>
      </c>
      <c r="F2">
        <v>0.65753424657534265</v>
      </c>
      <c r="G2">
        <v>2.2781295785038269E-16</v>
      </c>
      <c r="H2">
        <v>0.81278979434377663</v>
      </c>
      <c r="I2">
        <v>1.0493310825935071E-2</v>
      </c>
      <c r="J2">
        <v>0.1552555477684342</v>
      </c>
      <c r="K2">
        <v>66.168240787482574</v>
      </c>
      <c r="L2">
        <v>6.2467388756592831E-24</v>
      </c>
      <c r="M2" t="b">
        <v>1</v>
      </c>
      <c r="N2">
        <v>0</v>
      </c>
      <c r="O2">
        <v>8.8073680352755032E-5</v>
      </c>
      <c r="P2" t="b">
        <v>1</v>
      </c>
    </row>
    <row r="3" spans="1:16" x14ac:dyDescent="0.3">
      <c r="A3" t="s">
        <v>30</v>
      </c>
      <c r="B3" t="s">
        <v>18</v>
      </c>
      <c r="C3" t="s">
        <v>5256</v>
      </c>
      <c r="D3" t="s">
        <v>5258</v>
      </c>
      <c r="E3">
        <v>20</v>
      </c>
      <c r="F3">
        <v>0.62735343862295778</v>
      </c>
      <c r="G3">
        <v>4.487996896412186E-3</v>
      </c>
      <c r="H3">
        <v>0.83362573254823613</v>
      </c>
      <c r="I3">
        <v>6.229199166007897E-3</v>
      </c>
      <c r="J3">
        <v>0.20627229392527821</v>
      </c>
      <c r="K3">
        <v>107.04308153918009</v>
      </c>
      <c r="L3">
        <v>6.8688970336021084E-28</v>
      </c>
      <c r="M3" t="b">
        <v>1</v>
      </c>
      <c r="N3">
        <v>0</v>
      </c>
      <c r="O3">
        <v>8.8198702041944528E-5</v>
      </c>
      <c r="P3" t="b">
        <v>1</v>
      </c>
    </row>
    <row r="4" spans="1:16" x14ac:dyDescent="0.3">
      <c r="A4" t="s">
        <v>30</v>
      </c>
      <c r="B4" t="s">
        <v>18</v>
      </c>
      <c r="C4" t="s">
        <v>5256</v>
      </c>
      <c r="D4" t="s">
        <v>5259</v>
      </c>
      <c r="E4">
        <v>20</v>
      </c>
      <c r="F4">
        <v>0.66407607440439165</v>
      </c>
      <c r="G4">
        <v>9.4151066972386003E-4</v>
      </c>
      <c r="H4">
        <v>0.78109950717551058</v>
      </c>
      <c r="I4">
        <v>7.9348035267386863E-3</v>
      </c>
      <c r="J4">
        <v>0.1170234327711189</v>
      </c>
      <c r="K4">
        <v>68.899396296339447</v>
      </c>
      <c r="L4">
        <v>2.905508868468971E-24</v>
      </c>
      <c r="M4" t="b">
        <v>1</v>
      </c>
      <c r="N4">
        <v>0</v>
      </c>
      <c r="O4">
        <v>8.8323858630812773E-5</v>
      </c>
      <c r="P4" t="b">
        <v>1</v>
      </c>
    </row>
    <row r="5" spans="1:16" x14ac:dyDescent="0.3">
      <c r="A5" t="s">
        <v>30</v>
      </c>
      <c r="B5" t="s">
        <v>20</v>
      </c>
      <c r="C5" t="s">
        <v>5256</v>
      </c>
      <c r="D5" t="s">
        <v>5257</v>
      </c>
      <c r="E5">
        <v>20</v>
      </c>
      <c r="F5">
        <v>0.71846002441823287</v>
      </c>
      <c r="G5">
        <v>2.36840154326514E-2</v>
      </c>
      <c r="H5">
        <v>0.79948865858925133</v>
      </c>
      <c r="I5">
        <v>1.2902439324731049E-2</v>
      </c>
      <c r="J5">
        <v>8.1028634171018604E-2</v>
      </c>
      <c r="K5">
        <v>16.251208972910739</v>
      </c>
      <c r="L5">
        <v>1.334027832319395E-12</v>
      </c>
      <c r="M5" t="b">
        <v>1</v>
      </c>
      <c r="N5">
        <v>0</v>
      </c>
      <c r="O5">
        <v>1.9073486328125E-6</v>
      </c>
      <c r="P5" t="b">
        <v>1</v>
      </c>
    </row>
    <row r="6" spans="1:16" x14ac:dyDescent="0.3">
      <c r="A6" t="s">
        <v>30</v>
      </c>
      <c r="B6" t="s">
        <v>20</v>
      </c>
      <c r="C6" t="s">
        <v>5256</v>
      </c>
      <c r="D6" t="s">
        <v>5258</v>
      </c>
      <c r="E6">
        <v>20</v>
      </c>
      <c r="F6">
        <v>0.72815697261376189</v>
      </c>
      <c r="G6">
        <v>3.0732392434600062E-2</v>
      </c>
      <c r="H6">
        <v>0.83754064439099363</v>
      </c>
      <c r="I6">
        <v>9.0291163117868067E-3</v>
      </c>
      <c r="J6">
        <v>0.109383671777232</v>
      </c>
      <c r="K6">
        <v>14.303595018260349</v>
      </c>
      <c r="L6">
        <v>1.2663179186508929E-11</v>
      </c>
      <c r="M6" t="b">
        <v>1</v>
      </c>
      <c r="N6">
        <v>0</v>
      </c>
      <c r="O6">
        <v>1.9073486328125E-6</v>
      </c>
      <c r="P6" t="b">
        <v>1</v>
      </c>
    </row>
    <row r="7" spans="1:16" x14ac:dyDescent="0.3">
      <c r="A7" t="s">
        <v>30</v>
      </c>
      <c r="B7" t="s">
        <v>20</v>
      </c>
      <c r="C7" t="s">
        <v>5256</v>
      </c>
      <c r="D7" t="s">
        <v>5259</v>
      </c>
      <c r="E7">
        <v>20</v>
      </c>
      <c r="F7">
        <v>0.6891004327243031</v>
      </c>
      <c r="G7">
        <v>3.6390662873776743E-2</v>
      </c>
      <c r="H7">
        <v>0.77985128589487462</v>
      </c>
      <c r="I7">
        <v>1.217333136803549E-2</v>
      </c>
      <c r="J7">
        <v>9.0750853170571549E-2</v>
      </c>
      <c r="K7">
        <v>11.60196381666402</v>
      </c>
      <c r="L7">
        <v>4.5702534844126901E-10</v>
      </c>
      <c r="M7" t="b">
        <v>1</v>
      </c>
      <c r="N7">
        <v>0</v>
      </c>
      <c r="O7">
        <v>1.9073486328125E-6</v>
      </c>
      <c r="P7" t="b">
        <v>1</v>
      </c>
    </row>
    <row r="8" spans="1:16" x14ac:dyDescent="0.3">
      <c r="A8" t="s">
        <v>30</v>
      </c>
      <c r="B8" t="s">
        <v>22</v>
      </c>
      <c r="C8" t="s">
        <v>5256</v>
      </c>
      <c r="D8" t="s">
        <v>5257</v>
      </c>
      <c r="E8">
        <v>20</v>
      </c>
      <c r="F8">
        <v>0.72315462730299029</v>
      </c>
      <c r="G8">
        <v>2.4964894936206489E-2</v>
      </c>
      <c r="H8">
        <v>0.799005790658605</v>
      </c>
      <c r="I8">
        <v>1.116906873250002E-2</v>
      </c>
      <c r="J8">
        <v>7.5851163355614634E-2</v>
      </c>
      <c r="K8">
        <v>13.198678048599721</v>
      </c>
      <c r="L8">
        <v>5.1060264118126393E-11</v>
      </c>
      <c r="M8" t="b">
        <v>1</v>
      </c>
      <c r="N8">
        <v>0</v>
      </c>
      <c r="O8">
        <v>1.9073486328125E-6</v>
      </c>
      <c r="P8" t="b">
        <v>1</v>
      </c>
    </row>
    <row r="9" spans="1:16" x14ac:dyDescent="0.3">
      <c r="A9" t="s">
        <v>30</v>
      </c>
      <c r="B9" t="s">
        <v>22</v>
      </c>
      <c r="C9" t="s">
        <v>5256</v>
      </c>
      <c r="D9" t="s">
        <v>5258</v>
      </c>
      <c r="E9">
        <v>20</v>
      </c>
      <c r="F9">
        <v>0.72819085793976934</v>
      </c>
      <c r="G9">
        <v>3.0997995647196019E-2</v>
      </c>
      <c r="H9">
        <v>0.83896084722972974</v>
      </c>
      <c r="I9">
        <v>9.7406439870224727E-3</v>
      </c>
      <c r="J9">
        <v>0.1107699892899604</v>
      </c>
      <c r="K9">
        <v>15.0422040070194</v>
      </c>
      <c r="L9">
        <v>5.2385549753708344E-12</v>
      </c>
      <c r="M9" t="b">
        <v>1</v>
      </c>
      <c r="N9">
        <v>0</v>
      </c>
      <c r="O9">
        <v>1.9073486328125E-6</v>
      </c>
      <c r="P9" t="b">
        <v>1</v>
      </c>
    </row>
    <row r="10" spans="1:16" x14ac:dyDescent="0.3">
      <c r="A10" t="s">
        <v>30</v>
      </c>
      <c r="B10" t="s">
        <v>22</v>
      </c>
      <c r="C10" t="s">
        <v>5256</v>
      </c>
      <c r="D10" t="s">
        <v>5259</v>
      </c>
      <c r="E10">
        <v>20</v>
      </c>
      <c r="F10">
        <v>0.6895194248840959</v>
      </c>
      <c r="G10">
        <v>3.5452766210791867E-2</v>
      </c>
      <c r="H10">
        <v>0.78390505509427899</v>
      </c>
      <c r="I10">
        <v>1.1048797537822411E-2</v>
      </c>
      <c r="J10">
        <v>9.4385630210183036E-2</v>
      </c>
      <c r="K10">
        <v>12.334953126893939</v>
      </c>
      <c r="L10">
        <v>1.6252033930111589E-10</v>
      </c>
      <c r="M10" t="b">
        <v>1</v>
      </c>
      <c r="N10">
        <v>0</v>
      </c>
      <c r="O10">
        <v>1.9073486328125E-6</v>
      </c>
      <c r="P10" t="b">
        <v>1</v>
      </c>
    </row>
    <row r="11" spans="1:16" x14ac:dyDescent="0.3">
      <c r="A11" t="s">
        <v>30</v>
      </c>
      <c r="B11" t="s">
        <v>24</v>
      </c>
      <c r="C11" t="s">
        <v>5256</v>
      </c>
      <c r="D11" t="s">
        <v>5257</v>
      </c>
      <c r="E11">
        <v>20</v>
      </c>
      <c r="F11">
        <v>0.70971458813488864</v>
      </c>
      <c r="G11">
        <v>2.2044055212256539E-2</v>
      </c>
      <c r="H11">
        <v>0.81492869420386405</v>
      </c>
      <c r="I11">
        <v>1.170868697118954E-2</v>
      </c>
      <c r="J11">
        <v>0.10521410606897549</v>
      </c>
      <c r="K11">
        <v>18.465594451141069</v>
      </c>
      <c r="L11">
        <v>1.3521231045894321E-13</v>
      </c>
      <c r="M11" t="b">
        <v>1</v>
      </c>
      <c r="N11">
        <v>0</v>
      </c>
      <c r="O11">
        <v>1.9073486328125E-6</v>
      </c>
      <c r="P11" t="b">
        <v>1</v>
      </c>
    </row>
    <row r="12" spans="1:16" x14ac:dyDescent="0.3">
      <c r="A12" t="s">
        <v>30</v>
      </c>
      <c r="B12" t="s">
        <v>24</v>
      </c>
      <c r="C12" t="s">
        <v>5256</v>
      </c>
      <c r="D12" t="s">
        <v>5258</v>
      </c>
      <c r="E12">
        <v>20</v>
      </c>
      <c r="F12">
        <v>0.70211746265310992</v>
      </c>
      <c r="G12">
        <v>2.009957683530884E-2</v>
      </c>
      <c r="H12">
        <v>0.83203843842544722</v>
      </c>
      <c r="I12">
        <v>8.2406377692338696E-3</v>
      </c>
      <c r="J12">
        <v>0.12992097577233719</v>
      </c>
      <c r="K12">
        <v>26.822114644990251</v>
      </c>
      <c r="L12">
        <v>1.4494762326274729E-16</v>
      </c>
      <c r="M12" t="b">
        <v>1</v>
      </c>
      <c r="N12">
        <v>0</v>
      </c>
      <c r="O12">
        <v>1.9073486328125E-6</v>
      </c>
      <c r="P12" t="b">
        <v>1</v>
      </c>
    </row>
    <row r="13" spans="1:16" x14ac:dyDescent="0.3">
      <c r="A13" t="s">
        <v>30</v>
      </c>
      <c r="B13" t="s">
        <v>24</v>
      </c>
      <c r="C13" t="s">
        <v>5256</v>
      </c>
      <c r="D13" t="s">
        <v>5259</v>
      </c>
      <c r="E13">
        <v>20</v>
      </c>
      <c r="F13">
        <v>0.69123040056983531</v>
      </c>
      <c r="G13">
        <v>1.9936273999926538E-2</v>
      </c>
      <c r="H13">
        <v>0.78457272988844118</v>
      </c>
      <c r="I13">
        <v>1.287195604152448E-2</v>
      </c>
      <c r="J13">
        <v>9.3342329318605685E-2</v>
      </c>
      <c r="K13">
        <v>19.444259525109949</v>
      </c>
      <c r="L13">
        <v>5.3124027489454453E-14</v>
      </c>
      <c r="M13" t="b">
        <v>1</v>
      </c>
      <c r="N13">
        <v>0</v>
      </c>
      <c r="O13">
        <v>1.9073486328125E-6</v>
      </c>
      <c r="P13" t="b">
        <v>1</v>
      </c>
    </row>
    <row r="14" spans="1:16" x14ac:dyDescent="0.3">
      <c r="A14" t="s">
        <v>30</v>
      </c>
      <c r="B14" t="s">
        <v>26</v>
      </c>
      <c r="C14" t="s">
        <v>5256</v>
      </c>
      <c r="D14" t="s">
        <v>5257</v>
      </c>
      <c r="E14">
        <v>20</v>
      </c>
      <c r="F14">
        <v>0.76258496488722205</v>
      </c>
      <c r="G14">
        <v>1.109240799631574E-2</v>
      </c>
      <c r="H14">
        <v>0.84055849309696895</v>
      </c>
      <c r="I14">
        <v>1.2323308339859659E-2</v>
      </c>
      <c r="J14">
        <v>7.7973528209746998E-2</v>
      </c>
      <c r="K14">
        <v>22.899436698868449</v>
      </c>
      <c r="L14">
        <v>2.6821087720643661E-15</v>
      </c>
      <c r="M14" t="b">
        <v>1</v>
      </c>
      <c r="N14">
        <v>0</v>
      </c>
      <c r="O14">
        <v>1.9073486328125E-6</v>
      </c>
      <c r="P14" t="b">
        <v>1</v>
      </c>
    </row>
    <row r="15" spans="1:16" x14ac:dyDescent="0.3">
      <c r="A15" t="s">
        <v>30</v>
      </c>
      <c r="B15" t="s">
        <v>26</v>
      </c>
      <c r="C15" t="s">
        <v>5256</v>
      </c>
      <c r="D15" t="s">
        <v>5258</v>
      </c>
      <c r="E15">
        <v>20</v>
      </c>
      <c r="F15">
        <v>0.76638494721801809</v>
      </c>
      <c r="G15">
        <v>1.520014493183324E-2</v>
      </c>
      <c r="H15">
        <v>0.84660585039251346</v>
      </c>
      <c r="I15">
        <v>7.8277960280364843E-3</v>
      </c>
      <c r="J15">
        <v>8.0220903174495387E-2</v>
      </c>
      <c r="K15">
        <v>18.94495449206903</v>
      </c>
      <c r="L15">
        <v>8.5098038145507008E-14</v>
      </c>
      <c r="M15" t="b">
        <v>1</v>
      </c>
      <c r="N15">
        <v>0</v>
      </c>
      <c r="O15">
        <v>1.9073486328125E-6</v>
      </c>
      <c r="P15" t="b">
        <v>1</v>
      </c>
    </row>
    <row r="16" spans="1:16" x14ac:dyDescent="0.3">
      <c r="A16" t="s">
        <v>30</v>
      </c>
      <c r="B16" t="s">
        <v>26</v>
      </c>
      <c r="C16" t="s">
        <v>5256</v>
      </c>
      <c r="D16" t="s">
        <v>5259</v>
      </c>
      <c r="E16">
        <v>20</v>
      </c>
      <c r="F16">
        <v>0.73863343938483883</v>
      </c>
      <c r="G16">
        <v>1.717261202481575E-2</v>
      </c>
      <c r="H16">
        <v>0.80922192138308835</v>
      </c>
      <c r="I16">
        <v>1.032926576654309E-2</v>
      </c>
      <c r="J16">
        <v>7.0588481998249478E-2</v>
      </c>
      <c r="K16">
        <v>14.28114437875211</v>
      </c>
      <c r="L16">
        <v>1.301528183545092E-11</v>
      </c>
      <c r="M16" t="b">
        <v>1</v>
      </c>
      <c r="N16">
        <v>0</v>
      </c>
      <c r="O16">
        <v>1.9073486328125E-6</v>
      </c>
      <c r="P16" t="b">
        <v>1</v>
      </c>
    </row>
    <row r="17" spans="1:16" x14ac:dyDescent="0.3">
      <c r="A17" t="s">
        <v>28</v>
      </c>
      <c r="B17" t="s">
        <v>18</v>
      </c>
      <c r="C17" t="s">
        <v>5256</v>
      </c>
      <c r="D17" t="s">
        <v>5257</v>
      </c>
      <c r="E17">
        <v>20</v>
      </c>
      <c r="F17">
        <v>0.70744680851063835</v>
      </c>
      <c r="G17">
        <v>2.2781295785038269E-16</v>
      </c>
      <c r="H17">
        <v>0.82436639396885947</v>
      </c>
      <c r="I17">
        <v>1.2613510219487501E-2</v>
      </c>
      <c r="J17">
        <v>0.1169195854582214</v>
      </c>
      <c r="K17">
        <v>41.453986469485969</v>
      </c>
      <c r="L17">
        <v>4.2466202564876497E-20</v>
      </c>
      <c r="M17" t="b">
        <v>1</v>
      </c>
      <c r="N17">
        <v>0</v>
      </c>
      <c r="O17">
        <v>8.8323858630812773E-5</v>
      </c>
      <c r="P17" t="b">
        <v>1</v>
      </c>
    </row>
    <row r="18" spans="1:16" x14ac:dyDescent="0.3">
      <c r="A18" t="s">
        <v>28</v>
      </c>
      <c r="B18" t="s">
        <v>18</v>
      </c>
      <c r="C18" t="s">
        <v>5256</v>
      </c>
      <c r="D18" t="s">
        <v>5258</v>
      </c>
      <c r="E18">
        <v>20</v>
      </c>
      <c r="F18">
        <v>0.73057104586955313</v>
      </c>
      <c r="G18">
        <v>6.0819190793622623E-3</v>
      </c>
      <c r="H18">
        <v>0.84665880076631728</v>
      </c>
      <c r="I18">
        <v>8.0643158468099146E-3</v>
      </c>
      <c r="J18">
        <v>0.116087754896764</v>
      </c>
      <c r="K18">
        <v>48.819922147596174</v>
      </c>
      <c r="L18">
        <v>1.9519368016527419E-21</v>
      </c>
      <c r="M18" t="b">
        <v>1</v>
      </c>
      <c r="N18">
        <v>0</v>
      </c>
      <c r="O18">
        <v>8.8449150212119008E-5</v>
      </c>
      <c r="P18" t="b">
        <v>1</v>
      </c>
    </row>
    <row r="19" spans="1:16" x14ac:dyDescent="0.3">
      <c r="A19" t="s">
        <v>28</v>
      </c>
      <c r="B19" t="s">
        <v>18</v>
      </c>
      <c r="C19" t="s">
        <v>5256</v>
      </c>
      <c r="D19" t="s">
        <v>5259</v>
      </c>
      <c r="E19">
        <v>20</v>
      </c>
      <c r="F19">
        <v>0.70511025193707066</v>
      </c>
      <c r="G19">
        <v>1.352687235369599E-3</v>
      </c>
      <c r="H19">
        <v>0.83614723452310324</v>
      </c>
      <c r="I19">
        <v>6.5103702142480556E-3</v>
      </c>
      <c r="J19">
        <v>0.13103698258603241</v>
      </c>
      <c r="K19">
        <v>86.263727368672903</v>
      </c>
      <c r="L19">
        <v>4.1139082907354508E-26</v>
      </c>
      <c r="M19" t="b">
        <v>1</v>
      </c>
      <c r="N19">
        <v>0</v>
      </c>
      <c r="O19">
        <v>8.8198702041944528E-5</v>
      </c>
      <c r="P19" t="b">
        <v>1</v>
      </c>
    </row>
    <row r="20" spans="1:16" x14ac:dyDescent="0.3">
      <c r="A20" t="s">
        <v>28</v>
      </c>
      <c r="B20" t="s">
        <v>20</v>
      </c>
      <c r="C20" t="s">
        <v>5256</v>
      </c>
      <c r="D20" t="s">
        <v>5257</v>
      </c>
      <c r="E20">
        <v>20</v>
      </c>
      <c r="F20">
        <v>0.64704887584757764</v>
      </c>
      <c r="G20">
        <v>0.11132152604117961</v>
      </c>
      <c r="H20">
        <v>0.8159557413375087</v>
      </c>
      <c r="I20">
        <v>6.5993900177811976E-3</v>
      </c>
      <c r="J20">
        <v>0.16890686548993111</v>
      </c>
      <c r="K20">
        <v>6.8140331870555384</v>
      </c>
      <c r="L20">
        <v>1.6650665884907911E-6</v>
      </c>
      <c r="M20" t="b">
        <v>1</v>
      </c>
      <c r="N20">
        <v>0</v>
      </c>
      <c r="O20">
        <v>1.9073486328125E-6</v>
      </c>
      <c r="P20" t="b">
        <v>1</v>
      </c>
    </row>
    <row r="21" spans="1:16" x14ac:dyDescent="0.3">
      <c r="A21" t="s">
        <v>28</v>
      </c>
      <c r="B21" t="s">
        <v>20</v>
      </c>
      <c r="C21" t="s">
        <v>5256</v>
      </c>
      <c r="D21" t="s">
        <v>5258</v>
      </c>
      <c r="E21">
        <v>20</v>
      </c>
      <c r="F21">
        <v>0.63439021292293629</v>
      </c>
      <c r="G21">
        <v>0.14351280459786939</v>
      </c>
      <c r="H21">
        <v>0.83591913859789513</v>
      </c>
      <c r="I21">
        <v>8.6014899590185177E-3</v>
      </c>
      <c r="J21">
        <v>0.20152892567495881</v>
      </c>
      <c r="K21">
        <v>6.2305994773841578</v>
      </c>
      <c r="L21">
        <v>5.5222363618482166E-6</v>
      </c>
      <c r="M21" t="b">
        <v>1</v>
      </c>
      <c r="N21">
        <v>0</v>
      </c>
      <c r="O21">
        <v>1.9073486328125E-6</v>
      </c>
      <c r="P21" t="b">
        <v>1</v>
      </c>
    </row>
    <row r="22" spans="1:16" x14ac:dyDescent="0.3">
      <c r="A22" t="s">
        <v>28</v>
      </c>
      <c r="B22" t="s">
        <v>20</v>
      </c>
      <c r="C22" t="s">
        <v>5256</v>
      </c>
      <c r="D22" t="s">
        <v>5259</v>
      </c>
      <c r="E22">
        <v>20</v>
      </c>
      <c r="F22">
        <v>0.62779772607825912</v>
      </c>
      <c r="G22">
        <v>0.1046080021710174</v>
      </c>
      <c r="H22">
        <v>0.82874574279401192</v>
      </c>
      <c r="I22">
        <v>1.2713987503011181E-2</v>
      </c>
      <c r="J22">
        <v>0.20094801671575269</v>
      </c>
      <c r="K22">
        <v>8.4446937353036944</v>
      </c>
      <c r="L22">
        <v>7.4356639961830458E-8</v>
      </c>
      <c r="M22" t="b">
        <v>1</v>
      </c>
      <c r="N22">
        <v>0</v>
      </c>
      <c r="O22">
        <v>1.9073486328125E-6</v>
      </c>
      <c r="P22" t="b">
        <v>1</v>
      </c>
    </row>
    <row r="23" spans="1:16" x14ac:dyDescent="0.3">
      <c r="A23" t="s">
        <v>28</v>
      </c>
      <c r="B23" t="s">
        <v>22</v>
      </c>
      <c r="C23" t="s">
        <v>5256</v>
      </c>
      <c r="D23" t="s">
        <v>5257</v>
      </c>
      <c r="E23">
        <v>20</v>
      </c>
      <c r="F23">
        <v>0.65224870088947029</v>
      </c>
      <c r="G23">
        <v>0.1157003573679769</v>
      </c>
      <c r="H23">
        <v>0.82165325309505288</v>
      </c>
      <c r="I23">
        <v>7.2845941567600946E-3</v>
      </c>
      <c r="J23">
        <v>0.16940455220558251</v>
      </c>
      <c r="K23">
        <v>6.55174184710184</v>
      </c>
      <c r="L23">
        <v>2.8384706649980131E-6</v>
      </c>
      <c r="M23" t="b">
        <v>1</v>
      </c>
      <c r="N23">
        <v>0</v>
      </c>
      <c r="O23">
        <v>1.9073486328125E-6</v>
      </c>
      <c r="P23" t="b">
        <v>1</v>
      </c>
    </row>
    <row r="24" spans="1:16" x14ac:dyDescent="0.3">
      <c r="A24" t="s">
        <v>28</v>
      </c>
      <c r="B24" t="s">
        <v>22</v>
      </c>
      <c r="C24" t="s">
        <v>5256</v>
      </c>
      <c r="D24" t="s">
        <v>5258</v>
      </c>
      <c r="E24">
        <v>20</v>
      </c>
      <c r="F24">
        <v>0.6390280743528417</v>
      </c>
      <c r="G24">
        <v>0.14660029812997211</v>
      </c>
      <c r="H24">
        <v>0.84585671257670614</v>
      </c>
      <c r="I24">
        <v>8.3360766695843996E-3</v>
      </c>
      <c r="J24">
        <v>0.20682863822386449</v>
      </c>
      <c r="K24">
        <v>6.2194983131797343</v>
      </c>
      <c r="L24">
        <v>5.6521129253128057E-6</v>
      </c>
      <c r="M24" t="b">
        <v>1</v>
      </c>
      <c r="N24">
        <v>0</v>
      </c>
      <c r="O24">
        <v>1.9073486328125E-6</v>
      </c>
      <c r="P24" t="b">
        <v>1</v>
      </c>
    </row>
    <row r="25" spans="1:16" x14ac:dyDescent="0.3">
      <c r="A25" t="s">
        <v>28</v>
      </c>
      <c r="B25" t="s">
        <v>22</v>
      </c>
      <c r="C25" t="s">
        <v>5256</v>
      </c>
      <c r="D25" t="s">
        <v>5259</v>
      </c>
      <c r="E25">
        <v>20</v>
      </c>
      <c r="F25">
        <v>0.63513909287180803</v>
      </c>
      <c r="G25">
        <v>0.110344887730097</v>
      </c>
      <c r="H25">
        <v>0.83827538654139322</v>
      </c>
      <c r="I25">
        <v>1.0276886302129491E-2</v>
      </c>
      <c r="J25">
        <v>0.20313629366958499</v>
      </c>
      <c r="K25">
        <v>8.0571845278039511</v>
      </c>
      <c r="L25">
        <v>1.5074645170814971E-7</v>
      </c>
      <c r="M25" t="b">
        <v>1</v>
      </c>
      <c r="N25">
        <v>0</v>
      </c>
      <c r="O25">
        <v>1.9073486328125E-6</v>
      </c>
      <c r="P25" t="b">
        <v>1</v>
      </c>
    </row>
    <row r="26" spans="1:16" x14ac:dyDescent="0.3">
      <c r="A26" t="s">
        <v>28</v>
      </c>
      <c r="B26" t="s">
        <v>24</v>
      </c>
      <c r="C26" t="s">
        <v>5256</v>
      </c>
      <c r="D26" t="s">
        <v>5257</v>
      </c>
      <c r="E26">
        <v>20</v>
      </c>
      <c r="F26">
        <v>0.71525238415735448</v>
      </c>
      <c r="G26">
        <v>9.6972907891011168E-3</v>
      </c>
      <c r="H26">
        <v>0.82288888041069375</v>
      </c>
      <c r="I26">
        <v>1.071932521984607E-2</v>
      </c>
      <c r="J26">
        <v>0.107636496253339</v>
      </c>
      <c r="K26">
        <v>28.252128470689989</v>
      </c>
      <c r="L26">
        <v>5.5283522607657982E-17</v>
      </c>
      <c r="M26" t="b">
        <v>1</v>
      </c>
      <c r="N26">
        <v>0</v>
      </c>
      <c r="O26">
        <v>1.9073486328125E-6</v>
      </c>
      <c r="P26" t="b">
        <v>1</v>
      </c>
    </row>
    <row r="27" spans="1:16" x14ac:dyDescent="0.3">
      <c r="A27" t="s">
        <v>28</v>
      </c>
      <c r="B27" t="s">
        <v>24</v>
      </c>
      <c r="C27" t="s">
        <v>5256</v>
      </c>
      <c r="D27" t="s">
        <v>5258</v>
      </c>
      <c r="E27">
        <v>20</v>
      </c>
      <c r="F27">
        <v>0.73881673180162033</v>
      </c>
      <c r="G27">
        <v>1.2072209198014411E-2</v>
      </c>
      <c r="H27">
        <v>0.84783112605914435</v>
      </c>
      <c r="I27">
        <v>7.5188100912061354E-3</v>
      </c>
      <c r="J27">
        <v>0.109014394257524</v>
      </c>
      <c r="K27">
        <v>33.973101829853228</v>
      </c>
      <c r="L27">
        <v>1.7753403254667692E-18</v>
      </c>
      <c r="M27" t="b">
        <v>1</v>
      </c>
      <c r="N27">
        <v>0</v>
      </c>
      <c r="O27">
        <v>1.9073486328125E-6</v>
      </c>
      <c r="P27" t="b">
        <v>1</v>
      </c>
    </row>
    <row r="28" spans="1:16" x14ac:dyDescent="0.3">
      <c r="A28" t="s">
        <v>28</v>
      </c>
      <c r="B28" t="s">
        <v>24</v>
      </c>
      <c r="C28" t="s">
        <v>5256</v>
      </c>
      <c r="D28" t="s">
        <v>5259</v>
      </c>
      <c r="E28">
        <v>20</v>
      </c>
      <c r="F28">
        <v>0.71044711573758856</v>
      </c>
      <c r="G28">
        <v>1.298505910158191E-2</v>
      </c>
      <c r="H28">
        <v>0.83552702516223898</v>
      </c>
      <c r="I28">
        <v>9.4922486907181823E-3</v>
      </c>
      <c r="J28">
        <v>0.12507990942465039</v>
      </c>
      <c r="K28">
        <v>31.98164426271607</v>
      </c>
      <c r="L28">
        <v>5.489987988217269E-18</v>
      </c>
      <c r="M28" t="b">
        <v>1</v>
      </c>
      <c r="N28">
        <v>0</v>
      </c>
      <c r="O28">
        <v>1.9073486328125E-6</v>
      </c>
      <c r="P28" t="b">
        <v>1</v>
      </c>
    </row>
    <row r="29" spans="1:16" x14ac:dyDescent="0.3">
      <c r="A29" t="s">
        <v>28</v>
      </c>
      <c r="B29" t="s">
        <v>26</v>
      </c>
      <c r="C29" t="s">
        <v>5256</v>
      </c>
      <c r="D29" t="s">
        <v>5257</v>
      </c>
      <c r="E29">
        <v>20</v>
      </c>
      <c r="F29">
        <v>0.78997537875370027</v>
      </c>
      <c r="G29">
        <v>2.8101796279328049E-2</v>
      </c>
      <c r="H29">
        <v>0.84437106741985379</v>
      </c>
      <c r="I29">
        <v>1.192292097436233E-2</v>
      </c>
      <c r="J29">
        <v>5.4395688666153449E-2</v>
      </c>
      <c r="K29">
        <v>7.908811949917423</v>
      </c>
      <c r="L29">
        <v>1.9862202225111609E-7</v>
      </c>
      <c r="M29" t="b">
        <v>1</v>
      </c>
      <c r="N29">
        <v>0</v>
      </c>
      <c r="O29">
        <v>1.9073486328125E-6</v>
      </c>
      <c r="P29" t="b">
        <v>1</v>
      </c>
    </row>
    <row r="30" spans="1:16" x14ac:dyDescent="0.3">
      <c r="A30" t="s">
        <v>28</v>
      </c>
      <c r="B30" t="s">
        <v>26</v>
      </c>
      <c r="C30" t="s">
        <v>5256</v>
      </c>
      <c r="D30" t="s">
        <v>5258</v>
      </c>
      <c r="E30">
        <v>20</v>
      </c>
      <c r="F30">
        <v>0.79533462011526701</v>
      </c>
      <c r="G30">
        <v>3.0389165160448841E-2</v>
      </c>
      <c r="H30">
        <v>0.85182050611420124</v>
      </c>
      <c r="I30">
        <v>7.9883507070205931E-3</v>
      </c>
      <c r="J30">
        <v>5.6485885998934053E-2</v>
      </c>
      <c r="K30">
        <v>7.7388615076845317</v>
      </c>
      <c r="L30">
        <v>2.7339184653642561E-7</v>
      </c>
      <c r="M30" t="b">
        <v>1</v>
      </c>
      <c r="N30">
        <v>0</v>
      </c>
      <c r="O30">
        <v>1.9073486328125E-6</v>
      </c>
      <c r="P30" t="b">
        <v>1</v>
      </c>
    </row>
    <row r="31" spans="1:16" x14ac:dyDescent="0.3">
      <c r="A31" t="s">
        <v>28</v>
      </c>
      <c r="B31" t="s">
        <v>26</v>
      </c>
      <c r="C31" t="s">
        <v>5256</v>
      </c>
      <c r="D31" t="s">
        <v>5259</v>
      </c>
      <c r="E31">
        <v>20</v>
      </c>
      <c r="F31">
        <v>0.77142140574425566</v>
      </c>
      <c r="G31">
        <v>2.4770365591543608E-2</v>
      </c>
      <c r="H31">
        <v>0.85735749448063125</v>
      </c>
      <c r="I31">
        <v>7.7227635027462436E-3</v>
      </c>
      <c r="J31">
        <v>8.5936088736375579E-2</v>
      </c>
      <c r="K31">
        <v>14.091091208188439</v>
      </c>
      <c r="L31">
        <v>1.6440542989227491E-11</v>
      </c>
      <c r="M31" t="b">
        <v>1</v>
      </c>
      <c r="N31">
        <v>0</v>
      </c>
      <c r="O31">
        <v>8.8323858630812773E-5</v>
      </c>
      <c r="P31" t="b">
        <v>1</v>
      </c>
    </row>
    <row r="32" spans="1:16" x14ac:dyDescent="0.3">
      <c r="A32" t="s">
        <v>17</v>
      </c>
      <c r="B32" t="s">
        <v>18</v>
      </c>
      <c r="C32" t="s">
        <v>5256</v>
      </c>
      <c r="D32" t="s">
        <v>5257</v>
      </c>
      <c r="E32">
        <v>20</v>
      </c>
      <c r="F32">
        <v>0.75409836065573754</v>
      </c>
      <c r="G32">
        <v>2.2781295785038269E-16</v>
      </c>
      <c r="H32">
        <v>0.80152097959524371</v>
      </c>
      <c r="I32">
        <v>1.060477126962335E-2</v>
      </c>
      <c r="J32">
        <v>4.7422618939506007E-2</v>
      </c>
      <c r="K32">
        <v>19.99858307619505</v>
      </c>
      <c r="L32">
        <v>3.1888673507570508E-14</v>
      </c>
      <c r="M32" t="b">
        <v>1</v>
      </c>
      <c r="N32">
        <v>0</v>
      </c>
      <c r="O32">
        <v>8.8449150212119008E-5</v>
      </c>
      <c r="P32" t="b">
        <v>1</v>
      </c>
    </row>
    <row r="33" spans="1:16" x14ac:dyDescent="0.3">
      <c r="A33" t="s">
        <v>17</v>
      </c>
      <c r="B33" t="s">
        <v>18</v>
      </c>
      <c r="C33" t="s">
        <v>5256</v>
      </c>
      <c r="D33" t="s">
        <v>5258</v>
      </c>
      <c r="E33">
        <v>20</v>
      </c>
      <c r="F33">
        <v>0.73799126637554591</v>
      </c>
      <c r="G33">
        <v>3.417194367755741E-16</v>
      </c>
      <c r="H33">
        <v>0.80826280371216563</v>
      </c>
      <c r="I33">
        <v>9.7207098558992917E-3</v>
      </c>
      <c r="J33">
        <v>7.027153733661981E-2</v>
      </c>
      <c r="K33">
        <v>32.329312714284207</v>
      </c>
      <c r="L33">
        <v>4.4862842769178001E-18</v>
      </c>
      <c r="M33" t="b">
        <v>1</v>
      </c>
      <c r="N33">
        <v>0</v>
      </c>
      <c r="O33">
        <v>8.8449150212119008E-5</v>
      </c>
      <c r="P33" t="b">
        <v>1</v>
      </c>
    </row>
    <row r="34" spans="1:16" x14ac:dyDescent="0.3">
      <c r="A34" t="s">
        <v>17</v>
      </c>
      <c r="B34" t="s">
        <v>18</v>
      </c>
      <c r="C34" t="s">
        <v>5256</v>
      </c>
      <c r="D34" t="s">
        <v>5259</v>
      </c>
      <c r="E34">
        <v>20</v>
      </c>
      <c r="F34">
        <v>0.67181551858737554</v>
      </c>
      <c r="G34">
        <v>1.107677073143167E-2</v>
      </c>
      <c r="H34">
        <v>0.78054156427532351</v>
      </c>
      <c r="I34">
        <v>1.1008322858023931E-2</v>
      </c>
      <c r="J34">
        <v>0.1087260456879479</v>
      </c>
      <c r="K34">
        <v>40.744819173567201</v>
      </c>
      <c r="L34">
        <v>5.8737987825915741E-20</v>
      </c>
      <c r="M34" t="b">
        <v>1</v>
      </c>
      <c r="N34">
        <v>0</v>
      </c>
      <c r="O34">
        <v>8.8449150212119008E-5</v>
      </c>
      <c r="P34" t="b">
        <v>1</v>
      </c>
    </row>
    <row r="35" spans="1:16" x14ac:dyDescent="0.3">
      <c r="A35" t="s">
        <v>17</v>
      </c>
      <c r="B35" t="s">
        <v>20</v>
      </c>
      <c r="C35" t="s">
        <v>5256</v>
      </c>
      <c r="D35" t="s">
        <v>5257</v>
      </c>
      <c r="E35">
        <v>20</v>
      </c>
      <c r="F35">
        <v>0.72685318253112807</v>
      </c>
      <c r="G35">
        <v>2.711582942219138E-2</v>
      </c>
      <c r="H35">
        <v>0.79726934236287383</v>
      </c>
      <c r="I35">
        <v>1.7485199884733078E-2</v>
      </c>
      <c r="J35">
        <v>7.0416159831745789E-2</v>
      </c>
      <c r="K35">
        <v>9.1828858779572133</v>
      </c>
      <c r="L35">
        <v>2.03993123615694E-8</v>
      </c>
      <c r="M35" t="b">
        <v>1</v>
      </c>
      <c r="N35">
        <v>0</v>
      </c>
      <c r="O35">
        <v>1.9073486328125E-6</v>
      </c>
      <c r="P35" t="b">
        <v>1</v>
      </c>
    </row>
    <row r="36" spans="1:16" x14ac:dyDescent="0.3">
      <c r="A36" t="s">
        <v>17</v>
      </c>
      <c r="B36" t="s">
        <v>20</v>
      </c>
      <c r="C36" t="s">
        <v>5256</v>
      </c>
      <c r="D36" t="s">
        <v>5258</v>
      </c>
      <c r="E36">
        <v>20</v>
      </c>
      <c r="F36">
        <v>0.76418618848387543</v>
      </c>
      <c r="G36">
        <v>2.416837065019407E-2</v>
      </c>
      <c r="H36">
        <v>0.82310019604609774</v>
      </c>
      <c r="I36">
        <v>8.7882860446541911E-3</v>
      </c>
      <c r="J36">
        <v>5.8914007562222391E-2</v>
      </c>
      <c r="K36">
        <v>10.055139147079251</v>
      </c>
      <c r="L36">
        <v>4.8165364368945554E-9</v>
      </c>
      <c r="M36" t="b">
        <v>1</v>
      </c>
      <c r="N36">
        <v>0</v>
      </c>
      <c r="O36">
        <v>1.9073486328125E-6</v>
      </c>
      <c r="P36" t="b">
        <v>1</v>
      </c>
    </row>
    <row r="37" spans="1:16" x14ac:dyDescent="0.3">
      <c r="A37" t="s">
        <v>17</v>
      </c>
      <c r="B37" t="s">
        <v>20</v>
      </c>
      <c r="C37" t="s">
        <v>5256</v>
      </c>
      <c r="D37" t="s">
        <v>5259</v>
      </c>
      <c r="E37">
        <v>20</v>
      </c>
      <c r="F37">
        <v>0.73106191340851212</v>
      </c>
      <c r="G37">
        <v>2.4010882971136429E-2</v>
      </c>
      <c r="H37">
        <v>0.78903841585384016</v>
      </c>
      <c r="I37">
        <v>1.00201427522628E-2</v>
      </c>
      <c r="J37">
        <v>5.7976502445328079E-2</v>
      </c>
      <c r="K37">
        <v>10.95176725319169</v>
      </c>
      <c r="L37">
        <v>1.193505908973659E-9</v>
      </c>
      <c r="M37" t="b">
        <v>1</v>
      </c>
      <c r="N37">
        <v>1</v>
      </c>
      <c r="O37">
        <v>3.814697265625E-6</v>
      </c>
      <c r="P37" t="b">
        <v>1</v>
      </c>
    </row>
    <row r="38" spans="1:16" x14ac:dyDescent="0.3">
      <c r="A38" t="s">
        <v>17</v>
      </c>
      <c r="B38" t="s">
        <v>22</v>
      </c>
      <c r="C38" t="s">
        <v>5256</v>
      </c>
      <c r="D38" t="s">
        <v>5257</v>
      </c>
      <c r="E38">
        <v>20</v>
      </c>
      <c r="F38">
        <v>0.73443891411821938</v>
      </c>
      <c r="G38">
        <v>2.8230272398329419E-2</v>
      </c>
      <c r="H38">
        <v>0.80508364855552872</v>
      </c>
      <c r="I38">
        <v>1.6875653448024022E-2</v>
      </c>
      <c r="J38">
        <v>7.0644734437309453E-2</v>
      </c>
      <c r="K38">
        <v>8.7833625326257714</v>
      </c>
      <c r="L38">
        <v>4.0732788048805691E-8</v>
      </c>
      <c r="M38" t="b">
        <v>1</v>
      </c>
      <c r="N38">
        <v>0</v>
      </c>
      <c r="O38">
        <v>1.9073486328125E-6</v>
      </c>
      <c r="P38" t="b">
        <v>1</v>
      </c>
    </row>
    <row r="39" spans="1:16" x14ac:dyDescent="0.3">
      <c r="A39" t="s">
        <v>17</v>
      </c>
      <c r="B39" t="s">
        <v>22</v>
      </c>
      <c r="C39" t="s">
        <v>5256</v>
      </c>
      <c r="D39" t="s">
        <v>5258</v>
      </c>
      <c r="E39">
        <v>20</v>
      </c>
      <c r="F39">
        <v>0.76395529316575772</v>
      </c>
      <c r="G39">
        <v>2.395682966990717E-2</v>
      </c>
      <c r="H39">
        <v>0.82769691671384182</v>
      </c>
      <c r="I39">
        <v>9.0495980960419112E-3</v>
      </c>
      <c r="J39">
        <v>6.3741623548084103E-2</v>
      </c>
      <c r="K39">
        <v>10.7056702691346</v>
      </c>
      <c r="L39">
        <v>1.735546482885685E-9</v>
      </c>
      <c r="M39" t="b">
        <v>1</v>
      </c>
      <c r="N39">
        <v>0</v>
      </c>
      <c r="O39">
        <v>1.9073486328125E-6</v>
      </c>
      <c r="P39" t="b">
        <v>1</v>
      </c>
    </row>
    <row r="40" spans="1:16" x14ac:dyDescent="0.3">
      <c r="A40" t="s">
        <v>17</v>
      </c>
      <c r="B40" t="s">
        <v>22</v>
      </c>
      <c r="C40" t="s">
        <v>5256</v>
      </c>
      <c r="D40" t="s">
        <v>5259</v>
      </c>
      <c r="E40">
        <v>20</v>
      </c>
      <c r="F40">
        <v>0.73744218323660449</v>
      </c>
      <c r="G40">
        <v>2.423260130306254E-2</v>
      </c>
      <c r="H40">
        <v>0.78995314067211686</v>
      </c>
      <c r="I40">
        <v>1.1122802345428741E-2</v>
      </c>
      <c r="J40">
        <v>5.2510957435512332E-2</v>
      </c>
      <c r="K40">
        <v>10.02593442403994</v>
      </c>
      <c r="L40">
        <v>5.0478736992888639E-9</v>
      </c>
      <c r="M40" t="b">
        <v>1</v>
      </c>
      <c r="N40">
        <v>1</v>
      </c>
      <c r="O40">
        <v>3.814697265625E-6</v>
      </c>
      <c r="P40" t="b">
        <v>1</v>
      </c>
    </row>
    <row r="41" spans="1:16" x14ac:dyDescent="0.3">
      <c r="A41" t="s">
        <v>17</v>
      </c>
      <c r="B41" t="s">
        <v>24</v>
      </c>
      <c r="C41" t="s">
        <v>5256</v>
      </c>
      <c r="D41" t="s">
        <v>5257</v>
      </c>
      <c r="E41">
        <v>20</v>
      </c>
      <c r="F41">
        <v>0.73789067129499541</v>
      </c>
      <c r="G41">
        <v>1.077979295725621E-2</v>
      </c>
      <c r="H41">
        <v>0.80682219808455946</v>
      </c>
      <c r="I41">
        <v>1.111700048782917E-2</v>
      </c>
      <c r="J41">
        <v>6.8931526789564088E-2</v>
      </c>
      <c r="K41">
        <v>19.9065827758163</v>
      </c>
      <c r="L41">
        <v>3.4676338340715437E-14</v>
      </c>
      <c r="M41" t="b">
        <v>1</v>
      </c>
      <c r="N41">
        <v>0</v>
      </c>
      <c r="O41">
        <v>1.9073486328125E-6</v>
      </c>
      <c r="P41" t="b">
        <v>1</v>
      </c>
    </row>
    <row r="42" spans="1:16" x14ac:dyDescent="0.3">
      <c r="A42" t="s">
        <v>17</v>
      </c>
      <c r="B42" t="s">
        <v>24</v>
      </c>
      <c r="C42" t="s">
        <v>5256</v>
      </c>
      <c r="D42" t="s">
        <v>5258</v>
      </c>
      <c r="E42">
        <v>20</v>
      </c>
      <c r="F42">
        <v>0.74547408305819629</v>
      </c>
      <c r="G42">
        <v>1.3113579321368359E-2</v>
      </c>
      <c r="H42">
        <v>0.8140709825197382</v>
      </c>
      <c r="I42">
        <v>1.1637444987473889E-2</v>
      </c>
      <c r="J42">
        <v>6.859689946154171E-2</v>
      </c>
      <c r="K42">
        <v>15.789821711705949</v>
      </c>
      <c r="L42">
        <v>2.2244105667472341E-12</v>
      </c>
      <c r="M42" t="b">
        <v>1</v>
      </c>
      <c r="N42">
        <v>0</v>
      </c>
      <c r="O42">
        <v>1.9073486328125E-6</v>
      </c>
      <c r="P42" t="b">
        <v>1</v>
      </c>
    </row>
    <row r="43" spans="1:16" x14ac:dyDescent="0.3">
      <c r="A43" t="s">
        <v>17</v>
      </c>
      <c r="B43" t="s">
        <v>24</v>
      </c>
      <c r="C43" t="s">
        <v>5256</v>
      </c>
      <c r="D43" t="s">
        <v>5259</v>
      </c>
      <c r="E43">
        <v>20</v>
      </c>
      <c r="F43">
        <v>0.68608841158229361</v>
      </c>
      <c r="G43">
        <v>1.4169352259998481E-2</v>
      </c>
      <c r="H43">
        <v>0.78834551932759178</v>
      </c>
      <c r="I43">
        <v>1.0753397160074731E-2</v>
      </c>
      <c r="J43">
        <v>0.102257107745298</v>
      </c>
      <c r="K43">
        <v>25.761307564373698</v>
      </c>
      <c r="L43">
        <v>3.0598382836509642E-16</v>
      </c>
      <c r="M43" t="b">
        <v>1</v>
      </c>
      <c r="N43">
        <v>0</v>
      </c>
      <c r="O43">
        <v>1.9073486328125E-6</v>
      </c>
      <c r="P43" t="b">
        <v>1</v>
      </c>
    </row>
    <row r="44" spans="1:16" x14ac:dyDescent="0.3">
      <c r="A44" t="s">
        <v>17</v>
      </c>
      <c r="B44" t="s">
        <v>26</v>
      </c>
      <c r="C44" t="s">
        <v>5256</v>
      </c>
      <c r="D44" t="s">
        <v>5257</v>
      </c>
      <c r="E44">
        <v>20</v>
      </c>
      <c r="F44">
        <v>0.81102868472690715</v>
      </c>
      <c r="G44">
        <v>1.304131814405087E-2</v>
      </c>
      <c r="H44">
        <v>0.84055704606398574</v>
      </c>
      <c r="I44">
        <v>1.3059294015161311E-2</v>
      </c>
      <c r="J44">
        <v>2.9528361337078621E-2</v>
      </c>
      <c r="K44">
        <v>7.0468151002173727</v>
      </c>
      <c r="L44">
        <v>1.045221391607633E-6</v>
      </c>
      <c r="M44" t="b">
        <v>1</v>
      </c>
      <c r="N44">
        <v>1</v>
      </c>
      <c r="O44">
        <v>3.814697265625E-6</v>
      </c>
      <c r="P44" t="b">
        <v>1</v>
      </c>
    </row>
    <row r="45" spans="1:16" x14ac:dyDescent="0.3">
      <c r="A45" t="s">
        <v>17</v>
      </c>
      <c r="B45" t="s">
        <v>26</v>
      </c>
      <c r="C45" t="s">
        <v>5256</v>
      </c>
      <c r="D45" t="s">
        <v>5258</v>
      </c>
      <c r="E45">
        <v>20</v>
      </c>
      <c r="F45">
        <v>0.80724123534896641</v>
      </c>
      <c r="G45">
        <v>1.003303159498518E-2</v>
      </c>
      <c r="H45">
        <v>0.83559819095918542</v>
      </c>
      <c r="I45">
        <v>8.110477944324599E-3</v>
      </c>
      <c r="J45">
        <v>2.835695561021891E-2</v>
      </c>
      <c r="K45">
        <v>8.6796412970632524</v>
      </c>
      <c r="L45">
        <v>4.8901562323510777E-8</v>
      </c>
      <c r="M45" t="b">
        <v>1</v>
      </c>
      <c r="N45">
        <v>0</v>
      </c>
      <c r="O45">
        <v>1.9073486328125E-6</v>
      </c>
      <c r="P45" t="b">
        <v>1</v>
      </c>
    </row>
    <row r="46" spans="1:16" x14ac:dyDescent="0.3">
      <c r="A46" t="s">
        <v>17</v>
      </c>
      <c r="B46" t="s">
        <v>26</v>
      </c>
      <c r="C46" t="s">
        <v>5256</v>
      </c>
      <c r="D46" t="s">
        <v>5259</v>
      </c>
      <c r="E46">
        <v>20</v>
      </c>
      <c r="F46">
        <v>0.76571232108992049</v>
      </c>
      <c r="G46">
        <v>1.5620878791015161E-2</v>
      </c>
      <c r="H46">
        <v>0.81348943998441037</v>
      </c>
      <c r="I46">
        <v>1.159378422760148E-2</v>
      </c>
      <c r="J46">
        <v>4.7777118894489837E-2</v>
      </c>
      <c r="K46">
        <v>12.095093557870699</v>
      </c>
      <c r="L46">
        <v>2.267264121931256E-10</v>
      </c>
      <c r="M46" t="b">
        <v>1</v>
      </c>
      <c r="N46">
        <v>0</v>
      </c>
      <c r="O46">
        <v>1.9073486328125E-6</v>
      </c>
      <c r="P46" t="b">
        <v>1</v>
      </c>
    </row>
    <row r="47" spans="1:16" x14ac:dyDescent="0.3">
      <c r="A47" t="s">
        <v>29</v>
      </c>
      <c r="B47" t="s">
        <v>18</v>
      </c>
      <c r="C47" t="s">
        <v>5256</v>
      </c>
      <c r="D47" t="s">
        <v>5257</v>
      </c>
      <c r="E47">
        <v>20</v>
      </c>
      <c r="F47">
        <v>0.75482093663911853</v>
      </c>
      <c r="G47">
        <v>2.2781295785038269E-16</v>
      </c>
      <c r="H47">
        <v>0.79677005363522779</v>
      </c>
      <c r="I47">
        <v>1.4615599571438671E-2</v>
      </c>
      <c r="J47">
        <v>4.1949116996109419E-2</v>
      </c>
      <c r="K47">
        <v>12.83574809790157</v>
      </c>
      <c r="L47">
        <v>8.2423372920915627E-11</v>
      </c>
      <c r="M47" t="b">
        <v>1</v>
      </c>
      <c r="N47">
        <v>0</v>
      </c>
      <c r="O47">
        <v>8.8449150212119008E-5</v>
      </c>
      <c r="P47" t="b">
        <v>1</v>
      </c>
    </row>
    <row r="48" spans="1:16" x14ac:dyDescent="0.3">
      <c r="A48" t="s">
        <v>29</v>
      </c>
      <c r="B48" t="s">
        <v>18</v>
      </c>
      <c r="C48" t="s">
        <v>5256</v>
      </c>
      <c r="D48" t="s">
        <v>5258</v>
      </c>
      <c r="E48">
        <v>20</v>
      </c>
      <c r="F48">
        <v>0.76923076923076938</v>
      </c>
      <c r="G48">
        <v>3.417194367755741E-16</v>
      </c>
      <c r="H48">
        <v>0.82132975622236071</v>
      </c>
      <c r="I48">
        <v>8.8822938973617833E-3</v>
      </c>
      <c r="J48">
        <v>5.2098986991591413E-2</v>
      </c>
      <c r="K48">
        <v>26.23125913603862</v>
      </c>
      <c r="L48">
        <v>2.1898328559848679E-16</v>
      </c>
      <c r="M48" t="b">
        <v>1</v>
      </c>
      <c r="N48">
        <v>0</v>
      </c>
      <c r="O48">
        <v>8.8323858630812773E-5</v>
      </c>
      <c r="P48" t="b">
        <v>1</v>
      </c>
    </row>
    <row r="49" spans="1:16" x14ac:dyDescent="0.3">
      <c r="A49" t="s">
        <v>29</v>
      </c>
      <c r="B49" t="s">
        <v>18</v>
      </c>
      <c r="C49" t="s">
        <v>5256</v>
      </c>
      <c r="D49" t="s">
        <v>5259</v>
      </c>
      <c r="E49">
        <v>20</v>
      </c>
      <c r="F49">
        <v>0.74452226790939535</v>
      </c>
      <c r="G49">
        <v>9.5200986867429206E-3</v>
      </c>
      <c r="H49">
        <v>0.79216156804913151</v>
      </c>
      <c r="I49">
        <v>1.0749116297822501E-2</v>
      </c>
      <c r="J49">
        <v>4.7639300139736003E-2</v>
      </c>
      <c r="K49">
        <v>12.06558152936239</v>
      </c>
      <c r="L49">
        <v>2.3629134924012271E-10</v>
      </c>
      <c r="M49" t="b">
        <v>1</v>
      </c>
      <c r="N49">
        <v>1</v>
      </c>
      <c r="O49">
        <v>1.032027839634719E-4</v>
      </c>
      <c r="P49" t="b">
        <v>1</v>
      </c>
    </row>
    <row r="50" spans="1:16" x14ac:dyDescent="0.3">
      <c r="A50" t="s">
        <v>29</v>
      </c>
      <c r="B50" t="s">
        <v>20</v>
      </c>
      <c r="C50" t="s">
        <v>5256</v>
      </c>
      <c r="D50" t="s">
        <v>5257</v>
      </c>
      <c r="E50">
        <v>20</v>
      </c>
      <c r="F50">
        <v>0.75913558296272765</v>
      </c>
      <c r="G50">
        <v>1.8095095881840578E-2</v>
      </c>
      <c r="H50">
        <v>0.78420892339693637</v>
      </c>
      <c r="I50">
        <v>1.841373535859803E-2</v>
      </c>
      <c r="J50">
        <v>2.5073340434208551E-2</v>
      </c>
      <c r="K50">
        <v>4.1502110140968336</v>
      </c>
      <c r="L50">
        <v>5.4370948786487162E-4</v>
      </c>
      <c r="M50" t="b">
        <v>1</v>
      </c>
      <c r="N50">
        <v>16</v>
      </c>
      <c r="O50">
        <v>3.223419189453125E-4</v>
      </c>
      <c r="P50" t="b">
        <v>1</v>
      </c>
    </row>
    <row r="51" spans="1:16" x14ac:dyDescent="0.3">
      <c r="A51" t="s">
        <v>29</v>
      </c>
      <c r="B51" t="s">
        <v>20</v>
      </c>
      <c r="C51" t="s">
        <v>5256</v>
      </c>
      <c r="D51" t="s">
        <v>5258</v>
      </c>
      <c r="E51">
        <v>20</v>
      </c>
      <c r="F51">
        <v>0.74842777552495854</v>
      </c>
      <c r="G51">
        <v>2.29688387936022E-2</v>
      </c>
      <c r="H51">
        <v>0.82312821556604499</v>
      </c>
      <c r="I51">
        <v>1.296465672522348E-2</v>
      </c>
      <c r="J51">
        <v>7.4700440041086502E-2</v>
      </c>
      <c r="K51">
        <v>11.854014069206819</v>
      </c>
      <c r="L51">
        <v>3.1850008643972471E-10</v>
      </c>
      <c r="M51" t="b">
        <v>1</v>
      </c>
      <c r="N51">
        <v>0</v>
      </c>
      <c r="O51">
        <v>1.9073486328125E-6</v>
      </c>
      <c r="P51" t="b">
        <v>1</v>
      </c>
    </row>
    <row r="52" spans="1:16" x14ac:dyDescent="0.3">
      <c r="A52" t="s">
        <v>29</v>
      </c>
      <c r="B52" t="s">
        <v>20</v>
      </c>
      <c r="C52" t="s">
        <v>5256</v>
      </c>
      <c r="D52" t="s">
        <v>5259</v>
      </c>
      <c r="E52">
        <v>20</v>
      </c>
      <c r="F52">
        <v>0.73960006504807607</v>
      </c>
      <c r="G52">
        <v>2.6599109909670599E-2</v>
      </c>
      <c r="H52">
        <v>0.79025982990174204</v>
      </c>
      <c r="I52">
        <v>1.1076741363818161E-2</v>
      </c>
      <c r="J52">
        <v>5.0659764853665731E-2</v>
      </c>
      <c r="K52">
        <v>7.3651801091152738</v>
      </c>
      <c r="L52">
        <v>5.5948540447962467E-7</v>
      </c>
      <c r="M52" t="b">
        <v>1</v>
      </c>
      <c r="N52">
        <v>4</v>
      </c>
      <c r="O52">
        <v>1.33514404296875E-5</v>
      </c>
      <c r="P52" t="b">
        <v>1</v>
      </c>
    </row>
    <row r="53" spans="1:16" x14ac:dyDescent="0.3">
      <c r="A53" t="s">
        <v>29</v>
      </c>
      <c r="B53" t="s">
        <v>22</v>
      </c>
      <c r="C53" t="s">
        <v>5256</v>
      </c>
      <c r="D53" t="s">
        <v>5257</v>
      </c>
      <c r="E53">
        <v>20</v>
      </c>
      <c r="F53">
        <v>0.76025622466328846</v>
      </c>
      <c r="G53">
        <v>1.8652361938506209E-2</v>
      </c>
      <c r="H53">
        <v>0.78455873160924861</v>
      </c>
      <c r="I53">
        <v>1.6257924699711369E-2</v>
      </c>
      <c r="J53">
        <v>2.4302506945960249E-2</v>
      </c>
      <c r="K53">
        <v>4.2883648161006551</v>
      </c>
      <c r="L53">
        <v>3.9675766869816463E-4</v>
      </c>
      <c r="M53" t="b">
        <v>1</v>
      </c>
      <c r="N53">
        <v>17</v>
      </c>
      <c r="O53">
        <v>3.948211669921875E-4</v>
      </c>
      <c r="P53" t="b">
        <v>1</v>
      </c>
    </row>
    <row r="54" spans="1:16" x14ac:dyDescent="0.3">
      <c r="A54" t="s">
        <v>29</v>
      </c>
      <c r="B54" t="s">
        <v>22</v>
      </c>
      <c r="C54" t="s">
        <v>5256</v>
      </c>
      <c r="D54" t="s">
        <v>5258</v>
      </c>
      <c r="E54">
        <v>20</v>
      </c>
      <c r="F54">
        <v>0.75022812921577342</v>
      </c>
      <c r="G54">
        <v>2.1774980820556379E-2</v>
      </c>
      <c r="H54">
        <v>0.82547459876090135</v>
      </c>
      <c r="I54">
        <v>1.4495027916526669E-2</v>
      </c>
      <c r="J54">
        <v>7.5246469545127995E-2</v>
      </c>
      <c r="K54">
        <v>13.05860708624925</v>
      </c>
      <c r="L54">
        <v>6.1346827414148909E-11</v>
      </c>
      <c r="M54" t="b">
        <v>1</v>
      </c>
      <c r="N54">
        <v>0</v>
      </c>
      <c r="O54">
        <v>1.9073486328125E-6</v>
      </c>
      <c r="P54" t="b">
        <v>1</v>
      </c>
    </row>
    <row r="55" spans="1:16" x14ac:dyDescent="0.3">
      <c r="A55" t="s">
        <v>29</v>
      </c>
      <c r="B55" t="s">
        <v>22</v>
      </c>
      <c r="C55" t="s">
        <v>5256</v>
      </c>
      <c r="D55" t="s">
        <v>5259</v>
      </c>
      <c r="E55">
        <v>20</v>
      </c>
      <c r="F55">
        <v>0.7387224277864346</v>
      </c>
      <c r="G55">
        <v>2.8350663978943501E-2</v>
      </c>
      <c r="H55">
        <v>0.79632753643877618</v>
      </c>
      <c r="I55">
        <v>9.0025173137897648E-3</v>
      </c>
      <c r="J55">
        <v>5.7605108652341599E-2</v>
      </c>
      <c r="K55">
        <v>8.2697769949113304</v>
      </c>
      <c r="L55">
        <v>1.020499106519376E-7</v>
      </c>
      <c r="M55" t="b">
        <v>1</v>
      </c>
      <c r="N55">
        <v>3</v>
      </c>
      <c r="O55">
        <v>9.5367431640625E-6</v>
      </c>
      <c r="P55" t="b">
        <v>1</v>
      </c>
    </row>
    <row r="56" spans="1:16" x14ac:dyDescent="0.3">
      <c r="A56" t="s">
        <v>29</v>
      </c>
      <c r="B56" t="s">
        <v>24</v>
      </c>
      <c r="C56" t="s">
        <v>5256</v>
      </c>
      <c r="D56" t="s">
        <v>5257</v>
      </c>
      <c r="E56">
        <v>20</v>
      </c>
      <c r="F56">
        <v>0.7580555062635348</v>
      </c>
      <c r="G56">
        <v>1.0614104908016651E-2</v>
      </c>
      <c r="H56">
        <v>0.78701031685779044</v>
      </c>
      <c r="I56">
        <v>1.7382494936206101E-2</v>
      </c>
      <c r="J56">
        <v>2.8954810594255458E-2</v>
      </c>
      <c r="K56">
        <v>6.9359617949096597</v>
      </c>
      <c r="L56">
        <v>1.303505607115206E-6</v>
      </c>
      <c r="M56" t="b">
        <v>1</v>
      </c>
      <c r="N56">
        <v>5</v>
      </c>
      <c r="O56">
        <v>1.9073486328125E-5</v>
      </c>
      <c r="P56" t="b">
        <v>1</v>
      </c>
    </row>
    <row r="57" spans="1:16" x14ac:dyDescent="0.3">
      <c r="A57" t="s">
        <v>29</v>
      </c>
      <c r="B57" t="s">
        <v>24</v>
      </c>
      <c r="C57" t="s">
        <v>5256</v>
      </c>
      <c r="D57" t="s">
        <v>5258</v>
      </c>
      <c r="E57">
        <v>20</v>
      </c>
      <c r="F57">
        <v>0.77648238258058844</v>
      </c>
      <c r="G57">
        <v>5.5092386005929214E-3</v>
      </c>
      <c r="H57">
        <v>0.8232262074911445</v>
      </c>
      <c r="I57">
        <v>8.5599209508187262E-3</v>
      </c>
      <c r="J57">
        <v>4.6743824910555933E-2</v>
      </c>
      <c r="K57">
        <v>23.634425844426548</v>
      </c>
      <c r="L57">
        <v>1.5004248146086429E-15</v>
      </c>
      <c r="M57" t="b">
        <v>1</v>
      </c>
      <c r="N57">
        <v>0</v>
      </c>
      <c r="O57">
        <v>1.9073486328125E-6</v>
      </c>
      <c r="P57" t="b">
        <v>1</v>
      </c>
    </row>
    <row r="58" spans="1:16" x14ac:dyDescent="0.3">
      <c r="A58" t="s">
        <v>29</v>
      </c>
      <c r="B58" t="s">
        <v>24</v>
      </c>
      <c r="C58" t="s">
        <v>5256</v>
      </c>
      <c r="D58" t="s">
        <v>5259</v>
      </c>
      <c r="E58">
        <v>20</v>
      </c>
      <c r="F58">
        <v>0.75261348546653584</v>
      </c>
      <c r="G58">
        <v>1.169564885347011E-2</v>
      </c>
      <c r="H58">
        <v>0.78457871462438533</v>
      </c>
      <c r="I58">
        <v>1.193674590174288E-2</v>
      </c>
      <c r="J58">
        <v>3.1965229157849412E-2</v>
      </c>
      <c r="K58">
        <v>8.5374154743189763</v>
      </c>
      <c r="L58">
        <v>6.2969426177896093E-8</v>
      </c>
      <c r="M58" t="b">
        <v>1</v>
      </c>
      <c r="N58">
        <v>2</v>
      </c>
      <c r="O58">
        <v>5.7220458984375E-6</v>
      </c>
      <c r="P58" t="b">
        <v>1</v>
      </c>
    </row>
    <row r="59" spans="1:16" x14ac:dyDescent="0.3">
      <c r="A59" t="s">
        <v>29</v>
      </c>
      <c r="B59" t="s">
        <v>26</v>
      </c>
      <c r="C59" t="s">
        <v>5256</v>
      </c>
      <c r="D59" t="s">
        <v>5257</v>
      </c>
      <c r="E59">
        <v>20</v>
      </c>
      <c r="F59">
        <v>0.79907825641472119</v>
      </c>
      <c r="G59">
        <v>1.2274848587910619E-2</v>
      </c>
      <c r="H59">
        <v>0.83102101449330912</v>
      </c>
      <c r="I59">
        <v>1.322895284395284E-2</v>
      </c>
      <c r="J59">
        <v>3.1942758078588138E-2</v>
      </c>
      <c r="K59">
        <v>9.1908148565639678</v>
      </c>
      <c r="L59">
        <v>2.012524667385888E-8</v>
      </c>
      <c r="M59" t="b">
        <v>1</v>
      </c>
      <c r="N59">
        <v>3</v>
      </c>
      <c r="O59">
        <v>9.5367431640625E-6</v>
      </c>
      <c r="P59" t="b">
        <v>1</v>
      </c>
    </row>
    <row r="60" spans="1:16" x14ac:dyDescent="0.3">
      <c r="A60" t="s">
        <v>29</v>
      </c>
      <c r="B60" t="s">
        <v>26</v>
      </c>
      <c r="C60" t="s">
        <v>5256</v>
      </c>
      <c r="D60" t="s">
        <v>5258</v>
      </c>
      <c r="E60">
        <v>20</v>
      </c>
      <c r="F60">
        <v>0.80450812138344696</v>
      </c>
      <c r="G60">
        <v>1.084834319831832E-2</v>
      </c>
      <c r="H60">
        <v>0.84123686245392015</v>
      </c>
      <c r="I60">
        <v>1.015460170595568E-2</v>
      </c>
      <c r="J60">
        <v>3.6728741070473331E-2</v>
      </c>
      <c r="K60">
        <v>10.76546646138125</v>
      </c>
      <c r="L60">
        <v>1.5837055956956709E-9</v>
      </c>
      <c r="M60" t="b">
        <v>1</v>
      </c>
      <c r="N60">
        <v>1</v>
      </c>
      <c r="O60">
        <v>3.814697265625E-6</v>
      </c>
      <c r="P60" t="b">
        <v>1</v>
      </c>
    </row>
    <row r="61" spans="1:16" x14ac:dyDescent="0.3">
      <c r="A61" t="s">
        <v>29</v>
      </c>
      <c r="B61" t="s">
        <v>26</v>
      </c>
      <c r="C61" t="s">
        <v>5256</v>
      </c>
      <c r="D61" t="s">
        <v>5259</v>
      </c>
      <c r="E61">
        <v>20</v>
      </c>
      <c r="F61">
        <v>0.79453784354982437</v>
      </c>
      <c r="G61">
        <v>1.323010408464461E-2</v>
      </c>
      <c r="H61">
        <v>0.82468309212889834</v>
      </c>
      <c r="I61">
        <v>1.549990710727704E-2</v>
      </c>
      <c r="J61">
        <v>3.0145248579073958E-2</v>
      </c>
      <c r="K61">
        <v>6.0100450317035543</v>
      </c>
      <c r="L61">
        <v>8.7898532834584426E-6</v>
      </c>
      <c r="M61" t="b">
        <v>1</v>
      </c>
      <c r="N61">
        <v>10</v>
      </c>
      <c r="O61">
        <v>8.20159912109375E-5</v>
      </c>
      <c r="P61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7"/>
  <sheetViews>
    <sheetView workbookViewId="0"/>
  </sheetViews>
  <sheetFormatPr defaultRowHeight="14.4" x14ac:dyDescent="0.3"/>
  <cols>
    <col min="2" max="2" width="33" bestFit="1" customWidth="1"/>
    <col min="3" max="3" width="123.6640625" bestFit="1" customWidth="1"/>
  </cols>
  <sheetData>
    <row r="1" spans="1:8" x14ac:dyDescent="0.3">
      <c r="A1" s="1" t="s">
        <v>34</v>
      </c>
      <c r="B1" s="1" t="s">
        <v>5243</v>
      </c>
      <c r="C1" s="1" t="s">
        <v>5260</v>
      </c>
      <c r="D1" s="1" t="s">
        <v>5261</v>
      </c>
      <c r="E1" s="1" t="s">
        <v>5262</v>
      </c>
      <c r="F1" s="1" t="s">
        <v>5263</v>
      </c>
      <c r="G1" s="1" t="s">
        <v>5264</v>
      </c>
      <c r="H1" s="1" t="s">
        <v>5265</v>
      </c>
    </row>
    <row r="2" spans="1:8" x14ac:dyDescent="0.3">
      <c r="A2" t="s">
        <v>363</v>
      </c>
      <c r="B2" t="s">
        <v>11</v>
      </c>
      <c r="C2" t="s">
        <v>572</v>
      </c>
      <c r="D2">
        <v>400</v>
      </c>
      <c r="E2">
        <v>0.8329991263773292</v>
      </c>
      <c r="F2">
        <v>1.48634148104487E-2</v>
      </c>
      <c r="G2">
        <v>0.78761061946902655</v>
      </c>
      <c r="H2">
        <v>0.86343612334801756</v>
      </c>
    </row>
    <row r="3" spans="1:8" x14ac:dyDescent="0.3">
      <c r="A3" t="s">
        <v>363</v>
      </c>
      <c r="B3" t="s">
        <v>9</v>
      </c>
      <c r="C3" t="s">
        <v>470</v>
      </c>
      <c r="D3">
        <v>400</v>
      </c>
      <c r="E3">
        <v>0.81154145108895692</v>
      </c>
      <c r="F3">
        <v>2.2225046112654891E-2</v>
      </c>
      <c r="G3">
        <v>0.73684210526315785</v>
      </c>
      <c r="H3">
        <v>0.86956521739130432</v>
      </c>
    </row>
    <row r="4" spans="1:8" x14ac:dyDescent="0.3">
      <c r="A4" t="s">
        <v>363</v>
      </c>
      <c r="B4" t="s">
        <v>13</v>
      </c>
      <c r="C4" t="s">
        <v>368</v>
      </c>
      <c r="D4">
        <v>400</v>
      </c>
      <c r="E4">
        <v>0.8042041102096894</v>
      </c>
      <c r="F4">
        <v>2.583971669851709E-2</v>
      </c>
      <c r="G4">
        <v>0.74468085106382975</v>
      </c>
      <c r="H4">
        <v>0.87136929460580903</v>
      </c>
    </row>
    <row r="5" spans="1:8" x14ac:dyDescent="0.3">
      <c r="A5" t="s">
        <v>54</v>
      </c>
      <c r="B5" t="s">
        <v>5</v>
      </c>
      <c r="C5" t="s">
        <v>265</v>
      </c>
      <c r="D5">
        <v>400</v>
      </c>
      <c r="E5">
        <v>0.73790348042388576</v>
      </c>
      <c r="F5">
        <v>6.9968794904198023E-2</v>
      </c>
      <c r="G5">
        <v>0.4</v>
      </c>
      <c r="H5">
        <v>0.84140969162995594</v>
      </c>
    </row>
    <row r="6" spans="1:8" x14ac:dyDescent="0.3">
      <c r="A6" t="s">
        <v>54</v>
      </c>
      <c r="B6" t="s">
        <v>3</v>
      </c>
      <c r="C6" t="s">
        <v>163</v>
      </c>
      <c r="D6">
        <v>400</v>
      </c>
      <c r="E6">
        <v>0.73395384598738966</v>
      </c>
      <c r="F6">
        <v>5.8670019974340383E-2</v>
      </c>
      <c r="G6">
        <v>0.40883977900552487</v>
      </c>
      <c r="H6">
        <v>0.83286118980169965</v>
      </c>
    </row>
    <row r="7" spans="1:8" x14ac:dyDescent="0.3">
      <c r="A7" t="s">
        <v>54</v>
      </c>
      <c r="B7" t="s">
        <v>7</v>
      </c>
      <c r="C7" t="s">
        <v>59</v>
      </c>
      <c r="D7">
        <v>400</v>
      </c>
      <c r="E7">
        <v>0.71422959010007103</v>
      </c>
      <c r="F7">
        <v>5.8126404828715887E-2</v>
      </c>
      <c r="G7">
        <v>0.46330275229357792</v>
      </c>
      <c r="H7">
        <v>0.81912681912681917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401"/>
  <sheetViews>
    <sheetView workbookViewId="0"/>
  </sheetViews>
  <sheetFormatPr defaultRowHeight="14.4" x14ac:dyDescent="0.3"/>
  <sheetData>
    <row r="1" spans="1:16" x14ac:dyDescent="0.3">
      <c r="A1" s="1" t="s">
        <v>33</v>
      </c>
      <c r="B1" s="1" t="s">
        <v>1</v>
      </c>
      <c r="C1" s="1" t="s">
        <v>2</v>
      </c>
      <c r="D1" s="1" t="s">
        <v>34</v>
      </c>
      <c r="E1" s="1" t="s">
        <v>36</v>
      </c>
      <c r="F1" s="1" t="s">
        <v>37</v>
      </c>
      <c r="G1" s="1" t="s">
        <v>38</v>
      </c>
      <c r="H1" s="1" t="s">
        <v>40</v>
      </c>
      <c r="I1" s="1" t="s">
        <v>41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51</v>
      </c>
    </row>
    <row r="2" spans="1:16" x14ac:dyDescent="0.3">
      <c r="A2" t="s">
        <v>17</v>
      </c>
      <c r="B2" t="s">
        <v>18</v>
      </c>
      <c r="C2" t="s">
        <v>19</v>
      </c>
      <c r="D2" t="s">
        <v>54</v>
      </c>
      <c r="E2" t="s">
        <v>56</v>
      </c>
      <c r="F2" t="s">
        <v>7</v>
      </c>
      <c r="G2" t="s">
        <v>57</v>
      </c>
      <c r="H2" t="s">
        <v>59</v>
      </c>
      <c r="I2">
        <v>42</v>
      </c>
      <c r="J2">
        <v>0.71887550200803207</v>
      </c>
      <c r="K2">
        <v>0.66791044776119401</v>
      </c>
      <c r="L2">
        <v>0.77826086956521734</v>
      </c>
      <c r="M2" t="s">
        <v>60</v>
      </c>
      <c r="N2" t="s">
        <v>61</v>
      </c>
      <c r="O2" t="s">
        <v>62</v>
      </c>
      <c r="P2">
        <v>69.599999999999994</v>
      </c>
    </row>
    <row r="3" spans="1:16" x14ac:dyDescent="0.3">
      <c r="A3" t="s">
        <v>17</v>
      </c>
      <c r="B3" t="s">
        <v>18</v>
      </c>
      <c r="C3" t="s">
        <v>19</v>
      </c>
      <c r="D3" t="s">
        <v>54</v>
      </c>
      <c r="E3" t="s">
        <v>56</v>
      </c>
      <c r="F3" t="s">
        <v>7</v>
      </c>
      <c r="G3" t="s">
        <v>65</v>
      </c>
      <c r="H3" t="s">
        <v>59</v>
      </c>
      <c r="I3">
        <v>43</v>
      </c>
      <c r="J3">
        <v>0.66933867735470953</v>
      </c>
      <c r="K3">
        <v>0.620817843866171</v>
      </c>
      <c r="L3">
        <v>0.72608695652173916</v>
      </c>
      <c r="M3" t="s">
        <v>60</v>
      </c>
      <c r="N3" t="s">
        <v>67</v>
      </c>
      <c r="O3" t="s">
        <v>68</v>
      </c>
      <c r="P3">
        <v>119.2</v>
      </c>
    </row>
    <row r="4" spans="1:16" x14ac:dyDescent="0.3">
      <c r="A4" t="s">
        <v>17</v>
      </c>
      <c r="B4" t="s">
        <v>18</v>
      </c>
      <c r="C4" t="s">
        <v>19</v>
      </c>
      <c r="D4" t="s">
        <v>54</v>
      </c>
      <c r="E4" t="s">
        <v>56</v>
      </c>
      <c r="F4" t="s">
        <v>7</v>
      </c>
      <c r="G4" t="s">
        <v>70</v>
      </c>
      <c r="H4" t="s">
        <v>59</v>
      </c>
      <c r="I4">
        <v>44</v>
      </c>
      <c r="J4">
        <v>0.66933867735470953</v>
      </c>
      <c r="K4">
        <v>0.620817843866171</v>
      </c>
      <c r="L4">
        <v>0.72608695652173916</v>
      </c>
      <c r="M4" t="s">
        <v>60</v>
      </c>
      <c r="N4" t="s">
        <v>72</v>
      </c>
      <c r="O4" t="s">
        <v>73</v>
      </c>
      <c r="P4">
        <v>159.5</v>
      </c>
    </row>
    <row r="5" spans="1:16" x14ac:dyDescent="0.3">
      <c r="A5" t="s">
        <v>17</v>
      </c>
      <c r="B5" t="s">
        <v>18</v>
      </c>
      <c r="C5" t="s">
        <v>19</v>
      </c>
      <c r="D5" t="s">
        <v>54</v>
      </c>
      <c r="E5" t="s">
        <v>56</v>
      </c>
      <c r="F5" t="s">
        <v>7</v>
      </c>
      <c r="G5" t="s">
        <v>75</v>
      </c>
      <c r="H5" t="s">
        <v>59</v>
      </c>
      <c r="I5">
        <v>45</v>
      </c>
      <c r="J5">
        <v>0.66933867735470953</v>
      </c>
      <c r="K5">
        <v>0.620817843866171</v>
      </c>
      <c r="L5">
        <v>0.72608695652173916</v>
      </c>
      <c r="M5" t="s">
        <v>60</v>
      </c>
      <c r="N5" t="s">
        <v>77</v>
      </c>
      <c r="O5" t="s">
        <v>78</v>
      </c>
      <c r="P5">
        <v>155.6</v>
      </c>
    </row>
    <row r="6" spans="1:16" x14ac:dyDescent="0.3">
      <c r="A6" t="s">
        <v>17</v>
      </c>
      <c r="B6" t="s">
        <v>18</v>
      </c>
      <c r="C6" t="s">
        <v>19</v>
      </c>
      <c r="D6" t="s">
        <v>54</v>
      </c>
      <c r="E6" t="s">
        <v>56</v>
      </c>
      <c r="F6" t="s">
        <v>7</v>
      </c>
      <c r="G6" t="s">
        <v>80</v>
      </c>
      <c r="H6" t="s">
        <v>59</v>
      </c>
      <c r="I6">
        <v>46</v>
      </c>
      <c r="J6">
        <v>0.66933867735470953</v>
      </c>
      <c r="K6">
        <v>0.620817843866171</v>
      </c>
      <c r="L6">
        <v>0.72608695652173916</v>
      </c>
      <c r="M6" t="s">
        <v>60</v>
      </c>
      <c r="N6" t="s">
        <v>82</v>
      </c>
      <c r="O6" t="s">
        <v>83</v>
      </c>
      <c r="P6">
        <v>166.9</v>
      </c>
    </row>
    <row r="7" spans="1:16" x14ac:dyDescent="0.3">
      <c r="A7" t="s">
        <v>17</v>
      </c>
      <c r="B7" t="s">
        <v>18</v>
      </c>
      <c r="C7" t="s">
        <v>19</v>
      </c>
      <c r="D7" t="s">
        <v>54</v>
      </c>
      <c r="E7" t="s">
        <v>56</v>
      </c>
      <c r="F7" t="s">
        <v>7</v>
      </c>
      <c r="G7" t="s">
        <v>85</v>
      </c>
      <c r="H7" t="s">
        <v>59</v>
      </c>
      <c r="I7">
        <v>47</v>
      </c>
      <c r="J7">
        <v>0.66933867735470953</v>
      </c>
      <c r="K7">
        <v>0.620817843866171</v>
      </c>
      <c r="L7">
        <v>0.72608695652173916</v>
      </c>
      <c r="M7" t="s">
        <v>60</v>
      </c>
      <c r="N7" t="s">
        <v>87</v>
      </c>
      <c r="O7" t="s">
        <v>88</v>
      </c>
      <c r="P7">
        <v>180.9</v>
      </c>
    </row>
    <row r="8" spans="1:16" x14ac:dyDescent="0.3">
      <c r="A8" t="s">
        <v>17</v>
      </c>
      <c r="B8" t="s">
        <v>18</v>
      </c>
      <c r="C8" t="s">
        <v>19</v>
      </c>
      <c r="D8" t="s">
        <v>54</v>
      </c>
      <c r="E8" t="s">
        <v>56</v>
      </c>
      <c r="F8" t="s">
        <v>7</v>
      </c>
      <c r="G8" t="s">
        <v>90</v>
      </c>
      <c r="H8" t="s">
        <v>59</v>
      </c>
      <c r="I8">
        <v>48</v>
      </c>
      <c r="J8">
        <v>0.66933867735470953</v>
      </c>
      <c r="K8">
        <v>0.620817843866171</v>
      </c>
      <c r="L8">
        <v>0.72608695652173916</v>
      </c>
      <c r="M8" t="s">
        <v>60</v>
      </c>
      <c r="N8" t="s">
        <v>92</v>
      </c>
      <c r="O8" t="s">
        <v>93</v>
      </c>
      <c r="P8">
        <v>164.8</v>
      </c>
    </row>
    <row r="9" spans="1:16" x14ac:dyDescent="0.3">
      <c r="A9" t="s">
        <v>17</v>
      </c>
      <c r="B9" t="s">
        <v>18</v>
      </c>
      <c r="C9" t="s">
        <v>19</v>
      </c>
      <c r="D9" t="s">
        <v>54</v>
      </c>
      <c r="E9" t="s">
        <v>56</v>
      </c>
      <c r="F9" t="s">
        <v>7</v>
      </c>
      <c r="G9" t="s">
        <v>95</v>
      </c>
      <c r="H9" t="s">
        <v>59</v>
      </c>
      <c r="I9">
        <v>49</v>
      </c>
      <c r="J9">
        <v>0.66933867735470953</v>
      </c>
      <c r="K9">
        <v>0.620817843866171</v>
      </c>
      <c r="L9">
        <v>0.72608695652173916</v>
      </c>
      <c r="M9" t="s">
        <v>60</v>
      </c>
      <c r="N9" t="s">
        <v>97</v>
      </c>
      <c r="O9" t="s">
        <v>98</v>
      </c>
      <c r="P9">
        <v>161.6</v>
      </c>
    </row>
    <row r="10" spans="1:16" x14ac:dyDescent="0.3">
      <c r="A10" t="s">
        <v>17</v>
      </c>
      <c r="B10" t="s">
        <v>18</v>
      </c>
      <c r="C10" t="s">
        <v>19</v>
      </c>
      <c r="D10" t="s">
        <v>54</v>
      </c>
      <c r="E10" t="s">
        <v>56</v>
      </c>
      <c r="F10" t="s">
        <v>7</v>
      </c>
      <c r="G10" t="s">
        <v>100</v>
      </c>
      <c r="H10" t="s">
        <v>59</v>
      </c>
      <c r="I10">
        <v>50</v>
      </c>
      <c r="J10">
        <v>0.66933867735470953</v>
      </c>
      <c r="K10">
        <v>0.620817843866171</v>
      </c>
      <c r="L10">
        <v>0.72608695652173916</v>
      </c>
      <c r="M10" t="s">
        <v>60</v>
      </c>
      <c r="N10" t="s">
        <v>102</v>
      </c>
      <c r="O10" t="s">
        <v>103</v>
      </c>
      <c r="P10">
        <v>157.80000000000001</v>
      </c>
    </row>
    <row r="11" spans="1:16" x14ac:dyDescent="0.3">
      <c r="A11" t="s">
        <v>17</v>
      </c>
      <c r="B11" t="s">
        <v>18</v>
      </c>
      <c r="C11" t="s">
        <v>19</v>
      </c>
      <c r="D11" t="s">
        <v>54</v>
      </c>
      <c r="E11" t="s">
        <v>56</v>
      </c>
      <c r="F11" t="s">
        <v>7</v>
      </c>
      <c r="G11" t="s">
        <v>105</v>
      </c>
      <c r="H11" t="s">
        <v>59</v>
      </c>
      <c r="I11">
        <v>51</v>
      </c>
      <c r="J11">
        <v>0.66933867735470953</v>
      </c>
      <c r="K11">
        <v>0.620817843866171</v>
      </c>
      <c r="L11">
        <v>0.72608695652173916</v>
      </c>
      <c r="M11" t="s">
        <v>60</v>
      </c>
      <c r="N11" t="s">
        <v>107</v>
      </c>
      <c r="O11" t="s">
        <v>108</v>
      </c>
      <c r="P11">
        <v>183.9</v>
      </c>
    </row>
    <row r="12" spans="1:16" x14ac:dyDescent="0.3">
      <c r="A12" t="s">
        <v>17</v>
      </c>
      <c r="B12" t="s">
        <v>18</v>
      </c>
      <c r="C12" t="s">
        <v>19</v>
      </c>
      <c r="D12" t="s">
        <v>54</v>
      </c>
      <c r="E12" t="s">
        <v>56</v>
      </c>
      <c r="F12" t="s">
        <v>7</v>
      </c>
      <c r="G12" t="s">
        <v>110</v>
      </c>
      <c r="H12" t="s">
        <v>59</v>
      </c>
      <c r="I12">
        <v>52</v>
      </c>
      <c r="J12">
        <v>0.66933867735470953</v>
      </c>
      <c r="K12">
        <v>0.620817843866171</v>
      </c>
      <c r="L12">
        <v>0.72608695652173916</v>
      </c>
      <c r="M12" t="s">
        <v>60</v>
      </c>
      <c r="N12" t="s">
        <v>112</v>
      </c>
      <c r="O12" t="s">
        <v>113</v>
      </c>
      <c r="P12">
        <v>170.9</v>
      </c>
    </row>
    <row r="13" spans="1:16" x14ac:dyDescent="0.3">
      <c r="A13" t="s">
        <v>17</v>
      </c>
      <c r="B13" t="s">
        <v>18</v>
      </c>
      <c r="C13" t="s">
        <v>19</v>
      </c>
      <c r="D13" t="s">
        <v>54</v>
      </c>
      <c r="E13" t="s">
        <v>56</v>
      </c>
      <c r="F13" t="s">
        <v>7</v>
      </c>
      <c r="G13" t="s">
        <v>115</v>
      </c>
      <c r="H13" t="s">
        <v>59</v>
      </c>
      <c r="I13">
        <v>53</v>
      </c>
      <c r="J13">
        <v>0.66933867735470953</v>
      </c>
      <c r="K13">
        <v>0.620817843866171</v>
      </c>
      <c r="L13">
        <v>0.72608695652173916</v>
      </c>
      <c r="M13" t="s">
        <v>60</v>
      </c>
      <c r="N13" t="s">
        <v>117</v>
      </c>
      <c r="O13" t="s">
        <v>118</v>
      </c>
      <c r="P13">
        <v>145</v>
      </c>
    </row>
    <row r="14" spans="1:16" x14ac:dyDescent="0.3">
      <c r="A14" t="s">
        <v>17</v>
      </c>
      <c r="B14" t="s">
        <v>18</v>
      </c>
      <c r="C14" t="s">
        <v>19</v>
      </c>
      <c r="D14" t="s">
        <v>54</v>
      </c>
      <c r="E14" t="s">
        <v>56</v>
      </c>
      <c r="F14" t="s">
        <v>7</v>
      </c>
      <c r="G14" t="s">
        <v>120</v>
      </c>
      <c r="H14" t="s">
        <v>59</v>
      </c>
      <c r="I14">
        <v>54</v>
      </c>
      <c r="J14">
        <v>0.66933867735470953</v>
      </c>
      <c r="K14">
        <v>0.620817843866171</v>
      </c>
      <c r="L14">
        <v>0.72608695652173916</v>
      </c>
      <c r="M14" t="s">
        <v>60</v>
      </c>
      <c r="N14" t="s">
        <v>122</v>
      </c>
      <c r="O14" t="s">
        <v>123</v>
      </c>
      <c r="P14">
        <v>72.900000000000006</v>
      </c>
    </row>
    <row r="15" spans="1:16" x14ac:dyDescent="0.3">
      <c r="A15" t="s">
        <v>17</v>
      </c>
      <c r="B15" t="s">
        <v>18</v>
      </c>
      <c r="C15" t="s">
        <v>19</v>
      </c>
      <c r="D15" t="s">
        <v>54</v>
      </c>
      <c r="E15" t="s">
        <v>56</v>
      </c>
      <c r="F15" t="s">
        <v>7</v>
      </c>
      <c r="G15" t="s">
        <v>125</v>
      </c>
      <c r="H15" t="s">
        <v>59</v>
      </c>
      <c r="I15">
        <v>55</v>
      </c>
      <c r="J15">
        <v>0.66933867735470953</v>
      </c>
      <c r="K15">
        <v>0.620817843866171</v>
      </c>
      <c r="L15">
        <v>0.72608695652173916</v>
      </c>
      <c r="M15" t="s">
        <v>60</v>
      </c>
      <c r="N15" t="s">
        <v>127</v>
      </c>
      <c r="O15" t="s">
        <v>128</v>
      </c>
      <c r="P15">
        <v>74.7</v>
      </c>
    </row>
    <row r="16" spans="1:16" x14ac:dyDescent="0.3">
      <c r="A16" t="s">
        <v>17</v>
      </c>
      <c r="B16" t="s">
        <v>18</v>
      </c>
      <c r="C16" t="s">
        <v>19</v>
      </c>
      <c r="D16" t="s">
        <v>54</v>
      </c>
      <c r="E16" t="s">
        <v>56</v>
      </c>
      <c r="F16" t="s">
        <v>7</v>
      </c>
      <c r="G16" t="s">
        <v>130</v>
      </c>
      <c r="H16" t="s">
        <v>59</v>
      </c>
      <c r="I16">
        <v>56</v>
      </c>
      <c r="J16">
        <v>0.66933867735470953</v>
      </c>
      <c r="K16">
        <v>0.620817843866171</v>
      </c>
      <c r="L16">
        <v>0.72608695652173916</v>
      </c>
      <c r="M16" t="s">
        <v>60</v>
      </c>
      <c r="N16" t="s">
        <v>132</v>
      </c>
      <c r="O16" t="s">
        <v>133</v>
      </c>
      <c r="P16">
        <v>73</v>
      </c>
    </row>
    <row r="17" spans="1:16" x14ac:dyDescent="0.3">
      <c r="A17" t="s">
        <v>17</v>
      </c>
      <c r="B17" t="s">
        <v>18</v>
      </c>
      <c r="C17" t="s">
        <v>19</v>
      </c>
      <c r="D17" t="s">
        <v>54</v>
      </c>
      <c r="E17" t="s">
        <v>56</v>
      </c>
      <c r="F17" t="s">
        <v>7</v>
      </c>
      <c r="G17" t="s">
        <v>135</v>
      </c>
      <c r="H17" t="s">
        <v>59</v>
      </c>
      <c r="I17">
        <v>57</v>
      </c>
      <c r="J17">
        <v>0.66933867735470953</v>
      </c>
      <c r="K17">
        <v>0.620817843866171</v>
      </c>
      <c r="L17">
        <v>0.72608695652173916</v>
      </c>
      <c r="M17" t="s">
        <v>60</v>
      </c>
      <c r="N17" t="s">
        <v>137</v>
      </c>
      <c r="O17" t="s">
        <v>138</v>
      </c>
      <c r="P17">
        <v>77</v>
      </c>
    </row>
    <row r="18" spans="1:16" x14ac:dyDescent="0.3">
      <c r="A18" t="s">
        <v>17</v>
      </c>
      <c r="B18" t="s">
        <v>18</v>
      </c>
      <c r="C18" t="s">
        <v>19</v>
      </c>
      <c r="D18" t="s">
        <v>54</v>
      </c>
      <c r="E18" t="s">
        <v>56</v>
      </c>
      <c r="F18" t="s">
        <v>7</v>
      </c>
      <c r="G18" t="s">
        <v>140</v>
      </c>
      <c r="H18" t="s">
        <v>59</v>
      </c>
      <c r="I18">
        <v>58</v>
      </c>
      <c r="J18">
        <v>0.66933867735470953</v>
      </c>
      <c r="K18">
        <v>0.620817843866171</v>
      </c>
      <c r="L18">
        <v>0.72608695652173916</v>
      </c>
      <c r="M18" t="s">
        <v>60</v>
      </c>
      <c r="N18" t="s">
        <v>142</v>
      </c>
      <c r="O18" t="s">
        <v>143</v>
      </c>
      <c r="P18">
        <v>73.2</v>
      </c>
    </row>
    <row r="19" spans="1:16" x14ac:dyDescent="0.3">
      <c r="A19" t="s">
        <v>17</v>
      </c>
      <c r="B19" t="s">
        <v>18</v>
      </c>
      <c r="C19" t="s">
        <v>19</v>
      </c>
      <c r="D19" t="s">
        <v>54</v>
      </c>
      <c r="E19" t="s">
        <v>56</v>
      </c>
      <c r="F19" t="s">
        <v>7</v>
      </c>
      <c r="G19" t="s">
        <v>145</v>
      </c>
      <c r="H19" t="s">
        <v>59</v>
      </c>
      <c r="I19">
        <v>59</v>
      </c>
      <c r="J19">
        <v>0.66933867735470953</v>
      </c>
      <c r="K19">
        <v>0.620817843866171</v>
      </c>
      <c r="L19">
        <v>0.72608695652173916</v>
      </c>
      <c r="M19" t="s">
        <v>60</v>
      </c>
      <c r="N19" t="s">
        <v>147</v>
      </c>
      <c r="O19" t="s">
        <v>148</v>
      </c>
      <c r="P19">
        <v>68</v>
      </c>
    </row>
    <row r="20" spans="1:16" x14ac:dyDescent="0.3">
      <c r="A20" t="s">
        <v>17</v>
      </c>
      <c r="B20" t="s">
        <v>18</v>
      </c>
      <c r="C20" t="s">
        <v>19</v>
      </c>
      <c r="D20" t="s">
        <v>54</v>
      </c>
      <c r="E20" t="s">
        <v>56</v>
      </c>
      <c r="F20" t="s">
        <v>7</v>
      </c>
      <c r="G20" t="s">
        <v>150</v>
      </c>
      <c r="H20" t="s">
        <v>59</v>
      </c>
      <c r="I20">
        <v>60</v>
      </c>
      <c r="J20">
        <v>0.66933867735470953</v>
      </c>
      <c r="K20">
        <v>0.620817843866171</v>
      </c>
      <c r="L20">
        <v>0.72608695652173916</v>
      </c>
      <c r="M20" t="s">
        <v>60</v>
      </c>
      <c r="N20" t="s">
        <v>152</v>
      </c>
      <c r="O20" t="s">
        <v>153</v>
      </c>
      <c r="P20">
        <v>65.900000000000006</v>
      </c>
    </row>
    <row r="21" spans="1:16" x14ac:dyDescent="0.3">
      <c r="A21" t="s">
        <v>17</v>
      </c>
      <c r="B21" t="s">
        <v>18</v>
      </c>
      <c r="C21" t="s">
        <v>19</v>
      </c>
      <c r="D21" t="s">
        <v>54</v>
      </c>
      <c r="E21" t="s">
        <v>56</v>
      </c>
      <c r="F21" t="s">
        <v>7</v>
      </c>
      <c r="G21" t="s">
        <v>155</v>
      </c>
      <c r="H21" t="s">
        <v>59</v>
      </c>
      <c r="I21">
        <v>61</v>
      </c>
      <c r="J21">
        <v>0.66933867735470953</v>
      </c>
      <c r="K21">
        <v>0.620817843866171</v>
      </c>
      <c r="L21">
        <v>0.72608695652173916</v>
      </c>
      <c r="M21" t="s">
        <v>60</v>
      </c>
      <c r="N21" t="s">
        <v>157</v>
      </c>
      <c r="O21" t="s">
        <v>158</v>
      </c>
      <c r="P21">
        <v>65.5</v>
      </c>
    </row>
    <row r="22" spans="1:16" x14ac:dyDescent="0.3">
      <c r="A22" t="s">
        <v>17</v>
      </c>
      <c r="B22" t="s">
        <v>18</v>
      </c>
      <c r="C22" t="s">
        <v>19</v>
      </c>
      <c r="D22" t="s">
        <v>54</v>
      </c>
      <c r="E22" t="s">
        <v>160</v>
      </c>
      <c r="F22" t="s">
        <v>3</v>
      </c>
      <c r="G22" t="s">
        <v>161</v>
      </c>
      <c r="H22" t="s">
        <v>163</v>
      </c>
      <c r="I22">
        <v>42</v>
      </c>
      <c r="J22">
        <v>0.75409836065573765</v>
      </c>
      <c r="K22">
        <v>0.70050761421319796</v>
      </c>
      <c r="L22">
        <v>0.81656804733727806</v>
      </c>
      <c r="M22" t="s">
        <v>60</v>
      </c>
      <c r="N22" t="s">
        <v>164</v>
      </c>
      <c r="O22" t="s">
        <v>165</v>
      </c>
      <c r="P22">
        <v>65.400000000000006</v>
      </c>
    </row>
    <row r="23" spans="1:16" x14ac:dyDescent="0.3">
      <c r="A23" t="s">
        <v>17</v>
      </c>
      <c r="B23" t="s">
        <v>18</v>
      </c>
      <c r="C23" t="s">
        <v>19</v>
      </c>
      <c r="D23" t="s">
        <v>54</v>
      </c>
      <c r="E23" t="s">
        <v>160</v>
      </c>
      <c r="F23" t="s">
        <v>3</v>
      </c>
      <c r="G23" t="s">
        <v>167</v>
      </c>
      <c r="H23" t="s">
        <v>163</v>
      </c>
      <c r="I23">
        <v>43</v>
      </c>
      <c r="J23">
        <v>0.75409836065573765</v>
      </c>
      <c r="K23">
        <v>0.70050761421319796</v>
      </c>
      <c r="L23">
        <v>0.81656804733727806</v>
      </c>
      <c r="M23" t="s">
        <v>60</v>
      </c>
      <c r="N23" t="s">
        <v>169</v>
      </c>
      <c r="O23" t="s">
        <v>170</v>
      </c>
      <c r="P23">
        <v>64.400000000000006</v>
      </c>
    </row>
    <row r="24" spans="1:16" x14ac:dyDescent="0.3">
      <c r="A24" t="s">
        <v>17</v>
      </c>
      <c r="B24" t="s">
        <v>18</v>
      </c>
      <c r="C24" t="s">
        <v>19</v>
      </c>
      <c r="D24" t="s">
        <v>54</v>
      </c>
      <c r="E24" t="s">
        <v>160</v>
      </c>
      <c r="F24" t="s">
        <v>3</v>
      </c>
      <c r="G24" t="s">
        <v>172</v>
      </c>
      <c r="H24" t="s">
        <v>163</v>
      </c>
      <c r="I24">
        <v>44</v>
      </c>
      <c r="J24">
        <v>0.75409836065573765</v>
      </c>
      <c r="K24">
        <v>0.70050761421319796</v>
      </c>
      <c r="L24">
        <v>0.81656804733727806</v>
      </c>
      <c r="M24" t="s">
        <v>60</v>
      </c>
      <c r="N24" t="s">
        <v>174</v>
      </c>
      <c r="O24" t="s">
        <v>175</v>
      </c>
      <c r="P24">
        <v>63</v>
      </c>
    </row>
    <row r="25" spans="1:16" x14ac:dyDescent="0.3">
      <c r="A25" t="s">
        <v>17</v>
      </c>
      <c r="B25" t="s">
        <v>18</v>
      </c>
      <c r="C25" t="s">
        <v>19</v>
      </c>
      <c r="D25" t="s">
        <v>54</v>
      </c>
      <c r="E25" t="s">
        <v>160</v>
      </c>
      <c r="F25" t="s">
        <v>3</v>
      </c>
      <c r="G25" t="s">
        <v>177</v>
      </c>
      <c r="H25" t="s">
        <v>163</v>
      </c>
      <c r="I25">
        <v>45</v>
      </c>
      <c r="J25">
        <v>0.75409836065573765</v>
      </c>
      <c r="K25">
        <v>0.70050761421319796</v>
      </c>
      <c r="L25">
        <v>0.81656804733727806</v>
      </c>
      <c r="M25" t="s">
        <v>60</v>
      </c>
      <c r="N25" t="s">
        <v>179</v>
      </c>
      <c r="O25" t="s">
        <v>180</v>
      </c>
      <c r="P25">
        <v>64.5</v>
      </c>
    </row>
    <row r="26" spans="1:16" x14ac:dyDescent="0.3">
      <c r="A26" t="s">
        <v>17</v>
      </c>
      <c r="B26" t="s">
        <v>18</v>
      </c>
      <c r="C26" t="s">
        <v>19</v>
      </c>
      <c r="D26" t="s">
        <v>54</v>
      </c>
      <c r="E26" t="s">
        <v>160</v>
      </c>
      <c r="F26" t="s">
        <v>3</v>
      </c>
      <c r="G26" t="s">
        <v>182</v>
      </c>
      <c r="H26" t="s">
        <v>163</v>
      </c>
      <c r="I26">
        <v>46</v>
      </c>
      <c r="J26">
        <v>0.75409836065573765</v>
      </c>
      <c r="K26">
        <v>0.70050761421319796</v>
      </c>
      <c r="L26">
        <v>0.81656804733727806</v>
      </c>
      <c r="M26" t="s">
        <v>60</v>
      </c>
      <c r="N26" t="s">
        <v>184</v>
      </c>
      <c r="O26" t="s">
        <v>185</v>
      </c>
      <c r="P26">
        <v>63.8</v>
      </c>
    </row>
    <row r="27" spans="1:16" x14ac:dyDescent="0.3">
      <c r="A27" t="s">
        <v>17</v>
      </c>
      <c r="B27" t="s">
        <v>18</v>
      </c>
      <c r="C27" t="s">
        <v>19</v>
      </c>
      <c r="D27" t="s">
        <v>54</v>
      </c>
      <c r="E27" t="s">
        <v>160</v>
      </c>
      <c r="F27" t="s">
        <v>3</v>
      </c>
      <c r="G27" t="s">
        <v>187</v>
      </c>
      <c r="H27" t="s">
        <v>163</v>
      </c>
      <c r="I27">
        <v>47</v>
      </c>
      <c r="J27">
        <v>0.75409836065573765</v>
      </c>
      <c r="K27">
        <v>0.70050761421319796</v>
      </c>
      <c r="L27">
        <v>0.81656804733727806</v>
      </c>
      <c r="M27" t="s">
        <v>60</v>
      </c>
      <c r="N27" t="s">
        <v>189</v>
      </c>
      <c r="O27" t="s">
        <v>190</v>
      </c>
      <c r="P27">
        <v>63.1</v>
      </c>
    </row>
    <row r="28" spans="1:16" x14ac:dyDescent="0.3">
      <c r="A28" t="s">
        <v>17</v>
      </c>
      <c r="B28" t="s">
        <v>18</v>
      </c>
      <c r="C28" t="s">
        <v>19</v>
      </c>
      <c r="D28" t="s">
        <v>54</v>
      </c>
      <c r="E28" t="s">
        <v>160</v>
      </c>
      <c r="F28" t="s">
        <v>3</v>
      </c>
      <c r="G28" t="s">
        <v>192</v>
      </c>
      <c r="H28" t="s">
        <v>163</v>
      </c>
      <c r="I28">
        <v>48</v>
      </c>
      <c r="J28">
        <v>0.75409836065573765</v>
      </c>
      <c r="K28">
        <v>0.70050761421319796</v>
      </c>
      <c r="L28">
        <v>0.81656804733727806</v>
      </c>
      <c r="M28" t="s">
        <v>60</v>
      </c>
      <c r="N28" t="s">
        <v>194</v>
      </c>
      <c r="O28" t="s">
        <v>195</v>
      </c>
      <c r="P28">
        <v>62.7</v>
      </c>
    </row>
    <row r="29" spans="1:16" x14ac:dyDescent="0.3">
      <c r="A29" t="s">
        <v>17</v>
      </c>
      <c r="B29" t="s">
        <v>18</v>
      </c>
      <c r="C29" t="s">
        <v>19</v>
      </c>
      <c r="D29" t="s">
        <v>54</v>
      </c>
      <c r="E29" t="s">
        <v>160</v>
      </c>
      <c r="F29" t="s">
        <v>3</v>
      </c>
      <c r="G29" t="s">
        <v>197</v>
      </c>
      <c r="H29" t="s">
        <v>163</v>
      </c>
      <c r="I29">
        <v>49</v>
      </c>
      <c r="J29">
        <v>0.75409836065573765</v>
      </c>
      <c r="K29">
        <v>0.70050761421319796</v>
      </c>
      <c r="L29">
        <v>0.81656804733727806</v>
      </c>
      <c r="M29" t="s">
        <v>60</v>
      </c>
      <c r="N29" t="s">
        <v>199</v>
      </c>
      <c r="O29" t="s">
        <v>200</v>
      </c>
      <c r="P29">
        <v>65</v>
      </c>
    </row>
    <row r="30" spans="1:16" x14ac:dyDescent="0.3">
      <c r="A30" t="s">
        <v>17</v>
      </c>
      <c r="B30" t="s">
        <v>18</v>
      </c>
      <c r="C30" t="s">
        <v>19</v>
      </c>
      <c r="D30" t="s">
        <v>54</v>
      </c>
      <c r="E30" t="s">
        <v>160</v>
      </c>
      <c r="F30" t="s">
        <v>3</v>
      </c>
      <c r="G30" t="s">
        <v>202</v>
      </c>
      <c r="H30" t="s">
        <v>163</v>
      </c>
      <c r="I30">
        <v>50</v>
      </c>
      <c r="J30">
        <v>0.75409836065573765</v>
      </c>
      <c r="K30">
        <v>0.70050761421319796</v>
      </c>
      <c r="L30">
        <v>0.81656804733727806</v>
      </c>
      <c r="M30" t="s">
        <v>60</v>
      </c>
      <c r="N30" t="s">
        <v>204</v>
      </c>
      <c r="O30" t="s">
        <v>205</v>
      </c>
      <c r="P30">
        <v>64.5</v>
      </c>
    </row>
    <row r="31" spans="1:16" x14ac:dyDescent="0.3">
      <c r="A31" t="s">
        <v>17</v>
      </c>
      <c r="B31" t="s">
        <v>18</v>
      </c>
      <c r="C31" t="s">
        <v>19</v>
      </c>
      <c r="D31" t="s">
        <v>54</v>
      </c>
      <c r="E31" t="s">
        <v>160</v>
      </c>
      <c r="F31" t="s">
        <v>3</v>
      </c>
      <c r="G31" t="s">
        <v>207</v>
      </c>
      <c r="H31" t="s">
        <v>163</v>
      </c>
      <c r="I31">
        <v>51</v>
      </c>
      <c r="J31">
        <v>0.75409836065573765</v>
      </c>
      <c r="K31">
        <v>0.70050761421319796</v>
      </c>
      <c r="L31">
        <v>0.81656804733727806</v>
      </c>
      <c r="M31" t="s">
        <v>60</v>
      </c>
      <c r="N31" t="s">
        <v>209</v>
      </c>
      <c r="O31" t="s">
        <v>210</v>
      </c>
      <c r="P31">
        <v>63.4</v>
      </c>
    </row>
    <row r="32" spans="1:16" x14ac:dyDescent="0.3">
      <c r="A32" t="s">
        <v>17</v>
      </c>
      <c r="B32" t="s">
        <v>18</v>
      </c>
      <c r="C32" t="s">
        <v>19</v>
      </c>
      <c r="D32" t="s">
        <v>54</v>
      </c>
      <c r="E32" t="s">
        <v>160</v>
      </c>
      <c r="F32" t="s">
        <v>3</v>
      </c>
      <c r="G32" t="s">
        <v>212</v>
      </c>
      <c r="H32" t="s">
        <v>163</v>
      </c>
      <c r="I32">
        <v>52</v>
      </c>
      <c r="J32">
        <v>0.75409836065573765</v>
      </c>
      <c r="K32">
        <v>0.70050761421319796</v>
      </c>
      <c r="L32">
        <v>0.81656804733727806</v>
      </c>
      <c r="M32" t="s">
        <v>60</v>
      </c>
      <c r="N32" t="s">
        <v>214</v>
      </c>
      <c r="O32" t="s">
        <v>215</v>
      </c>
      <c r="P32">
        <v>63.3</v>
      </c>
    </row>
    <row r="33" spans="1:16" x14ac:dyDescent="0.3">
      <c r="A33" t="s">
        <v>17</v>
      </c>
      <c r="B33" t="s">
        <v>18</v>
      </c>
      <c r="C33" t="s">
        <v>19</v>
      </c>
      <c r="D33" t="s">
        <v>54</v>
      </c>
      <c r="E33" t="s">
        <v>160</v>
      </c>
      <c r="F33" t="s">
        <v>3</v>
      </c>
      <c r="G33" t="s">
        <v>217</v>
      </c>
      <c r="H33" t="s">
        <v>163</v>
      </c>
      <c r="I33">
        <v>53</v>
      </c>
      <c r="J33">
        <v>0.75409836065573765</v>
      </c>
      <c r="K33">
        <v>0.70050761421319796</v>
      </c>
      <c r="L33">
        <v>0.81656804733727806</v>
      </c>
      <c r="M33" t="s">
        <v>60</v>
      </c>
      <c r="N33" t="s">
        <v>219</v>
      </c>
      <c r="O33" t="s">
        <v>220</v>
      </c>
      <c r="P33">
        <v>53.4</v>
      </c>
    </row>
    <row r="34" spans="1:16" x14ac:dyDescent="0.3">
      <c r="A34" t="s">
        <v>17</v>
      </c>
      <c r="B34" t="s">
        <v>18</v>
      </c>
      <c r="C34" t="s">
        <v>19</v>
      </c>
      <c r="D34" t="s">
        <v>54</v>
      </c>
      <c r="E34" t="s">
        <v>160</v>
      </c>
      <c r="F34" t="s">
        <v>3</v>
      </c>
      <c r="G34" t="s">
        <v>222</v>
      </c>
      <c r="H34" t="s">
        <v>163</v>
      </c>
      <c r="I34">
        <v>54</v>
      </c>
      <c r="J34">
        <v>0.75409836065573765</v>
      </c>
      <c r="K34">
        <v>0.70050761421319796</v>
      </c>
      <c r="L34">
        <v>0.81656804733727806</v>
      </c>
      <c r="M34" t="s">
        <v>60</v>
      </c>
      <c r="N34" t="s">
        <v>224</v>
      </c>
      <c r="O34" t="s">
        <v>225</v>
      </c>
      <c r="P34">
        <v>63.4</v>
      </c>
    </row>
    <row r="35" spans="1:16" x14ac:dyDescent="0.3">
      <c r="A35" t="s">
        <v>17</v>
      </c>
      <c r="B35" t="s">
        <v>18</v>
      </c>
      <c r="C35" t="s">
        <v>19</v>
      </c>
      <c r="D35" t="s">
        <v>54</v>
      </c>
      <c r="E35" t="s">
        <v>160</v>
      </c>
      <c r="F35" t="s">
        <v>3</v>
      </c>
      <c r="G35" t="s">
        <v>227</v>
      </c>
      <c r="H35" t="s">
        <v>163</v>
      </c>
      <c r="I35">
        <v>55</v>
      </c>
      <c r="J35">
        <v>0.75409836065573765</v>
      </c>
      <c r="K35">
        <v>0.70050761421319796</v>
      </c>
      <c r="L35">
        <v>0.81656804733727806</v>
      </c>
      <c r="M35" t="s">
        <v>60</v>
      </c>
      <c r="N35" t="s">
        <v>229</v>
      </c>
      <c r="O35" t="s">
        <v>230</v>
      </c>
      <c r="P35">
        <v>63.2</v>
      </c>
    </row>
    <row r="36" spans="1:16" x14ac:dyDescent="0.3">
      <c r="A36" t="s">
        <v>17</v>
      </c>
      <c r="B36" t="s">
        <v>18</v>
      </c>
      <c r="C36" t="s">
        <v>19</v>
      </c>
      <c r="D36" t="s">
        <v>54</v>
      </c>
      <c r="E36" t="s">
        <v>160</v>
      </c>
      <c r="F36" t="s">
        <v>3</v>
      </c>
      <c r="G36" t="s">
        <v>232</v>
      </c>
      <c r="H36" t="s">
        <v>163</v>
      </c>
      <c r="I36">
        <v>56</v>
      </c>
      <c r="J36">
        <v>0.75409836065573765</v>
      </c>
      <c r="K36">
        <v>0.70050761421319796</v>
      </c>
      <c r="L36">
        <v>0.81656804733727806</v>
      </c>
      <c r="M36" t="s">
        <v>60</v>
      </c>
      <c r="N36" t="s">
        <v>234</v>
      </c>
      <c r="O36" t="s">
        <v>235</v>
      </c>
      <c r="P36">
        <v>63.9</v>
      </c>
    </row>
    <row r="37" spans="1:16" x14ac:dyDescent="0.3">
      <c r="A37" t="s">
        <v>17</v>
      </c>
      <c r="B37" t="s">
        <v>18</v>
      </c>
      <c r="C37" t="s">
        <v>19</v>
      </c>
      <c r="D37" t="s">
        <v>54</v>
      </c>
      <c r="E37" t="s">
        <v>160</v>
      </c>
      <c r="F37" t="s">
        <v>3</v>
      </c>
      <c r="G37" t="s">
        <v>237</v>
      </c>
      <c r="H37" t="s">
        <v>163</v>
      </c>
      <c r="I37">
        <v>57</v>
      </c>
      <c r="J37">
        <v>0.75409836065573765</v>
      </c>
      <c r="K37">
        <v>0.70050761421319796</v>
      </c>
      <c r="L37">
        <v>0.81656804733727806</v>
      </c>
      <c r="M37" t="s">
        <v>60</v>
      </c>
      <c r="N37" t="s">
        <v>239</v>
      </c>
      <c r="O37" t="s">
        <v>240</v>
      </c>
      <c r="P37">
        <v>64.3</v>
      </c>
    </row>
    <row r="38" spans="1:16" x14ac:dyDescent="0.3">
      <c r="A38" t="s">
        <v>17</v>
      </c>
      <c r="B38" t="s">
        <v>18</v>
      </c>
      <c r="C38" t="s">
        <v>19</v>
      </c>
      <c r="D38" t="s">
        <v>54</v>
      </c>
      <c r="E38" t="s">
        <v>160</v>
      </c>
      <c r="F38" t="s">
        <v>3</v>
      </c>
      <c r="G38" t="s">
        <v>242</v>
      </c>
      <c r="H38" t="s">
        <v>163</v>
      </c>
      <c r="I38">
        <v>58</v>
      </c>
      <c r="J38">
        <v>0.75409836065573765</v>
      </c>
      <c r="K38">
        <v>0.70050761421319796</v>
      </c>
      <c r="L38">
        <v>0.81656804733727806</v>
      </c>
      <c r="M38" t="s">
        <v>60</v>
      </c>
      <c r="N38" t="s">
        <v>244</v>
      </c>
      <c r="O38" t="s">
        <v>245</v>
      </c>
      <c r="P38">
        <v>63.7</v>
      </c>
    </row>
    <row r="39" spans="1:16" x14ac:dyDescent="0.3">
      <c r="A39" t="s">
        <v>17</v>
      </c>
      <c r="B39" t="s">
        <v>18</v>
      </c>
      <c r="C39" t="s">
        <v>19</v>
      </c>
      <c r="D39" t="s">
        <v>54</v>
      </c>
      <c r="E39" t="s">
        <v>160</v>
      </c>
      <c r="F39" t="s">
        <v>3</v>
      </c>
      <c r="G39" t="s">
        <v>247</v>
      </c>
      <c r="H39" t="s">
        <v>163</v>
      </c>
      <c r="I39">
        <v>59</v>
      </c>
      <c r="J39">
        <v>0.75409836065573765</v>
      </c>
      <c r="K39">
        <v>0.70050761421319796</v>
      </c>
      <c r="L39">
        <v>0.81656804733727806</v>
      </c>
      <c r="M39" t="s">
        <v>60</v>
      </c>
      <c r="N39" t="s">
        <v>249</v>
      </c>
      <c r="O39" t="s">
        <v>250</v>
      </c>
      <c r="P39">
        <v>64.2</v>
      </c>
    </row>
    <row r="40" spans="1:16" x14ac:dyDescent="0.3">
      <c r="A40" t="s">
        <v>17</v>
      </c>
      <c r="B40" t="s">
        <v>18</v>
      </c>
      <c r="C40" t="s">
        <v>19</v>
      </c>
      <c r="D40" t="s">
        <v>54</v>
      </c>
      <c r="E40" t="s">
        <v>160</v>
      </c>
      <c r="F40" t="s">
        <v>3</v>
      </c>
      <c r="G40" t="s">
        <v>252</v>
      </c>
      <c r="H40" t="s">
        <v>163</v>
      </c>
      <c r="I40">
        <v>60</v>
      </c>
      <c r="J40">
        <v>0.75409836065573765</v>
      </c>
      <c r="K40">
        <v>0.70050761421319796</v>
      </c>
      <c r="L40">
        <v>0.81656804733727806</v>
      </c>
      <c r="M40" t="s">
        <v>60</v>
      </c>
      <c r="N40" t="s">
        <v>254</v>
      </c>
      <c r="O40" t="s">
        <v>255</v>
      </c>
      <c r="P40">
        <v>64.099999999999994</v>
      </c>
    </row>
    <row r="41" spans="1:16" x14ac:dyDescent="0.3">
      <c r="A41" t="s">
        <v>17</v>
      </c>
      <c r="B41" t="s">
        <v>18</v>
      </c>
      <c r="C41" t="s">
        <v>19</v>
      </c>
      <c r="D41" t="s">
        <v>54</v>
      </c>
      <c r="E41" t="s">
        <v>160</v>
      </c>
      <c r="F41" t="s">
        <v>3</v>
      </c>
      <c r="G41" t="s">
        <v>257</v>
      </c>
      <c r="H41" t="s">
        <v>163</v>
      </c>
      <c r="I41">
        <v>61</v>
      </c>
      <c r="J41">
        <v>0.75409836065573765</v>
      </c>
      <c r="K41">
        <v>0.70050761421319796</v>
      </c>
      <c r="L41">
        <v>0.81656804733727806</v>
      </c>
      <c r="M41" t="s">
        <v>60</v>
      </c>
      <c r="N41" t="s">
        <v>259</v>
      </c>
      <c r="O41" t="s">
        <v>260</v>
      </c>
      <c r="P41">
        <v>63.5</v>
      </c>
    </row>
    <row r="42" spans="1:16" x14ac:dyDescent="0.3">
      <c r="A42" t="s">
        <v>17</v>
      </c>
      <c r="B42" t="s">
        <v>18</v>
      </c>
      <c r="C42" t="s">
        <v>19</v>
      </c>
      <c r="D42" t="s">
        <v>54</v>
      </c>
      <c r="E42" t="s">
        <v>262</v>
      </c>
      <c r="F42" t="s">
        <v>5</v>
      </c>
      <c r="G42" t="s">
        <v>263</v>
      </c>
      <c r="H42" t="s">
        <v>265</v>
      </c>
      <c r="I42">
        <v>42</v>
      </c>
      <c r="J42">
        <v>0.7379912663755458</v>
      </c>
      <c r="K42">
        <v>0.71610169491525422</v>
      </c>
      <c r="L42">
        <v>0.76126126126126126</v>
      </c>
      <c r="M42" t="s">
        <v>60</v>
      </c>
      <c r="N42" t="s">
        <v>266</v>
      </c>
      <c r="O42" t="s">
        <v>267</v>
      </c>
      <c r="P42">
        <v>67.3</v>
      </c>
    </row>
    <row r="43" spans="1:16" x14ac:dyDescent="0.3">
      <c r="A43" t="s">
        <v>17</v>
      </c>
      <c r="B43" t="s">
        <v>18</v>
      </c>
      <c r="C43" t="s">
        <v>19</v>
      </c>
      <c r="D43" t="s">
        <v>54</v>
      </c>
      <c r="E43" t="s">
        <v>262</v>
      </c>
      <c r="F43" t="s">
        <v>5</v>
      </c>
      <c r="G43" t="s">
        <v>269</v>
      </c>
      <c r="H43" t="s">
        <v>265</v>
      </c>
      <c r="I43">
        <v>43</v>
      </c>
      <c r="J43">
        <v>0.7379912663755458</v>
      </c>
      <c r="K43">
        <v>0.71610169491525422</v>
      </c>
      <c r="L43">
        <v>0.76126126126126126</v>
      </c>
      <c r="M43" t="s">
        <v>60</v>
      </c>
      <c r="N43" t="s">
        <v>271</v>
      </c>
      <c r="O43" t="s">
        <v>272</v>
      </c>
      <c r="P43">
        <v>64.599999999999994</v>
      </c>
    </row>
    <row r="44" spans="1:16" x14ac:dyDescent="0.3">
      <c r="A44" t="s">
        <v>17</v>
      </c>
      <c r="B44" t="s">
        <v>18</v>
      </c>
      <c r="C44" t="s">
        <v>19</v>
      </c>
      <c r="D44" t="s">
        <v>54</v>
      </c>
      <c r="E44" t="s">
        <v>262</v>
      </c>
      <c r="F44" t="s">
        <v>5</v>
      </c>
      <c r="G44" t="s">
        <v>274</v>
      </c>
      <c r="H44" t="s">
        <v>265</v>
      </c>
      <c r="I44">
        <v>44</v>
      </c>
      <c r="J44">
        <v>0.7379912663755458</v>
      </c>
      <c r="K44">
        <v>0.71610169491525422</v>
      </c>
      <c r="L44">
        <v>0.76126126126126126</v>
      </c>
      <c r="M44" t="s">
        <v>60</v>
      </c>
      <c r="N44" t="s">
        <v>276</v>
      </c>
      <c r="O44" t="s">
        <v>277</v>
      </c>
      <c r="P44">
        <v>65</v>
      </c>
    </row>
    <row r="45" spans="1:16" x14ac:dyDescent="0.3">
      <c r="A45" t="s">
        <v>17</v>
      </c>
      <c r="B45" t="s">
        <v>18</v>
      </c>
      <c r="C45" t="s">
        <v>19</v>
      </c>
      <c r="D45" t="s">
        <v>54</v>
      </c>
      <c r="E45" t="s">
        <v>262</v>
      </c>
      <c r="F45" t="s">
        <v>5</v>
      </c>
      <c r="G45" t="s">
        <v>279</v>
      </c>
      <c r="H45" t="s">
        <v>265</v>
      </c>
      <c r="I45">
        <v>45</v>
      </c>
      <c r="J45">
        <v>0.7379912663755458</v>
      </c>
      <c r="K45">
        <v>0.71610169491525422</v>
      </c>
      <c r="L45">
        <v>0.76126126126126126</v>
      </c>
      <c r="M45" t="s">
        <v>60</v>
      </c>
      <c r="N45" t="s">
        <v>281</v>
      </c>
      <c r="O45" t="s">
        <v>282</v>
      </c>
      <c r="P45">
        <v>65.7</v>
      </c>
    </row>
    <row r="46" spans="1:16" x14ac:dyDescent="0.3">
      <c r="A46" t="s">
        <v>17</v>
      </c>
      <c r="B46" t="s">
        <v>18</v>
      </c>
      <c r="C46" t="s">
        <v>19</v>
      </c>
      <c r="D46" t="s">
        <v>54</v>
      </c>
      <c r="E46" t="s">
        <v>262</v>
      </c>
      <c r="F46" t="s">
        <v>5</v>
      </c>
      <c r="G46" t="s">
        <v>284</v>
      </c>
      <c r="H46" t="s">
        <v>265</v>
      </c>
      <c r="I46">
        <v>46</v>
      </c>
      <c r="J46">
        <v>0.7379912663755458</v>
      </c>
      <c r="K46">
        <v>0.71610169491525422</v>
      </c>
      <c r="L46">
        <v>0.76126126126126126</v>
      </c>
      <c r="M46" t="s">
        <v>60</v>
      </c>
      <c r="N46" t="s">
        <v>286</v>
      </c>
      <c r="O46" t="s">
        <v>287</v>
      </c>
      <c r="P46">
        <v>65.400000000000006</v>
      </c>
    </row>
    <row r="47" spans="1:16" x14ac:dyDescent="0.3">
      <c r="A47" t="s">
        <v>17</v>
      </c>
      <c r="B47" t="s">
        <v>18</v>
      </c>
      <c r="C47" t="s">
        <v>19</v>
      </c>
      <c r="D47" t="s">
        <v>54</v>
      </c>
      <c r="E47" t="s">
        <v>262</v>
      </c>
      <c r="F47" t="s">
        <v>5</v>
      </c>
      <c r="G47" t="s">
        <v>289</v>
      </c>
      <c r="H47" t="s">
        <v>265</v>
      </c>
      <c r="I47">
        <v>47</v>
      </c>
      <c r="J47">
        <v>0.7379912663755458</v>
      </c>
      <c r="K47">
        <v>0.71610169491525422</v>
      </c>
      <c r="L47">
        <v>0.76126126126126126</v>
      </c>
      <c r="M47" t="s">
        <v>60</v>
      </c>
      <c r="N47" t="s">
        <v>291</v>
      </c>
      <c r="O47" t="s">
        <v>292</v>
      </c>
      <c r="P47">
        <v>65.7</v>
      </c>
    </row>
    <row r="48" spans="1:16" x14ac:dyDescent="0.3">
      <c r="A48" t="s">
        <v>17</v>
      </c>
      <c r="B48" t="s">
        <v>18</v>
      </c>
      <c r="C48" t="s">
        <v>19</v>
      </c>
      <c r="D48" t="s">
        <v>54</v>
      </c>
      <c r="E48" t="s">
        <v>262</v>
      </c>
      <c r="F48" t="s">
        <v>5</v>
      </c>
      <c r="G48" t="s">
        <v>294</v>
      </c>
      <c r="H48" t="s">
        <v>265</v>
      </c>
      <c r="I48">
        <v>48</v>
      </c>
      <c r="J48">
        <v>0.7379912663755458</v>
      </c>
      <c r="K48">
        <v>0.71610169491525422</v>
      </c>
      <c r="L48">
        <v>0.76126126126126126</v>
      </c>
      <c r="M48" t="s">
        <v>60</v>
      </c>
      <c r="N48" t="s">
        <v>296</v>
      </c>
      <c r="O48" t="s">
        <v>297</v>
      </c>
      <c r="P48">
        <v>65.3</v>
      </c>
    </row>
    <row r="49" spans="1:16" x14ac:dyDescent="0.3">
      <c r="A49" t="s">
        <v>17</v>
      </c>
      <c r="B49" t="s">
        <v>18</v>
      </c>
      <c r="C49" t="s">
        <v>19</v>
      </c>
      <c r="D49" t="s">
        <v>54</v>
      </c>
      <c r="E49" t="s">
        <v>262</v>
      </c>
      <c r="F49" t="s">
        <v>5</v>
      </c>
      <c r="G49" t="s">
        <v>299</v>
      </c>
      <c r="H49" t="s">
        <v>265</v>
      </c>
      <c r="I49">
        <v>49</v>
      </c>
      <c r="J49">
        <v>0.7379912663755458</v>
      </c>
      <c r="K49">
        <v>0.71610169491525422</v>
      </c>
      <c r="L49">
        <v>0.76126126126126126</v>
      </c>
      <c r="M49" t="s">
        <v>60</v>
      </c>
      <c r="N49" t="s">
        <v>301</v>
      </c>
      <c r="O49" t="s">
        <v>302</v>
      </c>
      <c r="P49">
        <v>64.3</v>
      </c>
    </row>
    <row r="50" spans="1:16" x14ac:dyDescent="0.3">
      <c r="A50" t="s">
        <v>17</v>
      </c>
      <c r="B50" t="s">
        <v>18</v>
      </c>
      <c r="C50" t="s">
        <v>19</v>
      </c>
      <c r="D50" t="s">
        <v>54</v>
      </c>
      <c r="E50" t="s">
        <v>262</v>
      </c>
      <c r="F50" t="s">
        <v>5</v>
      </c>
      <c r="G50" t="s">
        <v>304</v>
      </c>
      <c r="H50" t="s">
        <v>265</v>
      </c>
      <c r="I50">
        <v>50</v>
      </c>
      <c r="J50">
        <v>0.7379912663755458</v>
      </c>
      <c r="K50">
        <v>0.71610169491525422</v>
      </c>
      <c r="L50">
        <v>0.76126126126126126</v>
      </c>
      <c r="M50" t="s">
        <v>60</v>
      </c>
      <c r="N50" t="s">
        <v>306</v>
      </c>
      <c r="O50" t="s">
        <v>307</v>
      </c>
      <c r="P50">
        <v>65.7</v>
      </c>
    </row>
    <row r="51" spans="1:16" x14ac:dyDescent="0.3">
      <c r="A51" t="s">
        <v>17</v>
      </c>
      <c r="B51" t="s">
        <v>18</v>
      </c>
      <c r="C51" t="s">
        <v>19</v>
      </c>
      <c r="D51" t="s">
        <v>54</v>
      </c>
      <c r="E51" t="s">
        <v>262</v>
      </c>
      <c r="F51" t="s">
        <v>5</v>
      </c>
      <c r="G51" t="s">
        <v>309</v>
      </c>
      <c r="H51" t="s">
        <v>265</v>
      </c>
      <c r="I51">
        <v>51</v>
      </c>
      <c r="J51">
        <v>0.7379912663755458</v>
      </c>
      <c r="K51">
        <v>0.71610169491525422</v>
      </c>
      <c r="L51">
        <v>0.76126126126126126</v>
      </c>
      <c r="M51" t="s">
        <v>60</v>
      </c>
      <c r="N51" t="s">
        <v>311</v>
      </c>
      <c r="O51" t="s">
        <v>312</v>
      </c>
      <c r="P51">
        <v>65.400000000000006</v>
      </c>
    </row>
    <row r="52" spans="1:16" x14ac:dyDescent="0.3">
      <c r="A52" t="s">
        <v>17</v>
      </c>
      <c r="B52" t="s">
        <v>18</v>
      </c>
      <c r="C52" t="s">
        <v>19</v>
      </c>
      <c r="D52" t="s">
        <v>54</v>
      </c>
      <c r="E52" t="s">
        <v>262</v>
      </c>
      <c r="F52" t="s">
        <v>5</v>
      </c>
      <c r="G52" t="s">
        <v>314</v>
      </c>
      <c r="H52" t="s">
        <v>265</v>
      </c>
      <c r="I52">
        <v>52</v>
      </c>
      <c r="J52">
        <v>0.7379912663755458</v>
      </c>
      <c r="K52">
        <v>0.71610169491525422</v>
      </c>
      <c r="L52">
        <v>0.76126126126126126</v>
      </c>
      <c r="M52" t="s">
        <v>60</v>
      </c>
      <c r="N52" t="s">
        <v>316</v>
      </c>
      <c r="O52" t="s">
        <v>317</v>
      </c>
      <c r="P52">
        <v>65.3</v>
      </c>
    </row>
    <row r="53" spans="1:16" x14ac:dyDescent="0.3">
      <c r="A53" t="s">
        <v>17</v>
      </c>
      <c r="B53" t="s">
        <v>18</v>
      </c>
      <c r="C53" t="s">
        <v>19</v>
      </c>
      <c r="D53" t="s">
        <v>54</v>
      </c>
      <c r="E53" t="s">
        <v>262</v>
      </c>
      <c r="F53" t="s">
        <v>5</v>
      </c>
      <c r="G53" t="s">
        <v>319</v>
      </c>
      <c r="H53" t="s">
        <v>265</v>
      </c>
      <c r="I53">
        <v>53</v>
      </c>
      <c r="J53">
        <v>0.7379912663755458</v>
      </c>
      <c r="K53">
        <v>0.71610169491525422</v>
      </c>
      <c r="L53">
        <v>0.76126126126126126</v>
      </c>
      <c r="M53" t="s">
        <v>60</v>
      </c>
      <c r="N53" t="s">
        <v>321</v>
      </c>
      <c r="O53" t="s">
        <v>322</v>
      </c>
      <c r="P53">
        <v>66</v>
      </c>
    </row>
    <row r="54" spans="1:16" x14ac:dyDescent="0.3">
      <c r="A54" t="s">
        <v>17</v>
      </c>
      <c r="B54" t="s">
        <v>18</v>
      </c>
      <c r="C54" t="s">
        <v>19</v>
      </c>
      <c r="D54" t="s">
        <v>54</v>
      </c>
      <c r="E54" t="s">
        <v>262</v>
      </c>
      <c r="F54" t="s">
        <v>5</v>
      </c>
      <c r="G54" t="s">
        <v>324</v>
      </c>
      <c r="H54" t="s">
        <v>265</v>
      </c>
      <c r="I54">
        <v>54</v>
      </c>
      <c r="J54">
        <v>0.7379912663755458</v>
      </c>
      <c r="K54">
        <v>0.71610169491525422</v>
      </c>
      <c r="L54">
        <v>0.76126126126126126</v>
      </c>
      <c r="M54" t="s">
        <v>60</v>
      </c>
      <c r="N54" t="s">
        <v>326</v>
      </c>
      <c r="O54" t="s">
        <v>327</v>
      </c>
      <c r="P54">
        <v>65.400000000000006</v>
      </c>
    </row>
    <row r="55" spans="1:16" x14ac:dyDescent="0.3">
      <c r="A55" t="s">
        <v>17</v>
      </c>
      <c r="B55" t="s">
        <v>18</v>
      </c>
      <c r="C55" t="s">
        <v>19</v>
      </c>
      <c r="D55" t="s">
        <v>54</v>
      </c>
      <c r="E55" t="s">
        <v>262</v>
      </c>
      <c r="F55" t="s">
        <v>5</v>
      </c>
      <c r="G55" t="s">
        <v>329</v>
      </c>
      <c r="H55" t="s">
        <v>265</v>
      </c>
      <c r="I55">
        <v>55</v>
      </c>
      <c r="J55">
        <v>0.7379912663755458</v>
      </c>
      <c r="K55">
        <v>0.71610169491525422</v>
      </c>
      <c r="L55">
        <v>0.76126126126126126</v>
      </c>
      <c r="M55" t="s">
        <v>60</v>
      </c>
      <c r="N55" t="s">
        <v>331</v>
      </c>
      <c r="O55" t="s">
        <v>332</v>
      </c>
      <c r="P55">
        <v>65.900000000000006</v>
      </c>
    </row>
    <row r="56" spans="1:16" x14ac:dyDescent="0.3">
      <c r="A56" t="s">
        <v>17</v>
      </c>
      <c r="B56" t="s">
        <v>18</v>
      </c>
      <c r="C56" t="s">
        <v>19</v>
      </c>
      <c r="D56" t="s">
        <v>54</v>
      </c>
      <c r="E56" t="s">
        <v>262</v>
      </c>
      <c r="F56" t="s">
        <v>5</v>
      </c>
      <c r="G56" t="s">
        <v>334</v>
      </c>
      <c r="H56" t="s">
        <v>265</v>
      </c>
      <c r="I56">
        <v>56</v>
      </c>
      <c r="J56">
        <v>0.7379912663755458</v>
      </c>
      <c r="K56">
        <v>0.71610169491525422</v>
      </c>
      <c r="L56">
        <v>0.76126126126126126</v>
      </c>
      <c r="M56" t="s">
        <v>60</v>
      </c>
      <c r="N56" t="s">
        <v>336</v>
      </c>
      <c r="O56" t="s">
        <v>337</v>
      </c>
      <c r="P56">
        <v>65</v>
      </c>
    </row>
    <row r="57" spans="1:16" x14ac:dyDescent="0.3">
      <c r="A57" t="s">
        <v>17</v>
      </c>
      <c r="B57" t="s">
        <v>18</v>
      </c>
      <c r="C57" t="s">
        <v>19</v>
      </c>
      <c r="D57" t="s">
        <v>54</v>
      </c>
      <c r="E57" t="s">
        <v>262</v>
      </c>
      <c r="F57" t="s">
        <v>5</v>
      </c>
      <c r="G57" t="s">
        <v>339</v>
      </c>
      <c r="H57" t="s">
        <v>265</v>
      </c>
      <c r="I57">
        <v>57</v>
      </c>
      <c r="J57">
        <v>0.7379912663755458</v>
      </c>
      <c r="K57">
        <v>0.71610169491525422</v>
      </c>
      <c r="L57">
        <v>0.76126126126126126</v>
      </c>
      <c r="M57" t="s">
        <v>60</v>
      </c>
      <c r="N57" t="s">
        <v>341</v>
      </c>
      <c r="O57" t="s">
        <v>342</v>
      </c>
      <c r="P57">
        <v>65</v>
      </c>
    </row>
    <row r="58" spans="1:16" x14ac:dyDescent="0.3">
      <c r="A58" t="s">
        <v>17</v>
      </c>
      <c r="B58" t="s">
        <v>18</v>
      </c>
      <c r="C58" t="s">
        <v>19</v>
      </c>
      <c r="D58" t="s">
        <v>54</v>
      </c>
      <c r="E58" t="s">
        <v>262</v>
      </c>
      <c r="F58" t="s">
        <v>5</v>
      </c>
      <c r="G58" t="s">
        <v>344</v>
      </c>
      <c r="H58" t="s">
        <v>265</v>
      </c>
      <c r="I58">
        <v>58</v>
      </c>
      <c r="J58">
        <v>0.7379912663755458</v>
      </c>
      <c r="K58">
        <v>0.71610169491525422</v>
      </c>
      <c r="L58">
        <v>0.76126126126126126</v>
      </c>
      <c r="M58" t="s">
        <v>60</v>
      </c>
      <c r="N58" t="s">
        <v>346</v>
      </c>
      <c r="O58" t="s">
        <v>347</v>
      </c>
      <c r="P58">
        <v>65.099999999999994</v>
      </c>
    </row>
    <row r="59" spans="1:16" x14ac:dyDescent="0.3">
      <c r="A59" t="s">
        <v>17</v>
      </c>
      <c r="B59" t="s">
        <v>18</v>
      </c>
      <c r="C59" t="s">
        <v>19</v>
      </c>
      <c r="D59" t="s">
        <v>54</v>
      </c>
      <c r="E59" t="s">
        <v>262</v>
      </c>
      <c r="F59" t="s">
        <v>5</v>
      </c>
      <c r="G59" t="s">
        <v>349</v>
      </c>
      <c r="H59" t="s">
        <v>265</v>
      </c>
      <c r="I59">
        <v>59</v>
      </c>
      <c r="J59">
        <v>0.7379912663755458</v>
      </c>
      <c r="K59">
        <v>0.71610169491525422</v>
      </c>
      <c r="L59">
        <v>0.76126126126126126</v>
      </c>
      <c r="M59" t="s">
        <v>60</v>
      </c>
      <c r="N59" t="s">
        <v>351</v>
      </c>
      <c r="O59" t="s">
        <v>352</v>
      </c>
      <c r="P59">
        <v>64.900000000000006</v>
      </c>
    </row>
    <row r="60" spans="1:16" x14ac:dyDescent="0.3">
      <c r="A60" t="s">
        <v>17</v>
      </c>
      <c r="B60" t="s">
        <v>18</v>
      </c>
      <c r="C60" t="s">
        <v>19</v>
      </c>
      <c r="D60" t="s">
        <v>54</v>
      </c>
      <c r="E60" t="s">
        <v>262</v>
      </c>
      <c r="F60" t="s">
        <v>5</v>
      </c>
      <c r="G60" t="s">
        <v>354</v>
      </c>
      <c r="H60" t="s">
        <v>265</v>
      </c>
      <c r="I60">
        <v>60</v>
      </c>
      <c r="J60">
        <v>0.7379912663755458</v>
      </c>
      <c r="K60">
        <v>0.71610169491525422</v>
      </c>
      <c r="L60">
        <v>0.76126126126126126</v>
      </c>
      <c r="M60" t="s">
        <v>60</v>
      </c>
      <c r="N60" t="s">
        <v>356</v>
      </c>
      <c r="O60" t="s">
        <v>357</v>
      </c>
      <c r="P60">
        <v>65.599999999999994</v>
      </c>
    </row>
    <row r="61" spans="1:16" x14ac:dyDescent="0.3">
      <c r="A61" t="s">
        <v>17</v>
      </c>
      <c r="B61" t="s">
        <v>18</v>
      </c>
      <c r="C61" t="s">
        <v>19</v>
      </c>
      <c r="D61" t="s">
        <v>54</v>
      </c>
      <c r="E61" t="s">
        <v>262</v>
      </c>
      <c r="F61" t="s">
        <v>5</v>
      </c>
      <c r="G61" t="s">
        <v>359</v>
      </c>
      <c r="H61" t="s">
        <v>265</v>
      </c>
      <c r="I61">
        <v>61</v>
      </c>
      <c r="J61">
        <v>0.7379912663755458</v>
      </c>
      <c r="K61">
        <v>0.71610169491525422</v>
      </c>
      <c r="L61">
        <v>0.76126126126126126</v>
      </c>
      <c r="M61" t="s">
        <v>60</v>
      </c>
      <c r="N61" t="s">
        <v>361</v>
      </c>
      <c r="O61" t="s">
        <v>362</v>
      </c>
      <c r="P61">
        <v>65.3</v>
      </c>
    </row>
    <row r="62" spans="1:16" x14ac:dyDescent="0.3">
      <c r="A62" t="s">
        <v>17</v>
      </c>
      <c r="B62" t="s">
        <v>18</v>
      </c>
      <c r="C62" t="s">
        <v>19</v>
      </c>
      <c r="D62" t="s">
        <v>363</v>
      </c>
      <c r="E62" t="s">
        <v>365</v>
      </c>
      <c r="F62" t="s">
        <v>13</v>
      </c>
      <c r="G62" t="s">
        <v>366</v>
      </c>
      <c r="H62" t="s">
        <v>368</v>
      </c>
      <c r="I62">
        <v>42</v>
      </c>
      <c r="J62">
        <v>0.8</v>
      </c>
      <c r="K62">
        <v>0.76800000000000002</v>
      </c>
      <c r="L62">
        <v>0.83478260869565213</v>
      </c>
      <c r="M62" t="s">
        <v>60</v>
      </c>
      <c r="N62" t="s">
        <v>369</v>
      </c>
      <c r="O62" t="s">
        <v>370</v>
      </c>
      <c r="P62">
        <v>327.9</v>
      </c>
    </row>
    <row r="63" spans="1:16" x14ac:dyDescent="0.3">
      <c r="A63" t="s">
        <v>17</v>
      </c>
      <c r="B63" t="s">
        <v>18</v>
      </c>
      <c r="C63" t="s">
        <v>19</v>
      </c>
      <c r="D63" t="s">
        <v>363</v>
      </c>
      <c r="E63" t="s">
        <v>365</v>
      </c>
      <c r="F63" t="s">
        <v>13</v>
      </c>
      <c r="G63" t="s">
        <v>372</v>
      </c>
      <c r="H63" t="s">
        <v>368</v>
      </c>
      <c r="I63">
        <v>43</v>
      </c>
      <c r="J63">
        <v>0.78131634819532914</v>
      </c>
      <c r="K63">
        <v>0.76348547717842319</v>
      </c>
      <c r="L63">
        <v>0.8</v>
      </c>
      <c r="M63" t="s">
        <v>60</v>
      </c>
      <c r="N63" t="s">
        <v>374</v>
      </c>
      <c r="O63" t="s">
        <v>375</v>
      </c>
      <c r="P63">
        <v>274.5</v>
      </c>
    </row>
    <row r="64" spans="1:16" x14ac:dyDescent="0.3">
      <c r="A64" t="s">
        <v>17</v>
      </c>
      <c r="B64" t="s">
        <v>18</v>
      </c>
      <c r="C64" t="s">
        <v>19</v>
      </c>
      <c r="D64" t="s">
        <v>363</v>
      </c>
      <c r="E64" t="s">
        <v>365</v>
      </c>
      <c r="F64" t="s">
        <v>13</v>
      </c>
      <c r="G64" t="s">
        <v>377</v>
      </c>
      <c r="H64" t="s">
        <v>368</v>
      </c>
      <c r="I64">
        <v>44</v>
      </c>
      <c r="J64">
        <v>0.77310924369747902</v>
      </c>
      <c r="K64">
        <v>0.74796747967479671</v>
      </c>
      <c r="L64">
        <v>0.8</v>
      </c>
      <c r="M64" t="s">
        <v>60</v>
      </c>
      <c r="N64" t="s">
        <v>379</v>
      </c>
      <c r="O64" t="s">
        <v>380</v>
      </c>
      <c r="P64">
        <v>254</v>
      </c>
    </row>
    <row r="65" spans="1:16" x14ac:dyDescent="0.3">
      <c r="A65" t="s">
        <v>17</v>
      </c>
      <c r="B65" t="s">
        <v>18</v>
      </c>
      <c r="C65" t="s">
        <v>19</v>
      </c>
      <c r="D65" t="s">
        <v>363</v>
      </c>
      <c r="E65" t="s">
        <v>365</v>
      </c>
      <c r="F65" t="s">
        <v>13</v>
      </c>
      <c r="G65" t="s">
        <v>382</v>
      </c>
      <c r="H65" t="s">
        <v>368</v>
      </c>
      <c r="I65">
        <v>45</v>
      </c>
      <c r="J65">
        <v>0.77338877338877343</v>
      </c>
      <c r="K65">
        <v>0.74103585657370519</v>
      </c>
      <c r="L65">
        <v>0.80869565217391304</v>
      </c>
      <c r="M65" t="s">
        <v>60</v>
      </c>
      <c r="N65" t="s">
        <v>384</v>
      </c>
      <c r="O65" t="s">
        <v>385</v>
      </c>
      <c r="P65">
        <v>329.3</v>
      </c>
    </row>
    <row r="66" spans="1:16" x14ac:dyDescent="0.3">
      <c r="A66" t="s">
        <v>17</v>
      </c>
      <c r="B66" t="s">
        <v>18</v>
      </c>
      <c r="C66" t="s">
        <v>19</v>
      </c>
      <c r="D66" t="s">
        <v>363</v>
      </c>
      <c r="E66" t="s">
        <v>365</v>
      </c>
      <c r="F66" t="s">
        <v>13</v>
      </c>
      <c r="G66" t="s">
        <v>387</v>
      </c>
      <c r="H66" t="s">
        <v>368</v>
      </c>
      <c r="I66">
        <v>46</v>
      </c>
      <c r="J66">
        <v>0.79411764705882348</v>
      </c>
      <c r="K66">
        <v>0.76829268292682928</v>
      </c>
      <c r="L66">
        <v>0.82173913043478264</v>
      </c>
      <c r="M66" t="s">
        <v>60</v>
      </c>
      <c r="N66" t="s">
        <v>389</v>
      </c>
      <c r="O66" t="s">
        <v>390</v>
      </c>
      <c r="P66">
        <v>253.9</v>
      </c>
    </row>
    <row r="67" spans="1:16" x14ac:dyDescent="0.3">
      <c r="A67" t="s">
        <v>17</v>
      </c>
      <c r="B67" t="s">
        <v>18</v>
      </c>
      <c r="C67" t="s">
        <v>19</v>
      </c>
      <c r="D67" t="s">
        <v>363</v>
      </c>
      <c r="E67" t="s">
        <v>365</v>
      </c>
      <c r="F67" t="s">
        <v>13</v>
      </c>
      <c r="G67" t="s">
        <v>392</v>
      </c>
      <c r="H67" t="s">
        <v>368</v>
      </c>
      <c r="I67">
        <v>47</v>
      </c>
      <c r="J67">
        <v>0.78749999999999998</v>
      </c>
      <c r="K67">
        <v>0.75600000000000001</v>
      </c>
      <c r="L67">
        <v>0.82173913043478264</v>
      </c>
      <c r="M67" t="s">
        <v>60</v>
      </c>
      <c r="N67" t="s">
        <v>394</v>
      </c>
      <c r="O67" t="s">
        <v>395</v>
      </c>
      <c r="P67">
        <v>330.2</v>
      </c>
    </row>
    <row r="68" spans="1:16" x14ac:dyDescent="0.3">
      <c r="A68" t="s">
        <v>17</v>
      </c>
      <c r="B68" t="s">
        <v>18</v>
      </c>
      <c r="C68" t="s">
        <v>19</v>
      </c>
      <c r="D68" t="s">
        <v>363</v>
      </c>
      <c r="E68" t="s">
        <v>365</v>
      </c>
      <c r="F68" t="s">
        <v>13</v>
      </c>
      <c r="G68" t="s">
        <v>397</v>
      </c>
      <c r="H68" t="s">
        <v>368</v>
      </c>
      <c r="I68">
        <v>48</v>
      </c>
      <c r="J68">
        <v>0.77432712215320909</v>
      </c>
      <c r="K68">
        <v>0.73913043478260865</v>
      </c>
      <c r="L68">
        <v>0.81304347826086953</v>
      </c>
      <c r="M68" t="s">
        <v>60</v>
      </c>
      <c r="N68" t="s">
        <v>399</v>
      </c>
      <c r="O68" t="s">
        <v>400</v>
      </c>
      <c r="P68">
        <v>272.39999999999998</v>
      </c>
    </row>
    <row r="69" spans="1:16" x14ac:dyDescent="0.3">
      <c r="A69" t="s">
        <v>17</v>
      </c>
      <c r="B69" t="s">
        <v>18</v>
      </c>
      <c r="C69" t="s">
        <v>19</v>
      </c>
      <c r="D69" t="s">
        <v>363</v>
      </c>
      <c r="E69" t="s">
        <v>365</v>
      </c>
      <c r="F69" t="s">
        <v>13</v>
      </c>
      <c r="G69" t="s">
        <v>402</v>
      </c>
      <c r="H69" t="s">
        <v>368</v>
      </c>
      <c r="I69">
        <v>49</v>
      </c>
      <c r="J69">
        <v>0.77753779697624192</v>
      </c>
      <c r="K69">
        <v>0.77253218884120167</v>
      </c>
      <c r="L69">
        <v>0.78260869565217395</v>
      </c>
      <c r="M69" t="s">
        <v>60</v>
      </c>
      <c r="N69" t="s">
        <v>404</v>
      </c>
      <c r="O69" t="s">
        <v>405</v>
      </c>
      <c r="P69">
        <v>283.2</v>
      </c>
    </row>
    <row r="70" spans="1:16" x14ac:dyDescent="0.3">
      <c r="A70" t="s">
        <v>17</v>
      </c>
      <c r="B70" t="s">
        <v>18</v>
      </c>
      <c r="C70" t="s">
        <v>19</v>
      </c>
      <c r="D70" t="s">
        <v>363</v>
      </c>
      <c r="E70" t="s">
        <v>365</v>
      </c>
      <c r="F70" t="s">
        <v>13</v>
      </c>
      <c r="G70" t="s">
        <v>407</v>
      </c>
      <c r="H70" t="s">
        <v>368</v>
      </c>
      <c r="I70">
        <v>50</v>
      </c>
      <c r="J70">
        <v>0.77568134171907743</v>
      </c>
      <c r="K70">
        <v>0.74898785425101211</v>
      </c>
      <c r="L70">
        <v>0.80434782608695654</v>
      </c>
      <c r="M70" t="s">
        <v>60</v>
      </c>
      <c r="N70" t="s">
        <v>409</v>
      </c>
      <c r="O70" t="s">
        <v>410</v>
      </c>
      <c r="P70">
        <v>254.2</v>
      </c>
    </row>
    <row r="71" spans="1:16" x14ac:dyDescent="0.3">
      <c r="A71" t="s">
        <v>17</v>
      </c>
      <c r="B71" t="s">
        <v>18</v>
      </c>
      <c r="C71" t="s">
        <v>19</v>
      </c>
      <c r="D71" t="s">
        <v>363</v>
      </c>
      <c r="E71" t="s">
        <v>365</v>
      </c>
      <c r="F71" t="s">
        <v>13</v>
      </c>
      <c r="G71" t="s">
        <v>412</v>
      </c>
      <c r="H71" t="s">
        <v>368</v>
      </c>
      <c r="I71">
        <v>51</v>
      </c>
      <c r="J71">
        <v>0.77244258872651361</v>
      </c>
      <c r="K71">
        <v>0.74297188755020083</v>
      </c>
      <c r="L71">
        <v>0.80434782608695654</v>
      </c>
      <c r="M71" t="s">
        <v>60</v>
      </c>
      <c r="N71" t="s">
        <v>414</v>
      </c>
      <c r="O71" t="s">
        <v>415</v>
      </c>
      <c r="P71">
        <v>298.39999999999998</v>
      </c>
    </row>
    <row r="72" spans="1:16" x14ac:dyDescent="0.3">
      <c r="A72" t="s">
        <v>17</v>
      </c>
      <c r="B72" t="s">
        <v>18</v>
      </c>
      <c r="C72" t="s">
        <v>19</v>
      </c>
      <c r="D72" t="s">
        <v>363</v>
      </c>
      <c r="E72" t="s">
        <v>365</v>
      </c>
      <c r="F72" t="s">
        <v>13</v>
      </c>
      <c r="G72" t="s">
        <v>417</v>
      </c>
      <c r="H72" t="s">
        <v>368</v>
      </c>
      <c r="I72">
        <v>52</v>
      </c>
      <c r="J72">
        <v>0.78189300411522633</v>
      </c>
      <c r="K72">
        <v>0.7421875</v>
      </c>
      <c r="L72">
        <v>0.82608695652173914</v>
      </c>
      <c r="M72" t="s">
        <v>60</v>
      </c>
      <c r="N72" t="s">
        <v>419</v>
      </c>
      <c r="O72" t="s">
        <v>420</v>
      </c>
      <c r="P72">
        <v>267.8</v>
      </c>
    </row>
    <row r="73" spans="1:16" x14ac:dyDescent="0.3">
      <c r="A73" t="s">
        <v>17</v>
      </c>
      <c r="B73" t="s">
        <v>18</v>
      </c>
      <c r="C73" t="s">
        <v>19</v>
      </c>
      <c r="D73" t="s">
        <v>363</v>
      </c>
      <c r="E73" t="s">
        <v>365</v>
      </c>
      <c r="F73" t="s">
        <v>13</v>
      </c>
      <c r="G73" t="s">
        <v>422</v>
      </c>
      <c r="H73" t="s">
        <v>368</v>
      </c>
      <c r="I73">
        <v>53</v>
      </c>
      <c r="J73">
        <v>0.78151260504201681</v>
      </c>
      <c r="K73">
        <v>0.75609756097560976</v>
      </c>
      <c r="L73">
        <v>0.80869565217391304</v>
      </c>
      <c r="M73" t="s">
        <v>60</v>
      </c>
      <c r="N73" t="s">
        <v>424</v>
      </c>
      <c r="O73" t="s">
        <v>425</v>
      </c>
      <c r="P73">
        <v>298.10000000000002</v>
      </c>
    </row>
    <row r="74" spans="1:16" x14ac:dyDescent="0.3">
      <c r="A74" t="s">
        <v>17</v>
      </c>
      <c r="B74" t="s">
        <v>18</v>
      </c>
      <c r="C74" t="s">
        <v>19</v>
      </c>
      <c r="D74" t="s">
        <v>363</v>
      </c>
      <c r="E74" t="s">
        <v>365</v>
      </c>
      <c r="F74" t="s">
        <v>13</v>
      </c>
      <c r="G74" t="s">
        <v>427</v>
      </c>
      <c r="H74" t="s">
        <v>368</v>
      </c>
      <c r="I74">
        <v>54</v>
      </c>
      <c r="J74">
        <v>0.79583333333333317</v>
      </c>
      <c r="K74">
        <v>0.76400000000000001</v>
      </c>
      <c r="L74">
        <v>0.83043478260869563</v>
      </c>
      <c r="M74" t="s">
        <v>60</v>
      </c>
      <c r="N74" t="s">
        <v>429</v>
      </c>
      <c r="O74" t="s">
        <v>430</v>
      </c>
      <c r="P74">
        <v>316</v>
      </c>
    </row>
    <row r="75" spans="1:16" x14ac:dyDescent="0.3">
      <c r="A75" t="s">
        <v>17</v>
      </c>
      <c r="B75" t="s">
        <v>18</v>
      </c>
      <c r="C75" t="s">
        <v>19</v>
      </c>
      <c r="D75" t="s">
        <v>363</v>
      </c>
      <c r="E75" t="s">
        <v>365</v>
      </c>
      <c r="F75" t="s">
        <v>13</v>
      </c>
      <c r="G75" t="s">
        <v>432</v>
      </c>
      <c r="H75" t="s">
        <v>368</v>
      </c>
      <c r="I75">
        <v>55</v>
      </c>
      <c r="J75">
        <v>0.76923076923076916</v>
      </c>
      <c r="K75">
        <v>0.73705179282868527</v>
      </c>
      <c r="L75">
        <v>0.80434782608695654</v>
      </c>
      <c r="M75" t="s">
        <v>60</v>
      </c>
      <c r="N75" t="s">
        <v>434</v>
      </c>
      <c r="O75" t="s">
        <v>435</v>
      </c>
      <c r="P75">
        <v>325.5</v>
      </c>
    </row>
    <row r="76" spans="1:16" x14ac:dyDescent="0.3">
      <c r="A76" t="s">
        <v>17</v>
      </c>
      <c r="B76" t="s">
        <v>18</v>
      </c>
      <c r="C76" t="s">
        <v>19</v>
      </c>
      <c r="D76" t="s">
        <v>363</v>
      </c>
      <c r="E76" t="s">
        <v>365</v>
      </c>
      <c r="F76" t="s">
        <v>13</v>
      </c>
      <c r="G76" t="s">
        <v>437</v>
      </c>
      <c r="H76" t="s">
        <v>368</v>
      </c>
      <c r="I76">
        <v>56</v>
      </c>
      <c r="J76">
        <v>0.7857142857142857</v>
      </c>
      <c r="K76">
        <v>0.76016260162601623</v>
      </c>
      <c r="L76">
        <v>0.81304347826086953</v>
      </c>
      <c r="M76" t="s">
        <v>60</v>
      </c>
      <c r="N76" t="s">
        <v>439</v>
      </c>
      <c r="O76" t="s">
        <v>440</v>
      </c>
      <c r="P76">
        <v>271.60000000000002</v>
      </c>
    </row>
    <row r="77" spans="1:16" x14ac:dyDescent="0.3">
      <c r="A77" t="s">
        <v>17</v>
      </c>
      <c r="B77" t="s">
        <v>18</v>
      </c>
      <c r="C77" t="s">
        <v>19</v>
      </c>
      <c r="D77" t="s">
        <v>363</v>
      </c>
      <c r="E77" t="s">
        <v>365</v>
      </c>
      <c r="F77" t="s">
        <v>13</v>
      </c>
      <c r="G77" t="s">
        <v>442</v>
      </c>
      <c r="H77" t="s">
        <v>368</v>
      </c>
      <c r="I77">
        <v>57</v>
      </c>
      <c r="J77">
        <v>0.77338877338877343</v>
      </c>
      <c r="K77">
        <v>0.74103585657370519</v>
      </c>
      <c r="L77">
        <v>0.80869565217391304</v>
      </c>
      <c r="M77" t="s">
        <v>60</v>
      </c>
      <c r="N77" t="s">
        <v>444</v>
      </c>
      <c r="O77" t="s">
        <v>445</v>
      </c>
      <c r="P77">
        <v>330.2</v>
      </c>
    </row>
    <row r="78" spans="1:16" x14ac:dyDescent="0.3">
      <c r="A78" t="s">
        <v>17</v>
      </c>
      <c r="B78" t="s">
        <v>18</v>
      </c>
      <c r="C78" t="s">
        <v>19</v>
      </c>
      <c r="D78" t="s">
        <v>363</v>
      </c>
      <c r="E78" t="s">
        <v>365</v>
      </c>
      <c r="F78" t="s">
        <v>13</v>
      </c>
      <c r="G78" t="s">
        <v>447</v>
      </c>
      <c r="H78" t="s">
        <v>368</v>
      </c>
      <c r="I78">
        <v>58</v>
      </c>
      <c r="J78">
        <v>0.79833679833679827</v>
      </c>
      <c r="K78">
        <v>0.76494023904382469</v>
      </c>
      <c r="L78">
        <v>0.83478260869565213</v>
      </c>
      <c r="M78" t="s">
        <v>60</v>
      </c>
      <c r="N78" t="s">
        <v>449</v>
      </c>
      <c r="O78" t="s">
        <v>450</v>
      </c>
      <c r="P78">
        <v>282.7</v>
      </c>
    </row>
    <row r="79" spans="1:16" x14ac:dyDescent="0.3">
      <c r="A79" t="s">
        <v>17</v>
      </c>
      <c r="B79" t="s">
        <v>18</v>
      </c>
      <c r="C79" t="s">
        <v>19</v>
      </c>
      <c r="D79" t="s">
        <v>363</v>
      </c>
      <c r="E79" t="s">
        <v>365</v>
      </c>
      <c r="F79" t="s">
        <v>13</v>
      </c>
      <c r="G79" t="s">
        <v>452</v>
      </c>
      <c r="H79" t="s">
        <v>368</v>
      </c>
      <c r="I79">
        <v>59</v>
      </c>
      <c r="J79">
        <v>0.76890756302521002</v>
      </c>
      <c r="K79">
        <v>0.74390243902439024</v>
      </c>
      <c r="L79">
        <v>0.79565217391304344</v>
      </c>
      <c r="M79" t="s">
        <v>60</v>
      </c>
      <c r="N79" t="s">
        <v>454</v>
      </c>
      <c r="O79" t="s">
        <v>455</v>
      </c>
      <c r="P79">
        <v>318.8</v>
      </c>
    </row>
    <row r="80" spans="1:16" x14ac:dyDescent="0.3">
      <c r="A80" t="s">
        <v>17</v>
      </c>
      <c r="B80" t="s">
        <v>18</v>
      </c>
      <c r="C80" t="s">
        <v>19</v>
      </c>
      <c r="D80" t="s">
        <v>363</v>
      </c>
      <c r="E80" t="s">
        <v>365</v>
      </c>
      <c r="F80" t="s">
        <v>13</v>
      </c>
      <c r="G80" t="s">
        <v>457</v>
      </c>
      <c r="H80" t="s">
        <v>368</v>
      </c>
      <c r="I80">
        <v>60</v>
      </c>
      <c r="J80">
        <v>0.78825995807127891</v>
      </c>
      <c r="K80">
        <v>0.76113360323886636</v>
      </c>
      <c r="L80">
        <v>0.81739130434782614</v>
      </c>
      <c r="M80" t="s">
        <v>60</v>
      </c>
      <c r="N80" t="s">
        <v>459</v>
      </c>
      <c r="O80" t="s">
        <v>460</v>
      </c>
      <c r="P80">
        <v>328</v>
      </c>
    </row>
    <row r="81" spans="1:16" x14ac:dyDescent="0.3">
      <c r="A81" t="s">
        <v>17</v>
      </c>
      <c r="B81" t="s">
        <v>18</v>
      </c>
      <c r="C81" t="s">
        <v>19</v>
      </c>
      <c r="D81" t="s">
        <v>363</v>
      </c>
      <c r="E81" t="s">
        <v>365</v>
      </c>
      <c r="F81" t="s">
        <v>13</v>
      </c>
      <c r="G81" t="s">
        <v>462</v>
      </c>
      <c r="H81" t="s">
        <v>368</v>
      </c>
      <c r="I81">
        <v>61</v>
      </c>
      <c r="J81">
        <v>0.7583333333333333</v>
      </c>
      <c r="K81">
        <v>0.72799999999999998</v>
      </c>
      <c r="L81">
        <v>0.79130434782608694</v>
      </c>
      <c r="M81" t="s">
        <v>60</v>
      </c>
      <c r="N81" t="s">
        <v>464</v>
      </c>
      <c r="O81" t="s">
        <v>465</v>
      </c>
      <c r="P81">
        <v>282.7</v>
      </c>
    </row>
    <row r="82" spans="1:16" x14ac:dyDescent="0.3">
      <c r="A82" t="s">
        <v>17</v>
      </c>
      <c r="B82" t="s">
        <v>18</v>
      </c>
      <c r="C82" t="s">
        <v>19</v>
      </c>
      <c r="D82" t="s">
        <v>363</v>
      </c>
      <c r="E82" t="s">
        <v>467</v>
      </c>
      <c r="F82" t="s">
        <v>9</v>
      </c>
      <c r="G82" t="s">
        <v>468</v>
      </c>
      <c r="H82" t="s">
        <v>470</v>
      </c>
      <c r="I82">
        <v>42</v>
      </c>
      <c r="J82">
        <v>0.79886685552407932</v>
      </c>
      <c r="K82">
        <v>0.76630434782608692</v>
      </c>
      <c r="L82">
        <v>0.83431952662721898</v>
      </c>
      <c r="M82" t="s">
        <v>60</v>
      </c>
      <c r="N82" t="s">
        <v>471</v>
      </c>
      <c r="O82" t="s">
        <v>472</v>
      </c>
      <c r="P82">
        <v>329.6</v>
      </c>
    </row>
    <row r="83" spans="1:16" x14ac:dyDescent="0.3">
      <c r="A83" t="s">
        <v>17</v>
      </c>
      <c r="B83" t="s">
        <v>18</v>
      </c>
      <c r="C83" t="s">
        <v>19</v>
      </c>
      <c r="D83" t="s">
        <v>363</v>
      </c>
      <c r="E83" t="s">
        <v>467</v>
      </c>
      <c r="F83" t="s">
        <v>9</v>
      </c>
      <c r="G83" t="s">
        <v>474</v>
      </c>
      <c r="H83" t="s">
        <v>470</v>
      </c>
      <c r="I83">
        <v>43</v>
      </c>
      <c r="J83">
        <v>0.80112044817927164</v>
      </c>
      <c r="K83">
        <v>0.76063829787234039</v>
      </c>
      <c r="L83">
        <v>0.84615384615384615</v>
      </c>
      <c r="M83" t="s">
        <v>60</v>
      </c>
      <c r="N83" t="s">
        <v>476</v>
      </c>
      <c r="O83" t="s">
        <v>477</v>
      </c>
      <c r="P83">
        <v>267.8</v>
      </c>
    </row>
    <row r="84" spans="1:16" x14ac:dyDescent="0.3">
      <c r="A84" t="s">
        <v>17</v>
      </c>
      <c r="B84" t="s">
        <v>18</v>
      </c>
      <c r="C84" t="s">
        <v>19</v>
      </c>
      <c r="D84" t="s">
        <v>363</v>
      </c>
      <c r="E84" t="s">
        <v>467</v>
      </c>
      <c r="F84" t="s">
        <v>9</v>
      </c>
      <c r="G84" t="s">
        <v>479</v>
      </c>
      <c r="H84" t="s">
        <v>470</v>
      </c>
      <c r="I84">
        <v>44</v>
      </c>
      <c r="J84">
        <v>0.78888888888888897</v>
      </c>
      <c r="K84">
        <v>0.74345549738219896</v>
      </c>
      <c r="L84">
        <v>0.84023668639053251</v>
      </c>
      <c r="M84" t="s">
        <v>60</v>
      </c>
      <c r="N84" t="s">
        <v>481</v>
      </c>
      <c r="O84" t="s">
        <v>482</v>
      </c>
      <c r="P84">
        <v>296.3</v>
      </c>
    </row>
    <row r="85" spans="1:16" x14ac:dyDescent="0.3">
      <c r="A85" t="s">
        <v>17</v>
      </c>
      <c r="B85" t="s">
        <v>18</v>
      </c>
      <c r="C85" t="s">
        <v>19</v>
      </c>
      <c r="D85" t="s">
        <v>363</v>
      </c>
      <c r="E85" t="s">
        <v>467</v>
      </c>
      <c r="F85" t="s">
        <v>9</v>
      </c>
      <c r="G85" t="s">
        <v>484</v>
      </c>
      <c r="H85" t="s">
        <v>470</v>
      </c>
      <c r="I85">
        <v>45</v>
      </c>
      <c r="J85">
        <v>0.79778393351800569</v>
      </c>
      <c r="K85">
        <v>0.75</v>
      </c>
      <c r="L85">
        <v>0.85207100591715978</v>
      </c>
      <c r="M85" t="s">
        <v>60</v>
      </c>
      <c r="N85" t="s">
        <v>486</v>
      </c>
      <c r="O85" t="s">
        <v>487</v>
      </c>
      <c r="P85">
        <v>254.1</v>
      </c>
    </row>
    <row r="86" spans="1:16" x14ac:dyDescent="0.3">
      <c r="A86" t="s">
        <v>17</v>
      </c>
      <c r="B86" t="s">
        <v>18</v>
      </c>
      <c r="C86" t="s">
        <v>19</v>
      </c>
      <c r="D86" t="s">
        <v>363</v>
      </c>
      <c r="E86" t="s">
        <v>467</v>
      </c>
      <c r="F86" t="s">
        <v>9</v>
      </c>
      <c r="G86" t="s">
        <v>489</v>
      </c>
      <c r="H86" t="s">
        <v>470</v>
      </c>
      <c r="I86">
        <v>46</v>
      </c>
      <c r="J86">
        <v>0.81019830028328621</v>
      </c>
      <c r="K86">
        <v>0.77717391304347827</v>
      </c>
      <c r="L86">
        <v>0.84615384615384615</v>
      </c>
      <c r="M86" t="s">
        <v>60</v>
      </c>
      <c r="N86" t="s">
        <v>491</v>
      </c>
      <c r="O86" t="s">
        <v>492</v>
      </c>
      <c r="P86">
        <v>331</v>
      </c>
    </row>
    <row r="87" spans="1:16" x14ac:dyDescent="0.3">
      <c r="A87" t="s">
        <v>17</v>
      </c>
      <c r="B87" t="s">
        <v>18</v>
      </c>
      <c r="C87" t="s">
        <v>19</v>
      </c>
      <c r="D87" t="s">
        <v>363</v>
      </c>
      <c r="E87" t="s">
        <v>467</v>
      </c>
      <c r="F87" t="s">
        <v>9</v>
      </c>
      <c r="G87" t="s">
        <v>494</v>
      </c>
      <c r="H87" t="s">
        <v>470</v>
      </c>
      <c r="I87">
        <v>47</v>
      </c>
      <c r="J87">
        <v>0.78474114441416898</v>
      </c>
      <c r="K87">
        <v>0.72727272727272729</v>
      </c>
      <c r="L87">
        <v>0.85207100591715978</v>
      </c>
      <c r="M87" t="s">
        <v>60</v>
      </c>
      <c r="N87" t="s">
        <v>496</v>
      </c>
      <c r="O87" t="s">
        <v>497</v>
      </c>
      <c r="P87">
        <v>256.3</v>
      </c>
    </row>
    <row r="88" spans="1:16" x14ac:dyDescent="0.3">
      <c r="A88" t="s">
        <v>17</v>
      </c>
      <c r="B88" t="s">
        <v>18</v>
      </c>
      <c r="C88" t="s">
        <v>19</v>
      </c>
      <c r="D88" t="s">
        <v>363</v>
      </c>
      <c r="E88" t="s">
        <v>467</v>
      </c>
      <c r="F88" t="s">
        <v>9</v>
      </c>
      <c r="G88" t="s">
        <v>499</v>
      </c>
      <c r="H88" t="s">
        <v>470</v>
      </c>
      <c r="I88">
        <v>48</v>
      </c>
      <c r="J88">
        <v>0.8076923076923076</v>
      </c>
      <c r="K88">
        <v>0.75384615384615383</v>
      </c>
      <c r="L88">
        <v>0.86982248520710059</v>
      </c>
      <c r="M88" t="s">
        <v>60</v>
      </c>
      <c r="N88" t="s">
        <v>501</v>
      </c>
      <c r="O88" t="s">
        <v>502</v>
      </c>
      <c r="P88">
        <v>299.8</v>
      </c>
    </row>
    <row r="89" spans="1:16" x14ac:dyDescent="0.3">
      <c r="A89" t="s">
        <v>17</v>
      </c>
      <c r="B89" t="s">
        <v>18</v>
      </c>
      <c r="C89" t="s">
        <v>19</v>
      </c>
      <c r="D89" t="s">
        <v>363</v>
      </c>
      <c r="E89" t="s">
        <v>467</v>
      </c>
      <c r="F89" t="s">
        <v>9</v>
      </c>
      <c r="G89" t="s">
        <v>504</v>
      </c>
      <c r="H89" t="s">
        <v>470</v>
      </c>
      <c r="I89">
        <v>49</v>
      </c>
      <c r="J89">
        <v>0.79661016949152552</v>
      </c>
      <c r="K89">
        <v>0.76216216216216215</v>
      </c>
      <c r="L89">
        <v>0.83431952662721898</v>
      </c>
      <c r="M89" t="s">
        <v>60</v>
      </c>
      <c r="N89" t="s">
        <v>506</v>
      </c>
      <c r="O89" t="s">
        <v>507</v>
      </c>
      <c r="P89">
        <v>259</v>
      </c>
    </row>
    <row r="90" spans="1:16" x14ac:dyDescent="0.3">
      <c r="A90" t="s">
        <v>17</v>
      </c>
      <c r="B90" t="s">
        <v>18</v>
      </c>
      <c r="C90" t="s">
        <v>19</v>
      </c>
      <c r="D90" t="s">
        <v>363</v>
      </c>
      <c r="E90" t="s">
        <v>467</v>
      </c>
      <c r="F90" t="s">
        <v>9</v>
      </c>
      <c r="G90" t="s">
        <v>509</v>
      </c>
      <c r="H90" t="s">
        <v>470</v>
      </c>
      <c r="I90">
        <v>50</v>
      </c>
      <c r="J90">
        <v>0.80691642651296835</v>
      </c>
      <c r="K90">
        <v>0.7865168539325843</v>
      </c>
      <c r="L90">
        <v>0.82840236686390534</v>
      </c>
      <c r="M90" t="s">
        <v>60</v>
      </c>
      <c r="N90" t="s">
        <v>511</v>
      </c>
      <c r="O90" t="s">
        <v>512</v>
      </c>
      <c r="P90">
        <v>316.3</v>
      </c>
    </row>
    <row r="91" spans="1:16" x14ac:dyDescent="0.3">
      <c r="A91" t="s">
        <v>17</v>
      </c>
      <c r="B91" t="s">
        <v>18</v>
      </c>
      <c r="C91" t="s">
        <v>19</v>
      </c>
      <c r="D91" t="s">
        <v>363</v>
      </c>
      <c r="E91" t="s">
        <v>467</v>
      </c>
      <c r="F91" t="s">
        <v>9</v>
      </c>
      <c r="G91" t="s">
        <v>514</v>
      </c>
      <c r="H91" t="s">
        <v>470</v>
      </c>
      <c r="I91">
        <v>51</v>
      </c>
      <c r="J91">
        <v>0.8045325779036826</v>
      </c>
      <c r="K91">
        <v>0.77173913043478259</v>
      </c>
      <c r="L91">
        <v>0.84023668639053251</v>
      </c>
      <c r="M91" t="s">
        <v>60</v>
      </c>
      <c r="N91" t="s">
        <v>516</v>
      </c>
      <c r="O91" t="s">
        <v>517</v>
      </c>
      <c r="P91">
        <v>255</v>
      </c>
    </row>
    <row r="92" spans="1:16" x14ac:dyDescent="0.3">
      <c r="A92" t="s">
        <v>17</v>
      </c>
      <c r="B92" t="s">
        <v>18</v>
      </c>
      <c r="C92" t="s">
        <v>19</v>
      </c>
      <c r="D92" t="s">
        <v>363</v>
      </c>
      <c r="E92" t="s">
        <v>467</v>
      </c>
      <c r="F92" t="s">
        <v>9</v>
      </c>
      <c r="G92" t="s">
        <v>519</v>
      </c>
      <c r="H92" t="s">
        <v>470</v>
      </c>
      <c r="I92">
        <v>52</v>
      </c>
      <c r="J92">
        <v>0.78840579710144931</v>
      </c>
      <c r="K92">
        <v>0.77272727272727271</v>
      </c>
      <c r="L92">
        <v>0.80473372781065089</v>
      </c>
      <c r="M92" t="s">
        <v>60</v>
      </c>
      <c r="N92" t="s">
        <v>521</v>
      </c>
      <c r="O92" t="s">
        <v>522</v>
      </c>
      <c r="P92">
        <v>254.7</v>
      </c>
    </row>
    <row r="93" spans="1:16" x14ac:dyDescent="0.3">
      <c r="A93" t="s">
        <v>17</v>
      </c>
      <c r="B93" t="s">
        <v>18</v>
      </c>
      <c r="C93" t="s">
        <v>19</v>
      </c>
      <c r="D93" t="s">
        <v>363</v>
      </c>
      <c r="E93" t="s">
        <v>467</v>
      </c>
      <c r="F93" t="s">
        <v>9</v>
      </c>
      <c r="G93" t="s">
        <v>524</v>
      </c>
      <c r="H93" t="s">
        <v>470</v>
      </c>
      <c r="I93">
        <v>53</v>
      </c>
      <c r="J93">
        <v>0.82857142857142851</v>
      </c>
      <c r="K93">
        <v>0.80110497237569056</v>
      </c>
      <c r="L93">
        <v>0.85798816568047342</v>
      </c>
      <c r="M93" t="s">
        <v>60</v>
      </c>
      <c r="N93" t="s">
        <v>526</v>
      </c>
      <c r="O93" t="s">
        <v>527</v>
      </c>
      <c r="P93">
        <v>284.8</v>
      </c>
    </row>
    <row r="94" spans="1:16" x14ac:dyDescent="0.3">
      <c r="A94" t="s">
        <v>17</v>
      </c>
      <c r="B94" t="s">
        <v>18</v>
      </c>
      <c r="C94" t="s">
        <v>19</v>
      </c>
      <c r="D94" t="s">
        <v>363</v>
      </c>
      <c r="E94" t="s">
        <v>467</v>
      </c>
      <c r="F94" t="s">
        <v>9</v>
      </c>
      <c r="G94" t="s">
        <v>529</v>
      </c>
      <c r="H94" t="s">
        <v>470</v>
      </c>
      <c r="I94">
        <v>54</v>
      </c>
      <c r="J94">
        <v>0.8089887640449438</v>
      </c>
      <c r="K94">
        <v>0.77005347593582885</v>
      </c>
      <c r="L94">
        <v>0.85207100591715978</v>
      </c>
      <c r="M94" t="s">
        <v>60</v>
      </c>
      <c r="N94" t="s">
        <v>531</v>
      </c>
      <c r="O94" t="s">
        <v>532</v>
      </c>
      <c r="P94">
        <v>275.89999999999998</v>
      </c>
    </row>
    <row r="95" spans="1:16" x14ac:dyDescent="0.3">
      <c r="A95" t="s">
        <v>17</v>
      </c>
      <c r="B95" t="s">
        <v>18</v>
      </c>
      <c r="C95" t="s">
        <v>19</v>
      </c>
      <c r="D95" t="s">
        <v>363</v>
      </c>
      <c r="E95" t="s">
        <v>467</v>
      </c>
      <c r="F95" t="s">
        <v>9</v>
      </c>
      <c r="G95" t="s">
        <v>534</v>
      </c>
      <c r="H95" t="s">
        <v>470</v>
      </c>
      <c r="I95">
        <v>55</v>
      </c>
      <c r="J95">
        <v>0.79320113314447593</v>
      </c>
      <c r="K95">
        <v>0.76086956521739135</v>
      </c>
      <c r="L95">
        <v>0.82840236686390534</v>
      </c>
      <c r="M95" t="s">
        <v>60</v>
      </c>
      <c r="N95" t="s">
        <v>536</v>
      </c>
      <c r="O95" t="s">
        <v>537</v>
      </c>
      <c r="P95">
        <v>187.9</v>
      </c>
    </row>
    <row r="96" spans="1:16" x14ac:dyDescent="0.3">
      <c r="A96" t="s">
        <v>17</v>
      </c>
      <c r="B96" t="s">
        <v>18</v>
      </c>
      <c r="C96" t="s">
        <v>19</v>
      </c>
      <c r="D96" t="s">
        <v>363</v>
      </c>
      <c r="E96" t="s">
        <v>467</v>
      </c>
      <c r="F96" t="s">
        <v>9</v>
      </c>
      <c r="G96" t="s">
        <v>539</v>
      </c>
      <c r="H96" t="s">
        <v>470</v>
      </c>
      <c r="I96">
        <v>56</v>
      </c>
      <c r="J96">
        <v>0.7988826815642458</v>
      </c>
      <c r="K96">
        <v>0.75661375661375663</v>
      </c>
      <c r="L96">
        <v>0.84615384615384615</v>
      </c>
      <c r="M96" t="s">
        <v>60</v>
      </c>
      <c r="N96" t="s">
        <v>541</v>
      </c>
      <c r="O96" t="s">
        <v>542</v>
      </c>
      <c r="P96">
        <v>327.3</v>
      </c>
    </row>
    <row r="97" spans="1:16" x14ac:dyDescent="0.3">
      <c r="A97" t="s">
        <v>17</v>
      </c>
      <c r="B97" t="s">
        <v>18</v>
      </c>
      <c r="C97" t="s">
        <v>19</v>
      </c>
      <c r="D97" t="s">
        <v>363</v>
      </c>
      <c r="E97" t="s">
        <v>467</v>
      </c>
      <c r="F97" t="s">
        <v>9</v>
      </c>
      <c r="G97" t="s">
        <v>544</v>
      </c>
      <c r="H97" t="s">
        <v>470</v>
      </c>
      <c r="I97">
        <v>57</v>
      </c>
      <c r="J97">
        <v>0.8045325779036826</v>
      </c>
      <c r="K97">
        <v>0.77173913043478259</v>
      </c>
      <c r="L97">
        <v>0.84023668639053251</v>
      </c>
      <c r="M97" t="s">
        <v>60</v>
      </c>
      <c r="N97" t="s">
        <v>546</v>
      </c>
      <c r="O97" t="s">
        <v>547</v>
      </c>
      <c r="P97">
        <v>196.2</v>
      </c>
    </row>
    <row r="98" spans="1:16" x14ac:dyDescent="0.3">
      <c r="A98" t="s">
        <v>17</v>
      </c>
      <c r="B98" t="s">
        <v>18</v>
      </c>
      <c r="C98" t="s">
        <v>19</v>
      </c>
      <c r="D98" t="s">
        <v>363</v>
      </c>
      <c r="E98" t="s">
        <v>467</v>
      </c>
      <c r="F98" t="s">
        <v>9</v>
      </c>
      <c r="G98" t="s">
        <v>549</v>
      </c>
      <c r="H98" t="s">
        <v>470</v>
      </c>
      <c r="I98">
        <v>58</v>
      </c>
      <c r="J98">
        <v>0.80563380281690145</v>
      </c>
      <c r="K98">
        <v>0.76881720430107525</v>
      </c>
      <c r="L98">
        <v>0.84615384615384615</v>
      </c>
      <c r="M98" t="s">
        <v>60</v>
      </c>
      <c r="N98" t="s">
        <v>551</v>
      </c>
      <c r="O98" t="s">
        <v>552</v>
      </c>
      <c r="P98">
        <v>196.9</v>
      </c>
    </row>
    <row r="99" spans="1:16" x14ac:dyDescent="0.3">
      <c r="A99" t="s">
        <v>17</v>
      </c>
      <c r="B99" t="s">
        <v>18</v>
      </c>
      <c r="C99" t="s">
        <v>19</v>
      </c>
      <c r="D99" t="s">
        <v>363</v>
      </c>
      <c r="E99" t="s">
        <v>467</v>
      </c>
      <c r="F99" t="s">
        <v>9</v>
      </c>
      <c r="G99" t="s">
        <v>554</v>
      </c>
      <c r="H99" t="s">
        <v>470</v>
      </c>
      <c r="I99">
        <v>59</v>
      </c>
      <c r="J99">
        <v>0.8</v>
      </c>
      <c r="K99">
        <v>0.77348066298342544</v>
      </c>
      <c r="L99">
        <v>0.82840236686390534</v>
      </c>
      <c r="M99" t="s">
        <v>60</v>
      </c>
      <c r="N99" t="s">
        <v>556</v>
      </c>
      <c r="O99" t="s">
        <v>557</v>
      </c>
      <c r="P99">
        <v>239.9</v>
      </c>
    </row>
    <row r="100" spans="1:16" x14ac:dyDescent="0.3">
      <c r="A100" t="s">
        <v>17</v>
      </c>
      <c r="B100" t="s">
        <v>18</v>
      </c>
      <c r="C100" t="s">
        <v>19</v>
      </c>
      <c r="D100" t="s">
        <v>363</v>
      </c>
      <c r="E100" t="s">
        <v>467</v>
      </c>
      <c r="F100" t="s">
        <v>9</v>
      </c>
      <c r="G100" t="s">
        <v>559</v>
      </c>
      <c r="H100" t="s">
        <v>470</v>
      </c>
      <c r="I100">
        <v>60</v>
      </c>
      <c r="J100">
        <v>0.78770949720670402</v>
      </c>
      <c r="K100">
        <v>0.74603174603174605</v>
      </c>
      <c r="L100">
        <v>0.83431952662721898</v>
      </c>
      <c r="M100" t="s">
        <v>60</v>
      </c>
      <c r="N100" t="s">
        <v>561</v>
      </c>
      <c r="O100" t="s">
        <v>562</v>
      </c>
      <c r="P100">
        <v>212.2</v>
      </c>
    </row>
    <row r="101" spans="1:16" x14ac:dyDescent="0.3">
      <c r="A101" t="s">
        <v>17</v>
      </c>
      <c r="B101" t="s">
        <v>18</v>
      </c>
      <c r="C101" t="s">
        <v>19</v>
      </c>
      <c r="D101" t="s">
        <v>363</v>
      </c>
      <c r="E101" t="s">
        <v>467</v>
      </c>
      <c r="F101" t="s">
        <v>9</v>
      </c>
      <c r="G101" t="s">
        <v>564</v>
      </c>
      <c r="H101" t="s">
        <v>470</v>
      </c>
      <c r="I101">
        <v>61</v>
      </c>
      <c r="J101">
        <v>0.81714285714285706</v>
      </c>
      <c r="K101">
        <v>0.79005524861878451</v>
      </c>
      <c r="L101">
        <v>0.84615384615384615</v>
      </c>
      <c r="M101" t="s">
        <v>60</v>
      </c>
      <c r="N101" t="s">
        <v>566</v>
      </c>
      <c r="O101" t="s">
        <v>567</v>
      </c>
      <c r="P101">
        <v>208.4</v>
      </c>
    </row>
    <row r="102" spans="1:16" x14ac:dyDescent="0.3">
      <c r="A102" t="s">
        <v>17</v>
      </c>
      <c r="B102" t="s">
        <v>18</v>
      </c>
      <c r="C102" t="s">
        <v>19</v>
      </c>
      <c r="D102" t="s">
        <v>363</v>
      </c>
      <c r="E102" t="s">
        <v>569</v>
      </c>
      <c r="F102" t="s">
        <v>11</v>
      </c>
      <c r="G102" t="s">
        <v>570</v>
      </c>
      <c r="H102" t="s">
        <v>572</v>
      </c>
      <c r="I102">
        <v>42</v>
      </c>
      <c r="J102">
        <v>0.78761061946902655</v>
      </c>
      <c r="K102">
        <v>0.77391304347826084</v>
      </c>
      <c r="L102">
        <v>0.80180180180180183</v>
      </c>
      <c r="M102" t="s">
        <v>60</v>
      </c>
      <c r="N102" t="s">
        <v>573</v>
      </c>
      <c r="O102" t="s">
        <v>574</v>
      </c>
      <c r="P102">
        <v>234.9</v>
      </c>
    </row>
    <row r="103" spans="1:16" x14ac:dyDescent="0.3">
      <c r="A103" t="s">
        <v>17</v>
      </c>
      <c r="B103" t="s">
        <v>18</v>
      </c>
      <c r="C103" t="s">
        <v>19</v>
      </c>
      <c r="D103" t="s">
        <v>363</v>
      </c>
      <c r="E103" t="s">
        <v>569</v>
      </c>
      <c r="F103" t="s">
        <v>11</v>
      </c>
      <c r="G103" t="s">
        <v>576</v>
      </c>
      <c r="H103" t="s">
        <v>572</v>
      </c>
      <c r="I103">
        <v>43</v>
      </c>
      <c r="J103">
        <v>0.7911111111111111</v>
      </c>
      <c r="K103">
        <v>0.7807017543859649</v>
      </c>
      <c r="L103">
        <v>0.80180180180180183</v>
      </c>
      <c r="M103" t="s">
        <v>60</v>
      </c>
      <c r="N103" t="s">
        <v>578</v>
      </c>
      <c r="O103" t="s">
        <v>579</v>
      </c>
      <c r="P103">
        <v>263</v>
      </c>
    </row>
    <row r="104" spans="1:16" x14ac:dyDescent="0.3">
      <c r="A104" t="s">
        <v>17</v>
      </c>
      <c r="B104" t="s">
        <v>18</v>
      </c>
      <c r="C104" t="s">
        <v>19</v>
      </c>
      <c r="D104" t="s">
        <v>363</v>
      </c>
      <c r="E104" t="s">
        <v>569</v>
      </c>
      <c r="F104" t="s">
        <v>11</v>
      </c>
      <c r="G104" t="s">
        <v>581</v>
      </c>
      <c r="H104" t="s">
        <v>572</v>
      </c>
      <c r="I104">
        <v>44</v>
      </c>
      <c r="J104">
        <v>0.80995475113122184</v>
      </c>
      <c r="K104">
        <v>0.8136363636363636</v>
      </c>
      <c r="L104">
        <v>0.80630630630630629</v>
      </c>
      <c r="M104" t="s">
        <v>60</v>
      </c>
      <c r="N104" t="s">
        <v>583</v>
      </c>
      <c r="O104" t="s">
        <v>584</v>
      </c>
      <c r="P104">
        <v>265.5</v>
      </c>
    </row>
    <row r="105" spans="1:16" x14ac:dyDescent="0.3">
      <c r="A105" t="s">
        <v>17</v>
      </c>
      <c r="B105" t="s">
        <v>18</v>
      </c>
      <c r="C105" t="s">
        <v>19</v>
      </c>
      <c r="D105" t="s">
        <v>363</v>
      </c>
      <c r="E105" t="s">
        <v>569</v>
      </c>
      <c r="F105" t="s">
        <v>11</v>
      </c>
      <c r="G105" t="s">
        <v>586</v>
      </c>
      <c r="H105" t="s">
        <v>572</v>
      </c>
      <c r="I105">
        <v>45</v>
      </c>
      <c r="J105">
        <v>0.80530973451327426</v>
      </c>
      <c r="K105">
        <v>0.79130434782608694</v>
      </c>
      <c r="L105">
        <v>0.81981981981981977</v>
      </c>
      <c r="M105" t="s">
        <v>60</v>
      </c>
      <c r="N105" t="s">
        <v>588</v>
      </c>
      <c r="O105" t="s">
        <v>589</v>
      </c>
      <c r="P105">
        <v>247.5</v>
      </c>
    </row>
    <row r="106" spans="1:16" x14ac:dyDescent="0.3">
      <c r="A106" t="s">
        <v>17</v>
      </c>
      <c r="B106" t="s">
        <v>18</v>
      </c>
      <c r="C106" t="s">
        <v>19</v>
      </c>
      <c r="D106" t="s">
        <v>363</v>
      </c>
      <c r="E106" t="s">
        <v>569</v>
      </c>
      <c r="F106" t="s">
        <v>11</v>
      </c>
      <c r="G106" t="s">
        <v>591</v>
      </c>
      <c r="H106" t="s">
        <v>572</v>
      </c>
      <c r="I106">
        <v>46</v>
      </c>
      <c r="J106">
        <v>0.80176211453744495</v>
      </c>
      <c r="K106">
        <v>0.78448275862068961</v>
      </c>
      <c r="L106">
        <v>0.81981981981981977</v>
      </c>
      <c r="M106" t="s">
        <v>60</v>
      </c>
      <c r="N106" t="s">
        <v>593</v>
      </c>
      <c r="O106" t="s">
        <v>594</v>
      </c>
      <c r="P106">
        <v>261</v>
      </c>
    </row>
    <row r="107" spans="1:16" x14ac:dyDescent="0.3">
      <c r="A107" t="s">
        <v>17</v>
      </c>
      <c r="B107" t="s">
        <v>18</v>
      </c>
      <c r="C107" t="s">
        <v>19</v>
      </c>
      <c r="D107" t="s">
        <v>363</v>
      </c>
      <c r="E107" t="s">
        <v>569</v>
      </c>
      <c r="F107" t="s">
        <v>11</v>
      </c>
      <c r="G107" t="s">
        <v>596</v>
      </c>
      <c r="H107" t="s">
        <v>572</v>
      </c>
      <c r="I107">
        <v>47</v>
      </c>
      <c r="J107">
        <v>0.80794701986754958</v>
      </c>
      <c r="K107">
        <v>0.79220779220779225</v>
      </c>
      <c r="L107">
        <v>0.82432432432432434</v>
      </c>
      <c r="M107" t="s">
        <v>60</v>
      </c>
      <c r="N107" t="s">
        <v>598</v>
      </c>
      <c r="O107" t="s">
        <v>599</v>
      </c>
      <c r="P107">
        <v>262</v>
      </c>
    </row>
    <row r="108" spans="1:16" x14ac:dyDescent="0.3">
      <c r="A108" t="s">
        <v>17</v>
      </c>
      <c r="B108" t="s">
        <v>18</v>
      </c>
      <c r="C108" t="s">
        <v>19</v>
      </c>
      <c r="D108" t="s">
        <v>363</v>
      </c>
      <c r="E108" t="s">
        <v>569</v>
      </c>
      <c r="F108" t="s">
        <v>11</v>
      </c>
      <c r="G108" t="s">
        <v>601</v>
      </c>
      <c r="H108" t="s">
        <v>572</v>
      </c>
      <c r="I108">
        <v>48</v>
      </c>
      <c r="J108">
        <v>0.8080357142857143</v>
      </c>
      <c r="K108">
        <v>0.80088495575221241</v>
      </c>
      <c r="L108">
        <v>0.81531531531531531</v>
      </c>
      <c r="M108" t="s">
        <v>60</v>
      </c>
      <c r="N108" t="s">
        <v>603</v>
      </c>
      <c r="O108" t="s">
        <v>604</v>
      </c>
      <c r="P108">
        <v>235.6</v>
      </c>
    </row>
    <row r="109" spans="1:16" x14ac:dyDescent="0.3">
      <c r="A109" t="s">
        <v>17</v>
      </c>
      <c r="B109" t="s">
        <v>18</v>
      </c>
      <c r="C109" t="s">
        <v>19</v>
      </c>
      <c r="D109" t="s">
        <v>363</v>
      </c>
      <c r="E109" t="s">
        <v>569</v>
      </c>
      <c r="F109" t="s">
        <v>11</v>
      </c>
      <c r="G109" t="s">
        <v>606</v>
      </c>
      <c r="H109" t="s">
        <v>572</v>
      </c>
      <c r="I109">
        <v>49</v>
      </c>
      <c r="J109">
        <v>0.82637362637362632</v>
      </c>
      <c r="K109">
        <v>0.80686695278969955</v>
      </c>
      <c r="L109">
        <v>0.84684684684684686</v>
      </c>
      <c r="M109" t="s">
        <v>60</v>
      </c>
      <c r="N109" t="s">
        <v>608</v>
      </c>
      <c r="O109" t="s">
        <v>609</v>
      </c>
      <c r="P109">
        <v>221.2</v>
      </c>
    </row>
    <row r="110" spans="1:16" x14ac:dyDescent="0.3">
      <c r="A110" t="s">
        <v>17</v>
      </c>
      <c r="B110" t="s">
        <v>18</v>
      </c>
      <c r="C110" t="s">
        <v>19</v>
      </c>
      <c r="D110" t="s">
        <v>363</v>
      </c>
      <c r="E110" t="s">
        <v>569</v>
      </c>
      <c r="F110" t="s">
        <v>11</v>
      </c>
      <c r="G110" t="s">
        <v>611</v>
      </c>
      <c r="H110" t="s">
        <v>572</v>
      </c>
      <c r="I110">
        <v>50</v>
      </c>
      <c r="J110">
        <v>0.80260303687635581</v>
      </c>
      <c r="K110">
        <v>0.77405857740585771</v>
      </c>
      <c r="L110">
        <v>0.83333333333333337</v>
      </c>
      <c r="M110" t="s">
        <v>60</v>
      </c>
      <c r="N110" t="s">
        <v>613</v>
      </c>
      <c r="O110" t="s">
        <v>614</v>
      </c>
      <c r="P110">
        <v>235.6</v>
      </c>
    </row>
    <row r="111" spans="1:16" x14ac:dyDescent="0.3">
      <c r="A111" t="s">
        <v>17</v>
      </c>
      <c r="B111" t="s">
        <v>18</v>
      </c>
      <c r="C111" t="s">
        <v>19</v>
      </c>
      <c r="D111" t="s">
        <v>363</v>
      </c>
      <c r="E111" t="s">
        <v>569</v>
      </c>
      <c r="F111" t="s">
        <v>11</v>
      </c>
      <c r="G111" t="s">
        <v>616</v>
      </c>
      <c r="H111" t="s">
        <v>572</v>
      </c>
      <c r="I111">
        <v>51</v>
      </c>
      <c r="J111">
        <v>0.82666666666666655</v>
      </c>
      <c r="K111">
        <v>0.81578947368421051</v>
      </c>
      <c r="L111">
        <v>0.83783783783783783</v>
      </c>
      <c r="M111" t="s">
        <v>60</v>
      </c>
      <c r="N111" t="s">
        <v>618</v>
      </c>
      <c r="O111" t="s">
        <v>619</v>
      </c>
      <c r="P111">
        <v>209.3</v>
      </c>
    </row>
    <row r="112" spans="1:16" x14ac:dyDescent="0.3">
      <c r="A112" t="s">
        <v>17</v>
      </c>
      <c r="B112" t="s">
        <v>18</v>
      </c>
      <c r="C112" t="s">
        <v>19</v>
      </c>
      <c r="D112" t="s">
        <v>363</v>
      </c>
      <c r="E112" t="s">
        <v>569</v>
      </c>
      <c r="F112" t="s">
        <v>11</v>
      </c>
      <c r="G112" t="s">
        <v>621</v>
      </c>
      <c r="H112" t="s">
        <v>572</v>
      </c>
      <c r="I112">
        <v>52</v>
      </c>
      <c r="J112">
        <v>0.81758241758241768</v>
      </c>
      <c r="K112">
        <v>0.79828326180257514</v>
      </c>
      <c r="L112">
        <v>0.83783783783783783</v>
      </c>
      <c r="M112" t="s">
        <v>60</v>
      </c>
      <c r="N112" t="s">
        <v>623</v>
      </c>
      <c r="O112" t="s">
        <v>624</v>
      </c>
      <c r="P112">
        <v>235.2</v>
      </c>
    </row>
    <row r="113" spans="1:16" x14ac:dyDescent="0.3">
      <c r="A113" t="s">
        <v>17</v>
      </c>
      <c r="B113" t="s">
        <v>18</v>
      </c>
      <c r="C113" t="s">
        <v>19</v>
      </c>
      <c r="D113" t="s">
        <v>363</v>
      </c>
      <c r="E113" t="s">
        <v>569</v>
      </c>
      <c r="F113" t="s">
        <v>11</v>
      </c>
      <c r="G113" t="s">
        <v>626</v>
      </c>
      <c r="H113" t="s">
        <v>572</v>
      </c>
      <c r="I113">
        <v>53</v>
      </c>
      <c r="J113">
        <v>0.80353200883002218</v>
      </c>
      <c r="K113">
        <v>0.78787878787878785</v>
      </c>
      <c r="L113">
        <v>0.81981981981981977</v>
      </c>
      <c r="M113" t="s">
        <v>60</v>
      </c>
      <c r="N113" t="s">
        <v>628</v>
      </c>
      <c r="O113" t="s">
        <v>629</v>
      </c>
      <c r="P113">
        <v>195.9</v>
      </c>
    </row>
    <row r="114" spans="1:16" x14ac:dyDescent="0.3">
      <c r="A114" t="s">
        <v>17</v>
      </c>
      <c r="B114" t="s">
        <v>18</v>
      </c>
      <c r="C114" t="s">
        <v>19</v>
      </c>
      <c r="D114" t="s">
        <v>363</v>
      </c>
      <c r="E114" t="s">
        <v>569</v>
      </c>
      <c r="F114" t="s">
        <v>11</v>
      </c>
      <c r="G114" t="s">
        <v>631</v>
      </c>
      <c r="H114" t="s">
        <v>572</v>
      </c>
      <c r="I114">
        <v>54</v>
      </c>
      <c r="J114">
        <v>0.8080357142857143</v>
      </c>
      <c r="K114">
        <v>0.80088495575221241</v>
      </c>
      <c r="L114">
        <v>0.81531531531531531</v>
      </c>
      <c r="M114" t="s">
        <v>60</v>
      </c>
      <c r="N114" t="s">
        <v>633</v>
      </c>
      <c r="O114" t="s">
        <v>634</v>
      </c>
      <c r="P114">
        <v>223.3</v>
      </c>
    </row>
    <row r="115" spans="1:16" x14ac:dyDescent="0.3">
      <c r="A115" t="s">
        <v>17</v>
      </c>
      <c r="B115" t="s">
        <v>18</v>
      </c>
      <c r="C115" t="s">
        <v>19</v>
      </c>
      <c r="D115" t="s">
        <v>363</v>
      </c>
      <c r="E115" t="s">
        <v>569</v>
      </c>
      <c r="F115" t="s">
        <v>11</v>
      </c>
      <c r="G115" t="s">
        <v>636</v>
      </c>
      <c r="H115" t="s">
        <v>572</v>
      </c>
      <c r="I115">
        <v>55</v>
      </c>
      <c r="J115">
        <v>0.81236203090507719</v>
      </c>
      <c r="K115">
        <v>0.79653679653679654</v>
      </c>
      <c r="L115">
        <v>0.8288288288288288</v>
      </c>
      <c r="M115" t="s">
        <v>60</v>
      </c>
      <c r="N115" t="s">
        <v>638</v>
      </c>
      <c r="O115" t="s">
        <v>639</v>
      </c>
      <c r="P115">
        <v>207.5</v>
      </c>
    </row>
    <row r="116" spans="1:16" x14ac:dyDescent="0.3">
      <c r="A116" t="s">
        <v>17</v>
      </c>
      <c r="B116" t="s">
        <v>18</v>
      </c>
      <c r="C116" t="s">
        <v>19</v>
      </c>
      <c r="D116" t="s">
        <v>363</v>
      </c>
      <c r="E116" t="s">
        <v>569</v>
      </c>
      <c r="F116" t="s">
        <v>11</v>
      </c>
      <c r="G116" t="s">
        <v>641</v>
      </c>
      <c r="H116" t="s">
        <v>572</v>
      </c>
      <c r="I116">
        <v>56</v>
      </c>
      <c r="J116">
        <v>0.81333333333333346</v>
      </c>
      <c r="K116">
        <v>0.80263157894736847</v>
      </c>
      <c r="L116">
        <v>0.82432432432432434</v>
      </c>
      <c r="M116" t="s">
        <v>60</v>
      </c>
      <c r="N116" t="s">
        <v>643</v>
      </c>
      <c r="O116" t="s">
        <v>644</v>
      </c>
      <c r="P116">
        <v>224</v>
      </c>
    </row>
    <row r="117" spans="1:16" x14ac:dyDescent="0.3">
      <c r="A117" t="s">
        <v>17</v>
      </c>
      <c r="B117" t="s">
        <v>18</v>
      </c>
      <c r="C117" t="s">
        <v>19</v>
      </c>
      <c r="D117" t="s">
        <v>363</v>
      </c>
      <c r="E117" t="s">
        <v>569</v>
      </c>
      <c r="F117" t="s">
        <v>11</v>
      </c>
      <c r="G117" t="s">
        <v>646</v>
      </c>
      <c r="H117" t="s">
        <v>572</v>
      </c>
      <c r="I117">
        <v>57</v>
      </c>
      <c r="J117">
        <v>0.81596452328159641</v>
      </c>
      <c r="K117">
        <v>0.80349344978165937</v>
      </c>
      <c r="L117">
        <v>0.8288288288288288</v>
      </c>
      <c r="M117" t="s">
        <v>60</v>
      </c>
      <c r="N117" t="s">
        <v>648</v>
      </c>
      <c r="O117" t="s">
        <v>649</v>
      </c>
      <c r="P117">
        <v>196.3</v>
      </c>
    </row>
    <row r="118" spans="1:16" x14ac:dyDescent="0.3">
      <c r="A118" t="s">
        <v>17</v>
      </c>
      <c r="B118" t="s">
        <v>18</v>
      </c>
      <c r="C118" t="s">
        <v>19</v>
      </c>
      <c r="D118" t="s">
        <v>363</v>
      </c>
      <c r="E118" t="s">
        <v>569</v>
      </c>
      <c r="F118" t="s">
        <v>11</v>
      </c>
      <c r="G118" t="s">
        <v>651</v>
      </c>
      <c r="H118" t="s">
        <v>572</v>
      </c>
      <c r="I118">
        <v>58</v>
      </c>
      <c r="J118">
        <v>0.80610021786492381</v>
      </c>
      <c r="K118">
        <v>0.78059071729957807</v>
      </c>
      <c r="L118">
        <v>0.83333333333333337</v>
      </c>
      <c r="M118" t="s">
        <v>60</v>
      </c>
      <c r="N118" t="s">
        <v>653</v>
      </c>
      <c r="O118" t="s">
        <v>654</v>
      </c>
      <c r="P118">
        <v>195.4</v>
      </c>
    </row>
    <row r="119" spans="1:16" x14ac:dyDescent="0.3">
      <c r="A119" t="s">
        <v>17</v>
      </c>
      <c r="B119" t="s">
        <v>18</v>
      </c>
      <c r="C119" t="s">
        <v>19</v>
      </c>
      <c r="D119" t="s">
        <v>363</v>
      </c>
      <c r="E119" t="s">
        <v>569</v>
      </c>
      <c r="F119" t="s">
        <v>11</v>
      </c>
      <c r="G119" t="s">
        <v>656</v>
      </c>
      <c r="H119" t="s">
        <v>572</v>
      </c>
      <c r="I119">
        <v>59</v>
      </c>
      <c r="J119">
        <v>0.81481481481481477</v>
      </c>
      <c r="K119">
        <v>0.83809523809523812</v>
      </c>
      <c r="L119">
        <v>0.7927927927927928</v>
      </c>
      <c r="M119" t="s">
        <v>60</v>
      </c>
      <c r="N119" t="s">
        <v>658</v>
      </c>
      <c r="O119" t="s">
        <v>659</v>
      </c>
      <c r="P119">
        <v>259.8</v>
      </c>
    </row>
    <row r="120" spans="1:16" x14ac:dyDescent="0.3">
      <c r="A120" t="s">
        <v>17</v>
      </c>
      <c r="B120" t="s">
        <v>18</v>
      </c>
      <c r="C120" t="s">
        <v>19</v>
      </c>
      <c r="D120" t="s">
        <v>363</v>
      </c>
      <c r="E120" t="s">
        <v>569</v>
      </c>
      <c r="F120" t="s">
        <v>11</v>
      </c>
      <c r="G120" t="s">
        <v>661</v>
      </c>
      <c r="H120" t="s">
        <v>572</v>
      </c>
      <c r="I120">
        <v>60</v>
      </c>
      <c r="J120">
        <v>0.80090497737556554</v>
      </c>
      <c r="K120">
        <v>0.80454545454545456</v>
      </c>
      <c r="L120">
        <v>0.79729729729729726</v>
      </c>
      <c r="M120" t="s">
        <v>60</v>
      </c>
      <c r="N120" t="s">
        <v>663</v>
      </c>
      <c r="O120" t="s">
        <v>664</v>
      </c>
      <c r="P120">
        <v>265.2</v>
      </c>
    </row>
    <row r="121" spans="1:16" x14ac:dyDescent="0.3">
      <c r="A121" t="s">
        <v>17</v>
      </c>
      <c r="B121" t="s">
        <v>18</v>
      </c>
      <c r="C121" t="s">
        <v>19</v>
      </c>
      <c r="D121" t="s">
        <v>363</v>
      </c>
      <c r="E121" t="s">
        <v>569</v>
      </c>
      <c r="F121" t="s">
        <v>11</v>
      </c>
      <c r="G121" t="s">
        <v>666</v>
      </c>
      <c r="H121" t="s">
        <v>572</v>
      </c>
      <c r="I121">
        <v>61</v>
      </c>
      <c r="J121">
        <v>0.80525164113785563</v>
      </c>
      <c r="K121">
        <v>0.78297872340425534</v>
      </c>
      <c r="L121">
        <v>0.8288288288288288</v>
      </c>
      <c r="M121" t="s">
        <v>60</v>
      </c>
      <c r="N121" t="s">
        <v>668</v>
      </c>
      <c r="O121" t="s">
        <v>669</v>
      </c>
      <c r="P121">
        <v>263.7</v>
      </c>
    </row>
    <row r="122" spans="1:16" x14ac:dyDescent="0.3">
      <c r="A122" t="s">
        <v>17</v>
      </c>
      <c r="B122" t="s">
        <v>20</v>
      </c>
      <c r="C122" t="s">
        <v>21</v>
      </c>
      <c r="D122" t="s">
        <v>54</v>
      </c>
      <c r="E122" t="s">
        <v>56</v>
      </c>
      <c r="F122" t="s">
        <v>7</v>
      </c>
      <c r="G122" t="s">
        <v>57</v>
      </c>
      <c r="H122" t="s">
        <v>59</v>
      </c>
      <c r="I122">
        <v>42</v>
      </c>
      <c r="J122">
        <v>0.7489539748953975</v>
      </c>
      <c r="M122" t="s">
        <v>670</v>
      </c>
      <c r="N122" t="s">
        <v>671</v>
      </c>
      <c r="O122" t="s">
        <v>672</v>
      </c>
      <c r="P122">
        <v>0.6</v>
      </c>
    </row>
    <row r="123" spans="1:16" x14ac:dyDescent="0.3">
      <c r="A123" t="s">
        <v>17</v>
      </c>
      <c r="B123" t="s">
        <v>20</v>
      </c>
      <c r="C123" t="s">
        <v>21</v>
      </c>
      <c r="D123" t="s">
        <v>54</v>
      </c>
      <c r="E123" t="s">
        <v>56</v>
      </c>
      <c r="F123" t="s">
        <v>7</v>
      </c>
      <c r="G123" t="s">
        <v>65</v>
      </c>
      <c r="H123" t="s">
        <v>59</v>
      </c>
      <c r="I123">
        <v>43</v>
      </c>
      <c r="J123">
        <v>0.71910112359550549</v>
      </c>
      <c r="M123" t="s">
        <v>670</v>
      </c>
      <c r="N123" t="s">
        <v>673</v>
      </c>
      <c r="O123" t="s">
        <v>674</v>
      </c>
      <c r="P123">
        <v>1</v>
      </c>
    </row>
    <row r="124" spans="1:16" x14ac:dyDescent="0.3">
      <c r="A124" t="s">
        <v>17</v>
      </c>
      <c r="B124" t="s">
        <v>20</v>
      </c>
      <c r="C124" t="s">
        <v>21</v>
      </c>
      <c r="D124" t="s">
        <v>54</v>
      </c>
      <c r="E124" t="s">
        <v>56</v>
      </c>
      <c r="F124" t="s">
        <v>7</v>
      </c>
      <c r="G124" t="s">
        <v>70</v>
      </c>
      <c r="H124" t="s">
        <v>59</v>
      </c>
      <c r="I124">
        <v>44</v>
      </c>
      <c r="J124">
        <v>0.70229007633587781</v>
      </c>
      <c r="M124" t="s">
        <v>670</v>
      </c>
      <c r="N124" t="s">
        <v>675</v>
      </c>
      <c r="O124" t="s">
        <v>676</v>
      </c>
      <c r="P124">
        <v>0.7</v>
      </c>
    </row>
    <row r="125" spans="1:16" x14ac:dyDescent="0.3">
      <c r="A125" t="s">
        <v>17</v>
      </c>
      <c r="B125" t="s">
        <v>20</v>
      </c>
      <c r="C125" t="s">
        <v>21</v>
      </c>
      <c r="D125" t="s">
        <v>54</v>
      </c>
      <c r="E125" t="s">
        <v>56</v>
      </c>
      <c r="F125" t="s">
        <v>7</v>
      </c>
      <c r="G125" t="s">
        <v>75</v>
      </c>
      <c r="H125" t="s">
        <v>59</v>
      </c>
      <c r="I125">
        <v>45</v>
      </c>
      <c r="J125">
        <v>0.72881355932203395</v>
      </c>
      <c r="M125" t="s">
        <v>670</v>
      </c>
      <c r="N125" t="s">
        <v>677</v>
      </c>
      <c r="O125" t="s">
        <v>678</v>
      </c>
      <c r="P125">
        <v>1</v>
      </c>
    </row>
    <row r="126" spans="1:16" x14ac:dyDescent="0.3">
      <c r="A126" t="s">
        <v>17</v>
      </c>
      <c r="B126" t="s">
        <v>20</v>
      </c>
      <c r="C126" t="s">
        <v>21</v>
      </c>
      <c r="D126" t="s">
        <v>54</v>
      </c>
      <c r="E126" t="s">
        <v>56</v>
      </c>
      <c r="F126" t="s">
        <v>7</v>
      </c>
      <c r="G126" t="s">
        <v>80</v>
      </c>
      <c r="H126" t="s">
        <v>59</v>
      </c>
      <c r="I126">
        <v>46</v>
      </c>
      <c r="J126">
        <v>0.69767441860465118</v>
      </c>
      <c r="M126" t="s">
        <v>670</v>
      </c>
      <c r="N126" t="s">
        <v>679</v>
      </c>
      <c r="O126" t="s">
        <v>680</v>
      </c>
      <c r="P126">
        <v>0.7</v>
      </c>
    </row>
    <row r="127" spans="1:16" x14ac:dyDescent="0.3">
      <c r="A127" t="s">
        <v>17</v>
      </c>
      <c r="B127" t="s">
        <v>20</v>
      </c>
      <c r="C127" t="s">
        <v>21</v>
      </c>
      <c r="D127" t="s">
        <v>54</v>
      </c>
      <c r="E127" t="s">
        <v>56</v>
      </c>
      <c r="F127" t="s">
        <v>7</v>
      </c>
      <c r="G127" t="s">
        <v>85</v>
      </c>
      <c r="H127" t="s">
        <v>59</v>
      </c>
      <c r="I127">
        <v>47</v>
      </c>
      <c r="J127">
        <v>0.75527426160337552</v>
      </c>
      <c r="M127" t="s">
        <v>670</v>
      </c>
      <c r="N127" t="s">
        <v>681</v>
      </c>
      <c r="O127" t="s">
        <v>682</v>
      </c>
      <c r="P127">
        <v>1</v>
      </c>
    </row>
    <row r="128" spans="1:16" x14ac:dyDescent="0.3">
      <c r="A128" t="s">
        <v>17</v>
      </c>
      <c r="B128" t="s">
        <v>20</v>
      </c>
      <c r="C128" t="s">
        <v>21</v>
      </c>
      <c r="D128" t="s">
        <v>54</v>
      </c>
      <c r="E128" t="s">
        <v>56</v>
      </c>
      <c r="F128" t="s">
        <v>7</v>
      </c>
      <c r="G128" t="s">
        <v>90</v>
      </c>
      <c r="H128" t="s">
        <v>59</v>
      </c>
      <c r="I128">
        <v>48</v>
      </c>
      <c r="J128">
        <v>0.73221757322175729</v>
      </c>
      <c r="M128" t="s">
        <v>670</v>
      </c>
      <c r="N128" t="s">
        <v>683</v>
      </c>
      <c r="O128" t="s">
        <v>684</v>
      </c>
      <c r="P128">
        <v>0.8</v>
      </c>
    </row>
    <row r="129" spans="1:16" x14ac:dyDescent="0.3">
      <c r="A129" t="s">
        <v>17</v>
      </c>
      <c r="B129" t="s">
        <v>20</v>
      </c>
      <c r="C129" t="s">
        <v>21</v>
      </c>
      <c r="D129" t="s">
        <v>54</v>
      </c>
      <c r="E129" t="s">
        <v>56</v>
      </c>
      <c r="F129" t="s">
        <v>7</v>
      </c>
      <c r="G129" t="s">
        <v>95</v>
      </c>
      <c r="H129" t="s">
        <v>59</v>
      </c>
      <c r="I129">
        <v>49</v>
      </c>
      <c r="J129">
        <v>0.73486430062630481</v>
      </c>
      <c r="M129" t="s">
        <v>670</v>
      </c>
      <c r="N129" t="s">
        <v>685</v>
      </c>
      <c r="O129" t="s">
        <v>686</v>
      </c>
      <c r="P129">
        <v>0.9</v>
      </c>
    </row>
    <row r="130" spans="1:16" x14ac:dyDescent="0.3">
      <c r="A130" t="s">
        <v>17</v>
      </c>
      <c r="B130" t="s">
        <v>20</v>
      </c>
      <c r="C130" t="s">
        <v>21</v>
      </c>
      <c r="D130" t="s">
        <v>54</v>
      </c>
      <c r="E130" t="s">
        <v>56</v>
      </c>
      <c r="F130" t="s">
        <v>7</v>
      </c>
      <c r="G130" t="s">
        <v>100</v>
      </c>
      <c r="H130" t="s">
        <v>59</v>
      </c>
      <c r="I130">
        <v>50</v>
      </c>
      <c r="J130">
        <v>0.7489539748953975</v>
      </c>
      <c r="M130" t="s">
        <v>670</v>
      </c>
      <c r="N130" t="s">
        <v>687</v>
      </c>
      <c r="O130" t="s">
        <v>688</v>
      </c>
      <c r="P130">
        <v>0.7</v>
      </c>
    </row>
    <row r="131" spans="1:16" x14ac:dyDescent="0.3">
      <c r="A131" t="s">
        <v>17</v>
      </c>
      <c r="B131" t="s">
        <v>20</v>
      </c>
      <c r="C131" t="s">
        <v>21</v>
      </c>
      <c r="D131" t="s">
        <v>54</v>
      </c>
      <c r="E131" t="s">
        <v>56</v>
      </c>
      <c r="F131" t="s">
        <v>7</v>
      </c>
      <c r="G131" t="s">
        <v>105</v>
      </c>
      <c r="H131" t="s">
        <v>59</v>
      </c>
      <c r="I131">
        <v>51</v>
      </c>
      <c r="J131">
        <v>0.71398747390396666</v>
      </c>
      <c r="M131" t="s">
        <v>670</v>
      </c>
      <c r="N131" t="s">
        <v>689</v>
      </c>
      <c r="O131" t="s">
        <v>690</v>
      </c>
      <c r="P131">
        <v>1</v>
      </c>
    </row>
    <row r="132" spans="1:16" x14ac:dyDescent="0.3">
      <c r="A132" t="s">
        <v>17</v>
      </c>
      <c r="B132" t="s">
        <v>20</v>
      </c>
      <c r="C132" t="s">
        <v>21</v>
      </c>
      <c r="D132" t="s">
        <v>54</v>
      </c>
      <c r="E132" t="s">
        <v>56</v>
      </c>
      <c r="F132" t="s">
        <v>7</v>
      </c>
      <c r="G132" t="s">
        <v>110</v>
      </c>
      <c r="H132" t="s">
        <v>59</v>
      </c>
      <c r="I132">
        <v>52</v>
      </c>
      <c r="J132">
        <v>0.71092077087794436</v>
      </c>
      <c r="M132" t="s">
        <v>670</v>
      </c>
      <c r="N132" t="s">
        <v>691</v>
      </c>
      <c r="O132" t="s">
        <v>692</v>
      </c>
      <c r="P132">
        <v>0.7</v>
      </c>
    </row>
    <row r="133" spans="1:16" x14ac:dyDescent="0.3">
      <c r="A133" t="s">
        <v>17</v>
      </c>
      <c r="B133" t="s">
        <v>20</v>
      </c>
      <c r="C133" t="s">
        <v>21</v>
      </c>
      <c r="D133" t="s">
        <v>54</v>
      </c>
      <c r="E133" t="s">
        <v>56</v>
      </c>
      <c r="F133" t="s">
        <v>7</v>
      </c>
      <c r="G133" t="s">
        <v>115</v>
      </c>
      <c r="H133" t="s">
        <v>59</v>
      </c>
      <c r="I133">
        <v>53</v>
      </c>
      <c r="J133">
        <v>0.74369747899159655</v>
      </c>
      <c r="M133" t="s">
        <v>670</v>
      </c>
      <c r="N133" t="s">
        <v>693</v>
      </c>
      <c r="O133" t="s">
        <v>694</v>
      </c>
      <c r="P133">
        <v>0.9</v>
      </c>
    </row>
    <row r="134" spans="1:16" x14ac:dyDescent="0.3">
      <c r="A134" t="s">
        <v>17</v>
      </c>
      <c r="B134" t="s">
        <v>20</v>
      </c>
      <c r="C134" t="s">
        <v>21</v>
      </c>
      <c r="D134" t="s">
        <v>54</v>
      </c>
      <c r="E134" t="s">
        <v>56</v>
      </c>
      <c r="F134" t="s">
        <v>7</v>
      </c>
      <c r="G134" t="s">
        <v>120</v>
      </c>
      <c r="H134" t="s">
        <v>59</v>
      </c>
      <c r="I134">
        <v>54</v>
      </c>
      <c r="J134">
        <v>0.7396694214876034</v>
      </c>
      <c r="M134" t="s">
        <v>670</v>
      </c>
      <c r="N134" t="s">
        <v>695</v>
      </c>
      <c r="O134" t="s">
        <v>696</v>
      </c>
      <c r="P134">
        <v>0.6</v>
      </c>
    </row>
    <row r="135" spans="1:16" x14ac:dyDescent="0.3">
      <c r="A135" t="s">
        <v>17</v>
      </c>
      <c r="B135" t="s">
        <v>20</v>
      </c>
      <c r="C135" t="s">
        <v>21</v>
      </c>
      <c r="D135" t="s">
        <v>54</v>
      </c>
      <c r="E135" t="s">
        <v>56</v>
      </c>
      <c r="F135" t="s">
        <v>7</v>
      </c>
      <c r="G135" t="s">
        <v>125</v>
      </c>
      <c r="H135" t="s">
        <v>59</v>
      </c>
      <c r="I135">
        <v>55</v>
      </c>
      <c r="J135">
        <v>0.71035940803382658</v>
      </c>
      <c r="M135" t="s">
        <v>670</v>
      </c>
      <c r="N135" t="s">
        <v>697</v>
      </c>
      <c r="O135" t="s">
        <v>698</v>
      </c>
      <c r="P135">
        <v>0.8</v>
      </c>
    </row>
    <row r="136" spans="1:16" x14ac:dyDescent="0.3">
      <c r="A136" t="s">
        <v>17</v>
      </c>
      <c r="B136" t="s">
        <v>20</v>
      </c>
      <c r="C136" t="s">
        <v>21</v>
      </c>
      <c r="D136" t="s">
        <v>54</v>
      </c>
      <c r="E136" t="s">
        <v>56</v>
      </c>
      <c r="F136" t="s">
        <v>7</v>
      </c>
      <c r="G136" t="s">
        <v>130</v>
      </c>
      <c r="H136" t="s">
        <v>59</v>
      </c>
      <c r="I136">
        <v>56</v>
      </c>
      <c r="J136">
        <v>0.70809792843691155</v>
      </c>
      <c r="M136" t="s">
        <v>670</v>
      </c>
      <c r="N136" t="s">
        <v>699</v>
      </c>
      <c r="O136" t="s">
        <v>700</v>
      </c>
      <c r="P136">
        <v>0.7</v>
      </c>
    </row>
    <row r="137" spans="1:16" x14ac:dyDescent="0.3">
      <c r="A137" t="s">
        <v>17</v>
      </c>
      <c r="B137" t="s">
        <v>20</v>
      </c>
      <c r="C137" t="s">
        <v>21</v>
      </c>
      <c r="D137" t="s">
        <v>54</v>
      </c>
      <c r="E137" t="s">
        <v>56</v>
      </c>
      <c r="F137" t="s">
        <v>7</v>
      </c>
      <c r="G137" t="s">
        <v>135</v>
      </c>
      <c r="H137" t="s">
        <v>59</v>
      </c>
      <c r="I137">
        <v>57</v>
      </c>
      <c r="J137">
        <v>0.77113402061855674</v>
      </c>
      <c r="M137" t="s">
        <v>670</v>
      </c>
      <c r="N137" t="s">
        <v>701</v>
      </c>
      <c r="O137" t="s">
        <v>702</v>
      </c>
      <c r="P137">
        <v>0.9</v>
      </c>
    </row>
    <row r="138" spans="1:16" x14ac:dyDescent="0.3">
      <c r="A138" t="s">
        <v>17</v>
      </c>
      <c r="B138" t="s">
        <v>20</v>
      </c>
      <c r="C138" t="s">
        <v>21</v>
      </c>
      <c r="D138" t="s">
        <v>54</v>
      </c>
      <c r="E138" t="s">
        <v>56</v>
      </c>
      <c r="F138" t="s">
        <v>7</v>
      </c>
      <c r="G138" t="s">
        <v>140</v>
      </c>
      <c r="H138" t="s">
        <v>59</v>
      </c>
      <c r="I138">
        <v>58</v>
      </c>
      <c r="J138">
        <v>0.77113402061855674</v>
      </c>
      <c r="M138" t="s">
        <v>670</v>
      </c>
      <c r="N138" t="s">
        <v>703</v>
      </c>
      <c r="O138" t="s">
        <v>704</v>
      </c>
      <c r="P138">
        <v>0.6</v>
      </c>
    </row>
    <row r="139" spans="1:16" x14ac:dyDescent="0.3">
      <c r="A139" t="s">
        <v>17</v>
      </c>
      <c r="B139" t="s">
        <v>20</v>
      </c>
      <c r="C139" t="s">
        <v>21</v>
      </c>
      <c r="D139" t="s">
        <v>54</v>
      </c>
      <c r="E139" t="s">
        <v>56</v>
      </c>
      <c r="F139" t="s">
        <v>7</v>
      </c>
      <c r="G139" t="s">
        <v>145</v>
      </c>
      <c r="H139" t="s">
        <v>59</v>
      </c>
      <c r="I139">
        <v>59</v>
      </c>
      <c r="J139">
        <v>0.76763485477178428</v>
      </c>
      <c r="M139" t="s">
        <v>670</v>
      </c>
      <c r="N139" t="s">
        <v>705</v>
      </c>
      <c r="O139" t="s">
        <v>706</v>
      </c>
      <c r="P139">
        <v>0.6</v>
      </c>
    </row>
    <row r="140" spans="1:16" x14ac:dyDescent="0.3">
      <c r="A140" t="s">
        <v>17</v>
      </c>
      <c r="B140" t="s">
        <v>20</v>
      </c>
      <c r="C140" t="s">
        <v>21</v>
      </c>
      <c r="D140" t="s">
        <v>54</v>
      </c>
      <c r="E140" t="s">
        <v>56</v>
      </c>
      <c r="F140" t="s">
        <v>7</v>
      </c>
      <c r="G140" t="s">
        <v>150</v>
      </c>
      <c r="H140" t="s">
        <v>59</v>
      </c>
      <c r="I140">
        <v>60</v>
      </c>
      <c r="J140">
        <v>0.69979296066252594</v>
      </c>
      <c r="M140" t="s">
        <v>670</v>
      </c>
      <c r="N140" t="s">
        <v>707</v>
      </c>
      <c r="O140" t="s">
        <v>708</v>
      </c>
      <c r="P140">
        <v>0.9</v>
      </c>
    </row>
    <row r="141" spans="1:16" x14ac:dyDescent="0.3">
      <c r="A141" t="s">
        <v>17</v>
      </c>
      <c r="B141" t="s">
        <v>20</v>
      </c>
      <c r="C141" t="s">
        <v>21</v>
      </c>
      <c r="D141" t="s">
        <v>54</v>
      </c>
      <c r="E141" t="s">
        <v>56</v>
      </c>
      <c r="F141" t="s">
        <v>7</v>
      </c>
      <c r="G141" t="s">
        <v>155</v>
      </c>
      <c r="H141" t="s">
        <v>59</v>
      </c>
      <c r="I141">
        <v>61</v>
      </c>
      <c r="J141">
        <v>0.71666666666666667</v>
      </c>
      <c r="M141" t="s">
        <v>670</v>
      </c>
      <c r="N141" t="s">
        <v>709</v>
      </c>
      <c r="O141" t="s">
        <v>710</v>
      </c>
      <c r="P141">
        <v>0.7</v>
      </c>
    </row>
    <row r="142" spans="1:16" x14ac:dyDescent="0.3">
      <c r="A142" t="s">
        <v>17</v>
      </c>
      <c r="B142" t="s">
        <v>20</v>
      </c>
      <c r="C142" t="s">
        <v>21</v>
      </c>
      <c r="D142" t="s">
        <v>54</v>
      </c>
      <c r="E142" t="s">
        <v>160</v>
      </c>
      <c r="F142" t="s">
        <v>3</v>
      </c>
      <c r="G142" t="s">
        <v>161</v>
      </c>
      <c r="H142" t="s">
        <v>163</v>
      </c>
      <c r="I142">
        <v>42</v>
      </c>
      <c r="J142">
        <v>0.71508379888268159</v>
      </c>
      <c r="M142" t="s">
        <v>670</v>
      </c>
      <c r="N142" t="s">
        <v>711</v>
      </c>
      <c r="O142" t="s">
        <v>712</v>
      </c>
      <c r="P142">
        <v>0.8</v>
      </c>
    </row>
    <row r="143" spans="1:16" x14ac:dyDescent="0.3">
      <c r="A143" t="s">
        <v>17</v>
      </c>
      <c r="B143" t="s">
        <v>20</v>
      </c>
      <c r="C143" t="s">
        <v>21</v>
      </c>
      <c r="D143" t="s">
        <v>54</v>
      </c>
      <c r="E143" t="s">
        <v>160</v>
      </c>
      <c r="F143" t="s">
        <v>3</v>
      </c>
      <c r="G143" t="s">
        <v>167</v>
      </c>
      <c r="H143" t="s">
        <v>163</v>
      </c>
      <c r="I143">
        <v>43</v>
      </c>
      <c r="J143">
        <v>0.72972972972972971</v>
      </c>
      <c r="M143" t="s">
        <v>670</v>
      </c>
      <c r="N143" t="s">
        <v>713</v>
      </c>
      <c r="O143" t="s">
        <v>714</v>
      </c>
      <c r="P143">
        <v>0.6</v>
      </c>
    </row>
    <row r="144" spans="1:16" x14ac:dyDescent="0.3">
      <c r="A144" t="s">
        <v>17</v>
      </c>
      <c r="B144" t="s">
        <v>20</v>
      </c>
      <c r="C144" t="s">
        <v>21</v>
      </c>
      <c r="D144" t="s">
        <v>54</v>
      </c>
      <c r="E144" t="s">
        <v>160</v>
      </c>
      <c r="F144" t="s">
        <v>3</v>
      </c>
      <c r="G144" t="s">
        <v>172</v>
      </c>
      <c r="H144" t="s">
        <v>163</v>
      </c>
      <c r="I144">
        <v>44</v>
      </c>
      <c r="J144">
        <v>0.73087818696883866</v>
      </c>
      <c r="M144" t="s">
        <v>670</v>
      </c>
      <c r="N144" t="s">
        <v>715</v>
      </c>
      <c r="O144" t="s">
        <v>716</v>
      </c>
      <c r="P144">
        <v>0.6</v>
      </c>
    </row>
    <row r="145" spans="1:16" x14ac:dyDescent="0.3">
      <c r="A145" t="s">
        <v>17</v>
      </c>
      <c r="B145" t="s">
        <v>20</v>
      </c>
      <c r="C145" t="s">
        <v>21</v>
      </c>
      <c r="D145" t="s">
        <v>54</v>
      </c>
      <c r="E145" t="s">
        <v>160</v>
      </c>
      <c r="F145" t="s">
        <v>3</v>
      </c>
      <c r="G145" t="s">
        <v>177</v>
      </c>
      <c r="H145" t="s">
        <v>163</v>
      </c>
      <c r="I145">
        <v>45</v>
      </c>
      <c r="J145">
        <v>0.73369565217391308</v>
      </c>
      <c r="M145" t="s">
        <v>670</v>
      </c>
      <c r="N145" t="s">
        <v>717</v>
      </c>
      <c r="O145" t="s">
        <v>718</v>
      </c>
      <c r="P145">
        <v>0.6</v>
      </c>
    </row>
    <row r="146" spans="1:16" x14ac:dyDescent="0.3">
      <c r="A146" t="s">
        <v>17</v>
      </c>
      <c r="B146" t="s">
        <v>20</v>
      </c>
      <c r="C146" t="s">
        <v>21</v>
      </c>
      <c r="D146" t="s">
        <v>54</v>
      </c>
      <c r="E146" t="s">
        <v>160</v>
      </c>
      <c r="F146" t="s">
        <v>3</v>
      </c>
      <c r="G146" t="s">
        <v>182</v>
      </c>
      <c r="H146" t="s">
        <v>163</v>
      </c>
      <c r="I146">
        <v>46</v>
      </c>
      <c r="J146">
        <v>0.72628726287262879</v>
      </c>
      <c r="M146" t="s">
        <v>670</v>
      </c>
      <c r="N146" t="s">
        <v>719</v>
      </c>
      <c r="O146" t="s">
        <v>720</v>
      </c>
      <c r="P146">
        <v>0.6</v>
      </c>
    </row>
    <row r="147" spans="1:16" x14ac:dyDescent="0.3">
      <c r="A147" t="s">
        <v>17</v>
      </c>
      <c r="B147" t="s">
        <v>20</v>
      </c>
      <c r="C147" t="s">
        <v>21</v>
      </c>
      <c r="D147" t="s">
        <v>54</v>
      </c>
      <c r="E147" t="s">
        <v>160</v>
      </c>
      <c r="F147" t="s">
        <v>3</v>
      </c>
      <c r="G147" t="s">
        <v>187</v>
      </c>
      <c r="H147" t="s">
        <v>163</v>
      </c>
      <c r="I147">
        <v>47</v>
      </c>
      <c r="J147">
        <v>0.75</v>
      </c>
      <c r="M147" t="s">
        <v>670</v>
      </c>
      <c r="N147" t="s">
        <v>721</v>
      </c>
      <c r="O147" t="s">
        <v>722</v>
      </c>
      <c r="P147">
        <v>0.9</v>
      </c>
    </row>
    <row r="148" spans="1:16" x14ac:dyDescent="0.3">
      <c r="A148" t="s">
        <v>17</v>
      </c>
      <c r="B148" t="s">
        <v>20</v>
      </c>
      <c r="C148" t="s">
        <v>21</v>
      </c>
      <c r="D148" t="s">
        <v>54</v>
      </c>
      <c r="E148" t="s">
        <v>160</v>
      </c>
      <c r="F148" t="s">
        <v>3</v>
      </c>
      <c r="G148" t="s">
        <v>192</v>
      </c>
      <c r="H148" t="s">
        <v>163</v>
      </c>
      <c r="I148">
        <v>48</v>
      </c>
      <c r="J148">
        <v>0.6875</v>
      </c>
      <c r="M148" t="s">
        <v>670</v>
      </c>
      <c r="N148" t="s">
        <v>723</v>
      </c>
      <c r="O148" t="s">
        <v>724</v>
      </c>
      <c r="P148">
        <v>0.9</v>
      </c>
    </row>
    <row r="149" spans="1:16" x14ac:dyDescent="0.3">
      <c r="A149" t="s">
        <v>17</v>
      </c>
      <c r="B149" t="s">
        <v>20</v>
      </c>
      <c r="C149" t="s">
        <v>21</v>
      </c>
      <c r="D149" t="s">
        <v>54</v>
      </c>
      <c r="E149" t="s">
        <v>160</v>
      </c>
      <c r="F149" t="s">
        <v>3</v>
      </c>
      <c r="G149" t="s">
        <v>197</v>
      </c>
      <c r="H149" t="s">
        <v>163</v>
      </c>
      <c r="I149">
        <v>49</v>
      </c>
      <c r="J149">
        <v>0.75766016713091933</v>
      </c>
      <c r="M149" t="s">
        <v>670</v>
      </c>
      <c r="N149" t="s">
        <v>725</v>
      </c>
      <c r="O149" t="s">
        <v>726</v>
      </c>
      <c r="P149">
        <v>0.6</v>
      </c>
    </row>
    <row r="150" spans="1:16" x14ac:dyDescent="0.3">
      <c r="A150" t="s">
        <v>17</v>
      </c>
      <c r="B150" t="s">
        <v>20</v>
      </c>
      <c r="C150" t="s">
        <v>21</v>
      </c>
      <c r="D150" t="s">
        <v>54</v>
      </c>
      <c r="E150" t="s">
        <v>160</v>
      </c>
      <c r="F150" t="s">
        <v>3</v>
      </c>
      <c r="G150" t="s">
        <v>202</v>
      </c>
      <c r="H150" t="s">
        <v>163</v>
      </c>
      <c r="I150">
        <v>50</v>
      </c>
      <c r="J150">
        <v>0.71264367816091956</v>
      </c>
      <c r="M150" t="s">
        <v>670</v>
      </c>
      <c r="N150" t="s">
        <v>727</v>
      </c>
      <c r="O150" t="s">
        <v>728</v>
      </c>
      <c r="P150">
        <v>0.7</v>
      </c>
    </row>
    <row r="151" spans="1:16" x14ac:dyDescent="0.3">
      <c r="A151" t="s">
        <v>17</v>
      </c>
      <c r="B151" t="s">
        <v>20</v>
      </c>
      <c r="C151" t="s">
        <v>21</v>
      </c>
      <c r="D151" t="s">
        <v>54</v>
      </c>
      <c r="E151" t="s">
        <v>160</v>
      </c>
      <c r="F151" t="s">
        <v>3</v>
      </c>
      <c r="G151" t="s">
        <v>207</v>
      </c>
      <c r="H151" t="s">
        <v>163</v>
      </c>
      <c r="I151">
        <v>51</v>
      </c>
      <c r="J151">
        <v>0.70270270270270274</v>
      </c>
      <c r="M151" t="s">
        <v>670</v>
      </c>
      <c r="N151" t="s">
        <v>729</v>
      </c>
      <c r="O151" t="s">
        <v>730</v>
      </c>
      <c r="P151">
        <v>0.6</v>
      </c>
    </row>
    <row r="152" spans="1:16" x14ac:dyDescent="0.3">
      <c r="A152" t="s">
        <v>17</v>
      </c>
      <c r="B152" t="s">
        <v>20</v>
      </c>
      <c r="C152" t="s">
        <v>21</v>
      </c>
      <c r="D152" t="s">
        <v>54</v>
      </c>
      <c r="E152" t="s">
        <v>160</v>
      </c>
      <c r="F152" t="s">
        <v>3</v>
      </c>
      <c r="G152" t="s">
        <v>212</v>
      </c>
      <c r="H152" t="s">
        <v>163</v>
      </c>
      <c r="I152">
        <v>52</v>
      </c>
      <c r="J152">
        <v>0.71544715447154472</v>
      </c>
      <c r="M152" t="s">
        <v>670</v>
      </c>
      <c r="N152" t="s">
        <v>731</v>
      </c>
      <c r="O152" t="s">
        <v>732</v>
      </c>
      <c r="P152">
        <v>0.6</v>
      </c>
    </row>
    <row r="153" spans="1:16" x14ac:dyDescent="0.3">
      <c r="A153" t="s">
        <v>17</v>
      </c>
      <c r="B153" t="s">
        <v>20</v>
      </c>
      <c r="C153" t="s">
        <v>21</v>
      </c>
      <c r="D153" t="s">
        <v>54</v>
      </c>
      <c r="E153" t="s">
        <v>160</v>
      </c>
      <c r="F153" t="s">
        <v>3</v>
      </c>
      <c r="G153" t="s">
        <v>217</v>
      </c>
      <c r="H153" t="s">
        <v>163</v>
      </c>
      <c r="I153">
        <v>53</v>
      </c>
      <c r="J153">
        <v>0.67055393586005829</v>
      </c>
      <c r="M153" t="s">
        <v>670</v>
      </c>
      <c r="N153" t="s">
        <v>733</v>
      </c>
      <c r="O153" t="s">
        <v>734</v>
      </c>
      <c r="P153">
        <v>0.6</v>
      </c>
    </row>
    <row r="154" spans="1:16" x14ac:dyDescent="0.3">
      <c r="A154" t="s">
        <v>17</v>
      </c>
      <c r="B154" t="s">
        <v>20</v>
      </c>
      <c r="C154" t="s">
        <v>21</v>
      </c>
      <c r="D154" t="s">
        <v>54</v>
      </c>
      <c r="E154" t="s">
        <v>160</v>
      </c>
      <c r="F154" t="s">
        <v>3</v>
      </c>
      <c r="G154" t="s">
        <v>222</v>
      </c>
      <c r="H154" t="s">
        <v>163</v>
      </c>
      <c r="I154">
        <v>54</v>
      </c>
      <c r="J154">
        <v>0.74585635359116031</v>
      </c>
      <c r="M154" t="s">
        <v>670</v>
      </c>
      <c r="N154" t="s">
        <v>735</v>
      </c>
      <c r="O154" t="s">
        <v>736</v>
      </c>
      <c r="P154">
        <v>0.6</v>
      </c>
    </row>
    <row r="155" spans="1:16" x14ac:dyDescent="0.3">
      <c r="A155" t="s">
        <v>17</v>
      </c>
      <c r="B155" t="s">
        <v>20</v>
      </c>
      <c r="C155" t="s">
        <v>21</v>
      </c>
      <c r="D155" t="s">
        <v>54</v>
      </c>
      <c r="E155" t="s">
        <v>160</v>
      </c>
      <c r="F155" t="s">
        <v>3</v>
      </c>
      <c r="G155" t="s">
        <v>227</v>
      </c>
      <c r="H155" t="s">
        <v>163</v>
      </c>
      <c r="I155">
        <v>55</v>
      </c>
      <c r="J155">
        <v>0.67582417582417575</v>
      </c>
      <c r="M155" t="s">
        <v>670</v>
      </c>
      <c r="N155" t="s">
        <v>737</v>
      </c>
      <c r="O155" t="s">
        <v>738</v>
      </c>
      <c r="P155">
        <v>0.6</v>
      </c>
    </row>
    <row r="156" spans="1:16" x14ac:dyDescent="0.3">
      <c r="A156" t="s">
        <v>17</v>
      </c>
      <c r="B156" t="s">
        <v>20</v>
      </c>
      <c r="C156" t="s">
        <v>21</v>
      </c>
      <c r="D156" t="s">
        <v>54</v>
      </c>
      <c r="E156" t="s">
        <v>160</v>
      </c>
      <c r="F156" t="s">
        <v>3</v>
      </c>
      <c r="G156" t="s">
        <v>232</v>
      </c>
      <c r="H156" t="s">
        <v>163</v>
      </c>
      <c r="I156">
        <v>56</v>
      </c>
      <c r="J156">
        <v>0.74117647058823533</v>
      </c>
      <c r="M156" t="s">
        <v>670</v>
      </c>
      <c r="N156" t="s">
        <v>739</v>
      </c>
      <c r="O156" t="s">
        <v>740</v>
      </c>
      <c r="P156">
        <v>0.6</v>
      </c>
    </row>
    <row r="157" spans="1:16" x14ac:dyDescent="0.3">
      <c r="A157" t="s">
        <v>17</v>
      </c>
      <c r="B157" t="s">
        <v>20</v>
      </c>
      <c r="C157" t="s">
        <v>21</v>
      </c>
      <c r="D157" t="s">
        <v>54</v>
      </c>
      <c r="E157" t="s">
        <v>160</v>
      </c>
      <c r="F157" t="s">
        <v>3</v>
      </c>
      <c r="G157" t="s">
        <v>237</v>
      </c>
      <c r="H157" t="s">
        <v>163</v>
      </c>
      <c r="I157">
        <v>57</v>
      </c>
      <c r="J157">
        <v>0.76966292134831471</v>
      </c>
      <c r="M157" t="s">
        <v>670</v>
      </c>
      <c r="N157" t="s">
        <v>741</v>
      </c>
      <c r="O157" t="s">
        <v>742</v>
      </c>
      <c r="P157">
        <v>0.6</v>
      </c>
    </row>
    <row r="158" spans="1:16" x14ac:dyDescent="0.3">
      <c r="A158" t="s">
        <v>17</v>
      </c>
      <c r="B158" t="s">
        <v>20</v>
      </c>
      <c r="C158" t="s">
        <v>21</v>
      </c>
      <c r="D158" t="s">
        <v>54</v>
      </c>
      <c r="E158" t="s">
        <v>160</v>
      </c>
      <c r="F158" t="s">
        <v>3</v>
      </c>
      <c r="G158" t="s">
        <v>242</v>
      </c>
      <c r="H158" t="s">
        <v>163</v>
      </c>
      <c r="I158">
        <v>58</v>
      </c>
      <c r="J158">
        <v>0.75346260387811625</v>
      </c>
      <c r="M158" t="s">
        <v>670</v>
      </c>
      <c r="N158" t="s">
        <v>743</v>
      </c>
      <c r="O158" t="s">
        <v>744</v>
      </c>
      <c r="P158">
        <v>0.6</v>
      </c>
    </row>
    <row r="159" spans="1:16" x14ac:dyDescent="0.3">
      <c r="A159" t="s">
        <v>17</v>
      </c>
      <c r="B159" t="s">
        <v>20</v>
      </c>
      <c r="C159" t="s">
        <v>21</v>
      </c>
      <c r="D159" t="s">
        <v>54</v>
      </c>
      <c r="E159" t="s">
        <v>160</v>
      </c>
      <c r="F159" t="s">
        <v>3</v>
      </c>
      <c r="G159" t="s">
        <v>247</v>
      </c>
      <c r="H159" t="s">
        <v>163</v>
      </c>
      <c r="I159">
        <v>59</v>
      </c>
      <c r="J159">
        <v>0.7567567567567568</v>
      </c>
      <c r="M159" t="s">
        <v>670</v>
      </c>
      <c r="N159" t="s">
        <v>745</v>
      </c>
      <c r="O159" t="s">
        <v>746</v>
      </c>
      <c r="P159">
        <v>0.6</v>
      </c>
    </row>
    <row r="160" spans="1:16" x14ac:dyDescent="0.3">
      <c r="A160" t="s">
        <v>17</v>
      </c>
      <c r="B160" t="s">
        <v>20</v>
      </c>
      <c r="C160" t="s">
        <v>21</v>
      </c>
      <c r="D160" t="s">
        <v>54</v>
      </c>
      <c r="E160" t="s">
        <v>160</v>
      </c>
      <c r="F160" t="s">
        <v>3</v>
      </c>
      <c r="G160" t="s">
        <v>252</v>
      </c>
      <c r="H160" t="s">
        <v>163</v>
      </c>
      <c r="I160">
        <v>60</v>
      </c>
      <c r="J160">
        <v>0.73170731707317083</v>
      </c>
      <c r="M160" t="s">
        <v>670</v>
      </c>
      <c r="N160" t="s">
        <v>747</v>
      </c>
      <c r="O160" t="s">
        <v>748</v>
      </c>
      <c r="P160">
        <v>0.6</v>
      </c>
    </row>
    <row r="161" spans="1:16" x14ac:dyDescent="0.3">
      <c r="A161" t="s">
        <v>17</v>
      </c>
      <c r="B161" t="s">
        <v>20</v>
      </c>
      <c r="C161" t="s">
        <v>21</v>
      </c>
      <c r="D161" t="s">
        <v>54</v>
      </c>
      <c r="E161" t="s">
        <v>160</v>
      </c>
      <c r="F161" t="s">
        <v>3</v>
      </c>
      <c r="G161" t="s">
        <v>257</v>
      </c>
      <c r="H161" t="s">
        <v>163</v>
      </c>
      <c r="I161">
        <v>61</v>
      </c>
      <c r="J161">
        <v>0.73043478260869554</v>
      </c>
      <c r="M161" t="s">
        <v>670</v>
      </c>
      <c r="N161" t="s">
        <v>749</v>
      </c>
      <c r="O161" t="s">
        <v>750</v>
      </c>
      <c r="P161">
        <v>0.6</v>
      </c>
    </row>
    <row r="162" spans="1:16" x14ac:dyDescent="0.3">
      <c r="A162" t="s">
        <v>17</v>
      </c>
      <c r="B162" t="s">
        <v>20</v>
      </c>
      <c r="C162" t="s">
        <v>21</v>
      </c>
      <c r="D162" t="s">
        <v>54</v>
      </c>
      <c r="E162" t="s">
        <v>262</v>
      </c>
      <c r="F162" t="s">
        <v>5</v>
      </c>
      <c r="G162" t="s">
        <v>263</v>
      </c>
      <c r="H162" t="s">
        <v>265</v>
      </c>
      <c r="I162">
        <v>42</v>
      </c>
      <c r="J162">
        <v>0.75918367346938764</v>
      </c>
      <c r="M162" t="s">
        <v>670</v>
      </c>
      <c r="N162" t="s">
        <v>751</v>
      </c>
      <c r="O162" t="s">
        <v>752</v>
      </c>
      <c r="P162">
        <v>0.6</v>
      </c>
    </row>
    <row r="163" spans="1:16" x14ac:dyDescent="0.3">
      <c r="A163" t="s">
        <v>17</v>
      </c>
      <c r="B163" t="s">
        <v>20</v>
      </c>
      <c r="C163" t="s">
        <v>21</v>
      </c>
      <c r="D163" t="s">
        <v>54</v>
      </c>
      <c r="E163" t="s">
        <v>262</v>
      </c>
      <c r="F163" t="s">
        <v>5</v>
      </c>
      <c r="G163" t="s">
        <v>269</v>
      </c>
      <c r="H163" t="s">
        <v>265</v>
      </c>
      <c r="I163">
        <v>43</v>
      </c>
      <c r="J163">
        <v>0.79039301310043675</v>
      </c>
      <c r="M163" t="s">
        <v>670</v>
      </c>
      <c r="N163" t="s">
        <v>753</v>
      </c>
      <c r="O163" t="s">
        <v>754</v>
      </c>
      <c r="P163">
        <v>0.6</v>
      </c>
    </row>
    <row r="164" spans="1:16" x14ac:dyDescent="0.3">
      <c r="A164" t="s">
        <v>17</v>
      </c>
      <c r="B164" t="s">
        <v>20</v>
      </c>
      <c r="C164" t="s">
        <v>21</v>
      </c>
      <c r="D164" t="s">
        <v>54</v>
      </c>
      <c r="E164" t="s">
        <v>262</v>
      </c>
      <c r="F164" t="s">
        <v>5</v>
      </c>
      <c r="G164" t="s">
        <v>274</v>
      </c>
      <c r="H164" t="s">
        <v>265</v>
      </c>
      <c r="I164">
        <v>44</v>
      </c>
      <c r="J164">
        <v>0.76086956521739124</v>
      </c>
      <c r="M164" t="s">
        <v>670</v>
      </c>
      <c r="N164" t="s">
        <v>755</v>
      </c>
      <c r="O164" t="s">
        <v>756</v>
      </c>
      <c r="P164">
        <v>0.6</v>
      </c>
    </row>
    <row r="165" spans="1:16" x14ac:dyDescent="0.3">
      <c r="A165" t="s">
        <v>17</v>
      </c>
      <c r="B165" t="s">
        <v>20</v>
      </c>
      <c r="C165" t="s">
        <v>21</v>
      </c>
      <c r="D165" t="s">
        <v>54</v>
      </c>
      <c r="E165" t="s">
        <v>262</v>
      </c>
      <c r="F165" t="s">
        <v>5</v>
      </c>
      <c r="G165" t="s">
        <v>279</v>
      </c>
      <c r="H165" t="s">
        <v>265</v>
      </c>
      <c r="I165">
        <v>45</v>
      </c>
      <c r="J165">
        <v>0.75050709939148064</v>
      </c>
      <c r="M165" t="s">
        <v>670</v>
      </c>
      <c r="N165" t="s">
        <v>757</v>
      </c>
      <c r="O165" t="s">
        <v>758</v>
      </c>
      <c r="P165">
        <v>0.6</v>
      </c>
    </row>
    <row r="166" spans="1:16" x14ac:dyDescent="0.3">
      <c r="A166" t="s">
        <v>17</v>
      </c>
      <c r="B166" t="s">
        <v>20</v>
      </c>
      <c r="C166" t="s">
        <v>21</v>
      </c>
      <c r="D166" t="s">
        <v>54</v>
      </c>
      <c r="E166" t="s">
        <v>262</v>
      </c>
      <c r="F166" t="s">
        <v>5</v>
      </c>
      <c r="G166" t="s">
        <v>284</v>
      </c>
      <c r="H166" t="s">
        <v>265</v>
      </c>
      <c r="I166">
        <v>46</v>
      </c>
      <c r="J166">
        <v>0.70040485829959509</v>
      </c>
      <c r="M166" t="s">
        <v>670</v>
      </c>
      <c r="N166" t="s">
        <v>759</v>
      </c>
      <c r="O166" t="s">
        <v>760</v>
      </c>
      <c r="P166">
        <v>0.6</v>
      </c>
    </row>
    <row r="167" spans="1:16" x14ac:dyDescent="0.3">
      <c r="A167" t="s">
        <v>17</v>
      </c>
      <c r="B167" t="s">
        <v>20</v>
      </c>
      <c r="C167" t="s">
        <v>21</v>
      </c>
      <c r="D167" t="s">
        <v>54</v>
      </c>
      <c r="E167" t="s">
        <v>262</v>
      </c>
      <c r="F167" t="s">
        <v>5</v>
      </c>
      <c r="G167" t="s">
        <v>289</v>
      </c>
      <c r="H167" t="s">
        <v>265</v>
      </c>
      <c r="I167">
        <v>47</v>
      </c>
      <c r="J167">
        <v>0.76310272536687629</v>
      </c>
      <c r="M167" t="s">
        <v>670</v>
      </c>
      <c r="N167" t="s">
        <v>761</v>
      </c>
      <c r="O167" t="s">
        <v>762</v>
      </c>
      <c r="P167">
        <v>0.6</v>
      </c>
    </row>
    <row r="168" spans="1:16" x14ac:dyDescent="0.3">
      <c r="A168" t="s">
        <v>17</v>
      </c>
      <c r="B168" t="s">
        <v>20</v>
      </c>
      <c r="C168" t="s">
        <v>21</v>
      </c>
      <c r="D168" t="s">
        <v>54</v>
      </c>
      <c r="E168" t="s">
        <v>262</v>
      </c>
      <c r="F168" t="s">
        <v>5</v>
      </c>
      <c r="G168" t="s">
        <v>294</v>
      </c>
      <c r="H168" t="s">
        <v>265</v>
      </c>
      <c r="I168">
        <v>48</v>
      </c>
      <c r="J168">
        <v>0.78774617067833708</v>
      </c>
      <c r="M168" t="s">
        <v>670</v>
      </c>
      <c r="N168" t="s">
        <v>763</v>
      </c>
      <c r="O168" t="s">
        <v>764</v>
      </c>
      <c r="P168">
        <v>0.6</v>
      </c>
    </row>
    <row r="169" spans="1:16" x14ac:dyDescent="0.3">
      <c r="A169" t="s">
        <v>17</v>
      </c>
      <c r="B169" t="s">
        <v>20</v>
      </c>
      <c r="C169" t="s">
        <v>21</v>
      </c>
      <c r="D169" t="s">
        <v>54</v>
      </c>
      <c r="E169" t="s">
        <v>262</v>
      </c>
      <c r="F169" t="s">
        <v>5</v>
      </c>
      <c r="G169" t="s">
        <v>299</v>
      </c>
      <c r="H169" t="s">
        <v>265</v>
      </c>
      <c r="I169">
        <v>49</v>
      </c>
      <c r="J169">
        <v>0.76483516483516489</v>
      </c>
      <c r="M169" t="s">
        <v>670</v>
      </c>
      <c r="N169" t="s">
        <v>765</v>
      </c>
      <c r="O169" t="s">
        <v>766</v>
      </c>
      <c r="P169">
        <v>0.6</v>
      </c>
    </row>
    <row r="170" spans="1:16" x14ac:dyDescent="0.3">
      <c r="A170" t="s">
        <v>17</v>
      </c>
      <c r="B170" t="s">
        <v>20</v>
      </c>
      <c r="C170" t="s">
        <v>21</v>
      </c>
      <c r="D170" t="s">
        <v>54</v>
      </c>
      <c r="E170" t="s">
        <v>262</v>
      </c>
      <c r="F170" t="s">
        <v>5</v>
      </c>
      <c r="G170" t="s">
        <v>304</v>
      </c>
      <c r="H170" t="s">
        <v>265</v>
      </c>
      <c r="I170">
        <v>50</v>
      </c>
      <c r="J170">
        <v>0.77391304347826084</v>
      </c>
      <c r="M170" t="s">
        <v>670</v>
      </c>
      <c r="N170" t="s">
        <v>767</v>
      </c>
      <c r="O170" t="s">
        <v>768</v>
      </c>
      <c r="P170">
        <v>0.6</v>
      </c>
    </row>
    <row r="171" spans="1:16" x14ac:dyDescent="0.3">
      <c r="A171" t="s">
        <v>17</v>
      </c>
      <c r="B171" t="s">
        <v>20</v>
      </c>
      <c r="C171" t="s">
        <v>21</v>
      </c>
      <c r="D171" t="s">
        <v>54</v>
      </c>
      <c r="E171" t="s">
        <v>262</v>
      </c>
      <c r="F171" t="s">
        <v>5</v>
      </c>
      <c r="G171" t="s">
        <v>309</v>
      </c>
      <c r="H171" t="s">
        <v>265</v>
      </c>
      <c r="I171">
        <v>51</v>
      </c>
      <c r="J171">
        <v>0.73770491803278682</v>
      </c>
      <c r="M171" t="s">
        <v>670</v>
      </c>
      <c r="N171" t="s">
        <v>769</v>
      </c>
      <c r="O171" t="s">
        <v>770</v>
      </c>
      <c r="P171">
        <v>0.6</v>
      </c>
    </row>
    <row r="172" spans="1:16" x14ac:dyDescent="0.3">
      <c r="A172" t="s">
        <v>17</v>
      </c>
      <c r="B172" t="s">
        <v>20</v>
      </c>
      <c r="C172" t="s">
        <v>21</v>
      </c>
      <c r="D172" t="s">
        <v>54</v>
      </c>
      <c r="E172" t="s">
        <v>262</v>
      </c>
      <c r="F172" t="s">
        <v>5</v>
      </c>
      <c r="G172" t="s">
        <v>314</v>
      </c>
      <c r="H172" t="s">
        <v>265</v>
      </c>
      <c r="I172">
        <v>52</v>
      </c>
      <c r="J172">
        <v>0.78004535147392295</v>
      </c>
      <c r="M172" t="s">
        <v>670</v>
      </c>
      <c r="N172" t="s">
        <v>771</v>
      </c>
      <c r="O172" t="s">
        <v>772</v>
      </c>
      <c r="P172">
        <v>0.8</v>
      </c>
    </row>
    <row r="173" spans="1:16" x14ac:dyDescent="0.3">
      <c r="A173" t="s">
        <v>17</v>
      </c>
      <c r="B173" t="s">
        <v>20</v>
      </c>
      <c r="C173" t="s">
        <v>21</v>
      </c>
      <c r="D173" t="s">
        <v>54</v>
      </c>
      <c r="E173" t="s">
        <v>262</v>
      </c>
      <c r="F173" t="s">
        <v>5</v>
      </c>
      <c r="G173" t="s">
        <v>319</v>
      </c>
      <c r="H173" t="s">
        <v>265</v>
      </c>
      <c r="I173">
        <v>53</v>
      </c>
      <c r="J173">
        <v>0.75565610859728505</v>
      </c>
      <c r="M173" t="s">
        <v>670</v>
      </c>
      <c r="N173" t="s">
        <v>773</v>
      </c>
      <c r="O173" t="s">
        <v>774</v>
      </c>
      <c r="P173">
        <v>0.6</v>
      </c>
    </row>
    <row r="174" spans="1:16" x14ac:dyDescent="0.3">
      <c r="A174" t="s">
        <v>17</v>
      </c>
      <c r="B174" t="s">
        <v>20</v>
      </c>
      <c r="C174" t="s">
        <v>21</v>
      </c>
      <c r="D174" t="s">
        <v>54</v>
      </c>
      <c r="E174" t="s">
        <v>262</v>
      </c>
      <c r="F174" t="s">
        <v>5</v>
      </c>
      <c r="G174" t="s">
        <v>324</v>
      </c>
      <c r="H174" t="s">
        <v>265</v>
      </c>
      <c r="I174">
        <v>54</v>
      </c>
      <c r="J174">
        <v>0.73641851106639844</v>
      </c>
      <c r="M174" t="s">
        <v>670</v>
      </c>
      <c r="N174" t="s">
        <v>775</v>
      </c>
      <c r="O174" t="s">
        <v>776</v>
      </c>
      <c r="P174">
        <v>0.6</v>
      </c>
    </row>
    <row r="175" spans="1:16" x14ac:dyDescent="0.3">
      <c r="A175" t="s">
        <v>17</v>
      </c>
      <c r="B175" t="s">
        <v>20</v>
      </c>
      <c r="C175" t="s">
        <v>21</v>
      </c>
      <c r="D175" t="s">
        <v>54</v>
      </c>
      <c r="E175" t="s">
        <v>262</v>
      </c>
      <c r="F175" t="s">
        <v>5</v>
      </c>
      <c r="G175" t="s">
        <v>329</v>
      </c>
      <c r="H175" t="s">
        <v>265</v>
      </c>
      <c r="I175">
        <v>55</v>
      </c>
      <c r="J175">
        <v>0.73360655737704916</v>
      </c>
      <c r="M175" t="s">
        <v>670</v>
      </c>
      <c r="N175" t="s">
        <v>777</v>
      </c>
      <c r="O175" t="s">
        <v>778</v>
      </c>
      <c r="P175">
        <v>0.6</v>
      </c>
    </row>
    <row r="176" spans="1:16" x14ac:dyDescent="0.3">
      <c r="A176" t="s">
        <v>17</v>
      </c>
      <c r="B176" t="s">
        <v>20</v>
      </c>
      <c r="C176" t="s">
        <v>21</v>
      </c>
      <c r="D176" t="s">
        <v>54</v>
      </c>
      <c r="E176" t="s">
        <v>262</v>
      </c>
      <c r="F176" t="s">
        <v>5</v>
      </c>
      <c r="G176" t="s">
        <v>334</v>
      </c>
      <c r="H176" t="s">
        <v>265</v>
      </c>
      <c r="I176">
        <v>56</v>
      </c>
      <c r="J176">
        <v>0.77333333333333343</v>
      </c>
      <c r="M176" t="s">
        <v>670</v>
      </c>
      <c r="N176" t="s">
        <v>779</v>
      </c>
      <c r="O176" t="s">
        <v>780</v>
      </c>
      <c r="P176">
        <v>0.6</v>
      </c>
    </row>
    <row r="177" spans="1:16" x14ac:dyDescent="0.3">
      <c r="A177" t="s">
        <v>17</v>
      </c>
      <c r="B177" t="s">
        <v>20</v>
      </c>
      <c r="C177" t="s">
        <v>21</v>
      </c>
      <c r="D177" t="s">
        <v>54</v>
      </c>
      <c r="E177" t="s">
        <v>262</v>
      </c>
      <c r="F177" t="s">
        <v>5</v>
      </c>
      <c r="G177" t="s">
        <v>339</v>
      </c>
      <c r="H177" t="s">
        <v>265</v>
      </c>
      <c r="I177">
        <v>57</v>
      </c>
      <c r="J177">
        <v>0.79649890590809624</v>
      </c>
      <c r="M177" t="s">
        <v>670</v>
      </c>
      <c r="N177" t="s">
        <v>781</v>
      </c>
      <c r="O177" t="s">
        <v>782</v>
      </c>
      <c r="P177">
        <v>0.6</v>
      </c>
    </row>
    <row r="178" spans="1:16" x14ac:dyDescent="0.3">
      <c r="A178" t="s">
        <v>17</v>
      </c>
      <c r="B178" t="s">
        <v>20</v>
      </c>
      <c r="C178" t="s">
        <v>21</v>
      </c>
      <c r="D178" t="s">
        <v>54</v>
      </c>
      <c r="E178" t="s">
        <v>262</v>
      </c>
      <c r="F178" t="s">
        <v>5</v>
      </c>
      <c r="G178" t="s">
        <v>344</v>
      </c>
      <c r="H178" t="s">
        <v>265</v>
      </c>
      <c r="I178">
        <v>58</v>
      </c>
      <c r="J178">
        <v>0.77060133630289529</v>
      </c>
      <c r="M178" t="s">
        <v>670</v>
      </c>
      <c r="N178" t="s">
        <v>783</v>
      </c>
      <c r="O178" t="s">
        <v>784</v>
      </c>
      <c r="P178">
        <v>0.6</v>
      </c>
    </row>
    <row r="179" spans="1:16" x14ac:dyDescent="0.3">
      <c r="A179" t="s">
        <v>17</v>
      </c>
      <c r="B179" t="s">
        <v>20</v>
      </c>
      <c r="C179" t="s">
        <v>21</v>
      </c>
      <c r="D179" t="s">
        <v>54</v>
      </c>
      <c r="E179" t="s">
        <v>262</v>
      </c>
      <c r="F179" t="s">
        <v>5</v>
      </c>
      <c r="G179" t="s">
        <v>349</v>
      </c>
      <c r="H179" t="s">
        <v>265</v>
      </c>
      <c r="I179">
        <v>59</v>
      </c>
      <c r="J179">
        <v>0.77777777777777779</v>
      </c>
      <c r="M179" t="s">
        <v>670</v>
      </c>
      <c r="N179" t="s">
        <v>785</v>
      </c>
      <c r="O179" t="s">
        <v>786</v>
      </c>
      <c r="P179">
        <v>0.6</v>
      </c>
    </row>
    <row r="180" spans="1:16" x14ac:dyDescent="0.3">
      <c r="A180" t="s">
        <v>17</v>
      </c>
      <c r="B180" t="s">
        <v>20</v>
      </c>
      <c r="C180" t="s">
        <v>21</v>
      </c>
      <c r="D180" t="s">
        <v>54</v>
      </c>
      <c r="E180" t="s">
        <v>262</v>
      </c>
      <c r="F180" t="s">
        <v>5</v>
      </c>
      <c r="G180" t="s">
        <v>354</v>
      </c>
      <c r="H180" t="s">
        <v>265</v>
      </c>
      <c r="I180">
        <v>60</v>
      </c>
      <c r="J180">
        <v>0.80088495575221241</v>
      </c>
      <c r="M180" t="s">
        <v>670</v>
      </c>
      <c r="N180" t="s">
        <v>787</v>
      </c>
      <c r="O180" t="s">
        <v>788</v>
      </c>
      <c r="P180">
        <v>0.6</v>
      </c>
    </row>
    <row r="181" spans="1:16" x14ac:dyDescent="0.3">
      <c r="A181" t="s">
        <v>17</v>
      </c>
      <c r="B181" t="s">
        <v>20</v>
      </c>
      <c r="C181" t="s">
        <v>21</v>
      </c>
      <c r="D181" t="s">
        <v>54</v>
      </c>
      <c r="E181" t="s">
        <v>262</v>
      </c>
      <c r="F181" t="s">
        <v>5</v>
      </c>
      <c r="G181" t="s">
        <v>359</v>
      </c>
      <c r="H181" t="s">
        <v>265</v>
      </c>
      <c r="I181">
        <v>61</v>
      </c>
      <c r="J181">
        <v>0.7702407002188183</v>
      </c>
      <c r="M181" t="s">
        <v>670</v>
      </c>
      <c r="N181" t="s">
        <v>789</v>
      </c>
      <c r="O181" t="s">
        <v>790</v>
      </c>
      <c r="P181">
        <v>0.7</v>
      </c>
    </row>
    <row r="182" spans="1:16" x14ac:dyDescent="0.3">
      <c r="A182" t="s">
        <v>17</v>
      </c>
      <c r="B182" t="s">
        <v>20</v>
      </c>
      <c r="C182" t="s">
        <v>21</v>
      </c>
      <c r="D182" t="s">
        <v>363</v>
      </c>
      <c r="E182" t="s">
        <v>365</v>
      </c>
      <c r="F182" t="s">
        <v>13</v>
      </c>
      <c r="G182" t="s">
        <v>366</v>
      </c>
      <c r="H182" t="s">
        <v>368</v>
      </c>
      <c r="I182">
        <v>42</v>
      </c>
      <c r="J182">
        <v>0.80254777070063688</v>
      </c>
      <c r="M182" t="s">
        <v>670</v>
      </c>
      <c r="N182" t="s">
        <v>791</v>
      </c>
      <c r="O182" t="s">
        <v>792</v>
      </c>
      <c r="P182">
        <v>0.8</v>
      </c>
    </row>
    <row r="183" spans="1:16" x14ac:dyDescent="0.3">
      <c r="A183" t="s">
        <v>17</v>
      </c>
      <c r="B183" t="s">
        <v>20</v>
      </c>
      <c r="C183" t="s">
        <v>21</v>
      </c>
      <c r="D183" t="s">
        <v>363</v>
      </c>
      <c r="E183" t="s">
        <v>365</v>
      </c>
      <c r="F183" t="s">
        <v>13</v>
      </c>
      <c r="G183" t="s">
        <v>372</v>
      </c>
      <c r="H183" t="s">
        <v>368</v>
      </c>
      <c r="I183">
        <v>43</v>
      </c>
      <c r="J183">
        <v>0.79503105590062106</v>
      </c>
      <c r="M183" t="s">
        <v>670</v>
      </c>
      <c r="N183" t="s">
        <v>793</v>
      </c>
      <c r="O183" t="s">
        <v>794</v>
      </c>
      <c r="P183">
        <v>0.8</v>
      </c>
    </row>
    <row r="184" spans="1:16" x14ac:dyDescent="0.3">
      <c r="A184" t="s">
        <v>17</v>
      </c>
      <c r="B184" t="s">
        <v>20</v>
      </c>
      <c r="C184" t="s">
        <v>21</v>
      </c>
      <c r="D184" t="s">
        <v>363</v>
      </c>
      <c r="E184" t="s">
        <v>365</v>
      </c>
      <c r="F184" t="s">
        <v>13</v>
      </c>
      <c r="G184" t="s">
        <v>377</v>
      </c>
      <c r="H184" t="s">
        <v>368</v>
      </c>
      <c r="I184">
        <v>44</v>
      </c>
      <c r="J184">
        <v>0.77868852459016391</v>
      </c>
      <c r="M184" t="s">
        <v>670</v>
      </c>
      <c r="N184" t="s">
        <v>795</v>
      </c>
      <c r="O184" t="s">
        <v>796</v>
      </c>
      <c r="P184">
        <v>0.8</v>
      </c>
    </row>
    <row r="185" spans="1:16" x14ac:dyDescent="0.3">
      <c r="A185" t="s">
        <v>17</v>
      </c>
      <c r="B185" t="s">
        <v>20</v>
      </c>
      <c r="C185" t="s">
        <v>21</v>
      </c>
      <c r="D185" t="s">
        <v>363</v>
      </c>
      <c r="E185" t="s">
        <v>365</v>
      </c>
      <c r="F185" t="s">
        <v>13</v>
      </c>
      <c r="G185" t="s">
        <v>382</v>
      </c>
      <c r="H185" t="s">
        <v>368</v>
      </c>
      <c r="I185">
        <v>45</v>
      </c>
      <c r="J185">
        <v>0.79917184265010344</v>
      </c>
      <c r="M185" t="s">
        <v>670</v>
      </c>
      <c r="N185" t="s">
        <v>797</v>
      </c>
      <c r="O185" t="s">
        <v>798</v>
      </c>
      <c r="P185">
        <v>0.6</v>
      </c>
    </row>
    <row r="186" spans="1:16" x14ac:dyDescent="0.3">
      <c r="A186" t="s">
        <v>17</v>
      </c>
      <c r="B186" t="s">
        <v>20</v>
      </c>
      <c r="C186" t="s">
        <v>21</v>
      </c>
      <c r="D186" t="s">
        <v>363</v>
      </c>
      <c r="E186" t="s">
        <v>365</v>
      </c>
      <c r="F186" t="s">
        <v>13</v>
      </c>
      <c r="G186" t="s">
        <v>387</v>
      </c>
      <c r="H186" t="s">
        <v>368</v>
      </c>
      <c r="I186">
        <v>46</v>
      </c>
      <c r="J186">
        <v>0.77215189873417733</v>
      </c>
      <c r="M186" t="s">
        <v>670</v>
      </c>
      <c r="N186" t="s">
        <v>799</v>
      </c>
      <c r="O186" t="s">
        <v>800</v>
      </c>
      <c r="P186">
        <v>0.6</v>
      </c>
    </row>
    <row r="187" spans="1:16" x14ac:dyDescent="0.3">
      <c r="A187" t="s">
        <v>17</v>
      </c>
      <c r="B187" t="s">
        <v>20</v>
      </c>
      <c r="C187" t="s">
        <v>21</v>
      </c>
      <c r="D187" t="s">
        <v>363</v>
      </c>
      <c r="E187" t="s">
        <v>365</v>
      </c>
      <c r="F187" t="s">
        <v>13</v>
      </c>
      <c r="G187" t="s">
        <v>392</v>
      </c>
      <c r="H187" t="s">
        <v>368</v>
      </c>
      <c r="I187">
        <v>47</v>
      </c>
      <c r="J187">
        <v>0.79508196721311475</v>
      </c>
      <c r="M187" t="s">
        <v>670</v>
      </c>
      <c r="N187" t="s">
        <v>801</v>
      </c>
      <c r="O187" t="s">
        <v>802</v>
      </c>
      <c r="P187">
        <v>0.6</v>
      </c>
    </row>
    <row r="188" spans="1:16" x14ac:dyDescent="0.3">
      <c r="A188" t="s">
        <v>17</v>
      </c>
      <c r="B188" t="s">
        <v>20</v>
      </c>
      <c r="C188" t="s">
        <v>21</v>
      </c>
      <c r="D188" t="s">
        <v>363</v>
      </c>
      <c r="E188" t="s">
        <v>365</v>
      </c>
      <c r="F188" t="s">
        <v>13</v>
      </c>
      <c r="G188" t="s">
        <v>397</v>
      </c>
      <c r="H188" t="s">
        <v>368</v>
      </c>
      <c r="I188">
        <v>48</v>
      </c>
      <c r="J188">
        <v>0.79032258064516137</v>
      </c>
      <c r="M188" t="s">
        <v>670</v>
      </c>
      <c r="N188" t="s">
        <v>803</v>
      </c>
      <c r="O188" t="s">
        <v>804</v>
      </c>
      <c r="P188">
        <v>0.7</v>
      </c>
    </row>
    <row r="189" spans="1:16" x14ac:dyDescent="0.3">
      <c r="A189" t="s">
        <v>17</v>
      </c>
      <c r="B189" t="s">
        <v>20</v>
      </c>
      <c r="C189" t="s">
        <v>21</v>
      </c>
      <c r="D189" t="s">
        <v>363</v>
      </c>
      <c r="E189" t="s">
        <v>365</v>
      </c>
      <c r="F189" t="s">
        <v>13</v>
      </c>
      <c r="G189" t="s">
        <v>402</v>
      </c>
      <c r="H189" t="s">
        <v>368</v>
      </c>
      <c r="I189">
        <v>49</v>
      </c>
      <c r="J189">
        <v>0.77618069815195079</v>
      </c>
      <c r="M189" t="s">
        <v>670</v>
      </c>
      <c r="N189" t="s">
        <v>805</v>
      </c>
      <c r="O189" t="s">
        <v>806</v>
      </c>
      <c r="P189">
        <v>0.6</v>
      </c>
    </row>
    <row r="190" spans="1:16" x14ac:dyDescent="0.3">
      <c r="A190" t="s">
        <v>17</v>
      </c>
      <c r="B190" t="s">
        <v>20</v>
      </c>
      <c r="C190" t="s">
        <v>21</v>
      </c>
      <c r="D190" t="s">
        <v>363</v>
      </c>
      <c r="E190" t="s">
        <v>365</v>
      </c>
      <c r="F190" t="s">
        <v>13</v>
      </c>
      <c r="G190" t="s">
        <v>407</v>
      </c>
      <c r="H190" t="s">
        <v>368</v>
      </c>
      <c r="I190">
        <v>50</v>
      </c>
      <c r="J190">
        <v>0.78936605316973407</v>
      </c>
      <c r="M190" t="s">
        <v>670</v>
      </c>
      <c r="N190" t="s">
        <v>807</v>
      </c>
      <c r="O190" t="s">
        <v>808</v>
      </c>
      <c r="P190">
        <v>0.7</v>
      </c>
    </row>
    <row r="191" spans="1:16" x14ac:dyDescent="0.3">
      <c r="A191" t="s">
        <v>17</v>
      </c>
      <c r="B191" t="s">
        <v>20</v>
      </c>
      <c r="C191" t="s">
        <v>21</v>
      </c>
      <c r="D191" t="s">
        <v>363</v>
      </c>
      <c r="E191" t="s">
        <v>365</v>
      </c>
      <c r="F191" t="s">
        <v>13</v>
      </c>
      <c r="G191" t="s">
        <v>412</v>
      </c>
      <c r="H191" t="s">
        <v>368</v>
      </c>
      <c r="I191">
        <v>51</v>
      </c>
      <c r="J191">
        <v>0.78189300411522644</v>
      </c>
      <c r="M191" t="s">
        <v>670</v>
      </c>
      <c r="N191" t="s">
        <v>809</v>
      </c>
      <c r="O191" t="s">
        <v>810</v>
      </c>
      <c r="P191">
        <v>0.6</v>
      </c>
    </row>
    <row r="192" spans="1:16" x14ac:dyDescent="0.3">
      <c r="A192" t="s">
        <v>17</v>
      </c>
      <c r="B192" t="s">
        <v>20</v>
      </c>
      <c r="C192" t="s">
        <v>21</v>
      </c>
      <c r="D192" t="s">
        <v>363</v>
      </c>
      <c r="E192" t="s">
        <v>365</v>
      </c>
      <c r="F192" t="s">
        <v>13</v>
      </c>
      <c r="G192" t="s">
        <v>417</v>
      </c>
      <c r="H192" t="s">
        <v>368</v>
      </c>
      <c r="I192">
        <v>52</v>
      </c>
      <c r="J192">
        <v>0.79331941544885176</v>
      </c>
      <c r="M192" t="s">
        <v>670</v>
      </c>
      <c r="N192" t="s">
        <v>811</v>
      </c>
      <c r="O192" t="s">
        <v>812</v>
      </c>
      <c r="P192">
        <v>0.6</v>
      </c>
    </row>
    <row r="193" spans="1:16" x14ac:dyDescent="0.3">
      <c r="A193" t="s">
        <v>17</v>
      </c>
      <c r="B193" t="s">
        <v>20</v>
      </c>
      <c r="C193" t="s">
        <v>21</v>
      </c>
      <c r="D193" t="s">
        <v>363</v>
      </c>
      <c r="E193" t="s">
        <v>365</v>
      </c>
      <c r="F193" t="s">
        <v>13</v>
      </c>
      <c r="G193" t="s">
        <v>422</v>
      </c>
      <c r="H193" t="s">
        <v>368</v>
      </c>
      <c r="I193">
        <v>53</v>
      </c>
      <c r="J193">
        <v>0.78787878787878785</v>
      </c>
      <c r="M193" t="s">
        <v>670</v>
      </c>
      <c r="N193" t="s">
        <v>813</v>
      </c>
      <c r="O193" t="s">
        <v>814</v>
      </c>
      <c r="P193">
        <v>0.6</v>
      </c>
    </row>
    <row r="194" spans="1:16" x14ac:dyDescent="0.3">
      <c r="A194" t="s">
        <v>17</v>
      </c>
      <c r="B194" t="s">
        <v>20</v>
      </c>
      <c r="C194" t="s">
        <v>21</v>
      </c>
      <c r="D194" t="s">
        <v>363</v>
      </c>
      <c r="E194" t="s">
        <v>365</v>
      </c>
      <c r="F194" t="s">
        <v>13</v>
      </c>
      <c r="G194" t="s">
        <v>427</v>
      </c>
      <c r="H194" t="s">
        <v>368</v>
      </c>
      <c r="I194">
        <v>54</v>
      </c>
      <c r="J194">
        <v>0.7983706720977598</v>
      </c>
      <c r="M194" t="s">
        <v>670</v>
      </c>
      <c r="N194" t="s">
        <v>815</v>
      </c>
      <c r="O194" t="s">
        <v>816</v>
      </c>
      <c r="P194">
        <v>0.6</v>
      </c>
    </row>
    <row r="195" spans="1:16" x14ac:dyDescent="0.3">
      <c r="A195" t="s">
        <v>17</v>
      </c>
      <c r="B195" t="s">
        <v>20</v>
      </c>
      <c r="C195" t="s">
        <v>21</v>
      </c>
      <c r="D195" t="s">
        <v>363</v>
      </c>
      <c r="E195" t="s">
        <v>365</v>
      </c>
      <c r="F195" t="s">
        <v>13</v>
      </c>
      <c r="G195" t="s">
        <v>432</v>
      </c>
      <c r="H195" t="s">
        <v>368</v>
      </c>
      <c r="I195">
        <v>55</v>
      </c>
      <c r="J195">
        <v>0.78099173553719015</v>
      </c>
      <c r="M195" t="s">
        <v>670</v>
      </c>
      <c r="N195" t="s">
        <v>817</v>
      </c>
      <c r="O195" t="s">
        <v>818</v>
      </c>
      <c r="P195">
        <v>0.6</v>
      </c>
    </row>
    <row r="196" spans="1:16" x14ac:dyDescent="0.3">
      <c r="A196" t="s">
        <v>17</v>
      </c>
      <c r="B196" t="s">
        <v>20</v>
      </c>
      <c r="C196" t="s">
        <v>21</v>
      </c>
      <c r="D196" t="s">
        <v>363</v>
      </c>
      <c r="E196" t="s">
        <v>365</v>
      </c>
      <c r="F196" t="s">
        <v>13</v>
      </c>
      <c r="G196" t="s">
        <v>437</v>
      </c>
      <c r="H196" t="s">
        <v>368</v>
      </c>
      <c r="I196">
        <v>56</v>
      </c>
      <c r="J196">
        <v>0.79508196721311475</v>
      </c>
      <c r="M196" t="s">
        <v>670</v>
      </c>
      <c r="N196" t="s">
        <v>819</v>
      </c>
      <c r="O196" t="s">
        <v>820</v>
      </c>
      <c r="P196">
        <v>0.6</v>
      </c>
    </row>
    <row r="197" spans="1:16" x14ac:dyDescent="0.3">
      <c r="A197" t="s">
        <v>17</v>
      </c>
      <c r="B197" t="s">
        <v>20</v>
      </c>
      <c r="C197" t="s">
        <v>21</v>
      </c>
      <c r="D197" t="s">
        <v>363</v>
      </c>
      <c r="E197" t="s">
        <v>365</v>
      </c>
      <c r="F197" t="s">
        <v>13</v>
      </c>
      <c r="G197" t="s">
        <v>442</v>
      </c>
      <c r="H197" t="s">
        <v>368</v>
      </c>
      <c r="I197">
        <v>57</v>
      </c>
      <c r="J197">
        <v>0.80082135523613973</v>
      </c>
      <c r="M197" t="s">
        <v>670</v>
      </c>
      <c r="N197" t="s">
        <v>821</v>
      </c>
      <c r="O197" t="s">
        <v>822</v>
      </c>
      <c r="P197">
        <v>0.6</v>
      </c>
    </row>
    <row r="198" spans="1:16" x14ac:dyDescent="0.3">
      <c r="A198" t="s">
        <v>17</v>
      </c>
      <c r="B198" t="s">
        <v>20</v>
      </c>
      <c r="C198" t="s">
        <v>21</v>
      </c>
      <c r="D198" t="s">
        <v>363</v>
      </c>
      <c r="E198" t="s">
        <v>365</v>
      </c>
      <c r="F198" t="s">
        <v>13</v>
      </c>
      <c r="G198" t="s">
        <v>447</v>
      </c>
      <c r="H198" t="s">
        <v>368</v>
      </c>
      <c r="I198">
        <v>58</v>
      </c>
      <c r="J198">
        <v>0.76701030927835068</v>
      </c>
      <c r="M198" t="s">
        <v>670</v>
      </c>
      <c r="N198" t="s">
        <v>823</v>
      </c>
      <c r="O198" t="s">
        <v>824</v>
      </c>
      <c r="P198">
        <v>0.6</v>
      </c>
    </row>
    <row r="199" spans="1:16" x14ac:dyDescent="0.3">
      <c r="A199" t="s">
        <v>17</v>
      </c>
      <c r="B199" t="s">
        <v>20</v>
      </c>
      <c r="C199" t="s">
        <v>21</v>
      </c>
      <c r="D199" t="s">
        <v>363</v>
      </c>
      <c r="E199" t="s">
        <v>365</v>
      </c>
      <c r="F199" t="s">
        <v>13</v>
      </c>
      <c r="G199" t="s">
        <v>452</v>
      </c>
      <c r="H199" t="s">
        <v>368</v>
      </c>
      <c r="I199">
        <v>59</v>
      </c>
      <c r="J199">
        <v>0.79831932773109249</v>
      </c>
      <c r="M199" t="s">
        <v>670</v>
      </c>
      <c r="N199" t="s">
        <v>825</v>
      </c>
      <c r="O199" t="s">
        <v>826</v>
      </c>
      <c r="P199">
        <v>0.7</v>
      </c>
    </row>
    <row r="200" spans="1:16" x14ac:dyDescent="0.3">
      <c r="A200" t="s">
        <v>17</v>
      </c>
      <c r="B200" t="s">
        <v>20</v>
      </c>
      <c r="C200" t="s">
        <v>21</v>
      </c>
      <c r="D200" t="s">
        <v>363</v>
      </c>
      <c r="E200" t="s">
        <v>365</v>
      </c>
      <c r="F200" t="s">
        <v>13</v>
      </c>
      <c r="G200" t="s">
        <v>457</v>
      </c>
      <c r="H200" t="s">
        <v>368</v>
      </c>
      <c r="I200">
        <v>60</v>
      </c>
      <c r="J200">
        <v>0.79253112033195017</v>
      </c>
      <c r="M200" t="s">
        <v>670</v>
      </c>
      <c r="N200" t="s">
        <v>827</v>
      </c>
      <c r="O200" t="s">
        <v>828</v>
      </c>
      <c r="P200">
        <v>0.6</v>
      </c>
    </row>
    <row r="201" spans="1:16" x14ac:dyDescent="0.3">
      <c r="A201" t="s">
        <v>17</v>
      </c>
      <c r="B201" t="s">
        <v>20</v>
      </c>
      <c r="C201" t="s">
        <v>21</v>
      </c>
      <c r="D201" t="s">
        <v>363</v>
      </c>
      <c r="E201" t="s">
        <v>365</v>
      </c>
      <c r="F201" t="s">
        <v>13</v>
      </c>
      <c r="G201" t="s">
        <v>462</v>
      </c>
      <c r="H201" t="s">
        <v>368</v>
      </c>
      <c r="I201">
        <v>61</v>
      </c>
      <c r="J201">
        <v>0.78600823045267498</v>
      </c>
      <c r="M201" t="s">
        <v>670</v>
      </c>
      <c r="N201" t="s">
        <v>829</v>
      </c>
      <c r="O201" t="s">
        <v>830</v>
      </c>
      <c r="P201">
        <v>0.8</v>
      </c>
    </row>
    <row r="202" spans="1:16" x14ac:dyDescent="0.3">
      <c r="A202" t="s">
        <v>17</v>
      </c>
      <c r="B202" t="s">
        <v>20</v>
      </c>
      <c r="C202" t="s">
        <v>21</v>
      </c>
      <c r="D202" t="s">
        <v>363</v>
      </c>
      <c r="E202" t="s">
        <v>467</v>
      </c>
      <c r="F202" t="s">
        <v>9</v>
      </c>
      <c r="G202" t="s">
        <v>468</v>
      </c>
      <c r="H202" t="s">
        <v>470</v>
      </c>
      <c r="I202">
        <v>42</v>
      </c>
      <c r="J202">
        <v>0.79420289855072468</v>
      </c>
      <c r="M202" t="s">
        <v>670</v>
      </c>
      <c r="N202" t="s">
        <v>831</v>
      </c>
      <c r="O202" t="s">
        <v>832</v>
      </c>
      <c r="P202">
        <v>0.8</v>
      </c>
    </row>
    <row r="203" spans="1:16" x14ac:dyDescent="0.3">
      <c r="A203" t="s">
        <v>17</v>
      </c>
      <c r="B203" t="s">
        <v>20</v>
      </c>
      <c r="C203" t="s">
        <v>21</v>
      </c>
      <c r="D203" t="s">
        <v>363</v>
      </c>
      <c r="E203" t="s">
        <v>467</v>
      </c>
      <c r="F203" t="s">
        <v>9</v>
      </c>
      <c r="G203" t="s">
        <v>474</v>
      </c>
      <c r="H203" t="s">
        <v>470</v>
      </c>
      <c r="I203">
        <v>43</v>
      </c>
      <c r="J203">
        <v>0.81791044776119404</v>
      </c>
      <c r="M203" t="s">
        <v>670</v>
      </c>
      <c r="N203" t="s">
        <v>833</v>
      </c>
      <c r="O203" t="s">
        <v>834</v>
      </c>
      <c r="P203">
        <v>0.6</v>
      </c>
    </row>
    <row r="204" spans="1:16" x14ac:dyDescent="0.3">
      <c r="A204" t="s">
        <v>17</v>
      </c>
      <c r="B204" t="s">
        <v>20</v>
      </c>
      <c r="C204" t="s">
        <v>21</v>
      </c>
      <c r="D204" t="s">
        <v>363</v>
      </c>
      <c r="E204" t="s">
        <v>467</v>
      </c>
      <c r="F204" t="s">
        <v>9</v>
      </c>
      <c r="G204" t="s">
        <v>479</v>
      </c>
      <c r="H204" t="s">
        <v>470</v>
      </c>
      <c r="I204">
        <v>44</v>
      </c>
      <c r="J204">
        <v>0.8125</v>
      </c>
      <c r="M204" t="s">
        <v>670</v>
      </c>
      <c r="N204" t="s">
        <v>835</v>
      </c>
      <c r="O204" t="s">
        <v>836</v>
      </c>
      <c r="P204">
        <v>0.6</v>
      </c>
    </row>
    <row r="205" spans="1:16" x14ac:dyDescent="0.3">
      <c r="A205" t="s">
        <v>17</v>
      </c>
      <c r="B205" t="s">
        <v>20</v>
      </c>
      <c r="C205" t="s">
        <v>21</v>
      </c>
      <c r="D205" t="s">
        <v>363</v>
      </c>
      <c r="E205" t="s">
        <v>467</v>
      </c>
      <c r="F205" t="s">
        <v>9</v>
      </c>
      <c r="G205" t="s">
        <v>484</v>
      </c>
      <c r="H205" t="s">
        <v>470</v>
      </c>
      <c r="I205">
        <v>45</v>
      </c>
      <c r="J205">
        <v>0.78309859154929573</v>
      </c>
      <c r="M205" t="s">
        <v>670</v>
      </c>
      <c r="N205" t="s">
        <v>837</v>
      </c>
      <c r="O205" t="s">
        <v>838</v>
      </c>
      <c r="P205">
        <v>0.6</v>
      </c>
    </row>
    <row r="206" spans="1:16" x14ac:dyDescent="0.3">
      <c r="A206" t="s">
        <v>17</v>
      </c>
      <c r="B206" t="s">
        <v>20</v>
      </c>
      <c r="C206" t="s">
        <v>21</v>
      </c>
      <c r="D206" t="s">
        <v>363</v>
      </c>
      <c r="E206" t="s">
        <v>467</v>
      </c>
      <c r="F206" t="s">
        <v>9</v>
      </c>
      <c r="G206" t="s">
        <v>489</v>
      </c>
      <c r="H206" t="s">
        <v>470</v>
      </c>
      <c r="I206">
        <v>46</v>
      </c>
      <c r="J206">
        <v>0.783625730994152</v>
      </c>
      <c r="M206" t="s">
        <v>670</v>
      </c>
      <c r="N206" t="s">
        <v>839</v>
      </c>
      <c r="O206" t="s">
        <v>840</v>
      </c>
      <c r="P206">
        <v>0.6</v>
      </c>
    </row>
    <row r="207" spans="1:16" x14ac:dyDescent="0.3">
      <c r="A207" t="s">
        <v>17</v>
      </c>
      <c r="B207" t="s">
        <v>20</v>
      </c>
      <c r="C207" t="s">
        <v>21</v>
      </c>
      <c r="D207" t="s">
        <v>363</v>
      </c>
      <c r="E207" t="s">
        <v>467</v>
      </c>
      <c r="F207" t="s">
        <v>9</v>
      </c>
      <c r="G207" t="s">
        <v>494</v>
      </c>
      <c r="H207" t="s">
        <v>470</v>
      </c>
      <c r="I207">
        <v>47</v>
      </c>
      <c r="J207">
        <v>0.77906976744186052</v>
      </c>
      <c r="M207" t="s">
        <v>670</v>
      </c>
      <c r="N207" t="s">
        <v>841</v>
      </c>
      <c r="O207" t="s">
        <v>842</v>
      </c>
      <c r="P207">
        <v>0.7</v>
      </c>
    </row>
    <row r="208" spans="1:16" x14ac:dyDescent="0.3">
      <c r="A208" t="s">
        <v>17</v>
      </c>
      <c r="B208" t="s">
        <v>20</v>
      </c>
      <c r="C208" t="s">
        <v>21</v>
      </c>
      <c r="D208" t="s">
        <v>363</v>
      </c>
      <c r="E208" t="s">
        <v>467</v>
      </c>
      <c r="F208" t="s">
        <v>9</v>
      </c>
      <c r="G208" t="s">
        <v>499</v>
      </c>
      <c r="H208" t="s">
        <v>470</v>
      </c>
      <c r="I208">
        <v>48</v>
      </c>
      <c r="J208">
        <v>0.80790960451977401</v>
      </c>
      <c r="M208" t="s">
        <v>670</v>
      </c>
      <c r="N208" t="s">
        <v>843</v>
      </c>
      <c r="O208" t="s">
        <v>844</v>
      </c>
      <c r="P208">
        <v>0.6</v>
      </c>
    </row>
    <row r="209" spans="1:16" x14ac:dyDescent="0.3">
      <c r="A209" t="s">
        <v>17</v>
      </c>
      <c r="B209" t="s">
        <v>20</v>
      </c>
      <c r="C209" t="s">
        <v>21</v>
      </c>
      <c r="D209" t="s">
        <v>363</v>
      </c>
      <c r="E209" t="s">
        <v>467</v>
      </c>
      <c r="F209" t="s">
        <v>9</v>
      </c>
      <c r="G209" t="s">
        <v>504</v>
      </c>
      <c r="H209" t="s">
        <v>470</v>
      </c>
      <c r="I209">
        <v>49</v>
      </c>
      <c r="J209">
        <v>0.81609195402298851</v>
      </c>
      <c r="M209" t="s">
        <v>670</v>
      </c>
      <c r="N209" t="s">
        <v>845</v>
      </c>
      <c r="O209" t="s">
        <v>846</v>
      </c>
      <c r="P209">
        <v>0.6</v>
      </c>
    </row>
    <row r="210" spans="1:16" x14ac:dyDescent="0.3">
      <c r="A210" t="s">
        <v>17</v>
      </c>
      <c r="B210" t="s">
        <v>20</v>
      </c>
      <c r="C210" t="s">
        <v>21</v>
      </c>
      <c r="D210" t="s">
        <v>363</v>
      </c>
      <c r="E210" t="s">
        <v>467</v>
      </c>
      <c r="F210" t="s">
        <v>9</v>
      </c>
      <c r="G210" t="s">
        <v>509</v>
      </c>
      <c r="H210" t="s">
        <v>470</v>
      </c>
      <c r="I210">
        <v>50</v>
      </c>
      <c r="J210">
        <v>0.78717201166180761</v>
      </c>
      <c r="M210" t="s">
        <v>670</v>
      </c>
      <c r="N210" t="s">
        <v>847</v>
      </c>
      <c r="O210" t="s">
        <v>848</v>
      </c>
      <c r="P210">
        <v>0.6</v>
      </c>
    </row>
    <row r="211" spans="1:16" x14ac:dyDescent="0.3">
      <c r="A211" t="s">
        <v>17</v>
      </c>
      <c r="B211" t="s">
        <v>20</v>
      </c>
      <c r="C211" t="s">
        <v>21</v>
      </c>
      <c r="D211" t="s">
        <v>363</v>
      </c>
      <c r="E211" t="s">
        <v>467</v>
      </c>
      <c r="F211" t="s">
        <v>9</v>
      </c>
      <c r="G211" t="s">
        <v>514</v>
      </c>
      <c r="H211" t="s">
        <v>470</v>
      </c>
      <c r="I211">
        <v>51</v>
      </c>
      <c r="J211">
        <v>0.83139534883720922</v>
      </c>
      <c r="M211" t="s">
        <v>670</v>
      </c>
      <c r="N211" t="s">
        <v>849</v>
      </c>
      <c r="O211" t="s">
        <v>850</v>
      </c>
      <c r="P211">
        <v>0.7</v>
      </c>
    </row>
    <row r="212" spans="1:16" x14ac:dyDescent="0.3">
      <c r="A212" t="s">
        <v>17</v>
      </c>
      <c r="B212" t="s">
        <v>20</v>
      </c>
      <c r="C212" t="s">
        <v>21</v>
      </c>
      <c r="D212" t="s">
        <v>363</v>
      </c>
      <c r="E212" t="s">
        <v>467</v>
      </c>
      <c r="F212" t="s">
        <v>9</v>
      </c>
      <c r="G212" t="s">
        <v>519</v>
      </c>
      <c r="H212" t="s">
        <v>470</v>
      </c>
      <c r="I212">
        <v>52</v>
      </c>
      <c r="J212">
        <v>0.77744807121661719</v>
      </c>
      <c r="M212" t="s">
        <v>670</v>
      </c>
      <c r="N212" t="s">
        <v>851</v>
      </c>
      <c r="O212" t="s">
        <v>852</v>
      </c>
      <c r="P212">
        <v>0.6</v>
      </c>
    </row>
    <row r="213" spans="1:16" x14ac:dyDescent="0.3">
      <c r="A213" t="s">
        <v>17</v>
      </c>
      <c r="B213" t="s">
        <v>20</v>
      </c>
      <c r="C213" t="s">
        <v>21</v>
      </c>
      <c r="D213" t="s">
        <v>363</v>
      </c>
      <c r="E213" t="s">
        <v>467</v>
      </c>
      <c r="F213" t="s">
        <v>9</v>
      </c>
      <c r="G213" t="s">
        <v>524</v>
      </c>
      <c r="H213" t="s">
        <v>470</v>
      </c>
      <c r="I213">
        <v>53</v>
      </c>
      <c r="J213">
        <v>0.77809798270893371</v>
      </c>
      <c r="M213" t="s">
        <v>670</v>
      </c>
      <c r="N213" t="s">
        <v>853</v>
      </c>
      <c r="O213" t="s">
        <v>854</v>
      </c>
      <c r="P213">
        <v>0.6</v>
      </c>
    </row>
    <row r="214" spans="1:16" x14ac:dyDescent="0.3">
      <c r="A214" t="s">
        <v>17</v>
      </c>
      <c r="B214" t="s">
        <v>20</v>
      </c>
      <c r="C214" t="s">
        <v>21</v>
      </c>
      <c r="D214" t="s">
        <v>363</v>
      </c>
      <c r="E214" t="s">
        <v>467</v>
      </c>
      <c r="F214" t="s">
        <v>9</v>
      </c>
      <c r="G214" t="s">
        <v>529</v>
      </c>
      <c r="H214" t="s">
        <v>470</v>
      </c>
      <c r="I214">
        <v>54</v>
      </c>
      <c r="J214">
        <v>0.8128654970760234</v>
      </c>
      <c r="M214" t="s">
        <v>670</v>
      </c>
      <c r="N214" t="s">
        <v>855</v>
      </c>
      <c r="O214" t="s">
        <v>856</v>
      </c>
      <c r="P214">
        <v>0.6</v>
      </c>
    </row>
    <row r="215" spans="1:16" x14ac:dyDescent="0.3">
      <c r="A215" t="s">
        <v>17</v>
      </c>
      <c r="B215" t="s">
        <v>20</v>
      </c>
      <c r="C215" t="s">
        <v>21</v>
      </c>
      <c r="D215" t="s">
        <v>363</v>
      </c>
      <c r="E215" t="s">
        <v>467</v>
      </c>
      <c r="F215" t="s">
        <v>9</v>
      </c>
      <c r="G215" t="s">
        <v>534</v>
      </c>
      <c r="H215" t="s">
        <v>470</v>
      </c>
      <c r="I215">
        <v>55</v>
      </c>
      <c r="J215">
        <v>0.819484240687679</v>
      </c>
      <c r="M215" t="s">
        <v>670</v>
      </c>
      <c r="N215" t="s">
        <v>857</v>
      </c>
      <c r="O215" t="s">
        <v>858</v>
      </c>
      <c r="P215">
        <v>0.8</v>
      </c>
    </row>
    <row r="216" spans="1:16" x14ac:dyDescent="0.3">
      <c r="A216" t="s">
        <v>17</v>
      </c>
      <c r="B216" t="s">
        <v>20</v>
      </c>
      <c r="C216" t="s">
        <v>21</v>
      </c>
      <c r="D216" t="s">
        <v>363</v>
      </c>
      <c r="E216" t="s">
        <v>467</v>
      </c>
      <c r="F216" t="s">
        <v>9</v>
      </c>
      <c r="G216" t="s">
        <v>539</v>
      </c>
      <c r="H216" t="s">
        <v>470</v>
      </c>
      <c r="I216">
        <v>56</v>
      </c>
      <c r="J216">
        <v>0.81176470588235294</v>
      </c>
      <c r="M216" t="s">
        <v>670</v>
      </c>
      <c r="N216" t="s">
        <v>859</v>
      </c>
      <c r="O216" t="s">
        <v>860</v>
      </c>
      <c r="P216">
        <v>0.6</v>
      </c>
    </row>
    <row r="217" spans="1:16" x14ac:dyDescent="0.3">
      <c r="A217" t="s">
        <v>17</v>
      </c>
      <c r="B217" t="s">
        <v>20</v>
      </c>
      <c r="C217" t="s">
        <v>21</v>
      </c>
      <c r="D217" t="s">
        <v>363</v>
      </c>
      <c r="E217" t="s">
        <v>467</v>
      </c>
      <c r="F217" t="s">
        <v>9</v>
      </c>
      <c r="G217" t="s">
        <v>544</v>
      </c>
      <c r="H217" t="s">
        <v>470</v>
      </c>
      <c r="I217">
        <v>57</v>
      </c>
      <c r="J217">
        <v>0.79310344827586199</v>
      </c>
      <c r="M217" t="s">
        <v>670</v>
      </c>
      <c r="N217" t="s">
        <v>861</v>
      </c>
      <c r="O217" t="s">
        <v>862</v>
      </c>
      <c r="P217">
        <v>0.6</v>
      </c>
    </row>
    <row r="218" spans="1:16" x14ac:dyDescent="0.3">
      <c r="A218" t="s">
        <v>17</v>
      </c>
      <c r="B218" t="s">
        <v>20</v>
      </c>
      <c r="C218" t="s">
        <v>21</v>
      </c>
      <c r="D218" t="s">
        <v>363</v>
      </c>
      <c r="E218" t="s">
        <v>467</v>
      </c>
      <c r="F218" t="s">
        <v>9</v>
      </c>
      <c r="G218" t="s">
        <v>549</v>
      </c>
      <c r="H218" t="s">
        <v>470</v>
      </c>
      <c r="I218">
        <v>58</v>
      </c>
      <c r="J218">
        <v>0.79656160458452729</v>
      </c>
      <c r="M218" t="s">
        <v>670</v>
      </c>
      <c r="N218" t="s">
        <v>863</v>
      </c>
      <c r="O218" t="s">
        <v>864</v>
      </c>
      <c r="P218">
        <v>0.6</v>
      </c>
    </row>
    <row r="219" spans="1:16" x14ac:dyDescent="0.3">
      <c r="A219" t="s">
        <v>17</v>
      </c>
      <c r="B219" t="s">
        <v>20</v>
      </c>
      <c r="C219" t="s">
        <v>21</v>
      </c>
      <c r="D219" t="s">
        <v>363</v>
      </c>
      <c r="E219" t="s">
        <v>467</v>
      </c>
      <c r="F219" t="s">
        <v>9</v>
      </c>
      <c r="G219" t="s">
        <v>554</v>
      </c>
      <c r="H219" t="s">
        <v>470</v>
      </c>
      <c r="I219">
        <v>59</v>
      </c>
      <c r="J219">
        <v>0.77058823529411757</v>
      </c>
      <c r="M219" t="s">
        <v>670</v>
      </c>
      <c r="N219" t="s">
        <v>865</v>
      </c>
      <c r="O219" t="s">
        <v>866</v>
      </c>
      <c r="P219">
        <v>0.6</v>
      </c>
    </row>
    <row r="220" spans="1:16" x14ac:dyDescent="0.3">
      <c r="A220" t="s">
        <v>17</v>
      </c>
      <c r="B220" t="s">
        <v>20</v>
      </c>
      <c r="C220" t="s">
        <v>21</v>
      </c>
      <c r="D220" t="s">
        <v>363</v>
      </c>
      <c r="E220" t="s">
        <v>467</v>
      </c>
      <c r="F220" t="s">
        <v>9</v>
      </c>
      <c r="G220" t="s">
        <v>559</v>
      </c>
      <c r="H220" t="s">
        <v>470</v>
      </c>
      <c r="I220">
        <v>60</v>
      </c>
      <c r="J220">
        <v>0.78840579710144931</v>
      </c>
      <c r="M220" t="s">
        <v>670</v>
      </c>
      <c r="N220" t="s">
        <v>867</v>
      </c>
      <c r="O220" t="s">
        <v>868</v>
      </c>
      <c r="P220">
        <v>0.6</v>
      </c>
    </row>
    <row r="221" spans="1:16" x14ac:dyDescent="0.3">
      <c r="A221" t="s">
        <v>17</v>
      </c>
      <c r="B221" t="s">
        <v>20</v>
      </c>
      <c r="C221" t="s">
        <v>21</v>
      </c>
      <c r="D221" t="s">
        <v>363</v>
      </c>
      <c r="E221" t="s">
        <v>467</v>
      </c>
      <c r="F221" t="s">
        <v>9</v>
      </c>
      <c r="G221" t="s">
        <v>564</v>
      </c>
      <c r="H221" t="s">
        <v>470</v>
      </c>
      <c r="I221">
        <v>61</v>
      </c>
      <c r="J221">
        <v>0.78409090909090906</v>
      </c>
      <c r="M221" t="s">
        <v>670</v>
      </c>
      <c r="N221" t="s">
        <v>869</v>
      </c>
      <c r="O221" t="s">
        <v>870</v>
      </c>
      <c r="P221">
        <v>0.8</v>
      </c>
    </row>
    <row r="222" spans="1:16" x14ac:dyDescent="0.3">
      <c r="A222" t="s">
        <v>17</v>
      </c>
      <c r="B222" t="s">
        <v>20</v>
      </c>
      <c r="C222" t="s">
        <v>21</v>
      </c>
      <c r="D222" t="s">
        <v>363</v>
      </c>
      <c r="E222" t="s">
        <v>569</v>
      </c>
      <c r="F222" t="s">
        <v>11</v>
      </c>
      <c r="G222" t="s">
        <v>570</v>
      </c>
      <c r="H222" t="s">
        <v>572</v>
      </c>
      <c r="I222">
        <v>42</v>
      </c>
      <c r="J222">
        <v>0.81481481481481477</v>
      </c>
      <c r="M222" t="s">
        <v>670</v>
      </c>
      <c r="N222" t="s">
        <v>871</v>
      </c>
      <c r="O222" t="s">
        <v>872</v>
      </c>
      <c r="P222">
        <v>0.6</v>
      </c>
    </row>
    <row r="223" spans="1:16" x14ac:dyDescent="0.3">
      <c r="A223" t="s">
        <v>17</v>
      </c>
      <c r="B223" t="s">
        <v>20</v>
      </c>
      <c r="C223" t="s">
        <v>21</v>
      </c>
      <c r="D223" t="s">
        <v>363</v>
      </c>
      <c r="E223" t="s">
        <v>569</v>
      </c>
      <c r="F223" t="s">
        <v>11</v>
      </c>
      <c r="G223" t="s">
        <v>576</v>
      </c>
      <c r="H223" t="s">
        <v>572</v>
      </c>
      <c r="I223">
        <v>43</v>
      </c>
      <c r="J223">
        <v>0.82683982683982682</v>
      </c>
      <c r="M223" t="s">
        <v>670</v>
      </c>
      <c r="N223" t="s">
        <v>873</v>
      </c>
      <c r="O223" t="s">
        <v>874</v>
      </c>
      <c r="P223">
        <v>0.6</v>
      </c>
    </row>
    <row r="224" spans="1:16" x14ac:dyDescent="0.3">
      <c r="A224" t="s">
        <v>17</v>
      </c>
      <c r="B224" t="s">
        <v>20</v>
      </c>
      <c r="C224" t="s">
        <v>21</v>
      </c>
      <c r="D224" t="s">
        <v>363</v>
      </c>
      <c r="E224" t="s">
        <v>569</v>
      </c>
      <c r="F224" t="s">
        <v>11</v>
      </c>
      <c r="G224" t="s">
        <v>581</v>
      </c>
      <c r="H224" t="s">
        <v>572</v>
      </c>
      <c r="I224">
        <v>44</v>
      </c>
      <c r="J224">
        <v>0.82119205298013254</v>
      </c>
      <c r="M224" t="s">
        <v>670</v>
      </c>
      <c r="N224" t="s">
        <v>875</v>
      </c>
      <c r="O224" t="s">
        <v>876</v>
      </c>
      <c r="P224">
        <v>0.6</v>
      </c>
    </row>
    <row r="225" spans="1:16" x14ac:dyDescent="0.3">
      <c r="A225" t="s">
        <v>17</v>
      </c>
      <c r="B225" t="s">
        <v>20</v>
      </c>
      <c r="C225" t="s">
        <v>21</v>
      </c>
      <c r="D225" t="s">
        <v>363</v>
      </c>
      <c r="E225" t="s">
        <v>569</v>
      </c>
      <c r="F225" t="s">
        <v>11</v>
      </c>
      <c r="G225" t="s">
        <v>586</v>
      </c>
      <c r="H225" t="s">
        <v>572</v>
      </c>
      <c r="I225">
        <v>45</v>
      </c>
      <c r="J225">
        <v>0.82608695652173925</v>
      </c>
      <c r="M225" t="s">
        <v>670</v>
      </c>
      <c r="N225" t="s">
        <v>877</v>
      </c>
      <c r="O225" t="s">
        <v>878</v>
      </c>
      <c r="P225">
        <v>0.6</v>
      </c>
    </row>
    <row r="226" spans="1:16" x14ac:dyDescent="0.3">
      <c r="A226" t="s">
        <v>17</v>
      </c>
      <c r="B226" t="s">
        <v>20</v>
      </c>
      <c r="C226" t="s">
        <v>21</v>
      </c>
      <c r="D226" t="s">
        <v>363</v>
      </c>
      <c r="E226" t="s">
        <v>569</v>
      </c>
      <c r="F226" t="s">
        <v>11</v>
      </c>
      <c r="G226" t="s">
        <v>591</v>
      </c>
      <c r="H226" t="s">
        <v>572</v>
      </c>
      <c r="I226">
        <v>46</v>
      </c>
      <c r="J226">
        <v>0.83002207505518755</v>
      </c>
      <c r="M226" t="s">
        <v>670</v>
      </c>
      <c r="N226" t="s">
        <v>879</v>
      </c>
      <c r="O226" t="s">
        <v>880</v>
      </c>
      <c r="P226">
        <v>0.6</v>
      </c>
    </row>
    <row r="227" spans="1:16" x14ac:dyDescent="0.3">
      <c r="A227" t="s">
        <v>17</v>
      </c>
      <c r="B227" t="s">
        <v>20</v>
      </c>
      <c r="C227" t="s">
        <v>21</v>
      </c>
      <c r="D227" t="s">
        <v>363</v>
      </c>
      <c r="E227" t="s">
        <v>569</v>
      </c>
      <c r="F227" t="s">
        <v>11</v>
      </c>
      <c r="G227" t="s">
        <v>596</v>
      </c>
      <c r="H227" t="s">
        <v>572</v>
      </c>
      <c r="I227">
        <v>47</v>
      </c>
      <c r="J227">
        <v>0.82926829268292679</v>
      </c>
      <c r="M227" t="s">
        <v>670</v>
      </c>
      <c r="N227" t="s">
        <v>881</v>
      </c>
      <c r="O227" t="s">
        <v>882</v>
      </c>
      <c r="P227">
        <v>0.6</v>
      </c>
    </row>
    <row r="228" spans="1:16" x14ac:dyDescent="0.3">
      <c r="A228" t="s">
        <v>17</v>
      </c>
      <c r="B228" t="s">
        <v>20</v>
      </c>
      <c r="C228" t="s">
        <v>21</v>
      </c>
      <c r="D228" t="s">
        <v>363</v>
      </c>
      <c r="E228" t="s">
        <v>569</v>
      </c>
      <c r="F228" t="s">
        <v>11</v>
      </c>
      <c r="G228" t="s">
        <v>601</v>
      </c>
      <c r="H228" t="s">
        <v>572</v>
      </c>
      <c r="I228">
        <v>48</v>
      </c>
      <c r="J228">
        <v>0.81917211328976047</v>
      </c>
      <c r="M228" t="s">
        <v>670</v>
      </c>
      <c r="N228" t="s">
        <v>883</v>
      </c>
      <c r="O228" t="s">
        <v>884</v>
      </c>
      <c r="P228">
        <v>0.6</v>
      </c>
    </row>
    <row r="229" spans="1:16" x14ac:dyDescent="0.3">
      <c r="A229" t="s">
        <v>17</v>
      </c>
      <c r="B229" t="s">
        <v>20</v>
      </c>
      <c r="C229" t="s">
        <v>21</v>
      </c>
      <c r="D229" t="s">
        <v>363</v>
      </c>
      <c r="E229" t="s">
        <v>569</v>
      </c>
      <c r="F229" t="s">
        <v>11</v>
      </c>
      <c r="G229" t="s">
        <v>606</v>
      </c>
      <c r="H229" t="s">
        <v>572</v>
      </c>
      <c r="I229">
        <v>49</v>
      </c>
      <c r="J229">
        <v>0.82300884955752207</v>
      </c>
      <c r="M229" t="s">
        <v>670</v>
      </c>
      <c r="N229" t="s">
        <v>885</v>
      </c>
      <c r="O229" t="s">
        <v>886</v>
      </c>
      <c r="P229">
        <v>0.6</v>
      </c>
    </row>
    <row r="230" spans="1:16" x14ac:dyDescent="0.3">
      <c r="A230" t="s">
        <v>17</v>
      </c>
      <c r="B230" t="s">
        <v>20</v>
      </c>
      <c r="C230" t="s">
        <v>21</v>
      </c>
      <c r="D230" t="s">
        <v>363</v>
      </c>
      <c r="E230" t="s">
        <v>569</v>
      </c>
      <c r="F230" t="s">
        <v>11</v>
      </c>
      <c r="G230" t="s">
        <v>611</v>
      </c>
      <c r="H230" t="s">
        <v>572</v>
      </c>
      <c r="I230">
        <v>50</v>
      </c>
      <c r="J230">
        <v>0.81838074398249461</v>
      </c>
      <c r="M230" t="s">
        <v>670</v>
      </c>
      <c r="N230" t="s">
        <v>887</v>
      </c>
      <c r="O230" t="s">
        <v>888</v>
      </c>
      <c r="P230">
        <v>0.6</v>
      </c>
    </row>
    <row r="231" spans="1:16" x14ac:dyDescent="0.3">
      <c r="A231" t="s">
        <v>17</v>
      </c>
      <c r="B231" t="s">
        <v>20</v>
      </c>
      <c r="C231" t="s">
        <v>21</v>
      </c>
      <c r="D231" t="s">
        <v>363</v>
      </c>
      <c r="E231" t="s">
        <v>569</v>
      </c>
      <c r="F231" t="s">
        <v>11</v>
      </c>
      <c r="G231" t="s">
        <v>616</v>
      </c>
      <c r="H231" t="s">
        <v>572</v>
      </c>
      <c r="I231">
        <v>51</v>
      </c>
      <c r="J231">
        <v>0.81545064377682408</v>
      </c>
      <c r="M231" t="s">
        <v>670</v>
      </c>
      <c r="N231" t="s">
        <v>889</v>
      </c>
      <c r="O231" t="s">
        <v>890</v>
      </c>
      <c r="P231">
        <v>0.6</v>
      </c>
    </row>
    <row r="232" spans="1:16" x14ac:dyDescent="0.3">
      <c r="A232" t="s">
        <v>17</v>
      </c>
      <c r="B232" t="s">
        <v>20</v>
      </c>
      <c r="C232" t="s">
        <v>21</v>
      </c>
      <c r="D232" t="s">
        <v>363</v>
      </c>
      <c r="E232" t="s">
        <v>569</v>
      </c>
      <c r="F232" t="s">
        <v>11</v>
      </c>
      <c r="G232" t="s">
        <v>621</v>
      </c>
      <c r="H232" t="s">
        <v>572</v>
      </c>
      <c r="I232">
        <v>52</v>
      </c>
      <c r="J232">
        <v>0.82197802197802183</v>
      </c>
      <c r="M232" t="s">
        <v>670</v>
      </c>
      <c r="N232" t="s">
        <v>891</v>
      </c>
      <c r="O232" t="s">
        <v>892</v>
      </c>
      <c r="P232">
        <v>0.6</v>
      </c>
    </row>
    <row r="233" spans="1:16" x14ac:dyDescent="0.3">
      <c r="A233" t="s">
        <v>17</v>
      </c>
      <c r="B233" t="s">
        <v>20</v>
      </c>
      <c r="C233" t="s">
        <v>21</v>
      </c>
      <c r="D233" t="s">
        <v>363</v>
      </c>
      <c r="E233" t="s">
        <v>569</v>
      </c>
      <c r="F233" t="s">
        <v>11</v>
      </c>
      <c r="G233" t="s">
        <v>626</v>
      </c>
      <c r="H233" t="s">
        <v>572</v>
      </c>
      <c r="I233">
        <v>53</v>
      </c>
      <c r="J233">
        <v>0.80345572354211658</v>
      </c>
      <c r="M233" t="s">
        <v>670</v>
      </c>
      <c r="N233" t="s">
        <v>893</v>
      </c>
      <c r="O233" t="s">
        <v>894</v>
      </c>
      <c r="P233">
        <v>0.6</v>
      </c>
    </row>
    <row r="234" spans="1:16" x14ac:dyDescent="0.3">
      <c r="A234" t="s">
        <v>17</v>
      </c>
      <c r="B234" t="s">
        <v>20</v>
      </c>
      <c r="C234" t="s">
        <v>21</v>
      </c>
      <c r="D234" t="s">
        <v>363</v>
      </c>
      <c r="E234" t="s">
        <v>569</v>
      </c>
      <c r="F234" t="s">
        <v>11</v>
      </c>
      <c r="G234" t="s">
        <v>631</v>
      </c>
      <c r="H234" t="s">
        <v>572</v>
      </c>
      <c r="I234">
        <v>54</v>
      </c>
      <c r="J234">
        <v>0.82637362637362632</v>
      </c>
      <c r="M234" t="s">
        <v>670</v>
      </c>
      <c r="N234" t="s">
        <v>895</v>
      </c>
      <c r="O234" t="s">
        <v>896</v>
      </c>
      <c r="P234">
        <v>0.6</v>
      </c>
    </row>
    <row r="235" spans="1:16" x14ac:dyDescent="0.3">
      <c r="A235" t="s">
        <v>17</v>
      </c>
      <c r="B235" t="s">
        <v>20</v>
      </c>
      <c r="C235" t="s">
        <v>21</v>
      </c>
      <c r="D235" t="s">
        <v>363</v>
      </c>
      <c r="E235" t="s">
        <v>569</v>
      </c>
      <c r="F235" t="s">
        <v>11</v>
      </c>
      <c r="G235" t="s">
        <v>636</v>
      </c>
      <c r="H235" t="s">
        <v>572</v>
      </c>
      <c r="I235">
        <v>55</v>
      </c>
      <c r="J235">
        <v>0.82959641255605376</v>
      </c>
      <c r="M235" t="s">
        <v>670</v>
      </c>
      <c r="N235" t="s">
        <v>897</v>
      </c>
      <c r="O235" t="s">
        <v>898</v>
      </c>
      <c r="P235">
        <v>0.6</v>
      </c>
    </row>
    <row r="236" spans="1:16" x14ac:dyDescent="0.3">
      <c r="A236" t="s">
        <v>17</v>
      </c>
      <c r="B236" t="s">
        <v>20</v>
      </c>
      <c r="C236" t="s">
        <v>21</v>
      </c>
      <c r="D236" t="s">
        <v>363</v>
      </c>
      <c r="E236" t="s">
        <v>569</v>
      </c>
      <c r="F236" t="s">
        <v>11</v>
      </c>
      <c r="G236" t="s">
        <v>641</v>
      </c>
      <c r="H236" t="s">
        <v>572</v>
      </c>
      <c r="I236">
        <v>56</v>
      </c>
      <c r="J236">
        <v>0.83116883116883122</v>
      </c>
      <c r="M236" t="s">
        <v>670</v>
      </c>
      <c r="N236" t="s">
        <v>899</v>
      </c>
      <c r="O236" t="s">
        <v>900</v>
      </c>
      <c r="P236">
        <v>0.6</v>
      </c>
    </row>
    <row r="237" spans="1:16" x14ac:dyDescent="0.3">
      <c r="A237" t="s">
        <v>17</v>
      </c>
      <c r="B237" t="s">
        <v>20</v>
      </c>
      <c r="C237" t="s">
        <v>21</v>
      </c>
      <c r="D237" t="s">
        <v>363</v>
      </c>
      <c r="E237" t="s">
        <v>569</v>
      </c>
      <c r="F237" t="s">
        <v>11</v>
      </c>
      <c r="G237" t="s">
        <v>646</v>
      </c>
      <c r="H237" t="s">
        <v>572</v>
      </c>
      <c r="I237">
        <v>57</v>
      </c>
      <c r="J237">
        <v>0.83628318584070793</v>
      </c>
      <c r="M237" t="s">
        <v>670</v>
      </c>
      <c r="N237" t="s">
        <v>901</v>
      </c>
      <c r="O237" t="s">
        <v>902</v>
      </c>
      <c r="P237">
        <v>0.6</v>
      </c>
    </row>
    <row r="238" spans="1:16" x14ac:dyDescent="0.3">
      <c r="A238" t="s">
        <v>17</v>
      </c>
      <c r="B238" t="s">
        <v>20</v>
      </c>
      <c r="C238" t="s">
        <v>21</v>
      </c>
      <c r="D238" t="s">
        <v>363</v>
      </c>
      <c r="E238" t="s">
        <v>569</v>
      </c>
      <c r="F238" t="s">
        <v>11</v>
      </c>
      <c r="G238" t="s">
        <v>651</v>
      </c>
      <c r="H238" t="s">
        <v>572</v>
      </c>
      <c r="I238">
        <v>58</v>
      </c>
      <c r="J238">
        <v>0.83856502242152464</v>
      </c>
      <c r="M238" t="s">
        <v>670</v>
      </c>
      <c r="N238" t="s">
        <v>903</v>
      </c>
      <c r="O238" t="s">
        <v>904</v>
      </c>
      <c r="P238">
        <v>0.6</v>
      </c>
    </row>
    <row r="239" spans="1:16" x14ac:dyDescent="0.3">
      <c r="A239" t="s">
        <v>17</v>
      </c>
      <c r="B239" t="s">
        <v>20</v>
      </c>
      <c r="C239" t="s">
        <v>21</v>
      </c>
      <c r="D239" t="s">
        <v>363</v>
      </c>
      <c r="E239" t="s">
        <v>569</v>
      </c>
      <c r="F239" t="s">
        <v>11</v>
      </c>
      <c r="G239" t="s">
        <v>656</v>
      </c>
      <c r="H239" t="s">
        <v>572</v>
      </c>
      <c r="I239">
        <v>59</v>
      </c>
      <c r="J239">
        <v>0.82683982683982682</v>
      </c>
      <c r="M239" t="s">
        <v>670</v>
      </c>
      <c r="N239" t="s">
        <v>905</v>
      </c>
      <c r="O239" t="s">
        <v>906</v>
      </c>
      <c r="P239">
        <v>0</v>
      </c>
    </row>
    <row r="240" spans="1:16" x14ac:dyDescent="0.3">
      <c r="A240" t="s">
        <v>17</v>
      </c>
      <c r="B240" t="s">
        <v>20</v>
      </c>
      <c r="C240" t="s">
        <v>21</v>
      </c>
      <c r="D240" t="s">
        <v>363</v>
      </c>
      <c r="E240" t="s">
        <v>569</v>
      </c>
      <c r="F240" t="s">
        <v>11</v>
      </c>
      <c r="G240" t="s">
        <v>661</v>
      </c>
      <c r="H240" t="s">
        <v>572</v>
      </c>
      <c r="I240">
        <v>60</v>
      </c>
      <c r="J240">
        <v>0.81222707423580787</v>
      </c>
      <c r="M240" t="s">
        <v>670</v>
      </c>
      <c r="N240" t="s">
        <v>907</v>
      </c>
      <c r="O240" t="s">
        <v>908</v>
      </c>
      <c r="P240">
        <v>0</v>
      </c>
    </row>
    <row r="241" spans="1:16" x14ac:dyDescent="0.3">
      <c r="A241" t="s">
        <v>17</v>
      </c>
      <c r="B241" t="s">
        <v>20</v>
      </c>
      <c r="C241" t="s">
        <v>21</v>
      </c>
      <c r="D241" t="s">
        <v>363</v>
      </c>
      <c r="E241" t="s">
        <v>569</v>
      </c>
      <c r="F241" t="s">
        <v>11</v>
      </c>
      <c r="G241" t="s">
        <v>666</v>
      </c>
      <c r="H241" t="s">
        <v>572</v>
      </c>
      <c r="I241">
        <v>61</v>
      </c>
      <c r="J241">
        <v>0.81127982646420826</v>
      </c>
      <c r="M241" t="s">
        <v>670</v>
      </c>
      <c r="N241" t="s">
        <v>909</v>
      </c>
      <c r="O241" t="s">
        <v>910</v>
      </c>
      <c r="P241">
        <v>0</v>
      </c>
    </row>
    <row r="242" spans="1:16" x14ac:dyDescent="0.3">
      <c r="A242" t="s">
        <v>17</v>
      </c>
      <c r="B242" t="s">
        <v>22</v>
      </c>
      <c r="C242" t="s">
        <v>23</v>
      </c>
      <c r="D242" t="s">
        <v>54</v>
      </c>
      <c r="E242" t="s">
        <v>56</v>
      </c>
      <c r="F242" t="s">
        <v>7</v>
      </c>
      <c r="G242" t="s">
        <v>57</v>
      </c>
      <c r="H242" t="s">
        <v>59</v>
      </c>
      <c r="I242">
        <v>42</v>
      </c>
      <c r="J242">
        <v>0.75156576200417535</v>
      </c>
      <c r="K242">
        <v>0.72289156626506024</v>
      </c>
      <c r="L242">
        <v>0.78260869565217395</v>
      </c>
      <c r="M242" t="s">
        <v>60</v>
      </c>
      <c r="N242" t="s">
        <v>911</v>
      </c>
      <c r="O242" t="s">
        <v>912</v>
      </c>
      <c r="P242">
        <v>4.2</v>
      </c>
    </row>
    <row r="243" spans="1:16" x14ac:dyDescent="0.3">
      <c r="A243" t="s">
        <v>17</v>
      </c>
      <c r="B243" t="s">
        <v>22</v>
      </c>
      <c r="C243" t="s">
        <v>23</v>
      </c>
      <c r="D243" t="s">
        <v>54</v>
      </c>
      <c r="E243" t="s">
        <v>56</v>
      </c>
      <c r="F243" t="s">
        <v>7</v>
      </c>
      <c r="G243" t="s">
        <v>65</v>
      </c>
      <c r="H243" t="s">
        <v>59</v>
      </c>
      <c r="I243">
        <v>43</v>
      </c>
      <c r="J243">
        <v>0.73094170403587444</v>
      </c>
      <c r="K243">
        <v>0.75462962962962965</v>
      </c>
      <c r="L243">
        <v>0.70869565217391306</v>
      </c>
      <c r="M243" t="s">
        <v>60</v>
      </c>
      <c r="N243" t="s">
        <v>913</v>
      </c>
      <c r="O243" t="s">
        <v>914</v>
      </c>
      <c r="P243">
        <v>2.2999999999999998</v>
      </c>
    </row>
    <row r="244" spans="1:16" x14ac:dyDescent="0.3">
      <c r="A244" t="s">
        <v>17</v>
      </c>
      <c r="B244" t="s">
        <v>22</v>
      </c>
      <c r="C244" t="s">
        <v>23</v>
      </c>
      <c r="D244" t="s">
        <v>54</v>
      </c>
      <c r="E244" t="s">
        <v>56</v>
      </c>
      <c r="F244" t="s">
        <v>7</v>
      </c>
      <c r="G244" t="s">
        <v>70</v>
      </c>
      <c r="H244" t="s">
        <v>59</v>
      </c>
      <c r="I244">
        <v>44</v>
      </c>
      <c r="J244">
        <v>0.71102661596958183</v>
      </c>
      <c r="K244">
        <v>0.6317567567567568</v>
      </c>
      <c r="L244">
        <v>0.81304347826086953</v>
      </c>
      <c r="M244" t="s">
        <v>60</v>
      </c>
      <c r="N244" t="s">
        <v>915</v>
      </c>
      <c r="O244" t="s">
        <v>916</v>
      </c>
      <c r="P244">
        <v>1.9</v>
      </c>
    </row>
    <row r="245" spans="1:16" x14ac:dyDescent="0.3">
      <c r="A245" t="s">
        <v>17</v>
      </c>
      <c r="B245" t="s">
        <v>22</v>
      </c>
      <c r="C245" t="s">
        <v>23</v>
      </c>
      <c r="D245" t="s">
        <v>54</v>
      </c>
      <c r="E245" t="s">
        <v>56</v>
      </c>
      <c r="F245" t="s">
        <v>7</v>
      </c>
      <c r="G245" t="s">
        <v>75</v>
      </c>
      <c r="H245" t="s">
        <v>59</v>
      </c>
      <c r="I245">
        <v>45</v>
      </c>
      <c r="J245">
        <v>0.73572938689217759</v>
      </c>
      <c r="K245">
        <v>0.71604938271604934</v>
      </c>
      <c r="L245">
        <v>0.75652173913043474</v>
      </c>
      <c r="M245" t="s">
        <v>60</v>
      </c>
      <c r="N245" t="s">
        <v>917</v>
      </c>
      <c r="O245" t="s">
        <v>918</v>
      </c>
      <c r="P245">
        <v>2.4</v>
      </c>
    </row>
    <row r="246" spans="1:16" x14ac:dyDescent="0.3">
      <c r="A246" t="s">
        <v>17</v>
      </c>
      <c r="B246" t="s">
        <v>22</v>
      </c>
      <c r="C246" t="s">
        <v>23</v>
      </c>
      <c r="D246" t="s">
        <v>54</v>
      </c>
      <c r="E246" t="s">
        <v>56</v>
      </c>
      <c r="F246" t="s">
        <v>7</v>
      </c>
      <c r="G246" t="s">
        <v>80</v>
      </c>
      <c r="H246" t="s">
        <v>59</v>
      </c>
      <c r="I246">
        <v>46</v>
      </c>
      <c r="J246">
        <v>0.70315789473684209</v>
      </c>
      <c r="K246">
        <v>0.68163265306122445</v>
      </c>
      <c r="L246">
        <v>0.72608695652173916</v>
      </c>
      <c r="M246" t="s">
        <v>60</v>
      </c>
      <c r="N246" t="s">
        <v>919</v>
      </c>
      <c r="O246" t="s">
        <v>920</v>
      </c>
      <c r="P246">
        <v>2.2999999999999998</v>
      </c>
    </row>
    <row r="247" spans="1:16" x14ac:dyDescent="0.3">
      <c r="A247" t="s">
        <v>17</v>
      </c>
      <c r="B247" t="s">
        <v>22</v>
      </c>
      <c r="C247" t="s">
        <v>23</v>
      </c>
      <c r="D247" t="s">
        <v>54</v>
      </c>
      <c r="E247" t="s">
        <v>56</v>
      </c>
      <c r="F247" t="s">
        <v>7</v>
      </c>
      <c r="G247" t="s">
        <v>85</v>
      </c>
      <c r="H247" t="s">
        <v>59</v>
      </c>
      <c r="I247">
        <v>47</v>
      </c>
      <c r="J247">
        <v>0.76050420168067223</v>
      </c>
      <c r="K247">
        <v>0.73577235772357719</v>
      </c>
      <c r="L247">
        <v>0.78695652173913044</v>
      </c>
      <c r="M247" t="s">
        <v>60</v>
      </c>
      <c r="N247" t="s">
        <v>921</v>
      </c>
      <c r="O247" t="s">
        <v>922</v>
      </c>
      <c r="P247">
        <v>1.4</v>
      </c>
    </row>
    <row r="248" spans="1:16" x14ac:dyDescent="0.3">
      <c r="A248" t="s">
        <v>17</v>
      </c>
      <c r="B248" t="s">
        <v>22</v>
      </c>
      <c r="C248" t="s">
        <v>23</v>
      </c>
      <c r="D248" t="s">
        <v>54</v>
      </c>
      <c r="E248" t="s">
        <v>56</v>
      </c>
      <c r="F248" t="s">
        <v>7</v>
      </c>
      <c r="G248" t="s">
        <v>90</v>
      </c>
      <c r="H248" t="s">
        <v>59</v>
      </c>
      <c r="I248">
        <v>48</v>
      </c>
      <c r="J248">
        <v>0.73903966597077242</v>
      </c>
      <c r="K248">
        <v>0.71084337349397586</v>
      </c>
      <c r="L248">
        <v>0.76956521739130435</v>
      </c>
      <c r="M248" t="s">
        <v>60</v>
      </c>
      <c r="N248" t="s">
        <v>923</v>
      </c>
      <c r="O248" t="s">
        <v>924</v>
      </c>
      <c r="P248">
        <v>1.4</v>
      </c>
    </row>
    <row r="249" spans="1:16" x14ac:dyDescent="0.3">
      <c r="A249" t="s">
        <v>17</v>
      </c>
      <c r="B249" t="s">
        <v>22</v>
      </c>
      <c r="C249" t="s">
        <v>23</v>
      </c>
      <c r="D249" t="s">
        <v>54</v>
      </c>
      <c r="E249" t="s">
        <v>56</v>
      </c>
      <c r="F249" t="s">
        <v>7</v>
      </c>
      <c r="G249" t="s">
        <v>95</v>
      </c>
      <c r="H249" t="s">
        <v>59</v>
      </c>
      <c r="I249">
        <v>49</v>
      </c>
      <c r="J249">
        <v>0.74166666666666659</v>
      </c>
      <c r="K249">
        <v>0.71199999999999997</v>
      </c>
      <c r="L249">
        <v>0.77391304347826084</v>
      </c>
      <c r="M249" t="s">
        <v>60</v>
      </c>
      <c r="N249" t="s">
        <v>925</v>
      </c>
      <c r="O249" t="s">
        <v>926</v>
      </c>
      <c r="P249">
        <v>1.4</v>
      </c>
    </row>
    <row r="250" spans="1:16" x14ac:dyDescent="0.3">
      <c r="A250" t="s">
        <v>17</v>
      </c>
      <c r="B250" t="s">
        <v>22</v>
      </c>
      <c r="C250" t="s">
        <v>23</v>
      </c>
      <c r="D250" t="s">
        <v>54</v>
      </c>
      <c r="E250" t="s">
        <v>56</v>
      </c>
      <c r="F250" t="s">
        <v>7</v>
      </c>
      <c r="G250" t="s">
        <v>100</v>
      </c>
      <c r="H250" t="s">
        <v>59</v>
      </c>
      <c r="I250">
        <v>50</v>
      </c>
      <c r="J250">
        <v>0.75991649269311057</v>
      </c>
      <c r="K250">
        <v>0.73092369477911645</v>
      </c>
      <c r="L250">
        <v>0.79130434782608694</v>
      </c>
      <c r="M250" t="s">
        <v>60</v>
      </c>
      <c r="N250" t="s">
        <v>927</v>
      </c>
      <c r="O250" t="s">
        <v>928</v>
      </c>
      <c r="P250">
        <v>1.4</v>
      </c>
    </row>
    <row r="251" spans="1:16" x14ac:dyDescent="0.3">
      <c r="A251" t="s">
        <v>17</v>
      </c>
      <c r="B251" t="s">
        <v>22</v>
      </c>
      <c r="C251" t="s">
        <v>23</v>
      </c>
      <c r="D251" t="s">
        <v>54</v>
      </c>
      <c r="E251" t="s">
        <v>56</v>
      </c>
      <c r="F251" t="s">
        <v>7</v>
      </c>
      <c r="G251" t="s">
        <v>105</v>
      </c>
      <c r="H251" t="s">
        <v>59</v>
      </c>
      <c r="I251">
        <v>51</v>
      </c>
      <c r="J251">
        <v>0.71666666666666667</v>
      </c>
      <c r="K251">
        <v>0.68799999999999994</v>
      </c>
      <c r="L251">
        <v>0.74782608695652175</v>
      </c>
      <c r="M251" t="s">
        <v>60</v>
      </c>
      <c r="N251" t="s">
        <v>929</v>
      </c>
      <c r="O251" t="s">
        <v>930</v>
      </c>
      <c r="P251">
        <v>1.8</v>
      </c>
    </row>
    <row r="252" spans="1:16" x14ac:dyDescent="0.3">
      <c r="A252" t="s">
        <v>17</v>
      </c>
      <c r="B252" t="s">
        <v>22</v>
      </c>
      <c r="C252" t="s">
        <v>23</v>
      </c>
      <c r="D252" t="s">
        <v>54</v>
      </c>
      <c r="E252" t="s">
        <v>56</v>
      </c>
      <c r="F252" t="s">
        <v>7</v>
      </c>
      <c r="G252" t="s">
        <v>110</v>
      </c>
      <c r="H252" t="s">
        <v>59</v>
      </c>
      <c r="I252">
        <v>52</v>
      </c>
      <c r="J252">
        <v>0.72649572649572658</v>
      </c>
      <c r="K252">
        <v>0.7142857142857143</v>
      </c>
      <c r="L252">
        <v>0.73913043478260865</v>
      </c>
      <c r="M252" t="s">
        <v>60</v>
      </c>
      <c r="N252" t="s">
        <v>931</v>
      </c>
      <c r="O252" t="s">
        <v>932</v>
      </c>
      <c r="P252">
        <v>1.6</v>
      </c>
    </row>
    <row r="253" spans="1:16" x14ac:dyDescent="0.3">
      <c r="A253" t="s">
        <v>17</v>
      </c>
      <c r="B253" t="s">
        <v>22</v>
      </c>
      <c r="C253" t="s">
        <v>23</v>
      </c>
      <c r="D253" t="s">
        <v>54</v>
      </c>
      <c r="E253" t="s">
        <v>56</v>
      </c>
      <c r="F253" t="s">
        <v>7</v>
      </c>
      <c r="G253" t="s">
        <v>115</v>
      </c>
      <c r="H253" t="s">
        <v>59</v>
      </c>
      <c r="I253">
        <v>53</v>
      </c>
      <c r="J253">
        <v>0.74633123689727465</v>
      </c>
      <c r="K253">
        <v>0.72064777327935226</v>
      </c>
      <c r="L253">
        <v>0.77391304347826084</v>
      </c>
      <c r="M253" t="s">
        <v>60</v>
      </c>
      <c r="N253" t="s">
        <v>933</v>
      </c>
      <c r="O253" t="s">
        <v>934</v>
      </c>
      <c r="P253">
        <v>1.3</v>
      </c>
    </row>
    <row r="254" spans="1:16" x14ac:dyDescent="0.3">
      <c r="A254" t="s">
        <v>17</v>
      </c>
      <c r="B254" t="s">
        <v>22</v>
      </c>
      <c r="C254" t="s">
        <v>23</v>
      </c>
      <c r="D254" t="s">
        <v>54</v>
      </c>
      <c r="E254" t="s">
        <v>56</v>
      </c>
      <c r="F254" t="s">
        <v>7</v>
      </c>
      <c r="G254" t="s">
        <v>120</v>
      </c>
      <c r="H254" t="s">
        <v>59</v>
      </c>
      <c r="I254">
        <v>54</v>
      </c>
      <c r="J254">
        <v>0.7463917525773196</v>
      </c>
      <c r="K254">
        <v>0.70980392156862748</v>
      </c>
      <c r="L254">
        <v>0.78695652173913044</v>
      </c>
      <c r="M254" t="s">
        <v>60</v>
      </c>
      <c r="N254" t="s">
        <v>935</v>
      </c>
      <c r="O254" t="s">
        <v>936</v>
      </c>
      <c r="P254">
        <v>1.5</v>
      </c>
    </row>
    <row r="255" spans="1:16" x14ac:dyDescent="0.3">
      <c r="A255" t="s">
        <v>17</v>
      </c>
      <c r="B255" t="s">
        <v>22</v>
      </c>
      <c r="C255" t="s">
        <v>23</v>
      </c>
      <c r="D255" t="s">
        <v>54</v>
      </c>
      <c r="E255" t="s">
        <v>56</v>
      </c>
      <c r="F255" t="s">
        <v>7</v>
      </c>
      <c r="G255" t="s">
        <v>125</v>
      </c>
      <c r="H255" t="s">
        <v>59</v>
      </c>
      <c r="I255">
        <v>55</v>
      </c>
      <c r="J255">
        <v>0.71308016877637137</v>
      </c>
      <c r="K255">
        <v>0.69262295081967218</v>
      </c>
      <c r="L255">
        <v>0.73478260869565215</v>
      </c>
      <c r="M255" t="s">
        <v>60</v>
      </c>
      <c r="N255" t="s">
        <v>937</v>
      </c>
      <c r="O255" t="s">
        <v>938</v>
      </c>
      <c r="P255">
        <v>1.4</v>
      </c>
    </row>
    <row r="256" spans="1:16" x14ac:dyDescent="0.3">
      <c r="A256" t="s">
        <v>17</v>
      </c>
      <c r="B256" t="s">
        <v>22</v>
      </c>
      <c r="C256" t="s">
        <v>23</v>
      </c>
      <c r="D256" t="s">
        <v>54</v>
      </c>
      <c r="E256" t="s">
        <v>56</v>
      </c>
      <c r="F256" t="s">
        <v>7</v>
      </c>
      <c r="G256" t="s">
        <v>130</v>
      </c>
      <c r="H256" t="s">
        <v>59</v>
      </c>
      <c r="I256">
        <v>56</v>
      </c>
      <c r="J256">
        <v>0.71052631578947378</v>
      </c>
      <c r="K256">
        <v>0.6258278145695364</v>
      </c>
      <c r="L256">
        <v>0.82173913043478264</v>
      </c>
      <c r="M256" t="s">
        <v>60</v>
      </c>
      <c r="N256" t="s">
        <v>939</v>
      </c>
      <c r="O256" t="s">
        <v>940</v>
      </c>
      <c r="P256">
        <v>1.4</v>
      </c>
    </row>
    <row r="257" spans="1:16" x14ac:dyDescent="0.3">
      <c r="A257" t="s">
        <v>17</v>
      </c>
      <c r="B257" t="s">
        <v>22</v>
      </c>
      <c r="C257" t="s">
        <v>23</v>
      </c>
      <c r="D257" t="s">
        <v>54</v>
      </c>
      <c r="E257" t="s">
        <v>56</v>
      </c>
      <c r="F257" t="s">
        <v>7</v>
      </c>
      <c r="G257" t="s">
        <v>135</v>
      </c>
      <c r="H257" t="s">
        <v>59</v>
      </c>
      <c r="I257">
        <v>57</v>
      </c>
      <c r="J257">
        <v>0.78189300411522633</v>
      </c>
      <c r="K257">
        <v>0.7421875</v>
      </c>
      <c r="L257">
        <v>0.82608695652173914</v>
      </c>
      <c r="M257" t="s">
        <v>60</v>
      </c>
      <c r="N257" t="s">
        <v>941</v>
      </c>
      <c r="O257" t="s">
        <v>942</v>
      </c>
      <c r="P257">
        <v>2</v>
      </c>
    </row>
    <row r="258" spans="1:16" x14ac:dyDescent="0.3">
      <c r="A258" t="s">
        <v>17</v>
      </c>
      <c r="B258" t="s">
        <v>22</v>
      </c>
      <c r="C258" t="s">
        <v>23</v>
      </c>
      <c r="D258" t="s">
        <v>54</v>
      </c>
      <c r="E258" t="s">
        <v>56</v>
      </c>
      <c r="F258" t="s">
        <v>7</v>
      </c>
      <c r="G258" t="s">
        <v>140</v>
      </c>
      <c r="H258" t="s">
        <v>59</v>
      </c>
      <c r="I258">
        <v>58</v>
      </c>
      <c r="J258">
        <v>0.7777777777777779</v>
      </c>
      <c r="K258">
        <v>0.73828125</v>
      </c>
      <c r="L258">
        <v>0.82173913043478264</v>
      </c>
      <c r="M258" t="s">
        <v>60</v>
      </c>
      <c r="N258" t="s">
        <v>943</v>
      </c>
      <c r="O258" t="s">
        <v>944</v>
      </c>
      <c r="P258">
        <v>1.4</v>
      </c>
    </row>
    <row r="259" spans="1:16" x14ac:dyDescent="0.3">
      <c r="A259" t="s">
        <v>17</v>
      </c>
      <c r="B259" t="s">
        <v>22</v>
      </c>
      <c r="C259" t="s">
        <v>23</v>
      </c>
      <c r="D259" t="s">
        <v>54</v>
      </c>
      <c r="E259" t="s">
        <v>56</v>
      </c>
      <c r="F259" t="s">
        <v>7</v>
      </c>
      <c r="G259" t="s">
        <v>145</v>
      </c>
      <c r="H259" t="s">
        <v>59</v>
      </c>
      <c r="I259">
        <v>59</v>
      </c>
      <c r="J259">
        <v>0.77018633540372661</v>
      </c>
      <c r="K259">
        <v>0.7351778656126482</v>
      </c>
      <c r="L259">
        <v>0.80869565217391304</v>
      </c>
      <c r="M259" t="s">
        <v>60</v>
      </c>
      <c r="N259" t="s">
        <v>945</v>
      </c>
      <c r="O259" t="s">
        <v>946</v>
      </c>
      <c r="P259">
        <v>1.4</v>
      </c>
    </row>
    <row r="260" spans="1:16" x14ac:dyDescent="0.3">
      <c r="A260" t="s">
        <v>17</v>
      </c>
      <c r="B260" t="s">
        <v>22</v>
      </c>
      <c r="C260" t="s">
        <v>23</v>
      </c>
      <c r="D260" t="s">
        <v>54</v>
      </c>
      <c r="E260" t="s">
        <v>56</v>
      </c>
      <c r="F260" t="s">
        <v>7</v>
      </c>
      <c r="G260" t="s">
        <v>150</v>
      </c>
      <c r="H260" t="s">
        <v>59</v>
      </c>
      <c r="I260">
        <v>60</v>
      </c>
      <c r="J260">
        <v>0.70661157024793397</v>
      </c>
      <c r="K260">
        <v>0.67322834645669294</v>
      </c>
      <c r="L260">
        <v>0.74347826086956526</v>
      </c>
      <c r="M260" t="s">
        <v>60</v>
      </c>
      <c r="N260" t="s">
        <v>947</v>
      </c>
      <c r="O260" t="s">
        <v>948</v>
      </c>
      <c r="P260">
        <v>1.4</v>
      </c>
    </row>
    <row r="261" spans="1:16" x14ac:dyDescent="0.3">
      <c r="A261" t="s">
        <v>17</v>
      </c>
      <c r="B261" t="s">
        <v>22</v>
      </c>
      <c r="C261" t="s">
        <v>23</v>
      </c>
      <c r="D261" t="s">
        <v>54</v>
      </c>
      <c r="E261" t="s">
        <v>56</v>
      </c>
      <c r="F261" t="s">
        <v>7</v>
      </c>
      <c r="G261" t="s">
        <v>155</v>
      </c>
      <c r="H261" t="s">
        <v>59</v>
      </c>
      <c r="I261">
        <v>61</v>
      </c>
      <c r="J261">
        <v>0.71933471933471926</v>
      </c>
      <c r="K261">
        <v>0.68924302788844627</v>
      </c>
      <c r="L261">
        <v>0.75217391304347825</v>
      </c>
      <c r="M261" t="s">
        <v>60</v>
      </c>
      <c r="N261" t="s">
        <v>949</v>
      </c>
      <c r="O261" t="s">
        <v>950</v>
      </c>
      <c r="P261">
        <v>1.4</v>
      </c>
    </row>
    <row r="262" spans="1:16" x14ac:dyDescent="0.3">
      <c r="A262" t="s">
        <v>17</v>
      </c>
      <c r="B262" t="s">
        <v>22</v>
      </c>
      <c r="C262" t="s">
        <v>23</v>
      </c>
      <c r="D262" t="s">
        <v>54</v>
      </c>
      <c r="E262" t="s">
        <v>160</v>
      </c>
      <c r="F262" t="s">
        <v>3</v>
      </c>
      <c r="G262" t="s">
        <v>161</v>
      </c>
      <c r="H262" t="s">
        <v>163</v>
      </c>
      <c r="I262">
        <v>42</v>
      </c>
      <c r="J262">
        <v>0.71823204419889486</v>
      </c>
      <c r="K262">
        <v>0.67357512953367871</v>
      </c>
      <c r="L262">
        <v>0.76923076923076927</v>
      </c>
      <c r="M262" t="s">
        <v>60</v>
      </c>
      <c r="N262" t="s">
        <v>951</v>
      </c>
      <c r="O262" t="s">
        <v>952</v>
      </c>
      <c r="P262">
        <v>1.3</v>
      </c>
    </row>
    <row r="263" spans="1:16" x14ac:dyDescent="0.3">
      <c r="A263" t="s">
        <v>17</v>
      </c>
      <c r="B263" t="s">
        <v>22</v>
      </c>
      <c r="C263" t="s">
        <v>23</v>
      </c>
      <c r="D263" t="s">
        <v>54</v>
      </c>
      <c r="E263" t="s">
        <v>160</v>
      </c>
      <c r="F263" t="s">
        <v>3</v>
      </c>
      <c r="G263" t="s">
        <v>167</v>
      </c>
      <c r="H263" t="s">
        <v>163</v>
      </c>
      <c r="I263">
        <v>43</v>
      </c>
      <c r="J263">
        <v>0.74193548387096764</v>
      </c>
      <c r="K263">
        <v>0.67980295566502458</v>
      </c>
      <c r="L263">
        <v>0.81656804733727806</v>
      </c>
      <c r="M263" t="s">
        <v>60</v>
      </c>
      <c r="N263" t="s">
        <v>953</v>
      </c>
      <c r="O263" t="s">
        <v>954</v>
      </c>
      <c r="P263">
        <v>1.7</v>
      </c>
    </row>
    <row r="264" spans="1:16" x14ac:dyDescent="0.3">
      <c r="A264" t="s">
        <v>17</v>
      </c>
      <c r="B264" t="s">
        <v>22</v>
      </c>
      <c r="C264" t="s">
        <v>23</v>
      </c>
      <c r="D264" t="s">
        <v>54</v>
      </c>
      <c r="E264" t="s">
        <v>160</v>
      </c>
      <c r="F264" t="s">
        <v>3</v>
      </c>
      <c r="G264" t="s">
        <v>172</v>
      </c>
      <c r="H264" t="s">
        <v>163</v>
      </c>
      <c r="I264">
        <v>44</v>
      </c>
      <c r="J264">
        <v>0.73802816901408441</v>
      </c>
      <c r="K264">
        <v>0.70430107526881724</v>
      </c>
      <c r="L264">
        <v>0.7751479289940828</v>
      </c>
      <c r="M264" t="s">
        <v>60</v>
      </c>
      <c r="N264" t="s">
        <v>955</v>
      </c>
      <c r="O264" t="s">
        <v>956</v>
      </c>
      <c r="P264">
        <v>1.3</v>
      </c>
    </row>
    <row r="265" spans="1:16" x14ac:dyDescent="0.3">
      <c r="A265" t="s">
        <v>17</v>
      </c>
      <c r="B265" t="s">
        <v>22</v>
      </c>
      <c r="C265" t="s">
        <v>23</v>
      </c>
      <c r="D265" t="s">
        <v>54</v>
      </c>
      <c r="E265" t="s">
        <v>160</v>
      </c>
      <c r="F265" t="s">
        <v>3</v>
      </c>
      <c r="G265" t="s">
        <v>177</v>
      </c>
      <c r="H265" t="s">
        <v>163</v>
      </c>
      <c r="I265">
        <v>45</v>
      </c>
      <c r="J265">
        <v>0.74054054054054053</v>
      </c>
      <c r="K265">
        <v>0.68159203980099503</v>
      </c>
      <c r="L265">
        <v>0.81065088757396453</v>
      </c>
      <c r="M265" t="s">
        <v>60</v>
      </c>
      <c r="N265" t="s">
        <v>957</v>
      </c>
      <c r="O265" t="s">
        <v>958</v>
      </c>
      <c r="P265">
        <v>1.3</v>
      </c>
    </row>
    <row r="266" spans="1:16" x14ac:dyDescent="0.3">
      <c r="A266" t="s">
        <v>17</v>
      </c>
      <c r="B266" t="s">
        <v>22</v>
      </c>
      <c r="C266" t="s">
        <v>23</v>
      </c>
      <c r="D266" t="s">
        <v>54</v>
      </c>
      <c r="E266" t="s">
        <v>160</v>
      </c>
      <c r="F266" t="s">
        <v>3</v>
      </c>
      <c r="G266" t="s">
        <v>182</v>
      </c>
      <c r="H266" t="s">
        <v>163</v>
      </c>
      <c r="I266">
        <v>46</v>
      </c>
      <c r="J266">
        <v>0.73854447439353099</v>
      </c>
      <c r="K266">
        <v>0.67821782178217827</v>
      </c>
      <c r="L266">
        <v>0.81065088757396453</v>
      </c>
      <c r="M266" t="s">
        <v>60</v>
      </c>
      <c r="N266" t="s">
        <v>959</v>
      </c>
      <c r="O266" t="s">
        <v>960</v>
      </c>
      <c r="P266">
        <v>1.4</v>
      </c>
    </row>
    <row r="267" spans="1:16" x14ac:dyDescent="0.3">
      <c r="A267" t="s">
        <v>17</v>
      </c>
      <c r="B267" t="s">
        <v>22</v>
      </c>
      <c r="C267" t="s">
        <v>23</v>
      </c>
      <c r="D267" t="s">
        <v>54</v>
      </c>
      <c r="E267" t="s">
        <v>160</v>
      </c>
      <c r="F267" t="s">
        <v>3</v>
      </c>
      <c r="G267" t="s">
        <v>187</v>
      </c>
      <c r="H267" t="s">
        <v>163</v>
      </c>
      <c r="I267">
        <v>47</v>
      </c>
      <c r="J267">
        <v>0.76243093922651928</v>
      </c>
      <c r="K267">
        <v>0.71502590673575128</v>
      </c>
      <c r="L267">
        <v>0.81656804733727806</v>
      </c>
      <c r="M267" t="s">
        <v>60</v>
      </c>
      <c r="N267" t="s">
        <v>961</v>
      </c>
      <c r="O267" t="s">
        <v>962</v>
      </c>
      <c r="P267">
        <v>1.3</v>
      </c>
    </row>
    <row r="268" spans="1:16" x14ac:dyDescent="0.3">
      <c r="A268" t="s">
        <v>17</v>
      </c>
      <c r="B268" t="s">
        <v>22</v>
      </c>
      <c r="C268" t="s">
        <v>23</v>
      </c>
      <c r="D268" t="s">
        <v>54</v>
      </c>
      <c r="E268" t="s">
        <v>160</v>
      </c>
      <c r="F268" t="s">
        <v>3</v>
      </c>
      <c r="G268" t="s">
        <v>192</v>
      </c>
      <c r="H268" t="s">
        <v>163</v>
      </c>
      <c r="I268">
        <v>48</v>
      </c>
      <c r="J268">
        <v>0.69662921348314599</v>
      </c>
      <c r="K268">
        <v>0.66310160427807485</v>
      </c>
      <c r="L268">
        <v>0.73372781065088755</v>
      </c>
      <c r="M268" t="s">
        <v>60</v>
      </c>
      <c r="N268" t="s">
        <v>963</v>
      </c>
      <c r="O268" t="s">
        <v>964</v>
      </c>
      <c r="P268">
        <v>1.3</v>
      </c>
    </row>
    <row r="269" spans="1:16" x14ac:dyDescent="0.3">
      <c r="A269" t="s">
        <v>17</v>
      </c>
      <c r="B269" t="s">
        <v>22</v>
      </c>
      <c r="C269" t="s">
        <v>23</v>
      </c>
      <c r="D269" t="s">
        <v>54</v>
      </c>
      <c r="E269" t="s">
        <v>160</v>
      </c>
      <c r="F269" t="s">
        <v>3</v>
      </c>
      <c r="G269" t="s">
        <v>197</v>
      </c>
      <c r="H269" t="s">
        <v>163</v>
      </c>
      <c r="I269">
        <v>49</v>
      </c>
      <c r="J269">
        <v>0.75900277008310246</v>
      </c>
      <c r="K269">
        <v>0.71354166666666663</v>
      </c>
      <c r="L269">
        <v>0.81065088757396453</v>
      </c>
      <c r="M269" t="s">
        <v>60</v>
      </c>
      <c r="N269" t="s">
        <v>965</v>
      </c>
      <c r="O269" t="s">
        <v>966</v>
      </c>
      <c r="P269">
        <v>1.3</v>
      </c>
    </row>
    <row r="270" spans="1:16" x14ac:dyDescent="0.3">
      <c r="A270" t="s">
        <v>17</v>
      </c>
      <c r="B270" t="s">
        <v>22</v>
      </c>
      <c r="C270" t="s">
        <v>23</v>
      </c>
      <c r="D270" t="s">
        <v>54</v>
      </c>
      <c r="E270" t="s">
        <v>160</v>
      </c>
      <c r="F270" t="s">
        <v>3</v>
      </c>
      <c r="G270" t="s">
        <v>202</v>
      </c>
      <c r="H270" t="s">
        <v>163</v>
      </c>
      <c r="I270">
        <v>50</v>
      </c>
      <c r="J270">
        <v>0.72571428571428576</v>
      </c>
      <c r="K270">
        <v>0.7016574585635359</v>
      </c>
      <c r="L270">
        <v>0.75147928994082835</v>
      </c>
      <c r="M270" t="s">
        <v>60</v>
      </c>
      <c r="N270" t="s">
        <v>967</v>
      </c>
      <c r="O270" t="s">
        <v>968</v>
      </c>
      <c r="P270">
        <v>1.7</v>
      </c>
    </row>
    <row r="271" spans="1:16" x14ac:dyDescent="0.3">
      <c r="A271" t="s">
        <v>17</v>
      </c>
      <c r="B271" t="s">
        <v>22</v>
      </c>
      <c r="C271" t="s">
        <v>23</v>
      </c>
      <c r="D271" t="s">
        <v>54</v>
      </c>
      <c r="E271" t="s">
        <v>160</v>
      </c>
      <c r="F271" t="s">
        <v>3</v>
      </c>
      <c r="G271" t="s">
        <v>207</v>
      </c>
      <c r="H271" t="s">
        <v>163</v>
      </c>
      <c r="I271">
        <v>51</v>
      </c>
      <c r="J271">
        <v>0.70430107526881713</v>
      </c>
      <c r="K271">
        <v>0.64532019704433496</v>
      </c>
      <c r="L271">
        <v>0.7751479289940828</v>
      </c>
      <c r="M271" t="s">
        <v>60</v>
      </c>
      <c r="N271" t="s">
        <v>969</v>
      </c>
      <c r="O271" t="s">
        <v>970</v>
      </c>
      <c r="P271">
        <v>1.3</v>
      </c>
    </row>
    <row r="272" spans="1:16" x14ac:dyDescent="0.3">
      <c r="A272" t="s">
        <v>17</v>
      </c>
      <c r="B272" t="s">
        <v>22</v>
      </c>
      <c r="C272" t="s">
        <v>23</v>
      </c>
      <c r="D272" t="s">
        <v>54</v>
      </c>
      <c r="E272" t="s">
        <v>160</v>
      </c>
      <c r="F272" t="s">
        <v>3</v>
      </c>
      <c r="G272" t="s">
        <v>212</v>
      </c>
      <c r="H272" t="s">
        <v>163</v>
      </c>
      <c r="I272">
        <v>52</v>
      </c>
      <c r="J272">
        <v>0.72776280323450138</v>
      </c>
      <c r="K272">
        <v>0.66831683168316836</v>
      </c>
      <c r="L272">
        <v>0.79881656804733725</v>
      </c>
      <c r="M272" t="s">
        <v>60</v>
      </c>
      <c r="N272" t="s">
        <v>971</v>
      </c>
      <c r="O272" t="s">
        <v>972</v>
      </c>
      <c r="P272">
        <v>1.3</v>
      </c>
    </row>
    <row r="273" spans="1:16" x14ac:dyDescent="0.3">
      <c r="A273" t="s">
        <v>17</v>
      </c>
      <c r="B273" t="s">
        <v>22</v>
      </c>
      <c r="C273" t="s">
        <v>23</v>
      </c>
      <c r="D273" t="s">
        <v>54</v>
      </c>
      <c r="E273" t="s">
        <v>160</v>
      </c>
      <c r="F273" t="s">
        <v>3</v>
      </c>
      <c r="G273" t="s">
        <v>217</v>
      </c>
      <c r="H273" t="s">
        <v>163</v>
      </c>
      <c r="I273">
        <v>53</v>
      </c>
      <c r="J273">
        <v>0.67630057803468213</v>
      </c>
      <c r="K273">
        <v>0.66101694915254239</v>
      </c>
      <c r="L273">
        <v>0.69230769230769229</v>
      </c>
      <c r="M273" t="s">
        <v>60</v>
      </c>
      <c r="N273" t="s">
        <v>973</v>
      </c>
      <c r="O273" t="s">
        <v>974</v>
      </c>
      <c r="P273">
        <v>1.3</v>
      </c>
    </row>
    <row r="274" spans="1:16" x14ac:dyDescent="0.3">
      <c r="A274" t="s">
        <v>17</v>
      </c>
      <c r="B274" t="s">
        <v>22</v>
      </c>
      <c r="C274" t="s">
        <v>23</v>
      </c>
      <c r="D274" t="s">
        <v>54</v>
      </c>
      <c r="E274" t="s">
        <v>160</v>
      </c>
      <c r="F274" t="s">
        <v>3</v>
      </c>
      <c r="G274" t="s">
        <v>222</v>
      </c>
      <c r="H274" t="s">
        <v>163</v>
      </c>
      <c r="I274">
        <v>54</v>
      </c>
      <c r="J274">
        <v>0.75274725274725274</v>
      </c>
      <c r="K274">
        <v>0.70256410256410251</v>
      </c>
      <c r="L274">
        <v>0.81065088757396453</v>
      </c>
      <c r="M274" t="s">
        <v>60</v>
      </c>
      <c r="N274" t="s">
        <v>975</v>
      </c>
      <c r="O274" t="s">
        <v>976</v>
      </c>
      <c r="P274">
        <v>1.3</v>
      </c>
    </row>
    <row r="275" spans="1:16" x14ac:dyDescent="0.3">
      <c r="A275" t="s">
        <v>17</v>
      </c>
      <c r="B275" t="s">
        <v>22</v>
      </c>
      <c r="C275" t="s">
        <v>23</v>
      </c>
      <c r="D275" t="s">
        <v>54</v>
      </c>
      <c r="E275" t="s">
        <v>160</v>
      </c>
      <c r="F275" t="s">
        <v>3</v>
      </c>
      <c r="G275" t="s">
        <v>227</v>
      </c>
      <c r="H275" t="s">
        <v>163</v>
      </c>
      <c r="I275">
        <v>55</v>
      </c>
      <c r="J275">
        <v>0.67759562841530063</v>
      </c>
      <c r="K275">
        <v>0.62944162436548223</v>
      </c>
      <c r="L275">
        <v>0.73372781065088755</v>
      </c>
      <c r="M275" t="s">
        <v>60</v>
      </c>
      <c r="N275" t="s">
        <v>977</v>
      </c>
      <c r="O275" t="s">
        <v>978</v>
      </c>
      <c r="P275">
        <v>1.3</v>
      </c>
    </row>
    <row r="276" spans="1:16" x14ac:dyDescent="0.3">
      <c r="A276" t="s">
        <v>17</v>
      </c>
      <c r="B276" t="s">
        <v>22</v>
      </c>
      <c r="C276" t="s">
        <v>23</v>
      </c>
      <c r="D276" t="s">
        <v>54</v>
      </c>
      <c r="E276" t="s">
        <v>160</v>
      </c>
      <c r="F276" t="s">
        <v>3</v>
      </c>
      <c r="G276" t="s">
        <v>232</v>
      </c>
      <c r="H276" t="s">
        <v>163</v>
      </c>
      <c r="I276">
        <v>56</v>
      </c>
      <c r="J276">
        <v>0.74853801169590639</v>
      </c>
      <c r="K276">
        <v>0.73988439306358378</v>
      </c>
      <c r="L276">
        <v>0.75739644970414199</v>
      </c>
      <c r="M276" t="s">
        <v>60</v>
      </c>
      <c r="N276" t="s">
        <v>979</v>
      </c>
      <c r="O276" t="s">
        <v>980</v>
      </c>
      <c r="P276">
        <v>1.3</v>
      </c>
    </row>
    <row r="277" spans="1:16" x14ac:dyDescent="0.3">
      <c r="A277" t="s">
        <v>17</v>
      </c>
      <c r="B277" t="s">
        <v>22</v>
      </c>
      <c r="C277" t="s">
        <v>23</v>
      </c>
      <c r="D277" t="s">
        <v>54</v>
      </c>
      <c r="E277" t="s">
        <v>160</v>
      </c>
      <c r="F277" t="s">
        <v>3</v>
      </c>
      <c r="G277" t="s">
        <v>237</v>
      </c>
      <c r="H277" t="s">
        <v>163</v>
      </c>
      <c r="I277">
        <v>57</v>
      </c>
      <c r="J277">
        <v>0.78212290502793291</v>
      </c>
      <c r="K277">
        <v>0.7407407407407407</v>
      </c>
      <c r="L277">
        <v>0.82840236686390534</v>
      </c>
      <c r="M277" t="s">
        <v>60</v>
      </c>
      <c r="N277" t="s">
        <v>981</v>
      </c>
      <c r="O277" t="s">
        <v>982</v>
      </c>
      <c r="P277">
        <v>1.6</v>
      </c>
    </row>
    <row r="278" spans="1:16" x14ac:dyDescent="0.3">
      <c r="A278" t="s">
        <v>17</v>
      </c>
      <c r="B278" t="s">
        <v>22</v>
      </c>
      <c r="C278" t="s">
        <v>23</v>
      </c>
      <c r="D278" t="s">
        <v>54</v>
      </c>
      <c r="E278" t="s">
        <v>160</v>
      </c>
      <c r="F278" t="s">
        <v>3</v>
      </c>
      <c r="G278" t="s">
        <v>242</v>
      </c>
      <c r="H278" t="s">
        <v>163</v>
      </c>
      <c r="I278">
        <v>58</v>
      </c>
      <c r="J278">
        <v>0.75824175824175832</v>
      </c>
      <c r="K278">
        <v>0.70769230769230773</v>
      </c>
      <c r="L278">
        <v>0.81656804733727806</v>
      </c>
      <c r="M278" t="s">
        <v>60</v>
      </c>
      <c r="N278" t="s">
        <v>983</v>
      </c>
      <c r="O278" t="s">
        <v>984</v>
      </c>
      <c r="P278">
        <v>1.3</v>
      </c>
    </row>
    <row r="279" spans="1:16" x14ac:dyDescent="0.3">
      <c r="A279" t="s">
        <v>17</v>
      </c>
      <c r="B279" t="s">
        <v>22</v>
      </c>
      <c r="C279" t="s">
        <v>23</v>
      </c>
      <c r="D279" t="s">
        <v>54</v>
      </c>
      <c r="E279" t="s">
        <v>160</v>
      </c>
      <c r="F279" t="s">
        <v>3</v>
      </c>
      <c r="G279" t="s">
        <v>247</v>
      </c>
      <c r="H279" t="s">
        <v>163</v>
      </c>
      <c r="I279">
        <v>59</v>
      </c>
      <c r="J279">
        <v>0.76344086021505375</v>
      </c>
      <c r="K279">
        <v>0.69950738916256161</v>
      </c>
      <c r="L279">
        <v>0.84023668639053251</v>
      </c>
      <c r="M279" t="s">
        <v>60</v>
      </c>
      <c r="N279" t="s">
        <v>985</v>
      </c>
      <c r="O279" t="s">
        <v>986</v>
      </c>
      <c r="P279">
        <v>1.3</v>
      </c>
    </row>
    <row r="280" spans="1:16" x14ac:dyDescent="0.3">
      <c r="A280" t="s">
        <v>17</v>
      </c>
      <c r="B280" t="s">
        <v>22</v>
      </c>
      <c r="C280" t="s">
        <v>23</v>
      </c>
      <c r="D280" t="s">
        <v>54</v>
      </c>
      <c r="E280" t="s">
        <v>160</v>
      </c>
      <c r="F280" t="s">
        <v>3</v>
      </c>
      <c r="G280" t="s">
        <v>252</v>
      </c>
      <c r="H280" t="s">
        <v>163</v>
      </c>
      <c r="I280">
        <v>60</v>
      </c>
      <c r="J280">
        <v>0.7331536388140163</v>
      </c>
      <c r="K280">
        <v>0.67326732673267331</v>
      </c>
      <c r="L280">
        <v>0.80473372781065089</v>
      </c>
      <c r="M280" t="s">
        <v>60</v>
      </c>
      <c r="N280" t="s">
        <v>987</v>
      </c>
      <c r="O280" t="s">
        <v>988</v>
      </c>
      <c r="P280">
        <v>1.5</v>
      </c>
    </row>
    <row r="281" spans="1:16" x14ac:dyDescent="0.3">
      <c r="A281" t="s">
        <v>17</v>
      </c>
      <c r="B281" t="s">
        <v>22</v>
      </c>
      <c r="C281" t="s">
        <v>23</v>
      </c>
      <c r="D281" t="s">
        <v>54</v>
      </c>
      <c r="E281" t="s">
        <v>160</v>
      </c>
      <c r="F281" t="s">
        <v>3</v>
      </c>
      <c r="G281" t="s">
        <v>257</v>
      </c>
      <c r="H281" t="s">
        <v>163</v>
      </c>
      <c r="I281">
        <v>61</v>
      </c>
      <c r="J281">
        <v>0.74351585014409216</v>
      </c>
      <c r="K281">
        <v>0.7247191011235955</v>
      </c>
      <c r="L281">
        <v>0.76331360946745563</v>
      </c>
      <c r="M281" t="s">
        <v>60</v>
      </c>
      <c r="N281" t="s">
        <v>989</v>
      </c>
      <c r="O281" t="s">
        <v>990</v>
      </c>
      <c r="P281">
        <v>1.3</v>
      </c>
    </row>
    <row r="282" spans="1:16" x14ac:dyDescent="0.3">
      <c r="A282" t="s">
        <v>17</v>
      </c>
      <c r="B282" t="s">
        <v>22</v>
      </c>
      <c r="C282" t="s">
        <v>23</v>
      </c>
      <c r="D282" t="s">
        <v>54</v>
      </c>
      <c r="E282" t="s">
        <v>262</v>
      </c>
      <c r="F282" t="s">
        <v>5</v>
      </c>
      <c r="G282" t="s">
        <v>263</v>
      </c>
      <c r="H282" t="s">
        <v>265</v>
      </c>
      <c r="I282">
        <v>42</v>
      </c>
      <c r="J282">
        <v>0.75918367346938764</v>
      </c>
      <c r="K282">
        <v>0.69402985074626866</v>
      </c>
      <c r="L282">
        <v>0.83783783783783783</v>
      </c>
      <c r="M282" t="s">
        <v>60</v>
      </c>
      <c r="N282" t="s">
        <v>991</v>
      </c>
      <c r="O282" t="s">
        <v>992</v>
      </c>
      <c r="P282">
        <v>1.4</v>
      </c>
    </row>
    <row r="283" spans="1:16" x14ac:dyDescent="0.3">
      <c r="A283" t="s">
        <v>17</v>
      </c>
      <c r="B283" t="s">
        <v>22</v>
      </c>
      <c r="C283" t="s">
        <v>23</v>
      </c>
      <c r="D283" t="s">
        <v>54</v>
      </c>
      <c r="E283" t="s">
        <v>262</v>
      </c>
      <c r="F283" t="s">
        <v>5</v>
      </c>
      <c r="G283" t="s">
        <v>269</v>
      </c>
      <c r="H283" t="s">
        <v>265</v>
      </c>
      <c r="I283">
        <v>43</v>
      </c>
      <c r="J283">
        <v>0.79475982532751088</v>
      </c>
      <c r="K283">
        <v>0.77118644067796616</v>
      </c>
      <c r="L283">
        <v>0.81981981981981977</v>
      </c>
      <c r="M283" t="s">
        <v>60</v>
      </c>
      <c r="N283" t="s">
        <v>993</v>
      </c>
      <c r="O283" t="s">
        <v>994</v>
      </c>
      <c r="P283">
        <v>1.7</v>
      </c>
    </row>
    <row r="284" spans="1:16" x14ac:dyDescent="0.3">
      <c r="A284" t="s">
        <v>17</v>
      </c>
      <c r="B284" t="s">
        <v>22</v>
      </c>
      <c r="C284" t="s">
        <v>23</v>
      </c>
      <c r="D284" t="s">
        <v>54</v>
      </c>
      <c r="E284" t="s">
        <v>262</v>
      </c>
      <c r="F284" t="s">
        <v>5</v>
      </c>
      <c r="G284" t="s">
        <v>274</v>
      </c>
      <c r="H284" t="s">
        <v>265</v>
      </c>
      <c r="I284">
        <v>44</v>
      </c>
      <c r="J284">
        <v>0.76521739130434785</v>
      </c>
      <c r="K284">
        <v>0.73949579831932777</v>
      </c>
      <c r="L284">
        <v>0.7927927927927928</v>
      </c>
      <c r="M284" t="s">
        <v>60</v>
      </c>
      <c r="N284" t="s">
        <v>995</v>
      </c>
      <c r="O284" t="s">
        <v>996</v>
      </c>
      <c r="P284">
        <v>1.4</v>
      </c>
    </row>
    <row r="285" spans="1:16" x14ac:dyDescent="0.3">
      <c r="A285" t="s">
        <v>17</v>
      </c>
      <c r="B285" t="s">
        <v>22</v>
      </c>
      <c r="C285" t="s">
        <v>23</v>
      </c>
      <c r="D285" t="s">
        <v>54</v>
      </c>
      <c r="E285" t="s">
        <v>262</v>
      </c>
      <c r="F285" t="s">
        <v>5</v>
      </c>
      <c r="G285" t="s">
        <v>279</v>
      </c>
      <c r="H285" t="s">
        <v>265</v>
      </c>
      <c r="I285">
        <v>45</v>
      </c>
      <c r="J285">
        <v>0.75456389452332673</v>
      </c>
      <c r="K285">
        <v>0.68634686346863472</v>
      </c>
      <c r="L285">
        <v>0.83783783783783783</v>
      </c>
      <c r="M285" t="s">
        <v>60</v>
      </c>
      <c r="N285" t="s">
        <v>997</v>
      </c>
      <c r="O285" t="s">
        <v>998</v>
      </c>
      <c r="P285">
        <v>1.4</v>
      </c>
    </row>
    <row r="286" spans="1:16" x14ac:dyDescent="0.3">
      <c r="A286" t="s">
        <v>17</v>
      </c>
      <c r="B286" t="s">
        <v>22</v>
      </c>
      <c r="C286" t="s">
        <v>23</v>
      </c>
      <c r="D286" t="s">
        <v>54</v>
      </c>
      <c r="E286" t="s">
        <v>262</v>
      </c>
      <c r="F286" t="s">
        <v>5</v>
      </c>
      <c r="G286" t="s">
        <v>284</v>
      </c>
      <c r="H286" t="s">
        <v>265</v>
      </c>
      <c r="I286">
        <v>46</v>
      </c>
      <c r="J286">
        <v>0.70040485829959509</v>
      </c>
      <c r="K286">
        <v>0.63602941176470584</v>
      </c>
      <c r="L286">
        <v>0.77927927927927931</v>
      </c>
      <c r="M286" t="s">
        <v>60</v>
      </c>
      <c r="N286" t="s">
        <v>999</v>
      </c>
      <c r="O286" t="s">
        <v>1000</v>
      </c>
      <c r="P286">
        <v>1.4</v>
      </c>
    </row>
    <row r="287" spans="1:16" x14ac:dyDescent="0.3">
      <c r="A287" t="s">
        <v>17</v>
      </c>
      <c r="B287" t="s">
        <v>22</v>
      </c>
      <c r="C287" t="s">
        <v>23</v>
      </c>
      <c r="D287" t="s">
        <v>54</v>
      </c>
      <c r="E287" t="s">
        <v>262</v>
      </c>
      <c r="F287" t="s">
        <v>5</v>
      </c>
      <c r="G287" t="s">
        <v>289</v>
      </c>
      <c r="H287" t="s">
        <v>265</v>
      </c>
      <c r="I287">
        <v>47</v>
      </c>
      <c r="J287">
        <v>0.75471698113207553</v>
      </c>
      <c r="K287">
        <v>0.70588235294117652</v>
      </c>
      <c r="L287">
        <v>0.81081081081081086</v>
      </c>
      <c r="M287" t="s">
        <v>60</v>
      </c>
      <c r="N287" t="s">
        <v>1001</v>
      </c>
      <c r="O287" t="s">
        <v>1002</v>
      </c>
      <c r="P287">
        <v>1.4</v>
      </c>
    </row>
    <row r="288" spans="1:16" x14ac:dyDescent="0.3">
      <c r="A288" t="s">
        <v>17</v>
      </c>
      <c r="B288" t="s">
        <v>22</v>
      </c>
      <c r="C288" t="s">
        <v>23</v>
      </c>
      <c r="D288" t="s">
        <v>54</v>
      </c>
      <c r="E288" t="s">
        <v>262</v>
      </c>
      <c r="F288" t="s">
        <v>5</v>
      </c>
      <c r="G288" t="s">
        <v>294</v>
      </c>
      <c r="H288" t="s">
        <v>265</v>
      </c>
      <c r="I288">
        <v>48</v>
      </c>
      <c r="J288">
        <v>0.79212253829321666</v>
      </c>
      <c r="K288">
        <v>0.77021276595744681</v>
      </c>
      <c r="L288">
        <v>0.81531531531531531</v>
      </c>
      <c r="M288" t="s">
        <v>60</v>
      </c>
      <c r="N288" t="s">
        <v>1003</v>
      </c>
      <c r="O288" t="s">
        <v>1004</v>
      </c>
      <c r="P288">
        <v>1.4</v>
      </c>
    </row>
    <row r="289" spans="1:16" x14ac:dyDescent="0.3">
      <c r="A289" t="s">
        <v>17</v>
      </c>
      <c r="B289" t="s">
        <v>22</v>
      </c>
      <c r="C289" t="s">
        <v>23</v>
      </c>
      <c r="D289" t="s">
        <v>54</v>
      </c>
      <c r="E289" t="s">
        <v>262</v>
      </c>
      <c r="F289" t="s">
        <v>5</v>
      </c>
      <c r="G289" t="s">
        <v>299</v>
      </c>
      <c r="H289" t="s">
        <v>265</v>
      </c>
      <c r="I289">
        <v>49</v>
      </c>
      <c r="J289">
        <v>0.76483516483516489</v>
      </c>
      <c r="K289">
        <v>0.74678111587982832</v>
      </c>
      <c r="L289">
        <v>0.78378378378378377</v>
      </c>
      <c r="M289" t="s">
        <v>60</v>
      </c>
      <c r="N289" t="s">
        <v>1005</v>
      </c>
      <c r="O289" t="s">
        <v>1006</v>
      </c>
      <c r="P289">
        <v>1.4</v>
      </c>
    </row>
    <row r="290" spans="1:16" x14ac:dyDescent="0.3">
      <c r="A290" t="s">
        <v>17</v>
      </c>
      <c r="B290" t="s">
        <v>22</v>
      </c>
      <c r="C290" t="s">
        <v>23</v>
      </c>
      <c r="D290" t="s">
        <v>54</v>
      </c>
      <c r="E290" t="s">
        <v>262</v>
      </c>
      <c r="F290" t="s">
        <v>5</v>
      </c>
      <c r="G290" t="s">
        <v>304</v>
      </c>
      <c r="H290" t="s">
        <v>265</v>
      </c>
      <c r="I290">
        <v>50</v>
      </c>
      <c r="J290">
        <v>0.77391304347826084</v>
      </c>
      <c r="K290">
        <v>0.74789915966386555</v>
      </c>
      <c r="L290">
        <v>0.80180180180180183</v>
      </c>
      <c r="M290" t="s">
        <v>60</v>
      </c>
      <c r="N290" t="s">
        <v>1007</v>
      </c>
      <c r="O290" t="s">
        <v>1008</v>
      </c>
      <c r="P290">
        <v>1.8</v>
      </c>
    </row>
    <row r="291" spans="1:16" x14ac:dyDescent="0.3">
      <c r="A291" t="s">
        <v>17</v>
      </c>
      <c r="B291" t="s">
        <v>22</v>
      </c>
      <c r="C291" t="s">
        <v>23</v>
      </c>
      <c r="D291" t="s">
        <v>54</v>
      </c>
      <c r="E291" t="s">
        <v>262</v>
      </c>
      <c r="F291" t="s">
        <v>5</v>
      </c>
      <c r="G291" t="s">
        <v>309</v>
      </c>
      <c r="H291" t="s">
        <v>265</v>
      </c>
      <c r="I291">
        <v>51</v>
      </c>
      <c r="J291">
        <v>0.74180327868852458</v>
      </c>
      <c r="K291">
        <v>0.68045112781954886</v>
      </c>
      <c r="L291">
        <v>0.81531531531531531</v>
      </c>
      <c r="M291" t="s">
        <v>60</v>
      </c>
      <c r="N291" t="s">
        <v>1009</v>
      </c>
      <c r="O291" t="s">
        <v>1010</v>
      </c>
      <c r="P291">
        <v>1.4</v>
      </c>
    </row>
    <row r="292" spans="1:16" x14ac:dyDescent="0.3">
      <c r="A292" t="s">
        <v>17</v>
      </c>
      <c r="B292" t="s">
        <v>22</v>
      </c>
      <c r="C292" t="s">
        <v>23</v>
      </c>
      <c r="D292" t="s">
        <v>54</v>
      </c>
      <c r="E292" t="s">
        <v>262</v>
      </c>
      <c r="F292" t="s">
        <v>5</v>
      </c>
      <c r="G292" t="s">
        <v>314</v>
      </c>
      <c r="H292" t="s">
        <v>265</v>
      </c>
      <c r="I292">
        <v>52</v>
      </c>
      <c r="J292">
        <v>0.78458049886621317</v>
      </c>
      <c r="K292">
        <v>0.78995433789954339</v>
      </c>
      <c r="L292">
        <v>0.77927927927927931</v>
      </c>
      <c r="M292" t="s">
        <v>60</v>
      </c>
      <c r="N292" t="s">
        <v>1011</v>
      </c>
      <c r="O292" t="s">
        <v>1012</v>
      </c>
      <c r="P292">
        <v>1.4</v>
      </c>
    </row>
    <row r="293" spans="1:16" x14ac:dyDescent="0.3">
      <c r="A293" t="s">
        <v>17</v>
      </c>
      <c r="B293" t="s">
        <v>22</v>
      </c>
      <c r="C293" t="s">
        <v>23</v>
      </c>
      <c r="D293" t="s">
        <v>54</v>
      </c>
      <c r="E293" t="s">
        <v>262</v>
      </c>
      <c r="F293" t="s">
        <v>5</v>
      </c>
      <c r="G293" t="s">
        <v>319</v>
      </c>
      <c r="H293" t="s">
        <v>265</v>
      </c>
      <c r="I293">
        <v>53</v>
      </c>
      <c r="J293">
        <v>0.75565610859728505</v>
      </c>
      <c r="K293">
        <v>0.75909090909090904</v>
      </c>
      <c r="L293">
        <v>0.75225225225225223</v>
      </c>
      <c r="M293" t="s">
        <v>60</v>
      </c>
      <c r="N293" t="s">
        <v>1013</v>
      </c>
      <c r="O293" t="s">
        <v>1014</v>
      </c>
      <c r="P293">
        <v>1.4</v>
      </c>
    </row>
    <row r="294" spans="1:16" x14ac:dyDescent="0.3">
      <c r="A294" t="s">
        <v>17</v>
      </c>
      <c r="B294" t="s">
        <v>22</v>
      </c>
      <c r="C294" t="s">
        <v>23</v>
      </c>
      <c r="D294" t="s">
        <v>54</v>
      </c>
      <c r="E294" t="s">
        <v>262</v>
      </c>
      <c r="F294" t="s">
        <v>5</v>
      </c>
      <c r="G294" t="s">
        <v>324</v>
      </c>
      <c r="H294" t="s">
        <v>265</v>
      </c>
      <c r="I294">
        <v>54</v>
      </c>
      <c r="J294">
        <v>0.74044265593561365</v>
      </c>
      <c r="K294">
        <v>0.66909090909090907</v>
      </c>
      <c r="L294">
        <v>0.8288288288288288</v>
      </c>
      <c r="M294" t="s">
        <v>60</v>
      </c>
      <c r="N294" t="s">
        <v>1015</v>
      </c>
      <c r="O294" t="s">
        <v>1016</v>
      </c>
      <c r="P294">
        <v>1.5</v>
      </c>
    </row>
    <row r="295" spans="1:16" x14ac:dyDescent="0.3">
      <c r="A295" t="s">
        <v>17</v>
      </c>
      <c r="B295" t="s">
        <v>22</v>
      </c>
      <c r="C295" t="s">
        <v>23</v>
      </c>
      <c r="D295" t="s">
        <v>54</v>
      </c>
      <c r="E295" t="s">
        <v>262</v>
      </c>
      <c r="F295" t="s">
        <v>5</v>
      </c>
      <c r="G295" t="s">
        <v>329</v>
      </c>
      <c r="H295" t="s">
        <v>265</v>
      </c>
      <c r="I295">
        <v>55</v>
      </c>
      <c r="J295">
        <v>0.72801635991820024</v>
      </c>
      <c r="K295">
        <v>0.66666666666666663</v>
      </c>
      <c r="L295">
        <v>0.80180180180180183</v>
      </c>
      <c r="M295" t="s">
        <v>60</v>
      </c>
      <c r="N295" t="s">
        <v>1017</v>
      </c>
      <c r="O295" t="s">
        <v>1018</v>
      </c>
      <c r="P295">
        <v>1.3</v>
      </c>
    </row>
    <row r="296" spans="1:16" x14ac:dyDescent="0.3">
      <c r="A296" t="s">
        <v>17</v>
      </c>
      <c r="B296" t="s">
        <v>22</v>
      </c>
      <c r="C296" t="s">
        <v>23</v>
      </c>
      <c r="D296" t="s">
        <v>54</v>
      </c>
      <c r="E296" t="s">
        <v>262</v>
      </c>
      <c r="F296" t="s">
        <v>5</v>
      </c>
      <c r="G296" t="s">
        <v>334</v>
      </c>
      <c r="H296" t="s">
        <v>265</v>
      </c>
      <c r="I296">
        <v>56</v>
      </c>
      <c r="J296">
        <v>0.76718403547671832</v>
      </c>
      <c r="K296">
        <v>0.75545851528384278</v>
      </c>
      <c r="L296">
        <v>0.77927927927927931</v>
      </c>
      <c r="M296" t="s">
        <v>60</v>
      </c>
      <c r="N296" t="s">
        <v>1019</v>
      </c>
      <c r="O296" t="s">
        <v>1020</v>
      </c>
      <c r="P296">
        <v>1.7</v>
      </c>
    </row>
    <row r="297" spans="1:16" x14ac:dyDescent="0.3">
      <c r="A297" t="s">
        <v>17</v>
      </c>
      <c r="B297" t="s">
        <v>22</v>
      </c>
      <c r="C297" t="s">
        <v>23</v>
      </c>
      <c r="D297" t="s">
        <v>54</v>
      </c>
      <c r="E297" t="s">
        <v>262</v>
      </c>
      <c r="F297" t="s">
        <v>5</v>
      </c>
      <c r="G297" t="s">
        <v>339</v>
      </c>
      <c r="H297" t="s">
        <v>265</v>
      </c>
      <c r="I297">
        <v>57</v>
      </c>
      <c r="J297">
        <v>0.79039301310043675</v>
      </c>
      <c r="K297">
        <v>0.76694915254237284</v>
      </c>
      <c r="L297">
        <v>0.81531531531531531</v>
      </c>
      <c r="M297" t="s">
        <v>60</v>
      </c>
      <c r="N297" t="s">
        <v>1021</v>
      </c>
      <c r="O297" t="s">
        <v>1022</v>
      </c>
      <c r="P297">
        <v>1.4</v>
      </c>
    </row>
    <row r="298" spans="1:16" x14ac:dyDescent="0.3">
      <c r="A298" t="s">
        <v>17</v>
      </c>
      <c r="B298" t="s">
        <v>22</v>
      </c>
      <c r="C298" t="s">
        <v>23</v>
      </c>
      <c r="D298" t="s">
        <v>54</v>
      </c>
      <c r="E298" t="s">
        <v>262</v>
      </c>
      <c r="F298" t="s">
        <v>5</v>
      </c>
      <c r="G298" t="s">
        <v>344</v>
      </c>
      <c r="H298" t="s">
        <v>265</v>
      </c>
      <c r="I298">
        <v>58</v>
      </c>
      <c r="J298">
        <v>0.76169265033407574</v>
      </c>
      <c r="K298">
        <v>0.75330396475770922</v>
      </c>
      <c r="L298">
        <v>0.77027027027027029</v>
      </c>
      <c r="M298" t="s">
        <v>60</v>
      </c>
      <c r="N298" t="s">
        <v>1023</v>
      </c>
      <c r="O298" t="s">
        <v>1024</v>
      </c>
      <c r="P298">
        <v>1.4</v>
      </c>
    </row>
    <row r="299" spans="1:16" x14ac:dyDescent="0.3">
      <c r="A299" t="s">
        <v>17</v>
      </c>
      <c r="B299" t="s">
        <v>22</v>
      </c>
      <c r="C299" t="s">
        <v>23</v>
      </c>
      <c r="D299" t="s">
        <v>54</v>
      </c>
      <c r="E299" t="s">
        <v>262</v>
      </c>
      <c r="F299" t="s">
        <v>5</v>
      </c>
      <c r="G299" t="s">
        <v>349</v>
      </c>
      <c r="H299" t="s">
        <v>265</v>
      </c>
      <c r="I299">
        <v>59</v>
      </c>
      <c r="J299">
        <v>0.78205128205128194</v>
      </c>
      <c r="K299">
        <v>0.74390243902439024</v>
      </c>
      <c r="L299">
        <v>0.82432432432432434</v>
      </c>
      <c r="M299" t="s">
        <v>60</v>
      </c>
      <c r="N299" t="s">
        <v>1025</v>
      </c>
      <c r="O299" t="s">
        <v>1026</v>
      </c>
      <c r="P299">
        <v>1.4</v>
      </c>
    </row>
    <row r="300" spans="1:16" x14ac:dyDescent="0.3">
      <c r="A300" t="s">
        <v>17</v>
      </c>
      <c r="B300" t="s">
        <v>22</v>
      </c>
      <c r="C300" t="s">
        <v>23</v>
      </c>
      <c r="D300" t="s">
        <v>54</v>
      </c>
      <c r="E300" t="s">
        <v>262</v>
      </c>
      <c r="F300" t="s">
        <v>5</v>
      </c>
      <c r="G300" t="s">
        <v>354</v>
      </c>
      <c r="H300" t="s">
        <v>265</v>
      </c>
      <c r="I300">
        <v>60</v>
      </c>
      <c r="J300">
        <v>0.79295154185022021</v>
      </c>
      <c r="K300">
        <v>0.77586206896551724</v>
      </c>
      <c r="L300">
        <v>0.81081081081081086</v>
      </c>
      <c r="M300" t="s">
        <v>60</v>
      </c>
      <c r="N300" t="s">
        <v>1027</v>
      </c>
      <c r="O300" t="s">
        <v>1028</v>
      </c>
      <c r="P300">
        <v>1.4</v>
      </c>
    </row>
    <row r="301" spans="1:16" x14ac:dyDescent="0.3">
      <c r="A301" t="s">
        <v>17</v>
      </c>
      <c r="B301" t="s">
        <v>22</v>
      </c>
      <c r="C301" t="s">
        <v>23</v>
      </c>
      <c r="D301" t="s">
        <v>54</v>
      </c>
      <c r="E301" t="s">
        <v>262</v>
      </c>
      <c r="F301" t="s">
        <v>5</v>
      </c>
      <c r="G301" t="s">
        <v>359</v>
      </c>
      <c r="H301" t="s">
        <v>265</v>
      </c>
      <c r="I301">
        <v>61</v>
      </c>
      <c r="J301">
        <v>0.7746170678336981</v>
      </c>
      <c r="K301">
        <v>0.7531914893617021</v>
      </c>
      <c r="L301">
        <v>0.79729729729729726</v>
      </c>
      <c r="M301" t="s">
        <v>60</v>
      </c>
      <c r="N301" t="s">
        <v>1029</v>
      </c>
      <c r="O301" t="s">
        <v>1030</v>
      </c>
      <c r="P301">
        <v>1.4</v>
      </c>
    </row>
    <row r="302" spans="1:16" x14ac:dyDescent="0.3">
      <c r="A302" t="s">
        <v>17</v>
      </c>
      <c r="B302" t="s">
        <v>22</v>
      </c>
      <c r="C302" t="s">
        <v>23</v>
      </c>
      <c r="D302" t="s">
        <v>363</v>
      </c>
      <c r="E302" t="s">
        <v>365</v>
      </c>
      <c r="F302" t="s">
        <v>13</v>
      </c>
      <c r="G302" t="s">
        <v>366</v>
      </c>
      <c r="H302" t="s">
        <v>368</v>
      </c>
      <c r="I302">
        <v>42</v>
      </c>
      <c r="J302">
        <v>0.79915433403805503</v>
      </c>
      <c r="K302">
        <v>0.77777777777777779</v>
      </c>
      <c r="L302">
        <v>0.82173913043478264</v>
      </c>
      <c r="M302" t="s">
        <v>60</v>
      </c>
      <c r="N302" t="s">
        <v>1031</v>
      </c>
      <c r="O302" t="s">
        <v>1032</v>
      </c>
      <c r="P302">
        <v>1.8</v>
      </c>
    </row>
    <row r="303" spans="1:16" x14ac:dyDescent="0.3">
      <c r="A303" t="s">
        <v>17</v>
      </c>
      <c r="B303" t="s">
        <v>22</v>
      </c>
      <c r="C303" t="s">
        <v>23</v>
      </c>
      <c r="D303" t="s">
        <v>363</v>
      </c>
      <c r="E303" t="s">
        <v>365</v>
      </c>
      <c r="F303" t="s">
        <v>13</v>
      </c>
      <c r="G303" t="s">
        <v>372</v>
      </c>
      <c r="H303" t="s">
        <v>368</v>
      </c>
      <c r="I303">
        <v>43</v>
      </c>
      <c r="J303">
        <v>0.79587628865979387</v>
      </c>
      <c r="K303">
        <v>0.75686274509803919</v>
      </c>
      <c r="L303">
        <v>0.83913043478260874</v>
      </c>
      <c r="M303" t="s">
        <v>60</v>
      </c>
      <c r="N303" t="s">
        <v>1033</v>
      </c>
      <c r="O303" t="s">
        <v>1034</v>
      </c>
      <c r="P303">
        <v>1.4</v>
      </c>
    </row>
    <row r="304" spans="1:16" x14ac:dyDescent="0.3">
      <c r="A304" t="s">
        <v>17</v>
      </c>
      <c r="B304" t="s">
        <v>22</v>
      </c>
      <c r="C304" t="s">
        <v>23</v>
      </c>
      <c r="D304" t="s">
        <v>363</v>
      </c>
      <c r="E304" t="s">
        <v>365</v>
      </c>
      <c r="F304" t="s">
        <v>13</v>
      </c>
      <c r="G304" t="s">
        <v>377</v>
      </c>
      <c r="H304" t="s">
        <v>368</v>
      </c>
      <c r="I304">
        <v>44</v>
      </c>
      <c r="J304">
        <v>0.78936605316973429</v>
      </c>
      <c r="K304">
        <v>0.74517374517374513</v>
      </c>
      <c r="L304">
        <v>0.83913043478260874</v>
      </c>
      <c r="M304" t="s">
        <v>60</v>
      </c>
      <c r="N304" t="s">
        <v>1035</v>
      </c>
      <c r="O304" t="s">
        <v>1036</v>
      </c>
      <c r="P304">
        <v>1.4</v>
      </c>
    </row>
    <row r="305" spans="1:16" x14ac:dyDescent="0.3">
      <c r="A305" t="s">
        <v>17</v>
      </c>
      <c r="B305" t="s">
        <v>22</v>
      </c>
      <c r="C305" t="s">
        <v>23</v>
      </c>
      <c r="D305" t="s">
        <v>363</v>
      </c>
      <c r="E305" t="s">
        <v>365</v>
      </c>
      <c r="F305" t="s">
        <v>13</v>
      </c>
      <c r="G305" t="s">
        <v>382</v>
      </c>
      <c r="H305" t="s">
        <v>368</v>
      </c>
      <c r="I305">
        <v>45</v>
      </c>
      <c r="J305">
        <v>0.79175257731958748</v>
      </c>
      <c r="K305">
        <v>0.75294117647058822</v>
      </c>
      <c r="L305">
        <v>0.83478260869565213</v>
      </c>
      <c r="M305" t="s">
        <v>60</v>
      </c>
      <c r="N305" t="s">
        <v>1037</v>
      </c>
      <c r="O305" t="s">
        <v>1038</v>
      </c>
      <c r="P305">
        <v>1.4</v>
      </c>
    </row>
    <row r="306" spans="1:16" x14ac:dyDescent="0.3">
      <c r="A306" t="s">
        <v>17</v>
      </c>
      <c r="B306" t="s">
        <v>22</v>
      </c>
      <c r="C306" t="s">
        <v>23</v>
      </c>
      <c r="D306" t="s">
        <v>363</v>
      </c>
      <c r="E306" t="s">
        <v>365</v>
      </c>
      <c r="F306" t="s">
        <v>13</v>
      </c>
      <c r="G306" t="s">
        <v>387</v>
      </c>
      <c r="H306" t="s">
        <v>368</v>
      </c>
      <c r="I306">
        <v>46</v>
      </c>
      <c r="J306">
        <v>0.77894736842105261</v>
      </c>
      <c r="K306">
        <v>0.75510204081632648</v>
      </c>
      <c r="L306">
        <v>0.80434782608695654</v>
      </c>
      <c r="M306" t="s">
        <v>60</v>
      </c>
      <c r="N306" t="s">
        <v>1039</v>
      </c>
      <c r="O306" t="s">
        <v>1040</v>
      </c>
      <c r="P306">
        <v>1.3</v>
      </c>
    </row>
    <row r="307" spans="1:16" x14ac:dyDescent="0.3">
      <c r="A307" t="s">
        <v>17</v>
      </c>
      <c r="B307" t="s">
        <v>22</v>
      </c>
      <c r="C307" t="s">
        <v>23</v>
      </c>
      <c r="D307" t="s">
        <v>363</v>
      </c>
      <c r="E307" t="s">
        <v>365</v>
      </c>
      <c r="F307" t="s">
        <v>13</v>
      </c>
      <c r="G307" t="s">
        <v>392</v>
      </c>
      <c r="H307" t="s">
        <v>368</v>
      </c>
      <c r="I307">
        <v>47</v>
      </c>
      <c r="J307">
        <v>0.7975460122699386</v>
      </c>
      <c r="K307">
        <v>0.75289575289575295</v>
      </c>
      <c r="L307">
        <v>0.84782608695652173</v>
      </c>
      <c r="M307" t="s">
        <v>60</v>
      </c>
      <c r="N307" t="s">
        <v>1041</v>
      </c>
      <c r="O307" t="s">
        <v>1042</v>
      </c>
      <c r="P307">
        <v>1.4</v>
      </c>
    </row>
    <row r="308" spans="1:16" x14ac:dyDescent="0.3">
      <c r="A308" t="s">
        <v>17</v>
      </c>
      <c r="B308" t="s">
        <v>22</v>
      </c>
      <c r="C308" t="s">
        <v>23</v>
      </c>
      <c r="D308" t="s">
        <v>363</v>
      </c>
      <c r="E308" t="s">
        <v>365</v>
      </c>
      <c r="F308" t="s">
        <v>13</v>
      </c>
      <c r="G308" t="s">
        <v>397</v>
      </c>
      <c r="H308" t="s">
        <v>368</v>
      </c>
      <c r="I308">
        <v>48</v>
      </c>
      <c r="J308">
        <v>0.8008048289738432</v>
      </c>
      <c r="K308">
        <v>0.74531835205992514</v>
      </c>
      <c r="L308">
        <v>0.86521739130434783</v>
      </c>
      <c r="M308" t="s">
        <v>60</v>
      </c>
      <c r="N308" t="s">
        <v>1043</v>
      </c>
      <c r="O308" t="s">
        <v>1044</v>
      </c>
      <c r="P308">
        <v>1.4</v>
      </c>
    </row>
    <row r="309" spans="1:16" x14ac:dyDescent="0.3">
      <c r="A309" t="s">
        <v>17</v>
      </c>
      <c r="B309" t="s">
        <v>22</v>
      </c>
      <c r="C309" t="s">
        <v>23</v>
      </c>
      <c r="D309" t="s">
        <v>363</v>
      </c>
      <c r="E309" t="s">
        <v>365</v>
      </c>
      <c r="F309" t="s">
        <v>13</v>
      </c>
      <c r="G309" t="s">
        <v>402</v>
      </c>
      <c r="H309" t="s">
        <v>368</v>
      </c>
      <c r="I309">
        <v>49</v>
      </c>
      <c r="J309">
        <v>0.77300613496932513</v>
      </c>
      <c r="K309">
        <v>0.72972972972972971</v>
      </c>
      <c r="L309">
        <v>0.82173913043478264</v>
      </c>
      <c r="M309" t="s">
        <v>60</v>
      </c>
      <c r="N309" t="s">
        <v>1045</v>
      </c>
      <c r="O309" t="s">
        <v>1046</v>
      </c>
      <c r="P309">
        <v>1.9</v>
      </c>
    </row>
    <row r="310" spans="1:16" x14ac:dyDescent="0.3">
      <c r="A310" t="s">
        <v>17</v>
      </c>
      <c r="B310" t="s">
        <v>22</v>
      </c>
      <c r="C310" t="s">
        <v>23</v>
      </c>
      <c r="D310" t="s">
        <v>363</v>
      </c>
      <c r="E310" t="s">
        <v>365</v>
      </c>
      <c r="F310" t="s">
        <v>13</v>
      </c>
      <c r="G310" t="s">
        <v>407</v>
      </c>
      <c r="H310" t="s">
        <v>368</v>
      </c>
      <c r="I310">
        <v>50</v>
      </c>
      <c r="J310">
        <v>0.79183673469387761</v>
      </c>
      <c r="K310">
        <v>0.74615384615384617</v>
      </c>
      <c r="L310">
        <v>0.84347826086956523</v>
      </c>
      <c r="M310" t="s">
        <v>60</v>
      </c>
      <c r="N310" t="s">
        <v>1047</v>
      </c>
      <c r="O310" t="s">
        <v>1048</v>
      </c>
      <c r="P310">
        <v>1.4</v>
      </c>
    </row>
    <row r="311" spans="1:16" x14ac:dyDescent="0.3">
      <c r="A311" t="s">
        <v>17</v>
      </c>
      <c r="B311" t="s">
        <v>22</v>
      </c>
      <c r="C311" t="s">
        <v>23</v>
      </c>
      <c r="D311" t="s">
        <v>363</v>
      </c>
      <c r="E311" t="s">
        <v>365</v>
      </c>
      <c r="F311" t="s">
        <v>13</v>
      </c>
      <c r="G311" t="s">
        <v>412</v>
      </c>
      <c r="H311" t="s">
        <v>368</v>
      </c>
      <c r="I311">
        <v>51</v>
      </c>
      <c r="J311">
        <v>0.78439425051334699</v>
      </c>
      <c r="K311">
        <v>0.74319066147859925</v>
      </c>
      <c r="L311">
        <v>0.83043478260869563</v>
      </c>
      <c r="M311" t="s">
        <v>60</v>
      </c>
      <c r="N311" t="s">
        <v>1049</v>
      </c>
      <c r="O311" t="s">
        <v>1050</v>
      </c>
      <c r="P311">
        <v>1.5</v>
      </c>
    </row>
    <row r="312" spans="1:16" x14ac:dyDescent="0.3">
      <c r="A312" t="s">
        <v>17</v>
      </c>
      <c r="B312" t="s">
        <v>22</v>
      </c>
      <c r="C312" t="s">
        <v>23</v>
      </c>
      <c r="D312" t="s">
        <v>363</v>
      </c>
      <c r="E312" t="s">
        <v>365</v>
      </c>
      <c r="F312" t="s">
        <v>13</v>
      </c>
      <c r="G312" t="s">
        <v>417</v>
      </c>
      <c r="H312" t="s">
        <v>368</v>
      </c>
      <c r="I312">
        <v>52</v>
      </c>
      <c r="J312">
        <v>0.79002079002079006</v>
      </c>
      <c r="K312">
        <v>0.75697211155378485</v>
      </c>
      <c r="L312">
        <v>0.82608695652173914</v>
      </c>
      <c r="M312" t="s">
        <v>60</v>
      </c>
      <c r="N312" t="s">
        <v>1051</v>
      </c>
      <c r="O312" t="s">
        <v>1052</v>
      </c>
      <c r="P312">
        <v>1.4</v>
      </c>
    </row>
    <row r="313" spans="1:16" x14ac:dyDescent="0.3">
      <c r="A313" t="s">
        <v>17</v>
      </c>
      <c r="B313" t="s">
        <v>22</v>
      </c>
      <c r="C313" t="s">
        <v>23</v>
      </c>
      <c r="D313" t="s">
        <v>363</v>
      </c>
      <c r="E313" t="s">
        <v>365</v>
      </c>
      <c r="F313" t="s">
        <v>13</v>
      </c>
      <c r="G313" t="s">
        <v>422</v>
      </c>
      <c r="H313" t="s">
        <v>368</v>
      </c>
      <c r="I313">
        <v>53</v>
      </c>
      <c r="J313">
        <v>0.79032258064516114</v>
      </c>
      <c r="K313">
        <v>0.73684210526315785</v>
      </c>
      <c r="L313">
        <v>0.85217391304347823</v>
      </c>
      <c r="M313" t="s">
        <v>60</v>
      </c>
      <c r="N313" t="s">
        <v>1053</v>
      </c>
      <c r="O313" t="s">
        <v>1054</v>
      </c>
      <c r="P313">
        <v>1.4</v>
      </c>
    </row>
    <row r="314" spans="1:16" x14ac:dyDescent="0.3">
      <c r="A314" t="s">
        <v>17</v>
      </c>
      <c r="B314" t="s">
        <v>22</v>
      </c>
      <c r="C314" t="s">
        <v>23</v>
      </c>
      <c r="D314" t="s">
        <v>363</v>
      </c>
      <c r="E314" t="s">
        <v>365</v>
      </c>
      <c r="F314" t="s">
        <v>13</v>
      </c>
      <c r="G314" t="s">
        <v>427</v>
      </c>
      <c r="H314" t="s">
        <v>368</v>
      </c>
      <c r="I314">
        <v>54</v>
      </c>
      <c r="J314">
        <v>0.80487804878048785</v>
      </c>
      <c r="K314">
        <v>0.75572519083969469</v>
      </c>
      <c r="L314">
        <v>0.86086956521739133</v>
      </c>
      <c r="M314" t="s">
        <v>60</v>
      </c>
      <c r="N314" t="s">
        <v>1055</v>
      </c>
      <c r="O314" t="s">
        <v>1056</v>
      </c>
      <c r="P314">
        <v>1.4</v>
      </c>
    </row>
    <row r="315" spans="1:16" x14ac:dyDescent="0.3">
      <c r="A315" t="s">
        <v>17</v>
      </c>
      <c r="B315" t="s">
        <v>22</v>
      </c>
      <c r="C315" t="s">
        <v>23</v>
      </c>
      <c r="D315" t="s">
        <v>363</v>
      </c>
      <c r="E315" t="s">
        <v>365</v>
      </c>
      <c r="F315" t="s">
        <v>13</v>
      </c>
      <c r="G315" t="s">
        <v>432</v>
      </c>
      <c r="H315" t="s">
        <v>368</v>
      </c>
      <c r="I315">
        <v>55</v>
      </c>
      <c r="J315">
        <v>0.76543209876543217</v>
      </c>
      <c r="K315">
        <v>0.7265625</v>
      </c>
      <c r="L315">
        <v>0.80869565217391304</v>
      </c>
      <c r="M315" t="s">
        <v>60</v>
      </c>
      <c r="N315" t="s">
        <v>1057</v>
      </c>
      <c r="O315" t="s">
        <v>1058</v>
      </c>
      <c r="P315">
        <v>1.4</v>
      </c>
    </row>
    <row r="316" spans="1:16" x14ac:dyDescent="0.3">
      <c r="A316" t="s">
        <v>17</v>
      </c>
      <c r="B316" t="s">
        <v>22</v>
      </c>
      <c r="C316" t="s">
        <v>23</v>
      </c>
      <c r="D316" t="s">
        <v>363</v>
      </c>
      <c r="E316" t="s">
        <v>365</v>
      </c>
      <c r="F316" t="s">
        <v>13</v>
      </c>
      <c r="G316" t="s">
        <v>437</v>
      </c>
      <c r="H316" t="s">
        <v>368</v>
      </c>
      <c r="I316">
        <v>56</v>
      </c>
      <c r="J316">
        <v>0.7975460122699386</v>
      </c>
      <c r="K316">
        <v>0.75289575289575295</v>
      </c>
      <c r="L316">
        <v>0.84782608695652173</v>
      </c>
      <c r="M316" t="s">
        <v>60</v>
      </c>
      <c r="N316" t="s">
        <v>1059</v>
      </c>
      <c r="O316" t="s">
        <v>1060</v>
      </c>
      <c r="P316">
        <v>1.8</v>
      </c>
    </row>
    <row r="317" spans="1:16" x14ac:dyDescent="0.3">
      <c r="A317" t="s">
        <v>17</v>
      </c>
      <c r="B317" t="s">
        <v>22</v>
      </c>
      <c r="C317" t="s">
        <v>23</v>
      </c>
      <c r="D317" t="s">
        <v>363</v>
      </c>
      <c r="E317" t="s">
        <v>365</v>
      </c>
      <c r="F317" t="s">
        <v>13</v>
      </c>
      <c r="G317" t="s">
        <v>442</v>
      </c>
      <c r="H317" t="s">
        <v>368</v>
      </c>
      <c r="I317">
        <v>57</v>
      </c>
      <c r="J317">
        <v>0.80327868852459017</v>
      </c>
      <c r="K317">
        <v>0.75968992248062017</v>
      </c>
      <c r="L317">
        <v>0.85217391304347823</v>
      </c>
      <c r="M317" t="s">
        <v>60</v>
      </c>
      <c r="N317" t="s">
        <v>1061</v>
      </c>
      <c r="O317" t="s">
        <v>1062</v>
      </c>
      <c r="P317">
        <v>1.4</v>
      </c>
    </row>
    <row r="318" spans="1:16" x14ac:dyDescent="0.3">
      <c r="A318" t="s">
        <v>17</v>
      </c>
      <c r="B318" t="s">
        <v>22</v>
      </c>
      <c r="C318" t="s">
        <v>23</v>
      </c>
      <c r="D318" t="s">
        <v>363</v>
      </c>
      <c r="E318" t="s">
        <v>365</v>
      </c>
      <c r="F318" t="s">
        <v>13</v>
      </c>
      <c r="G318" t="s">
        <v>447</v>
      </c>
      <c r="H318" t="s">
        <v>368</v>
      </c>
      <c r="I318">
        <v>58</v>
      </c>
      <c r="J318">
        <v>0.76954732510288071</v>
      </c>
      <c r="K318">
        <v>0.73046875</v>
      </c>
      <c r="L318">
        <v>0.81304347826086953</v>
      </c>
      <c r="M318" t="s">
        <v>60</v>
      </c>
      <c r="N318" t="s">
        <v>1063</v>
      </c>
      <c r="O318" t="s">
        <v>1064</v>
      </c>
      <c r="P318">
        <v>1.4</v>
      </c>
    </row>
    <row r="319" spans="1:16" x14ac:dyDescent="0.3">
      <c r="A319" t="s">
        <v>17</v>
      </c>
      <c r="B319" t="s">
        <v>22</v>
      </c>
      <c r="C319" t="s">
        <v>23</v>
      </c>
      <c r="D319" t="s">
        <v>363</v>
      </c>
      <c r="E319" t="s">
        <v>365</v>
      </c>
      <c r="F319" t="s">
        <v>13</v>
      </c>
      <c r="G319" t="s">
        <v>452</v>
      </c>
      <c r="H319" t="s">
        <v>368</v>
      </c>
      <c r="I319">
        <v>59</v>
      </c>
      <c r="J319">
        <v>0.80083857442348005</v>
      </c>
      <c r="K319">
        <v>0.77327935222672062</v>
      </c>
      <c r="L319">
        <v>0.83043478260869563</v>
      </c>
      <c r="M319" t="s">
        <v>60</v>
      </c>
      <c r="N319" t="s">
        <v>1065</v>
      </c>
      <c r="O319" t="s">
        <v>1066</v>
      </c>
      <c r="P319">
        <v>1.4</v>
      </c>
    </row>
    <row r="320" spans="1:16" x14ac:dyDescent="0.3">
      <c r="A320" t="s">
        <v>17</v>
      </c>
      <c r="B320" t="s">
        <v>22</v>
      </c>
      <c r="C320" t="s">
        <v>23</v>
      </c>
      <c r="D320" t="s">
        <v>363</v>
      </c>
      <c r="E320" t="s">
        <v>365</v>
      </c>
      <c r="F320" t="s">
        <v>13</v>
      </c>
      <c r="G320" t="s">
        <v>457</v>
      </c>
      <c r="H320" t="s">
        <v>368</v>
      </c>
      <c r="I320">
        <v>60</v>
      </c>
      <c r="J320">
        <v>0.78762886597938142</v>
      </c>
      <c r="K320">
        <v>0.74901960784313726</v>
      </c>
      <c r="L320">
        <v>0.83043478260869563</v>
      </c>
      <c r="M320" t="s">
        <v>60</v>
      </c>
      <c r="N320" t="s">
        <v>1067</v>
      </c>
      <c r="O320" t="s">
        <v>1068</v>
      </c>
      <c r="P320">
        <v>1.4</v>
      </c>
    </row>
    <row r="321" spans="1:16" x14ac:dyDescent="0.3">
      <c r="A321" t="s">
        <v>17</v>
      </c>
      <c r="B321" t="s">
        <v>22</v>
      </c>
      <c r="C321" t="s">
        <v>23</v>
      </c>
      <c r="D321" t="s">
        <v>363</v>
      </c>
      <c r="E321" t="s">
        <v>365</v>
      </c>
      <c r="F321" t="s">
        <v>13</v>
      </c>
      <c r="G321" t="s">
        <v>462</v>
      </c>
      <c r="H321" t="s">
        <v>368</v>
      </c>
      <c r="I321">
        <v>61</v>
      </c>
      <c r="J321">
        <v>0.78688524590163933</v>
      </c>
      <c r="K321">
        <v>0.7441860465116279</v>
      </c>
      <c r="L321">
        <v>0.83478260869565213</v>
      </c>
      <c r="M321" t="s">
        <v>60</v>
      </c>
      <c r="N321" t="s">
        <v>1069</v>
      </c>
      <c r="O321" t="s">
        <v>1070</v>
      </c>
      <c r="P321">
        <v>1.3</v>
      </c>
    </row>
    <row r="322" spans="1:16" x14ac:dyDescent="0.3">
      <c r="A322" t="s">
        <v>17</v>
      </c>
      <c r="B322" t="s">
        <v>22</v>
      </c>
      <c r="C322" t="s">
        <v>23</v>
      </c>
      <c r="D322" t="s">
        <v>363</v>
      </c>
      <c r="E322" t="s">
        <v>467</v>
      </c>
      <c r="F322" t="s">
        <v>9</v>
      </c>
      <c r="G322" t="s">
        <v>468</v>
      </c>
      <c r="H322" t="s">
        <v>470</v>
      </c>
      <c r="I322">
        <v>42</v>
      </c>
      <c r="J322">
        <v>0.80115273775216145</v>
      </c>
      <c r="K322">
        <v>0.7808988764044944</v>
      </c>
      <c r="L322">
        <v>0.8224852071005917</v>
      </c>
      <c r="M322" t="s">
        <v>60</v>
      </c>
      <c r="N322" t="s">
        <v>1071</v>
      </c>
      <c r="O322" t="s">
        <v>1072</v>
      </c>
      <c r="P322">
        <v>1.7</v>
      </c>
    </row>
    <row r="323" spans="1:16" x14ac:dyDescent="0.3">
      <c r="A323" t="s">
        <v>17</v>
      </c>
      <c r="B323" t="s">
        <v>22</v>
      </c>
      <c r="C323" t="s">
        <v>23</v>
      </c>
      <c r="D323" t="s">
        <v>363</v>
      </c>
      <c r="E323" t="s">
        <v>467</v>
      </c>
      <c r="F323" t="s">
        <v>9</v>
      </c>
      <c r="G323" t="s">
        <v>474</v>
      </c>
      <c r="H323" t="s">
        <v>470</v>
      </c>
      <c r="I323">
        <v>43</v>
      </c>
      <c r="J323">
        <v>0.82492581602373893</v>
      </c>
      <c r="K323">
        <v>0.82738095238095233</v>
      </c>
      <c r="L323">
        <v>0.8224852071005917</v>
      </c>
      <c r="M323" t="s">
        <v>60</v>
      </c>
      <c r="N323" t="s">
        <v>1073</v>
      </c>
      <c r="O323" t="s">
        <v>1074</v>
      </c>
      <c r="P323">
        <v>1.3</v>
      </c>
    </row>
    <row r="324" spans="1:16" x14ac:dyDescent="0.3">
      <c r="A324" t="s">
        <v>17</v>
      </c>
      <c r="B324" t="s">
        <v>22</v>
      </c>
      <c r="C324" t="s">
        <v>23</v>
      </c>
      <c r="D324" t="s">
        <v>363</v>
      </c>
      <c r="E324" t="s">
        <v>467</v>
      </c>
      <c r="F324" t="s">
        <v>9</v>
      </c>
      <c r="G324" t="s">
        <v>479</v>
      </c>
      <c r="H324" t="s">
        <v>470</v>
      </c>
      <c r="I324">
        <v>44</v>
      </c>
      <c r="J324">
        <v>0.80790960451977401</v>
      </c>
      <c r="K324">
        <v>0.77297297297297296</v>
      </c>
      <c r="L324">
        <v>0.84615384615384615</v>
      </c>
      <c r="M324" t="s">
        <v>60</v>
      </c>
      <c r="N324" t="s">
        <v>1075</v>
      </c>
      <c r="O324" t="s">
        <v>1076</v>
      </c>
      <c r="P324">
        <v>1.3</v>
      </c>
    </row>
    <row r="325" spans="1:16" x14ac:dyDescent="0.3">
      <c r="A325" t="s">
        <v>17</v>
      </c>
      <c r="B325" t="s">
        <v>22</v>
      </c>
      <c r="C325" t="s">
        <v>23</v>
      </c>
      <c r="D325" t="s">
        <v>363</v>
      </c>
      <c r="E325" t="s">
        <v>467</v>
      </c>
      <c r="F325" t="s">
        <v>9</v>
      </c>
      <c r="G325" t="s">
        <v>484</v>
      </c>
      <c r="H325" t="s">
        <v>470</v>
      </c>
      <c r="I325">
        <v>45</v>
      </c>
      <c r="J325">
        <v>0.79551820728291323</v>
      </c>
      <c r="K325">
        <v>0.75531914893617025</v>
      </c>
      <c r="L325">
        <v>0.84023668639053251</v>
      </c>
      <c r="M325" t="s">
        <v>60</v>
      </c>
      <c r="N325" t="s">
        <v>1077</v>
      </c>
      <c r="O325" t="s">
        <v>1078</v>
      </c>
      <c r="P325">
        <v>1.3</v>
      </c>
    </row>
    <row r="326" spans="1:16" x14ac:dyDescent="0.3">
      <c r="A326" t="s">
        <v>17</v>
      </c>
      <c r="B326" t="s">
        <v>22</v>
      </c>
      <c r="C326" t="s">
        <v>23</v>
      </c>
      <c r="D326" t="s">
        <v>363</v>
      </c>
      <c r="E326" t="s">
        <v>467</v>
      </c>
      <c r="F326" t="s">
        <v>9</v>
      </c>
      <c r="G326" t="s">
        <v>489</v>
      </c>
      <c r="H326" t="s">
        <v>470</v>
      </c>
      <c r="I326">
        <v>46</v>
      </c>
      <c r="J326">
        <v>0.79069767441860461</v>
      </c>
      <c r="K326">
        <v>0.77714285714285714</v>
      </c>
      <c r="L326">
        <v>0.80473372781065089</v>
      </c>
      <c r="M326" t="s">
        <v>60</v>
      </c>
      <c r="N326" t="s">
        <v>1079</v>
      </c>
      <c r="O326" t="s">
        <v>1080</v>
      </c>
      <c r="P326">
        <v>1.3</v>
      </c>
    </row>
    <row r="327" spans="1:16" x14ac:dyDescent="0.3">
      <c r="A327" t="s">
        <v>17</v>
      </c>
      <c r="B327" t="s">
        <v>22</v>
      </c>
      <c r="C327" t="s">
        <v>23</v>
      </c>
      <c r="D327" t="s">
        <v>363</v>
      </c>
      <c r="E327" t="s">
        <v>467</v>
      </c>
      <c r="F327" t="s">
        <v>9</v>
      </c>
      <c r="G327" t="s">
        <v>494</v>
      </c>
      <c r="H327" t="s">
        <v>470</v>
      </c>
      <c r="I327">
        <v>47</v>
      </c>
      <c r="J327">
        <v>0.79190751445086704</v>
      </c>
      <c r="K327">
        <v>0.77401129943502822</v>
      </c>
      <c r="L327">
        <v>0.81065088757396453</v>
      </c>
      <c r="M327" t="s">
        <v>60</v>
      </c>
      <c r="N327" t="s">
        <v>1081</v>
      </c>
      <c r="O327" t="s">
        <v>1082</v>
      </c>
      <c r="P327">
        <v>1.2</v>
      </c>
    </row>
    <row r="328" spans="1:16" x14ac:dyDescent="0.3">
      <c r="A328" t="s">
        <v>17</v>
      </c>
      <c r="B328" t="s">
        <v>22</v>
      </c>
      <c r="C328" t="s">
        <v>23</v>
      </c>
      <c r="D328" t="s">
        <v>363</v>
      </c>
      <c r="E328" t="s">
        <v>467</v>
      </c>
      <c r="F328" t="s">
        <v>9</v>
      </c>
      <c r="G328" t="s">
        <v>499</v>
      </c>
      <c r="H328" t="s">
        <v>470</v>
      </c>
      <c r="I328">
        <v>48</v>
      </c>
      <c r="J328">
        <v>0.81460674157303359</v>
      </c>
      <c r="K328">
        <v>0.77540106951871657</v>
      </c>
      <c r="L328">
        <v>0.85798816568047342</v>
      </c>
      <c r="M328" t="s">
        <v>60</v>
      </c>
      <c r="N328" t="s">
        <v>1083</v>
      </c>
      <c r="O328" t="s">
        <v>1084</v>
      </c>
      <c r="P328">
        <v>1.9</v>
      </c>
    </row>
    <row r="329" spans="1:16" x14ac:dyDescent="0.3">
      <c r="A329" t="s">
        <v>17</v>
      </c>
      <c r="B329" t="s">
        <v>22</v>
      </c>
      <c r="C329" t="s">
        <v>23</v>
      </c>
      <c r="D329" t="s">
        <v>363</v>
      </c>
      <c r="E329" t="s">
        <v>467</v>
      </c>
      <c r="F329" t="s">
        <v>9</v>
      </c>
      <c r="G329" t="s">
        <v>504</v>
      </c>
      <c r="H329" t="s">
        <v>470</v>
      </c>
      <c r="I329">
        <v>49</v>
      </c>
      <c r="J329">
        <v>0.8114285714285715</v>
      </c>
      <c r="K329">
        <v>0.78453038674033149</v>
      </c>
      <c r="L329">
        <v>0.84023668639053251</v>
      </c>
      <c r="M329" t="s">
        <v>60</v>
      </c>
      <c r="N329" t="s">
        <v>1085</v>
      </c>
      <c r="O329" t="s">
        <v>1086</v>
      </c>
      <c r="P329">
        <v>1.3</v>
      </c>
    </row>
    <row r="330" spans="1:16" x14ac:dyDescent="0.3">
      <c r="A330" t="s">
        <v>17</v>
      </c>
      <c r="B330" t="s">
        <v>22</v>
      </c>
      <c r="C330" t="s">
        <v>23</v>
      </c>
      <c r="D330" t="s">
        <v>363</v>
      </c>
      <c r="E330" t="s">
        <v>467</v>
      </c>
      <c r="F330" t="s">
        <v>9</v>
      </c>
      <c r="G330" t="s">
        <v>509</v>
      </c>
      <c r="H330" t="s">
        <v>470</v>
      </c>
      <c r="I330">
        <v>50</v>
      </c>
      <c r="J330">
        <v>0.8</v>
      </c>
      <c r="K330">
        <v>0.78409090909090906</v>
      </c>
      <c r="L330">
        <v>0.81656804733727806</v>
      </c>
      <c r="M330" t="s">
        <v>60</v>
      </c>
      <c r="N330" t="s">
        <v>1087</v>
      </c>
      <c r="O330" t="s">
        <v>1088</v>
      </c>
      <c r="P330">
        <v>1.3</v>
      </c>
    </row>
    <row r="331" spans="1:16" x14ac:dyDescent="0.3">
      <c r="A331" t="s">
        <v>17</v>
      </c>
      <c r="B331" t="s">
        <v>22</v>
      </c>
      <c r="C331" t="s">
        <v>23</v>
      </c>
      <c r="D331" t="s">
        <v>363</v>
      </c>
      <c r="E331" t="s">
        <v>467</v>
      </c>
      <c r="F331" t="s">
        <v>9</v>
      </c>
      <c r="G331" t="s">
        <v>514</v>
      </c>
      <c r="H331" t="s">
        <v>470</v>
      </c>
      <c r="I331">
        <v>51</v>
      </c>
      <c r="J331">
        <v>0.8439306358381502</v>
      </c>
      <c r="K331">
        <v>0.82485875706214684</v>
      </c>
      <c r="L331">
        <v>0.86390532544378695</v>
      </c>
      <c r="M331" t="s">
        <v>60</v>
      </c>
      <c r="N331" t="s">
        <v>1089</v>
      </c>
      <c r="O331" t="s">
        <v>1090</v>
      </c>
      <c r="P331">
        <v>1.3</v>
      </c>
    </row>
    <row r="332" spans="1:16" x14ac:dyDescent="0.3">
      <c r="A332" t="s">
        <v>17</v>
      </c>
      <c r="B332" t="s">
        <v>22</v>
      </c>
      <c r="C332" t="s">
        <v>23</v>
      </c>
      <c r="D332" t="s">
        <v>363</v>
      </c>
      <c r="E332" t="s">
        <v>467</v>
      </c>
      <c r="F332" t="s">
        <v>9</v>
      </c>
      <c r="G332" t="s">
        <v>519</v>
      </c>
      <c r="H332" t="s">
        <v>470</v>
      </c>
      <c r="I332">
        <v>52</v>
      </c>
      <c r="J332">
        <v>0.79646017699115035</v>
      </c>
      <c r="K332">
        <v>0.79411764705882348</v>
      </c>
      <c r="L332">
        <v>0.79881656804733725</v>
      </c>
      <c r="M332" t="s">
        <v>60</v>
      </c>
      <c r="N332" t="s">
        <v>1091</v>
      </c>
      <c r="O332" t="s">
        <v>1092</v>
      </c>
      <c r="P332">
        <v>1.3</v>
      </c>
    </row>
    <row r="333" spans="1:16" x14ac:dyDescent="0.3">
      <c r="A333" t="s">
        <v>17</v>
      </c>
      <c r="B333" t="s">
        <v>22</v>
      </c>
      <c r="C333" t="s">
        <v>23</v>
      </c>
      <c r="D333" t="s">
        <v>363</v>
      </c>
      <c r="E333" t="s">
        <v>467</v>
      </c>
      <c r="F333" t="s">
        <v>9</v>
      </c>
      <c r="G333" t="s">
        <v>524</v>
      </c>
      <c r="H333" t="s">
        <v>470</v>
      </c>
      <c r="I333">
        <v>53</v>
      </c>
      <c r="J333">
        <v>0.79083094555873923</v>
      </c>
      <c r="K333">
        <v>0.76666666666666672</v>
      </c>
      <c r="L333">
        <v>0.81656804733727806</v>
      </c>
      <c r="M333" t="s">
        <v>60</v>
      </c>
      <c r="N333" t="s">
        <v>1093</v>
      </c>
      <c r="O333" t="s">
        <v>1094</v>
      </c>
      <c r="P333">
        <v>1.5</v>
      </c>
    </row>
    <row r="334" spans="1:16" x14ac:dyDescent="0.3">
      <c r="A334" t="s">
        <v>17</v>
      </c>
      <c r="B334" t="s">
        <v>22</v>
      </c>
      <c r="C334" t="s">
        <v>23</v>
      </c>
      <c r="D334" t="s">
        <v>363</v>
      </c>
      <c r="E334" t="s">
        <v>467</v>
      </c>
      <c r="F334" t="s">
        <v>9</v>
      </c>
      <c r="G334" t="s">
        <v>529</v>
      </c>
      <c r="H334" t="s">
        <v>470</v>
      </c>
      <c r="I334">
        <v>54</v>
      </c>
      <c r="J334">
        <v>0.82558139534883723</v>
      </c>
      <c r="K334">
        <v>0.81142857142857139</v>
      </c>
      <c r="L334">
        <v>0.84023668639053251</v>
      </c>
      <c r="M334" t="s">
        <v>60</v>
      </c>
      <c r="N334" t="s">
        <v>1095</v>
      </c>
      <c r="O334" t="s">
        <v>1096</v>
      </c>
      <c r="P334">
        <v>1.2</v>
      </c>
    </row>
    <row r="335" spans="1:16" x14ac:dyDescent="0.3">
      <c r="A335" t="s">
        <v>17</v>
      </c>
      <c r="B335" t="s">
        <v>22</v>
      </c>
      <c r="C335" t="s">
        <v>23</v>
      </c>
      <c r="D335" t="s">
        <v>363</v>
      </c>
      <c r="E335" t="s">
        <v>467</v>
      </c>
      <c r="F335" t="s">
        <v>9</v>
      </c>
      <c r="G335" t="s">
        <v>534</v>
      </c>
      <c r="H335" t="s">
        <v>470</v>
      </c>
      <c r="I335">
        <v>55</v>
      </c>
      <c r="J335">
        <v>0.82051282051282048</v>
      </c>
      <c r="K335">
        <v>0.79120879120879117</v>
      </c>
      <c r="L335">
        <v>0.85207100591715978</v>
      </c>
      <c r="M335" t="s">
        <v>60</v>
      </c>
      <c r="N335" t="s">
        <v>1097</v>
      </c>
      <c r="O335" t="s">
        <v>1098</v>
      </c>
      <c r="P335">
        <v>1.9</v>
      </c>
    </row>
    <row r="336" spans="1:16" x14ac:dyDescent="0.3">
      <c r="A336" t="s">
        <v>17</v>
      </c>
      <c r="B336" t="s">
        <v>22</v>
      </c>
      <c r="C336" t="s">
        <v>23</v>
      </c>
      <c r="D336" t="s">
        <v>363</v>
      </c>
      <c r="E336" t="s">
        <v>467</v>
      </c>
      <c r="F336" t="s">
        <v>9</v>
      </c>
      <c r="G336" t="s">
        <v>539</v>
      </c>
      <c r="H336" t="s">
        <v>470</v>
      </c>
      <c r="I336">
        <v>56</v>
      </c>
      <c r="J336">
        <v>0.82456140350877183</v>
      </c>
      <c r="K336">
        <v>0.81502890173410403</v>
      </c>
      <c r="L336">
        <v>0.83431952662721898</v>
      </c>
      <c r="M336" t="s">
        <v>60</v>
      </c>
      <c r="N336" t="s">
        <v>1099</v>
      </c>
      <c r="O336" t="s">
        <v>1100</v>
      </c>
      <c r="P336">
        <v>1.3</v>
      </c>
    </row>
    <row r="337" spans="1:16" x14ac:dyDescent="0.3">
      <c r="A337" t="s">
        <v>17</v>
      </c>
      <c r="B337" t="s">
        <v>22</v>
      </c>
      <c r="C337" t="s">
        <v>23</v>
      </c>
      <c r="D337" t="s">
        <v>363</v>
      </c>
      <c r="E337" t="s">
        <v>467</v>
      </c>
      <c r="F337" t="s">
        <v>9</v>
      </c>
      <c r="G337" t="s">
        <v>544</v>
      </c>
      <c r="H337" t="s">
        <v>470</v>
      </c>
      <c r="I337">
        <v>57</v>
      </c>
      <c r="J337">
        <v>0.80571428571428572</v>
      </c>
      <c r="K337">
        <v>0.77900552486187846</v>
      </c>
      <c r="L337">
        <v>0.83431952662721898</v>
      </c>
      <c r="M337" t="s">
        <v>60</v>
      </c>
      <c r="N337" t="s">
        <v>1101</v>
      </c>
      <c r="O337" t="s">
        <v>1102</v>
      </c>
      <c r="P337">
        <v>1.3</v>
      </c>
    </row>
    <row r="338" spans="1:16" x14ac:dyDescent="0.3">
      <c r="A338" t="s">
        <v>17</v>
      </c>
      <c r="B338" t="s">
        <v>22</v>
      </c>
      <c r="C338" t="s">
        <v>23</v>
      </c>
      <c r="D338" t="s">
        <v>363</v>
      </c>
      <c r="E338" t="s">
        <v>467</v>
      </c>
      <c r="F338" t="s">
        <v>9</v>
      </c>
      <c r="G338" t="s">
        <v>549</v>
      </c>
      <c r="H338" t="s">
        <v>470</v>
      </c>
      <c r="I338">
        <v>58</v>
      </c>
      <c r="J338">
        <v>0.80341880341880345</v>
      </c>
      <c r="K338">
        <v>0.77472527472527475</v>
      </c>
      <c r="L338">
        <v>0.83431952662721898</v>
      </c>
      <c r="M338" t="s">
        <v>60</v>
      </c>
      <c r="N338" t="s">
        <v>1103</v>
      </c>
      <c r="O338" t="s">
        <v>1104</v>
      </c>
      <c r="P338">
        <v>1.3</v>
      </c>
    </row>
    <row r="339" spans="1:16" x14ac:dyDescent="0.3">
      <c r="A339" t="s">
        <v>17</v>
      </c>
      <c r="B339" t="s">
        <v>22</v>
      </c>
      <c r="C339" t="s">
        <v>23</v>
      </c>
      <c r="D339" t="s">
        <v>363</v>
      </c>
      <c r="E339" t="s">
        <v>467</v>
      </c>
      <c r="F339" t="s">
        <v>9</v>
      </c>
      <c r="G339" t="s">
        <v>554</v>
      </c>
      <c r="H339" t="s">
        <v>470</v>
      </c>
      <c r="I339">
        <v>59</v>
      </c>
      <c r="J339">
        <v>0.77192982456140358</v>
      </c>
      <c r="K339">
        <v>0.76300578034682076</v>
      </c>
      <c r="L339">
        <v>0.78106508875739644</v>
      </c>
      <c r="M339" t="s">
        <v>60</v>
      </c>
      <c r="N339" t="s">
        <v>1105</v>
      </c>
      <c r="O339" t="s">
        <v>1106</v>
      </c>
      <c r="P339">
        <v>1.5</v>
      </c>
    </row>
    <row r="340" spans="1:16" x14ac:dyDescent="0.3">
      <c r="A340" t="s">
        <v>17</v>
      </c>
      <c r="B340" t="s">
        <v>22</v>
      </c>
      <c r="C340" t="s">
        <v>23</v>
      </c>
      <c r="D340" t="s">
        <v>363</v>
      </c>
      <c r="E340" t="s">
        <v>467</v>
      </c>
      <c r="F340" t="s">
        <v>9</v>
      </c>
      <c r="G340" t="s">
        <v>559</v>
      </c>
      <c r="H340" t="s">
        <v>470</v>
      </c>
      <c r="I340">
        <v>60</v>
      </c>
      <c r="J340">
        <v>0.78962536023054752</v>
      </c>
      <c r="K340">
        <v>0.7696629213483146</v>
      </c>
      <c r="L340">
        <v>0.81065088757396453</v>
      </c>
      <c r="M340" t="s">
        <v>60</v>
      </c>
      <c r="N340" t="s">
        <v>1107</v>
      </c>
      <c r="O340" t="s">
        <v>1108</v>
      </c>
      <c r="P340">
        <v>1.2</v>
      </c>
    </row>
    <row r="341" spans="1:16" x14ac:dyDescent="0.3">
      <c r="A341" t="s">
        <v>17</v>
      </c>
      <c r="B341" t="s">
        <v>22</v>
      </c>
      <c r="C341" t="s">
        <v>23</v>
      </c>
      <c r="D341" t="s">
        <v>363</v>
      </c>
      <c r="E341" t="s">
        <v>467</v>
      </c>
      <c r="F341" t="s">
        <v>9</v>
      </c>
      <c r="G341" t="s">
        <v>564</v>
      </c>
      <c r="H341" t="s">
        <v>470</v>
      </c>
      <c r="I341">
        <v>61</v>
      </c>
      <c r="J341">
        <v>0.79096045197740117</v>
      </c>
      <c r="K341">
        <v>0.7567567567567568</v>
      </c>
      <c r="L341">
        <v>0.82840236686390534</v>
      </c>
      <c r="M341" t="s">
        <v>60</v>
      </c>
      <c r="N341" t="s">
        <v>1109</v>
      </c>
      <c r="O341" t="s">
        <v>1110</v>
      </c>
      <c r="P341">
        <v>1.3</v>
      </c>
    </row>
    <row r="342" spans="1:16" x14ac:dyDescent="0.3">
      <c r="A342" t="s">
        <v>17</v>
      </c>
      <c r="B342" t="s">
        <v>22</v>
      </c>
      <c r="C342" t="s">
        <v>23</v>
      </c>
      <c r="D342" t="s">
        <v>363</v>
      </c>
      <c r="E342" t="s">
        <v>569</v>
      </c>
      <c r="F342" t="s">
        <v>11</v>
      </c>
      <c r="G342" t="s">
        <v>570</v>
      </c>
      <c r="H342" t="s">
        <v>572</v>
      </c>
      <c r="I342">
        <v>42</v>
      </c>
      <c r="J342">
        <v>0.82352941176470584</v>
      </c>
      <c r="K342">
        <v>0.79746835443037978</v>
      </c>
      <c r="L342">
        <v>0.85135135135135132</v>
      </c>
      <c r="M342" t="s">
        <v>60</v>
      </c>
      <c r="N342" t="s">
        <v>1111</v>
      </c>
      <c r="O342" t="s">
        <v>1112</v>
      </c>
      <c r="P342">
        <v>1.8</v>
      </c>
    </row>
    <row r="343" spans="1:16" x14ac:dyDescent="0.3">
      <c r="A343" t="s">
        <v>17</v>
      </c>
      <c r="B343" t="s">
        <v>22</v>
      </c>
      <c r="C343" t="s">
        <v>23</v>
      </c>
      <c r="D343" t="s">
        <v>363</v>
      </c>
      <c r="E343" t="s">
        <v>569</v>
      </c>
      <c r="F343" t="s">
        <v>11</v>
      </c>
      <c r="G343" t="s">
        <v>576</v>
      </c>
      <c r="H343" t="s">
        <v>572</v>
      </c>
      <c r="I343">
        <v>43</v>
      </c>
      <c r="J343">
        <v>0.83116883116883122</v>
      </c>
      <c r="K343">
        <v>0.8</v>
      </c>
      <c r="L343">
        <v>0.86486486486486491</v>
      </c>
      <c r="M343" t="s">
        <v>60</v>
      </c>
      <c r="N343" t="s">
        <v>1113</v>
      </c>
      <c r="O343" t="s">
        <v>1114</v>
      </c>
      <c r="P343">
        <v>1.4</v>
      </c>
    </row>
    <row r="344" spans="1:16" x14ac:dyDescent="0.3">
      <c r="A344" t="s">
        <v>17</v>
      </c>
      <c r="B344" t="s">
        <v>22</v>
      </c>
      <c r="C344" t="s">
        <v>23</v>
      </c>
      <c r="D344" t="s">
        <v>363</v>
      </c>
      <c r="E344" t="s">
        <v>569</v>
      </c>
      <c r="F344" t="s">
        <v>11</v>
      </c>
      <c r="G344" t="s">
        <v>581</v>
      </c>
      <c r="H344" t="s">
        <v>572</v>
      </c>
      <c r="I344">
        <v>44</v>
      </c>
      <c r="J344">
        <v>0.82560706401766004</v>
      </c>
      <c r="K344">
        <v>0.80952380952380953</v>
      </c>
      <c r="L344">
        <v>0.84234234234234229</v>
      </c>
      <c r="M344" t="s">
        <v>60</v>
      </c>
      <c r="N344" t="s">
        <v>1115</v>
      </c>
      <c r="O344" t="s">
        <v>1116</v>
      </c>
      <c r="P344">
        <v>1.6</v>
      </c>
    </row>
    <row r="345" spans="1:16" x14ac:dyDescent="0.3">
      <c r="A345" t="s">
        <v>17</v>
      </c>
      <c r="B345" t="s">
        <v>22</v>
      </c>
      <c r="C345" t="s">
        <v>23</v>
      </c>
      <c r="D345" t="s">
        <v>363</v>
      </c>
      <c r="E345" t="s">
        <v>569</v>
      </c>
      <c r="F345" t="s">
        <v>11</v>
      </c>
      <c r="G345" t="s">
        <v>586</v>
      </c>
      <c r="H345" t="s">
        <v>572</v>
      </c>
      <c r="I345">
        <v>45</v>
      </c>
      <c r="J345">
        <v>0.82608695652173925</v>
      </c>
      <c r="K345">
        <v>0.79831932773109249</v>
      </c>
      <c r="L345">
        <v>0.85585585585585588</v>
      </c>
      <c r="M345" t="s">
        <v>60</v>
      </c>
      <c r="N345" t="s">
        <v>1117</v>
      </c>
      <c r="O345" t="s">
        <v>1118</v>
      </c>
      <c r="P345">
        <v>1.4</v>
      </c>
    </row>
    <row r="346" spans="1:16" x14ac:dyDescent="0.3">
      <c r="A346" t="s">
        <v>17</v>
      </c>
      <c r="B346" t="s">
        <v>22</v>
      </c>
      <c r="C346" t="s">
        <v>23</v>
      </c>
      <c r="D346" t="s">
        <v>363</v>
      </c>
      <c r="E346" t="s">
        <v>569</v>
      </c>
      <c r="F346" t="s">
        <v>11</v>
      </c>
      <c r="G346" t="s">
        <v>591</v>
      </c>
      <c r="H346" t="s">
        <v>572</v>
      </c>
      <c r="I346">
        <v>46</v>
      </c>
      <c r="J346">
        <v>0.83885209713024289</v>
      </c>
      <c r="K346">
        <v>0.82251082251082253</v>
      </c>
      <c r="L346">
        <v>0.85585585585585588</v>
      </c>
      <c r="M346" t="s">
        <v>60</v>
      </c>
      <c r="N346" t="s">
        <v>1119</v>
      </c>
      <c r="O346" t="s">
        <v>1120</v>
      </c>
      <c r="P346">
        <v>1.5</v>
      </c>
    </row>
    <row r="347" spans="1:16" x14ac:dyDescent="0.3">
      <c r="A347" t="s">
        <v>17</v>
      </c>
      <c r="B347" t="s">
        <v>22</v>
      </c>
      <c r="C347" t="s">
        <v>23</v>
      </c>
      <c r="D347" t="s">
        <v>363</v>
      </c>
      <c r="E347" t="s">
        <v>569</v>
      </c>
      <c r="F347" t="s">
        <v>11</v>
      </c>
      <c r="G347" t="s">
        <v>596</v>
      </c>
      <c r="H347" t="s">
        <v>572</v>
      </c>
      <c r="I347">
        <v>47</v>
      </c>
      <c r="J347">
        <v>0.82926829268292679</v>
      </c>
      <c r="K347">
        <v>0.81659388646288211</v>
      </c>
      <c r="L347">
        <v>0.84234234234234229</v>
      </c>
      <c r="M347" t="s">
        <v>60</v>
      </c>
      <c r="N347" t="s">
        <v>1121</v>
      </c>
      <c r="O347" t="s">
        <v>1122</v>
      </c>
      <c r="P347">
        <v>1.3</v>
      </c>
    </row>
    <row r="348" spans="1:16" x14ac:dyDescent="0.3">
      <c r="A348" t="s">
        <v>17</v>
      </c>
      <c r="B348" t="s">
        <v>22</v>
      </c>
      <c r="C348" t="s">
        <v>23</v>
      </c>
      <c r="D348" t="s">
        <v>363</v>
      </c>
      <c r="E348" t="s">
        <v>569</v>
      </c>
      <c r="F348" t="s">
        <v>11</v>
      </c>
      <c r="G348" t="s">
        <v>601</v>
      </c>
      <c r="H348" t="s">
        <v>572</v>
      </c>
      <c r="I348">
        <v>48</v>
      </c>
      <c r="J348">
        <v>0.82352941176470584</v>
      </c>
      <c r="K348">
        <v>0.79746835443037978</v>
      </c>
      <c r="L348">
        <v>0.85135135135135132</v>
      </c>
      <c r="M348" t="s">
        <v>60</v>
      </c>
      <c r="N348" t="s">
        <v>1123</v>
      </c>
      <c r="O348" t="s">
        <v>1124</v>
      </c>
      <c r="P348">
        <v>1.8</v>
      </c>
    </row>
    <row r="349" spans="1:16" x14ac:dyDescent="0.3">
      <c r="A349" t="s">
        <v>17</v>
      </c>
      <c r="B349" t="s">
        <v>22</v>
      </c>
      <c r="C349" t="s">
        <v>23</v>
      </c>
      <c r="D349" t="s">
        <v>363</v>
      </c>
      <c r="E349" t="s">
        <v>569</v>
      </c>
      <c r="F349" t="s">
        <v>11</v>
      </c>
      <c r="G349" t="s">
        <v>606</v>
      </c>
      <c r="H349" t="s">
        <v>572</v>
      </c>
      <c r="I349">
        <v>49</v>
      </c>
      <c r="J349">
        <v>0.82300884955752207</v>
      </c>
      <c r="K349">
        <v>0.80869565217391304</v>
      </c>
      <c r="L349">
        <v>0.83783783783783783</v>
      </c>
      <c r="M349" t="s">
        <v>60</v>
      </c>
      <c r="N349" t="s">
        <v>1125</v>
      </c>
      <c r="O349" t="s">
        <v>1126</v>
      </c>
      <c r="P349">
        <v>1.4</v>
      </c>
    </row>
    <row r="350" spans="1:16" x14ac:dyDescent="0.3">
      <c r="A350" t="s">
        <v>17</v>
      </c>
      <c r="B350" t="s">
        <v>22</v>
      </c>
      <c r="C350" t="s">
        <v>23</v>
      </c>
      <c r="D350" t="s">
        <v>363</v>
      </c>
      <c r="E350" t="s">
        <v>569</v>
      </c>
      <c r="F350" t="s">
        <v>11</v>
      </c>
      <c r="G350" t="s">
        <v>611</v>
      </c>
      <c r="H350" t="s">
        <v>572</v>
      </c>
      <c r="I350">
        <v>50</v>
      </c>
      <c r="J350">
        <v>0.82275711159737419</v>
      </c>
      <c r="K350">
        <v>0.8</v>
      </c>
      <c r="L350">
        <v>0.84684684684684686</v>
      </c>
      <c r="M350" t="s">
        <v>60</v>
      </c>
      <c r="N350" t="s">
        <v>1127</v>
      </c>
      <c r="O350" t="s">
        <v>1128</v>
      </c>
      <c r="P350">
        <v>1.4</v>
      </c>
    </row>
    <row r="351" spans="1:16" x14ac:dyDescent="0.3">
      <c r="A351" t="s">
        <v>17</v>
      </c>
      <c r="B351" t="s">
        <v>22</v>
      </c>
      <c r="C351" t="s">
        <v>23</v>
      </c>
      <c r="D351" t="s">
        <v>363</v>
      </c>
      <c r="E351" t="s">
        <v>569</v>
      </c>
      <c r="F351" t="s">
        <v>11</v>
      </c>
      <c r="G351" t="s">
        <v>616</v>
      </c>
      <c r="H351" t="s">
        <v>572</v>
      </c>
      <c r="I351">
        <v>51</v>
      </c>
      <c r="J351">
        <v>0.81545064377682408</v>
      </c>
      <c r="K351">
        <v>0.77868852459016391</v>
      </c>
      <c r="L351">
        <v>0.85585585585585588</v>
      </c>
      <c r="M351" t="s">
        <v>60</v>
      </c>
      <c r="N351" t="s">
        <v>1129</v>
      </c>
      <c r="O351" t="s">
        <v>1130</v>
      </c>
      <c r="P351">
        <v>1.4</v>
      </c>
    </row>
    <row r="352" spans="1:16" x14ac:dyDescent="0.3">
      <c r="A352" t="s">
        <v>17</v>
      </c>
      <c r="B352" t="s">
        <v>22</v>
      </c>
      <c r="C352" t="s">
        <v>23</v>
      </c>
      <c r="D352" t="s">
        <v>363</v>
      </c>
      <c r="E352" t="s">
        <v>569</v>
      </c>
      <c r="F352" t="s">
        <v>11</v>
      </c>
      <c r="G352" t="s">
        <v>621</v>
      </c>
      <c r="H352" t="s">
        <v>572</v>
      </c>
      <c r="I352">
        <v>52</v>
      </c>
      <c r="J352">
        <v>0.82197802197802183</v>
      </c>
      <c r="K352">
        <v>0.80257510729613735</v>
      </c>
      <c r="L352">
        <v>0.84234234234234229</v>
      </c>
      <c r="M352" t="s">
        <v>60</v>
      </c>
      <c r="N352" t="s">
        <v>1131</v>
      </c>
      <c r="O352" t="s">
        <v>1132</v>
      </c>
      <c r="P352">
        <v>1.4</v>
      </c>
    </row>
    <row r="353" spans="1:16" x14ac:dyDescent="0.3">
      <c r="A353" t="s">
        <v>17</v>
      </c>
      <c r="B353" t="s">
        <v>22</v>
      </c>
      <c r="C353" t="s">
        <v>23</v>
      </c>
      <c r="D353" t="s">
        <v>363</v>
      </c>
      <c r="E353" t="s">
        <v>569</v>
      </c>
      <c r="F353" t="s">
        <v>11</v>
      </c>
      <c r="G353" t="s">
        <v>626</v>
      </c>
      <c r="H353" t="s">
        <v>572</v>
      </c>
      <c r="I353">
        <v>53</v>
      </c>
      <c r="J353">
        <v>0.8120950323974081</v>
      </c>
      <c r="K353">
        <v>0.78008298755186722</v>
      </c>
      <c r="L353">
        <v>0.84684684684684686</v>
      </c>
      <c r="M353" t="s">
        <v>60</v>
      </c>
      <c r="N353" t="s">
        <v>1133</v>
      </c>
      <c r="O353" t="s">
        <v>1134</v>
      </c>
      <c r="P353">
        <v>1.4</v>
      </c>
    </row>
    <row r="354" spans="1:16" x14ac:dyDescent="0.3">
      <c r="A354" t="s">
        <v>17</v>
      </c>
      <c r="B354" t="s">
        <v>22</v>
      </c>
      <c r="C354" t="s">
        <v>23</v>
      </c>
      <c r="D354" t="s">
        <v>363</v>
      </c>
      <c r="E354" t="s">
        <v>569</v>
      </c>
      <c r="F354" t="s">
        <v>11</v>
      </c>
      <c r="G354" t="s">
        <v>631</v>
      </c>
      <c r="H354" t="s">
        <v>572</v>
      </c>
      <c r="I354">
        <v>54</v>
      </c>
      <c r="J354">
        <v>0.8307692307692307</v>
      </c>
      <c r="K354">
        <v>0.81115879828326176</v>
      </c>
      <c r="L354">
        <v>0.85135135135135132</v>
      </c>
      <c r="M354" t="s">
        <v>60</v>
      </c>
      <c r="N354" t="s">
        <v>1135</v>
      </c>
      <c r="O354" t="s">
        <v>1136</v>
      </c>
      <c r="P354">
        <v>1.4</v>
      </c>
    </row>
    <row r="355" spans="1:16" x14ac:dyDescent="0.3">
      <c r="A355" t="s">
        <v>17</v>
      </c>
      <c r="B355" t="s">
        <v>22</v>
      </c>
      <c r="C355" t="s">
        <v>23</v>
      </c>
      <c r="D355" t="s">
        <v>363</v>
      </c>
      <c r="E355" t="s">
        <v>569</v>
      </c>
      <c r="F355" t="s">
        <v>11</v>
      </c>
      <c r="G355" t="s">
        <v>636</v>
      </c>
      <c r="H355" t="s">
        <v>572</v>
      </c>
      <c r="I355">
        <v>55</v>
      </c>
      <c r="J355">
        <v>0.83408071748878931</v>
      </c>
      <c r="K355">
        <v>0.8303571428571429</v>
      </c>
      <c r="L355">
        <v>0.83783783783783783</v>
      </c>
      <c r="M355" t="s">
        <v>60</v>
      </c>
      <c r="N355" t="s">
        <v>1137</v>
      </c>
      <c r="O355" t="s">
        <v>1138</v>
      </c>
      <c r="P355">
        <v>1.8</v>
      </c>
    </row>
    <row r="356" spans="1:16" x14ac:dyDescent="0.3">
      <c r="A356" t="s">
        <v>17</v>
      </c>
      <c r="B356" t="s">
        <v>22</v>
      </c>
      <c r="C356" t="s">
        <v>23</v>
      </c>
      <c r="D356" t="s">
        <v>363</v>
      </c>
      <c r="E356" t="s">
        <v>569</v>
      </c>
      <c r="F356" t="s">
        <v>11</v>
      </c>
      <c r="G356" t="s">
        <v>641</v>
      </c>
      <c r="H356" t="s">
        <v>572</v>
      </c>
      <c r="I356">
        <v>56</v>
      </c>
      <c r="J356">
        <v>0.83549783549783552</v>
      </c>
      <c r="K356">
        <v>0.8041666666666667</v>
      </c>
      <c r="L356">
        <v>0.86936936936936937</v>
      </c>
      <c r="M356" t="s">
        <v>60</v>
      </c>
      <c r="N356" t="s">
        <v>1139</v>
      </c>
      <c r="O356" t="s">
        <v>1140</v>
      </c>
      <c r="P356">
        <v>1.4</v>
      </c>
    </row>
    <row r="357" spans="1:16" x14ac:dyDescent="0.3">
      <c r="A357" t="s">
        <v>17</v>
      </c>
      <c r="B357" t="s">
        <v>22</v>
      </c>
      <c r="C357" t="s">
        <v>23</v>
      </c>
      <c r="D357" t="s">
        <v>363</v>
      </c>
      <c r="E357" t="s">
        <v>569</v>
      </c>
      <c r="F357" t="s">
        <v>11</v>
      </c>
      <c r="G357" t="s">
        <v>646</v>
      </c>
      <c r="H357" t="s">
        <v>572</v>
      </c>
      <c r="I357">
        <v>57</v>
      </c>
      <c r="J357">
        <v>0.84513274336283184</v>
      </c>
      <c r="K357">
        <v>0.83043478260869563</v>
      </c>
      <c r="L357">
        <v>0.86036036036036034</v>
      </c>
      <c r="M357" t="s">
        <v>60</v>
      </c>
      <c r="N357" t="s">
        <v>1141</v>
      </c>
      <c r="O357" t="s">
        <v>1142</v>
      </c>
      <c r="P357">
        <v>1.4</v>
      </c>
    </row>
    <row r="358" spans="1:16" x14ac:dyDescent="0.3">
      <c r="A358" t="s">
        <v>17</v>
      </c>
      <c r="B358" t="s">
        <v>22</v>
      </c>
      <c r="C358" t="s">
        <v>23</v>
      </c>
      <c r="D358" t="s">
        <v>363</v>
      </c>
      <c r="E358" t="s">
        <v>569</v>
      </c>
      <c r="F358" t="s">
        <v>11</v>
      </c>
      <c r="G358" t="s">
        <v>651</v>
      </c>
      <c r="H358" t="s">
        <v>572</v>
      </c>
      <c r="I358">
        <v>58</v>
      </c>
      <c r="J358">
        <v>0.84304932735426019</v>
      </c>
      <c r="K358">
        <v>0.8392857142857143</v>
      </c>
      <c r="L358">
        <v>0.84684684684684686</v>
      </c>
      <c r="M358" t="s">
        <v>60</v>
      </c>
      <c r="N358" t="s">
        <v>1143</v>
      </c>
      <c r="O358" t="s">
        <v>1144</v>
      </c>
      <c r="P358">
        <v>1.4</v>
      </c>
    </row>
    <row r="359" spans="1:16" x14ac:dyDescent="0.3">
      <c r="A359" t="s">
        <v>17</v>
      </c>
      <c r="B359" t="s">
        <v>22</v>
      </c>
      <c r="C359" t="s">
        <v>23</v>
      </c>
      <c r="D359" t="s">
        <v>363</v>
      </c>
      <c r="E359" t="s">
        <v>569</v>
      </c>
      <c r="F359" t="s">
        <v>11</v>
      </c>
      <c r="G359" t="s">
        <v>656</v>
      </c>
      <c r="H359" t="s">
        <v>572</v>
      </c>
      <c r="I359">
        <v>59</v>
      </c>
      <c r="J359">
        <v>0.83549783549783552</v>
      </c>
      <c r="K359">
        <v>0.8041666666666667</v>
      </c>
      <c r="L359">
        <v>0.86936936936936937</v>
      </c>
      <c r="M359" t="s">
        <v>60</v>
      </c>
      <c r="N359" t="s">
        <v>1143</v>
      </c>
      <c r="O359" t="s">
        <v>1145</v>
      </c>
      <c r="P359">
        <v>0.8</v>
      </c>
    </row>
    <row r="360" spans="1:16" x14ac:dyDescent="0.3">
      <c r="A360" t="s">
        <v>17</v>
      </c>
      <c r="B360" t="s">
        <v>22</v>
      </c>
      <c r="C360" t="s">
        <v>23</v>
      </c>
      <c r="D360" t="s">
        <v>363</v>
      </c>
      <c r="E360" t="s">
        <v>569</v>
      </c>
      <c r="F360" t="s">
        <v>11</v>
      </c>
      <c r="G360" t="s">
        <v>661</v>
      </c>
      <c r="H360" t="s">
        <v>572</v>
      </c>
      <c r="I360">
        <v>60</v>
      </c>
      <c r="J360">
        <v>0.82096069868995636</v>
      </c>
      <c r="K360">
        <v>0.79661016949152541</v>
      </c>
      <c r="L360">
        <v>0.84684684684684686</v>
      </c>
      <c r="M360" t="s">
        <v>60</v>
      </c>
      <c r="N360" t="s">
        <v>1146</v>
      </c>
      <c r="O360" t="s">
        <v>1147</v>
      </c>
      <c r="P360">
        <v>1.2</v>
      </c>
    </row>
    <row r="361" spans="1:16" x14ac:dyDescent="0.3">
      <c r="A361" t="s">
        <v>17</v>
      </c>
      <c r="B361" t="s">
        <v>22</v>
      </c>
      <c r="C361" t="s">
        <v>23</v>
      </c>
      <c r="D361" t="s">
        <v>363</v>
      </c>
      <c r="E361" t="s">
        <v>569</v>
      </c>
      <c r="F361" t="s">
        <v>11</v>
      </c>
      <c r="G361" t="s">
        <v>666</v>
      </c>
      <c r="H361" t="s">
        <v>572</v>
      </c>
      <c r="I361">
        <v>61</v>
      </c>
      <c r="J361">
        <v>0.81561822125813455</v>
      </c>
      <c r="K361">
        <v>0.78661087866108792</v>
      </c>
      <c r="L361">
        <v>0.84684684684684686</v>
      </c>
      <c r="M361" t="s">
        <v>60</v>
      </c>
      <c r="N361" t="s">
        <v>1146</v>
      </c>
      <c r="O361" t="s">
        <v>1148</v>
      </c>
      <c r="P361">
        <v>0.8</v>
      </c>
    </row>
    <row r="362" spans="1:16" x14ac:dyDescent="0.3">
      <c r="A362" t="s">
        <v>17</v>
      </c>
      <c r="B362" t="s">
        <v>24</v>
      </c>
      <c r="C362" t="s">
        <v>25</v>
      </c>
      <c r="D362" t="s">
        <v>54</v>
      </c>
      <c r="E362" t="s">
        <v>56</v>
      </c>
      <c r="F362" t="s">
        <v>7</v>
      </c>
      <c r="G362" t="s">
        <v>57</v>
      </c>
      <c r="H362" t="s">
        <v>59</v>
      </c>
      <c r="I362">
        <v>42</v>
      </c>
      <c r="J362">
        <v>0.71458773784355178</v>
      </c>
      <c r="K362">
        <v>0.69547325102880664</v>
      </c>
      <c r="L362">
        <v>0.73478260869565215</v>
      </c>
      <c r="M362" t="s">
        <v>60</v>
      </c>
      <c r="N362" t="s">
        <v>1149</v>
      </c>
      <c r="O362" t="s">
        <v>1150</v>
      </c>
      <c r="P362">
        <v>3.6</v>
      </c>
    </row>
    <row r="363" spans="1:16" x14ac:dyDescent="0.3">
      <c r="A363" t="s">
        <v>17</v>
      </c>
      <c r="B363" t="s">
        <v>24</v>
      </c>
      <c r="C363" t="s">
        <v>25</v>
      </c>
      <c r="D363" t="s">
        <v>54</v>
      </c>
      <c r="E363" t="s">
        <v>56</v>
      </c>
      <c r="F363" t="s">
        <v>7</v>
      </c>
      <c r="G363" t="s">
        <v>65</v>
      </c>
      <c r="H363" t="s">
        <v>59</v>
      </c>
      <c r="I363">
        <v>43</v>
      </c>
      <c r="J363">
        <v>0.67099567099567103</v>
      </c>
      <c r="K363">
        <v>0.6681034482758621</v>
      </c>
      <c r="L363">
        <v>0.67391304347826086</v>
      </c>
      <c r="M363" t="s">
        <v>60</v>
      </c>
      <c r="N363" t="s">
        <v>1151</v>
      </c>
      <c r="O363" t="s">
        <v>1152</v>
      </c>
      <c r="P363">
        <v>1.9</v>
      </c>
    </row>
    <row r="364" spans="1:16" x14ac:dyDescent="0.3">
      <c r="A364" t="s">
        <v>17</v>
      </c>
      <c r="B364" t="s">
        <v>24</v>
      </c>
      <c r="C364" t="s">
        <v>25</v>
      </c>
      <c r="D364" t="s">
        <v>54</v>
      </c>
      <c r="E364" t="s">
        <v>56</v>
      </c>
      <c r="F364" t="s">
        <v>7</v>
      </c>
      <c r="G364" t="s">
        <v>70</v>
      </c>
      <c r="H364" t="s">
        <v>59</v>
      </c>
      <c r="I364">
        <v>44</v>
      </c>
      <c r="J364">
        <v>0.68965517241379304</v>
      </c>
      <c r="K364">
        <v>0.64638783269961975</v>
      </c>
      <c r="L364">
        <v>0.73913043478260865</v>
      </c>
      <c r="M364" t="s">
        <v>60</v>
      </c>
      <c r="N364" t="s">
        <v>1153</v>
      </c>
      <c r="O364" t="s">
        <v>1154</v>
      </c>
      <c r="P364">
        <v>2.2000000000000002</v>
      </c>
    </row>
    <row r="365" spans="1:16" x14ac:dyDescent="0.3">
      <c r="A365" t="s">
        <v>17</v>
      </c>
      <c r="B365" t="s">
        <v>24</v>
      </c>
      <c r="C365" t="s">
        <v>25</v>
      </c>
      <c r="D365" t="s">
        <v>54</v>
      </c>
      <c r="E365" t="s">
        <v>56</v>
      </c>
      <c r="F365" t="s">
        <v>7</v>
      </c>
      <c r="G365" t="s">
        <v>75</v>
      </c>
      <c r="H365" t="s">
        <v>59</v>
      </c>
      <c r="I365">
        <v>45</v>
      </c>
      <c r="J365">
        <v>0.69915254237288138</v>
      </c>
      <c r="K365">
        <v>0.68181818181818177</v>
      </c>
      <c r="L365">
        <v>0.71739130434782605</v>
      </c>
      <c r="M365" t="s">
        <v>60</v>
      </c>
      <c r="N365" t="s">
        <v>1155</v>
      </c>
      <c r="O365" t="s">
        <v>1156</v>
      </c>
      <c r="P365">
        <v>1.9</v>
      </c>
    </row>
    <row r="366" spans="1:16" x14ac:dyDescent="0.3">
      <c r="A366" t="s">
        <v>17</v>
      </c>
      <c r="B366" t="s">
        <v>24</v>
      </c>
      <c r="C366" t="s">
        <v>25</v>
      </c>
      <c r="D366" t="s">
        <v>54</v>
      </c>
      <c r="E366" t="s">
        <v>56</v>
      </c>
      <c r="F366" t="s">
        <v>7</v>
      </c>
      <c r="G366" t="s">
        <v>80</v>
      </c>
      <c r="H366" t="s">
        <v>59</v>
      </c>
      <c r="I366">
        <v>46</v>
      </c>
      <c r="J366">
        <v>0.67653276955602526</v>
      </c>
      <c r="K366">
        <v>0.65843621399176955</v>
      </c>
      <c r="L366">
        <v>0.69565217391304346</v>
      </c>
      <c r="M366" t="s">
        <v>60</v>
      </c>
      <c r="N366" t="s">
        <v>1157</v>
      </c>
      <c r="O366" t="s">
        <v>1158</v>
      </c>
      <c r="P366">
        <v>1.9</v>
      </c>
    </row>
    <row r="367" spans="1:16" x14ac:dyDescent="0.3">
      <c r="A367" t="s">
        <v>17</v>
      </c>
      <c r="B367" t="s">
        <v>24</v>
      </c>
      <c r="C367" t="s">
        <v>25</v>
      </c>
      <c r="D367" t="s">
        <v>54</v>
      </c>
      <c r="E367" t="s">
        <v>56</v>
      </c>
      <c r="F367" t="s">
        <v>7</v>
      </c>
      <c r="G367" t="s">
        <v>85</v>
      </c>
      <c r="H367" t="s">
        <v>59</v>
      </c>
      <c r="I367">
        <v>47</v>
      </c>
      <c r="J367">
        <v>0.67634854771784236</v>
      </c>
      <c r="K367">
        <v>0.64682539682539686</v>
      </c>
      <c r="L367">
        <v>0.70869565217391306</v>
      </c>
      <c r="M367" t="s">
        <v>60</v>
      </c>
      <c r="N367" t="s">
        <v>1159</v>
      </c>
      <c r="O367" t="s">
        <v>1160</v>
      </c>
      <c r="P367">
        <v>2.2999999999999998</v>
      </c>
    </row>
    <row r="368" spans="1:16" x14ac:dyDescent="0.3">
      <c r="A368" t="s">
        <v>17</v>
      </c>
      <c r="B368" t="s">
        <v>24</v>
      </c>
      <c r="C368" t="s">
        <v>25</v>
      </c>
      <c r="D368" t="s">
        <v>54</v>
      </c>
      <c r="E368" t="s">
        <v>56</v>
      </c>
      <c r="F368" t="s">
        <v>7</v>
      </c>
      <c r="G368" t="s">
        <v>90</v>
      </c>
      <c r="H368" t="s">
        <v>59</v>
      </c>
      <c r="I368">
        <v>48</v>
      </c>
      <c r="J368">
        <v>0.67230443974630028</v>
      </c>
      <c r="K368">
        <v>0.65432098765432101</v>
      </c>
      <c r="L368">
        <v>0.69130434782608696</v>
      </c>
      <c r="M368" t="s">
        <v>60</v>
      </c>
      <c r="N368" t="s">
        <v>1161</v>
      </c>
      <c r="O368" t="s">
        <v>1162</v>
      </c>
      <c r="P368">
        <v>1.9</v>
      </c>
    </row>
    <row r="369" spans="1:16" x14ac:dyDescent="0.3">
      <c r="A369" t="s">
        <v>17</v>
      </c>
      <c r="B369" t="s">
        <v>24</v>
      </c>
      <c r="C369" t="s">
        <v>25</v>
      </c>
      <c r="D369" t="s">
        <v>54</v>
      </c>
      <c r="E369" t="s">
        <v>56</v>
      </c>
      <c r="F369" t="s">
        <v>7</v>
      </c>
      <c r="G369" t="s">
        <v>95</v>
      </c>
      <c r="H369" t="s">
        <v>59</v>
      </c>
      <c r="I369">
        <v>49</v>
      </c>
      <c r="J369">
        <v>0.6929460580912864</v>
      </c>
      <c r="K369">
        <v>0.66269841269841268</v>
      </c>
      <c r="L369">
        <v>0.72608695652173916</v>
      </c>
      <c r="M369" t="s">
        <v>60</v>
      </c>
      <c r="N369" t="s">
        <v>1163</v>
      </c>
      <c r="O369" t="s">
        <v>1164</v>
      </c>
      <c r="P369">
        <v>1.9</v>
      </c>
    </row>
    <row r="370" spans="1:16" x14ac:dyDescent="0.3">
      <c r="A370" t="s">
        <v>17</v>
      </c>
      <c r="B370" t="s">
        <v>24</v>
      </c>
      <c r="C370" t="s">
        <v>25</v>
      </c>
      <c r="D370" t="s">
        <v>54</v>
      </c>
      <c r="E370" t="s">
        <v>56</v>
      </c>
      <c r="F370" t="s">
        <v>7</v>
      </c>
      <c r="G370" t="s">
        <v>100</v>
      </c>
      <c r="H370" t="s">
        <v>59</v>
      </c>
      <c r="I370">
        <v>50</v>
      </c>
      <c r="J370">
        <v>0.68464730290456433</v>
      </c>
      <c r="K370">
        <v>0.65476190476190477</v>
      </c>
      <c r="L370">
        <v>0.71739130434782605</v>
      </c>
      <c r="M370" t="s">
        <v>60</v>
      </c>
      <c r="N370" t="s">
        <v>1165</v>
      </c>
      <c r="O370" t="s">
        <v>1166</v>
      </c>
      <c r="P370">
        <v>2.2000000000000002</v>
      </c>
    </row>
    <row r="371" spans="1:16" x14ac:dyDescent="0.3">
      <c r="A371" t="s">
        <v>17</v>
      </c>
      <c r="B371" t="s">
        <v>24</v>
      </c>
      <c r="C371" t="s">
        <v>25</v>
      </c>
      <c r="D371" t="s">
        <v>54</v>
      </c>
      <c r="E371" t="s">
        <v>56</v>
      </c>
      <c r="F371" t="s">
        <v>7</v>
      </c>
      <c r="G371" t="s">
        <v>105</v>
      </c>
      <c r="H371" t="s">
        <v>59</v>
      </c>
      <c r="I371">
        <v>51</v>
      </c>
      <c r="J371">
        <v>0.69083155650319827</v>
      </c>
      <c r="K371">
        <v>0.67782426778242677</v>
      </c>
      <c r="L371">
        <v>0.70434782608695656</v>
      </c>
      <c r="M371" t="s">
        <v>60</v>
      </c>
      <c r="N371" t="s">
        <v>1167</v>
      </c>
      <c r="O371" t="s">
        <v>1168</v>
      </c>
      <c r="P371">
        <v>1.9</v>
      </c>
    </row>
    <row r="372" spans="1:16" x14ac:dyDescent="0.3">
      <c r="A372" t="s">
        <v>17</v>
      </c>
      <c r="B372" t="s">
        <v>24</v>
      </c>
      <c r="C372" t="s">
        <v>25</v>
      </c>
      <c r="D372" t="s">
        <v>54</v>
      </c>
      <c r="E372" t="s">
        <v>56</v>
      </c>
      <c r="F372" t="s">
        <v>7</v>
      </c>
      <c r="G372" t="s">
        <v>110</v>
      </c>
      <c r="H372" t="s">
        <v>59</v>
      </c>
      <c r="I372">
        <v>52</v>
      </c>
      <c r="J372">
        <v>0.70464135021097052</v>
      </c>
      <c r="K372">
        <v>0.68442622950819676</v>
      </c>
      <c r="L372">
        <v>0.72608695652173916</v>
      </c>
      <c r="M372" t="s">
        <v>60</v>
      </c>
      <c r="N372" t="s">
        <v>1169</v>
      </c>
      <c r="O372" t="s">
        <v>1170</v>
      </c>
      <c r="P372">
        <v>1.9</v>
      </c>
    </row>
    <row r="373" spans="1:16" x14ac:dyDescent="0.3">
      <c r="A373" t="s">
        <v>17</v>
      </c>
      <c r="B373" t="s">
        <v>24</v>
      </c>
      <c r="C373" t="s">
        <v>25</v>
      </c>
      <c r="D373" t="s">
        <v>54</v>
      </c>
      <c r="E373" t="s">
        <v>56</v>
      </c>
      <c r="F373" t="s">
        <v>7</v>
      </c>
      <c r="G373" t="s">
        <v>115</v>
      </c>
      <c r="H373" t="s">
        <v>59</v>
      </c>
      <c r="I373">
        <v>53</v>
      </c>
      <c r="J373">
        <v>0.66666666666666674</v>
      </c>
      <c r="K373">
        <v>0.64754098360655743</v>
      </c>
      <c r="L373">
        <v>0.68695652173913047</v>
      </c>
      <c r="M373" t="s">
        <v>60</v>
      </c>
      <c r="N373" t="s">
        <v>1171</v>
      </c>
      <c r="O373" t="s">
        <v>1172</v>
      </c>
      <c r="P373">
        <v>2.2999999999999998</v>
      </c>
    </row>
    <row r="374" spans="1:16" x14ac:dyDescent="0.3">
      <c r="A374" t="s">
        <v>17</v>
      </c>
      <c r="B374" t="s">
        <v>24</v>
      </c>
      <c r="C374" t="s">
        <v>25</v>
      </c>
      <c r="D374" t="s">
        <v>54</v>
      </c>
      <c r="E374" t="s">
        <v>56</v>
      </c>
      <c r="F374" t="s">
        <v>7</v>
      </c>
      <c r="G374" t="s">
        <v>120</v>
      </c>
      <c r="H374" t="s">
        <v>59</v>
      </c>
      <c r="I374">
        <v>54</v>
      </c>
      <c r="J374">
        <v>0.68607068607068611</v>
      </c>
      <c r="K374">
        <v>0.65737051792828682</v>
      </c>
      <c r="L374">
        <v>0.71739130434782605</v>
      </c>
      <c r="M374" t="s">
        <v>60</v>
      </c>
      <c r="N374" t="s">
        <v>1173</v>
      </c>
      <c r="O374" t="s">
        <v>1174</v>
      </c>
      <c r="P374">
        <v>1.9</v>
      </c>
    </row>
    <row r="375" spans="1:16" x14ac:dyDescent="0.3">
      <c r="A375" t="s">
        <v>17</v>
      </c>
      <c r="B375" t="s">
        <v>24</v>
      </c>
      <c r="C375" t="s">
        <v>25</v>
      </c>
      <c r="D375" t="s">
        <v>54</v>
      </c>
      <c r="E375" t="s">
        <v>56</v>
      </c>
      <c r="F375" t="s">
        <v>7</v>
      </c>
      <c r="G375" t="s">
        <v>125</v>
      </c>
      <c r="H375" t="s">
        <v>59</v>
      </c>
      <c r="I375">
        <v>55</v>
      </c>
      <c r="J375">
        <v>0.69230769230769229</v>
      </c>
      <c r="K375">
        <v>0.68067226890756305</v>
      </c>
      <c r="L375">
        <v>0.70434782608695656</v>
      </c>
      <c r="M375" t="s">
        <v>60</v>
      </c>
      <c r="N375" t="s">
        <v>1175</v>
      </c>
      <c r="O375" t="s">
        <v>1176</v>
      </c>
      <c r="P375">
        <v>1.9</v>
      </c>
    </row>
    <row r="376" spans="1:16" x14ac:dyDescent="0.3">
      <c r="A376" t="s">
        <v>17</v>
      </c>
      <c r="B376" t="s">
        <v>24</v>
      </c>
      <c r="C376" t="s">
        <v>25</v>
      </c>
      <c r="D376" t="s">
        <v>54</v>
      </c>
      <c r="E376" t="s">
        <v>56</v>
      </c>
      <c r="F376" t="s">
        <v>7</v>
      </c>
      <c r="G376" t="s">
        <v>130</v>
      </c>
      <c r="H376" t="s">
        <v>59</v>
      </c>
      <c r="I376">
        <v>56</v>
      </c>
      <c r="J376">
        <v>0.67474747474747476</v>
      </c>
      <c r="K376">
        <v>0.63018867924528299</v>
      </c>
      <c r="L376">
        <v>0.72608695652173916</v>
      </c>
      <c r="M376" t="s">
        <v>60</v>
      </c>
      <c r="N376" t="s">
        <v>1177</v>
      </c>
      <c r="O376" t="s">
        <v>1178</v>
      </c>
      <c r="P376">
        <v>2.2999999999999998</v>
      </c>
    </row>
    <row r="377" spans="1:16" x14ac:dyDescent="0.3">
      <c r="A377" t="s">
        <v>17</v>
      </c>
      <c r="B377" t="s">
        <v>24</v>
      </c>
      <c r="C377" t="s">
        <v>25</v>
      </c>
      <c r="D377" t="s">
        <v>54</v>
      </c>
      <c r="E377" t="s">
        <v>56</v>
      </c>
      <c r="F377" t="s">
        <v>7</v>
      </c>
      <c r="G377" t="s">
        <v>135</v>
      </c>
      <c r="H377" t="s">
        <v>59</v>
      </c>
      <c r="I377">
        <v>57</v>
      </c>
      <c r="J377">
        <v>0.70636550308008217</v>
      </c>
      <c r="K377">
        <v>0.66926070038910501</v>
      </c>
      <c r="L377">
        <v>0.74782608695652175</v>
      </c>
      <c r="M377" t="s">
        <v>60</v>
      </c>
      <c r="N377" t="s">
        <v>1179</v>
      </c>
      <c r="O377" t="s">
        <v>1180</v>
      </c>
      <c r="P377">
        <v>1.8</v>
      </c>
    </row>
    <row r="378" spans="1:16" x14ac:dyDescent="0.3">
      <c r="A378" t="s">
        <v>17</v>
      </c>
      <c r="B378" t="s">
        <v>24</v>
      </c>
      <c r="C378" t="s">
        <v>25</v>
      </c>
      <c r="D378" t="s">
        <v>54</v>
      </c>
      <c r="E378" t="s">
        <v>56</v>
      </c>
      <c r="F378" t="s">
        <v>7</v>
      </c>
      <c r="G378" t="s">
        <v>140</v>
      </c>
      <c r="H378" t="s">
        <v>59</v>
      </c>
      <c r="I378">
        <v>58</v>
      </c>
      <c r="J378">
        <v>0.69547325102880653</v>
      </c>
      <c r="K378">
        <v>0.66015625</v>
      </c>
      <c r="L378">
        <v>0.73478260869565215</v>
      </c>
      <c r="M378" t="s">
        <v>60</v>
      </c>
      <c r="N378" t="s">
        <v>1181</v>
      </c>
      <c r="O378" t="s">
        <v>1182</v>
      </c>
      <c r="P378">
        <v>1.8</v>
      </c>
    </row>
    <row r="379" spans="1:16" x14ac:dyDescent="0.3">
      <c r="A379" t="s">
        <v>17</v>
      </c>
      <c r="B379" t="s">
        <v>24</v>
      </c>
      <c r="C379" t="s">
        <v>25</v>
      </c>
      <c r="D379" t="s">
        <v>54</v>
      </c>
      <c r="E379" t="s">
        <v>56</v>
      </c>
      <c r="F379" t="s">
        <v>7</v>
      </c>
      <c r="G379" t="s">
        <v>145</v>
      </c>
      <c r="H379" t="s">
        <v>59</v>
      </c>
      <c r="I379">
        <v>59</v>
      </c>
      <c r="J379">
        <v>0.69278350515463916</v>
      </c>
      <c r="K379">
        <v>0.6588235294117647</v>
      </c>
      <c r="L379">
        <v>0.73043478260869565</v>
      </c>
      <c r="M379" t="s">
        <v>60</v>
      </c>
      <c r="N379" t="s">
        <v>1183</v>
      </c>
      <c r="O379" t="s">
        <v>1184</v>
      </c>
      <c r="P379">
        <v>2.4</v>
      </c>
    </row>
    <row r="380" spans="1:16" x14ac:dyDescent="0.3">
      <c r="A380" t="s">
        <v>17</v>
      </c>
      <c r="B380" t="s">
        <v>24</v>
      </c>
      <c r="C380" t="s">
        <v>25</v>
      </c>
      <c r="D380" t="s">
        <v>54</v>
      </c>
      <c r="E380" t="s">
        <v>56</v>
      </c>
      <c r="F380" t="s">
        <v>7</v>
      </c>
      <c r="G380" t="s">
        <v>150</v>
      </c>
      <c r="H380" t="s">
        <v>59</v>
      </c>
      <c r="I380">
        <v>60</v>
      </c>
      <c r="J380">
        <v>0.6652542372881356</v>
      </c>
      <c r="K380">
        <v>0.64876033057851235</v>
      </c>
      <c r="L380">
        <v>0.68260869565217386</v>
      </c>
      <c r="M380" t="s">
        <v>60</v>
      </c>
      <c r="N380" t="s">
        <v>1185</v>
      </c>
      <c r="O380" t="s">
        <v>1186</v>
      </c>
      <c r="P380">
        <v>1.8</v>
      </c>
    </row>
    <row r="381" spans="1:16" x14ac:dyDescent="0.3">
      <c r="A381" t="s">
        <v>17</v>
      </c>
      <c r="B381" t="s">
        <v>24</v>
      </c>
      <c r="C381" t="s">
        <v>25</v>
      </c>
      <c r="D381" t="s">
        <v>54</v>
      </c>
      <c r="E381" t="s">
        <v>56</v>
      </c>
      <c r="F381" t="s">
        <v>7</v>
      </c>
      <c r="G381" t="s">
        <v>155</v>
      </c>
      <c r="H381" t="s">
        <v>59</v>
      </c>
      <c r="I381">
        <v>61</v>
      </c>
      <c r="J381">
        <v>0.66945606694560678</v>
      </c>
      <c r="K381">
        <v>0.64516129032258063</v>
      </c>
      <c r="L381">
        <v>0.69565217391304346</v>
      </c>
      <c r="M381" t="s">
        <v>60</v>
      </c>
      <c r="N381" t="s">
        <v>1187</v>
      </c>
      <c r="O381" t="s">
        <v>1188</v>
      </c>
      <c r="P381">
        <v>1.9</v>
      </c>
    </row>
    <row r="382" spans="1:16" x14ac:dyDescent="0.3">
      <c r="A382" t="s">
        <v>17</v>
      </c>
      <c r="B382" t="s">
        <v>24</v>
      </c>
      <c r="C382" t="s">
        <v>25</v>
      </c>
      <c r="D382" t="s">
        <v>54</v>
      </c>
      <c r="E382" t="s">
        <v>160</v>
      </c>
      <c r="F382" t="s">
        <v>3</v>
      </c>
      <c r="G382" t="s">
        <v>161</v>
      </c>
      <c r="H382" t="s">
        <v>163</v>
      </c>
      <c r="I382">
        <v>42</v>
      </c>
      <c r="J382">
        <v>0.74509803921568629</v>
      </c>
      <c r="K382">
        <v>0.70744680851063835</v>
      </c>
      <c r="L382">
        <v>0.78698224852071008</v>
      </c>
      <c r="M382" t="s">
        <v>60</v>
      </c>
      <c r="N382" t="s">
        <v>1189</v>
      </c>
      <c r="O382" t="s">
        <v>1190</v>
      </c>
      <c r="P382">
        <v>2.1</v>
      </c>
    </row>
    <row r="383" spans="1:16" x14ac:dyDescent="0.3">
      <c r="A383" t="s">
        <v>17</v>
      </c>
      <c r="B383" t="s">
        <v>24</v>
      </c>
      <c r="C383" t="s">
        <v>25</v>
      </c>
      <c r="D383" t="s">
        <v>54</v>
      </c>
      <c r="E383" t="s">
        <v>160</v>
      </c>
      <c r="F383" t="s">
        <v>3</v>
      </c>
      <c r="G383" t="s">
        <v>167</v>
      </c>
      <c r="H383" t="s">
        <v>163</v>
      </c>
      <c r="I383">
        <v>43</v>
      </c>
      <c r="J383">
        <v>0.721763085399449</v>
      </c>
      <c r="K383">
        <v>0.67525773195876293</v>
      </c>
      <c r="L383">
        <v>0.7751479289940828</v>
      </c>
      <c r="M383" t="s">
        <v>60</v>
      </c>
      <c r="N383" t="s">
        <v>1191</v>
      </c>
      <c r="O383" t="s">
        <v>1192</v>
      </c>
      <c r="P383">
        <v>1.7</v>
      </c>
    </row>
    <row r="384" spans="1:16" x14ac:dyDescent="0.3">
      <c r="A384" t="s">
        <v>17</v>
      </c>
      <c r="B384" t="s">
        <v>24</v>
      </c>
      <c r="C384" t="s">
        <v>25</v>
      </c>
      <c r="D384" t="s">
        <v>54</v>
      </c>
      <c r="E384" t="s">
        <v>160</v>
      </c>
      <c r="F384" t="s">
        <v>3</v>
      </c>
      <c r="G384" t="s">
        <v>172</v>
      </c>
      <c r="H384" t="s">
        <v>163</v>
      </c>
      <c r="I384">
        <v>44</v>
      </c>
      <c r="J384">
        <v>0.75280898876404501</v>
      </c>
      <c r="K384">
        <v>0.71657754010695185</v>
      </c>
      <c r="L384">
        <v>0.79289940828402372</v>
      </c>
      <c r="M384" t="s">
        <v>60</v>
      </c>
      <c r="N384" t="s">
        <v>1193</v>
      </c>
      <c r="O384" t="s">
        <v>1194</v>
      </c>
      <c r="P384">
        <v>1.7</v>
      </c>
    </row>
    <row r="385" spans="1:16" x14ac:dyDescent="0.3">
      <c r="A385" t="s">
        <v>17</v>
      </c>
      <c r="B385" t="s">
        <v>24</v>
      </c>
      <c r="C385" t="s">
        <v>25</v>
      </c>
      <c r="D385" t="s">
        <v>54</v>
      </c>
      <c r="E385" t="s">
        <v>160</v>
      </c>
      <c r="F385" t="s">
        <v>3</v>
      </c>
      <c r="G385" t="s">
        <v>177</v>
      </c>
      <c r="H385" t="s">
        <v>163</v>
      </c>
      <c r="I385">
        <v>45</v>
      </c>
      <c r="J385">
        <v>0.74444444444444435</v>
      </c>
      <c r="K385">
        <v>0.70157068062827221</v>
      </c>
      <c r="L385">
        <v>0.79289940828402372</v>
      </c>
      <c r="M385" t="s">
        <v>60</v>
      </c>
      <c r="N385" t="s">
        <v>1195</v>
      </c>
      <c r="O385" t="s">
        <v>1196</v>
      </c>
      <c r="P385">
        <v>2.1</v>
      </c>
    </row>
    <row r="386" spans="1:16" x14ac:dyDescent="0.3">
      <c r="A386" t="s">
        <v>17</v>
      </c>
      <c r="B386" t="s">
        <v>24</v>
      </c>
      <c r="C386" t="s">
        <v>25</v>
      </c>
      <c r="D386" t="s">
        <v>54</v>
      </c>
      <c r="E386" t="s">
        <v>160</v>
      </c>
      <c r="F386" t="s">
        <v>3</v>
      </c>
      <c r="G386" t="s">
        <v>182</v>
      </c>
      <c r="H386" t="s">
        <v>163</v>
      </c>
      <c r="I386">
        <v>46</v>
      </c>
      <c r="J386">
        <v>0.73829201101928377</v>
      </c>
      <c r="K386">
        <v>0.69072164948453607</v>
      </c>
      <c r="L386">
        <v>0.79289940828402372</v>
      </c>
      <c r="M386" t="s">
        <v>60</v>
      </c>
      <c r="N386" t="s">
        <v>1197</v>
      </c>
      <c r="O386" t="s">
        <v>1198</v>
      </c>
      <c r="P386">
        <v>1.7</v>
      </c>
    </row>
    <row r="387" spans="1:16" x14ac:dyDescent="0.3">
      <c r="A387" t="s">
        <v>17</v>
      </c>
      <c r="B387" t="s">
        <v>24</v>
      </c>
      <c r="C387" t="s">
        <v>25</v>
      </c>
      <c r="D387" t="s">
        <v>54</v>
      </c>
      <c r="E387" t="s">
        <v>160</v>
      </c>
      <c r="F387" t="s">
        <v>3</v>
      </c>
      <c r="G387" t="s">
        <v>187</v>
      </c>
      <c r="H387" t="s">
        <v>163</v>
      </c>
      <c r="I387">
        <v>47</v>
      </c>
      <c r="J387">
        <v>0.74033149171270718</v>
      </c>
      <c r="K387">
        <v>0.69430051813471505</v>
      </c>
      <c r="L387">
        <v>0.79289940828402372</v>
      </c>
      <c r="M387" t="s">
        <v>60</v>
      </c>
      <c r="N387" t="s">
        <v>1199</v>
      </c>
      <c r="O387" t="s">
        <v>1200</v>
      </c>
      <c r="P387">
        <v>1.7</v>
      </c>
    </row>
    <row r="388" spans="1:16" x14ac:dyDescent="0.3">
      <c r="A388" t="s">
        <v>17</v>
      </c>
      <c r="B388" t="s">
        <v>24</v>
      </c>
      <c r="C388" t="s">
        <v>25</v>
      </c>
      <c r="D388" t="s">
        <v>54</v>
      </c>
      <c r="E388" t="s">
        <v>160</v>
      </c>
      <c r="F388" t="s">
        <v>3</v>
      </c>
      <c r="G388" t="s">
        <v>192</v>
      </c>
      <c r="H388" t="s">
        <v>163</v>
      </c>
      <c r="I388">
        <v>48</v>
      </c>
      <c r="J388">
        <v>0.73537604456824524</v>
      </c>
      <c r="K388">
        <v>0.69473684210526321</v>
      </c>
      <c r="L388">
        <v>0.78106508875739644</v>
      </c>
      <c r="M388" t="s">
        <v>60</v>
      </c>
      <c r="N388" t="s">
        <v>1201</v>
      </c>
      <c r="O388" t="s">
        <v>1202</v>
      </c>
      <c r="P388">
        <v>1.7</v>
      </c>
    </row>
    <row r="389" spans="1:16" x14ac:dyDescent="0.3">
      <c r="A389" t="s">
        <v>17</v>
      </c>
      <c r="B389" t="s">
        <v>24</v>
      </c>
      <c r="C389" t="s">
        <v>25</v>
      </c>
      <c r="D389" t="s">
        <v>54</v>
      </c>
      <c r="E389" t="s">
        <v>160</v>
      </c>
      <c r="F389" t="s">
        <v>3</v>
      </c>
      <c r="G389" t="s">
        <v>197</v>
      </c>
      <c r="H389" t="s">
        <v>163</v>
      </c>
      <c r="I389">
        <v>49</v>
      </c>
      <c r="J389">
        <v>0.75418994413407814</v>
      </c>
      <c r="K389">
        <v>0.7142857142857143</v>
      </c>
      <c r="L389">
        <v>0.79881656804733725</v>
      </c>
      <c r="M389" t="s">
        <v>60</v>
      </c>
      <c r="N389" t="s">
        <v>1203</v>
      </c>
      <c r="O389" t="s">
        <v>1204</v>
      </c>
      <c r="P389">
        <v>2.1</v>
      </c>
    </row>
    <row r="390" spans="1:16" x14ac:dyDescent="0.3">
      <c r="A390" t="s">
        <v>17</v>
      </c>
      <c r="B390" t="s">
        <v>24</v>
      </c>
      <c r="C390" t="s">
        <v>25</v>
      </c>
      <c r="D390" t="s">
        <v>54</v>
      </c>
      <c r="E390" t="s">
        <v>160</v>
      </c>
      <c r="F390" t="s">
        <v>3</v>
      </c>
      <c r="G390" t="s">
        <v>202</v>
      </c>
      <c r="H390" t="s">
        <v>163</v>
      </c>
      <c r="I390">
        <v>50</v>
      </c>
      <c r="J390">
        <v>0.73024523160762944</v>
      </c>
      <c r="K390">
        <v>0.6767676767676768</v>
      </c>
      <c r="L390">
        <v>0.79289940828402372</v>
      </c>
      <c r="M390" t="s">
        <v>60</v>
      </c>
      <c r="N390" t="s">
        <v>1205</v>
      </c>
      <c r="O390" t="s">
        <v>1206</v>
      </c>
      <c r="P390">
        <v>1.7</v>
      </c>
    </row>
    <row r="391" spans="1:16" x14ac:dyDescent="0.3">
      <c r="A391" t="s">
        <v>17</v>
      </c>
      <c r="B391" t="s">
        <v>24</v>
      </c>
      <c r="C391" t="s">
        <v>25</v>
      </c>
      <c r="D391" t="s">
        <v>54</v>
      </c>
      <c r="E391" t="s">
        <v>160</v>
      </c>
      <c r="F391" t="s">
        <v>3</v>
      </c>
      <c r="G391" t="s">
        <v>207</v>
      </c>
      <c r="H391" t="s">
        <v>163</v>
      </c>
      <c r="I391">
        <v>51</v>
      </c>
      <c r="J391">
        <v>0.72282608695652173</v>
      </c>
      <c r="K391">
        <v>0.66834170854271358</v>
      </c>
      <c r="L391">
        <v>0.78698224852071008</v>
      </c>
      <c r="M391" t="s">
        <v>60</v>
      </c>
      <c r="N391" t="s">
        <v>1207</v>
      </c>
      <c r="O391" t="s">
        <v>1208</v>
      </c>
      <c r="P391">
        <v>1.7</v>
      </c>
    </row>
    <row r="392" spans="1:16" x14ac:dyDescent="0.3">
      <c r="A392" t="s">
        <v>17</v>
      </c>
      <c r="B392" t="s">
        <v>24</v>
      </c>
      <c r="C392" t="s">
        <v>25</v>
      </c>
      <c r="D392" t="s">
        <v>54</v>
      </c>
      <c r="E392" t="s">
        <v>160</v>
      </c>
      <c r="F392" t="s">
        <v>3</v>
      </c>
      <c r="G392" t="s">
        <v>212</v>
      </c>
      <c r="H392" t="s">
        <v>163</v>
      </c>
      <c r="I392">
        <v>52</v>
      </c>
      <c r="J392">
        <v>0.72086720867208676</v>
      </c>
      <c r="K392">
        <v>0.66500000000000004</v>
      </c>
      <c r="L392">
        <v>0.78698224852071008</v>
      </c>
      <c r="M392" t="s">
        <v>60</v>
      </c>
      <c r="N392" t="s">
        <v>1209</v>
      </c>
      <c r="O392" t="s">
        <v>1210</v>
      </c>
      <c r="P392">
        <v>1.7</v>
      </c>
    </row>
    <row r="393" spans="1:16" x14ac:dyDescent="0.3">
      <c r="A393" t="s">
        <v>17</v>
      </c>
      <c r="B393" t="s">
        <v>24</v>
      </c>
      <c r="C393" t="s">
        <v>25</v>
      </c>
      <c r="D393" t="s">
        <v>54</v>
      </c>
      <c r="E393" t="s">
        <v>160</v>
      </c>
      <c r="F393" t="s">
        <v>3</v>
      </c>
      <c r="G393" t="s">
        <v>217</v>
      </c>
      <c r="H393" t="s">
        <v>163</v>
      </c>
      <c r="I393">
        <v>53</v>
      </c>
      <c r="J393">
        <v>0.75428571428571434</v>
      </c>
      <c r="K393">
        <v>0.72928176795580113</v>
      </c>
      <c r="L393">
        <v>0.78106508875739644</v>
      </c>
      <c r="M393" t="s">
        <v>60</v>
      </c>
      <c r="N393" t="s">
        <v>1211</v>
      </c>
      <c r="O393" t="s">
        <v>1212</v>
      </c>
      <c r="P393">
        <v>2.1</v>
      </c>
    </row>
    <row r="394" spans="1:16" x14ac:dyDescent="0.3">
      <c r="A394" t="s">
        <v>17</v>
      </c>
      <c r="B394" t="s">
        <v>24</v>
      </c>
      <c r="C394" t="s">
        <v>25</v>
      </c>
      <c r="D394" t="s">
        <v>54</v>
      </c>
      <c r="E394" t="s">
        <v>160</v>
      </c>
      <c r="F394" t="s">
        <v>3</v>
      </c>
      <c r="G394" t="s">
        <v>222</v>
      </c>
      <c r="H394" t="s">
        <v>163</v>
      </c>
      <c r="I394">
        <v>54</v>
      </c>
      <c r="J394">
        <v>0.74725274725274726</v>
      </c>
      <c r="K394">
        <v>0.6974358974358974</v>
      </c>
      <c r="L394">
        <v>0.80473372781065089</v>
      </c>
      <c r="M394" t="s">
        <v>60</v>
      </c>
      <c r="N394" t="s">
        <v>1213</v>
      </c>
      <c r="O394" t="s">
        <v>1214</v>
      </c>
      <c r="P394">
        <v>1.7</v>
      </c>
    </row>
    <row r="395" spans="1:16" x14ac:dyDescent="0.3">
      <c r="A395" t="s">
        <v>17</v>
      </c>
      <c r="B395" t="s">
        <v>24</v>
      </c>
      <c r="C395" t="s">
        <v>25</v>
      </c>
      <c r="D395" t="s">
        <v>54</v>
      </c>
      <c r="E395" t="s">
        <v>160</v>
      </c>
      <c r="F395" t="s">
        <v>3</v>
      </c>
      <c r="G395" t="s">
        <v>227</v>
      </c>
      <c r="H395" t="s">
        <v>163</v>
      </c>
      <c r="I395">
        <v>55</v>
      </c>
      <c r="J395">
        <v>0.73369565217391297</v>
      </c>
      <c r="K395">
        <v>0.67839195979899503</v>
      </c>
      <c r="L395">
        <v>0.79881656804733725</v>
      </c>
      <c r="M395" t="s">
        <v>60</v>
      </c>
      <c r="N395" t="s">
        <v>1215</v>
      </c>
      <c r="O395" t="s">
        <v>1216</v>
      </c>
      <c r="P395">
        <v>1.7</v>
      </c>
    </row>
    <row r="396" spans="1:16" x14ac:dyDescent="0.3">
      <c r="A396" t="s">
        <v>17</v>
      </c>
      <c r="B396" t="s">
        <v>24</v>
      </c>
      <c r="C396" t="s">
        <v>25</v>
      </c>
      <c r="D396" t="s">
        <v>54</v>
      </c>
      <c r="E396" t="s">
        <v>160</v>
      </c>
      <c r="F396" t="s">
        <v>3</v>
      </c>
      <c r="G396" t="s">
        <v>232</v>
      </c>
      <c r="H396" t="s">
        <v>163</v>
      </c>
      <c r="I396">
        <v>56</v>
      </c>
      <c r="J396">
        <v>0.72022160664819945</v>
      </c>
      <c r="K396">
        <v>0.67708333333333337</v>
      </c>
      <c r="L396">
        <v>0.76923076923076927</v>
      </c>
      <c r="M396" t="s">
        <v>60</v>
      </c>
      <c r="N396" t="s">
        <v>1217</v>
      </c>
      <c r="O396" t="s">
        <v>1218</v>
      </c>
      <c r="P396">
        <v>2.1</v>
      </c>
    </row>
    <row r="397" spans="1:16" x14ac:dyDescent="0.3">
      <c r="A397" t="s">
        <v>17</v>
      </c>
      <c r="B397" t="s">
        <v>24</v>
      </c>
      <c r="C397" t="s">
        <v>25</v>
      </c>
      <c r="D397" t="s">
        <v>54</v>
      </c>
      <c r="E397" t="s">
        <v>160</v>
      </c>
      <c r="F397" t="s">
        <v>3</v>
      </c>
      <c r="G397" t="s">
        <v>237</v>
      </c>
      <c r="H397" t="s">
        <v>163</v>
      </c>
      <c r="I397">
        <v>57</v>
      </c>
      <c r="J397">
        <v>0.7458563535911602</v>
      </c>
      <c r="K397">
        <v>0.69948186528497414</v>
      </c>
      <c r="L397">
        <v>0.79881656804733725</v>
      </c>
      <c r="M397" t="s">
        <v>60</v>
      </c>
      <c r="N397" t="s">
        <v>1219</v>
      </c>
      <c r="O397" t="s">
        <v>1220</v>
      </c>
      <c r="P397">
        <v>1.7</v>
      </c>
    </row>
    <row r="398" spans="1:16" x14ac:dyDescent="0.3">
      <c r="A398" t="s">
        <v>17</v>
      </c>
      <c r="B398" t="s">
        <v>24</v>
      </c>
      <c r="C398" t="s">
        <v>25</v>
      </c>
      <c r="D398" t="s">
        <v>54</v>
      </c>
      <c r="E398" t="s">
        <v>160</v>
      </c>
      <c r="F398" t="s">
        <v>3</v>
      </c>
      <c r="G398" t="s">
        <v>242</v>
      </c>
      <c r="H398" t="s">
        <v>163</v>
      </c>
      <c r="I398">
        <v>58</v>
      </c>
      <c r="J398">
        <v>0.74175824175824157</v>
      </c>
      <c r="K398">
        <v>0.69230769230769229</v>
      </c>
      <c r="L398">
        <v>0.79881656804733725</v>
      </c>
      <c r="M398" t="s">
        <v>60</v>
      </c>
      <c r="N398" t="s">
        <v>1221</v>
      </c>
      <c r="O398" t="s">
        <v>1222</v>
      </c>
      <c r="P398">
        <v>1.7</v>
      </c>
    </row>
    <row r="399" spans="1:16" x14ac:dyDescent="0.3">
      <c r="A399" t="s">
        <v>17</v>
      </c>
      <c r="B399" t="s">
        <v>24</v>
      </c>
      <c r="C399" t="s">
        <v>25</v>
      </c>
      <c r="D399" t="s">
        <v>54</v>
      </c>
      <c r="E399" t="s">
        <v>160</v>
      </c>
      <c r="F399" t="s">
        <v>3</v>
      </c>
      <c r="G399" t="s">
        <v>247</v>
      </c>
      <c r="H399" t="s">
        <v>163</v>
      </c>
      <c r="I399">
        <v>59</v>
      </c>
      <c r="J399">
        <v>0.73743016759776525</v>
      </c>
      <c r="K399">
        <v>0.69841269841269837</v>
      </c>
      <c r="L399">
        <v>0.78106508875739644</v>
      </c>
      <c r="M399" t="s">
        <v>60</v>
      </c>
      <c r="N399" t="s">
        <v>1223</v>
      </c>
      <c r="O399" t="s">
        <v>1224</v>
      </c>
      <c r="P399">
        <v>1.9</v>
      </c>
    </row>
    <row r="400" spans="1:16" x14ac:dyDescent="0.3">
      <c r="A400" t="s">
        <v>17</v>
      </c>
      <c r="B400" t="s">
        <v>24</v>
      </c>
      <c r="C400" t="s">
        <v>25</v>
      </c>
      <c r="D400" t="s">
        <v>54</v>
      </c>
      <c r="E400" t="s">
        <v>160</v>
      </c>
      <c r="F400" t="s">
        <v>3</v>
      </c>
      <c r="G400" t="s">
        <v>252</v>
      </c>
      <c r="H400" t="s">
        <v>163</v>
      </c>
      <c r="I400">
        <v>60</v>
      </c>
      <c r="J400">
        <v>0.73480662983425415</v>
      </c>
      <c r="K400">
        <v>0.68911917098445596</v>
      </c>
      <c r="L400">
        <v>0.78698224852071008</v>
      </c>
      <c r="M400" t="s">
        <v>60</v>
      </c>
      <c r="N400" t="s">
        <v>1225</v>
      </c>
      <c r="O400" t="s">
        <v>1226</v>
      </c>
      <c r="P400">
        <v>2.1</v>
      </c>
    </row>
    <row r="401" spans="1:16" x14ac:dyDescent="0.3">
      <c r="A401" t="s">
        <v>17</v>
      </c>
      <c r="B401" t="s">
        <v>24</v>
      </c>
      <c r="C401" t="s">
        <v>25</v>
      </c>
      <c r="D401" t="s">
        <v>54</v>
      </c>
      <c r="E401" t="s">
        <v>160</v>
      </c>
      <c r="F401" t="s">
        <v>3</v>
      </c>
      <c r="G401" t="s">
        <v>257</v>
      </c>
      <c r="H401" t="s">
        <v>163</v>
      </c>
      <c r="I401">
        <v>61</v>
      </c>
      <c r="J401">
        <v>0.73626373626373631</v>
      </c>
      <c r="K401">
        <v>0.68717948717948718</v>
      </c>
      <c r="L401">
        <v>0.79289940828402372</v>
      </c>
      <c r="M401" t="s">
        <v>60</v>
      </c>
      <c r="N401" t="s">
        <v>1227</v>
      </c>
      <c r="O401" t="s">
        <v>1228</v>
      </c>
      <c r="P401">
        <v>1.7</v>
      </c>
    </row>
    <row r="402" spans="1:16" x14ac:dyDescent="0.3">
      <c r="A402" t="s">
        <v>17</v>
      </c>
      <c r="B402" t="s">
        <v>24</v>
      </c>
      <c r="C402" t="s">
        <v>25</v>
      </c>
      <c r="D402" t="s">
        <v>54</v>
      </c>
      <c r="E402" t="s">
        <v>262</v>
      </c>
      <c r="F402" t="s">
        <v>5</v>
      </c>
      <c r="G402" t="s">
        <v>263</v>
      </c>
      <c r="H402" t="s">
        <v>265</v>
      </c>
      <c r="I402">
        <v>42</v>
      </c>
      <c r="J402">
        <v>0.74613686534216328</v>
      </c>
      <c r="K402">
        <v>0.73160173160173159</v>
      </c>
      <c r="L402">
        <v>0.76126126126126126</v>
      </c>
      <c r="M402" t="s">
        <v>60</v>
      </c>
      <c r="N402" t="s">
        <v>1229</v>
      </c>
      <c r="O402" t="s">
        <v>1230</v>
      </c>
      <c r="P402">
        <v>1.9</v>
      </c>
    </row>
    <row r="403" spans="1:16" x14ac:dyDescent="0.3">
      <c r="A403" t="s">
        <v>17</v>
      </c>
      <c r="B403" t="s">
        <v>24</v>
      </c>
      <c r="C403" t="s">
        <v>25</v>
      </c>
      <c r="D403" t="s">
        <v>54</v>
      </c>
      <c r="E403" t="s">
        <v>262</v>
      </c>
      <c r="F403" t="s">
        <v>5</v>
      </c>
      <c r="G403" t="s">
        <v>269</v>
      </c>
      <c r="H403" t="s">
        <v>265</v>
      </c>
      <c r="I403">
        <v>43</v>
      </c>
      <c r="J403">
        <v>0.7633928571428571</v>
      </c>
      <c r="K403">
        <v>0.75663716814159288</v>
      </c>
      <c r="L403">
        <v>0.77027027027027029</v>
      </c>
      <c r="M403" t="s">
        <v>60</v>
      </c>
      <c r="N403" t="s">
        <v>1231</v>
      </c>
      <c r="O403" t="s">
        <v>1232</v>
      </c>
      <c r="P403">
        <v>2.2000000000000002</v>
      </c>
    </row>
    <row r="404" spans="1:16" x14ac:dyDescent="0.3">
      <c r="A404" t="s">
        <v>17</v>
      </c>
      <c r="B404" t="s">
        <v>24</v>
      </c>
      <c r="C404" t="s">
        <v>25</v>
      </c>
      <c r="D404" t="s">
        <v>54</v>
      </c>
      <c r="E404" t="s">
        <v>262</v>
      </c>
      <c r="F404" t="s">
        <v>5</v>
      </c>
      <c r="G404" t="s">
        <v>274</v>
      </c>
      <c r="H404" t="s">
        <v>265</v>
      </c>
      <c r="I404">
        <v>44</v>
      </c>
      <c r="J404">
        <v>0.75000000000000011</v>
      </c>
      <c r="K404">
        <v>0.74336283185840712</v>
      </c>
      <c r="L404">
        <v>0.7567567567567568</v>
      </c>
      <c r="M404" t="s">
        <v>60</v>
      </c>
      <c r="N404" t="s">
        <v>1233</v>
      </c>
      <c r="O404" t="s">
        <v>1234</v>
      </c>
      <c r="P404">
        <v>1.9</v>
      </c>
    </row>
    <row r="405" spans="1:16" x14ac:dyDescent="0.3">
      <c r="A405" t="s">
        <v>17</v>
      </c>
      <c r="B405" t="s">
        <v>24</v>
      </c>
      <c r="C405" t="s">
        <v>25</v>
      </c>
      <c r="D405" t="s">
        <v>54</v>
      </c>
      <c r="E405" t="s">
        <v>262</v>
      </c>
      <c r="F405" t="s">
        <v>5</v>
      </c>
      <c r="G405" t="s">
        <v>279</v>
      </c>
      <c r="H405" t="s">
        <v>265</v>
      </c>
      <c r="I405">
        <v>45</v>
      </c>
      <c r="J405">
        <v>0.74172185430463577</v>
      </c>
      <c r="K405">
        <v>0.72727272727272729</v>
      </c>
      <c r="L405">
        <v>0.7567567567567568</v>
      </c>
      <c r="M405" t="s">
        <v>60</v>
      </c>
      <c r="N405" t="s">
        <v>1235</v>
      </c>
      <c r="O405" t="s">
        <v>1236</v>
      </c>
      <c r="P405">
        <v>1.8</v>
      </c>
    </row>
    <row r="406" spans="1:16" x14ac:dyDescent="0.3">
      <c r="A406" t="s">
        <v>17</v>
      </c>
      <c r="B406" t="s">
        <v>24</v>
      </c>
      <c r="C406" t="s">
        <v>25</v>
      </c>
      <c r="D406" t="s">
        <v>54</v>
      </c>
      <c r="E406" t="s">
        <v>262</v>
      </c>
      <c r="F406" t="s">
        <v>5</v>
      </c>
      <c r="G406" t="s">
        <v>284</v>
      </c>
      <c r="H406" t="s">
        <v>265</v>
      </c>
      <c r="I406">
        <v>46</v>
      </c>
      <c r="J406">
        <v>0.7155555555555555</v>
      </c>
      <c r="K406">
        <v>0.70614035087719296</v>
      </c>
      <c r="L406">
        <v>0.72522522522522526</v>
      </c>
      <c r="M406" t="s">
        <v>60</v>
      </c>
      <c r="N406" t="s">
        <v>1237</v>
      </c>
      <c r="O406" t="s">
        <v>1238</v>
      </c>
      <c r="P406">
        <v>2.2999999999999998</v>
      </c>
    </row>
    <row r="407" spans="1:16" x14ac:dyDescent="0.3">
      <c r="A407" t="s">
        <v>17</v>
      </c>
      <c r="B407" t="s">
        <v>24</v>
      </c>
      <c r="C407" t="s">
        <v>25</v>
      </c>
      <c r="D407" t="s">
        <v>54</v>
      </c>
      <c r="E407" t="s">
        <v>262</v>
      </c>
      <c r="F407" t="s">
        <v>5</v>
      </c>
      <c r="G407" t="s">
        <v>289</v>
      </c>
      <c r="H407" t="s">
        <v>265</v>
      </c>
      <c r="I407">
        <v>47</v>
      </c>
      <c r="J407">
        <v>0.73522975929978118</v>
      </c>
      <c r="K407">
        <v>0.71489361702127663</v>
      </c>
      <c r="L407">
        <v>0.7567567567567568</v>
      </c>
      <c r="M407" t="s">
        <v>60</v>
      </c>
      <c r="N407" t="s">
        <v>1239</v>
      </c>
      <c r="O407" t="s">
        <v>1240</v>
      </c>
      <c r="P407">
        <v>1.9</v>
      </c>
    </row>
    <row r="408" spans="1:16" x14ac:dyDescent="0.3">
      <c r="A408" t="s">
        <v>17</v>
      </c>
      <c r="B408" t="s">
        <v>24</v>
      </c>
      <c r="C408" t="s">
        <v>25</v>
      </c>
      <c r="D408" t="s">
        <v>54</v>
      </c>
      <c r="E408" t="s">
        <v>262</v>
      </c>
      <c r="F408" t="s">
        <v>5</v>
      </c>
      <c r="G408" t="s">
        <v>294</v>
      </c>
      <c r="H408" t="s">
        <v>265</v>
      </c>
      <c r="I408">
        <v>48</v>
      </c>
      <c r="J408">
        <v>0.76000000000000012</v>
      </c>
      <c r="K408">
        <v>0.75</v>
      </c>
      <c r="L408">
        <v>0.77027027027027029</v>
      </c>
      <c r="M408" t="s">
        <v>60</v>
      </c>
      <c r="N408" t="s">
        <v>1241</v>
      </c>
      <c r="O408" t="s">
        <v>1242</v>
      </c>
      <c r="P408">
        <v>2.2000000000000002</v>
      </c>
    </row>
    <row r="409" spans="1:16" x14ac:dyDescent="0.3">
      <c r="A409" t="s">
        <v>17</v>
      </c>
      <c r="B409" t="s">
        <v>24</v>
      </c>
      <c r="C409" t="s">
        <v>25</v>
      </c>
      <c r="D409" t="s">
        <v>54</v>
      </c>
      <c r="E409" t="s">
        <v>262</v>
      </c>
      <c r="F409" t="s">
        <v>5</v>
      </c>
      <c r="G409" t="s">
        <v>299</v>
      </c>
      <c r="H409" t="s">
        <v>265</v>
      </c>
      <c r="I409">
        <v>49</v>
      </c>
      <c r="J409">
        <v>0.73094170403587444</v>
      </c>
      <c r="K409">
        <v>0.7276785714285714</v>
      </c>
      <c r="L409">
        <v>0.73423423423423428</v>
      </c>
      <c r="M409" t="s">
        <v>60</v>
      </c>
      <c r="N409" t="s">
        <v>1243</v>
      </c>
      <c r="O409" t="s">
        <v>1244</v>
      </c>
      <c r="P409">
        <v>1.9</v>
      </c>
    </row>
    <row r="410" spans="1:16" x14ac:dyDescent="0.3">
      <c r="A410" t="s">
        <v>17</v>
      </c>
      <c r="B410" t="s">
        <v>24</v>
      </c>
      <c r="C410" t="s">
        <v>25</v>
      </c>
      <c r="D410" t="s">
        <v>54</v>
      </c>
      <c r="E410" t="s">
        <v>262</v>
      </c>
      <c r="F410" t="s">
        <v>5</v>
      </c>
      <c r="G410" t="s">
        <v>304</v>
      </c>
      <c r="H410" t="s">
        <v>265</v>
      </c>
      <c r="I410">
        <v>50</v>
      </c>
      <c r="J410">
        <v>0.77130044843049328</v>
      </c>
      <c r="K410">
        <v>0.7678571428571429</v>
      </c>
      <c r="L410">
        <v>0.77477477477477474</v>
      </c>
      <c r="M410" t="s">
        <v>60</v>
      </c>
      <c r="N410" t="s">
        <v>1245</v>
      </c>
      <c r="O410" t="s">
        <v>1246</v>
      </c>
      <c r="P410">
        <v>1.9</v>
      </c>
    </row>
    <row r="411" spans="1:16" x14ac:dyDescent="0.3">
      <c r="A411" t="s">
        <v>17</v>
      </c>
      <c r="B411" t="s">
        <v>24</v>
      </c>
      <c r="C411" t="s">
        <v>25</v>
      </c>
      <c r="D411" t="s">
        <v>54</v>
      </c>
      <c r="E411" t="s">
        <v>262</v>
      </c>
      <c r="F411" t="s">
        <v>5</v>
      </c>
      <c r="G411" t="s">
        <v>309</v>
      </c>
      <c r="H411" t="s">
        <v>265</v>
      </c>
      <c r="I411">
        <v>51</v>
      </c>
      <c r="J411">
        <v>0.75111111111111117</v>
      </c>
      <c r="K411">
        <v>0.74122807017543857</v>
      </c>
      <c r="L411">
        <v>0.76126126126126126</v>
      </c>
      <c r="M411" t="s">
        <v>60</v>
      </c>
      <c r="N411" t="s">
        <v>1247</v>
      </c>
      <c r="O411" t="s">
        <v>1248</v>
      </c>
      <c r="P411">
        <v>2.2000000000000002</v>
      </c>
    </row>
    <row r="412" spans="1:16" x14ac:dyDescent="0.3">
      <c r="A412" t="s">
        <v>17</v>
      </c>
      <c r="B412" t="s">
        <v>24</v>
      </c>
      <c r="C412" t="s">
        <v>25</v>
      </c>
      <c r="D412" t="s">
        <v>54</v>
      </c>
      <c r="E412" t="s">
        <v>262</v>
      </c>
      <c r="F412" t="s">
        <v>5</v>
      </c>
      <c r="G412" t="s">
        <v>314</v>
      </c>
      <c r="H412" t="s">
        <v>265</v>
      </c>
      <c r="I412">
        <v>52</v>
      </c>
      <c r="J412">
        <v>0.73922902494331066</v>
      </c>
      <c r="K412">
        <v>0.74429223744292239</v>
      </c>
      <c r="L412">
        <v>0.73423423423423428</v>
      </c>
      <c r="M412" t="s">
        <v>60</v>
      </c>
      <c r="N412" t="s">
        <v>1249</v>
      </c>
      <c r="O412" t="s">
        <v>1250</v>
      </c>
      <c r="P412">
        <v>1.9</v>
      </c>
    </row>
    <row r="413" spans="1:16" x14ac:dyDescent="0.3">
      <c r="A413" t="s">
        <v>17</v>
      </c>
      <c r="B413" t="s">
        <v>24</v>
      </c>
      <c r="C413" t="s">
        <v>25</v>
      </c>
      <c r="D413" t="s">
        <v>54</v>
      </c>
      <c r="E413" t="s">
        <v>262</v>
      </c>
      <c r="F413" t="s">
        <v>5</v>
      </c>
      <c r="G413" t="s">
        <v>319</v>
      </c>
      <c r="H413" t="s">
        <v>265</v>
      </c>
      <c r="I413">
        <v>53</v>
      </c>
      <c r="J413">
        <v>0.73137697516930023</v>
      </c>
      <c r="K413">
        <v>0.73303167420814475</v>
      </c>
      <c r="L413">
        <v>0.72972972972972971</v>
      </c>
      <c r="M413" t="s">
        <v>60</v>
      </c>
      <c r="N413" t="s">
        <v>1251</v>
      </c>
      <c r="O413" t="s">
        <v>1252</v>
      </c>
      <c r="P413">
        <v>1.9</v>
      </c>
    </row>
    <row r="414" spans="1:16" x14ac:dyDescent="0.3">
      <c r="A414" t="s">
        <v>17</v>
      </c>
      <c r="B414" t="s">
        <v>24</v>
      </c>
      <c r="C414" t="s">
        <v>25</v>
      </c>
      <c r="D414" t="s">
        <v>54</v>
      </c>
      <c r="E414" t="s">
        <v>262</v>
      </c>
      <c r="F414" t="s">
        <v>5</v>
      </c>
      <c r="G414" t="s">
        <v>324</v>
      </c>
      <c r="H414" t="s">
        <v>265</v>
      </c>
      <c r="I414">
        <v>54</v>
      </c>
      <c r="J414">
        <v>0.7340659340659339</v>
      </c>
      <c r="K414">
        <v>0.71673819742489275</v>
      </c>
      <c r="L414">
        <v>0.75225225225225223</v>
      </c>
      <c r="M414" t="s">
        <v>60</v>
      </c>
      <c r="N414" t="s">
        <v>1253</v>
      </c>
      <c r="O414" t="s">
        <v>1254</v>
      </c>
      <c r="P414">
        <v>1.8</v>
      </c>
    </row>
    <row r="415" spans="1:16" x14ac:dyDescent="0.3">
      <c r="A415" t="s">
        <v>17</v>
      </c>
      <c r="B415" t="s">
        <v>24</v>
      </c>
      <c r="C415" t="s">
        <v>25</v>
      </c>
      <c r="D415" t="s">
        <v>54</v>
      </c>
      <c r="E415" t="s">
        <v>262</v>
      </c>
      <c r="F415" t="s">
        <v>5</v>
      </c>
      <c r="G415" t="s">
        <v>329</v>
      </c>
      <c r="H415" t="s">
        <v>265</v>
      </c>
      <c r="I415">
        <v>55</v>
      </c>
      <c r="J415">
        <v>0.75278396436525619</v>
      </c>
      <c r="K415">
        <v>0.74449339207048459</v>
      </c>
      <c r="L415">
        <v>0.76126126126126126</v>
      </c>
      <c r="M415" t="s">
        <v>60</v>
      </c>
      <c r="N415" t="s">
        <v>1255</v>
      </c>
      <c r="O415" t="s">
        <v>1256</v>
      </c>
      <c r="P415">
        <v>2.2999999999999998</v>
      </c>
    </row>
    <row r="416" spans="1:16" x14ac:dyDescent="0.3">
      <c r="A416" t="s">
        <v>17</v>
      </c>
      <c r="B416" t="s">
        <v>24</v>
      </c>
      <c r="C416" t="s">
        <v>25</v>
      </c>
      <c r="D416" t="s">
        <v>54</v>
      </c>
      <c r="E416" t="s">
        <v>262</v>
      </c>
      <c r="F416" t="s">
        <v>5</v>
      </c>
      <c r="G416" t="s">
        <v>334</v>
      </c>
      <c r="H416" t="s">
        <v>265</v>
      </c>
      <c r="I416">
        <v>56</v>
      </c>
      <c r="J416">
        <v>0.7455357142857143</v>
      </c>
      <c r="K416">
        <v>0.73893805309734517</v>
      </c>
      <c r="L416">
        <v>0.75225225225225223</v>
      </c>
      <c r="M416" t="s">
        <v>60</v>
      </c>
      <c r="N416" t="s">
        <v>1257</v>
      </c>
      <c r="O416" t="s">
        <v>1258</v>
      </c>
      <c r="P416">
        <v>1.9</v>
      </c>
    </row>
    <row r="417" spans="1:16" x14ac:dyDescent="0.3">
      <c r="A417" t="s">
        <v>17</v>
      </c>
      <c r="B417" t="s">
        <v>24</v>
      </c>
      <c r="C417" t="s">
        <v>25</v>
      </c>
      <c r="D417" t="s">
        <v>54</v>
      </c>
      <c r="E417" t="s">
        <v>262</v>
      </c>
      <c r="F417" t="s">
        <v>5</v>
      </c>
      <c r="G417" t="s">
        <v>339</v>
      </c>
      <c r="H417" t="s">
        <v>265</v>
      </c>
      <c r="I417">
        <v>57</v>
      </c>
      <c r="J417">
        <v>0.75330396475770911</v>
      </c>
      <c r="K417">
        <v>0.73706896551724133</v>
      </c>
      <c r="L417">
        <v>0.77027027027027029</v>
      </c>
      <c r="M417" t="s">
        <v>60</v>
      </c>
      <c r="N417" t="s">
        <v>1259</v>
      </c>
      <c r="O417" t="s">
        <v>1260</v>
      </c>
      <c r="P417">
        <v>1.9</v>
      </c>
    </row>
    <row r="418" spans="1:16" x14ac:dyDescent="0.3">
      <c r="A418" t="s">
        <v>17</v>
      </c>
      <c r="B418" t="s">
        <v>24</v>
      </c>
      <c r="C418" t="s">
        <v>25</v>
      </c>
      <c r="D418" t="s">
        <v>54</v>
      </c>
      <c r="E418" t="s">
        <v>262</v>
      </c>
      <c r="F418" t="s">
        <v>5</v>
      </c>
      <c r="G418" t="s">
        <v>344</v>
      </c>
      <c r="H418" t="s">
        <v>265</v>
      </c>
      <c r="I418">
        <v>58</v>
      </c>
      <c r="J418">
        <v>0.74774774774774788</v>
      </c>
      <c r="K418">
        <v>0.74774774774774777</v>
      </c>
      <c r="L418">
        <v>0.74774774774774777</v>
      </c>
      <c r="M418" t="s">
        <v>60</v>
      </c>
      <c r="N418" t="s">
        <v>1261</v>
      </c>
      <c r="O418" t="s">
        <v>1262</v>
      </c>
      <c r="P418">
        <v>2.2999999999999998</v>
      </c>
    </row>
    <row r="419" spans="1:16" x14ac:dyDescent="0.3">
      <c r="A419" t="s">
        <v>17</v>
      </c>
      <c r="B419" t="s">
        <v>24</v>
      </c>
      <c r="C419" t="s">
        <v>25</v>
      </c>
      <c r="D419" t="s">
        <v>54</v>
      </c>
      <c r="E419" t="s">
        <v>262</v>
      </c>
      <c r="F419" t="s">
        <v>5</v>
      </c>
      <c r="G419" t="s">
        <v>349</v>
      </c>
      <c r="H419" t="s">
        <v>265</v>
      </c>
      <c r="I419">
        <v>59</v>
      </c>
      <c r="J419">
        <v>0.73451327433628311</v>
      </c>
      <c r="K419">
        <v>0.72173913043478266</v>
      </c>
      <c r="L419">
        <v>0.74774774774774777</v>
      </c>
      <c r="M419" t="s">
        <v>60</v>
      </c>
      <c r="N419" t="s">
        <v>1263</v>
      </c>
      <c r="O419" t="s">
        <v>1264</v>
      </c>
      <c r="P419">
        <v>1.9</v>
      </c>
    </row>
    <row r="420" spans="1:16" x14ac:dyDescent="0.3">
      <c r="A420" t="s">
        <v>17</v>
      </c>
      <c r="B420" t="s">
        <v>24</v>
      </c>
      <c r="C420" t="s">
        <v>25</v>
      </c>
      <c r="D420" t="s">
        <v>54</v>
      </c>
      <c r="E420" t="s">
        <v>262</v>
      </c>
      <c r="F420" t="s">
        <v>5</v>
      </c>
      <c r="G420" t="s">
        <v>354</v>
      </c>
      <c r="H420" t="s">
        <v>265</v>
      </c>
      <c r="I420">
        <v>60</v>
      </c>
      <c r="J420">
        <v>0.7589285714285714</v>
      </c>
      <c r="K420">
        <v>0.75221238938053092</v>
      </c>
      <c r="L420">
        <v>0.76576576576576572</v>
      </c>
      <c r="M420" t="s">
        <v>60</v>
      </c>
      <c r="N420" t="s">
        <v>1265</v>
      </c>
      <c r="O420" t="s">
        <v>1266</v>
      </c>
      <c r="P420">
        <v>1.8</v>
      </c>
    </row>
    <row r="421" spans="1:16" x14ac:dyDescent="0.3">
      <c r="A421" t="s">
        <v>17</v>
      </c>
      <c r="B421" t="s">
        <v>24</v>
      </c>
      <c r="C421" t="s">
        <v>25</v>
      </c>
      <c r="D421" t="s">
        <v>54</v>
      </c>
      <c r="E421" t="s">
        <v>262</v>
      </c>
      <c r="F421" t="s">
        <v>5</v>
      </c>
      <c r="G421" t="s">
        <v>359</v>
      </c>
      <c r="H421" t="s">
        <v>265</v>
      </c>
      <c r="I421">
        <v>61</v>
      </c>
      <c r="J421">
        <v>0.74660633484162897</v>
      </c>
      <c r="K421">
        <v>0.75</v>
      </c>
      <c r="L421">
        <v>0.7432432432432432</v>
      </c>
      <c r="M421" t="s">
        <v>60</v>
      </c>
      <c r="N421" t="s">
        <v>1267</v>
      </c>
      <c r="O421" t="s">
        <v>1268</v>
      </c>
      <c r="P421">
        <v>2.2999999999999998</v>
      </c>
    </row>
    <row r="422" spans="1:16" x14ac:dyDescent="0.3">
      <c r="A422" t="s">
        <v>17</v>
      </c>
      <c r="B422" t="s">
        <v>24</v>
      </c>
      <c r="C422" t="s">
        <v>25</v>
      </c>
      <c r="D422" t="s">
        <v>363</v>
      </c>
      <c r="E422" t="s">
        <v>365</v>
      </c>
      <c r="F422" t="s">
        <v>13</v>
      </c>
      <c r="G422" t="s">
        <v>366</v>
      </c>
      <c r="H422" t="s">
        <v>368</v>
      </c>
      <c r="I422">
        <v>42</v>
      </c>
      <c r="J422">
        <v>0.79916317991631802</v>
      </c>
      <c r="K422">
        <v>0.77016129032258063</v>
      </c>
      <c r="L422">
        <v>0.83043478260869563</v>
      </c>
      <c r="M422" t="s">
        <v>60</v>
      </c>
      <c r="N422" t="s">
        <v>1269</v>
      </c>
      <c r="O422" t="s">
        <v>1270</v>
      </c>
      <c r="P422">
        <v>1.9</v>
      </c>
    </row>
    <row r="423" spans="1:16" x14ac:dyDescent="0.3">
      <c r="A423" t="s">
        <v>17</v>
      </c>
      <c r="B423" t="s">
        <v>24</v>
      </c>
      <c r="C423" t="s">
        <v>25</v>
      </c>
      <c r="D423" t="s">
        <v>363</v>
      </c>
      <c r="E423" t="s">
        <v>365</v>
      </c>
      <c r="F423" t="s">
        <v>13</v>
      </c>
      <c r="G423" t="s">
        <v>372</v>
      </c>
      <c r="H423" t="s">
        <v>368</v>
      </c>
      <c r="I423">
        <v>43</v>
      </c>
      <c r="J423">
        <v>0.78059071729957807</v>
      </c>
      <c r="K423">
        <v>0.75819672131147542</v>
      </c>
      <c r="L423">
        <v>0.80434782608695654</v>
      </c>
      <c r="M423" t="s">
        <v>60</v>
      </c>
      <c r="N423" t="s">
        <v>1271</v>
      </c>
      <c r="O423" t="s">
        <v>1272</v>
      </c>
      <c r="P423">
        <v>2.2000000000000002</v>
      </c>
    </row>
    <row r="424" spans="1:16" x14ac:dyDescent="0.3">
      <c r="A424" t="s">
        <v>17</v>
      </c>
      <c r="B424" t="s">
        <v>24</v>
      </c>
      <c r="C424" t="s">
        <v>25</v>
      </c>
      <c r="D424" t="s">
        <v>363</v>
      </c>
      <c r="E424" t="s">
        <v>365</v>
      </c>
      <c r="F424" t="s">
        <v>13</v>
      </c>
      <c r="G424" t="s">
        <v>377</v>
      </c>
      <c r="H424" t="s">
        <v>368</v>
      </c>
      <c r="I424">
        <v>44</v>
      </c>
      <c r="J424">
        <v>0.7873684210526315</v>
      </c>
      <c r="K424">
        <v>0.76326530612244903</v>
      </c>
      <c r="L424">
        <v>0.81304347826086953</v>
      </c>
      <c r="M424" t="s">
        <v>60</v>
      </c>
      <c r="N424" t="s">
        <v>1273</v>
      </c>
      <c r="O424" t="s">
        <v>1274</v>
      </c>
      <c r="P424">
        <v>1.9</v>
      </c>
    </row>
    <row r="425" spans="1:16" x14ac:dyDescent="0.3">
      <c r="A425" t="s">
        <v>17</v>
      </c>
      <c r="B425" t="s">
        <v>24</v>
      </c>
      <c r="C425" t="s">
        <v>25</v>
      </c>
      <c r="D425" t="s">
        <v>363</v>
      </c>
      <c r="E425" t="s">
        <v>365</v>
      </c>
      <c r="F425" t="s">
        <v>13</v>
      </c>
      <c r="G425" t="s">
        <v>382</v>
      </c>
      <c r="H425" t="s">
        <v>368</v>
      </c>
      <c r="I425">
        <v>45</v>
      </c>
      <c r="J425">
        <v>0.79831932773109249</v>
      </c>
      <c r="K425">
        <v>0.77235772357723576</v>
      </c>
      <c r="L425">
        <v>0.82608695652173914</v>
      </c>
      <c r="M425" t="s">
        <v>60</v>
      </c>
      <c r="N425" t="s">
        <v>1275</v>
      </c>
      <c r="O425" t="s">
        <v>1276</v>
      </c>
      <c r="P425">
        <v>1.9</v>
      </c>
    </row>
    <row r="426" spans="1:16" x14ac:dyDescent="0.3">
      <c r="A426" t="s">
        <v>17</v>
      </c>
      <c r="B426" t="s">
        <v>24</v>
      </c>
      <c r="C426" t="s">
        <v>25</v>
      </c>
      <c r="D426" t="s">
        <v>363</v>
      </c>
      <c r="E426" t="s">
        <v>365</v>
      </c>
      <c r="F426" t="s">
        <v>13</v>
      </c>
      <c r="G426" t="s">
        <v>387</v>
      </c>
      <c r="H426" t="s">
        <v>368</v>
      </c>
      <c r="I426">
        <v>46</v>
      </c>
      <c r="J426">
        <v>0.79661016949152541</v>
      </c>
      <c r="K426">
        <v>0.77685950413223137</v>
      </c>
      <c r="L426">
        <v>0.81739130434782614</v>
      </c>
      <c r="M426" t="s">
        <v>60</v>
      </c>
      <c r="N426" t="s">
        <v>1277</v>
      </c>
      <c r="O426" t="s">
        <v>1278</v>
      </c>
      <c r="P426">
        <v>2.1</v>
      </c>
    </row>
    <row r="427" spans="1:16" x14ac:dyDescent="0.3">
      <c r="A427" t="s">
        <v>17</v>
      </c>
      <c r="B427" t="s">
        <v>24</v>
      </c>
      <c r="C427" t="s">
        <v>25</v>
      </c>
      <c r="D427" t="s">
        <v>363</v>
      </c>
      <c r="E427" t="s">
        <v>365</v>
      </c>
      <c r="F427" t="s">
        <v>13</v>
      </c>
      <c r="G427" t="s">
        <v>392</v>
      </c>
      <c r="H427" t="s">
        <v>368</v>
      </c>
      <c r="I427">
        <v>47</v>
      </c>
      <c r="J427">
        <v>0.79166666666666674</v>
      </c>
      <c r="K427">
        <v>0.76</v>
      </c>
      <c r="L427">
        <v>0.82608695652173914</v>
      </c>
      <c r="M427" t="s">
        <v>60</v>
      </c>
      <c r="N427" t="s">
        <v>1279</v>
      </c>
      <c r="O427" t="s">
        <v>1280</v>
      </c>
      <c r="P427">
        <v>2.2999999999999998</v>
      </c>
    </row>
    <row r="428" spans="1:16" x14ac:dyDescent="0.3">
      <c r="A428" t="s">
        <v>17</v>
      </c>
      <c r="B428" t="s">
        <v>24</v>
      </c>
      <c r="C428" t="s">
        <v>25</v>
      </c>
      <c r="D428" t="s">
        <v>363</v>
      </c>
      <c r="E428" t="s">
        <v>365</v>
      </c>
      <c r="F428" t="s">
        <v>13</v>
      </c>
      <c r="G428" t="s">
        <v>397</v>
      </c>
      <c r="H428" t="s">
        <v>368</v>
      </c>
      <c r="I428">
        <v>48</v>
      </c>
      <c r="J428">
        <v>0.78661087866108792</v>
      </c>
      <c r="K428">
        <v>0.75806451612903225</v>
      </c>
      <c r="L428">
        <v>0.81739130434782614</v>
      </c>
      <c r="M428" t="s">
        <v>60</v>
      </c>
      <c r="N428" t="s">
        <v>1281</v>
      </c>
      <c r="O428" t="s">
        <v>1282</v>
      </c>
      <c r="P428">
        <v>1.9</v>
      </c>
    </row>
    <row r="429" spans="1:16" x14ac:dyDescent="0.3">
      <c r="A429" t="s">
        <v>17</v>
      </c>
      <c r="B429" t="s">
        <v>24</v>
      </c>
      <c r="C429" t="s">
        <v>25</v>
      </c>
      <c r="D429" t="s">
        <v>363</v>
      </c>
      <c r="E429" t="s">
        <v>365</v>
      </c>
      <c r="F429" t="s">
        <v>13</v>
      </c>
      <c r="G429" t="s">
        <v>402</v>
      </c>
      <c r="H429" t="s">
        <v>368</v>
      </c>
      <c r="I429">
        <v>49</v>
      </c>
      <c r="J429">
        <v>0.7811158798283262</v>
      </c>
      <c r="K429">
        <v>0.77118644067796616</v>
      </c>
      <c r="L429">
        <v>0.79130434782608694</v>
      </c>
      <c r="M429" t="s">
        <v>60</v>
      </c>
      <c r="N429" t="s">
        <v>1283</v>
      </c>
      <c r="O429" t="s">
        <v>1284</v>
      </c>
      <c r="P429">
        <v>2.1</v>
      </c>
    </row>
    <row r="430" spans="1:16" x14ac:dyDescent="0.3">
      <c r="A430" t="s">
        <v>17</v>
      </c>
      <c r="B430" t="s">
        <v>24</v>
      </c>
      <c r="C430" t="s">
        <v>25</v>
      </c>
      <c r="D430" t="s">
        <v>363</v>
      </c>
      <c r="E430" t="s">
        <v>365</v>
      </c>
      <c r="F430" t="s">
        <v>13</v>
      </c>
      <c r="G430" t="s">
        <v>407</v>
      </c>
      <c r="H430" t="s">
        <v>368</v>
      </c>
      <c r="I430">
        <v>50</v>
      </c>
      <c r="J430">
        <v>0.78661087866108792</v>
      </c>
      <c r="K430">
        <v>0.75806451612903225</v>
      </c>
      <c r="L430">
        <v>0.81739130434782614</v>
      </c>
      <c r="M430" t="s">
        <v>60</v>
      </c>
      <c r="N430" t="s">
        <v>1285</v>
      </c>
      <c r="O430" t="s">
        <v>1286</v>
      </c>
      <c r="P430">
        <v>2.2999999999999998</v>
      </c>
    </row>
    <row r="431" spans="1:16" x14ac:dyDescent="0.3">
      <c r="A431" t="s">
        <v>17</v>
      </c>
      <c r="B431" t="s">
        <v>24</v>
      </c>
      <c r="C431" t="s">
        <v>25</v>
      </c>
      <c r="D431" t="s">
        <v>363</v>
      </c>
      <c r="E431" t="s">
        <v>365</v>
      </c>
      <c r="F431" t="s">
        <v>13</v>
      </c>
      <c r="G431" t="s">
        <v>412</v>
      </c>
      <c r="H431" t="s">
        <v>368</v>
      </c>
      <c r="I431">
        <v>51</v>
      </c>
      <c r="J431">
        <v>0.76666666666666661</v>
      </c>
      <c r="K431">
        <v>0.73599999999999999</v>
      </c>
      <c r="L431">
        <v>0.8</v>
      </c>
      <c r="M431" t="s">
        <v>60</v>
      </c>
      <c r="N431" t="s">
        <v>1287</v>
      </c>
      <c r="O431" t="s">
        <v>1288</v>
      </c>
      <c r="P431">
        <v>1.8</v>
      </c>
    </row>
    <row r="432" spans="1:16" x14ac:dyDescent="0.3">
      <c r="A432" t="s">
        <v>17</v>
      </c>
      <c r="B432" t="s">
        <v>24</v>
      </c>
      <c r="C432" t="s">
        <v>25</v>
      </c>
      <c r="D432" t="s">
        <v>363</v>
      </c>
      <c r="E432" t="s">
        <v>365</v>
      </c>
      <c r="F432" t="s">
        <v>13</v>
      </c>
      <c r="G432" t="s">
        <v>417</v>
      </c>
      <c r="H432" t="s">
        <v>368</v>
      </c>
      <c r="I432">
        <v>52</v>
      </c>
      <c r="J432">
        <v>0.78008298755186722</v>
      </c>
      <c r="K432">
        <v>0.74603174603174605</v>
      </c>
      <c r="L432">
        <v>0.81739130434782614</v>
      </c>
      <c r="M432" t="s">
        <v>60</v>
      </c>
      <c r="N432" t="s">
        <v>1289</v>
      </c>
      <c r="O432" t="s">
        <v>1290</v>
      </c>
      <c r="P432">
        <v>1.9</v>
      </c>
    </row>
    <row r="433" spans="1:16" x14ac:dyDescent="0.3">
      <c r="A433" t="s">
        <v>17</v>
      </c>
      <c r="B433" t="s">
        <v>24</v>
      </c>
      <c r="C433" t="s">
        <v>25</v>
      </c>
      <c r="D433" t="s">
        <v>363</v>
      </c>
      <c r="E433" t="s">
        <v>365</v>
      </c>
      <c r="F433" t="s">
        <v>13</v>
      </c>
      <c r="G433" t="s">
        <v>422</v>
      </c>
      <c r="H433" t="s">
        <v>368</v>
      </c>
      <c r="I433">
        <v>53</v>
      </c>
      <c r="J433">
        <v>0.8</v>
      </c>
      <c r="K433">
        <v>0.77551020408163263</v>
      </c>
      <c r="L433">
        <v>0.82608695652173914</v>
      </c>
      <c r="M433" t="s">
        <v>60</v>
      </c>
      <c r="N433" t="s">
        <v>1291</v>
      </c>
      <c r="O433" t="s">
        <v>1292</v>
      </c>
      <c r="P433">
        <v>2.2999999999999998</v>
      </c>
    </row>
    <row r="434" spans="1:16" x14ac:dyDescent="0.3">
      <c r="A434" t="s">
        <v>17</v>
      </c>
      <c r="B434" t="s">
        <v>24</v>
      </c>
      <c r="C434" t="s">
        <v>25</v>
      </c>
      <c r="D434" t="s">
        <v>363</v>
      </c>
      <c r="E434" t="s">
        <v>365</v>
      </c>
      <c r="F434" t="s">
        <v>13</v>
      </c>
      <c r="G434" t="s">
        <v>427</v>
      </c>
      <c r="H434" t="s">
        <v>368</v>
      </c>
      <c r="I434">
        <v>54</v>
      </c>
      <c r="J434">
        <v>0.80503144654088055</v>
      </c>
      <c r="K434">
        <v>0.77732793522267207</v>
      </c>
      <c r="L434">
        <v>0.83478260869565213</v>
      </c>
      <c r="M434" t="s">
        <v>60</v>
      </c>
      <c r="N434" t="s">
        <v>1293</v>
      </c>
      <c r="O434" t="s">
        <v>1294</v>
      </c>
      <c r="P434">
        <v>1.9</v>
      </c>
    </row>
    <row r="435" spans="1:16" x14ac:dyDescent="0.3">
      <c r="A435" t="s">
        <v>17</v>
      </c>
      <c r="B435" t="s">
        <v>24</v>
      </c>
      <c r="C435" t="s">
        <v>25</v>
      </c>
      <c r="D435" t="s">
        <v>363</v>
      </c>
      <c r="E435" t="s">
        <v>365</v>
      </c>
      <c r="F435" t="s">
        <v>13</v>
      </c>
      <c r="G435" t="s">
        <v>432</v>
      </c>
      <c r="H435" t="s">
        <v>368</v>
      </c>
      <c r="I435">
        <v>55</v>
      </c>
      <c r="J435">
        <v>0.78586278586278591</v>
      </c>
      <c r="K435">
        <v>0.75298804780876494</v>
      </c>
      <c r="L435">
        <v>0.82173913043478264</v>
      </c>
      <c r="M435" t="s">
        <v>60</v>
      </c>
      <c r="N435" t="s">
        <v>1295</v>
      </c>
      <c r="O435" t="s">
        <v>1296</v>
      </c>
      <c r="P435">
        <v>1.9</v>
      </c>
    </row>
    <row r="436" spans="1:16" x14ac:dyDescent="0.3">
      <c r="A436" t="s">
        <v>17</v>
      </c>
      <c r="B436" t="s">
        <v>24</v>
      </c>
      <c r="C436" t="s">
        <v>25</v>
      </c>
      <c r="D436" t="s">
        <v>363</v>
      </c>
      <c r="E436" t="s">
        <v>365</v>
      </c>
      <c r="F436" t="s">
        <v>13</v>
      </c>
      <c r="G436" t="s">
        <v>437</v>
      </c>
      <c r="H436" t="s">
        <v>368</v>
      </c>
      <c r="I436">
        <v>56</v>
      </c>
      <c r="J436">
        <v>0.7873684210526315</v>
      </c>
      <c r="K436">
        <v>0.76326530612244903</v>
      </c>
      <c r="L436">
        <v>0.81304347826086953</v>
      </c>
      <c r="M436" t="s">
        <v>60</v>
      </c>
      <c r="N436" t="s">
        <v>1297</v>
      </c>
      <c r="O436" t="s">
        <v>1298</v>
      </c>
      <c r="P436">
        <v>2.2000000000000002</v>
      </c>
    </row>
    <row r="437" spans="1:16" x14ac:dyDescent="0.3">
      <c r="A437" t="s">
        <v>17</v>
      </c>
      <c r="B437" t="s">
        <v>24</v>
      </c>
      <c r="C437" t="s">
        <v>25</v>
      </c>
      <c r="D437" t="s">
        <v>363</v>
      </c>
      <c r="E437" t="s">
        <v>365</v>
      </c>
      <c r="F437" t="s">
        <v>13</v>
      </c>
      <c r="G437" t="s">
        <v>442</v>
      </c>
      <c r="H437" t="s">
        <v>368</v>
      </c>
      <c r="I437">
        <v>57</v>
      </c>
      <c r="J437">
        <v>0.79245283018867918</v>
      </c>
      <c r="K437">
        <v>0.76518218623481782</v>
      </c>
      <c r="L437">
        <v>0.82173913043478264</v>
      </c>
      <c r="M437" t="s">
        <v>60</v>
      </c>
      <c r="N437" t="s">
        <v>1299</v>
      </c>
      <c r="O437" t="s">
        <v>1300</v>
      </c>
      <c r="P437">
        <v>1.9</v>
      </c>
    </row>
    <row r="438" spans="1:16" x14ac:dyDescent="0.3">
      <c r="A438" t="s">
        <v>17</v>
      </c>
      <c r="B438" t="s">
        <v>24</v>
      </c>
      <c r="C438" t="s">
        <v>25</v>
      </c>
      <c r="D438" t="s">
        <v>363</v>
      </c>
      <c r="E438" t="s">
        <v>365</v>
      </c>
      <c r="F438" t="s">
        <v>13</v>
      </c>
      <c r="G438" t="s">
        <v>447</v>
      </c>
      <c r="H438" t="s">
        <v>368</v>
      </c>
      <c r="I438">
        <v>58</v>
      </c>
      <c r="J438">
        <v>0.80082987551867213</v>
      </c>
      <c r="K438">
        <v>0.76587301587301593</v>
      </c>
      <c r="L438">
        <v>0.83913043478260874</v>
      </c>
      <c r="M438" t="s">
        <v>60</v>
      </c>
      <c r="N438" t="s">
        <v>1301</v>
      </c>
      <c r="O438" t="s">
        <v>1302</v>
      </c>
      <c r="P438">
        <v>2.2000000000000002</v>
      </c>
    </row>
    <row r="439" spans="1:16" x14ac:dyDescent="0.3">
      <c r="A439" t="s">
        <v>17</v>
      </c>
      <c r="B439" t="s">
        <v>24</v>
      </c>
      <c r="C439" t="s">
        <v>25</v>
      </c>
      <c r="D439" t="s">
        <v>363</v>
      </c>
      <c r="E439" t="s">
        <v>365</v>
      </c>
      <c r="F439" t="s">
        <v>13</v>
      </c>
      <c r="G439" t="s">
        <v>452</v>
      </c>
      <c r="H439" t="s">
        <v>368</v>
      </c>
      <c r="I439">
        <v>59</v>
      </c>
      <c r="J439">
        <v>0.76729559748427678</v>
      </c>
      <c r="K439">
        <v>0.74089068825910931</v>
      </c>
      <c r="L439">
        <v>0.79565217391304344</v>
      </c>
      <c r="M439" t="s">
        <v>60</v>
      </c>
      <c r="N439" t="s">
        <v>1303</v>
      </c>
      <c r="O439" t="s">
        <v>1304</v>
      </c>
      <c r="P439">
        <v>1.9</v>
      </c>
    </row>
    <row r="440" spans="1:16" x14ac:dyDescent="0.3">
      <c r="A440" t="s">
        <v>17</v>
      </c>
      <c r="B440" t="s">
        <v>24</v>
      </c>
      <c r="C440" t="s">
        <v>25</v>
      </c>
      <c r="D440" t="s">
        <v>363</v>
      </c>
      <c r="E440" t="s">
        <v>365</v>
      </c>
      <c r="F440" t="s">
        <v>13</v>
      </c>
      <c r="G440" t="s">
        <v>457</v>
      </c>
      <c r="H440" t="s">
        <v>368</v>
      </c>
      <c r="I440">
        <v>60</v>
      </c>
      <c r="J440">
        <v>0.79664570230607967</v>
      </c>
      <c r="K440">
        <v>0.76923076923076927</v>
      </c>
      <c r="L440">
        <v>0.82608695652173914</v>
      </c>
      <c r="M440" t="s">
        <v>60</v>
      </c>
      <c r="N440" t="s">
        <v>1305</v>
      </c>
      <c r="O440" t="s">
        <v>1306</v>
      </c>
      <c r="P440">
        <v>1.9</v>
      </c>
    </row>
    <row r="441" spans="1:16" x14ac:dyDescent="0.3">
      <c r="A441" t="s">
        <v>17</v>
      </c>
      <c r="B441" t="s">
        <v>24</v>
      </c>
      <c r="C441" t="s">
        <v>25</v>
      </c>
      <c r="D441" t="s">
        <v>363</v>
      </c>
      <c r="E441" t="s">
        <v>365</v>
      </c>
      <c r="F441" t="s">
        <v>13</v>
      </c>
      <c r="G441" t="s">
        <v>462</v>
      </c>
      <c r="H441" t="s">
        <v>368</v>
      </c>
      <c r="I441">
        <v>61</v>
      </c>
      <c r="J441">
        <v>0.77661795407098111</v>
      </c>
      <c r="K441">
        <v>0.74698795180722888</v>
      </c>
      <c r="L441">
        <v>0.80869565217391304</v>
      </c>
      <c r="M441" t="s">
        <v>60</v>
      </c>
      <c r="N441" t="s">
        <v>1307</v>
      </c>
      <c r="O441" t="s">
        <v>1308</v>
      </c>
      <c r="P441">
        <v>2.1</v>
      </c>
    </row>
    <row r="442" spans="1:16" x14ac:dyDescent="0.3">
      <c r="A442" t="s">
        <v>17</v>
      </c>
      <c r="B442" t="s">
        <v>24</v>
      </c>
      <c r="C442" t="s">
        <v>25</v>
      </c>
      <c r="D442" t="s">
        <v>363</v>
      </c>
      <c r="E442" t="s">
        <v>467</v>
      </c>
      <c r="F442" t="s">
        <v>9</v>
      </c>
      <c r="G442" t="s">
        <v>468</v>
      </c>
      <c r="H442" t="s">
        <v>470</v>
      </c>
      <c r="I442">
        <v>42</v>
      </c>
      <c r="J442">
        <v>0.80225988700564976</v>
      </c>
      <c r="K442">
        <v>0.76756756756756761</v>
      </c>
      <c r="L442">
        <v>0.84023668639053251</v>
      </c>
      <c r="M442" t="s">
        <v>60</v>
      </c>
      <c r="N442" t="s">
        <v>1309</v>
      </c>
      <c r="O442" t="s">
        <v>1310</v>
      </c>
      <c r="P442">
        <v>2.1</v>
      </c>
    </row>
    <row r="443" spans="1:16" x14ac:dyDescent="0.3">
      <c r="A443" t="s">
        <v>17</v>
      </c>
      <c r="B443" t="s">
        <v>24</v>
      </c>
      <c r="C443" t="s">
        <v>25</v>
      </c>
      <c r="D443" t="s">
        <v>363</v>
      </c>
      <c r="E443" t="s">
        <v>467</v>
      </c>
      <c r="F443" t="s">
        <v>9</v>
      </c>
      <c r="G443" t="s">
        <v>474</v>
      </c>
      <c r="H443" t="s">
        <v>470</v>
      </c>
      <c r="I443">
        <v>43</v>
      </c>
      <c r="J443">
        <v>0.81586402266288949</v>
      </c>
      <c r="K443">
        <v>0.78260869565217395</v>
      </c>
      <c r="L443">
        <v>0.85207100591715978</v>
      </c>
      <c r="M443" t="s">
        <v>60</v>
      </c>
      <c r="N443" t="s">
        <v>1311</v>
      </c>
      <c r="O443" t="s">
        <v>1312</v>
      </c>
      <c r="P443">
        <v>1.7</v>
      </c>
    </row>
    <row r="444" spans="1:16" x14ac:dyDescent="0.3">
      <c r="A444" t="s">
        <v>17</v>
      </c>
      <c r="B444" t="s">
        <v>24</v>
      </c>
      <c r="C444" t="s">
        <v>25</v>
      </c>
      <c r="D444" t="s">
        <v>363</v>
      </c>
      <c r="E444" t="s">
        <v>467</v>
      </c>
      <c r="F444" t="s">
        <v>9</v>
      </c>
      <c r="G444" t="s">
        <v>479</v>
      </c>
      <c r="H444" t="s">
        <v>470</v>
      </c>
      <c r="I444">
        <v>44</v>
      </c>
      <c r="J444">
        <v>0.80779944289693595</v>
      </c>
      <c r="K444">
        <v>0.76315789473684215</v>
      </c>
      <c r="L444">
        <v>0.85798816568047342</v>
      </c>
      <c r="M444" t="s">
        <v>60</v>
      </c>
      <c r="N444" t="s">
        <v>1313</v>
      </c>
      <c r="O444" t="s">
        <v>1314</v>
      </c>
      <c r="P444">
        <v>1.7</v>
      </c>
    </row>
    <row r="445" spans="1:16" x14ac:dyDescent="0.3">
      <c r="A445" t="s">
        <v>17</v>
      </c>
      <c r="B445" t="s">
        <v>24</v>
      </c>
      <c r="C445" t="s">
        <v>25</v>
      </c>
      <c r="D445" t="s">
        <v>363</v>
      </c>
      <c r="E445" t="s">
        <v>467</v>
      </c>
      <c r="F445" t="s">
        <v>9</v>
      </c>
      <c r="G445" t="s">
        <v>484</v>
      </c>
      <c r="H445" t="s">
        <v>470</v>
      </c>
      <c r="I445">
        <v>45</v>
      </c>
      <c r="J445">
        <v>0.8044692737430168</v>
      </c>
      <c r="K445">
        <v>0.76190476190476186</v>
      </c>
      <c r="L445">
        <v>0.85207100591715978</v>
      </c>
      <c r="M445" t="s">
        <v>60</v>
      </c>
      <c r="N445" t="s">
        <v>1315</v>
      </c>
      <c r="O445" t="s">
        <v>1316</v>
      </c>
      <c r="P445">
        <v>2.1</v>
      </c>
    </row>
    <row r="446" spans="1:16" x14ac:dyDescent="0.3">
      <c r="A446" t="s">
        <v>17</v>
      </c>
      <c r="B446" t="s">
        <v>24</v>
      </c>
      <c r="C446" t="s">
        <v>25</v>
      </c>
      <c r="D446" t="s">
        <v>363</v>
      </c>
      <c r="E446" t="s">
        <v>467</v>
      </c>
      <c r="F446" t="s">
        <v>9</v>
      </c>
      <c r="G446" t="s">
        <v>489</v>
      </c>
      <c r="H446" t="s">
        <v>470</v>
      </c>
      <c r="I446">
        <v>46</v>
      </c>
      <c r="J446">
        <v>0.79436619718309853</v>
      </c>
      <c r="K446">
        <v>0.75806451612903225</v>
      </c>
      <c r="L446">
        <v>0.83431952662721898</v>
      </c>
      <c r="M446" t="s">
        <v>60</v>
      </c>
      <c r="N446" t="s">
        <v>1317</v>
      </c>
      <c r="O446" t="s">
        <v>1318</v>
      </c>
      <c r="P446">
        <v>1.7</v>
      </c>
    </row>
    <row r="447" spans="1:16" x14ac:dyDescent="0.3">
      <c r="A447" t="s">
        <v>17</v>
      </c>
      <c r="B447" t="s">
        <v>24</v>
      </c>
      <c r="C447" t="s">
        <v>25</v>
      </c>
      <c r="D447" t="s">
        <v>363</v>
      </c>
      <c r="E447" t="s">
        <v>467</v>
      </c>
      <c r="F447" t="s">
        <v>9</v>
      </c>
      <c r="G447" t="s">
        <v>494</v>
      </c>
      <c r="H447" t="s">
        <v>470</v>
      </c>
      <c r="I447">
        <v>47</v>
      </c>
      <c r="J447">
        <v>0.78453038674033149</v>
      </c>
      <c r="K447">
        <v>0.73575129533678751</v>
      </c>
      <c r="L447">
        <v>0.84023668639053251</v>
      </c>
      <c r="M447" t="s">
        <v>60</v>
      </c>
      <c r="N447" t="s">
        <v>1319</v>
      </c>
      <c r="O447" t="s">
        <v>1320</v>
      </c>
      <c r="P447">
        <v>1.7</v>
      </c>
    </row>
    <row r="448" spans="1:16" x14ac:dyDescent="0.3">
      <c r="A448" t="s">
        <v>17</v>
      </c>
      <c r="B448" t="s">
        <v>24</v>
      </c>
      <c r="C448" t="s">
        <v>25</v>
      </c>
      <c r="D448" t="s">
        <v>363</v>
      </c>
      <c r="E448" t="s">
        <v>467</v>
      </c>
      <c r="F448" t="s">
        <v>9</v>
      </c>
      <c r="G448" t="s">
        <v>499</v>
      </c>
      <c r="H448" t="s">
        <v>470</v>
      </c>
      <c r="I448">
        <v>48</v>
      </c>
      <c r="J448">
        <v>0.82320441988950277</v>
      </c>
      <c r="K448">
        <v>0.772020725388601</v>
      </c>
      <c r="L448">
        <v>0.88165680473372776</v>
      </c>
      <c r="M448" t="s">
        <v>60</v>
      </c>
      <c r="N448" t="s">
        <v>1321</v>
      </c>
      <c r="O448" t="s">
        <v>1322</v>
      </c>
      <c r="P448">
        <v>1.7</v>
      </c>
    </row>
    <row r="449" spans="1:16" x14ac:dyDescent="0.3">
      <c r="A449" t="s">
        <v>17</v>
      </c>
      <c r="B449" t="s">
        <v>24</v>
      </c>
      <c r="C449" t="s">
        <v>25</v>
      </c>
      <c r="D449" t="s">
        <v>363</v>
      </c>
      <c r="E449" t="s">
        <v>467</v>
      </c>
      <c r="F449" t="s">
        <v>9</v>
      </c>
      <c r="G449" t="s">
        <v>504</v>
      </c>
      <c r="H449" t="s">
        <v>470</v>
      </c>
      <c r="I449">
        <v>49</v>
      </c>
      <c r="J449">
        <v>0.80790960451977401</v>
      </c>
      <c r="K449">
        <v>0.77297297297297296</v>
      </c>
      <c r="L449">
        <v>0.84615384615384615</v>
      </c>
      <c r="M449" t="s">
        <v>60</v>
      </c>
      <c r="N449" t="s">
        <v>1323</v>
      </c>
      <c r="O449" t="s">
        <v>1324</v>
      </c>
      <c r="P449">
        <v>2.2000000000000002</v>
      </c>
    </row>
    <row r="450" spans="1:16" x14ac:dyDescent="0.3">
      <c r="A450" t="s">
        <v>17</v>
      </c>
      <c r="B450" t="s">
        <v>24</v>
      </c>
      <c r="C450" t="s">
        <v>25</v>
      </c>
      <c r="D450" t="s">
        <v>363</v>
      </c>
      <c r="E450" t="s">
        <v>467</v>
      </c>
      <c r="F450" t="s">
        <v>9</v>
      </c>
      <c r="G450" t="s">
        <v>509</v>
      </c>
      <c r="H450" t="s">
        <v>470</v>
      </c>
      <c r="I450">
        <v>50</v>
      </c>
      <c r="J450">
        <v>0.80341880341880345</v>
      </c>
      <c r="K450">
        <v>0.77472527472527475</v>
      </c>
      <c r="L450">
        <v>0.83431952662721898</v>
      </c>
      <c r="M450" t="s">
        <v>60</v>
      </c>
      <c r="N450" t="s">
        <v>1325</v>
      </c>
      <c r="O450" t="s">
        <v>1326</v>
      </c>
      <c r="P450">
        <v>1.7</v>
      </c>
    </row>
    <row r="451" spans="1:16" x14ac:dyDescent="0.3">
      <c r="A451" t="s">
        <v>17</v>
      </c>
      <c r="B451" t="s">
        <v>24</v>
      </c>
      <c r="C451" t="s">
        <v>25</v>
      </c>
      <c r="D451" t="s">
        <v>363</v>
      </c>
      <c r="E451" t="s">
        <v>467</v>
      </c>
      <c r="F451" t="s">
        <v>9</v>
      </c>
      <c r="G451" t="s">
        <v>514</v>
      </c>
      <c r="H451" t="s">
        <v>470</v>
      </c>
      <c r="I451">
        <v>51</v>
      </c>
      <c r="J451">
        <v>0.81586402266288949</v>
      </c>
      <c r="K451">
        <v>0.78260869565217395</v>
      </c>
      <c r="L451">
        <v>0.85207100591715978</v>
      </c>
      <c r="M451" t="s">
        <v>60</v>
      </c>
      <c r="N451" t="s">
        <v>1327</v>
      </c>
      <c r="O451" t="s">
        <v>1328</v>
      </c>
      <c r="P451">
        <v>1.7</v>
      </c>
    </row>
    <row r="452" spans="1:16" x14ac:dyDescent="0.3">
      <c r="A452" t="s">
        <v>17</v>
      </c>
      <c r="B452" t="s">
        <v>24</v>
      </c>
      <c r="C452" t="s">
        <v>25</v>
      </c>
      <c r="D452" t="s">
        <v>363</v>
      </c>
      <c r="E452" t="s">
        <v>467</v>
      </c>
      <c r="F452" t="s">
        <v>9</v>
      </c>
      <c r="G452" t="s">
        <v>519</v>
      </c>
      <c r="H452" t="s">
        <v>470</v>
      </c>
      <c r="I452">
        <v>52</v>
      </c>
      <c r="J452">
        <v>0.79190751445086704</v>
      </c>
      <c r="K452">
        <v>0.77401129943502822</v>
      </c>
      <c r="L452">
        <v>0.81065088757396453</v>
      </c>
      <c r="M452" t="s">
        <v>60</v>
      </c>
      <c r="N452" t="s">
        <v>1329</v>
      </c>
      <c r="O452" t="s">
        <v>1330</v>
      </c>
      <c r="P452">
        <v>2.1</v>
      </c>
    </row>
    <row r="453" spans="1:16" x14ac:dyDescent="0.3">
      <c r="A453" t="s">
        <v>17</v>
      </c>
      <c r="B453" t="s">
        <v>24</v>
      </c>
      <c r="C453" t="s">
        <v>25</v>
      </c>
      <c r="D453" t="s">
        <v>363</v>
      </c>
      <c r="E453" t="s">
        <v>467</v>
      </c>
      <c r="F453" t="s">
        <v>9</v>
      </c>
      <c r="G453" t="s">
        <v>524</v>
      </c>
      <c r="H453" t="s">
        <v>470</v>
      </c>
      <c r="I453">
        <v>53</v>
      </c>
      <c r="J453">
        <v>0.80911680911680917</v>
      </c>
      <c r="K453">
        <v>0.78021978021978022</v>
      </c>
      <c r="L453">
        <v>0.84023668639053251</v>
      </c>
      <c r="M453" t="s">
        <v>60</v>
      </c>
      <c r="N453" t="s">
        <v>1331</v>
      </c>
      <c r="O453" t="s">
        <v>1332</v>
      </c>
      <c r="P453">
        <v>1.7</v>
      </c>
    </row>
    <row r="454" spans="1:16" x14ac:dyDescent="0.3">
      <c r="A454" t="s">
        <v>17</v>
      </c>
      <c r="B454" t="s">
        <v>24</v>
      </c>
      <c r="C454" t="s">
        <v>25</v>
      </c>
      <c r="D454" t="s">
        <v>363</v>
      </c>
      <c r="E454" t="s">
        <v>467</v>
      </c>
      <c r="F454" t="s">
        <v>9</v>
      </c>
      <c r="G454" t="s">
        <v>529</v>
      </c>
      <c r="H454" t="s">
        <v>470</v>
      </c>
      <c r="I454">
        <v>54</v>
      </c>
      <c r="J454">
        <v>0.8125</v>
      </c>
      <c r="K454">
        <v>0.78142076502732238</v>
      </c>
      <c r="L454">
        <v>0.84615384615384615</v>
      </c>
      <c r="M454" t="s">
        <v>60</v>
      </c>
      <c r="N454" t="s">
        <v>1333</v>
      </c>
      <c r="O454" t="s">
        <v>1334</v>
      </c>
      <c r="P454">
        <v>1.7</v>
      </c>
    </row>
    <row r="455" spans="1:16" x14ac:dyDescent="0.3">
      <c r="A455" t="s">
        <v>17</v>
      </c>
      <c r="B455" t="s">
        <v>24</v>
      </c>
      <c r="C455" t="s">
        <v>25</v>
      </c>
      <c r="D455" t="s">
        <v>363</v>
      </c>
      <c r="E455" t="s">
        <v>467</v>
      </c>
      <c r="F455" t="s">
        <v>9</v>
      </c>
      <c r="G455" t="s">
        <v>534</v>
      </c>
      <c r="H455" t="s">
        <v>470</v>
      </c>
      <c r="I455">
        <v>55</v>
      </c>
      <c r="J455">
        <v>0.82719546742209626</v>
      </c>
      <c r="K455">
        <v>0.79347826086956519</v>
      </c>
      <c r="L455">
        <v>0.86390532544378695</v>
      </c>
      <c r="M455" t="s">
        <v>60</v>
      </c>
      <c r="N455" t="s">
        <v>1335</v>
      </c>
      <c r="O455" t="s">
        <v>1336</v>
      </c>
      <c r="P455">
        <v>1.9</v>
      </c>
    </row>
    <row r="456" spans="1:16" x14ac:dyDescent="0.3">
      <c r="A456" t="s">
        <v>17</v>
      </c>
      <c r="B456" t="s">
        <v>24</v>
      </c>
      <c r="C456" t="s">
        <v>25</v>
      </c>
      <c r="D456" t="s">
        <v>363</v>
      </c>
      <c r="E456" t="s">
        <v>467</v>
      </c>
      <c r="F456" t="s">
        <v>9</v>
      </c>
      <c r="G456" t="s">
        <v>539</v>
      </c>
      <c r="H456" t="s">
        <v>470</v>
      </c>
      <c r="I456">
        <v>56</v>
      </c>
      <c r="J456">
        <v>0.8100558659217878</v>
      </c>
      <c r="K456">
        <v>0.76719576719576721</v>
      </c>
      <c r="L456">
        <v>0.85798816568047342</v>
      </c>
      <c r="M456" t="s">
        <v>60</v>
      </c>
      <c r="N456" t="s">
        <v>1337</v>
      </c>
      <c r="O456" t="s">
        <v>1338</v>
      </c>
      <c r="P456">
        <v>2.2000000000000002</v>
      </c>
    </row>
    <row r="457" spans="1:16" x14ac:dyDescent="0.3">
      <c r="A457" t="s">
        <v>17</v>
      </c>
      <c r="B457" t="s">
        <v>24</v>
      </c>
      <c r="C457" t="s">
        <v>25</v>
      </c>
      <c r="D457" t="s">
        <v>363</v>
      </c>
      <c r="E457" t="s">
        <v>467</v>
      </c>
      <c r="F457" t="s">
        <v>9</v>
      </c>
      <c r="G457" t="s">
        <v>544</v>
      </c>
      <c r="H457" t="s">
        <v>470</v>
      </c>
      <c r="I457">
        <v>57</v>
      </c>
      <c r="J457">
        <v>0.82485875706214684</v>
      </c>
      <c r="K457">
        <v>0.78918918918918923</v>
      </c>
      <c r="L457">
        <v>0.86390532544378695</v>
      </c>
      <c r="M457" t="s">
        <v>60</v>
      </c>
      <c r="N457" t="s">
        <v>1339</v>
      </c>
      <c r="O457" t="s">
        <v>1340</v>
      </c>
      <c r="P457">
        <v>1.7</v>
      </c>
    </row>
    <row r="458" spans="1:16" x14ac:dyDescent="0.3">
      <c r="A458" t="s">
        <v>17</v>
      </c>
      <c r="B458" t="s">
        <v>24</v>
      </c>
      <c r="C458" t="s">
        <v>25</v>
      </c>
      <c r="D458" t="s">
        <v>363</v>
      </c>
      <c r="E458" t="s">
        <v>467</v>
      </c>
      <c r="F458" t="s">
        <v>9</v>
      </c>
      <c r="G458" t="s">
        <v>549</v>
      </c>
      <c r="H458" t="s">
        <v>470</v>
      </c>
      <c r="I458">
        <v>58</v>
      </c>
      <c r="J458">
        <v>0.8045325779036826</v>
      </c>
      <c r="K458">
        <v>0.77173913043478259</v>
      </c>
      <c r="L458">
        <v>0.84023668639053251</v>
      </c>
      <c r="M458" t="s">
        <v>60</v>
      </c>
      <c r="N458" t="s">
        <v>1341</v>
      </c>
      <c r="O458" t="s">
        <v>1342</v>
      </c>
      <c r="P458">
        <v>1.7</v>
      </c>
    </row>
    <row r="459" spans="1:16" x14ac:dyDescent="0.3">
      <c r="A459" t="s">
        <v>17</v>
      </c>
      <c r="B459" t="s">
        <v>24</v>
      </c>
      <c r="C459" t="s">
        <v>25</v>
      </c>
      <c r="D459" t="s">
        <v>363</v>
      </c>
      <c r="E459" t="s">
        <v>467</v>
      </c>
      <c r="F459" t="s">
        <v>9</v>
      </c>
      <c r="G459" t="s">
        <v>554</v>
      </c>
      <c r="H459" t="s">
        <v>470</v>
      </c>
      <c r="I459">
        <v>59</v>
      </c>
      <c r="J459">
        <v>0.79545454545454541</v>
      </c>
      <c r="K459">
        <v>0.76502732240437155</v>
      </c>
      <c r="L459">
        <v>0.82840236686390534</v>
      </c>
      <c r="M459" t="s">
        <v>60</v>
      </c>
      <c r="N459" t="s">
        <v>1343</v>
      </c>
      <c r="O459" t="s">
        <v>1344</v>
      </c>
      <c r="P459">
        <v>2.1</v>
      </c>
    </row>
    <row r="460" spans="1:16" x14ac:dyDescent="0.3">
      <c r="A460" t="s">
        <v>17</v>
      </c>
      <c r="B460" t="s">
        <v>24</v>
      </c>
      <c r="C460" t="s">
        <v>25</v>
      </c>
      <c r="D460" t="s">
        <v>363</v>
      </c>
      <c r="E460" t="s">
        <v>467</v>
      </c>
      <c r="F460" t="s">
        <v>9</v>
      </c>
      <c r="G460" t="s">
        <v>559</v>
      </c>
      <c r="H460" t="s">
        <v>470</v>
      </c>
      <c r="I460">
        <v>60</v>
      </c>
      <c r="J460">
        <v>0.79999999999999982</v>
      </c>
      <c r="K460">
        <v>0.76344086021505375</v>
      </c>
      <c r="L460">
        <v>0.84023668639053251</v>
      </c>
      <c r="M460" t="s">
        <v>60</v>
      </c>
      <c r="N460" t="s">
        <v>1345</v>
      </c>
      <c r="O460" t="s">
        <v>1346</v>
      </c>
      <c r="P460">
        <v>1.7</v>
      </c>
    </row>
    <row r="461" spans="1:16" x14ac:dyDescent="0.3">
      <c r="A461" t="s">
        <v>17</v>
      </c>
      <c r="B461" t="s">
        <v>24</v>
      </c>
      <c r="C461" t="s">
        <v>25</v>
      </c>
      <c r="D461" t="s">
        <v>363</v>
      </c>
      <c r="E461" t="s">
        <v>467</v>
      </c>
      <c r="F461" t="s">
        <v>9</v>
      </c>
      <c r="G461" t="s">
        <v>564</v>
      </c>
      <c r="H461" t="s">
        <v>470</v>
      </c>
      <c r="I461">
        <v>61</v>
      </c>
      <c r="J461">
        <v>0.80113636363636365</v>
      </c>
      <c r="K461">
        <v>0.77049180327868849</v>
      </c>
      <c r="L461">
        <v>0.83431952662721898</v>
      </c>
      <c r="M461" t="s">
        <v>60</v>
      </c>
      <c r="N461" t="s">
        <v>1347</v>
      </c>
      <c r="O461" t="s">
        <v>1348</v>
      </c>
      <c r="P461">
        <v>1.6</v>
      </c>
    </row>
    <row r="462" spans="1:16" x14ac:dyDescent="0.3">
      <c r="A462" t="s">
        <v>17</v>
      </c>
      <c r="B462" t="s">
        <v>24</v>
      </c>
      <c r="C462" t="s">
        <v>25</v>
      </c>
      <c r="D462" t="s">
        <v>363</v>
      </c>
      <c r="E462" t="s">
        <v>569</v>
      </c>
      <c r="F462" t="s">
        <v>11</v>
      </c>
      <c r="G462" t="s">
        <v>570</v>
      </c>
      <c r="H462" t="s">
        <v>572</v>
      </c>
      <c r="I462">
        <v>42</v>
      </c>
      <c r="J462">
        <v>0.80088495575221241</v>
      </c>
      <c r="K462">
        <v>0.78695652173913044</v>
      </c>
      <c r="L462">
        <v>0.81531531531531531</v>
      </c>
      <c r="M462" t="s">
        <v>60</v>
      </c>
      <c r="N462" t="s">
        <v>1349</v>
      </c>
      <c r="O462" t="s">
        <v>1350</v>
      </c>
      <c r="P462">
        <v>1.8</v>
      </c>
    </row>
    <row r="463" spans="1:16" x14ac:dyDescent="0.3">
      <c r="A463" t="s">
        <v>17</v>
      </c>
      <c r="B463" t="s">
        <v>24</v>
      </c>
      <c r="C463" t="s">
        <v>25</v>
      </c>
      <c r="D463" t="s">
        <v>363</v>
      </c>
      <c r="E463" t="s">
        <v>569</v>
      </c>
      <c r="F463" t="s">
        <v>11</v>
      </c>
      <c r="G463" t="s">
        <v>576</v>
      </c>
      <c r="H463" t="s">
        <v>572</v>
      </c>
      <c r="I463">
        <v>43</v>
      </c>
      <c r="J463">
        <v>0.79028697571743911</v>
      </c>
      <c r="K463">
        <v>0.77489177489177485</v>
      </c>
      <c r="L463">
        <v>0.80630630630630629</v>
      </c>
      <c r="M463" t="s">
        <v>60</v>
      </c>
      <c r="N463" t="s">
        <v>1351</v>
      </c>
      <c r="O463" t="s">
        <v>1352</v>
      </c>
      <c r="P463">
        <v>2.2999999999999998</v>
      </c>
    </row>
    <row r="464" spans="1:16" x14ac:dyDescent="0.3">
      <c r="A464" t="s">
        <v>17</v>
      </c>
      <c r="B464" t="s">
        <v>24</v>
      </c>
      <c r="C464" t="s">
        <v>25</v>
      </c>
      <c r="D464" t="s">
        <v>363</v>
      </c>
      <c r="E464" t="s">
        <v>569</v>
      </c>
      <c r="F464" t="s">
        <v>11</v>
      </c>
      <c r="G464" t="s">
        <v>581</v>
      </c>
      <c r="H464" t="s">
        <v>572</v>
      </c>
      <c r="I464">
        <v>44</v>
      </c>
      <c r="J464">
        <v>0.80444444444444441</v>
      </c>
      <c r="K464">
        <v>0.79385964912280704</v>
      </c>
      <c r="L464">
        <v>0.81531531531531531</v>
      </c>
      <c r="M464" t="s">
        <v>60</v>
      </c>
      <c r="N464" t="s">
        <v>1353</v>
      </c>
      <c r="O464" t="s">
        <v>1354</v>
      </c>
      <c r="P464">
        <v>1.9</v>
      </c>
    </row>
    <row r="465" spans="1:16" x14ac:dyDescent="0.3">
      <c r="A465" t="s">
        <v>17</v>
      </c>
      <c r="B465" t="s">
        <v>24</v>
      </c>
      <c r="C465" t="s">
        <v>25</v>
      </c>
      <c r="D465" t="s">
        <v>363</v>
      </c>
      <c r="E465" t="s">
        <v>569</v>
      </c>
      <c r="F465" t="s">
        <v>11</v>
      </c>
      <c r="G465" t="s">
        <v>586</v>
      </c>
      <c r="H465" t="s">
        <v>572</v>
      </c>
      <c r="I465">
        <v>45</v>
      </c>
      <c r="J465">
        <v>0.79824561403508765</v>
      </c>
      <c r="K465">
        <v>0.77777777777777779</v>
      </c>
      <c r="L465">
        <v>0.81981981981981977</v>
      </c>
      <c r="M465" t="s">
        <v>60</v>
      </c>
      <c r="N465" t="s">
        <v>1355</v>
      </c>
      <c r="O465" t="s">
        <v>1356</v>
      </c>
      <c r="P465">
        <v>1.8</v>
      </c>
    </row>
    <row r="466" spans="1:16" x14ac:dyDescent="0.3">
      <c r="A466" t="s">
        <v>17</v>
      </c>
      <c r="B466" t="s">
        <v>24</v>
      </c>
      <c r="C466" t="s">
        <v>25</v>
      </c>
      <c r="D466" t="s">
        <v>363</v>
      </c>
      <c r="E466" t="s">
        <v>569</v>
      </c>
      <c r="F466" t="s">
        <v>11</v>
      </c>
      <c r="G466" t="s">
        <v>591</v>
      </c>
      <c r="H466" t="s">
        <v>572</v>
      </c>
      <c r="I466">
        <v>46</v>
      </c>
      <c r="J466">
        <v>0.81677704194260492</v>
      </c>
      <c r="K466">
        <v>0.80086580086580084</v>
      </c>
      <c r="L466">
        <v>0.83333333333333337</v>
      </c>
      <c r="M466" t="s">
        <v>60</v>
      </c>
      <c r="N466" t="s">
        <v>1357</v>
      </c>
      <c r="O466" t="s">
        <v>1358</v>
      </c>
      <c r="P466">
        <v>2.2999999999999998</v>
      </c>
    </row>
    <row r="467" spans="1:16" x14ac:dyDescent="0.3">
      <c r="A467" t="s">
        <v>17</v>
      </c>
      <c r="B467" t="s">
        <v>24</v>
      </c>
      <c r="C467" t="s">
        <v>25</v>
      </c>
      <c r="D467" t="s">
        <v>363</v>
      </c>
      <c r="E467" t="s">
        <v>569</v>
      </c>
      <c r="F467" t="s">
        <v>11</v>
      </c>
      <c r="G467" t="s">
        <v>596</v>
      </c>
      <c r="H467" t="s">
        <v>572</v>
      </c>
      <c r="I467">
        <v>47</v>
      </c>
      <c r="J467">
        <v>0.83628318584070793</v>
      </c>
      <c r="K467">
        <v>0.82173913043478264</v>
      </c>
      <c r="L467">
        <v>0.85135135135135132</v>
      </c>
      <c r="M467" t="s">
        <v>60</v>
      </c>
      <c r="N467" t="s">
        <v>1359</v>
      </c>
      <c r="O467" t="s">
        <v>1360</v>
      </c>
      <c r="P467">
        <v>1.8</v>
      </c>
    </row>
    <row r="468" spans="1:16" x14ac:dyDescent="0.3">
      <c r="A468" t="s">
        <v>17</v>
      </c>
      <c r="B468" t="s">
        <v>24</v>
      </c>
      <c r="C468" t="s">
        <v>25</v>
      </c>
      <c r="D468" t="s">
        <v>363</v>
      </c>
      <c r="E468" t="s">
        <v>569</v>
      </c>
      <c r="F468" t="s">
        <v>11</v>
      </c>
      <c r="G468" t="s">
        <v>601</v>
      </c>
      <c r="H468" t="s">
        <v>572</v>
      </c>
      <c r="I468">
        <v>48</v>
      </c>
      <c r="J468">
        <v>0.82405345211581293</v>
      </c>
      <c r="K468">
        <v>0.81497797356828194</v>
      </c>
      <c r="L468">
        <v>0.83333333333333337</v>
      </c>
      <c r="M468" t="s">
        <v>60</v>
      </c>
      <c r="N468" t="s">
        <v>1361</v>
      </c>
      <c r="O468" t="s">
        <v>1362</v>
      </c>
      <c r="P468">
        <v>1.8</v>
      </c>
    </row>
    <row r="469" spans="1:16" x14ac:dyDescent="0.3">
      <c r="A469" t="s">
        <v>17</v>
      </c>
      <c r="B469" t="s">
        <v>24</v>
      </c>
      <c r="C469" t="s">
        <v>25</v>
      </c>
      <c r="D469" t="s">
        <v>363</v>
      </c>
      <c r="E469" t="s">
        <v>569</v>
      </c>
      <c r="F469" t="s">
        <v>11</v>
      </c>
      <c r="G469" t="s">
        <v>606</v>
      </c>
      <c r="H469" t="s">
        <v>572</v>
      </c>
      <c r="I469">
        <v>49</v>
      </c>
      <c r="J469">
        <v>0.82456140350877194</v>
      </c>
      <c r="K469">
        <v>0.80341880341880345</v>
      </c>
      <c r="L469">
        <v>0.84684684684684686</v>
      </c>
      <c r="M469" t="s">
        <v>60</v>
      </c>
      <c r="N469" t="s">
        <v>1363</v>
      </c>
      <c r="O469" t="s">
        <v>1364</v>
      </c>
      <c r="P469">
        <v>2.2999999999999998</v>
      </c>
    </row>
    <row r="470" spans="1:16" x14ac:dyDescent="0.3">
      <c r="A470" t="s">
        <v>17</v>
      </c>
      <c r="B470" t="s">
        <v>24</v>
      </c>
      <c r="C470" t="s">
        <v>25</v>
      </c>
      <c r="D470" t="s">
        <v>363</v>
      </c>
      <c r="E470" t="s">
        <v>569</v>
      </c>
      <c r="F470" t="s">
        <v>11</v>
      </c>
      <c r="G470" t="s">
        <v>611</v>
      </c>
      <c r="H470" t="s">
        <v>572</v>
      </c>
      <c r="I470">
        <v>50</v>
      </c>
      <c r="J470">
        <v>0.81938325991189431</v>
      </c>
      <c r="K470">
        <v>0.80172413793103448</v>
      </c>
      <c r="L470">
        <v>0.83783783783783783</v>
      </c>
      <c r="M470" t="s">
        <v>60</v>
      </c>
      <c r="N470" t="s">
        <v>1365</v>
      </c>
      <c r="O470" t="s">
        <v>1366</v>
      </c>
      <c r="P470">
        <v>1.9</v>
      </c>
    </row>
    <row r="471" spans="1:16" x14ac:dyDescent="0.3">
      <c r="A471" t="s">
        <v>17</v>
      </c>
      <c r="B471" t="s">
        <v>24</v>
      </c>
      <c r="C471" t="s">
        <v>25</v>
      </c>
      <c r="D471" t="s">
        <v>363</v>
      </c>
      <c r="E471" t="s">
        <v>569</v>
      </c>
      <c r="F471" t="s">
        <v>11</v>
      </c>
      <c r="G471" t="s">
        <v>616</v>
      </c>
      <c r="H471" t="s">
        <v>572</v>
      </c>
      <c r="I471">
        <v>51</v>
      </c>
      <c r="J471">
        <v>0.82560706401766004</v>
      </c>
      <c r="K471">
        <v>0.80952380952380953</v>
      </c>
      <c r="L471">
        <v>0.84234234234234229</v>
      </c>
      <c r="M471" t="s">
        <v>60</v>
      </c>
      <c r="N471" t="s">
        <v>1367</v>
      </c>
      <c r="O471" t="s">
        <v>1368</v>
      </c>
      <c r="P471">
        <v>1.8</v>
      </c>
    </row>
    <row r="472" spans="1:16" x14ac:dyDescent="0.3">
      <c r="A472" t="s">
        <v>17</v>
      </c>
      <c r="B472" t="s">
        <v>24</v>
      </c>
      <c r="C472" t="s">
        <v>25</v>
      </c>
      <c r="D472" t="s">
        <v>363</v>
      </c>
      <c r="E472" t="s">
        <v>569</v>
      </c>
      <c r="F472" t="s">
        <v>11</v>
      </c>
      <c r="G472" t="s">
        <v>621</v>
      </c>
      <c r="H472" t="s">
        <v>572</v>
      </c>
      <c r="I472">
        <v>52</v>
      </c>
      <c r="J472">
        <v>0.82666666666666655</v>
      </c>
      <c r="K472">
        <v>0.81578947368421051</v>
      </c>
      <c r="L472">
        <v>0.83783783783783783</v>
      </c>
      <c r="M472" t="s">
        <v>60</v>
      </c>
      <c r="N472" t="s">
        <v>1369</v>
      </c>
      <c r="O472" t="s">
        <v>1370</v>
      </c>
      <c r="P472">
        <v>2.2000000000000002</v>
      </c>
    </row>
    <row r="473" spans="1:16" x14ac:dyDescent="0.3">
      <c r="A473" t="s">
        <v>17</v>
      </c>
      <c r="B473" t="s">
        <v>24</v>
      </c>
      <c r="C473" t="s">
        <v>25</v>
      </c>
      <c r="D473" t="s">
        <v>363</v>
      </c>
      <c r="E473" t="s">
        <v>569</v>
      </c>
      <c r="F473" t="s">
        <v>11</v>
      </c>
      <c r="G473" t="s">
        <v>626</v>
      </c>
      <c r="H473" t="s">
        <v>572</v>
      </c>
      <c r="I473">
        <v>53</v>
      </c>
      <c r="J473">
        <v>0.81415929203539827</v>
      </c>
      <c r="K473">
        <v>0.8</v>
      </c>
      <c r="L473">
        <v>0.8288288288288288</v>
      </c>
      <c r="M473" t="s">
        <v>60</v>
      </c>
      <c r="N473" t="s">
        <v>1371</v>
      </c>
      <c r="O473" t="s">
        <v>1372</v>
      </c>
      <c r="P473">
        <v>1.9</v>
      </c>
    </row>
    <row r="474" spans="1:16" x14ac:dyDescent="0.3">
      <c r="A474" t="s">
        <v>17</v>
      </c>
      <c r="B474" t="s">
        <v>24</v>
      </c>
      <c r="C474" t="s">
        <v>25</v>
      </c>
      <c r="D474" t="s">
        <v>363</v>
      </c>
      <c r="E474" t="s">
        <v>569</v>
      </c>
      <c r="F474" t="s">
        <v>11</v>
      </c>
      <c r="G474" t="s">
        <v>631</v>
      </c>
      <c r="H474" t="s">
        <v>572</v>
      </c>
      <c r="I474">
        <v>54</v>
      </c>
      <c r="J474">
        <v>0.81152993348115299</v>
      </c>
      <c r="K474">
        <v>0.79912663755458513</v>
      </c>
      <c r="L474">
        <v>0.82432432432432434</v>
      </c>
      <c r="M474" t="s">
        <v>60</v>
      </c>
      <c r="N474" t="s">
        <v>1373</v>
      </c>
      <c r="O474" t="s">
        <v>1374</v>
      </c>
      <c r="P474">
        <v>1.9</v>
      </c>
    </row>
    <row r="475" spans="1:16" x14ac:dyDescent="0.3">
      <c r="A475" t="s">
        <v>17</v>
      </c>
      <c r="B475" t="s">
        <v>24</v>
      </c>
      <c r="C475" t="s">
        <v>25</v>
      </c>
      <c r="D475" t="s">
        <v>363</v>
      </c>
      <c r="E475" t="s">
        <v>569</v>
      </c>
      <c r="F475" t="s">
        <v>11</v>
      </c>
      <c r="G475" t="s">
        <v>636</v>
      </c>
      <c r="H475" t="s">
        <v>572</v>
      </c>
      <c r="I475">
        <v>55</v>
      </c>
      <c r="J475">
        <v>0.80786026200873373</v>
      </c>
      <c r="K475">
        <v>0.78389830508474578</v>
      </c>
      <c r="L475">
        <v>0.83333333333333337</v>
      </c>
      <c r="M475" t="s">
        <v>60</v>
      </c>
      <c r="N475" t="s">
        <v>1375</v>
      </c>
      <c r="O475" t="s">
        <v>1376</v>
      </c>
      <c r="P475">
        <v>2.2999999999999998</v>
      </c>
    </row>
    <row r="476" spans="1:16" x14ac:dyDescent="0.3">
      <c r="A476" t="s">
        <v>17</v>
      </c>
      <c r="B476" t="s">
        <v>24</v>
      </c>
      <c r="C476" t="s">
        <v>25</v>
      </c>
      <c r="D476" t="s">
        <v>363</v>
      </c>
      <c r="E476" t="s">
        <v>569</v>
      </c>
      <c r="F476" t="s">
        <v>11</v>
      </c>
      <c r="G476" t="s">
        <v>641</v>
      </c>
      <c r="H476" t="s">
        <v>572</v>
      </c>
      <c r="I476">
        <v>56</v>
      </c>
      <c r="J476">
        <v>0.82222222222222219</v>
      </c>
      <c r="K476">
        <v>0.81140350877192979</v>
      </c>
      <c r="L476">
        <v>0.83333333333333337</v>
      </c>
      <c r="M476" t="s">
        <v>60</v>
      </c>
      <c r="N476" t="s">
        <v>1377</v>
      </c>
      <c r="O476" t="s">
        <v>1378</v>
      </c>
      <c r="P476">
        <v>1.8</v>
      </c>
    </row>
    <row r="477" spans="1:16" x14ac:dyDescent="0.3">
      <c r="A477" t="s">
        <v>17</v>
      </c>
      <c r="B477" t="s">
        <v>24</v>
      </c>
      <c r="C477" t="s">
        <v>25</v>
      </c>
      <c r="D477" t="s">
        <v>363</v>
      </c>
      <c r="E477" t="s">
        <v>569</v>
      </c>
      <c r="F477" t="s">
        <v>11</v>
      </c>
      <c r="G477" t="s">
        <v>646</v>
      </c>
      <c r="H477" t="s">
        <v>572</v>
      </c>
      <c r="I477">
        <v>57</v>
      </c>
      <c r="J477">
        <v>0.81415929203539827</v>
      </c>
      <c r="K477">
        <v>0.8</v>
      </c>
      <c r="L477">
        <v>0.8288288288288288</v>
      </c>
      <c r="M477" t="s">
        <v>60</v>
      </c>
      <c r="N477" t="s">
        <v>1379</v>
      </c>
      <c r="O477" t="s">
        <v>1380</v>
      </c>
      <c r="P477">
        <v>2</v>
      </c>
    </row>
    <row r="478" spans="1:16" x14ac:dyDescent="0.3">
      <c r="A478" t="s">
        <v>17</v>
      </c>
      <c r="B478" t="s">
        <v>24</v>
      </c>
      <c r="C478" t="s">
        <v>25</v>
      </c>
      <c r="D478" t="s">
        <v>363</v>
      </c>
      <c r="E478" t="s">
        <v>569</v>
      </c>
      <c r="F478" t="s">
        <v>11</v>
      </c>
      <c r="G478" t="s">
        <v>651</v>
      </c>
      <c r="H478" t="s">
        <v>572</v>
      </c>
      <c r="I478">
        <v>58</v>
      </c>
      <c r="J478">
        <v>0.80610021786492381</v>
      </c>
      <c r="K478">
        <v>0.78059071729957807</v>
      </c>
      <c r="L478">
        <v>0.83333333333333337</v>
      </c>
      <c r="M478" t="s">
        <v>60</v>
      </c>
      <c r="N478" t="s">
        <v>1381</v>
      </c>
      <c r="O478" t="s">
        <v>1382</v>
      </c>
      <c r="P478">
        <v>2.2000000000000002</v>
      </c>
    </row>
    <row r="479" spans="1:16" x14ac:dyDescent="0.3">
      <c r="A479" t="s">
        <v>17</v>
      </c>
      <c r="B479" t="s">
        <v>24</v>
      </c>
      <c r="C479" t="s">
        <v>25</v>
      </c>
      <c r="D479" t="s">
        <v>363</v>
      </c>
      <c r="E479" t="s">
        <v>569</v>
      </c>
      <c r="F479" t="s">
        <v>11</v>
      </c>
      <c r="G479" t="s">
        <v>656</v>
      </c>
      <c r="H479" t="s">
        <v>572</v>
      </c>
      <c r="I479">
        <v>59</v>
      </c>
      <c r="J479">
        <v>0.80645161290322576</v>
      </c>
      <c r="K479">
        <v>0.82547169811320753</v>
      </c>
      <c r="L479">
        <v>0.78828828828828834</v>
      </c>
      <c r="M479" t="s">
        <v>60</v>
      </c>
      <c r="N479" t="s">
        <v>1383</v>
      </c>
      <c r="O479" t="s">
        <v>1384</v>
      </c>
      <c r="P479">
        <v>1.3</v>
      </c>
    </row>
    <row r="480" spans="1:16" x14ac:dyDescent="0.3">
      <c r="A480" t="s">
        <v>17</v>
      </c>
      <c r="B480" t="s">
        <v>24</v>
      </c>
      <c r="C480" t="s">
        <v>25</v>
      </c>
      <c r="D480" t="s">
        <v>363</v>
      </c>
      <c r="E480" t="s">
        <v>569</v>
      </c>
      <c r="F480" t="s">
        <v>11</v>
      </c>
      <c r="G480" t="s">
        <v>661</v>
      </c>
      <c r="H480" t="s">
        <v>572</v>
      </c>
      <c r="I480">
        <v>60</v>
      </c>
      <c r="J480">
        <v>0.80536912751677858</v>
      </c>
      <c r="K480">
        <v>0.8</v>
      </c>
      <c r="L480">
        <v>0.81081081081081086</v>
      </c>
      <c r="M480" t="s">
        <v>60</v>
      </c>
      <c r="N480" t="s">
        <v>1385</v>
      </c>
      <c r="O480" t="s">
        <v>1386</v>
      </c>
      <c r="P480">
        <v>1.3</v>
      </c>
    </row>
    <row r="481" spans="1:16" x14ac:dyDescent="0.3">
      <c r="A481" t="s">
        <v>17</v>
      </c>
      <c r="B481" t="s">
        <v>24</v>
      </c>
      <c r="C481" t="s">
        <v>25</v>
      </c>
      <c r="D481" t="s">
        <v>363</v>
      </c>
      <c r="E481" t="s">
        <v>569</v>
      </c>
      <c r="F481" t="s">
        <v>11</v>
      </c>
      <c r="G481" t="s">
        <v>666</v>
      </c>
      <c r="H481" t="s">
        <v>572</v>
      </c>
      <c r="I481">
        <v>61</v>
      </c>
      <c r="J481">
        <v>0.82637362637362632</v>
      </c>
      <c r="K481">
        <v>0.80686695278969955</v>
      </c>
      <c r="L481">
        <v>0.84684684684684686</v>
      </c>
      <c r="M481" t="s">
        <v>60</v>
      </c>
      <c r="N481" t="s">
        <v>1387</v>
      </c>
      <c r="O481" t="s">
        <v>1388</v>
      </c>
      <c r="P481">
        <v>1.7</v>
      </c>
    </row>
    <row r="482" spans="1:16" x14ac:dyDescent="0.3">
      <c r="A482" t="s">
        <v>17</v>
      </c>
      <c r="B482" t="s">
        <v>26</v>
      </c>
      <c r="C482" t="s">
        <v>27</v>
      </c>
      <c r="D482" t="s">
        <v>54</v>
      </c>
      <c r="E482" t="s">
        <v>56</v>
      </c>
      <c r="F482" t="s">
        <v>7</v>
      </c>
      <c r="G482" t="s">
        <v>57</v>
      </c>
      <c r="H482" t="s">
        <v>59</v>
      </c>
      <c r="I482">
        <v>42</v>
      </c>
      <c r="J482">
        <v>0.80932203389830515</v>
      </c>
      <c r="K482">
        <v>0.78925619834710747</v>
      </c>
      <c r="L482">
        <v>0.83043478260869563</v>
      </c>
      <c r="M482" t="s">
        <v>60</v>
      </c>
      <c r="N482" t="s">
        <v>1389</v>
      </c>
      <c r="O482" t="s">
        <v>1390</v>
      </c>
      <c r="P482">
        <v>2.4</v>
      </c>
    </row>
    <row r="483" spans="1:16" x14ac:dyDescent="0.3">
      <c r="A483" t="s">
        <v>17</v>
      </c>
      <c r="B483" t="s">
        <v>26</v>
      </c>
      <c r="C483" t="s">
        <v>27</v>
      </c>
      <c r="D483" t="s">
        <v>54</v>
      </c>
      <c r="E483" t="s">
        <v>56</v>
      </c>
      <c r="F483" t="s">
        <v>7</v>
      </c>
      <c r="G483" t="s">
        <v>65</v>
      </c>
      <c r="H483" t="s">
        <v>59</v>
      </c>
      <c r="I483">
        <v>43</v>
      </c>
      <c r="J483">
        <v>0.76666666666666661</v>
      </c>
      <c r="K483">
        <v>0.73599999999999999</v>
      </c>
      <c r="L483">
        <v>0.8</v>
      </c>
      <c r="M483" t="s">
        <v>60</v>
      </c>
      <c r="N483" t="s">
        <v>1391</v>
      </c>
      <c r="O483" t="s">
        <v>1392</v>
      </c>
      <c r="P483">
        <v>1.3</v>
      </c>
    </row>
    <row r="484" spans="1:16" x14ac:dyDescent="0.3">
      <c r="A484" t="s">
        <v>17</v>
      </c>
      <c r="B484" t="s">
        <v>26</v>
      </c>
      <c r="C484" t="s">
        <v>27</v>
      </c>
      <c r="D484" t="s">
        <v>54</v>
      </c>
      <c r="E484" t="s">
        <v>56</v>
      </c>
      <c r="F484" t="s">
        <v>7</v>
      </c>
      <c r="G484" t="s">
        <v>70</v>
      </c>
      <c r="H484" t="s">
        <v>59</v>
      </c>
      <c r="I484">
        <v>44</v>
      </c>
      <c r="J484">
        <v>0.76639344262295073</v>
      </c>
      <c r="K484">
        <v>0.72480620155038755</v>
      </c>
      <c r="L484">
        <v>0.81304347826086953</v>
      </c>
      <c r="M484" t="s">
        <v>60</v>
      </c>
      <c r="N484" t="s">
        <v>1393</v>
      </c>
      <c r="O484" t="s">
        <v>1394</v>
      </c>
      <c r="P484">
        <v>1.7</v>
      </c>
    </row>
    <row r="485" spans="1:16" x14ac:dyDescent="0.3">
      <c r="A485" t="s">
        <v>17</v>
      </c>
      <c r="B485" t="s">
        <v>26</v>
      </c>
      <c r="C485" t="s">
        <v>27</v>
      </c>
      <c r="D485" t="s">
        <v>54</v>
      </c>
      <c r="E485" t="s">
        <v>56</v>
      </c>
      <c r="F485" t="s">
        <v>7</v>
      </c>
      <c r="G485" t="s">
        <v>75</v>
      </c>
      <c r="H485" t="s">
        <v>59</v>
      </c>
      <c r="I485">
        <v>45</v>
      </c>
      <c r="J485">
        <v>0.76033057851239683</v>
      </c>
      <c r="K485">
        <v>0.72440944881889768</v>
      </c>
      <c r="L485">
        <v>0.8</v>
      </c>
      <c r="M485" t="s">
        <v>60</v>
      </c>
      <c r="N485" t="s">
        <v>1395</v>
      </c>
      <c r="O485" t="s">
        <v>1396</v>
      </c>
      <c r="P485">
        <v>1.3</v>
      </c>
    </row>
    <row r="486" spans="1:16" x14ac:dyDescent="0.3">
      <c r="A486" t="s">
        <v>17</v>
      </c>
      <c r="B486" t="s">
        <v>26</v>
      </c>
      <c r="C486" t="s">
        <v>27</v>
      </c>
      <c r="D486" t="s">
        <v>54</v>
      </c>
      <c r="E486" t="s">
        <v>56</v>
      </c>
      <c r="F486" t="s">
        <v>7</v>
      </c>
      <c r="G486" t="s">
        <v>80</v>
      </c>
      <c r="H486" t="s">
        <v>59</v>
      </c>
      <c r="I486">
        <v>46</v>
      </c>
      <c r="J486">
        <v>0.73839662447257393</v>
      </c>
      <c r="K486">
        <v>0.71721311475409832</v>
      </c>
      <c r="L486">
        <v>0.76086956521739135</v>
      </c>
      <c r="M486" t="s">
        <v>60</v>
      </c>
      <c r="N486" t="s">
        <v>1397</v>
      </c>
      <c r="O486" t="s">
        <v>1398</v>
      </c>
      <c r="P486">
        <v>1.7</v>
      </c>
    </row>
    <row r="487" spans="1:16" x14ac:dyDescent="0.3">
      <c r="A487" t="s">
        <v>17</v>
      </c>
      <c r="B487" t="s">
        <v>26</v>
      </c>
      <c r="C487" t="s">
        <v>27</v>
      </c>
      <c r="D487" t="s">
        <v>54</v>
      </c>
      <c r="E487" t="s">
        <v>56</v>
      </c>
      <c r="F487" t="s">
        <v>7</v>
      </c>
      <c r="G487" t="s">
        <v>85</v>
      </c>
      <c r="H487" t="s">
        <v>59</v>
      </c>
      <c r="I487">
        <v>47</v>
      </c>
      <c r="J487">
        <v>0.78099173553719015</v>
      </c>
      <c r="K487">
        <v>0.74409448818897639</v>
      </c>
      <c r="L487">
        <v>0.82173913043478264</v>
      </c>
      <c r="M487" t="s">
        <v>60</v>
      </c>
      <c r="N487" t="s">
        <v>1399</v>
      </c>
      <c r="O487" t="s">
        <v>1400</v>
      </c>
      <c r="P487">
        <v>1.3</v>
      </c>
    </row>
    <row r="488" spans="1:16" x14ac:dyDescent="0.3">
      <c r="A488" t="s">
        <v>17</v>
      </c>
      <c r="B488" t="s">
        <v>26</v>
      </c>
      <c r="C488" t="s">
        <v>27</v>
      </c>
      <c r="D488" t="s">
        <v>54</v>
      </c>
      <c r="E488" t="s">
        <v>56</v>
      </c>
      <c r="F488" t="s">
        <v>7</v>
      </c>
      <c r="G488" t="s">
        <v>90</v>
      </c>
      <c r="H488" t="s">
        <v>59</v>
      </c>
      <c r="I488">
        <v>48</v>
      </c>
      <c r="J488">
        <v>0.76310272536687629</v>
      </c>
      <c r="K488">
        <v>0.73684210526315785</v>
      </c>
      <c r="L488">
        <v>0.79130434782608694</v>
      </c>
      <c r="M488" t="s">
        <v>60</v>
      </c>
      <c r="N488" t="s">
        <v>1401</v>
      </c>
      <c r="O488" t="s">
        <v>1402</v>
      </c>
      <c r="P488">
        <v>1.3</v>
      </c>
    </row>
    <row r="489" spans="1:16" x14ac:dyDescent="0.3">
      <c r="A489" t="s">
        <v>17</v>
      </c>
      <c r="B489" t="s">
        <v>26</v>
      </c>
      <c r="C489" t="s">
        <v>27</v>
      </c>
      <c r="D489" t="s">
        <v>54</v>
      </c>
      <c r="E489" t="s">
        <v>56</v>
      </c>
      <c r="F489" t="s">
        <v>7</v>
      </c>
      <c r="G489" t="s">
        <v>95</v>
      </c>
      <c r="H489" t="s">
        <v>59</v>
      </c>
      <c r="I489">
        <v>49</v>
      </c>
      <c r="J489">
        <v>0.75975359342915805</v>
      </c>
      <c r="K489">
        <v>0.71984435797665369</v>
      </c>
      <c r="L489">
        <v>0.80434782608695654</v>
      </c>
      <c r="M489" t="s">
        <v>60</v>
      </c>
      <c r="N489" t="s">
        <v>1403</v>
      </c>
      <c r="O489" t="s">
        <v>1404</v>
      </c>
      <c r="P489">
        <v>1.7</v>
      </c>
    </row>
    <row r="490" spans="1:16" x14ac:dyDescent="0.3">
      <c r="A490" t="s">
        <v>17</v>
      </c>
      <c r="B490" t="s">
        <v>26</v>
      </c>
      <c r="C490" t="s">
        <v>27</v>
      </c>
      <c r="D490" t="s">
        <v>54</v>
      </c>
      <c r="E490" t="s">
        <v>56</v>
      </c>
      <c r="F490" t="s">
        <v>7</v>
      </c>
      <c r="G490" t="s">
        <v>100</v>
      </c>
      <c r="H490" t="s">
        <v>59</v>
      </c>
      <c r="I490">
        <v>50</v>
      </c>
      <c r="J490">
        <v>0.76446280991735549</v>
      </c>
      <c r="K490">
        <v>0.72834645669291342</v>
      </c>
      <c r="L490">
        <v>0.80434782608695654</v>
      </c>
      <c r="M490" t="s">
        <v>60</v>
      </c>
      <c r="N490" t="s">
        <v>1405</v>
      </c>
      <c r="O490" t="s">
        <v>1406</v>
      </c>
      <c r="P490">
        <v>1.3</v>
      </c>
    </row>
    <row r="491" spans="1:16" x14ac:dyDescent="0.3">
      <c r="A491" t="s">
        <v>17</v>
      </c>
      <c r="B491" t="s">
        <v>26</v>
      </c>
      <c r="C491" t="s">
        <v>27</v>
      </c>
      <c r="D491" t="s">
        <v>54</v>
      </c>
      <c r="E491" t="s">
        <v>56</v>
      </c>
      <c r="F491" t="s">
        <v>7</v>
      </c>
      <c r="G491" t="s">
        <v>105</v>
      </c>
      <c r="H491" t="s">
        <v>59</v>
      </c>
      <c r="I491">
        <v>51</v>
      </c>
      <c r="J491">
        <v>0.77350427350427342</v>
      </c>
      <c r="K491">
        <v>0.76050420168067223</v>
      </c>
      <c r="L491">
        <v>0.78695652173913044</v>
      </c>
      <c r="M491" t="s">
        <v>60</v>
      </c>
      <c r="N491" t="s">
        <v>1407</v>
      </c>
      <c r="O491" t="s">
        <v>1408</v>
      </c>
      <c r="P491">
        <v>1.3</v>
      </c>
    </row>
    <row r="492" spans="1:16" x14ac:dyDescent="0.3">
      <c r="A492" t="s">
        <v>17</v>
      </c>
      <c r="B492" t="s">
        <v>26</v>
      </c>
      <c r="C492" t="s">
        <v>27</v>
      </c>
      <c r="D492" t="s">
        <v>54</v>
      </c>
      <c r="E492" t="s">
        <v>56</v>
      </c>
      <c r="F492" t="s">
        <v>7</v>
      </c>
      <c r="G492" t="s">
        <v>110</v>
      </c>
      <c r="H492" t="s">
        <v>59</v>
      </c>
      <c r="I492">
        <v>52</v>
      </c>
      <c r="J492">
        <v>0.7634854771784233</v>
      </c>
      <c r="K492">
        <v>0.73015873015873012</v>
      </c>
      <c r="L492">
        <v>0.8</v>
      </c>
      <c r="M492" t="s">
        <v>60</v>
      </c>
      <c r="N492" t="s">
        <v>1409</v>
      </c>
      <c r="O492" t="s">
        <v>1410</v>
      </c>
      <c r="P492">
        <v>1.7</v>
      </c>
    </row>
    <row r="493" spans="1:16" x14ac:dyDescent="0.3">
      <c r="A493" t="s">
        <v>17</v>
      </c>
      <c r="B493" t="s">
        <v>26</v>
      </c>
      <c r="C493" t="s">
        <v>27</v>
      </c>
      <c r="D493" t="s">
        <v>54</v>
      </c>
      <c r="E493" t="s">
        <v>56</v>
      </c>
      <c r="F493" t="s">
        <v>7</v>
      </c>
      <c r="G493" t="s">
        <v>115</v>
      </c>
      <c r="H493" t="s">
        <v>59</v>
      </c>
      <c r="I493">
        <v>53</v>
      </c>
      <c r="J493">
        <v>0.75000000000000011</v>
      </c>
      <c r="K493">
        <v>0.70930232558139539</v>
      </c>
      <c r="L493">
        <v>0.79565217391304344</v>
      </c>
      <c r="M493" t="s">
        <v>60</v>
      </c>
      <c r="N493" t="s">
        <v>1411</v>
      </c>
      <c r="O493" t="s">
        <v>1412</v>
      </c>
      <c r="P493">
        <v>1.3</v>
      </c>
    </row>
    <row r="494" spans="1:16" x14ac:dyDescent="0.3">
      <c r="A494" t="s">
        <v>17</v>
      </c>
      <c r="B494" t="s">
        <v>26</v>
      </c>
      <c r="C494" t="s">
        <v>27</v>
      </c>
      <c r="D494" t="s">
        <v>54</v>
      </c>
      <c r="E494" t="s">
        <v>56</v>
      </c>
      <c r="F494" t="s">
        <v>7</v>
      </c>
      <c r="G494" t="s">
        <v>120</v>
      </c>
      <c r="H494" t="s">
        <v>59</v>
      </c>
      <c r="I494">
        <v>54</v>
      </c>
      <c r="J494">
        <v>0.7583333333333333</v>
      </c>
      <c r="K494">
        <v>0.72799999999999998</v>
      </c>
      <c r="L494">
        <v>0.79130434782608694</v>
      </c>
      <c r="M494" t="s">
        <v>60</v>
      </c>
      <c r="N494" t="s">
        <v>1413</v>
      </c>
      <c r="O494" t="s">
        <v>1414</v>
      </c>
      <c r="P494">
        <v>1.3</v>
      </c>
    </row>
    <row r="495" spans="1:16" x14ac:dyDescent="0.3">
      <c r="A495" t="s">
        <v>17</v>
      </c>
      <c r="B495" t="s">
        <v>26</v>
      </c>
      <c r="C495" t="s">
        <v>27</v>
      </c>
      <c r="D495" t="s">
        <v>54</v>
      </c>
      <c r="E495" t="s">
        <v>56</v>
      </c>
      <c r="F495" t="s">
        <v>7</v>
      </c>
      <c r="G495" t="s">
        <v>125</v>
      </c>
      <c r="H495" t="s">
        <v>59</v>
      </c>
      <c r="I495">
        <v>55</v>
      </c>
      <c r="J495">
        <v>0.77310924369747902</v>
      </c>
      <c r="K495">
        <v>0.74796747967479671</v>
      </c>
      <c r="L495">
        <v>0.8</v>
      </c>
      <c r="M495" t="s">
        <v>60</v>
      </c>
      <c r="N495" t="s">
        <v>1415</v>
      </c>
      <c r="O495" t="s">
        <v>1416</v>
      </c>
      <c r="P495">
        <v>1.7</v>
      </c>
    </row>
    <row r="496" spans="1:16" x14ac:dyDescent="0.3">
      <c r="A496" t="s">
        <v>17</v>
      </c>
      <c r="B496" t="s">
        <v>26</v>
      </c>
      <c r="C496" t="s">
        <v>27</v>
      </c>
      <c r="D496" t="s">
        <v>54</v>
      </c>
      <c r="E496" t="s">
        <v>56</v>
      </c>
      <c r="F496" t="s">
        <v>7</v>
      </c>
      <c r="G496" t="s">
        <v>130</v>
      </c>
      <c r="H496" t="s">
        <v>59</v>
      </c>
      <c r="I496">
        <v>56</v>
      </c>
      <c r="J496">
        <v>0.78260869565217395</v>
      </c>
      <c r="K496">
        <v>0.74703557312252966</v>
      </c>
      <c r="L496">
        <v>0.82173913043478264</v>
      </c>
      <c r="M496" t="s">
        <v>60</v>
      </c>
      <c r="N496" t="s">
        <v>1417</v>
      </c>
      <c r="O496" t="s">
        <v>1418</v>
      </c>
      <c r="P496">
        <v>1.3</v>
      </c>
    </row>
    <row r="497" spans="1:16" x14ac:dyDescent="0.3">
      <c r="A497" t="s">
        <v>17</v>
      </c>
      <c r="B497" t="s">
        <v>26</v>
      </c>
      <c r="C497" t="s">
        <v>27</v>
      </c>
      <c r="D497" t="s">
        <v>54</v>
      </c>
      <c r="E497" t="s">
        <v>56</v>
      </c>
      <c r="F497" t="s">
        <v>7</v>
      </c>
      <c r="G497" t="s">
        <v>135</v>
      </c>
      <c r="H497" t="s">
        <v>59</v>
      </c>
      <c r="I497">
        <v>57</v>
      </c>
      <c r="J497">
        <v>0.75619834710743794</v>
      </c>
      <c r="K497">
        <v>0.72047244094488194</v>
      </c>
      <c r="L497">
        <v>0.79565217391304344</v>
      </c>
      <c r="M497" t="s">
        <v>60</v>
      </c>
      <c r="N497" t="s">
        <v>1419</v>
      </c>
      <c r="O497" t="s">
        <v>1420</v>
      </c>
      <c r="P497">
        <v>1.3</v>
      </c>
    </row>
    <row r="498" spans="1:16" x14ac:dyDescent="0.3">
      <c r="A498" t="s">
        <v>17</v>
      </c>
      <c r="B498" t="s">
        <v>26</v>
      </c>
      <c r="C498" t="s">
        <v>27</v>
      </c>
      <c r="D498" t="s">
        <v>54</v>
      </c>
      <c r="E498" t="s">
        <v>56</v>
      </c>
      <c r="F498" t="s">
        <v>7</v>
      </c>
      <c r="G498" t="s">
        <v>140</v>
      </c>
      <c r="H498" t="s">
        <v>59</v>
      </c>
      <c r="I498">
        <v>58</v>
      </c>
      <c r="J498">
        <v>0.76016260162601623</v>
      </c>
      <c r="K498">
        <v>0.7137404580152672</v>
      </c>
      <c r="L498">
        <v>0.81304347826086953</v>
      </c>
      <c r="M498" t="s">
        <v>60</v>
      </c>
      <c r="N498" t="s">
        <v>1421</v>
      </c>
      <c r="O498" t="s">
        <v>1422</v>
      </c>
      <c r="P498">
        <v>1.7</v>
      </c>
    </row>
    <row r="499" spans="1:16" x14ac:dyDescent="0.3">
      <c r="A499" t="s">
        <v>17</v>
      </c>
      <c r="B499" t="s">
        <v>26</v>
      </c>
      <c r="C499" t="s">
        <v>27</v>
      </c>
      <c r="D499" t="s">
        <v>54</v>
      </c>
      <c r="E499" t="s">
        <v>56</v>
      </c>
      <c r="F499" t="s">
        <v>7</v>
      </c>
      <c r="G499" t="s">
        <v>145</v>
      </c>
      <c r="H499" t="s">
        <v>59</v>
      </c>
      <c r="I499">
        <v>59</v>
      </c>
      <c r="J499">
        <v>0.78586278586278591</v>
      </c>
      <c r="K499">
        <v>0.75298804780876494</v>
      </c>
      <c r="L499">
        <v>0.82173913043478264</v>
      </c>
      <c r="M499" t="s">
        <v>60</v>
      </c>
      <c r="N499" t="s">
        <v>1423</v>
      </c>
      <c r="O499" t="s">
        <v>1424</v>
      </c>
      <c r="P499">
        <v>1.3</v>
      </c>
    </row>
    <row r="500" spans="1:16" x14ac:dyDescent="0.3">
      <c r="A500" t="s">
        <v>17</v>
      </c>
      <c r="B500" t="s">
        <v>26</v>
      </c>
      <c r="C500" t="s">
        <v>27</v>
      </c>
      <c r="D500" t="s">
        <v>54</v>
      </c>
      <c r="E500" t="s">
        <v>56</v>
      </c>
      <c r="F500" t="s">
        <v>7</v>
      </c>
      <c r="G500" t="s">
        <v>150</v>
      </c>
      <c r="H500" t="s">
        <v>59</v>
      </c>
      <c r="I500">
        <v>60</v>
      </c>
      <c r="J500">
        <v>0.75103734439834025</v>
      </c>
      <c r="K500">
        <v>0.71825396825396826</v>
      </c>
      <c r="L500">
        <v>0.78695652173913044</v>
      </c>
      <c r="M500" t="s">
        <v>60</v>
      </c>
      <c r="N500" t="s">
        <v>1425</v>
      </c>
      <c r="O500" t="s">
        <v>1426</v>
      </c>
      <c r="P500">
        <v>1.3</v>
      </c>
    </row>
    <row r="501" spans="1:16" x14ac:dyDescent="0.3">
      <c r="A501" t="s">
        <v>17</v>
      </c>
      <c r="B501" t="s">
        <v>26</v>
      </c>
      <c r="C501" t="s">
        <v>27</v>
      </c>
      <c r="D501" t="s">
        <v>54</v>
      </c>
      <c r="E501" t="s">
        <v>56</v>
      </c>
      <c r="F501" t="s">
        <v>7</v>
      </c>
      <c r="G501" t="s">
        <v>155</v>
      </c>
      <c r="H501" t="s">
        <v>59</v>
      </c>
      <c r="I501">
        <v>61</v>
      </c>
      <c r="J501">
        <v>0.75052410901467514</v>
      </c>
      <c r="K501">
        <v>0.7246963562753036</v>
      </c>
      <c r="L501">
        <v>0.77826086956521734</v>
      </c>
      <c r="M501" t="s">
        <v>60</v>
      </c>
      <c r="N501" t="s">
        <v>1427</v>
      </c>
      <c r="O501" t="s">
        <v>1428</v>
      </c>
      <c r="P501">
        <v>1.7</v>
      </c>
    </row>
    <row r="502" spans="1:16" x14ac:dyDescent="0.3">
      <c r="A502" t="s">
        <v>17</v>
      </c>
      <c r="B502" t="s">
        <v>26</v>
      </c>
      <c r="C502" t="s">
        <v>27</v>
      </c>
      <c r="D502" t="s">
        <v>54</v>
      </c>
      <c r="E502" t="s">
        <v>160</v>
      </c>
      <c r="F502" t="s">
        <v>3</v>
      </c>
      <c r="G502" t="s">
        <v>161</v>
      </c>
      <c r="H502" t="s">
        <v>163</v>
      </c>
      <c r="I502">
        <v>42</v>
      </c>
      <c r="J502">
        <v>0.82857142857142851</v>
      </c>
      <c r="K502">
        <v>0.80110497237569056</v>
      </c>
      <c r="L502">
        <v>0.85798816568047342</v>
      </c>
      <c r="M502" t="s">
        <v>60</v>
      </c>
      <c r="N502" t="s">
        <v>1429</v>
      </c>
      <c r="O502" t="s">
        <v>1430</v>
      </c>
      <c r="P502">
        <v>1.1000000000000001</v>
      </c>
    </row>
    <row r="503" spans="1:16" x14ac:dyDescent="0.3">
      <c r="A503" t="s">
        <v>17</v>
      </c>
      <c r="B503" t="s">
        <v>26</v>
      </c>
      <c r="C503" t="s">
        <v>27</v>
      </c>
      <c r="D503" t="s">
        <v>54</v>
      </c>
      <c r="E503" t="s">
        <v>160</v>
      </c>
      <c r="F503" t="s">
        <v>3</v>
      </c>
      <c r="G503" t="s">
        <v>167</v>
      </c>
      <c r="H503" t="s">
        <v>163</v>
      </c>
      <c r="I503">
        <v>43</v>
      </c>
      <c r="J503">
        <v>0.81714285714285706</v>
      </c>
      <c r="K503">
        <v>0.79005524861878451</v>
      </c>
      <c r="L503">
        <v>0.84615384615384615</v>
      </c>
      <c r="M503" t="s">
        <v>60</v>
      </c>
      <c r="N503" t="s">
        <v>1431</v>
      </c>
      <c r="O503" t="s">
        <v>1432</v>
      </c>
      <c r="P503">
        <v>1.2</v>
      </c>
    </row>
    <row r="504" spans="1:16" x14ac:dyDescent="0.3">
      <c r="A504" t="s">
        <v>17</v>
      </c>
      <c r="B504" t="s">
        <v>26</v>
      </c>
      <c r="C504" t="s">
        <v>27</v>
      </c>
      <c r="D504" t="s">
        <v>54</v>
      </c>
      <c r="E504" t="s">
        <v>160</v>
      </c>
      <c r="F504" t="s">
        <v>3</v>
      </c>
      <c r="G504" t="s">
        <v>172</v>
      </c>
      <c r="H504" t="s">
        <v>163</v>
      </c>
      <c r="I504">
        <v>44</v>
      </c>
      <c r="J504">
        <v>0.79436619718309853</v>
      </c>
      <c r="K504">
        <v>0.75806451612903225</v>
      </c>
      <c r="L504">
        <v>0.83431952662721898</v>
      </c>
      <c r="M504" t="s">
        <v>60</v>
      </c>
      <c r="N504" t="s">
        <v>1433</v>
      </c>
      <c r="O504" t="s">
        <v>1434</v>
      </c>
      <c r="P504">
        <v>1.5</v>
      </c>
    </row>
    <row r="505" spans="1:16" x14ac:dyDescent="0.3">
      <c r="A505" t="s">
        <v>17</v>
      </c>
      <c r="B505" t="s">
        <v>26</v>
      </c>
      <c r="C505" t="s">
        <v>27</v>
      </c>
      <c r="D505" t="s">
        <v>54</v>
      </c>
      <c r="E505" t="s">
        <v>160</v>
      </c>
      <c r="F505" t="s">
        <v>3</v>
      </c>
      <c r="G505" t="s">
        <v>177</v>
      </c>
      <c r="H505" t="s">
        <v>163</v>
      </c>
      <c r="I505">
        <v>45</v>
      </c>
      <c r="J505">
        <v>0.83286118980169965</v>
      </c>
      <c r="K505">
        <v>0.79891304347826086</v>
      </c>
      <c r="L505">
        <v>0.86982248520710059</v>
      </c>
      <c r="M505" t="s">
        <v>60</v>
      </c>
      <c r="N505" t="s">
        <v>1435</v>
      </c>
      <c r="O505" t="s">
        <v>1436</v>
      </c>
      <c r="P505">
        <v>1.2</v>
      </c>
    </row>
    <row r="506" spans="1:16" x14ac:dyDescent="0.3">
      <c r="A506" t="s">
        <v>17</v>
      </c>
      <c r="B506" t="s">
        <v>26</v>
      </c>
      <c r="C506" t="s">
        <v>27</v>
      </c>
      <c r="D506" t="s">
        <v>54</v>
      </c>
      <c r="E506" t="s">
        <v>160</v>
      </c>
      <c r="F506" t="s">
        <v>3</v>
      </c>
      <c r="G506" t="s">
        <v>182</v>
      </c>
      <c r="H506" t="s">
        <v>163</v>
      </c>
      <c r="I506">
        <v>46</v>
      </c>
      <c r="J506">
        <v>0.81019830028328621</v>
      </c>
      <c r="K506">
        <v>0.77717391304347827</v>
      </c>
      <c r="L506">
        <v>0.84615384615384615</v>
      </c>
      <c r="M506" t="s">
        <v>60</v>
      </c>
      <c r="N506" t="s">
        <v>1437</v>
      </c>
      <c r="O506" t="s">
        <v>1438</v>
      </c>
      <c r="P506">
        <v>1.2</v>
      </c>
    </row>
    <row r="507" spans="1:16" x14ac:dyDescent="0.3">
      <c r="A507" t="s">
        <v>17</v>
      </c>
      <c r="B507" t="s">
        <v>26</v>
      </c>
      <c r="C507" t="s">
        <v>27</v>
      </c>
      <c r="D507" t="s">
        <v>54</v>
      </c>
      <c r="E507" t="s">
        <v>160</v>
      </c>
      <c r="F507" t="s">
        <v>3</v>
      </c>
      <c r="G507" t="s">
        <v>187</v>
      </c>
      <c r="H507" t="s">
        <v>163</v>
      </c>
      <c r="I507">
        <v>47</v>
      </c>
      <c r="J507">
        <v>0.79772079772079774</v>
      </c>
      <c r="K507">
        <v>0.76923076923076927</v>
      </c>
      <c r="L507">
        <v>0.82840236686390534</v>
      </c>
      <c r="M507" t="s">
        <v>60</v>
      </c>
      <c r="N507" t="s">
        <v>1439</v>
      </c>
      <c r="O507" t="s">
        <v>1440</v>
      </c>
      <c r="P507">
        <v>1.5</v>
      </c>
    </row>
    <row r="508" spans="1:16" x14ac:dyDescent="0.3">
      <c r="A508" t="s">
        <v>17</v>
      </c>
      <c r="B508" t="s">
        <v>26</v>
      </c>
      <c r="C508" t="s">
        <v>27</v>
      </c>
      <c r="D508" t="s">
        <v>54</v>
      </c>
      <c r="E508" t="s">
        <v>160</v>
      </c>
      <c r="F508" t="s">
        <v>3</v>
      </c>
      <c r="G508" t="s">
        <v>192</v>
      </c>
      <c r="H508" t="s">
        <v>163</v>
      </c>
      <c r="I508">
        <v>48</v>
      </c>
      <c r="J508">
        <v>0.8089887640449438</v>
      </c>
      <c r="K508">
        <v>0.77005347593582885</v>
      </c>
      <c r="L508">
        <v>0.85207100591715978</v>
      </c>
      <c r="M508" t="s">
        <v>60</v>
      </c>
      <c r="N508" t="s">
        <v>1441</v>
      </c>
      <c r="O508" t="s">
        <v>1442</v>
      </c>
      <c r="P508">
        <v>1.2</v>
      </c>
    </row>
    <row r="509" spans="1:16" x14ac:dyDescent="0.3">
      <c r="A509" t="s">
        <v>17</v>
      </c>
      <c r="B509" t="s">
        <v>26</v>
      </c>
      <c r="C509" t="s">
        <v>27</v>
      </c>
      <c r="D509" t="s">
        <v>54</v>
      </c>
      <c r="E509" t="s">
        <v>160</v>
      </c>
      <c r="F509" t="s">
        <v>3</v>
      </c>
      <c r="G509" t="s">
        <v>197</v>
      </c>
      <c r="H509" t="s">
        <v>163</v>
      </c>
      <c r="I509">
        <v>49</v>
      </c>
      <c r="J509">
        <v>0.81818181818181823</v>
      </c>
      <c r="K509">
        <v>0.78688524590163933</v>
      </c>
      <c r="L509">
        <v>0.85207100591715978</v>
      </c>
      <c r="M509" t="s">
        <v>60</v>
      </c>
      <c r="N509" t="s">
        <v>1443</v>
      </c>
      <c r="O509" t="s">
        <v>1444</v>
      </c>
      <c r="P509">
        <v>1.2</v>
      </c>
    </row>
    <row r="510" spans="1:16" x14ac:dyDescent="0.3">
      <c r="A510" t="s">
        <v>17</v>
      </c>
      <c r="B510" t="s">
        <v>26</v>
      </c>
      <c r="C510" t="s">
        <v>27</v>
      </c>
      <c r="D510" t="s">
        <v>54</v>
      </c>
      <c r="E510" t="s">
        <v>160</v>
      </c>
      <c r="F510" t="s">
        <v>3</v>
      </c>
      <c r="G510" t="s">
        <v>202</v>
      </c>
      <c r="H510" t="s">
        <v>163</v>
      </c>
      <c r="I510">
        <v>50</v>
      </c>
      <c r="J510">
        <v>0.80681818181818177</v>
      </c>
      <c r="K510">
        <v>0.77595628415300544</v>
      </c>
      <c r="L510">
        <v>0.84023668639053251</v>
      </c>
      <c r="M510" t="s">
        <v>60</v>
      </c>
      <c r="N510" t="s">
        <v>1445</v>
      </c>
      <c r="O510" t="s">
        <v>1446</v>
      </c>
      <c r="P510">
        <v>1.1000000000000001</v>
      </c>
    </row>
    <row r="511" spans="1:16" x14ac:dyDescent="0.3">
      <c r="A511" t="s">
        <v>17</v>
      </c>
      <c r="B511" t="s">
        <v>26</v>
      </c>
      <c r="C511" t="s">
        <v>27</v>
      </c>
      <c r="D511" t="s">
        <v>54</v>
      </c>
      <c r="E511" t="s">
        <v>160</v>
      </c>
      <c r="F511" t="s">
        <v>3</v>
      </c>
      <c r="G511" t="s">
        <v>207</v>
      </c>
      <c r="H511" t="s">
        <v>163</v>
      </c>
      <c r="I511">
        <v>51</v>
      </c>
      <c r="J511">
        <v>0.8192090395480226</v>
      </c>
      <c r="K511">
        <v>0.78378378378378377</v>
      </c>
      <c r="L511">
        <v>0.85798816568047342</v>
      </c>
      <c r="M511" t="s">
        <v>60</v>
      </c>
      <c r="N511" t="s">
        <v>1447</v>
      </c>
      <c r="O511" t="s">
        <v>1448</v>
      </c>
      <c r="P511">
        <v>1.5</v>
      </c>
    </row>
    <row r="512" spans="1:16" x14ac:dyDescent="0.3">
      <c r="A512" t="s">
        <v>17</v>
      </c>
      <c r="B512" t="s">
        <v>26</v>
      </c>
      <c r="C512" t="s">
        <v>27</v>
      </c>
      <c r="D512" t="s">
        <v>54</v>
      </c>
      <c r="E512" t="s">
        <v>160</v>
      </c>
      <c r="F512" t="s">
        <v>3</v>
      </c>
      <c r="G512" t="s">
        <v>212</v>
      </c>
      <c r="H512" t="s">
        <v>163</v>
      </c>
      <c r="I512">
        <v>52</v>
      </c>
      <c r="J512">
        <v>0.82152974504249288</v>
      </c>
      <c r="K512">
        <v>0.78804347826086951</v>
      </c>
      <c r="L512">
        <v>0.85798816568047342</v>
      </c>
      <c r="M512" t="s">
        <v>60</v>
      </c>
      <c r="N512" t="s">
        <v>1449</v>
      </c>
      <c r="O512" t="s">
        <v>1450</v>
      </c>
      <c r="P512">
        <v>1.2</v>
      </c>
    </row>
    <row r="513" spans="1:16" x14ac:dyDescent="0.3">
      <c r="A513" t="s">
        <v>17</v>
      </c>
      <c r="B513" t="s">
        <v>26</v>
      </c>
      <c r="C513" t="s">
        <v>27</v>
      </c>
      <c r="D513" t="s">
        <v>54</v>
      </c>
      <c r="E513" t="s">
        <v>160</v>
      </c>
      <c r="F513" t="s">
        <v>3</v>
      </c>
      <c r="G513" t="s">
        <v>217</v>
      </c>
      <c r="H513" t="s">
        <v>163</v>
      </c>
      <c r="I513">
        <v>53</v>
      </c>
      <c r="J513">
        <v>0.81395348837209303</v>
      </c>
      <c r="K513">
        <v>0.8</v>
      </c>
      <c r="L513">
        <v>0.82840236686390534</v>
      </c>
      <c r="M513" t="s">
        <v>60</v>
      </c>
      <c r="N513" t="s">
        <v>1451</v>
      </c>
      <c r="O513" t="s">
        <v>1452</v>
      </c>
      <c r="P513">
        <v>1.1000000000000001</v>
      </c>
    </row>
    <row r="514" spans="1:16" x14ac:dyDescent="0.3">
      <c r="A514" t="s">
        <v>17</v>
      </c>
      <c r="B514" t="s">
        <v>26</v>
      </c>
      <c r="C514" t="s">
        <v>27</v>
      </c>
      <c r="D514" t="s">
        <v>54</v>
      </c>
      <c r="E514" t="s">
        <v>160</v>
      </c>
      <c r="F514" t="s">
        <v>3</v>
      </c>
      <c r="G514" t="s">
        <v>222</v>
      </c>
      <c r="H514" t="s">
        <v>163</v>
      </c>
      <c r="I514">
        <v>54</v>
      </c>
      <c r="J514">
        <v>0.79436619718309853</v>
      </c>
      <c r="K514">
        <v>0.75806451612903225</v>
      </c>
      <c r="L514">
        <v>0.83431952662721898</v>
      </c>
      <c r="M514" t="s">
        <v>60</v>
      </c>
      <c r="N514" t="s">
        <v>1453</v>
      </c>
      <c r="O514" t="s">
        <v>1454</v>
      </c>
      <c r="P514">
        <v>1.6</v>
      </c>
    </row>
    <row r="515" spans="1:16" x14ac:dyDescent="0.3">
      <c r="A515" t="s">
        <v>17</v>
      </c>
      <c r="B515" t="s">
        <v>26</v>
      </c>
      <c r="C515" t="s">
        <v>27</v>
      </c>
      <c r="D515" t="s">
        <v>54</v>
      </c>
      <c r="E515" t="s">
        <v>160</v>
      </c>
      <c r="F515" t="s">
        <v>3</v>
      </c>
      <c r="G515" t="s">
        <v>227</v>
      </c>
      <c r="H515" t="s">
        <v>163</v>
      </c>
      <c r="I515">
        <v>55</v>
      </c>
      <c r="J515">
        <v>0.7921348314606742</v>
      </c>
      <c r="K515">
        <v>0.75401069518716579</v>
      </c>
      <c r="L515">
        <v>0.83431952662721898</v>
      </c>
      <c r="M515" t="s">
        <v>60</v>
      </c>
      <c r="N515" t="s">
        <v>1455</v>
      </c>
      <c r="O515" t="s">
        <v>1456</v>
      </c>
      <c r="P515">
        <v>1.2</v>
      </c>
    </row>
    <row r="516" spans="1:16" x14ac:dyDescent="0.3">
      <c r="A516" t="s">
        <v>17</v>
      </c>
      <c r="B516" t="s">
        <v>26</v>
      </c>
      <c r="C516" t="s">
        <v>27</v>
      </c>
      <c r="D516" t="s">
        <v>54</v>
      </c>
      <c r="E516" t="s">
        <v>160</v>
      </c>
      <c r="F516" t="s">
        <v>3</v>
      </c>
      <c r="G516" t="s">
        <v>232</v>
      </c>
      <c r="H516" t="s">
        <v>163</v>
      </c>
      <c r="I516">
        <v>56</v>
      </c>
      <c r="J516">
        <v>0.80341880341880345</v>
      </c>
      <c r="K516">
        <v>0.77472527472527475</v>
      </c>
      <c r="L516">
        <v>0.83431952662721898</v>
      </c>
      <c r="M516" t="s">
        <v>60</v>
      </c>
      <c r="N516" t="s">
        <v>1457</v>
      </c>
      <c r="O516" t="s">
        <v>1458</v>
      </c>
      <c r="P516">
        <v>1.2</v>
      </c>
    </row>
    <row r="517" spans="1:16" x14ac:dyDescent="0.3">
      <c r="A517" t="s">
        <v>17</v>
      </c>
      <c r="B517" t="s">
        <v>26</v>
      </c>
      <c r="C517" t="s">
        <v>27</v>
      </c>
      <c r="D517" t="s">
        <v>54</v>
      </c>
      <c r="E517" t="s">
        <v>160</v>
      </c>
      <c r="F517" t="s">
        <v>3</v>
      </c>
      <c r="G517" t="s">
        <v>237</v>
      </c>
      <c r="H517" t="s">
        <v>163</v>
      </c>
      <c r="I517">
        <v>57</v>
      </c>
      <c r="J517">
        <v>0.82253521126760565</v>
      </c>
      <c r="K517">
        <v>0.78494623655913975</v>
      </c>
      <c r="L517">
        <v>0.86390532544378695</v>
      </c>
      <c r="M517" t="s">
        <v>60</v>
      </c>
      <c r="N517" t="s">
        <v>1459</v>
      </c>
      <c r="O517" t="s">
        <v>1460</v>
      </c>
      <c r="P517">
        <v>1.1000000000000001</v>
      </c>
    </row>
    <row r="518" spans="1:16" x14ac:dyDescent="0.3">
      <c r="A518" t="s">
        <v>17</v>
      </c>
      <c r="B518" t="s">
        <v>26</v>
      </c>
      <c r="C518" t="s">
        <v>27</v>
      </c>
      <c r="D518" t="s">
        <v>54</v>
      </c>
      <c r="E518" t="s">
        <v>160</v>
      </c>
      <c r="F518" t="s">
        <v>3</v>
      </c>
      <c r="G518" t="s">
        <v>242</v>
      </c>
      <c r="H518" t="s">
        <v>163</v>
      </c>
      <c r="I518">
        <v>58</v>
      </c>
      <c r="J518">
        <v>0.81714285714285706</v>
      </c>
      <c r="K518">
        <v>0.79005524861878451</v>
      </c>
      <c r="L518">
        <v>0.84615384615384615</v>
      </c>
      <c r="M518" t="s">
        <v>60</v>
      </c>
      <c r="N518" t="s">
        <v>1461</v>
      </c>
      <c r="O518" t="s">
        <v>1462</v>
      </c>
      <c r="P518">
        <v>1.6</v>
      </c>
    </row>
    <row r="519" spans="1:16" x14ac:dyDescent="0.3">
      <c r="A519" t="s">
        <v>17</v>
      </c>
      <c r="B519" t="s">
        <v>26</v>
      </c>
      <c r="C519" t="s">
        <v>27</v>
      </c>
      <c r="D519" t="s">
        <v>54</v>
      </c>
      <c r="E519" t="s">
        <v>160</v>
      </c>
      <c r="F519" t="s">
        <v>3</v>
      </c>
      <c r="G519" t="s">
        <v>247</v>
      </c>
      <c r="H519" t="s">
        <v>163</v>
      </c>
      <c r="I519">
        <v>59</v>
      </c>
      <c r="J519">
        <v>0.8045325779036826</v>
      </c>
      <c r="K519">
        <v>0.77173913043478259</v>
      </c>
      <c r="L519">
        <v>0.84023668639053251</v>
      </c>
      <c r="M519" t="s">
        <v>60</v>
      </c>
      <c r="N519" t="s">
        <v>1463</v>
      </c>
      <c r="O519" t="s">
        <v>1464</v>
      </c>
      <c r="P519">
        <v>1.2</v>
      </c>
    </row>
    <row r="520" spans="1:16" x14ac:dyDescent="0.3">
      <c r="A520" t="s">
        <v>17</v>
      </c>
      <c r="B520" t="s">
        <v>26</v>
      </c>
      <c r="C520" t="s">
        <v>27</v>
      </c>
      <c r="D520" t="s">
        <v>54</v>
      </c>
      <c r="E520" t="s">
        <v>160</v>
      </c>
      <c r="F520" t="s">
        <v>3</v>
      </c>
      <c r="G520" t="s">
        <v>252</v>
      </c>
      <c r="H520" t="s">
        <v>163</v>
      </c>
      <c r="I520">
        <v>60</v>
      </c>
      <c r="J520">
        <v>0.82816901408450705</v>
      </c>
      <c r="K520">
        <v>0.79032258064516125</v>
      </c>
      <c r="L520">
        <v>0.86982248520710059</v>
      </c>
      <c r="M520" t="s">
        <v>60</v>
      </c>
      <c r="N520" t="s">
        <v>1465</v>
      </c>
      <c r="O520" t="s">
        <v>1466</v>
      </c>
      <c r="P520">
        <v>1.2</v>
      </c>
    </row>
    <row r="521" spans="1:16" x14ac:dyDescent="0.3">
      <c r="A521" t="s">
        <v>17</v>
      </c>
      <c r="B521" t="s">
        <v>26</v>
      </c>
      <c r="C521" t="s">
        <v>27</v>
      </c>
      <c r="D521" t="s">
        <v>54</v>
      </c>
      <c r="E521" t="s">
        <v>160</v>
      </c>
      <c r="F521" t="s">
        <v>3</v>
      </c>
      <c r="G521" t="s">
        <v>257</v>
      </c>
      <c r="H521" t="s">
        <v>163</v>
      </c>
      <c r="I521">
        <v>61</v>
      </c>
      <c r="J521">
        <v>0.78873239436619724</v>
      </c>
      <c r="K521">
        <v>0.75268817204301075</v>
      </c>
      <c r="L521">
        <v>0.82840236686390534</v>
      </c>
      <c r="M521" t="s">
        <v>60</v>
      </c>
      <c r="N521" t="s">
        <v>1467</v>
      </c>
      <c r="O521" t="s">
        <v>1468</v>
      </c>
      <c r="P521">
        <v>1.6</v>
      </c>
    </row>
    <row r="522" spans="1:16" x14ac:dyDescent="0.3">
      <c r="A522" t="s">
        <v>17</v>
      </c>
      <c r="B522" t="s">
        <v>26</v>
      </c>
      <c r="C522" t="s">
        <v>27</v>
      </c>
      <c r="D522" t="s">
        <v>54</v>
      </c>
      <c r="E522" t="s">
        <v>262</v>
      </c>
      <c r="F522" t="s">
        <v>5</v>
      </c>
      <c r="G522" t="s">
        <v>263</v>
      </c>
      <c r="H522" t="s">
        <v>265</v>
      </c>
      <c r="I522">
        <v>42</v>
      </c>
      <c r="J522">
        <v>0.80525164113785563</v>
      </c>
      <c r="K522">
        <v>0.78297872340425534</v>
      </c>
      <c r="L522">
        <v>0.8288288288288288</v>
      </c>
      <c r="M522" t="s">
        <v>60</v>
      </c>
      <c r="N522" t="s">
        <v>1469</v>
      </c>
      <c r="O522" t="s">
        <v>1470</v>
      </c>
      <c r="P522">
        <v>1.3</v>
      </c>
    </row>
    <row r="523" spans="1:16" x14ac:dyDescent="0.3">
      <c r="A523" t="s">
        <v>17</v>
      </c>
      <c r="B523" t="s">
        <v>26</v>
      </c>
      <c r="C523" t="s">
        <v>27</v>
      </c>
      <c r="D523" t="s">
        <v>54</v>
      </c>
      <c r="E523" t="s">
        <v>262</v>
      </c>
      <c r="F523" t="s">
        <v>5</v>
      </c>
      <c r="G523" t="s">
        <v>269</v>
      </c>
      <c r="H523" t="s">
        <v>265</v>
      </c>
      <c r="I523">
        <v>43</v>
      </c>
      <c r="J523">
        <v>0.80616740088105721</v>
      </c>
      <c r="K523">
        <v>0.78879310344827591</v>
      </c>
      <c r="L523">
        <v>0.82432432432432434</v>
      </c>
      <c r="M523" t="s">
        <v>60</v>
      </c>
      <c r="N523" t="s">
        <v>1471</v>
      </c>
      <c r="O523" t="s">
        <v>1472</v>
      </c>
      <c r="P523">
        <v>1.3</v>
      </c>
    </row>
    <row r="524" spans="1:16" x14ac:dyDescent="0.3">
      <c r="A524" t="s">
        <v>17</v>
      </c>
      <c r="B524" t="s">
        <v>26</v>
      </c>
      <c r="C524" t="s">
        <v>27</v>
      </c>
      <c r="D524" t="s">
        <v>54</v>
      </c>
      <c r="E524" t="s">
        <v>262</v>
      </c>
      <c r="F524" t="s">
        <v>5</v>
      </c>
      <c r="G524" t="s">
        <v>274</v>
      </c>
      <c r="H524" t="s">
        <v>265</v>
      </c>
      <c r="I524">
        <v>44</v>
      </c>
      <c r="J524">
        <v>0.82039911308203983</v>
      </c>
      <c r="K524">
        <v>0.80786026200873362</v>
      </c>
      <c r="L524">
        <v>0.83333333333333337</v>
      </c>
      <c r="M524" t="s">
        <v>60</v>
      </c>
      <c r="N524" t="s">
        <v>1473</v>
      </c>
      <c r="O524" t="s">
        <v>1474</v>
      </c>
      <c r="P524">
        <v>1.7</v>
      </c>
    </row>
    <row r="525" spans="1:16" x14ac:dyDescent="0.3">
      <c r="A525" t="s">
        <v>17</v>
      </c>
      <c r="B525" t="s">
        <v>26</v>
      </c>
      <c r="C525" t="s">
        <v>27</v>
      </c>
      <c r="D525" t="s">
        <v>54</v>
      </c>
      <c r="E525" t="s">
        <v>262</v>
      </c>
      <c r="F525" t="s">
        <v>5</v>
      </c>
      <c r="G525" t="s">
        <v>279</v>
      </c>
      <c r="H525" t="s">
        <v>265</v>
      </c>
      <c r="I525">
        <v>45</v>
      </c>
      <c r="J525">
        <v>0.82119205298013254</v>
      </c>
      <c r="K525">
        <v>0.80519480519480524</v>
      </c>
      <c r="L525">
        <v>0.83783783783783783</v>
      </c>
      <c r="M525" t="s">
        <v>60</v>
      </c>
      <c r="N525" t="s">
        <v>1475</v>
      </c>
      <c r="O525" t="s">
        <v>1476</v>
      </c>
      <c r="P525">
        <v>1.3</v>
      </c>
    </row>
    <row r="526" spans="1:16" x14ac:dyDescent="0.3">
      <c r="A526" t="s">
        <v>17</v>
      </c>
      <c r="B526" t="s">
        <v>26</v>
      </c>
      <c r="C526" t="s">
        <v>27</v>
      </c>
      <c r="D526" t="s">
        <v>54</v>
      </c>
      <c r="E526" t="s">
        <v>262</v>
      </c>
      <c r="F526" t="s">
        <v>5</v>
      </c>
      <c r="G526" t="s">
        <v>284</v>
      </c>
      <c r="H526" t="s">
        <v>265</v>
      </c>
      <c r="I526">
        <v>46</v>
      </c>
      <c r="J526">
        <v>0.79120879120879117</v>
      </c>
      <c r="K526">
        <v>0.77253218884120167</v>
      </c>
      <c r="L526">
        <v>0.81081081081081086</v>
      </c>
      <c r="M526" t="s">
        <v>60</v>
      </c>
      <c r="N526" t="s">
        <v>1477</v>
      </c>
      <c r="O526" t="s">
        <v>1478</v>
      </c>
      <c r="P526">
        <v>1.3</v>
      </c>
    </row>
    <row r="527" spans="1:16" x14ac:dyDescent="0.3">
      <c r="A527" t="s">
        <v>17</v>
      </c>
      <c r="B527" t="s">
        <v>26</v>
      </c>
      <c r="C527" t="s">
        <v>27</v>
      </c>
      <c r="D527" t="s">
        <v>54</v>
      </c>
      <c r="E527" t="s">
        <v>262</v>
      </c>
      <c r="F527" t="s">
        <v>5</v>
      </c>
      <c r="G527" t="s">
        <v>289</v>
      </c>
      <c r="H527" t="s">
        <v>265</v>
      </c>
      <c r="I527">
        <v>47</v>
      </c>
      <c r="J527">
        <v>0.81677704194260492</v>
      </c>
      <c r="K527">
        <v>0.80086580086580084</v>
      </c>
      <c r="L527">
        <v>0.83333333333333337</v>
      </c>
      <c r="M527" t="s">
        <v>60</v>
      </c>
      <c r="N527" t="s">
        <v>1479</v>
      </c>
      <c r="O527" t="s">
        <v>1480</v>
      </c>
      <c r="P527">
        <v>1.7</v>
      </c>
    </row>
    <row r="528" spans="1:16" x14ac:dyDescent="0.3">
      <c r="A528" t="s">
        <v>17</v>
      </c>
      <c r="B528" t="s">
        <v>26</v>
      </c>
      <c r="C528" t="s">
        <v>27</v>
      </c>
      <c r="D528" t="s">
        <v>54</v>
      </c>
      <c r="E528" t="s">
        <v>262</v>
      </c>
      <c r="F528" t="s">
        <v>5</v>
      </c>
      <c r="G528" t="s">
        <v>294</v>
      </c>
      <c r="H528" t="s">
        <v>265</v>
      </c>
      <c r="I528">
        <v>48</v>
      </c>
      <c r="J528">
        <v>0.81677704194260492</v>
      </c>
      <c r="K528">
        <v>0.80086580086580084</v>
      </c>
      <c r="L528">
        <v>0.83333333333333337</v>
      </c>
      <c r="M528" t="s">
        <v>60</v>
      </c>
      <c r="N528" t="s">
        <v>1481</v>
      </c>
      <c r="O528" t="s">
        <v>1482</v>
      </c>
      <c r="P528">
        <v>1.3</v>
      </c>
    </row>
    <row r="529" spans="1:16" x14ac:dyDescent="0.3">
      <c r="A529" t="s">
        <v>17</v>
      </c>
      <c r="B529" t="s">
        <v>26</v>
      </c>
      <c r="C529" t="s">
        <v>27</v>
      </c>
      <c r="D529" t="s">
        <v>54</v>
      </c>
      <c r="E529" t="s">
        <v>262</v>
      </c>
      <c r="F529" t="s">
        <v>5</v>
      </c>
      <c r="G529" t="s">
        <v>299</v>
      </c>
      <c r="H529" t="s">
        <v>265</v>
      </c>
      <c r="I529">
        <v>49</v>
      </c>
      <c r="J529">
        <v>0.79120879120879117</v>
      </c>
      <c r="K529">
        <v>0.77253218884120167</v>
      </c>
      <c r="L529">
        <v>0.81081081081081086</v>
      </c>
      <c r="M529" t="s">
        <v>60</v>
      </c>
      <c r="N529" t="s">
        <v>1483</v>
      </c>
      <c r="O529" t="s">
        <v>1484</v>
      </c>
      <c r="P529">
        <v>1.7</v>
      </c>
    </row>
    <row r="530" spans="1:16" x14ac:dyDescent="0.3">
      <c r="A530" t="s">
        <v>17</v>
      </c>
      <c r="B530" t="s">
        <v>26</v>
      </c>
      <c r="C530" t="s">
        <v>27</v>
      </c>
      <c r="D530" t="s">
        <v>54</v>
      </c>
      <c r="E530" t="s">
        <v>262</v>
      </c>
      <c r="F530" t="s">
        <v>5</v>
      </c>
      <c r="G530" t="s">
        <v>304</v>
      </c>
      <c r="H530" t="s">
        <v>265</v>
      </c>
      <c r="I530">
        <v>50</v>
      </c>
      <c r="J530">
        <v>0.8169642857142857</v>
      </c>
      <c r="K530">
        <v>0.80973451327433632</v>
      </c>
      <c r="L530">
        <v>0.82432432432432434</v>
      </c>
      <c r="M530" t="s">
        <v>60</v>
      </c>
      <c r="N530" t="s">
        <v>1485</v>
      </c>
      <c r="O530" t="s">
        <v>1486</v>
      </c>
      <c r="P530">
        <v>1.3</v>
      </c>
    </row>
    <row r="531" spans="1:16" x14ac:dyDescent="0.3">
      <c r="A531" t="s">
        <v>17</v>
      </c>
      <c r="B531" t="s">
        <v>26</v>
      </c>
      <c r="C531" t="s">
        <v>27</v>
      </c>
      <c r="D531" t="s">
        <v>54</v>
      </c>
      <c r="E531" t="s">
        <v>262</v>
      </c>
      <c r="F531" t="s">
        <v>5</v>
      </c>
      <c r="G531" t="s">
        <v>309</v>
      </c>
      <c r="H531" t="s">
        <v>265</v>
      </c>
      <c r="I531">
        <v>51</v>
      </c>
      <c r="J531">
        <v>0.79824561403508765</v>
      </c>
      <c r="K531">
        <v>0.77777777777777779</v>
      </c>
      <c r="L531">
        <v>0.81981981981981977</v>
      </c>
      <c r="M531" t="s">
        <v>60</v>
      </c>
      <c r="N531" t="s">
        <v>1487</v>
      </c>
      <c r="O531" t="s">
        <v>1488</v>
      </c>
      <c r="P531">
        <v>1.3</v>
      </c>
    </row>
    <row r="532" spans="1:16" x14ac:dyDescent="0.3">
      <c r="A532" t="s">
        <v>17</v>
      </c>
      <c r="B532" t="s">
        <v>26</v>
      </c>
      <c r="C532" t="s">
        <v>27</v>
      </c>
      <c r="D532" t="s">
        <v>54</v>
      </c>
      <c r="E532" t="s">
        <v>262</v>
      </c>
      <c r="F532" t="s">
        <v>5</v>
      </c>
      <c r="G532" t="s">
        <v>314</v>
      </c>
      <c r="H532" t="s">
        <v>265</v>
      </c>
      <c r="I532">
        <v>52</v>
      </c>
      <c r="J532">
        <v>0.80717488789237679</v>
      </c>
      <c r="K532">
        <v>0.8035714285714286</v>
      </c>
      <c r="L532">
        <v>0.81081081081081086</v>
      </c>
      <c r="M532" t="s">
        <v>60</v>
      </c>
      <c r="N532" t="s">
        <v>1489</v>
      </c>
      <c r="O532" t="s">
        <v>1490</v>
      </c>
      <c r="P532">
        <v>1.3</v>
      </c>
    </row>
    <row r="533" spans="1:16" x14ac:dyDescent="0.3">
      <c r="A533" t="s">
        <v>17</v>
      </c>
      <c r="B533" t="s">
        <v>26</v>
      </c>
      <c r="C533" t="s">
        <v>27</v>
      </c>
      <c r="D533" t="s">
        <v>54</v>
      </c>
      <c r="E533" t="s">
        <v>262</v>
      </c>
      <c r="F533" t="s">
        <v>5</v>
      </c>
      <c r="G533" t="s">
        <v>319</v>
      </c>
      <c r="H533" t="s">
        <v>265</v>
      </c>
      <c r="I533">
        <v>53</v>
      </c>
      <c r="J533">
        <v>0.80000000000000016</v>
      </c>
      <c r="K533">
        <v>0.7811158798283262</v>
      </c>
      <c r="L533">
        <v>0.81981981981981977</v>
      </c>
      <c r="M533" t="s">
        <v>60</v>
      </c>
      <c r="N533" t="s">
        <v>1491</v>
      </c>
      <c r="O533" t="s">
        <v>1492</v>
      </c>
      <c r="P533">
        <v>1.7</v>
      </c>
    </row>
    <row r="534" spans="1:16" x14ac:dyDescent="0.3">
      <c r="A534" t="s">
        <v>17</v>
      </c>
      <c r="B534" t="s">
        <v>26</v>
      </c>
      <c r="C534" t="s">
        <v>27</v>
      </c>
      <c r="D534" t="s">
        <v>54</v>
      </c>
      <c r="E534" t="s">
        <v>262</v>
      </c>
      <c r="F534" t="s">
        <v>5</v>
      </c>
      <c r="G534" t="s">
        <v>324</v>
      </c>
      <c r="H534" t="s">
        <v>265</v>
      </c>
      <c r="I534">
        <v>54</v>
      </c>
      <c r="J534">
        <v>0.80616740088105721</v>
      </c>
      <c r="K534">
        <v>0.78879310344827591</v>
      </c>
      <c r="L534">
        <v>0.82432432432432434</v>
      </c>
      <c r="M534" t="s">
        <v>60</v>
      </c>
      <c r="N534" t="s">
        <v>1493</v>
      </c>
      <c r="O534" t="s">
        <v>1494</v>
      </c>
      <c r="P534">
        <v>1.3</v>
      </c>
    </row>
    <row r="535" spans="1:16" x14ac:dyDescent="0.3">
      <c r="A535" t="s">
        <v>17</v>
      </c>
      <c r="B535" t="s">
        <v>26</v>
      </c>
      <c r="C535" t="s">
        <v>27</v>
      </c>
      <c r="D535" t="s">
        <v>54</v>
      </c>
      <c r="E535" t="s">
        <v>262</v>
      </c>
      <c r="F535" t="s">
        <v>5</v>
      </c>
      <c r="G535" t="s">
        <v>329</v>
      </c>
      <c r="H535" t="s">
        <v>265</v>
      </c>
      <c r="I535">
        <v>55</v>
      </c>
      <c r="J535">
        <v>0.79565217391304344</v>
      </c>
      <c r="K535">
        <v>0.76890756302521013</v>
      </c>
      <c r="L535">
        <v>0.82432432432432434</v>
      </c>
      <c r="M535" t="s">
        <v>60</v>
      </c>
      <c r="N535" t="s">
        <v>1495</v>
      </c>
      <c r="O535" t="s">
        <v>1496</v>
      </c>
      <c r="P535">
        <v>1.3</v>
      </c>
    </row>
    <row r="536" spans="1:16" x14ac:dyDescent="0.3">
      <c r="A536" t="s">
        <v>17</v>
      </c>
      <c r="B536" t="s">
        <v>26</v>
      </c>
      <c r="C536" t="s">
        <v>27</v>
      </c>
      <c r="D536" t="s">
        <v>54</v>
      </c>
      <c r="E536" t="s">
        <v>262</v>
      </c>
      <c r="F536" t="s">
        <v>5</v>
      </c>
      <c r="G536" t="s">
        <v>334</v>
      </c>
      <c r="H536" t="s">
        <v>265</v>
      </c>
      <c r="I536">
        <v>56</v>
      </c>
      <c r="J536">
        <v>0.81415929203539827</v>
      </c>
      <c r="K536">
        <v>0.8</v>
      </c>
      <c r="L536">
        <v>0.8288288288288288</v>
      </c>
      <c r="M536" t="s">
        <v>60</v>
      </c>
      <c r="N536" t="s">
        <v>1497</v>
      </c>
      <c r="O536" t="s">
        <v>1498</v>
      </c>
      <c r="P536">
        <v>1.7</v>
      </c>
    </row>
    <row r="537" spans="1:16" x14ac:dyDescent="0.3">
      <c r="A537" t="s">
        <v>17</v>
      </c>
      <c r="B537" t="s">
        <v>26</v>
      </c>
      <c r="C537" t="s">
        <v>27</v>
      </c>
      <c r="D537" t="s">
        <v>54</v>
      </c>
      <c r="E537" t="s">
        <v>262</v>
      </c>
      <c r="F537" t="s">
        <v>5</v>
      </c>
      <c r="G537" t="s">
        <v>339</v>
      </c>
      <c r="H537" t="s">
        <v>265</v>
      </c>
      <c r="I537">
        <v>57</v>
      </c>
      <c r="J537">
        <v>0.80530973451327426</v>
      </c>
      <c r="K537">
        <v>0.79130434782608694</v>
      </c>
      <c r="L537">
        <v>0.81981981981981977</v>
      </c>
      <c r="M537" t="s">
        <v>60</v>
      </c>
      <c r="N537" t="s">
        <v>1499</v>
      </c>
      <c r="O537" t="s">
        <v>1500</v>
      </c>
      <c r="P537">
        <v>1.3</v>
      </c>
    </row>
    <row r="538" spans="1:16" x14ac:dyDescent="0.3">
      <c r="A538" t="s">
        <v>17</v>
      </c>
      <c r="B538" t="s">
        <v>26</v>
      </c>
      <c r="C538" t="s">
        <v>27</v>
      </c>
      <c r="D538" t="s">
        <v>54</v>
      </c>
      <c r="E538" t="s">
        <v>262</v>
      </c>
      <c r="F538" t="s">
        <v>5</v>
      </c>
      <c r="G538" t="s">
        <v>344</v>
      </c>
      <c r="H538" t="s">
        <v>265</v>
      </c>
      <c r="I538">
        <v>58</v>
      </c>
      <c r="J538">
        <v>0.8169642857142857</v>
      </c>
      <c r="K538">
        <v>0.80973451327433632</v>
      </c>
      <c r="L538">
        <v>0.82432432432432434</v>
      </c>
      <c r="M538" t="s">
        <v>60</v>
      </c>
      <c r="N538" t="s">
        <v>1501</v>
      </c>
      <c r="O538" t="s">
        <v>1502</v>
      </c>
      <c r="P538">
        <v>1.7</v>
      </c>
    </row>
    <row r="539" spans="1:16" x14ac:dyDescent="0.3">
      <c r="A539" t="s">
        <v>17</v>
      </c>
      <c r="B539" t="s">
        <v>26</v>
      </c>
      <c r="C539" t="s">
        <v>27</v>
      </c>
      <c r="D539" t="s">
        <v>54</v>
      </c>
      <c r="E539" t="s">
        <v>262</v>
      </c>
      <c r="F539" t="s">
        <v>5</v>
      </c>
      <c r="G539" t="s">
        <v>349</v>
      </c>
      <c r="H539" t="s">
        <v>265</v>
      </c>
      <c r="I539">
        <v>59</v>
      </c>
      <c r="J539">
        <v>0.81959910913140299</v>
      </c>
      <c r="K539">
        <v>0.81057268722466957</v>
      </c>
      <c r="L539">
        <v>0.8288288288288288</v>
      </c>
      <c r="M539" t="s">
        <v>60</v>
      </c>
      <c r="N539" t="s">
        <v>1503</v>
      </c>
      <c r="O539" t="s">
        <v>1504</v>
      </c>
      <c r="P539">
        <v>1.3</v>
      </c>
    </row>
    <row r="540" spans="1:16" x14ac:dyDescent="0.3">
      <c r="A540" t="s">
        <v>17</v>
      </c>
      <c r="B540" t="s">
        <v>26</v>
      </c>
      <c r="C540" t="s">
        <v>27</v>
      </c>
      <c r="D540" t="s">
        <v>54</v>
      </c>
      <c r="E540" t="s">
        <v>262</v>
      </c>
      <c r="F540" t="s">
        <v>5</v>
      </c>
      <c r="G540" t="s">
        <v>354</v>
      </c>
      <c r="H540" t="s">
        <v>265</v>
      </c>
      <c r="I540">
        <v>60</v>
      </c>
      <c r="J540">
        <v>0.79649890590809624</v>
      </c>
      <c r="K540">
        <v>0.77446808510638299</v>
      </c>
      <c r="L540">
        <v>0.81981981981981977</v>
      </c>
      <c r="M540" t="s">
        <v>60</v>
      </c>
      <c r="N540" t="s">
        <v>1505</v>
      </c>
      <c r="O540" t="s">
        <v>1506</v>
      </c>
      <c r="P540">
        <v>1.3</v>
      </c>
    </row>
    <row r="541" spans="1:16" x14ac:dyDescent="0.3">
      <c r="A541" t="s">
        <v>17</v>
      </c>
      <c r="B541" t="s">
        <v>26</v>
      </c>
      <c r="C541" t="s">
        <v>27</v>
      </c>
      <c r="D541" t="s">
        <v>54</v>
      </c>
      <c r="E541" t="s">
        <v>262</v>
      </c>
      <c r="F541" t="s">
        <v>5</v>
      </c>
      <c r="G541" t="s">
        <v>359</v>
      </c>
      <c r="H541" t="s">
        <v>265</v>
      </c>
      <c r="I541">
        <v>61</v>
      </c>
      <c r="J541">
        <v>0.79910714285714279</v>
      </c>
      <c r="K541">
        <v>0.79203539823008851</v>
      </c>
      <c r="L541">
        <v>0.80630630630630629</v>
      </c>
      <c r="M541" t="s">
        <v>60</v>
      </c>
      <c r="N541" t="s">
        <v>1507</v>
      </c>
      <c r="O541" t="s">
        <v>1508</v>
      </c>
      <c r="P541">
        <v>1.3</v>
      </c>
    </row>
    <row r="542" spans="1:16" x14ac:dyDescent="0.3">
      <c r="A542" t="s">
        <v>17</v>
      </c>
      <c r="B542" t="s">
        <v>26</v>
      </c>
      <c r="C542" t="s">
        <v>27</v>
      </c>
      <c r="D542" t="s">
        <v>363</v>
      </c>
      <c r="E542" t="s">
        <v>365</v>
      </c>
      <c r="F542" t="s">
        <v>13</v>
      </c>
      <c r="G542" t="s">
        <v>366</v>
      </c>
      <c r="H542" t="s">
        <v>368</v>
      </c>
      <c r="I542">
        <v>42</v>
      </c>
      <c r="J542">
        <v>0.82203389830508478</v>
      </c>
      <c r="K542">
        <v>0.80165289256198347</v>
      </c>
      <c r="L542">
        <v>0.84347826086956523</v>
      </c>
      <c r="M542" t="s">
        <v>60</v>
      </c>
      <c r="N542" t="s">
        <v>1509</v>
      </c>
      <c r="O542" t="s">
        <v>1510</v>
      </c>
      <c r="P542">
        <v>1.7</v>
      </c>
    </row>
    <row r="543" spans="1:16" x14ac:dyDescent="0.3">
      <c r="A543" t="s">
        <v>17</v>
      </c>
      <c r="B543" t="s">
        <v>26</v>
      </c>
      <c r="C543" t="s">
        <v>27</v>
      </c>
      <c r="D543" t="s">
        <v>363</v>
      </c>
      <c r="E543" t="s">
        <v>365</v>
      </c>
      <c r="F543" t="s">
        <v>13</v>
      </c>
      <c r="G543" t="s">
        <v>372</v>
      </c>
      <c r="H543" t="s">
        <v>368</v>
      </c>
      <c r="I543">
        <v>43</v>
      </c>
      <c r="J543">
        <v>0.81666666666666665</v>
      </c>
      <c r="K543">
        <v>0.78400000000000003</v>
      </c>
      <c r="L543">
        <v>0.85217391304347823</v>
      </c>
      <c r="M543" t="s">
        <v>60</v>
      </c>
      <c r="N543" t="s">
        <v>1511</v>
      </c>
      <c r="O543" t="s">
        <v>1512</v>
      </c>
      <c r="P543">
        <v>1.3</v>
      </c>
    </row>
    <row r="544" spans="1:16" x14ac:dyDescent="0.3">
      <c r="A544" t="s">
        <v>17</v>
      </c>
      <c r="B544" t="s">
        <v>26</v>
      </c>
      <c r="C544" t="s">
        <v>27</v>
      </c>
      <c r="D544" t="s">
        <v>363</v>
      </c>
      <c r="E544" t="s">
        <v>365</v>
      </c>
      <c r="F544" t="s">
        <v>13</v>
      </c>
      <c r="G544" t="s">
        <v>377</v>
      </c>
      <c r="H544" t="s">
        <v>368</v>
      </c>
      <c r="I544">
        <v>44</v>
      </c>
      <c r="J544">
        <v>0.80497925311203322</v>
      </c>
      <c r="K544">
        <v>0.76984126984126988</v>
      </c>
      <c r="L544">
        <v>0.84347826086956523</v>
      </c>
      <c r="M544" t="s">
        <v>60</v>
      </c>
      <c r="N544" t="s">
        <v>1513</v>
      </c>
      <c r="O544" t="s">
        <v>1514</v>
      </c>
      <c r="P544">
        <v>1.7</v>
      </c>
    </row>
    <row r="545" spans="1:16" x14ac:dyDescent="0.3">
      <c r="A545" t="s">
        <v>17</v>
      </c>
      <c r="B545" t="s">
        <v>26</v>
      </c>
      <c r="C545" t="s">
        <v>27</v>
      </c>
      <c r="D545" t="s">
        <v>363</v>
      </c>
      <c r="E545" t="s">
        <v>365</v>
      </c>
      <c r="F545" t="s">
        <v>13</v>
      </c>
      <c r="G545" t="s">
        <v>382</v>
      </c>
      <c r="H545" t="s">
        <v>368</v>
      </c>
      <c r="I545">
        <v>45</v>
      </c>
      <c r="J545">
        <v>0.81434599156118137</v>
      </c>
      <c r="K545">
        <v>0.79098360655737709</v>
      </c>
      <c r="L545">
        <v>0.83913043478260874</v>
      </c>
      <c r="M545" t="s">
        <v>60</v>
      </c>
      <c r="N545" t="s">
        <v>1515</v>
      </c>
      <c r="O545" t="s">
        <v>1516</v>
      </c>
      <c r="P545">
        <v>1.3</v>
      </c>
    </row>
    <row r="546" spans="1:16" x14ac:dyDescent="0.3">
      <c r="A546" t="s">
        <v>17</v>
      </c>
      <c r="B546" t="s">
        <v>26</v>
      </c>
      <c r="C546" t="s">
        <v>27</v>
      </c>
      <c r="D546" t="s">
        <v>363</v>
      </c>
      <c r="E546" t="s">
        <v>365</v>
      </c>
      <c r="F546" t="s">
        <v>13</v>
      </c>
      <c r="G546" t="s">
        <v>387</v>
      </c>
      <c r="H546" t="s">
        <v>368</v>
      </c>
      <c r="I546">
        <v>46</v>
      </c>
      <c r="J546">
        <v>0.81276595744680846</v>
      </c>
      <c r="K546">
        <v>0.79583333333333328</v>
      </c>
      <c r="L546">
        <v>0.83043478260869563</v>
      </c>
      <c r="M546" t="s">
        <v>60</v>
      </c>
      <c r="N546" t="s">
        <v>1517</v>
      </c>
      <c r="O546" t="s">
        <v>1518</v>
      </c>
      <c r="P546">
        <v>1.3</v>
      </c>
    </row>
    <row r="547" spans="1:16" x14ac:dyDescent="0.3">
      <c r="A547" t="s">
        <v>17</v>
      </c>
      <c r="B547" t="s">
        <v>26</v>
      </c>
      <c r="C547" t="s">
        <v>27</v>
      </c>
      <c r="D547" t="s">
        <v>363</v>
      </c>
      <c r="E547" t="s">
        <v>365</v>
      </c>
      <c r="F547" t="s">
        <v>13</v>
      </c>
      <c r="G547" t="s">
        <v>392</v>
      </c>
      <c r="H547" t="s">
        <v>368</v>
      </c>
      <c r="I547">
        <v>47</v>
      </c>
      <c r="J547">
        <v>0.82254697286012524</v>
      </c>
      <c r="K547">
        <v>0.79116465863453811</v>
      </c>
      <c r="L547">
        <v>0.85652173913043483</v>
      </c>
      <c r="M547" t="s">
        <v>60</v>
      </c>
      <c r="N547" t="s">
        <v>1519</v>
      </c>
      <c r="O547" t="s">
        <v>1520</v>
      </c>
      <c r="P547">
        <v>1.3</v>
      </c>
    </row>
    <row r="548" spans="1:16" x14ac:dyDescent="0.3">
      <c r="A548" t="s">
        <v>17</v>
      </c>
      <c r="B548" t="s">
        <v>26</v>
      </c>
      <c r="C548" t="s">
        <v>27</v>
      </c>
      <c r="D548" t="s">
        <v>363</v>
      </c>
      <c r="E548" t="s">
        <v>365</v>
      </c>
      <c r="F548" t="s">
        <v>13</v>
      </c>
      <c r="G548" t="s">
        <v>397</v>
      </c>
      <c r="H548" t="s">
        <v>368</v>
      </c>
      <c r="I548">
        <v>48</v>
      </c>
      <c r="J548">
        <v>0.80167014613778709</v>
      </c>
      <c r="K548">
        <v>0.77108433734939763</v>
      </c>
      <c r="L548">
        <v>0.83478260869565213</v>
      </c>
      <c r="M548" t="s">
        <v>60</v>
      </c>
      <c r="N548" t="s">
        <v>1521</v>
      </c>
      <c r="O548" t="s">
        <v>1522</v>
      </c>
      <c r="P548">
        <v>1.8</v>
      </c>
    </row>
    <row r="549" spans="1:16" x14ac:dyDescent="0.3">
      <c r="A549" t="s">
        <v>17</v>
      </c>
      <c r="B549" t="s">
        <v>26</v>
      </c>
      <c r="C549" t="s">
        <v>27</v>
      </c>
      <c r="D549" t="s">
        <v>363</v>
      </c>
      <c r="E549" t="s">
        <v>365</v>
      </c>
      <c r="F549" t="s">
        <v>13</v>
      </c>
      <c r="G549" t="s">
        <v>402</v>
      </c>
      <c r="H549" t="s">
        <v>368</v>
      </c>
      <c r="I549">
        <v>49</v>
      </c>
      <c r="J549">
        <v>0.80679405520169845</v>
      </c>
      <c r="K549">
        <v>0.78838174273858919</v>
      </c>
      <c r="L549">
        <v>0.82608695652173914</v>
      </c>
      <c r="M549" t="s">
        <v>60</v>
      </c>
      <c r="N549" t="s">
        <v>1523</v>
      </c>
      <c r="O549" t="s">
        <v>1524</v>
      </c>
      <c r="P549">
        <v>1.3</v>
      </c>
    </row>
    <row r="550" spans="1:16" x14ac:dyDescent="0.3">
      <c r="A550" t="s">
        <v>17</v>
      </c>
      <c r="B550" t="s">
        <v>26</v>
      </c>
      <c r="C550" t="s">
        <v>27</v>
      </c>
      <c r="D550" t="s">
        <v>363</v>
      </c>
      <c r="E550" t="s">
        <v>365</v>
      </c>
      <c r="F550" t="s">
        <v>13</v>
      </c>
      <c r="G550" t="s">
        <v>407</v>
      </c>
      <c r="H550" t="s">
        <v>368</v>
      </c>
      <c r="I550">
        <v>50</v>
      </c>
      <c r="J550">
        <v>0.81092436974789917</v>
      </c>
      <c r="K550">
        <v>0.78455284552845528</v>
      </c>
      <c r="L550">
        <v>0.83913043478260874</v>
      </c>
      <c r="M550" t="s">
        <v>60</v>
      </c>
      <c r="N550" t="s">
        <v>1525</v>
      </c>
      <c r="O550" t="s">
        <v>1526</v>
      </c>
      <c r="P550">
        <v>1.7</v>
      </c>
    </row>
    <row r="551" spans="1:16" x14ac:dyDescent="0.3">
      <c r="A551" t="s">
        <v>17</v>
      </c>
      <c r="B551" t="s">
        <v>26</v>
      </c>
      <c r="C551" t="s">
        <v>27</v>
      </c>
      <c r="D551" t="s">
        <v>363</v>
      </c>
      <c r="E551" t="s">
        <v>365</v>
      </c>
      <c r="F551" t="s">
        <v>13</v>
      </c>
      <c r="G551" t="s">
        <v>412</v>
      </c>
      <c r="H551" t="s">
        <v>368</v>
      </c>
      <c r="I551">
        <v>51</v>
      </c>
      <c r="J551">
        <v>0.81171548117154813</v>
      </c>
      <c r="K551">
        <v>0.782258064516129</v>
      </c>
      <c r="L551">
        <v>0.84347826086956523</v>
      </c>
      <c r="M551" t="s">
        <v>60</v>
      </c>
      <c r="N551" t="s">
        <v>1527</v>
      </c>
      <c r="O551" t="s">
        <v>1528</v>
      </c>
      <c r="P551">
        <v>1.3</v>
      </c>
    </row>
    <row r="552" spans="1:16" x14ac:dyDescent="0.3">
      <c r="A552" t="s">
        <v>17</v>
      </c>
      <c r="B552" t="s">
        <v>26</v>
      </c>
      <c r="C552" t="s">
        <v>27</v>
      </c>
      <c r="D552" t="s">
        <v>363</v>
      </c>
      <c r="E552" t="s">
        <v>365</v>
      </c>
      <c r="F552" t="s">
        <v>13</v>
      </c>
      <c r="G552" t="s">
        <v>417</v>
      </c>
      <c r="H552" t="s">
        <v>368</v>
      </c>
      <c r="I552">
        <v>52</v>
      </c>
      <c r="J552">
        <v>0.80584551148225458</v>
      </c>
      <c r="K552">
        <v>0.77510040160642568</v>
      </c>
      <c r="L552">
        <v>0.83913043478260874</v>
      </c>
      <c r="M552" t="s">
        <v>60</v>
      </c>
      <c r="N552" t="s">
        <v>1529</v>
      </c>
      <c r="O552" t="s">
        <v>1530</v>
      </c>
      <c r="P552">
        <v>1.3</v>
      </c>
    </row>
    <row r="553" spans="1:16" x14ac:dyDescent="0.3">
      <c r="A553" t="s">
        <v>17</v>
      </c>
      <c r="B553" t="s">
        <v>26</v>
      </c>
      <c r="C553" t="s">
        <v>27</v>
      </c>
      <c r="D553" t="s">
        <v>363</v>
      </c>
      <c r="E553" t="s">
        <v>365</v>
      </c>
      <c r="F553" t="s">
        <v>13</v>
      </c>
      <c r="G553" t="s">
        <v>422</v>
      </c>
      <c r="H553" t="s">
        <v>368</v>
      </c>
      <c r="I553">
        <v>53</v>
      </c>
      <c r="J553">
        <v>0.81002087682672241</v>
      </c>
      <c r="K553">
        <v>0.77911646586345384</v>
      </c>
      <c r="L553">
        <v>0.84347826086956523</v>
      </c>
      <c r="M553" t="s">
        <v>60</v>
      </c>
      <c r="N553" t="s">
        <v>1531</v>
      </c>
      <c r="O553" t="s">
        <v>1532</v>
      </c>
      <c r="P553">
        <v>1.3</v>
      </c>
    </row>
    <row r="554" spans="1:16" x14ac:dyDescent="0.3">
      <c r="A554" t="s">
        <v>17</v>
      </c>
      <c r="B554" t="s">
        <v>26</v>
      </c>
      <c r="C554" t="s">
        <v>27</v>
      </c>
      <c r="D554" t="s">
        <v>363</v>
      </c>
      <c r="E554" t="s">
        <v>365</v>
      </c>
      <c r="F554" t="s">
        <v>13</v>
      </c>
      <c r="G554" t="s">
        <v>427</v>
      </c>
      <c r="H554" t="s">
        <v>368</v>
      </c>
      <c r="I554">
        <v>54</v>
      </c>
      <c r="J554">
        <v>0.83991683991683985</v>
      </c>
      <c r="K554">
        <v>0.80478087649402386</v>
      </c>
      <c r="L554">
        <v>0.87826086956521743</v>
      </c>
      <c r="M554" t="s">
        <v>60</v>
      </c>
      <c r="N554" t="s">
        <v>1533</v>
      </c>
      <c r="O554" t="s">
        <v>1534</v>
      </c>
      <c r="P554">
        <v>1.8</v>
      </c>
    </row>
    <row r="555" spans="1:16" x14ac:dyDescent="0.3">
      <c r="A555" t="s">
        <v>17</v>
      </c>
      <c r="B555" t="s">
        <v>26</v>
      </c>
      <c r="C555" t="s">
        <v>27</v>
      </c>
      <c r="D555" t="s">
        <v>363</v>
      </c>
      <c r="E555" t="s">
        <v>365</v>
      </c>
      <c r="F555" t="s">
        <v>13</v>
      </c>
      <c r="G555" t="s">
        <v>432</v>
      </c>
      <c r="H555" t="s">
        <v>368</v>
      </c>
      <c r="I555">
        <v>55</v>
      </c>
      <c r="J555">
        <v>0.80753138075313802</v>
      </c>
      <c r="K555">
        <v>0.77822580645161288</v>
      </c>
      <c r="L555">
        <v>0.83913043478260874</v>
      </c>
      <c r="M555" t="s">
        <v>60</v>
      </c>
      <c r="N555" t="s">
        <v>1535</v>
      </c>
      <c r="O555" t="s">
        <v>1536</v>
      </c>
      <c r="P555">
        <v>1.3</v>
      </c>
    </row>
    <row r="556" spans="1:16" x14ac:dyDescent="0.3">
      <c r="A556" t="s">
        <v>17</v>
      </c>
      <c r="B556" t="s">
        <v>26</v>
      </c>
      <c r="C556" t="s">
        <v>27</v>
      </c>
      <c r="D556" t="s">
        <v>363</v>
      </c>
      <c r="E556" t="s">
        <v>365</v>
      </c>
      <c r="F556" t="s">
        <v>13</v>
      </c>
      <c r="G556" t="s">
        <v>437</v>
      </c>
      <c r="H556" t="s">
        <v>368</v>
      </c>
      <c r="I556">
        <v>56</v>
      </c>
      <c r="J556">
        <v>0.82203389830508478</v>
      </c>
      <c r="K556">
        <v>0.80165289256198347</v>
      </c>
      <c r="L556">
        <v>0.84347826086956523</v>
      </c>
      <c r="M556" t="s">
        <v>60</v>
      </c>
      <c r="N556" t="s">
        <v>1537</v>
      </c>
      <c r="O556" t="s">
        <v>1538</v>
      </c>
      <c r="P556">
        <v>1.3</v>
      </c>
    </row>
    <row r="557" spans="1:16" x14ac:dyDescent="0.3">
      <c r="A557" t="s">
        <v>17</v>
      </c>
      <c r="B557" t="s">
        <v>26</v>
      </c>
      <c r="C557" t="s">
        <v>27</v>
      </c>
      <c r="D557" t="s">
        <v>363</v>
      </c>
      <c r="E557" t="s">
        <v>365</v>
      </c>
      <c r="F557" t="s">
        <v>13</v>
      </c>
      <c r="G557" t="s">
        <v>442</v>
      </c>
      <c r="H557" t="s">
        <v>368</v>
      </c>
      <c r="I557">
        <v>57</v>
      </c>
      <c r="J557">
        <v>0.83544303797468356</v>
      </c>
      <c r="K557">
        <v>0.81147540983606559</v>
      </c>
      <c r="L557">
        <v>0.86086956521739133</v>
      </c>
      <c r="M557" t="s">
        <v>60</v>
      </c>
      <c r="N557" t="s">
        <v>1539</v>
      </c>
      <c r="O557" t="s">
        <v>1540</v>
      </c>
      <c r="P557">
        <v>1.7</v>
      </c>
    </row>
    <row r="558" spans="1:16" x14ac:dyDescent="0.3">
      <c r="A558" t="s">
        <v>17</v>
      </c>
      <c r="B558" t="s">
        <v>26</v>
      </c>
      <c r="C558" t="s">
        <v>27</v>
      </c>
      <c r="D558" t="s">
        <v>363</v>
      </c>
      <c r="E558" t="s">
        <v>365</v>
      </c>
      <c r="F558" t="s">
        <v>13</v>
      </c>
      <c r="G558" t="s">
        <v>447</v>
      </c>
      <c r="H558" t="s">
        <v>368</v>
      </c>
      <c r="I558">
        <v>58</v>
      </c>
      <c r="J558">
        <v>0.82452431289640593</v>
      </c>
      <c r="K558">
        <v>0.80246913580246915</v>
      </c>
      <c r="L558">
        <v>0.84782608695652173</v>
      </c>
      <c r="M558" t="s">
        <v>60</v>
      </c>
      <c r="N558" t="s">
        <v>1541</v>
      </c>
      <c r="O558" t="s">
        <v>1542</v>
      </c>
      <c r="P558">
        <v>1.3</v>
      </c>
    </row>
    <row r="559" spans="1:16" x14ac:dyDescent="0.3">
      <c r="A559" t="s">
        <v>17</v>
      </c>
      <c r="B559" t="s">
        <v>26</v>
      </c>
      <c r="C559" t="s">
        <v>27</v>
      </c>
      <c r="D559" t="s">
        <v>363</v>
      </c>
      <c r="E559" t="s">
        <v>365</v>
      </c>
      <c r="F559" t="s">
        <v>13</v>
      </c>
      <c r="G559" t="s">
        <v>452</v>
      </c>
      <c r="H559" t="s">
        <v>368</v>
      </c>
      <c r="I559">
        <v>59</v>
      </c>
      <c r="J559">
        <v>0.80590717299578063</v>
      </c>
      <c r="K559">
        <v>0.78278688524590168</v>
      </c>
      <c r="L559">
        <v>0.83043478260869563</v>
      </c>
      <c r="M559" t="s">
        <v>60</v>
      </c>
      <c r="N559" t="s">
        <v>1543</v>
      </c>
      <c r="O559" t="s">
        <v>1544</v>
      </c>
      <c r="P559">
        <v>1.7</v>
      </c>
    </row>
    <row r="560" spans="1:16" x14ac:dyDescent="0.3">
      <c r="A560" t="s">
        <v>17</v>
      </c>
      <c r="B560" t="s">
        <v>26</v>
      </c>
      <c r="C560" t="s">
        <v>27</v>
      </c>
      <c r="D560" t="s">
        <v>363</v>
      </c>
      <c r="E560" t="s">
        <v>365</v>
      </c>
      <c r="F560" t="s">
        <v>13</v>
      </c>
      <c r="G560" t="s">
        <v>457</v>
      </c>
      <c r="H560" t="s">
        <v>368</v>
      </c>
      <c r="I560">
        <v>60</v>
      </c>
      <c r="J560">
        <v>0.80167014613778709</v>
      </c>
      <c r="K560">
        <v>0.77108433734939763</v>
      </c>
      <c r="L560">
        <v>0.83478260869565213</v>
      </c>
      <c r="M560" t="s">
        <v>60</v>
      </c>
      <c r="N560" t="s">
        <v>1545</v>
      </c>
      <c r="O560" t="s">
        <v>1546</v>
      </c>
      <c r="P560">
        <v>1.3</v>
      </c>
    </row>
    <row r="561" spans="1:16" x14ac:dyDescent="0.3">
      <c r="A561" t="s">
        <v>17</v>
      </c>
      <c r="B561" t="s">
        <v>26</v>
      </c>
      <c r="C561" t="s">
        <v>27</v>
      </c>
      <c r="D561" t="s">
        <v>363</v>
      </c>
      <c r="E561" t="s">
        <v>365</v>
      </c>
      <c r="F561" t="s">
        <v>13</v>
      </c>
      <c r="G561" t="s">
        <v>462</v>
      </c>
      <c r="H561" t="s">
        <v>368</v>
      </c>
      <c r="I561">
        <v>61</v>
      </c>
      <c r="J561">
        <v>0.79245283018867918</v>
      </c>
      <c r="K561">
        <v>0.76518218623481782</v>
      </c>
      <c r="L561">
        <v>0.82173913043478264</v>
      </c>
      <c r="M561" t="s">
        <v>60</v>
      </c>
      <c r="N561" t="s">
        <v>1547</v>
      </c>
      <c r="O561" t="s">
        <v>1548</v>
      </c>
      <c r="P561">
        <v>1.3</v>
      </c>
    </row>
    <row r="562" spans="1:16" x14ac:dyDescent="0.3">
      <c r="A562" t="s">
        <v>17</v>
      </c>
      <c r="B562" t="s">
        <v>26</v>
      </c>
      <c r="C562" t="s">
        <v>27</v>
      </c>
      <c r="D562" t="s">
        <v>363</v>
      </c>
      <c r="E562" t="s">
        <v>467</v>
      </c>
      <c r="F562" t="s">
        <v>9</v>
      </c>
      <c r="G562" t="s">
        <v>468</v>
      </c>
      <c r="H562" t="s">
        <v>470</v>
      </c>
      <c r="I562">
        <v>42</v>
      </c>
      <c r="J562">
        <v>0.83667621776504297</v>
      </c>
      <c r="K562">
        <v>0.81111111111111112</v>
      </c>
      <c r="L562">
        <v>0.86390532544378695</v>
      </c>
      <c r="M562" t="s">
        <v>60</v>
      </c>
      <c r="N562" t="s">
        <v>1549</v>
      </c>
      <c r="O562" t="s">
        <v>1550</v>
      </c>
      <c r="P562">
        <v>1.6</v>
      </c>
    </row>
    <row r="563" spans="1:16" x14ac:dyDescent="0.3">
      <c r="A563" t="s">
        <v>17</v>
      </c>
      <c r="B563" t="s">
        <v>26</v>
      </c>
      <c r="C563" t="s">
        <v>27</v>
      </c>
      <c r="D563" t="s">
        <v>363</v>
      </c>
      <c r="E563" t="s">
        <v>467</v>
      </c>
      <c r="F563" t="s">
        <v>9</v>
      </c>
      <c r="G563" t="s">
        <v>474</v>
      </c>
      <c r="H563" t="s">
        <v>470</v>
      </c>
      <c r="I563">
        <v>43</v>
      </c>
      <c r="J563">
        <v>0.84955752212389379</v>
      </c>
      <c r="K563">
        <v>0.84705882352941175</v>
      </c>
      <c r="L563">
        <v>0.85207100591715978</v>
      </c>
      <c r="M563" t="s">
        <v>60</v>
      </c>
      <c r="N563" t="s">
        <v>1551</v>
      </c>
      <c r="O563" t="s">
        <v>1552</v>
      </c>
      <c r="P563">
        <v>1.1000000000000001</v>
      </c>
    </row>
    <row r="564" spans="1:16" x14ac:dyDescent="0.3">
      <c r="A564" t="s">
        <v>17</v>
      </c>
      <c r="B564" t="s">
        <v>26</v>
      </c>
      <c r="C564" t="s">
        <v>27</v>
      </c>
      <c r="D564" t="s">
        <v>363</v>
      </c>
      <c r="E564" t="s">
        <v>467</v>
      </c>
      <c r="F564" t="s">
        <v>9</v>
      </c>
      <c r="G564" t="s">
        <v>479</v>
      </c>
      <c r="H564" t="s">
        <v>470</v>
      </c>
      <c r="I564">
        <v>44</v>
      </c>
      <c r="J564">
        <v>0.83852691218130315</v>
      </c>
      <c r="K564">
        <v>0.80434782608695654</v>
      </c>
      <c r="L564">
        <v>0.87573964497041423</v>
      </c>
      <c r="M564" t="s">
        <v>60</v>
      </c>
      <c r="N564" t="s">
        <v>1553</v>
      </c>
      <c r="O564" t="s">
        <v>1554</v>
      </c>
      <c r="P564">
        <v>1.2</v>
      </c>
    </row>
    <row r="565" spans="1:16" x14ac:dyDescent="0.3">
      <c r="A565" t="s">
        <v>17</v>
      </c>
      <c r="B565" t="s">
        <v>26</v>
      </c>
      <c r="C565" t="s">
        <v>27</v>
      </c>
      <c r="D565" t="s">
        <v>363</v>
      </c>
      <c r="E565" t="s">
        <v>467</v>
      </c>
      <c r="F565" t="s">
        <v>9</v>
      </c>
      <c r="G565" t="s">
        <v>484</v>
      </c>
      <c r="H565" t="s">
        <v>470</v>
      </c>
      <c r="I565">
        <v>45</v>
      </c>
      <c r="J565">
        <v>0.83428571428571441</v>
      </c>
      <c r="K565">
        <v>0.8066298342541437</v>
      </c>
      <c r="L565">
        <v>0.86390532544378695</v>
      </c>
      <c r="M565" t="s">
        <v>60</v>
      </c>
      <c r="N565" t="s">
        <v>1555</v>
      </c>
      <c r="O565" t="s">
        <v>1556</v>
      </c>
      <c r="P565">
        <v>1.5</v>
      </c>
    </row>
    <row r="566" spans="1:16" x14ac:dyDescent="0.3">
      <c r="A566" t="s">
        <v>17</v>
      </c>
      <c r="B566" t="s">
        <v>26</v>
      </c>
      <c r="C566" t="s">
        <v>27</v>
      </c>
      <c r="D566" t="s">
        <v>363</v>
      </c>
      <c r="E566" t="s">
        <v>467</v>
      </c>
      <c r="F566" t="s">
        <v>9</v>
      </c>
      <c r="G566" t="s">
        <v>489</v>
      </c>
      <c r="H566" t="s">
        <v>470</v>
      </c>
      <c r="I566">
        <v>46</v>
      </c>
      <c r="J566">
        <v>0.82420749279538907</v>
      </c>
      <c r="K566">
        <v>0.8033707865168539</v>
      </c>
      <c r="L566">
        <v>0.84615384615384615</v>
      </c>
      <c r="M566" t="s">
        <v>60</v>
      </c>
      <c r="N566" t="s">
        <v>1557</v>
      </c>
      <c r="O566" t="s">
        <v>1558</v>
      </c>
      <c r="P566">
        <v>1.2</v>
      </c>
    </row>
    <row r="567" spans="1:16" x14ac:dyDescent="0.3">
      <c r="A567" t="s">
        <v>17</v>
      </c>
      <c r="B567" t="s">
        <v>26</v>
      </c>
      <c r="C567" t="s">
        <v>27</v>
      </c>
      <c r="D567" t="s">
        <v>363</v>
      </c>
      <c r="E567" t="s">
        <v>467</v>
      </c>
      <c r="F567" t="s">
        <v>9</v>
      </c>
      <c r="G567" t="s">
        <v>494</v>
      </c>
      <c r="H567" t="s">
        <v>470</v>
      </c>
      <c r="I567">
        <v>47</v>
      </c>
      <c r="J567">
        <v>0.84813753581661899</v>
      </c>
      <c r="K567">
        <v>0.82222222222222219</v>
      </c>
      <c r="L567">
        <v>0.87573964497041423</v>
      </c>
      <c r="M567" t="s">
        <v>60</v>
      </c>
      <c r="N567" t="s">
        <v>1559</v>
      </c>
      <c r="O567" t="s">
        <v>1560</v>
      </c>
      <c r="P567">
        <v>1.1000000000000001</v>
      </c>
    </row>
    <row r="568" spans="1:16" x14ac:dyDescent="0.3">
      <c r="A568" t="s">
        <v>17</v>
      </c>
      <c r="B568" t="s">
        <v>26</v>
      </c>
      <c r="C568" t="s">
        <v>27</v>
      </c>
      <c r="D568" t="s">
        <v>363</v>
      </c>
      <c r="E568" t="s">
        <v>467</v>
      </c>
      <c r="F568" t="s">
        <v>9</v>
      </c>
      <c r="G568" t="s">
        <v>499</v>
      </c>
      <c r="H568" t="s">
        <v>470</v>
      </c>
      <c r="I568">
        <v>48</v>
      </c>
      <c r="J568">
        <v>0.85142857142857153</v>
      </c>
      <c r="K568">
        <v>0.82320441988950277</v>
      </c>
      <c r="L568">
        <v>0.88165680473372776</v>
      </c>
      <c r="M568" t="s">
        <v>60</v>
      </c>
      <c r="N568" t="s">
        <v>1561</v>
      </c>
      <c r="O568" t="s">
        <v>1562</v>
      </c>
      <c r="P568">
        <v>1.1000000000000001</v>
      </c>
    </row>
    <row r="569" spans="1:16" x14ac:dyDescent="0.3">
      <c r="A569" t="s">
        <v>17</v>
      </c>
      <c r="B569" t="s">
        <v>26</v>
      </c>
      <c r="C569" t="s">
        <v>27</v>
      </c>
      <c r="D569" t="s">
        <v>363</v>
      </c>
      <c r="E569" t="s">
        <v>467</v>
      </c>
      <c r="F569" t="s">
        <v>9</v>
      </c>
      <c r="G569" t="s">
        <v>504</v>
      </c>
      <c r="H569" t="s">
        <v>470</v>
      </c>
      <c r="I569">
        <v>49</v>
      </c>
      <c r="J569">
        <v>0.83333333333333337</v>
      </c>
      <c r="K569">
        <v>0.81005586592178769</v>
      </c>
      <c r="L569">
        <v>0.85798816568047342</v>
      </c>
      <c r="M569" t="s">
        <v>60</v>
      </c>
      <c r="N569" t="s">
        <v>1563</v>
      </c>
      <c r="O569" t="s">
        <v>1564</v>
      </c>
      <c r="P569">
        <v>1.6</v>
      </c>
    </row>
    <row r="570" spans="1:16" x14ac:dyDescent="0.3">
      <c r="A570" t="s">
        <v>17</v>
      </c>
      <c r="B570" t="s">
        <v>26</v>
      </c>
      <c r="C570" t="s">
        <v>27</v>
      </c>
      <c r="D570" t="s">
        <v>363</v>
      </c>
      <c r="E570" t="s">
        <v>467</v>
      </c>
      <c r="F570" t="s">
        <v>9</v>
      </c>
      <c r="G570" t="s">
        <v>509</v>
      </c>
      <c r="H570" t="s">
        <v>470</v>
      </c>
      <c r="I570">
        <v>50</v>
      </c>
      <c r="J570">
        <v>0.82005899705014751</v>
      </c>
      <c r="K570">
        <v>0.81764705882352939</v>
      </c>
      <c r="L570">
        <v>0.8224852071005917</v>
      </c>
      <c r="M570" t="s">
        <v>60</v>
      </c>
      <c r="N570" t="s">
        <v>1565</v>
      </c>
      <c r="O570" t="s">
        <v>1566</v>
      </c>
      <c r="P570">
        <v>1.2</v>
      </c>
    </row>
    <row r="571" spans="1:16" x14ac:dyDescent="0.3">
      <c r="A571" t="s">
        <v>17</v>
      </c>
      <c r="B571" t="s">
        <v>26</v>
      </c>
      <c r="C571" t="s">
        <v>27</v>
      </c>
      <c r="D571" t="s">
        <v>363</v>
      </c>
      <c r="E571" t="s">
        <v>467</v>
      </c>
      <c r="F571" t="s">
        <v>9</v>
      </c>
      <c r="G571" t="s">
        <v>514</v>
      </c>
      <c r="H571" t="s">
        <v>470</v>
      </c>
      <c r="I571">
        <v>51</v>
      </c>
      <c r="J571">
        <v>0.85470085470085466</v>
      </c>
      <c r="K571">
        <v>0.82417582417582413</v>
      </c>
      <c r="L571">
        <v>0.8875739644970414</v>
      </c>
      <c r="M571" t="s">
        <v>60</v>
      </c>
      <c r="N571" t="s">
        <v>1567</v>
      </c>
      <c r="O571" t="s">
        <v>1568</v>
      </c>
      <c r="P571">
        <v>1.2</v>
      </c>
    </row>
    <row r="572" spans="1:16" x14ac:dyDescent="0.3">
      <c r="A572" t="s">
        <v>17</v>
      </c>
      <c r="B572" t="s">
        <v>26</v>
      </c>
      <c r="C572" t="s">
        <v>27</v>
      </c>
      <c r="D572" t="s">
        <v>363</v>
      </c>
      <c r="E572" t="s">
        <v>467</v>
      </c>
      <c r="F572" t="s">
        <v>9</v>
      </c>
      <c r="G572" t="s">
        <v>519</v>
      </c>
      <c r="H572" t="s">
        <v>470</v>
      </c>
      <c r="I572">
        <v>52</v>
      </c>
      <c r="J572">
        <v>0.82558139534883723</v>
      </c>
      <c r="K572">
        <v>0.81142857142857139</v>
      </c>
      <c r="L572">
        <v>0.84023668639053251</v>
      </c>
      <c r="M572" t="s">
        <v>60</v>
      </c>
      <c r="N572" t="s">
        <v>1569</v>
      </c>
      <c r="O572" t="s">
        <v>1570</v>
      </c>
      <c r="P572">
        <v>1.1000000000000001</v>
      </c>
    </row>
    <row r="573" spans="1:16" x14ac:dyDescent="0.3">
      <c r="A573" t="s">
        <v>17</v>
      </c>
      <c r="B573" t="s">
        <v>26</v>
      </c>
      <c r="C573" t="s">
        <v>27</v>
      </c>
      <c r="D573" t="s">
        <v>363</v>
      </c>
      <c r="E573" t="s">
        <v>467</v>
      </c>
      <c r="F573" t="s">
        <v>9</v>
      </c>
      <c r="G573" t="s">
        <v>524</v>
      </c>
      <c r="H573" t="s">
        <v>470</v>
      </c>
      <c r="I573">
        <v>53</v>
      </c>
      <c r="J573">
        <v>0.86376811594202896</v>
      </c>
      <c r="K573">
        <v>0.84659090909090906</v>
      </c>
      <c r="L573">
        <v>0.88165680473372776</v>
      </c>
      <c r="M573" t="s">
        <v>60</v>
      </c>
      <c r="N573" t="s">
        <v>1571</v>
      </c>
      <c r="O573" t="s">
        <v>1572</v>
      </c>
      <c r="P573">
        <v>1.6</v>
      </c>
    </row>
    <row r="574" spans="1:16" x14ac:dyDescent="0.3">
      <c r="A574" t="s">
        <v>17</v>
      </c>
      <c r="B574" t="s">
        <v>26</v>
      </c>
      <c r="C574" t="s">
        <v>27</v>
      </c>
      <c r="D574" t="s">
        <v>363</v>
      </c>
      <c r="E574" t="s">
        <v>467</v>
      </c>
      <c r="F574" t="s">
        <v>9</v>
      </c>
      <c r="G574" t="s">
        <v>529</v>
      </c>
      <c r="H574" t="s">
        <v>470</v>
      </c>
      <c r="I574">
        <v>54</v>
      </c>
      <c r="J574">
        <v>0.83094555873925513</v>
      </c>
      <c r="K574">
        <v>0.80555555555555558</v>
      </c>
      <c r="L574">
        <v>0.85798816568047342</v>
      </c>
      <c r="M574" t="s">
        <v>60</v>
      </c>
      <c r="N574" t="s">
        <v>1573</v>
      </c>
      <c r="O574" t="s">
        <v>1574</v>
      </c>
      <c r="P574">
        <v>1.1000000000000001</v>
      </c>
    </row>
    <row r="575" spans="1:16" x14ac:dyDescent="0.3">
      <c r="A575" t="s">
        <v>17</v>
      </c>
      <c r="B575" t="s">
        <v>26</v>
      </c>
      <c r="C575" t="s">
        <v>27</v>
      </c>
      <c r="D575" t="s">
        <v>363</v>
      </c>
      <c r="E575" t="s">
        <v>467</v>
      </c>
      <c r="F575" t="s">
        <v>9</v>
      </c>
      <c r="G575" t="s">
        <v>534</v>
      </c>
      <c r="H575" t="s">
        <v>470</v>
      </c>
      <c r="I575">
        <v>55</v>
      </c>
      <c r="J575">
        <v>0.85470085470085466</v>
      </c>
      <c r="K575">
        <v>0.82417582417582413</v>
      </c>
      <c r="L575">
        <v>0.8875739644970414</v>
      </c>
      <c r="M575" t="s">
        <v>60</v>
      </c>
      <c r="N575" t="s">
        <v>1575</v>
      </c>
      <c r="O575" t="s">
        <v>1576</v>
      </c>
      <c r="P575">
        <v>1.1000000000000001</v>
      </c>
    </row>
    <row r="576" spans="1:16" x14ac:dyDescent="0.3">
      <c r="A576" t="s">
        <v>17</v>
      </c>
      <c r="B576" t="s">
        <v>26</v>
      </c>
      <c r="C576" t="s">
        <v>27</v>
      </c>
      <c r="D576" t="s">
        <v>363</v>
      </c>
      <c r="E576" t="s">
        <v>467</v>
      </c>
      <c r="F576" t="s">
        <v>9</v>
      </c>
      <c r="G576" t="s">
        <v>539</v>
      </c>
      <c r="H576" t="s">
        <v>470</v>
      </c>
      <c r="I576">
        <v>56</v>
      </c>
      <c r="J576">
        <v>0.83333333333333337</v>
      </c>
      <c r="K576">
        <v>0.81005586592178769</v>
      </c>
      <c r="L576">
        <v>0.85798816568047342</v>
      </c>
      <c r="M576" t="s">
        <v>60</v>
      </c>
      <c r="N576" t="s">
        <v>1577</v>
      </c>
      <c r="O576" t="s">
        <v>1578</v>
      </c>
      <c r="P576">
        <v>1.6</v>
      </c>
    </row>
    <row r="577" spans="1:16" x14ac:dyDescent="0.3">
      <c r="A577" t="s">
        <v>17</v>
      </c>
      <c r="B577" t="s">
        <v>26</v>
      </c>
      <c r="C577" t="s">
        <v>27</v>
      </c>
      <c r="D577" t="s">
        <v>363</v>
      </c>
      <c r="E577" t="s">
        <v>467</v>
      </c>
      <c r="F577" t="s">
        <v>9</v>
      </c>
      <c r="G577" t="s">
        <v>544</v>
      </c>
      <c r="H577" t="s">
        <v>470</v>
      </c>
      <c r="I577">
        <v>57</v>
      </c>
      <c r="J577">
        <v>0.86705202312138729</v>
      </c>
      <c r="K577">
        <v>0.84745762711864403</v>
      </c>
      <c r="L577">
        <v>0.8875739644970414</v>
      </c>
      <c r="M577" t="s">
        <v>60</v>
      </c>
      <c r="N577" t="s">
        <v>1579</v>
      </c>
      <c r="O577" t="s">
        <v>1580</v>
      </c>
      <c r="P577">
        <v>1.1000000000000001</v>
      </c>
    </row>
    <row r="578" spans="1:16" x14ac:dyDescent="0.3">
      <c r="A578" t="s">
        <v>17</v>
      </c>
      <c r="B578" t="s">
        <v>26</v>
      </c>
      <c r="C578" t="s">
        <v>27</v>
      </c>
      <c r="D578" t="s">
        <v>363</v>
      </c>
      <c r="E578" t="s">
        <v>467</v>
      </c>
      <c r="F578" t="s">
        <v>9</v>
      </c>
      <c r="G578" t="s">
        <v>549</v>
      </c>
      <c r="H578" t="s">
        <v>470</v>
      </c>
      <c r="I578">
        <v>58</v>
      </c>
      <c r="J578">
        <v>0.83720930232558133</v>
      </c>
      <c r="K578">
        <v>0.82285714285714284</v>
      </c>
      <c r="L578">
        <v>0.85207100591715978</v>
      </c>
      <c r="M578" t="s">
        <v>60</v>
      </c>
      <c r="N578" t="s">
        <v>1581</v>
      </c>
      <c r="O578" t="s">
        <v>1582</v>
      </c>
      <c r="P578">
        <v>1.2</v>
      </c>
    </row>
    <row r="579" spans="1:16" x14ac:dyDescent="0.3">
      <c r="A579" t="s">
        <v>17</v>
      </c>
      <c r="B579" t="s">
        <v>26</v>
      </c>
      <c r="C579" t="s">
        <v>27</v>
      </c>
      <c r="D579" t="s">
        <v>363</v>
      </c>
      <c r="E579" t="s">
        <v>467</v>
      </c>
      <c r="F579" t="s">
        <v>9</v>
      </c>
      <c r="G579" t="s">
        <v>554</v>
      </c>
      <c r="H579" t="s">
        <v>470</v>
      </c>
      <c r="I579">
        <v>59</v>
      </c>
      <c r="J579">
        <v>0.84149855907780979</v>
      </c>
      <c r="K579">
        <v>0.8202247191011236</v>
      </c>
      <c r="L579">
        <v>0.86390532544378695</v>
      </c>
      <c r="M579" t="s">
        <v>60</v>
      </c>
      <c r="N579" t="s">
        <v>1583</v>
      </c>
      <c r="O579" t="s">
        <v>1584</v>
      </c>
      <c r="P579">
        <v>1.1000000000000001</v>
      </c>
    </row>
    <row r="580" spans="1:16" x14ac:dyDescent="0.3">
      <c r="A580" t="s">
        <v>17</v>
      </c>
      <c r="B580" t="s">
        <v>26</v>
      </c>
      <c r="C580" t="s">
        <v>27</v>
      </c>
      <c r="D580" t="s">
        <v>363</v>
      </c>
      <c r="E580" t="s">
        <v>467</v>
      </c>
      <c r="F580" t="s">
        <v>9</v>
      </c>
      <c r="G580" t="s">
        <v>559</v>
      </c>
      <c r="H580" t="s">
        <v>470</v>
      </c>
      <c r="I580">
        <v>60</v>
      </c>
      <c r="J580">
        <v>0.82798833819241979</v>
      </c>
      <c r="K580">
        <v>0.81609195402298851</v>
      </c>
      <c r="L580">
        <v>0.84023668639053251</v>
      </c>
      <c r="M580" t="s">
        <v>60</v>
      </c>
      <c r="N580" t="s">
        <v>1585</v>
      </c>
      <c r="O580" t="s">
        <v>1586</v>
      </c>
      <c r="P580">
        <v>1.6</v>
      </c>
    </row>
    <row r="581" spans="1:16" x14ac:dyDescent="0.3">
      <c r="A581" t="s">
        <v>17</v>
      </c>
      <c r="B581" t="s">
        <v>26</v>
      </c>
      <c r="C581" t="s">
        <v>27</v>
      </c>
      <c r="D581" t="s">
        <v>363</v>
      </c>
      <c r="E581" t="s">
        <v>467</v>
      </c>
      <c r="F581" t="s">
        <v>9</v>
      </c>
      <c r="G581" t="s">
        <v>564</v>
      </c>
      <c r="H581" t="s">
        <v>470</v>
      </c>
      <c r="I581">
        <v>61</v>
      </c>
      <c r="J581">
        <v>0.83815028901734112</v>
      </c>
      <c r="K581">
        <v>0.8192090395480226</v>
      </c>
      <c r="L581">
        <v>0.85798816568047342</v>
      </c>
      <c r="M581" t="s">
        <v>60</v>
      </c>
      <c r="N581" t="s">
        <v>1587</v>
      </c>
      <c r="O581" t="s">
        <v>1588</v>
      </c>
      <c r="P581">
        <v>1.1000000000000001</v>
      </c>
    </row>
    <row r="582" spans="1:16" x14ac:dyDescent="0.3">
      <c r="A582" t="s">
        <v>17</v>
      </c>
      <c r="B582" t="s">
        <v>26</v>
      </c>
      <c r="C582" t="s">
        <v>27</v>
      </c>
      <c r="D582" t="s">
        <v>363</v>
      </c>
      <c r="E582" t="s">
        <v>569</v>
      </c>
      <c r="F582" t="s">
        <v>11</v>
      </c>
      <c r="G582" t="s">
        <v>570</v>
      </c>
      <c r="H582" t="s">
        <v>572</v>
      </c>
      <c r="I582">
        <v>42</v>
      </c>
      <c r="J582">
        <v>0.82222222222222219</v>
      </c>
      <c r="K582">
        <v>0.81140350877192979</v>
      </c>
      <c r="L582">
        <v>0.83333333333333337</v>
      </c>
      <c r="M582" t="s">
        <v>60</v>
      </c>
      <c r="N582" t="s">
        <v>1589</v>
      </c>
      <c r="O582" t="s">
        <v>1590</v>
      </c>
      <c r="P582">
        <v>1.3</v>
      </c>
    </row>
    <row r="583" spans="1:16" x14ac:dyDescent="0.3">
      <c r="A583" t="s">
        <v>17</v>
      </c>
      <c r="B583" t="s">
        <v>26</v>
      </c>
      <c r="C583" t="s">
        <v>27</v>
      </c>
      <c r="D583" t="s">
        <v>363</v>
      </c>
      <c r="E583" t="s">
        <v>569</v>
      </c>
      <c r="F583" t="s">
        <v>11</v>
      </c>
      <c r="G583" t="s">
        <v>576</v>
      </c>
      <c r="H583" t="s">
        <v>572</v>
      </c>
      <c r="I583">
        <v>43</v>
      </c>
      <c r="J583">
        <v>0.84140969162995594</v>
      </c>
      <c r="K583">
        <v>0.82327586206896552</v>
      </c>
      <c r="L583">
        <v>0.86036036036036034</v>
      </c>
      <c r="M583" t="s">
        <v>60</v>
      </c>
      <c r="N583" t="s">
        <v>1591</v>
      </c>
      <c r="O583" t="s">
        <v>1592</v>
      </c>
      <c r="P583">
        <v>1.7</v>
      </c>
    </row>
    <row r="584" spans="1:16" x14ac:dyDescent="0.3">
      <c r="A584" t="s">
        <v>17</v>
      </c>
      <c r="B584" t="s">
        <v>26</v>
      </c>
      <c r="C584" t="s">
        <v>27</v>
      </c>
      <c r="D584" t="s">
        <v>363</v>
      </c>
      <c r="E584" t="s">
        <v>569</v>
      </c>
      <c r="F584" t="s">
        <v>11</v>
      </c>
      <c r="G584" t="s">
        <v>581</v>
      </c>
      <c r="H584" t="s">
        <v>572</v>
      </c>
      <c r="I584">
        <v>44</v>
      </c>
      <c r="J584">
        <v>0.83111111111111113</v>
      </c>
      <c r="K584">
        <v>0.82017543859649122</v>
      </c>
      <c r="L584">
        <v>0.84234234234234229</v>
      </c>
      <c r="M584" t="s">
        <v>60</v>
      </c>
      <c r="N584" t="s">
        <v>1593</v>
      </c>
      <c r="O584" t="s">
        <v>1594</v>
      </c>
      <c r="P584">
        <v>1.3</v>
      </c>
    </row>
    <row r="585" spans="1:16" x14ac:dyDescent="0.3">
      <c r="A585" t="s">
        <v>17</v>
      </c>
      <c r="B585" t="s">
        <v>26</v>
      </c>
      <c r="C585" t="s">
        <v>27</v>
      </c>
      <c r="D585" t="s">
        <v>363</v>
      </c>
      <c r="E585" t="s">
        <v>569</v>
      </c>
      <c r="F585" t="s">
        <v>11</v>
      </c>
      <c r="G585" t="s">
        <v>586</v>
      </c>
      <c r="H585" t="s">
        <v>572</v>
      </c>
      <c r="I585">
        <v>45</v>
      </c>
      <c r="J585">
        <v>0.8307692307692307</v>
      </c>
      <c r="K585">
        <v>0.81115879828326176</v>
      </c>
      <c r="L585">
        <v>0.85135135135135132</v>
      </c>
      <c r="M585" t="s">
        <v>60</v>
      </c>
      <c r="N585" t="s">
        <v>1595</v>
      </c>
      <c r="O585" t="s">
        <v>1596</v>
      </c>
      <c r="P585">
        <v>1.3</v>
      </c>
    </row>
    <row r="586" spans="1:16" x14ac:dyDescent="0.3">
      <c r="A586" t="s">
        <v>17</v>
      </c>
      <c r="B586" t="s">
        <v>26</v>
      </c>
      <c r="C586" t="s">
        <v>27</v>
      </c>
      <c r="D586" t="s">
        <v>363</v>
      </c>
      <c r="E586" t="s">
        <v>569</v>
      </c>
      <c r="F586" t="s">
        <v>11</v>
      </c>
      <c r="G586" t="s">
        <v>591</v>
      </c>
      <c r="H586" t="s">
        <v>572</v>
      </c>
      <c r="I586">
        <v>46</v>
      </c>
      <c r="J586">
        <v>0.83813747228381374</v>
      </c>
      <c r="K586">
        <v>0.8253275109170306</v>
      </c>
      <c r="L586">
        <v>0.85135135135135132</v>
      </c>
      <c r="M586" t="s">
        <v>60</v>
      </c>
      <c r="N586" t="s">
        <v>1597</v>
      </c>
      <c r="O586" t="s">
        <v>1598</v>
      </c>
      <c r="P586">
        <v>1.7</v>
      </c>
    </row>
    <row r="587" spans="1:16" x14ac:dyDescent="0.3">
      <c r="A587" t="s">
        <v>17</v>
      </c>
      <c r="B587" t="s">
        <v>26</v>
      </c>
      <c r="C587" t="s">
        <v>27</v>
      </c>
      <c r="D587" t="s">
        <v>363</v>
      </c>
      <c r="E587" t="s">
        <v>569</v>
      </c>
      <c r="F587" t="s">
        <v>11</v>
      </c>
      <c r="G587" t="s">
        <v>596</v>
      </c>
      <c r="H587" t="s">
        <v>572</v>
      </c>
      <c r="I587">
        <v>47</v>
      </c>
      <c r="J587">
        <v>0.84000000000000008</v>
      </c>
      <c r="K587">
        <v>0.82894736842105265</v>
      </c>
      <c r="L587">
        <v>0.85135135135135132</v>
      </c>
      <c r="M587" t="s">
        <v>60</v>
      </c>
      <c r="N587" t="s">
        <v>1599</v>
      </c>
      <c r="O587" t="s">
        <v>1600</v>
      </c>
      <c r="P587">
        <v>1.3</v>
      </c>
    </row>
    <row r="588" spans="1:16" x14ac:dyDescent="0.3">
      <c r="A588" t="s">
        <v>17</v>
      </c>
      <c r="B588" t="s">
        <v>26</v>
      </c>
      <c r="C588" t="s">
        <v>27</v>
      </c>
      <c r="D588" t="s">
        <v>363</v>
      </c>
      <c r="E588" t="s">
        <v>569</v>
      </c>
      <c r="F588" t="s">
        <v>11</v>
      </c>
      <c r="G588" t="s">
        <v>601</v>
      </c>
      <c r="H588" t="s">
        <v>572</v>
      </c>
      <c r="I588">
        <v>48</v>
      </c>
      <c r="J588">
        <v>0.83628318584070793</v>
      </c>
      <c r="K588">
        <v>0.82173913043478264</v>
      </c>
      <c r="L588">
        <v>0.85135135135135132</v>
      </c>
      <c r="M588" t="s">
        <v>60</v>
      </c>
      <c r="N588" t="s">
        <v>1601</v>
      </c>
      <c r="O588" t="s">
        <v>1602</v>
      </c>
      <c r="P588">
        <v>1.3</v>
      </c>
    </row>
    <row r="589" spans="1:16" x14ac:dyDescent="0.3">
      <c r="A589" t="s">
        <v>17</v>
      </c>
      <c r="B589" t="s">
        <v>26</v>
      </c>
      <c r="C589" t="s">
        <v>27</v>
      </c>
      <c r="D589" t="s">
        <v>363</v>
      </c>
      <c r="E589" t="s">
        <v>569</v>
      </c>
      <c r="F589" t="s">
        <v>11</v>
      </c>
      <c r="G589" t="s">
        <v>606</v>
      </c>
      <c r="H589" t="s">
        <v>572</v>
      </c>
      <c r="I589">
        <v>49</v>
      </c>
      <c r="J589">
        <v>0.84444444444444455</v>
      </c>
      <c r="K589">
        <v>0.83333333333333337</v>
      </c>
      <c r="L589">
        <v>0.85585585585585588</v>
      </c>
      <c r="M589" t="s">
        <v>60</v>
      </c>
      <c r="N589" t="s">
        <v>1603</v>
      </c>
      <c r="O589" t="s">
        <v>1604</v>
      </c>
      <c r="P589">
        <v>1.7</v>
      </c>
    </row>
    <row r="590" spans="1:16" x14ac:dyDescent="0.3">
      <c r="A590" t="s">
        <v>17</v>
      </c>
      <c r="B590" t="s">
        <v>26</v>
      </c>
      <c r="C590" t="s">
        <v>27</v>
      </c>
      <c r="D590" t="s">
        <v>363</v>
      </c>
      <c r="E590" t="s">
        <v>569</v>
      </c>
      <c r="F590" t="s">
        <v>11</v>
      </c>
      <c r="G590" t="s">
        <v>611</v>
      </c>
      <c r="H590" t="s">
        <v>572</v>
      </c>
      <c r="I590">
        <v>50</v>
      </c>
      <c r="J590">
        <v>0.81938325991189431</v>
      </c>
      <c r="K590">
        <v>0.80172413793103448</v>
      </c>
      <c r="L590">
        <v>0.83783783783783783</v>
      </c>
      <c r="M590" t="s">
        <v>60</v>
      </c>
      <c r="N590" t="s">
        <v>1605</v>
      </c>
      <c r="O590" t="s">
        <v>1606</v>
      </c>
      <c r="P590">
        <v>1.3</v>
      </c>
    </row>
    <row r="591" spans="1:16" x14ac:dyDescent="0.3">
      <c r="A591" t="s">
        <v>17</v>
      </c>
      <c r="B591" t="s">
        <v>26</v>
      </c>
      <c r="C591" t="s">
        <v>27</v>
      </c>
      <c r="D591" t="s">
        <v>363</v>
      </c>
      <c r="E591" t="s">
        <v>569</v>
      </c>
      <c r="F591" t="s">
        <v>11</v>
      </c>
      <c r="G591" t="s">
        <v>616</v>
      </c>
      <c r="H591" t="s">
        <v>572</v>
      </c>
      <c r="I591">
        <v>51</v>
      </c>
      <c r="J591">
        <v>0.82863340563991317</v>
      </c>
      <c r="K591">
        <v>0.79916317991631802</v>
      </c>
      <c r="L591">
        <v>0.86036036036036034</v>
      </c>
      <c r="M591" t="s">
        <v>60</v>
      </c>
      <c r="N591" t="s">
        <v>1607</v>
      </c>
      <c r="O591" t="s">
        <v>1608</v>
      </c>
      <c r="P591">
        <v>1.3</v>
      </c>
    </row>
    <row r="592" spans="1:16" x14ac:dyDescent="0.3">
      <c r="A592" t="s">
        <v>17</v>
      </c>
      <c r="B592" t="s">
        <v>26</v>
      </c>
      <c r="C592" t="s">
        <v>27</v>
      </c>
      <c r="D592" t="s">
        <v>363</v>
      </c>
      <c r="E592" t="s">
        <v>569</v>
      </c>
      <c r="F592" t="s">
        <v>11</v>
      </c>
      <c r="G592" t="s">
        <v>621</v>
      </c>
      <c r="H592" t="s">
        <v>572</v>
      </c>
      <c r="I592">
        <v>52</v>
      </c>
      <c r="J592">
        <v>0.83150984682713347</v>
      </c>
      <c r="K592">
        <v>0.80851063829787229</v>
      </c>
      <c r="L592">
        <v>0.85585585585585588</v>
      </c>
      <c r="M592" t="s">
        <v>60</v>
      </c>
      <c r="N592" t="s">
        <v>1609</v>
      </c>
      <c r="O592" t="s">
        <v>1610</v>
      </c>
      <c r="P592">
        <v>1.7</v>
      </c>
    </row>
    <row r="593" spans="1:16" x14ac:dyDescent="0.3">
      <c r="A593" t="s">
        <v>17</v>
      </c>
      <c r="B593" t="s">
        <v>26</v>
      </c>
      <c r="C593" t="s">
        <v>27</v>
      </c>
      <c r="D593" t="s">
        <v>363</v>
      </c>
      <c r="E593" t="s">
        <v>569</v>
      </c>
      <c r="F593" t="s">
        <v>11</v>
      </c>
      <c r="G593" t="s">
        <v>626</v>
      </c>
      <c r="H593" t="s">
        <v>572</v>
      </c>
      <c r="I593">
        <v>53</v>
      </c>
      <c r="J593">
        <v>0.82456140350877194</v>
      </c>
      <c r="K593">
        <v>0.80341880341880345</v>
      </c>
      <c r="L593">
        <v>0.84684684684684686</v>
      </c>
      <c r="M593" t="s">
        <v>60</v>
      </c>
      <c r="N593" t="s">
        <v>1611</v>
      </c>
      <c r="O593" t="s">
        <v>1612</v>
      </c>
      <c r="P593">
        <v>1.3</v>
      </c>
    </row>
    <row r="594" spans="1:16" x14ac:dyDescent="0.3">
      <c r="A594" t="s">
        <v>17</v>
      </c>
      <c r="B594" t="s">
        <v>26</v>
      </c>
      <c r="C594" t="s">
        <v>27</v>
      </c>
      <c r="D594" t="s">
        <v>363</v>
      </c>
      <c r="E594" t="s">
        <v>569</v>
      </c>
      <c r="F594" t="s">
        <v>11</v>
      </c>
      <c r="G594" t="s">
        <v>631</v>
      </c>
      <c r="H594" t="s">
        <v>572</v>
      </c>
      <c r="I594">
        <v>54</v>
      </c>
      <c r="J594">
        <v>0.84955752212389379</v>
      </c>
      <c r="K594">
        <v>0.83478260869565213</v>
      </c>
      <c r="L594">
        <v>0.86486486486486491</v>
      </c>
      <c r="M594" t="s">
        <v>60</v>
      </c>
      <c r="N594" t="s">
        <v>1613</v>
      </c>
      <c r="O594" t="s">
        <v>1614</v>
      </c>
      <c r="P594">
        <v>1.3</v>
      </c>
    </row>
    <row r="595" spans="1:16" x14ac:dyDescent="0.3">
      <c r="A595" t="s">
        <v>17</v>
      </c>
      <c r="B595" t="s">
        <v>26</v>
      </c>
      <c r="C595" t="s">
        <v>27</v>
      </c>
      <c r="D595" t="s">
        <v>363</v>
      </c>
      <c r="E595" t="s">
        <v>569</v>
      </c>
      <c r="F595" t="s">
        <v>11</v>
      </c>
      <c r="G595" t="s">
        <v>636</v>
      </c>
      <c r="H595" t="s">
        <v>572</v>
      </c>
      <c r="I595">
        <v>55</v>
      </c>
      <c r="J595">
        <v>0.84444444444444455</v>
      </c>
      <c r="K595">
        <v>0.83333333333333337</v>
      </c>
      <c r="L595">
        <v>0.85585585585585588</v>
      </c>
      <c r="M595" t="s">
        <v>60</v>
      </c>
      <c r="N595" t="s">
        <v>1615</v>
      </c>
      <c r="O595" t="s">
        <v>1616</v>
      </c>
      <c r="P595">
        <v>1.3</v>
      </c>
    </row>
    <row r="596" spans="1:16" x14ac:dyDescent="0.3">
      <c r="A596" t="s">
        <v>17</v>
      </c>
      <c r="B596" t="s">
        <v>26</v>
      </c>
      <c r="C596" t="s">
        <v>27</v>
      </c>
      <c r="D596" t="s">
        <v>363</v>
      </c>
      <c r="E596" t="s">
        <v>569</v>
      </c>
      <c r="F596" t="s">
        <v>11</v>
      </c>
      <c r="G596" t="s">
        <v>641</v>
      </c>
      <c r="H596" t="s">
        <v>572</v>
      </c>
      <c r="I596">
        <v>56</v>
      </c>
      <c r="J596">
        <v>0.84444444444444455</v>
      </c>
      <c r="K596">
        <v>0.83333333333333337</v>
      </c>
      <c r="L596">
        <v>0.85585585585585588</v>
      </c>
      <c r="M596" t="s">
        <v>60</v>
      </c>
      <c r="N596" t="s">
        <v>1617</v>
      </c>
      <c r="O596" t="s">
        <v>1618</v>
      </c>
      <c r="P596">
        <v>1.7</v>
      </c>
    </row>
    <row r="597" spans="1:16" x14ac:dyDescent="0.3">
      <c r="A597" t="s">
        <v>17</v>
      </c>
      <c r="B597" t="s">
        <v>26</v>
      </c>
      <c r="C597" t="s">
        <v>27</v>
      </c>
      <c r="D597" t="s">
        <v>363</v>
      </c>
      <c r="E597" t="s">
        <v>569</v>
      </c>
      <c r="F597" t="s">
        <v>11</v>
      </c>
      <c r="G597" t="s">
        <v>646</v>
      </c>
      <c r="H597" t="s">
        <v>572</v>
      </c>
      <c r="I597">
        <v>57</v>
      </c>
      <c r="J597">
        <v>0.84026258205689275</v>
      </c>
      <c r="K597">
        <v>0.81702127659574464</v>
      </c>
      <c r="L597">
        <v>0.86486486486486491</v>
      </c>
      <c r="M597" t="s">
        <v>60</v>
      </c>
      <c r="N597" t="s">
        <v>1619</v>
      </c>
      <c r="O597" t="s">
        <v>1620</v>
      </c>
      <c r="P597">
        <v>1.3</v>
      </c>
    </row>
    <row r="598" spans="1:16" x14ac:dyDescent="0.3">
      <c r="A598" t="s">
        <v>17</v>
      </c>
      <c r="B598" t="s">
        <v>26</v>
      </c>
      <c r="C598" t="s">
        <v>27</v>
      </c>
      <c r="D598" t="s">
        <v>363</v>
      </c>
      <c r="E598" t="s">
        <v>569</v>
      </c>
      <c r="F598" t="s">
        <v>11</v>
      </c>
      <c r="G598" t="s">
        <v>651</v>
      </c>
      <c r="H598" t="s">
        <v>572</v>
      </c>
      <c r="I598">
        <v>58</v>
      </c>
      <c r="J598">
        <v>0.83150984682713347</v>
      </c>
      <c r="K598">
        <v>0.80851063829787229</v>
      </c>
      <c r="L598">
        <v>0.85585585585585588</v>
      </c>
      <c r="M598" t="s">
        <v>60</v>
      </c>
      <c r="N598" t="s">
        <v>1621</v>
      </c>
      <c r="O598" t="s">
        <v>1622</v>
      </c>
      <c r="P598">
        <v>1.3</v>
      </c>
    </row>
    <row r="599" spans="1:16" x14ac:dyDescent="0.3">
      <c r="A599" t="s">
        <v>17</v>
      </c>
      <c r="B599" t="s">
        <v>26</v>
      </c>
      <c r="C599" t="s">
        <v>27</v>
      </c>
      <c r="D599" t="s">
        <v>363</v>
      </c>
      <c r="E599" t="s">
        <v>569</v>
      </c>
      <c r="F599" t="s">
        <v>11</v>
      </c>
      <c r="G599" t="s">
        <v>656</v>
      </c>
      <c r="H599" t="s">
        <v>572</v>
      </c>
      <c r="I599">
        <v>59</v>
      </c>
      <c r="J599">
        <v>0.83482142857142849</v>
      </c>
      <c r="K599">
        <v>0.82743362831858402</v>
      </c>
      <c r="L599">
        <v>0.84234234234234229</v>
      </c>
      <c r="M599" t="s">
        <v>60</v>
      </c>
      <c r="N599" t="s">
        <v>1623</v>
      </c>
      <c r="O599" t="s">
        <v>1624</v>
      </c>
      <c r="P599">
        <v>1.7</v>
      </c>
    </row>
    <row r="600" spans="1:16" x14ac:dyDescent="0.3">
      <c r="A600" t="s">
        <v>17</v>
      </c>
      <c r="B600" t="s">
        <v>26</v>
      </c>
      <c r="C600" t="s">
        <v>27</v>
      </c>
      <c r="D600" t="s">
        <v>363</v>
      </c>
      <c r="E600" t="s">
        <v>569</v>
      </c>
      <c r="F600" t="s">
        <v>11</v>
      </c>
      <c r="G600" t="s">
        <v>661</v>
      </c>
      <c r="H600" t="s">
        <v>572</v>
      </c>
      <c r="I600">
        <v>60</v>
      </c>
      <c r="J600">
        <v>0.84257206208425717</v>
      </c>
      <c r="K600">
        <v>0.82969432314410485</v>
      </c>
      <c r="L600">
        <v>0.85585585585585588</v>
      </c>
      <c r="M600" t="s">
        <v>60</v>
      </c>
      <c r="N600" t="s">
        <v>1625</v>
      </c>
      <c r="O600" t="s">
        <v>1626</v>
      </c>
      <c r="P600">
        <v>1.3</v>
      </c>
    </row>
    <row r="601" spans="1:16" x14ac:dyDescent="0.3">
      <c r="A601" t="s">
        <v>17</v>
      </c>
      <c r="B601" t="s">
        <v>26</v>
      </c>
      <c r="C601" t="s">
        <v>27</v>
      </c>
      <c r="D601" t="s">
        <v>363</v>
      </c>
      <c r="E601" t="s">
        <v>569</v>
      </c>
      <c r="F601" t="s">
        <v>11</v>
      </c>
      <c r="G601" t="s">
        <v>666</v>
      </c>
      <c r="H601" t="s">
        <v>572</v>
      </c>
      <c r="I601">
        <v>61</v>
      </c>
      <c r="J601">
        <v>0.83588621444201294</v>
      </c>
      <c r="K601">
        <v>0.81276595744680846</v>
      </c>
      <c r="L601">
        <v>0.86036036036036034</v>
      </c>
      <c r="M601" t="s">
        <v>60</v>
      </c>
      <c r="N601" t="s">
        <v>1627</v>
      </c>
      <c r="O601" t="s">
        <v>1628</v>
      </c>
      <c r="P601">
        <v>1.7</v>
      </c>
    </row>
    <row r="602" spans="1:16" x14ac:dyDescent="0.3">
      <c r="A602" t="s">
        <v>28</v>
      </c>
      <c r="B602" t="s">
        <v>18</v>
      </c>
      <c r="C602" t="s">
        <v>19</v>
      </c>
      <c r="D602" t="s">
        <v>54</v>
      </c>
      <c r="E602" t="s">
        <v>56</v>
      </c>
      <c r="F602" t="s">
        <v>7</v>
      </c>
      <c r="G602" t="s">
        <v>57</v>
      </c>
      <c r="H602" t="s">
        <v>59</v>
      </c>
      <c r="I602">
        <v>42</v>
      </c>
      <c r="J602">
        <v>0.71057884231536916</v>
      </c>
      <c r="K602">
        <v>0.65682656826568264</v>
      </c>
      <c r="L602">
        <v>0.77391304347826084</v>
      </c>
      <c r="M602" t="s">
        <v>60</v>
      </c>
      <c r="N602" t="s">
        <v>1631</v>
      </c>
      <c r="O602" t="s">
        <v>1632</v>
      </c>
      <c r="P602">
        <v>74.3</v>
      </c>
    </row>
    <row r="603" spans="1:16" x14ac:dyDescent="0.3">
      <c r="A603" t="s">
        <v>28</v>
      </c>
      <c r="B603" t="s">
        <v>18</v>
      </c>
      <c r="C603" t="s">
        <v>19</v>
      </c>
      <c r="D603" t="s">
        <v>54</v>
      </c>
      <c r="E603" t="s">
        <v>56</v>
      </c>
      <c r="F603" t="s">
        <v>7</v>
      </c>
      <c r="G603" t="s">
        <v>65</v>
      </c>
      <c r="H603" t="s">
        <v>59</v>
      </c>
      <c r="I603">
        <v>43</v>
      </c>
      <c r="J603">
        <v>0.70472440944881887</v>
      </c>
      <c r="K603">
        <v>0.64388489208633093</v>
      </c>
      <c r="L603">
        <v>0.77826086956521734</v>
      </c>
      <c r="M603" t="s">
        <v>60</v>
      </c>
      <c r="N603" t="s">
        <v>1633</v>
      </c>
      <c r="O603" t="s">
        <v>1634</v>
      </c>
      <c r="P603">
        <v>121.9</v>
      </c>
    </row>
    <row r="604" spans="1:16" x14ac:dyDescent="0.3">
      <c r="A604" t="s">
        <v>28</v>
      </c>
      <c r="B604" t="s">
        <v>18</v>
      </c>
      <c r="C604" t="s">
        <v>19</v>
      </c>
      <c r="D604" t="s">
        <v>54</v>
      </c>
      <c r="E604" t="s">
        <v>56</v>
      </c>
      <c r="F604" t="s">
        <v>7</v>
      </c>
      <c r="G604" t="s">
        <v>70</v>
      </c>
      <c r="H604" t="s">
        <v>59</v>
      </c>
      <c r="I604">
        <v>44</v>
      </c>
      <c r="J604">
        <v>0.70658682634730541</v>
      </c>
      <c r="K604">
        <v>0.65313653136531369</v>
      </c>
      <c r="L604">
        <v>0.76956521739130435</v>
      </c>
      <c r="M604" t="s">
        <v>60</v>
      </c>
      <c r="N604" t="s">
        <v>1635</v>
      </c>
      <c r="O604" t="s">
        <v>1636</v>
      </c>
      <c r="P604">
        <v>44.4</v>
      </c>
    </row>
    <row r="605" spans="1:16" x14ac:dyDescent="0.3">
      <c r="A605" t="s">
        <v>28</v>
      </c>
      <c r="B605" t="s">
        <v>18</v>
      </c>
      <c r="C605" t="s">
        <v>19</v>
      </c>
      <c r="D605" t="s">
        <v>54</v>
      </c>
      <c r="E605" t="s">
        <v>56</v>
      </c>
      <c r="F605" t="s">
        <v>7</v>
      </c>
      <c r="G605" t="s">
        <v>75</v>
      </c>
      <c r="H605" t="s">
        <v>59</v>
      </c>
      <c r="I605">
        <v>45</v>
      </c>
      <c r="J605">
        <v>0.70472440944881887</v>
      </c>
      <c r="K605">
        <v>0.64388489208633093</v>
      </c>
      <c r="L605">
        <v>0.77826086956521734</v>
      </c>
      <c r="M605" t="s">
        <v>60</v>
      </c>
      <c r="N605" t="s">
        <v>1637</v>
      </c>
      <c r="O605" t="s">
        <v>1638</v>
      </c>
      <c r="P605">
        <v>54.5</v>
      </c>
    </row>
    <row r="606" spans="1:16" x14ac:dyDescent="0.3">
      <c r="A606" t="s">
        <v>28</v>
      </c>
      <c r="B606" t="s">
        <v>18</v>
      </c>
      <c r="C606" t="s">
        <v>19</v>
      </c>
      <c r="D606" t="s">
        <v>54</v>
      </c>
      <c r="E606" t="s">
        <v>56</v>
      </c>
      <c r="F606" t="s">
        <v>7</v>
      </c>
      <c r="G606" t="s">
        <v>80</v>
      </c>
      <c r="H606" t="s">
        <v>59</v>
      </c>
      <c r="I606">
        <v>46</v>
      </c>
      <c r="J606">
        <v>0.70472440944881887</v>
      </c>
      <c r="K606">
        <v>0.64388489208633093</v>
      </c>
      <c r="L606">
        <v>0.77826086956521734</v>
      </c>
      <c r="M606" t="s">
        <v>60</v>
      </c>
      <c r="N606" t="s">
        <v>1639</v>
      </c>
      <c r="O606" t="s">
        <v>1640</v>
      </c>
      <c r="P606">
        <v>44</v>
      </c>
    </row>
    <row r="607" spans="1:16" x14ac:dyDescent="0.3">
      <c r="A607" t="s">
        <v>28</v>
      </c>
      <c r="B607" t="s">
        <v>18</v>
      </c>
      <c r="C607" t="s">
        <v>19</v>
      </c>
      <c r="D607" t="s">
        <v>54</v>
      </c>
      <c r="E607" t="s">
        <v>56</v>
      </c>
      <c r="F607" t="s">
        <v>7</v>
      </c>
      <c r="G607" t="s">
        <v>85</v>
      </c>
      <c r="H607" t="s">
        <v>59</v>
      </c>
      <c r="I607">
        <v>47</v>
      </c>
      <c r="J607">
        <v>0.70472440944881887</v>
      </c>
      <c r="K607">
        <v>0.64388489208633093</v>
      </c>
      <c r="L607">
        <v>0.77826086956521734</v>
      </c>
      <c r="M607" t="s">
        <v>60</v>
      </c>
      <c r="N607" t="s">
        <v>1641</v>
      </c>
      <c r="O607" t="s">
        <v>1642</v>
      </c>
      <c r="P607">
        <v>54.4</v>
      </c>
    </row>
    <row r="608" spans="1:16" x14ac:dyDescent="0.3">
      <c r="A608" t="s">
        <v>28</v>
      </c>
      <c r="B608" t="s">
        <v>18</v>
      </c>
      <c r="C608" t="s">
        <v>19</v>
      </c>
      <c r="D608" t="s">
        <v>54</v>
      </c>
      <c r="E608" t="s">
        <v>56</v>
      </c>
      <c r="F608" t="s">
        <v>7</v>
      </c>
      <c r="G608" t="s">
        <v>90</v>
      </c>
      <c r="H608" t="s">
        <v>59</v>
      </c>
      <c r="I608">
        <v>48</v>
      </c>
      <c r="J608">
        <v>0.70472440944881887</v>
      </c>
      <c r="K608">
        <v>0.64388489208633093</v>
      </c>
      <c r="L608">
        <v>0.77826086956521734</v>
      </c>
      <c r="M608" t="s">
        <v>60</v>
      </c>
      <c r="N608" t="s">
        <v>1643</v>
      </c>
      <c r="O608" t="s">
        <v>1644</v>
      </c>
      <c r="P608">
        <v>55</v>
      </c>
    </row>
    <row r="609" spans="1:16" x14ac:dyDescent="0.3">
      <c r="A609" t="s">
        <v>28</v>
      </c>
      <c r="B609" t="s">
        <v>18</v>
      </c>
      <c r="C609" t="s">
        <v>19</v>
      </c>
      <c r="D609" t="s">
        <v>54</v>
      </c>
      <c r="E609" t="s">
        <v>56</v>
      </c>
      <c r="F609" t="s">
        <v>7</v>
      </c>
      <c r="G609" t="s">
        <v>95</v>
      </c>
      <c r="H609" t="s">
        <v>59</v>
      </c>
      <c r="I609">
        <v>49</v>
      </c>
      <c r="J609">
        <v>0.70472440944881887</v>
      </c>
      <c r="K609">
        <v>0.64388489208633093</v>
      </c>
      <c r="L609">
        <v>0.77826086956521734</v>
      </c>
      <c r="M609" t="s">
        <v>60</v>
      </c>
      <c r="N609" t="s">
        <v>1645</v>
      </c>
      <c r="O609" t="s">
        <v>1646</v>
      </c>
      <c r="P609">
        <v>54.9</v>
      </c>
    </row>
    <row r="610" spans="1:16" x14ac:dyDescent="0.3">
      <c r="A610" t="s">
        <v>28</v>
      </c>
      <c r="B610" t="s">
        <v>18</v>
      </c>
      <c r="C610" t="s">
        <v>19</v>
      </c>
      <c r="D610" t="s">
        <v>54</v>
      </c>
      <c r="E610" t="s">
        <v>56</v>
      </c>
      <c r="F610" t="s">
        <v>7</v>
      </c>
      <c r="G610" t="s">
        <v>100</v>
      </c>
      <c r="H610" t="s">
        <v>59</v>
      </c>
      <c r="I610">
        <v>50</v>
      </c>
      <c r="J610">
        <v>0.70472440944881887</v>
      </c>
      <c r="K610">
        <v>0.64388489208633093</v>
      </c>
      <c r="L610">
        <v>0.77826086956521734</v>
      </c>
      <c r="M610" t="s">
        <v>60</v>
      </c>
      <c r="N610" t="s">
        <v>1647</v>
      </c>
      <c r="O610" t="s">
        <v>1648</v>
      </c>
      <c r="P610">
        <v>54.3</v>
      </c>
    </row>
    <row r="611" spans="1:16" x14ac:dyDescent="0.3">
      <c r="A611" t="s">
        <v>28</v>
      </c>
      <c r="B611" t="s">
        <v>18</v>
      </c>
      <c r="C611" t="s">
        <v>19</v>
      </c>
      <c r="D611" t="s">
        <v>54</v>
      </c>
      <c r="E611" t="s">
        <v>56</v>
      </c>
      <c r="F611" t="s">
        <v>7</v>
      </c>
      <c r="G611" t="s">
        <v>105</v>
      </c>
      <c r="H611" t="s">
        <v>59</v>
      </c>
      <c r="I611">
        <v>51</v>
      </c>
      <c r="J611">
        <v>0.70472440944881887</v>
      </c>
      <c r="K611">
        <v>0.64388489208633093</v>
      </c>
      <c r="L611">
        <v>0.77826086956521734</v>
      </c>
      <c r="M611" t="s">
        <v>60</v>
      </c>
      <c r="N611" t="s">
        <v>1649</v>
      </c>
      <c r="O611" t="s">
        <v>1650</v>
      </c>
      <c r="P611">
        <v>44</v>
      </c>
    </row>
    <row r="612" spans="1:16" x14ac:dyDescent="0.3">
      <c r="A612" t="s">
        <v>28</v>
      </c>
      <c r="B612" t="s">
        <v>18</v>
      </c>
      <c r="C612" t="s">
        <v>19</v>
      </c>
      <c r="D612" t="s">
        <v>54</v>
      </c>
      <c r="E612" t="s">
        <v>56</v>
      </c>
      <c r="F612" t="s">
        <v>7</v>
      </c>
      <c r="G612" t="s">
        <v>110</v>
      </c>
      <c r="H612" t="s">
        <v>59</v>
      </c>
      <c r="I612">
        <v>52</v>
      </c>
      <c r="J612">
        <v>0.70472440944881887</v>
      </c>
      <c r="K612">
        <v>0.64388489208633093</v>
      </c>
      <c r="L612">
        <v>0.77826086956521734</v>
      </c>
      <c r="M612" t="s">
        <v>60</v>
      </c>
      <c r="N612" t="s">
        <v>1651</v>
      </c>
      <c r="O612" t="s">
        <v>1652</v>
      </c>
      <c r="P612">
        <v>55.3</v>
      </c>
    </row>
    <row r="613" spans="1:16" x14ac:dyDescent="0.3">
      <c r="A613" t="s">
        <v>28</v>
      </c>
      <c r="B613" t="s">
        <v>18</v>
      </c>
      <c r="C613" t="s">
        <v>19</v>
      </c>
      <c r="D613" t="s">
        <v>54</v>
      </c>
      <c r="E613" t="s">
        <v>56</v>
      </c>
      <c r="F613" t="s">
        <v>7</v>
      </c>
      <c r="G613" t="s">
        <v>115</v>
      </c>
      <c r="H613" t="s">
        <v>59</v>
      </c>
      <c r="I613">
        <v>53</v>
      </c>
      <c r="J613">
        <v>0.70472440944881887</v>
      </c>
      <c r="K613">
        <v>0.64388489208633093</v>
      </c>
      <c r="L613">
        <v>0.77826086956521734</v>
      </c>
      <c r="M613" t="s">
        <v>60</v>
      </c>
      <c r="N613" t="s">
        <v>1653</v>
      </c>
      <c r="O613" t="s">
        <v>1654</v>
      </c>
      <c r="P613">
        <v>45.4</v>
      </c>
    </row>
    <row r="614" spans="1:16" x14ac:dyDescent="0.3">
      <c r="A614" t="s">
        <v>28</v>
      </c>
      <c r="B614" t="s">
        <v>18</v>
      </c>
      <c r="C614" t="s">
        <v>19</v>
      </c>
      <c r="D614" t="s">
        <v>54</v>
      </c>
      <c r="E614" t="s">
        <v>56</v>
      </c>
      <c r="F614" t="s">
        <v>7</v>
      </c>
      <c r="G614" t="s">
        <v>120</v>
      </c>
      <c r="H614" t="s">
        <v>59</v>
      </c>
      <c r="I614">
        <v>54</v>
      </c>
      <c r="J614">
        <v>0.70472440944881887</v>
      </c>
      <c r="K614">
        <v>0.64388489208633093</v>
      </c>
      <c r="L614">
        <v>0.77826086956521734</v>
      </c>
      <c r="M614" t="s">
        <v>60</v>
      </c>
      <c r="N614" t="s">
        <v>1655</v>
      </c>
      <c r="O614" t="s">
        <v>1656</v>
      </c>
      <c r="P614">
        <v>44.8</v>
      </c>
    </row>
    <row r="615" spans="1:16" x14ac:dyDescent="0.3">
      <c r="A615" t="s">
        <v>28</v>
      </c>
      <c r="B615" t="s">
        <v>18</v>
      </c>
      <c r="C615" t="s">
        <v>19</v>
      </c>
      <c r="D615" t="s">
        <v>54</v>
      </c>
      <c r="E615" t="s">
        <v>56</v>
      </c>
      <c r="F615" t="s">
        <v>7</v>
      </c>
      <c r="G615" t="s">
        <v>125</v>
      </c>
      <c r="H615" t="s">
        <v>59</v>
      </c>
      <c r="I615">
        <v>55</v>
      </c>
      <c r="J615">
        <v>0.70472440944881887</v>
      </c>
      <c r="K615">
        <v>0.64388489208633093</v>
      </c>
      <c r="L615">
        <v>0.77826086956521734</v>
      </c>
      <c r="M615" t="s">
        <v>60</v>
      </c>
      <c r="N615" t="s">
        <v>1657</v>
      </c>
      <c r="O615" t="s">
        <v>1658</v>
      </c>
      <c r="P615">
        <v>45.1</v>
      </c>
    </row>
    <row r="616" spans="1:16" x14ac:dyDescent="0.3">
      <c r="A616" t="s">
        <v>28</v>
      </c>
      <c r="B616" t="s">
        <v>18</v>
      </c>
      <c r="C616" t="s">
        <v>19</v>
      </c>
      <c r="D616" t="s">
        <v>54</v>
      </c>
      <c r="E616" t="s">
        <v>56</v>
      </c>
      <c r="F616" t="s">
        <v>7</v>
      </c>
      <c r="G616" t="s">
        <v>130</v>
      </c>
      <c r="H616" t="s">
        <v>59</v>
      </c>
      <c r="I616">
        <v>56</v>
      </c>
      <c r="J616">
        <v>0.70472440944881887</v>
      </c>
      <c r="K616">
        <v>0.64388489208633093</v>
      </c>
      <c r="L616">
        <v>0.77826086956521734</v>
      </c>
      <c r="M616" t="s">
        <v>60</v>
      </c>
      <c r="N616" t="s">
        <v>1659</v>
      </c>
      <c r="O616" t="s">
        <v>1660</v>
      </c>
      <c r="P616">
        <v>55.2</v>
      </c>
    </row>
    <row r="617" spans="1:16" x14ac:dyDescent="0.3">
      <c r="A617" t="s">
        <v>28</v>
      </c>
      <c r="B617" t="s">
        <v>18</v>
      </c>
      <c r="C617" t="s">
        <v>19</v>
      </c>
      <c r="D617" t="s">
        <v>54</v>
      </c>
      <c r="E617" t="s">
        <v>56</v>
      </c>
      <c r="F617" t="s">
        <v>7</v>
      </c>
      <c r="G617" t="s">
        <v>135</v>
      </c>
      <c r="H617" t="s">
        <v>59</v>
      </c>
      <c r="I617">
        <v>57</v>
      </c>
      <c r="J617">
        <v>0.70472440944881887</v>
      </c>
      <c r="K617">
        <v>0.64388489208633093</v>
      </c>
      <c r="L617">
        <v>0.77826086956521734</v>
      </c>
      <c r="M617" t="s">
        <v>60</v>
      </c>
      <c r="N617" t="s">
        <v>1661</v>
      </c>
      <c r="O617" t="s">
        <v>1662</v>
      </c>
      <c r="P617">
        <v>44.5</v>
      </c>
    </row>
    <row r="618" spans="1:16" x14ac:dyDescent="0.3">
      <c r="A618" t="s">
        <v>28</v>
      </c>
      <c r="B618" t="s">
        <v>18</v>
      </c>
      <c r="C618" t="s">
        <v>19</v>
      </c>
      <c r="D618" t="s">
        <v>54</v>
      </c>
      <c r="E618" t="s">
        <v>56</v>
      </c>
      <c r="F618" t="s">
        <v>7</v>
      </c>
      <c r="G618" t="s">
        <v>140</v>
      </c>
      <c r="H618" t="s">
        <v>59</v>
      </c>
      <c r="I618">
        <v>58</v>
      </c>
      <c r="J618">
        <v>0.70472440944881887</v>
      </c>
      <c r="K618">
        <v>0.64388489208633093</v>
      </c>
      <c r="L618">
        <v>0.77826086956521734</v>
      </c>
      <c r="M618" t="s">
        <v>60</v>
      </c>
      <c r="N618" t="s">
        <v>1663</v>
      </c>
      <c r="O618" t="s">
        <v>1664</v>
      </c>
      <c r="P618">
        <v>55.2</v>
      </c>
    </row>
    <row r="619" spans="1:16" x14ac:dyDescent="0.3">
      <c r="A619" t="s">
        <v>28</v>
      </c>
      <c r="B619" t="s">
        <v>18</v>
      </c>
      <c r="C619" t="s">
        <v>19</v>
      </c>
      <c r="D619" t="s">
        <v>54</v>
      </c>
      <c r="E619" t="s">
        <v>56</v>
      </c>
      <c r="F619" t="s">
        <v>7</v>
      </c>
      <c r="G619" t="s">
        <v>145</v>
      </c>
      <c r="H619" t="s">
        <v>59</v>
      </c>
      <c r="I619">
        <v>59</v>
      </c>
      <c r="J619">
        <v>0.70472440944881887</v>
      </c>
      <c r="K619">
        <v>0.64388489208633093</v>
      </c>
      <c r="L619">
        <v>0.77826086956521734</v>
      </c>
      <c r="M619" t="s">
        <v>60</v>
      </c>
      <c r="N619" t="s">
        <v>1665</v>
      </c>
      <c r="O619" t="s">
        <v>1666</v>
      </c>
      <c r="P619">
        <v>54.7</v>
      </c>
    </row>
    <row r="620" spans="1:16" x14ac:dyDescent="0.3">
      <c r="A620" t="s">
        <v>28</v>
      </c>
      <c r="B620" t="s">
        <v>18</v>
      </c>
      <c r="C620" t="s">
        <v>19</v>
      </c>
      <c r="D620" t="s">
        <v>54</v>
      </c>
      <c r="E620" t="s">
        <v>56</v>
      </c>
      <c r="F620" t="s">
        <v>7</v>
      </c>
      <c r="G620" t="s">
        <v>150</v>
      </c>
      <c r="H620" t="s">
        <v>59</v>
      </c>
      <c r="I620">
        <v>60</v>
      </c>
      <c r="J620">
        <v>0.70472440944881887</v>
      </c>
      <c r="K620">
        <v>0.64388489208633093</v>
      </c>
      <c r="L620">
        <v>0.77826086956521734</v>
      </c>
      <c r="M620" t="s">
        <v>60</v>
      </c>
      <c r="N620" t="s">
        <v>1667</v>
      </c>
      <c r="O620" t="s">
        <v>1668</v>
      </c>
      <c r="P620">
        <v>45.1</v>
      </c>
    </row>
    <row r="621" spans="1:16" x14ac:dyDescent="0.3">
      <c r="A621" t="s">
        <v>28</v>
      </c>
      <c r="B621" t="s">
        <v>18</v>
      </c>
      <c r="C621" t="s">
        <v>19</v>
      </c>
      <c r="D621" t="s">
        <v>54</v>
      </c>
      <c r="E621" t="s">
        <v>56</v>
      </c>
      <c r="F621" t="s">
        <v>7</v>
      </c>
      <c r="G621" t="s">
        <v>155</v>
      </c>
      <c r="H621" t="s">
        <v>59</v>
      </c>
      <c r="I621">
        <v>61</v>
      </c>
      <c r="J621">
        <v>0.70472440944881887</v>
      </c>
      <c r="K621">
        <v>0.64388489208633093</v>
      </c>
      <c r="L621">
        <v>0.77826086956521734</v>
      </c>
      <c r="M621" t="s">
        <v>60</v>
      </c>
      <c r="N621" t="s">
        <v>1669</v>
      </c>
      <c r="O621" t="s">
        <v>1670</v>
      </c>
      <c r="P621">
        <v>45</v>
      </c>
    </row>
    <row r="622" spans="1:16" x14ac:dyDescent="0.3">
      <c r="A622" t="s">
        <v>28</v>
      </c>
      <c r="B622" t="s">
        <v>18</v>
      </c>
      <c r="C622" t="s">
        <v>19</v>
      </c>
      <c r="D622" t="s">
        <v>54</v>
      </c>
      <c r="E622" t="s">
        <v>160</v>
      </c>
      <c r="F622" t="s">
        <v>3</v>
      </c>
      <c r="G622" t="s">
        <v>161</v>
      </c>
      <c r="H622" t="s">
        <v>163</v>
      </c>
      <c r="I622">
        <v>42</v>
      </c>
      <c r="J622">
        <v>0.70744680851063824</v>
      </c>
      <c r="K622">
        <v>0.64251207729468596</v>
      </c>
      <c r="L622">
        <v>0.78698224852071008</v>
      </c>
      <c r="M622" t="s">
        <v>60</v>
      </c>
      <c r="N622" t="s">
        <v>1671</v>
      </c>
      <c r="O622" t="s">
        <v>1672</v>
      </c>
      <c r="P622">
        <v>44.1</v>
      </c>
    </row>
    <row r="623" spans="1:16" x14ac:dyDescent="0.3">
      <c r="A623" t="s">
        <v>28</v>
      </c>
      <c r="B623" t="s">
        <v>18</v>
      </c>
      <c r="C623" t="s">
        <v>19</v>
      </c>
      <c r="D623" t="s">
        <v>54</v>
      </c>
      <c r="E623" t="s">
        <v>160</v>
      </c>
      <c r="F623" t="s">
        <v>3</v>
      </c>
      <c r="G623" t="s">
        <v>167</v>
      </c>
      <c r="H623" t="s">
        <v>163</v>
      </c>
      <c r="I623">
        <v>43</v>
      </c>
      <c r="J623">
        <v>0.70744680851063824</v>
      </c>
      <c r="K623">
        <v>0.64251207729468596</v>
      </c>
      <c r="L623">
        <v>0.78698224852071008</v>
      </c>
      <c r="M623" t="s">
        <v>60</v>
      </c>
      <c r="N623" t="s">
        <v>1673</v>
      </c>
      <c r="O623" t="s">
        <v>1674</v>
      </c>
      <c r="P623">
        <v>44.4</v>
      </c>
    </row>
    <row r="624" spans="1:16" x14ac:dyDescent="0.3">
      <c r="A624" t="s">
        <v>28</v>
      </c>
      <c r="B624" t="s">
        <v>18</v>
      </c>
      <c r="C624" t="s">
        <v>19</v>
      </c>
      <c r="D624" t="s">
        <v>54</v>
      </c>
      <c r="E624" t="s">
        <v>160</v>
      </c>
      <c r="F624" t="s">
        <v>3</v>
      </c>
      <c r="G624" t="s">
        <v>172</v>
      </c>
      <c r="H624" t="s">
        <v>163</v>
      </c>
      <c r="I624">
        <v>44</v>
      </c>
      <c r="J624">
        <v>0.70744680851063824</v>
      </c>
      <c r="K624">
        <v>0.64251207729468596</v>
      </c>
      <c r="L624">
        <v>0.78698224852071008</v>
      </c>
      <c r="M624" t="s">
        <v>60</v>
      </c>
      <c r="N624" t="s">
        <v>1675</v>
      </c>
      <c r="O624" t="s">
        <v>1676</v>
      </c>
      <c r="P624">
        <v>42.8</v>
      </c>
    </row>
    <row r="625" spans="1:16" x14ac:dyDescent="0.3">
      <c r="A625" t="s">
        <v>28</v>
      </c>
      <c r="B625" t="s">
        <v>18</v>
      </c>
      <c r="C625" t="s">
        <v>19</v>
      </c>
      <c r="D625" t="s">
        <v>54</v>
      </c>
      <c r="E625" t="s">
        <v>160</v>
      </c>
      <c r="F625" t="s">
        <v>3</v>
      </c>
      <c r="G625" t="s">
        <v>177</v>
      </c>
      <c r="H625" t="s">
        <v>163</v>
      </c>
      <c r="I625">
        <v>45</v>
      </c>
      <c r="J625">
        <v>0.70744680851063824</v>
      </c>
      <c r="K625">
        <v>0.64251207729468596</v>
      </c>
      <c r="L625">
        <v>0.78698224852071008</v>
      </c>
      <c r="M625" t="s">
        <v>60</v>
      </c>
      <c r="N625" t="s">
        <v>1677</v>
      </c>
      <c r="O625" t="s">
        <v>1678</v>
      </c>
      <c r="P625">
        <v>53.3</v>
      </c>
    </row>
    <row r="626" spans="1:16" x14ac:dyDescent="0.3">
      <c r="A626" t="s">
        <v>28</v>
      </c>
      <c r="B626" t="s">
        <v>18</v>
      </c>
      <c r="C626" t="s">
        <v>19</v>
      </c>
      <c r="D626" t="s">
        <v>54</v>
      </c>
      <c r="E626" t="s">
        <v>160</v>
      </c>
      <c r="F626" t="s">
        <v>3</v>
      </c>
      <c r="G626" t="s">
        <v>182</v>
      </c>
      <c r="H626" t="s">
        <v>163</v>
      </c>
      <c r="I626">
        <v>46</v>
      </c>
      <c r="J626">
        <v>0.70744680851063824</v>
      </c>
      <c r="K626">
        <v>0.64251207729468596</v>
      </c>
      <c r="L626">
        <v>0.78698224852071008</v>
      </c>
      <c r="M626" t="s">
        <v>60</v>
      </c>
      <c r="N626" t="s">
        <v>1679</v>
      </c>
      <c r="O626" t="s">
        <v>1680</v>
      </c>
      <c r="P626">
        <v>53.8</v>
      </c>
    </row>
    <row r="627" spans="1:16" x14ac:dyDescent="0.3">
      <c r="A627" t="s">
        <v>28</v>
      </c>
      <c r="B627" t="s">
        <v>18</v>
      </c>
      <c r="C627" t="s">
        <v>19</v>
      </c>
      <c r="D627" t="s">
        <v>54</v>
      </c>
      <c r="E627" t="s">
        <v>160</v>
      </c>
      <c r="F627" t="s">
        <v>3</v>
      </c>
      <c r="G627" t="s">
        <v>187</v>
      </c>
      <c r="H627" t="s">
        <v>163</v>
      </c>
      <c r="I627">
        <v>47</v>
      </c>
      <c r="J627">
        <v>0.70744680851063824</v>
      </c>
      <c r="K627">
        <v>0.64251207729468596</v>
      </c>
      <c r="L627">
        <v>0.78698224852071008</v>
      </c>
      <c r="M627" t="s">
        <v>60</v>
      </c>
      <c r="N627" t="s">
        <v>1681</v>
      </c>
      <c r="O627" t="s">
        <v>1682</v>
      </c>
      <c r="P627">
        <v>54.9</v>
      </c>
    </row>
    <row r="628" spans="1:16" x14ac:dyDescent="0.3">
      <c r="A628" t="s">
        <v>28</v>
      </c>
      <c r="B628" t="s">
        <v>18</v>
      </c>
      <c r="C628" t="s">
        <v>19</v>
      </c>
      <c r="D628" t="s">
        <v>54</v>
      </c>
      <c r="E628" t="s">
        <v>160</v>
      </c>
      <c r="F628" t="s">
        <v>3</v>
      </c>
      <c r="G628" t="s">
        <v>192</v>
      </c>
      <c r="H628" t="s">
        <v>163</v>
      </c>
      <c r="I628">
        <v>48</v>
      </c>
      <c r="J628">
        <v>0.70744680851063824</v>
      </c>
      <c r="K628">
        <v>0.64251207729468596</v>
      </c>
      <c r="L628">
        <v>0.78698224852071008</v>
      </c>
      <c r="M628" t="s">
        <v>60</v>
      </c>
      <c r="N628" t="s">
        <v>1683</v>
      </c>
      <c r="O628" t="s">
        <v>1684</v>
      </c>
      <c r="P628">
        <v>53.9</v>
      </c>
    </row>
    <row r="629" spans="1:16" x14ac:dyDescent="0.3">
      <c r="A629" t="s">
        <v>28</v>
      </c>
      <c r="B629" t="s">
        <v>18</v>
      </c>
      <c r="C629" t="s">
        <v>19</v>
      </c>
      <c r="D629" t="s">
        <v>54</v>
      </c>
      <c r="E629" t="s">
        <v>160</v>
      </c>
      <c r="F629" t="s">
        <v>3</v>
      </c>
      <c r="G629" t="s">
        <v>197</v>
      </c>
      <c r="H629" t="s">
        <v>163</v>
      </c>
      <c r="I629">
        <v>49</v>
      </c>
      <c r="J629">
        <v>0.70744680851063824</v>
      </c>
      <c r="K629">
        <v>0.64251207729468596</v>
      </c>
      <c r="L629">
        <v>0.78698224852071008</v>
      </c>
      <c r="M629" t="s">
        <v>60</v>
      </c>
      <c r="N629" t="s">
        <v>1685</v>
      </c>
      <c r="O629" t="s">
        <v>1686</v>
      </c>
      <c r="P629">
        <v>43.5</v>
      </c>
    </row>
    <row r="630" spans="1:16" x14ac:dyDescent="0.3">
      <c r="A630" t="s">
        <v>28</v>
      </c>
      <c r="B630" t="s">
        <v>18</v>
      </c>
      <c r="C630" t="s">
        <v>19</v>
      </c>
      <c r="D630" t="s">
        <v>54</v>
      </c>
      <c r="E630" t="s">
        <v>160</v>
      </c>
      <c r="F630" t="s">
        <v>3</v>
      </c>
      <c r="G630" t="s">
        <v>202</v>
      </c>
      <c r="H630" t="s">
        <v>163</v>
      </c>
      <c r="I630">
        <v>50</v>
      </c>
      <c r="J630">
        <v>0.70744680851063824</v>
      </c>
      <c r="K630">
        <v>0.64251207729468596</v>
      </c>
      <c r="L630">
        <v>0.78698224852071008</v>
      </c>
      <c r="M630" t="s">
        <v>60</v>
      </c>
      <c r="N630" t="s">
        <v>1687</v>
      </c>
      <c r="O630" t="s">
        <v>1688</v>
      </c>
      <c r="P630">
        <v>54</v>
      </c>
    </row>
    <row r="631" spans="1:16" x14ac:dyDescent="0.3">
      <c r="A631" t="s">
        <v>28</v>
      </c>
      <c r="B631" t="s">
        <v>18</v>
      </c>
      <c r="C631" t="s">
        <v>19</v>
      </c>
      <c r="D631" t="s">
        <v>54</v>
      </c>
      <c r="E631" t="s">
        <v>160</v>
      </c>
      <c r="F631" t="s">
        <v>3</v>
      </c>
      <c r="G631" t="s">
        <v>207</v>
      </c>
      <c r="H631" t="s">
        <v>163</v>
      </c>
      <c r="I631">
        <v>51</v>
      </c>
      <c r="J631">
        <v>0.70744680851063824</v>
      </c>
      <c r="K631">
        <v>0.64251207729468596</v>
      </c>
      <c r="L631">
        <v>0.78698224852071008</v>
      </c>
      <c r="M631" t="s">
        <v>60</v>
      </c>
      <c r="N631" t="s">
        <v>1689</v>
      </c>
      <c r="O631" t="s">
        <v>1690</v>
      </c>
      <c r="P631">
        <v>54</v>
      </c>
    </row>
    <row r="632" spans="1:16" x14ac:dyDescent="0.3">
      <c r="A632" t="s">
        <v>28</v>
      </c>
      <c r="B632" t="s">
        <v>18</v>
      </c>
      <c r="C632" t="s">
        <v>19</v>
      </c>
      <c r="D632" t="s">
        <v>54</v>
      </c>
      <c r="E632" t="s">
        <v>160</v>
      </c>
      <c r="F632" t="s">
        <v>3</v>
      </c>
      <c r="G632" t="s">
        <v>212</v>
      </c>
      <c r="H632" t="s">
        <v>163</v>
      </c>
      <c r="I632">
        <v>52</v>
      </c>
      <c r="J632">
        <v>0.70744680851063824</v>
      </c>
      <c r="K632">
        <v>0.64251207729468596</v>
      </c>
      <c r="L632">
        <v>0.78698224852071008</v>
      </c>
      <c r="M632" t="s">
        <v>60</v>
      </c>
      <c r="N632" t="s">
        <v>1691</v>
      </c>
      <c r="O632" t="s">
        <v>1692</v>
      </c>
      <c r="P632">
        <v>44.1</v>
      </c>
    </row>
    <row r="633" spans="1:16" x14ac:dyDescent="0.3">
      <c r="A633" t="s">
        <v>28</v>
      </c>
      <c r="B633" t="s">
        <v>18</v>
      </c>
      <c r="C633" t="s">
        <v>19</v>
      </c>
      <c r="D633" t="s">
        <v>54</v>
      </c>
      <c r="E633" t="s">
        <v>160</v>
      </c>
      <c r="F633" t="s">
        <v>3</v>
      </c>
      <c r="G633" t="s">
        <v>217</v>
      </c>
      <c r="H633" t="s">
        <v>163</v>
      </c>
      <c r="I633">
        <v>53</v>
      </c>
      <c r="J633">
        <v>0.70744680851063824</v>
      </c>
      <c r="K633">
        <v>0.64251207729468596</v>
      </c>
      <c r="L633">
        <v>0.78698224852071008</v>
      </c>
      <c r="M633" t="s">
        <v>60</v>
      </c>
      <c r="N633" t="s">
        <v>1693</v>
      </c>
      <c r="O633" t="s">
        <v>1694</v>
      </c>
      <c r="P633">
        <v>54.5</v>
      </c>
    </row>
    <row r="634" spans="1:16" x14ac:dyDescent="0.3">
      <c r="A634" t="s">
        <v>28</v>
      </c>
      <c r="B634" t="s">
        <v>18</v>
      </c>
      <c r="C634" t="s">
        <v>19</v>
      </c>
      <c r="D634" t="s">
        <v>54</v>
      </c>
      <c r="E634" t="s">
        <v>160</v>
      </c>
      <c r="F634" t="s">
        <v>3</v>
      </c>
      <c r="G634" t="s">
        <v>222</v>
      </c>
      <c r="H634" t="s">
        <v>163</v>
      </c>
      <c r="I634">
        <v>54</v>
      </c>
      <c r="J634">
        <v>0.70744680851063824</v>
      </c>
      <c r="K634">
        <v>0.64251207729468596</v>
      </c>
      <c r="L634">
        <v>0.78698224852071008</v>
      </c>
      <c r="M634" t="s">
        <v>60</v>
      </c>
      <c r="N634" t="s">
        <v>1695</v>
      </c>
      <c r="O634" t="s">
        <v>1696</v>
      </c>
      <c r="P634">
        <v>54.3</v>
      </c>
    </row>
    <row r="635" spans="1:16" x14ac:dyDescent="0.3">
      <c r="A635" t="s">
        <v>28</v>
      </c>
      <c r="B635" t="s">
        <v>18</v>
      </c>
      <c r="C635" t="s">
        <v>19</v>
      </c>
      <c r="D635" t="s">
        <v>54</v>
      </c>
      <c r="E635" t="s">
        <v>160</v>
      </c>
      <c r="F635" t="s">
        <v>3</v>
      </c>
      <c r="G635" t="s">
        <v>227</v>
      </c>
      <c r="H635" t="s">
        <v>163</v>
      </c>
      <c r="I635">
        <v>55</v>
      </c>
      <c r="J635">
        <v>0.70744680851063824</v>
      </c>
      <c r="K635">
        <v>0.64251207729468596</v>
      </c>
      <c r="L635">
        <v>0.78698224852071008</v>
      </c>
      <c r="M635" t="s">
        <v>60</v>
      </c>
      <c r="N635" t="s">
        <v>1697</v>
      </c>
      <c r="O635" t="s">
        <v>1698</v>
      </c>
      <c r="P635">
        <v>54.4</v>
      </c>
    </row>
    <row r="636" spans="1:16" x14ac:dyDescent="0.3">
      <c r="A636" t="s">
        <v>28</v>
      </c>
      <c r="B636" t="s">
        <v>18</v>
      </c>
      <c r="C636" t="s">
        <v>19</v>
      </c>
      <c r="D636" t="s">
        <v>54</v>
      </c>
      <c r="E636" t="s">
        <v>160</v>
      </c>
      <c r="F636" t="s">
        <v>3</v>
      </c>
      <c r="G636" t="s">
        <v>232</v>
      </c>
      <c r="H636" t="s">
        <v>163</v>
      </c>
      <c r="I636">
        <v>56</v>
      </c>
      <c r="J636">
        <v>0.70744680851063824</v>
      </c>
      <c r="K636">
        <v>0.64251207729468596</v>
      </c>
      <c r="L636">
        <v>0.78698224852071008</v>
      </c>
      <c r="M636" t="s">
        <v>60</v>
      </c>
      <c r="N636" t="s">
        <v>1699</v>
      </c>
      <c r="O636" t="s">
        <v>1700</v>
      </c>
      <c r="P636">
        <v>54.4</v>
      </c>
    </row>
    <row r="637" spans="1:16" x14ac:dyDescent="0.3">
      <c r="A637" t="s">
        <v>28</v>
      </c>
      <c r="B637" t="s">
        <v>18</v>
      </c>
      <c r="C637" t="s">
        <v>19</v>
      </c>
      <c r="D637" t="s">
        <v>54</v>
      </c>
      <c r="E637" t="s">
        <v>160</v>
      </c>
      <c r="F637" t="s">
        <v>3</v>
      </c>
      <c r="G637" t="s">
        <v>237</v>
      </c>
      <c r="H637" t="s">
        <v>163</v>
      </c>
      <c r="I637">
        <v>57</v>
      </c>
      <c r="J637">
        <v>0.70744680851063824</v>
      </c>
      <c r="K637">
        <v>0.64251207729468596</v>
      </c>
      <c r="L637">
        <v>0.78698224852071008</v>
      </c>
      <c r="M637" t="s">
        <v>60</v>
      </c>
      <c r="N637" t="s">
        <v>1701</v>
      </c>
      <c r="O637" t="s">
        <v>1702</v>
      </c>
      <c r="P637">
        <v>54</v>
      </c>
    </row>
    <row r="638" spans="1:16" x14ac:dyDescent="0.3">
      <c r="A638" t="s">
        <v>28</v>
      </c>
      <c r="B638" t="s">
        <v>18</v>
      </c>
      <c r="C638" t="s">
        <v>19</v>
      </c>
      <c r="D638" t="s">
        <v>54</v>
      </c>
      <c r="E638" t="s">
        <v>160</v>
      </c>
      <c r="F638" t="s">
        <v>3</v>
      </c>
      <c r="G638" t="s">
        <v>242</v>
      </c>
      <c r="H638" t="s">
        <v>163</v>
      </c>
      <c r="I638">
        <v>58</v>
      </c>
      <c r="J638">
        <v>0.70744680851063824</v>
      </c>
      <c r="K638">
        <v>0.64251207729468596</v>
      </c>
      <c r="L638">
        <v>0.78698224852071008</v>
      </c>
      <c r="M638" t="s">
        <v>60</v>
      </c>
      <c r="N638" t="s">
        <v>1703</v>
      </c>
      <c r="O638" t="s">
        <v>1704</v>
      </c>
      <c r="P638">
        <v>43.8</v>
      </c>
    </row>
    <row r="639" spans="1:16" x14ac:dyDescent="0.3">
      <c r="A639" t="s">
        <v>28</v>
      </c>
      <c r="B639" t="s">
        <v>18</v>
      </c>
      <c r="C639" t="s">
        <v>19</v>
      </c>
      <c r="D639" t="s">
        <v>54</v>
      </c>
      <c r="E639" t="s">
        <v>160</v>
      </c>
      <c r="F639" t="s">
        <v>3</v>
      </c>
      <c r="G639" t="s">
        <v>247</v>
      </c>
      <c r="H639" t="s">
        <v>163</v>
      </c>
      <c r="I639">
        <v>59</v>
      </c>
      <c r="J639">
        <v>0.70744680851063824</v>
      </c>
      <c r="K639">
        <v>0.64251207729468596</v>
      </c>
      <c r="L639">
        <v>0.78698224852071008</v>
      </c>
      <c r="M639" t="s">
        <v>60</v>
      </c>
      <c r="N639" t="s">
        <v>1705</v>
      </c>
      <c r="O639" t="s">
        <v>1706</v>
      </c>
      <c r="P639">
        <v>43.7</v>
      </c>
    </row>
    <row r="640" spans="1:16" x14ac:dyDescent="0.3">
      <c r="A640" t="s">
        <v>28</v>
      </c>
      <c r="B640" t="s">
        <v>18</v>
      </c>
      <c r="C640" t="s">
        <v>19</v>
      </c>
      <c r="D640" t="s">
        <v>54</v>
      </c>
      <c r="E640" t="s">
        <v>160</v>
      </c>
      <c r="F640" t="s">
        <v>3</v>
      </c>
      <c r="G640" t="s">
        <v>252</v>
      </c>
      <c r="H640" t="s">
        <v>163</v>
      </c>
      <c r="I640">
        <v>60</v>
      </c>
      <c r="J640">
        <v>0.70744680851063824</v>
      </c>
      <c r="K640">
        <v>0.64251207729468596</v>
      </c>
      <c r="L640">
        <v>0.78698224852071008</v>
      </c>
      <c r="M640" t="s">
        <v>60</v>
      </c>
      <c r="N640" t="s">
        <v>1707</v>
      </c>
      <c r="O640" t="s">
        <v>1708</v>
      </c>
      <c r="P640">
        <v>43.7</v>
      </c>
    </row>
    <row r="641" spans="1:16" x14ac:dyDescent="0.3">
      <c r="A641" t="s">
        <v>28</v>
      </c>
      <c r="B641" t="s">
        <v>18</v>
      </c>
      <c r="C641" t="s">
        <v>19</v>
      </c>
      <c r="D641" t="s">
        <v>54</v>
      </c>
      <c r="E641" t="s">
        <v>160</v>
      </c>
      <c r="F641" t="s">
        <v>3</v>
      </c>
      <c r="G641" t="s">
        <v>257</v>
      </c>
      <c r="H641" t="s">
        <v>163</v>
      </c>
      <c r="I641">
        <v>61</v>
      </c>
      <c r="J641">
        <v>0.70744680851063824</v>
      </c>
      <c r="K641">
        <v>0.64251207729468596</v>
      </c>
      <c r="L641">
        <v>0.78698224852071008</v>
      </c>
      <c r="M641" t="s">
        <v>60</v>
      </c>
      <c r="N641" t="s">
        <v>1709</v>
      </c>
      <c r="O641" t="s">
        <v>1710</v>
      </c>
      <c r="P641">
        <v>53.5</v>
      </c>
    </row>
    <row r="642" spans="1:16" x14ac:dyDescent="0.3">
      <c r="A642" t="s">
        <v>28</v>
      </c>
      <c r="B642" t="s">
        <v>18</v>
      </c>
      <c r="C642" t="s">
        <v>19</v>
      </c>
      <c r="D642" t="s">
        <v>54</v>
      </c>
      <c r="E642" t="s">
        <v>262</v>
      </c>
      <c r="F642" t="s">
        <v>5</v>
      </c>
      <c r="G642" t="s">
        <v>263</v>
      </c>
      <c r="H642" t="s">
        <v>265</v>
      </c>
      <c r="I642">
        <v>42</v>
      </c>
      <c r="J642">
        <v>0.72921108742004259</v>
      </c>
      <c r="K642">
        <v>0.69230769230769229</v>
      </c>
      <c r="L642">
        <v>0.77027027027027029</v>
      </c>
      <c r="M642" t="s">
        <v>60</v>
      </c>
      <c r="N642" t="s">
        <v>1711</v>
      </c>
      <c r="O642" t="s">
        <v>1712</v>
      </c>
      <c r="P642">
        <v>47.7</v>
      </c>
    </row>
    <row r="643" spans="1:16" x14ac:dyDescent="0.3">
      <c r="A643" t="s">
        <v>28</v>
      </c>
      <c r="B643" t="s">
        <v>18</v>
      </c>
      <c r="C643" t="s">
        <v>19</v>
      </c>
      <c r="D643" t="s">
        <v>54</v>
      </c>
      <c r="E643" t="s">
        <v>262</v>
      </c>
      <c r="F643" t="s">
        <v>5</v>
      </c>
      <c r="G643" t="s">
        <v>269</v>
      </c>
      <c r="H643" t="s">
        <v>265</v>
      </c>
      <c r="I643">
        <v>43</v>
      </c>
      <c r="J643">
        <v>0.72921108742004259</v>
      </c>
      <c r="K643">
        <v>0.69230769230769229</v>
      </c>
      <c r="L643">
        <v>0.77027027027027029</v>
      </c>
      <c r="M643" t="s">
        <v>60</v>
      </c>
      <c r="N643" t="s">
        <v>1713</v>
      </c>
      <c r="O643" t="s">
        <v>1714</v>
      </c>
      <c r="P643">
        <v>44.1</v>
      </c>
    </row>
    <row r="644" spans="1:16" x14ac:dyDescent="0.3">
      <c r="A644" t="s">
        <v>28</v>
      </c>
      <c r="B644" t="s">
        <v>18</v>
      </c>
      <c r="C644" t="s">
        <v>19</v>
      </c>
      <c r="D644" t="s">
        <v>54</v>
      </c>
      <c r="E644" t="s">
        <v>262</v>
      </c>
      <c r="F644" t="s">
        <v>5</v>
      </c>
      <c r="G644" t="s">
        <v>274</v>
      </c>
      <c r="H644" t="s">
        <v>265</v>
      </c>
      <c r="I644">
        <v>44</v>
      </c>
      <c r="J644">
        <v>0.72921108742004259</v>
      </c>
      <c r="K644">
        <v>0.69230769230769229</v>
      </c>
      <c r="L644">
        <v>0.77027027027027029</v>
      </c>
      <c r="M644" t="s">
        <v>60</v>
      </c>
      <c r="N644" t="s">
        <v>1715</v>
      </c>
      <c r="O644" t="s">
        <v>1716</v>
      </c>
      <c r="P644">
        <v>45.1</v>
      </c>
    </row>
    <row r="645" spans="1:16" x14ac:dyDescent="0.3">
      <c r="A645" t="s">
        <v>28</v>
      </c>
      <c r="B645" t="s">
        <v>18</v>
      </c>
      <c r="C645" t="s">
        <v>19</v>
      </c>
      <c r="D645" t="s">
        <v>54</v>
      </c>
      <c r="E645" t="s">
        <v>262</v>
      </c>
      <c r="F645" t="s">
        <v>5</v>
      </c>
      <c r="G645" t="s">
        <v>279</v>
      </c>
      <c r="H645" t="s">
        <v>265</v>
      </c>
      <c r="I645">
        <v>45</v>
      </c>
      <c r="J645">
        <v>0.72921108742004259</v>
      </c>
      <c r="K645">
        <v>0.69230769230769229</v>
      </c>
      <c r="L645">
        <v>0.77027027027027029</v>
      </c>
      <c r="M645" t="s">
        <v>60</v>
      </c>
      <c r="N645" t="s">
        <v>1717</v>
      </c>
      <c r="O645" t="s">
        <v>1718</v>
      </c>
      <c r="P645">
        <v>55.6</v>
      </c>
    </row>
    <row r="646" spans="1:16" x14ac:dyDescent="0.3">
      <c r="A646" t="s">
        <v>28</v>
      </c>
      <c r="B646" t="s">
        <v>18</v>
      </c>
      <c r="C646" t="s">
        <v>19</v>
      </c>
      <c r="D646" t="s">
        <v>54</v>
      </c>
      <c r="E646" t="s">
        <v>262</v>
      </c>
      <c r="F646" t="s">
        <v>5</v>
      </c>
      <c r="G646" t="s">
        <v>284</v>
      </c>
      <c r="H646" t="s">
        <v>265</v>
      </c>
      <c r="I646">
        <v>46</v>
      </c>
      <c r="J646">
        <v>0.72921108742004259</v>
      </c>
      <c r="K646">
        <v>0.69230769230769229</v>
      </c>
      <c r="L646">
        <v>0.77027027027027029</v>
      </c>
      <c r="M646" t="s">
        <v>60</v>
      </c>
      <c r="N646" t="s">
        <v>1719</v>
      </c>
      <c r="O646" t="s">
        <v>1720</v>
      </c>
      <c r="P646">
        <v>55.1</v>
      </c>
    </row>
    <row r="647" spans="1:16" x14ac:dyDescent="0.3">
      <c r="A647" t="s">
        <v>28</v>
      </c>
      <c r="B647" t="s">
        <v>18</v>
      </c>
      <c r="C647" t="s">
        <v>19</v>
      </c>
      <c r="D647" t="s">
        <v>54</v>
      </c>
      <c r="E647" t="s">
        <v>262</v>
      </c>
      <c r="F647" t="s">
        <v>5</v>
      </c>
      <c r="G647" t="s">
        <v>289</v>
      </c>
      <c r="H647" t="s">
        <v>265</v>
      </c>
      <c r="I647">
        <v>47</v>
      </c>
      <c r="J647">
        <v>0.72921108742004259</v>
      </c>
      <c r="K647">
        <v>0.69230769230769229</v>
      </c>
      <c r="L647">
        <v>0.77027027027027029</v>
      </c>
      <c r="M647" t="s">
        <v>60</v>
      </c>
      <c r="N647" t="s">
        <v>1721</v>
      </c>
      <c r="O647" t="s">
        <v>1722</v>
      </c>
      <c r="P647">
        <v>55.8</v>
      </c>
    </row>
    <row r="648" spans="1:16" x14ac:dyDescent="0.3">
      <c r="A648" t="s">
        <v>28</v>
      </c>
      <c r="B648" t="s">
        <v>18</v>
      </c>
      <c r="C648" t="s">
        <v>19</v>
      </c>
      <c r="D648" t="s">
        <v>54</v>
      </c>
      <c r="E648" t="s">
        <v>262</v>
      </c>
      <c r="F648" t="s">
        <v>5</v>
      </c>
      <c r="G648" t="s">
        <v>294</v>
      </c>
      <c r="H648" t="s">
        <v>265</v>
      </c>
      <c r="I648">
        <v>48</v>
      </c>
      <c r="J648">
        <v>0.72921108742004259</v>
      </c>
      <c r="K648">
        <v>0.69230769230769229</v>
      </c>
      <c r="L648">
        <v>0.77027027027027029</v>
      </c>
      <c r="M648" t="s">
        <v>60</v>
      </c>
      <c r="N648" t="s">
        <v>1723</v>
      </c>
      <c r="O648" t="s">
        <v>1724</v>
      </c>
      <c r="P648">
        <v>45.1</v>
      </c>
    </row>
    <row r="649" spans="1:16" x14ac:dyDescent="0.3">
      <c r="A649" t="s">
        <v>28</v>
      </c>
      <c r="B649" t="s">
        <v>18</v>
      </c>
      <c r="C649" t="s">
        <v>19</v>
      </c>
      <c r="D649" t="s">
        <v>54</v>
      </c>
      <c r="E649" t="s">
        <v>262</v>
      </c>
      <c r="F649" t="s">
        <v>5</v>
      </c>
      <c r="G649" t="s">
        <v>299</v>
      </c>
      <c r="H649" t="s">
        <v>265</v>
      </c>
      <c r="I649">
        <v>49</v>
      </c>
      <c r="J649">
        <v>0.72921108742004259</v>
      </c>
      <c r="K649">
        <v>0.69230769230769229</v>
      </c>
      <c r="L649">
        <v>0.77027027027027029</v>
      </c>
      <c r="M649" t="s">
        <v>60</v>
      </c>
      <c r="N649" t="s">
        <v>1725</v>
      </c>
      <c r="O649" t="s">
        <v>1726</v>
      </c>
      <c r="P649">
        <v>55.8</v>
      </c>
    </row>
    <row r="650" spans="1:16" x14ac:dyDescent="0.3">
      <c r="A650" t="s">
        <v>28</v>
      </c>
      <c r="B650" t="s">
        <v>18</v>
      </c>
      <c r="C650" t="s">
        <v>19</v>
      </c>
      <c r="D650" t="s">
        <v>54</v>
      </c>
      <c r="E650" t="s">
        <v>262</v>
      </c>
      <c r="F650" t="s">
        <v>5</v>
      </c>
      <c r="G650" t="s">
        <v>304</v>
      </c>
      <c r="H650" t="s">
        <v>265</v>
      </c>
      <c r="I650">
        <v>50</v>
      </c>
      <c r="J650">
        <v>0.72921108742004259</v>
      </c>
      <c r="K650">
        <v>0.69230769230769229</v>
      </c>
      <c r="L650">
        <v>0.77027027027027029</v>
      </c>
      <c r="M650" t="s">
        <v>60</v>
      </c>
      <c r="N650" t="s">
        <v>1727</v>
      </c>
      <c r="O650" t="s">
        <v>1728</v>
      </c>
      <c r="P650">
        <v>45.4</v>
      </c>
    </row>
    <row r="651" spans="1:16" x14ac:dyDescent="0.3">
      <c r="A651" t="s">
        <v>28</v>
      </c>
      <c r="B651" t="s">
        <v>18</v>
      </c>
      <c r="C651" t="s">
        <v>19</v>
      </c>
      <c r="D651" t="s">
        <v>54</v>
      </c>
      <c r="E651" t="s">
        <v>262</v>
      </c>
      <c r="F651" t="s">
        <v>5</v>
      </c>
      <c r="G651" t="s">
        <v>309</v>
      </c>
      <c r="H651" t="s">
        <v>265</v>
      </c>
      <c r="I651">
        <v>51</v>
      </c>
      <c r="J651">
        <v>0.72921108742004259</v>
      </c>
      <c r="K651">
        <v>0.69230769230769229</v>
      </c>
      <c r="L651">
        <v>0.77027027027027029</v>
      </c>
      <c r="M651" t="s">
        <v>60</v>
      </c>
      <c r="N651" t="s">
        <v>1729</v>
      </c>
      <c r="O651" t="s">
        <v>1730</v>
      </c>
      <c r="P651">
        <v>56</v>
      </c>
    </row>
    <row r="652" spans="1:16" x14ac:dyDescent="0.3">
      <c r="A652" t="s">
        <v>28</v>
      </c>
      <c r="B652" t="s">
        <v>18</v>
      </c>
      <c r="C652" t="s">
        <v>19</v>
      </c>
      <c r="D652" t="s">
        <v>54</v>
      </c>
      <c r="E652" t="s">
        <v>262</v>
      </c>
      <c r="F652" t="s">
        <v>5</v>
      </c>
      <c r="G652" t="s">
        <v>314</v>
      </c>
      <c r="H652" t="s">
        <v>265</v>
      </c>
      <c r="I652">
        <v>52</v>
      </c>
      <c r="J652">
        <v>0.72921108742004259</v>
      </c>
      <c r="K652">
        <v>0.69230769230769229</v>
      </c>
      <c r="L652">
        <v>0.77027027027027029</v>
      </c>
      <c r="M652" t="s">
        <v>60</v>
      </c>
      <c r="N652" t="s">
        <v>1731</v>
      </c>
      <c r="O652" t="s">
        <v>1732</v>
      </c>
      <c r="P652">
        <v>138.9</v>
      </c>
    </row>
    <row r="653" spans="1:16" x14ac:dyDescent="0.3">
      <c r="A653" t="s">
        <v>28</v>
      </c>
      <c r="B653" t="s">
        <v>18</v>
      </c>
      <c r="C653" t="s">
        <v>19</v>
      </c>
      <c r="D653" t="s">
        <v>54</v>
      </c>
      <c r="E653" t="s">
        <v>262</v>
      </c>
      <c r="F653" t="s">
        <v>5</v>
      </c>
      <c r="G653" t="s">
        <v>319</v>
      </c>
      <c r="H653" t="s">
        <v>265</v>
      </c>
      <c r="I653">
        <v>53</v>
      </c>
      <c r="J653">
        <v>0.7564102564102565</v>
      </c>
      <c r="K653">
        <v>0.71951219512195119</v>
      </c>
      <c r="L653">
        <v>0.79729729729729726</v>
      </c>
      <c r="M653" t="s">
        <v>60</v>
      </c>
      <c r="N653" t="s">
        <v>1733</v>
      </c>
      <c r="O653" t="s">
        <v>1734</v>
      </c>
      <c r="P653">
        <v>55.9</v>
      </c>
    </row>
    <row r="654" spans="1:16" x14ac:dyDescent="0.3">
      <c r="A654" t="s">
        <v>28</v>
      </c>
      <c r="B654" t="s">
        <v>18</v>
      </c>
      <c r="C654" t="s">
        <v>19</v>
      </c>
      <c r="D654" t="s">
        <v>54</v>
      </c>
      <c r="E654" t="s">
        <v>262</v>
      </c>
      <c r="F654" t="s">
        <v>5</v>
      </c>
      <c r="G654" t="s">
        <v>324</v>
      </c>
      <c r="H654" t="s">
        <v>265</v>
      </c>
      <c r="I654">
        <v>54</v>
      </c>
      <c r="J654">
        <v>0.72921108742004259</v>
      </c>
      <c r="K654">
        <v>0.69230769230769229</v>
      </c>
      <c r="L654">
        <v>0.77027027027027029</v>
      </c>
      <c r="M654" t="s">
        <v>60</v>
      </c>
      <c r="N654" t="s">
        <v>1735</v>
      </c>
      <c r="O654" t="s">
        <v>1736</v>
      </c>
      <c r="P654">
        <v>55.8</v>
      </c>
    </row>
    <row r="655" spans="1:16" x14ac:dyDescent="0.3">
      <c r="A655" t="s">
        <v>28</v>
      </c>
      <c r="B655" t="s">
        <v>18</v>
      </c>
      <c r="C655" t="s">
        <v>19</v>
      </c>
      <c r="D655" t="s">
        <v>54</v>
      </c>
      <c r="E655" t="s">
        <v>262</v>
      </c>
      <c r="F655" t="s">
        <v>5</v>
      </c>
      <c r="G655" t="s">
        <v>329</v>
      </c>
      <c r="H655" t="s">
        <v>265</v>
      </c>
      <c r="I655">
        <v>55</v>
      </c>
      <c r="J655">
        <v>0.72921108742004259</v>
      </c>
      <c r="K655">
        <v>0.69230769230769229</v>
      </c>
      <c r="L655">
        <v>0.77027027027027029</v>
      </c>
      <c r="M655" t="s">
        <v>60</v>
      </c>
      <c r="N655" t="s">
        <v>1737</v>
      </c>
      <c r="O655" t="s">
        <v>1738</v>
      </c>
      <c r="P655">
        <v>45.2</v>
      </c>
    </row>
    <row r="656" spans="1:16" x14ac:dyDescent="0.3">
      <c r="A656" t="s">
        <v>28</v>
      </c>
      <c r="B656" t="s">
        <v>18</v>
      </c>
      <c r="C656" t="s">
        <v>19</v>
      </c>
      <c r="D656" t="s">
        <v>54</v>
      </c>
      <c r="E656" t="s">
        <v>262</v>
      </c>
      <c r="F656" t="s">
        <v>5</v>
      </c>
      <c r="G656" t="s">
        <v>334</v>
      </c>
      <c r="H656" t="s">
        <v>265</v>
      </c>
      <c r="I656">
        <v>56</v>
      </c>
      <c r="J656">
        <v>0.72921108742004259</v>
      </c>
      <c r="K656">
        <v>0.69230769230769229</v>
      </c>
      <c r="L656">
        <v>0.77027027027027029</v>
      </c>
      <c r="M656" t="s">
        <v>60</v>
      </c>
      <c r="N656" t="s">
        <v>1739</v>
      </c>
      <c r="O656" t="s">
        <v>1740</v>
      </c>
      <c r="P656">
        <v>44.8</v>
      </c>
    </row>
    <row r="657" spans="1:16" x14ac:dyDescent="0.3">
      <c r="A657" t="s">
        <v>28</v>
      </c>
      <c r="B657" t="s">
        <v>18</v>
      </c>
      <c r="C657" t="s">
        <v>19</v>
      </c>
      <c r="D657" t="s">
        <v>54</v>
      </c>
      <c r="E657" t="s">
        <v>262</v>
      </c>
      <c r="F657" t="s">
        <v>5</v>
      </c>
      <c r="G657" t="s">
        <v>339</v>
      </c>
      <c r="H657" t="s">
        <v>265</v>
      </c>
      <c r="I657">
        <v>57</v>
      </c>
      <c r="J657">
        <v>0.72921108742004259</v>
      </c>
      <c r="K657">
        <v>0.69230769230769229</v>
      </c>
      <c r="L657">
        <v>0.77027027027027029</v>
      </c>
      <c r="M657" t="s">
        <v>60</v>
      </c>
      <c r="N657" t="s">
        <v>1741</v>
      </c>
      <c r="O657" t="s">
        <v>1742</v>
      </c>
      <c r="P657">
        <v>55.3</v>
      </c>
    </row>
    <row r="658" spans="1:16" x14ac:dyDescent="0.3">
      <c r="A658" t="s">
        <v>28</v>
      </c>
      <c r="B658" t="s">
        <v>18</v>
      </c>
      <c r="C658" t="s">
        <v>19</v>
      </c>
      <c r="D658" t="s">
        <v>54</v>
      </c>
      <c r="E658" t="s">
        <v>262</v>
      </c>
      <c r="F658" t="s">
        <v>5</v>
      </c>
      <c r="G658" t="s">
        <v>344</v>
      </c>
      <c r="H658" t="s">
        <v>265</v>
      </c>
      <c r="I658">
        <v>58</v>
      </c>
      <c r="J658">
        <v>0.72921108742004259</v>
      </c>
      <c r="K658">
        <v>0.69230769230769229</v>
      </c>
      <c r="L658">
        <v>0.77027027027027029</v>
      </c>
      <c r="M658" t="s">
        <v>60</v>
      </c>
      <c r="N658" t="s">
        <v>1743</v>
      </c>
      <c r="O658" t="s">
        <v>1744</v>
      </c>
      <c r="P658">
        <v>55.9</v>
      </c>
    </row>
    <row r="659" spans="1:16" x14ac:dyDescent="0.3">
      <c r="A659" t="s">
        <v>28</v>
      </c>
      <c r="B659" t="s">
        <v>18</v>
      </c>
      <c r="C659" t="s">
        <v>19</v>
      </c>
      <c r="D659" t="s">
        <v>54</v>
      </c>
      <c r="E659" t="s">
        <v>262</v>
      </c>
      <c r="F659" t="s">
        <v>5</v>
      </c>
      <c r="G659" t="s">
        <v>349</v>
      </c>
      <c r="H659" t="s">
        <v>265</v>
      </c>
      <c r="I659">
        <v>59</v>
      </c>
      <c r="J659">
        <v>0.72921108742004259</v>
      </c>
      <c r="K659">
        <v>0.69230769230769229</v>
      </c>
      <c r="L659">
        <v>0.77027027027027029</v>
      </c>
      <c r="M659" t="s">
        <v>60</v>
      </c>
      <c r="N659" t="s">
        <v>1745</v>
      </c>
      <c r="O659" t="s">
        <v>1746</v>
      </c>
      <c r="P659">
        <v>55.2</v>
      </c>
    </row>
    <row r="660" spans="1:16" x14ac:dyDescent="0.3">
      <c r="A660" t="s">
        <v>28</v>
      </c>
      <c r="B660" t="s">
        <v>18</v>
      </c>
      <c r="C660" t="s">
        <v>19</v>
      </c>
      <c r="D660" t="s">
        <v>54</v>
      </c>
      <c r="E660" t="s">
        <v>262</v>
      </c>
      <c r="F660" t="s">
        <v>5</v>
      </c>
      <c r="G660" t="s">
        <v>354</v>
      </c>
      <c r="H660" t="s">
        <v>265</v>
      </c>
      <c r="I660">
        <v>60</v>
      </c>
      <c r="J660">
        <v>0.72921108742004259</v>
      </c>
      <c r="K660">
        <v>0.69230769230769229</v>
      </c>
      <c r="L660">
        <v>0.77027027027027029</v>
      </c>
      <c r="M660" t="s">
        <v>60</v>
      </c>
      <c r="N660" t="s">
        <v>1747</v>
      </c>
      <c r="O660" t="s">
        <v>1748</v>
      </c>
      <c r="P660">
        <v>55.5</v>
      </c>
    </row>
    <row r="661" spans="1:16" x14ac:dyDescent="0.3">
      <c r="A661" t="s">
        <v>28</v>
      </c>
      <c r="B661" t="s">
        <v>18</v>
      </c>
      <c r="C661" t="s">
        <v>19</v>
      </c>
      <c r="D661" t="s">
        <v>54</v>
      </c>
      <c r="E661" t="s">
        <v>262</v>
      </c>
      <c r="F661" t="s">
        <v>5</v>
      </c>
      <c r="G661" t="s">
        <v>359</v>
      </c>
      <c r="H661" t="s">
        <v>265</v>
      </c>
      <c r="I661">
        <v>61</v>
      </c>
      <c r="J661">
        <v>0.72921108742004259</v>
      </c>
      <c r="K661">
        <v>0.69230769230769229</v>
      </c>
      <c r="L661">
        <v>0.77027027027027029</v>
      </c>
      <c r="M661" t="s">
        <v>60</v>
      </c>
      <c r="N661" t="s">
        <v>1749</v>
      </c>
      <c r="O661" t="s">
        <v>1750</v>
      </c>
      <c r="P661">
        <v>55.2</v>
      </c>
    </row>
    <row r="662" spans="1:16" x14ac:dyDescent="0.3">
      <c r="A662" t="s">
        <v>28</v>
      </c>
      <c r="B662" t="s">
        <v>18</v>
      </c>
      <c r="C662" t="s">
        <v>19</v>
      </c>
      <c r="D662" t="s">
        <v>363</v>
      </c>
      <c r="E662" t="s">
        <v>365</v>
      </c>
      <c r="F662" t="s">
        <v>13</v>
      </c>
      <c r="G662" t="s">
        <v>366</v>
      </c>
      <c r="H662" t="s">
        <v>368</v>
      </c>
      <c r="I662">
        <v>42</v>
      </c>
      <c r="J662">
        <v>0.82987551867219911</v>
      </c>
      <c r="K662">
        <v>0.79365079365079361</v>
      </c>
      <c r="L662">
        <v>0.86956521739130432</v>
      </c>
      <c r="M662" t="s">
        <v>60</v>
      </c>
      <c r="N662" t="s">
        <v>1751</v>
      </c>
      <c r="O662" t="s">
        <v>1752</v>
      </c>
      <c r="P662">
        <v>232.3</v>
      </c>
    </row>
    <row r="663" spans="1:16" x14ac:dyDescent="0.3">
      <c r="A663" t="s">
        <v>28</v>
      </c>
      <c r="B663" t="s">
        <v>18</v>
      </c>
      <c r="C663" t="s">
        <v>19</v>
      </c>
      <c r="D663" t="s">
        <v>363</v>
      </c>
      <c r="E663" t="s">
        <v>365</v>
      </c>
      <c r="F663" t="s">
        <v>13</v>
      </c>
      <c r="G663" t="s">
        <v>372</v>
      </c>
      <c r="H663" t="s">
        <v>368</v>
      </c>
      <c r="I663">
        <v>43</v>
      </c>
      <c r="J663">
        <v>0.82956878850102667</v>
      </c>
      <c r="K663">
        <v>0.78599221789883267</v>
      </c>
      <c r="L663">
        <v>0.87826086956521743</v>
      </c>
      <c r="M663" t="s">
        <v>60</v>
      </c>
      <c r="N663" t="s">
        <v>1753</v>
      </c>
      <c r="O663" t="s">
        <v>1754</v>
      </c>
      <c r="P663">
        <v>233.4</v>
      </c>
    </row>
    <row r="664" spans="1:16" x14ac:dyDescent="0.3">
      <c r="A664" t="s">
        <v>28</v>
      </c>
      <c r="B664" t="s">
        <v>18</v>
      </c>
      <c r="C664" t="s">
        <v>19</v>
      </c>
      <c r="D664" t="s">
        <v>363</v>
      </c>
      <c r="E664" t="s">
        <v>365</v>
      </c>
      <c r="F664" t="s">
        <v>13</v>
      </c>
      <c r="G664" t="s">
        <v>377</v>
      </c>
      <c r="H664" t="s">
        <v>368</v>
      </c>
      <c r="I664">
        <v>44</v>
      </c>
      <c r="J664">
        <v>0.84599589322381941</v>
      </c>
      <c r="K664">
        <v>0.80155642023346307</v>
      </c>
      <c r="L664">
        <v>0.89565217391304353</v>
      </c>
      <c r="M664" t="s">
        <v>60</v>
      </c>
      <c r="N664" t="s">
        <v>1755</v>
      </c>
      <c r="O664" t="s">
        <v>1756</v>
      </c>
      <c r="P664">
        <v>220</v>
      </c>
    </row>
    <row r="665" spans="1:16" x14ac:dyDescent="0.3">
      <c r="A665" t="s">
        <v>28</v>
      </c>
      <c r="B665" t="s">
        <v>18</v>
      </c>
      <c r="C665" t="s">
        <v>19</v>
      </c>
      <c r="D665" t="s">
        <v>363</v>
      </c>
      <c r="E665" t="s">
        <v>365</v>
      </c>
      <c r="F665" t="s">
        <v>13</v>
      </c>
      <c r="G665" t="s">
        <v>382</v>
      </c>
      <c r="H665" t="s">
        <v>368</v>
      </c>
      <c r="I665">
        <v>45</v>
      </c>
      <c r="J665">
        <v>0.84647302904564314</v>
      </c>
      <c r="K665">
        <v>0.80952380952380953</v>
      </c>
      <c r="L665">
        <v>0.88695652173913042</v>
      </c>
      <c r="M665" t="s">
        <v>60</v>
      </c>
      <c r="N665" t="s">
        <v>1757</v>
      </c>
      <c r="O665" t="s">
        <v>1758</v>
      </c>
      <c r="P665">
        <v>317.39999999999998</v>
      </c>
    </row>
    <row r="666" spans="1:16" x14ac:dyDescent="0.3">
      <c r="A666" t="s">
        <v>28</v>
      </c>
      <c r="B666" t="s">
        <v>18</v>
      </c>
      <c r="C666" t="s">
        <v>19</v>
      </c>
      <c r="D666" t="s">
        <v>363</v>
      </c>
      <c r="E666" t="s">
        <v>365</v>
      </c>
      <c r="F666" t="s">
        <v>13</v>
      </c>
      <c r="G666" t="s">
        <v>387</v>
      </c>
      <c r="H666" t="s">
        <v>368</v>
      </c>
      <c r="I666">
        <v>46</v>
      </c>
      <c r="J666">
        <v>0.83229813664596275</v>
      </c>
      <c r="K666">
        <v>0.7944664031620553</v>
      </c>
      <c r="L666">
        <v>0.87391304347826082</v>
      </c>
      <c r="M666" t="s">
        <v>60</v>
      </c>
      <c r="N666" t="s">
        <v>1759</v>
      </c>
      <c r="O666" t="s">
        <v>1760</v>
      </c>
      <c r="P666">
        <v>252.2</v>
      </c>
    </row>
    <row r="667" spans="1:16" x14ac:dyDescent="0.3">
      <c r="A667" t="s">
        <v>28</v>
      </c>
      <c r="B667" t="s">
        <v>18</v>
      </c>
      <c r="C667" t="s">
        <v>19</v>
      </c>
      <c r="D667" t="s">
        <v>363</v>
      </c>
      <c r="E667" t="s">
        <v>365</v>
      </c>
      <c r="F667" t="s">
        <v>13</v>
      </c>
      <c r="G667" t="s">
        <v>392</v>
      </c>
      <c r="H667" t="s">
        <v>368</v>
      </c>
      <c r="I667">
        <v>47</v>
      </c>
      <c r="J667">
        <v>0.84342379958246338</v>
      </c>
      <c r="K667">
        <v>0.8112449799196787</v>
      </c>
      <c r="L667">
        <v>0.87826086956521743</v>
      </c>
      <c r="M667" t="s">
        <v>60</v>
      </c>
      <c r="N667" t="s">
        <v>1761</v>
      </c>
      <c r="O667" t="s">
        <v>1762</v>
      </c>
      <c r="P667">
        <v>213.7</v>
      </c>
    </row>
    <row r="668" spans="1:16" x14ac:dyDescent="0.3">
      <c r="A668" t="s">
        <v>28</v>
      </c>
      <c r="B668" t="s">
        <v>18</v>
      </c>
      <c r="C668" t="s">
        <v>19</v>
      </c>
      <c r="D668" t="s">
        <v>363</v>
      </c>
      <c r="E668" t="s">
        <v>365</v>
      </c>
      <c r="F668" t="s">
        <v>13</v>
      </c>
      <c r="G668" t="s">
        <v>397</v>
      </c>
      <c r="H668" t="s">
        <v>368</v>
      </c>
      <c r="I668">
        <v>48</v>
      </c>
      <c r="J668">
        <v>0.83575883575883581</v>
      </c>
      <c r="K668">
        <v>0.80079681274900394</v>
      </c>
      <c r="L668">
        <v>0.87391304347826082</v>
      </c>
      <c r="M668" t="s">
        <v>60</v>
      </c>
      <c r="N668" t="s">
        <v>1763</v>
      </c>
      <c r="O668" t="s">
        <v>1764</v>
      </c>
      <c r="P668">
        <v>225.8</v>
      </c>
    </row>
    <row r="669" spans="1:16" x14ac:dyDescent="0.3">
      <c r="A669" t="s">
        <v>28</v>
      </c>
      <c r="B669" t="s">
        <v>18</v>
      </c>
      <c r="C669" t="s">
        <v>19</v>
      </c>
      <c r="D669" t="s">
        <v>363</v>
      </c>
      <c r="E669" t="s">
        <v>365</v>
      </c>
      <c r="F669" t="s">
        <v>13</v>
      </c>
      <c r="G669" t="s">
        <v>402</v>
      </c>
      <c r="H669" t="s">
        <v>368</v>
      </c>
      <c r="I669">
        <v>49</v>
      </c>
      <c r="J669">
        <v>0.83991683991683985</v>
      </c>
      <c r="K669">
        <v>0.80478087649402386</v>
      </c>
      <c r="L669">
        <v>0.87826086956521743</v>
      </c>
      <c r="M669" t="s">
        <v>60</v>
      </c>
      <c r="N669" t="s">
        <v>1765</v>
      </c>
      <c r="O669" t="s">
        <v>1766</v>
      </c>
      <c r="P669">
        <v>200.6</v>
      </c>
    </row>
    <row r="670" spans="1:16" x14ac:dyDescent="0.3">
      <c r="A670" t="s">
        <v>28</v>
      </c>
      <c r="B670" t="s">
        <v>18</v>
      </c>
      <c r="C670" t="s">
        <v>19</v>
      </c>
      <c r="D670" t="s">
        <v>363</v>
      </c>
      <c r="E670" t="s">
        <v>365</v>
      </c>
      <c r="F670" t="s">
        <v>13</v>
      </c>
      <c r="G670" t="s">
        <v>407</v>
      </c>
      <c r="H670" t="s">
        <v>368</v>
      </c>
      <c r="I670">
        <v>50</v>
      </c>
      <c r="J670">
        <v>0.84100418410041844</v>
      </c>
      <c r="K670">
        <v>0.81048387096774188</v>
      </c>
      <c r="L670">
        <v>0.87391304347826082</v>
      </c>
      <c r="M670" t="s">
        <v>60</v>
      </c>
      <c r="N670" t="s">
        <v>1767</v>
      </c>
      <c r="O670" t="s">
        <v>1768</v>
      </c>
      <c r="P670">
        <v>200.5</v>
      </c>
    </row>
    <row r="671" spans="1:16" x14ac:dyDescent="0.3">
      <c r="A671" t="s">
        <v>28</v>
      </c>
      <c r="B671" t="s">
        <v>18</v>
      </c>
      <c r="C671" t="s">
        <v>19</v>
      </c>
      <c r="D671" t="s">
        <v>363</v>
      </c>
      <c r="E671" t="s">
        <v>365</v>
      </c>
      <c r="F671" t="s">
        <v>13</v>
      </c>
      <c r="G671" t="s">
        <v>412</v>
      </c>
      <c r="H671" t="s">
        <v>368</v>
      </c>
      <c r="I671">
        <v>51</v>
      </c>
      <c r="J671">
        <v>0.83471074380165289</v>
      </c>
      <c r="K671">
        <v>0.79527559055118113</v>
      </c>
      <c r="L671">
        <v>0.87826086956521743</v>
      </c>
      <c r="M671" t="s">
        <v>60</v>
      </c>
      <c r="N671" t="s">
        <v>1769</v>
      </c>
      <c r="O671" t="s">
        <v>1770</v>
      </c>
      <c r="P671">
        <v>216.2</v>
      </c>
    </row>
    <row r="672" spans="1:16" x14ac:dyDescent="0.3">
      <c r="A672" t="s">
        <v>28</v>
      </c>
      <c r="B672" t="s">
        <v>18</v>
      </c>
      <c r="C672" t="s">
        <v>19</v>
      </c>
      <c r="D672" t="s">
        <v>363</v>
      </c>
      <c r="E672" t="s">
        <v>365</v>
      </c>
      <c r="F672" t="s">
        <v>13</v>
      </c>
      <c r="G672" t="s">
        <v>417</v>
      </c>
      <c r="H672" t="s">
        <v>368</v>
      </c>
      <c r="I672">
        <v>52</v>
      </c>
      <c r="J672">
        <v>0.83575883575883581</v>
      </c>
      <c r="K672">
        <v>0.80079681274900394</v>
      </c>
      <c r="L672">
        <v>0.87391304347826082</v>
      </c>
      <c r="M672" t="s">
        <v>60</v>
      </c>
      <c r="N672" t="s">
        <v>1771</v>
      </c>
      <c r="O672" t="s">
        <v>1772</v>
      </c>
      <c r="P672">
        <v>183</v>
      </c>
    </row>
    <row r="673" spans="1:16" x14ac:dyDescent="0.3">
      <c r="A673" t="s">
        <v>28</v>
      </c>
      <c r="B673" t="s">
        <v>18</v>
      </c>
      <c r="C673" t="s">
        <v>19</v>
      </c>
      <c r="D673" t="s">
        <v>363</v>
      </c>
      <c r="E673" t="s">
        <v>365</v>
      </c>
      <c r="F673" t="s">
        <v>13</v>
      </c>
      <c r="G673" t="s">
        <v>422</v>
      </c>
      <c r="H673" t="s">
        <v>368</v>
      </c>
      <c r="I673">
        <v>53</v>
      </c>
      <c r="J673">
        <v>0.82886597938144324</v>
      </c>
      <c r="K673">
        <v>0.78823529411764703</v>
      </c>
      <c r="L673">
        <v>0.87391304347826082</v>
      </c>
      <c r="M673" t="s">
        <v>60</v>
      </c>
      <c r="N673" t="s">
        <v>1773</v>
      </c>
      <c r="O673" t="s">
        <v>1774</v>
      </c>
      <c r="P673">
        <v>225.8</v>
      </c>
    </row>
    <row r="674" spans="1:16" x14ac:dyDescent="0.3">
      <c r="A674" t="s">
        <v>28</v>
      </c>
      <c r="B674" t="s">
        <v>18</v>
      </c>
      <c r="C674" t="s">
        <v>19</v>
      </c>
      <c r="D674" t="s">
        <v>363</v>
      </c>
      <c r="E674" t="s">
        <v>365</v>
      </c>
      <c r="F674" t="s">
        <v>13</v>
      </c>
      <c r="G674" t="s">
        <v>427</v>
      </c>
      <c r="H674" t="s">
        <v>368</v>
      </c>
      <c r="I674">
        <v>54</v>
      </c>
      <c r="J674">
        <v>0.83643892339544512</v>
      </c>
      <c r="K674">
        <v>0.79841897233201586</v>
      </c>
      <c r="L674">
        <v>0.87826086956521743</v>
      </c>
      <c r="M674" t="s">
        <v>60</v>
      </c>
      <c r="N674" t="s">
        <v>1775</v>
      </c>
      <c r="O674" t="s">
        <v>1776</v>
      </c>
      <c r="P674">
        <v>290</v>
      </c>
    </row>
    <row r="675" spans="1:16" x14ac:dyDescent="0.3">
      <c r="A675" t="s">
        <v>28</v>
      </c>
      <c r="B675" t="s">
        <v>18</v>
      </c>
      <c r="C675" t="s">
        <v>19</v>
      </c>
      <c r="D675" t="s">
        <v>363</v>
      </c>
      <c r="E675" t="s">
        <v>365</v>
      </c>
      <c r="F675" t="s">
        <v>13</v>
      </c>
      <c r="G675" t="s">
        <v>432</v>
      </c>
      <c r="H675" t="s">
        <v>368</v>
      </c>
      <c r="I675">
        <v>55</v>
      </c>
      <c r="J675">
        <v>0.83471074380165289</v>
      </c>
      <c r="K675">
        <v>0.79527559055118113</v>
      </c>
      <c r="L675">
        <v>0.87826086956521743</v>
      </c>
      <c r="M675" t="s">
        <v>60</v>
      </c>
      <c r="N675" t="s">
        <v>1777</v>
      </c>
      <c r="O675" t="s">
        <v>1778</v>
      </c>
      <c r="P675">
        <v>216.1</v>
      </c>
    </row>
    <row r="676" spans="1:16" x14ac:dyDescent="0.3">
      <c r="A676" t="s">
        <v>28</v>
      </c>
      <c r="B676" t="s">
        <v>18</v>
      </c>
      <c r="C676" t="s">
        <v>19</v>
      </c>
      <c r="D676" t="s">
        <v>363</v>
      </c>
      <c r="E676" t="s">
        <v>365</v>
      </c>
      <c r="F676" t="s">
        <v>13</v>
      </c>
      <c r="G676" t="s">
        <v>437</v>
      </c>
      <c r="H676" t="s">
        <v>368</v>
      </c>
      <c r="I676">
        <v>56</v>
      </c>
      <c r="J676">
        <v>0.84342379958246338</v>
      </c>
      <c r="K676">
        <v>0.8112449799196787</v>
      </c>
      <c r="L676">
        <v>0.87826086956521743</v>
      </c>
      <c r="M676" t="s">
        <v>60</v>
      </c>
      <c r="N676" t="s">
        <v>1779</v>
      </c>
      <c r="O676" t="s">
        <v>1780</v>
      </c>
      <c r="P676">
        <v>243</v>
      </c>
    </row>
    <row r="677" spans="1:16" x14ac:dyDescent="0.3">
      <c r="A677" t="s">
        <v>28</v>
      </c>
      <c r="B677" t="s">
        <v>18</v>
      </c>
      <c r="C677" t="s">
        <v>19</v>
      </c>
      <c r="D677" t="s">
        <v>363</v>
      </c>
      <c r="E677" t="s">
        <v>365</v>
      </c>
      <c r="F677" t="s">
        <v>13</v>
      </c>
      <c r="G677" t="s">
        <v>442</v>
      </c>
      <c r="H677" t="s">
        <v>368</v>
      </c>
      <c r="I677">
        <v>57</v>
      </c>
      <c r="J677">
        <v>0.84696016771488469</v>
      </c>
      <c r="K677">
        <v>0.81781376518218618</v>
      </c>
      <c r="L677">
        <v>0.87826086956521743</v>
      </c>
      <c r="M677" t="s">
        <v>60</v>
      </c>
      <c r="N677" t="s">
        <v>1781</v>
      </c>
      <c r="O677" t="s">
        <v>1782</v>
      </c>
      <c r="P677">
        <v>254.4</v>
      </c>
    </row>
    <row r="678" spans="1:16" x14ac:dyDescent="0.3">
      <c r="A678" t="s">
        <v>28</v>
      </c>
      <c r="B678" t="s">
        <v>18</v>
      </c>
      <c r="C678" t="s">
        <v>19</v>
      </c>
      <c r="D678" t="s">
        <v>363</v>
      </c>
      <c r="E678" t="s">
        <v>365</v>
      </c>
      <c r="F678" t="s">
        <v>13</v>
      </c>
      <c r="G678" t="s">
        <v>447</v>
      </c>
      <c r="H678" t="s">
        <v>368</v>
      </c>
      <c r="I678">
        <v>58</v>
      </c>
      <c r="J678">
        <v>0.82845188284518834</v>
      </c>
      <c r="K678">
        <v>0.79838709677419351</v>
      </c>
      <c r="L678">
        <v>0.86086956521739133</v>
      </c>
      <c r="M678" t="s">
        <v>60</v>
      </c>
      <c r="N678" t="s">
        <v>1783</v>
      </c>
      <c r="O678" t="s">
        <v>1784</v>
      </c>
      <c r="P678">
        <v>217</v>
      </c>
    </row>
    <row r="679" spans="1:16" x14ac:dyDescent="0.3">
      <c r="A679" t="s">
        <v>28</v>
      </c>
      <c r="B679" t="s">
        <v>18</v>
      </c>
      <c r="C679" t="s">
        <v>19</v>
      </c>
      <c r="D679" t="s">
        <v>363</v>
      </c>
      <c r="E679" t="s">
        <v>365</v>
      </c>
      <c r="F679" t="s">
        <v>13</v>
      </c>
      <c r="G679" t="s">
        <v>452</v>
      </c>
      <c r="H679" t="s">
        <v>368</v>
      </c>
      <c r="I679">
        <v>59</v>
      </c>
      <c r="J679">
        <v>0.82815734989648027</v>
      </c>
      <c r="K679">
        <v>0.79051383399209485</v>
      </c>
      <c r="L679">
        <v>0.86956521739130432</v>
      </c>
      <c r="M679" t="s">
        <v>60</v>
      </c>
      <c r="N679" t="s">
        <v>1785</v>
      </c>
      <c r="O679" t="s">
        <v>1786</v>
      </c>
      <c r="P679">
        <v>255.7</v>
      </c>
    </row>
    <row r="680" spans="1:16" x14ac:dyDescent="0.3">
      <c r="A680" t="s">
        <v>28</v>
      </c>
      <c r="B680" t="s">
        <v>18</v>
      </c>
      <c r="C680" t="s">
        <v>19</v>
      </c>
      <c r="D680" t="s">
        <v>363</v>
      </c>
      <c r="E680" t="s">
        <v>365</v>
      </c>
      <c r="F680" t="s">
        <v>13</v>
      </c>
      <c r="G680" t="s">
        <v>457</v>
      </c>
      <c r="H680" t="s">
        <v>368</v>
      </c>
      <c r="I680">
        <v>60</v>
      </c>
      <c r="J680">
        <v>0.83127572016460904</v>
      </c>
      <c r="K680">
        <v>0.7890625</v>
      </c>
      <c r="L680">
        <v>0.87826086956521743</v>
      </c>
      <c r="M680" t="s">
        <v>60</v>
      </c>
      <c r="N680" t="s">
        <v>1787</v>
      </c>
      <c r="O680" t="s">
        <v>1788</v>
      </c>
      <c r="P680">
        <v>229.1</v>
      </c>
    </row>
    <row r="681" spans="1:16" x14ac:dyDescent="0.3">
      <c r="A681" t="s">
        <v>28</v>
      </c>
      <c r="B681" t="s">
        <v>18</v>
      </c>
      <c r="C681" t="s">
        <v>19</v>
      </c>
      <c r="D681" t="s">
        <v>363</v>
      </c>
      <c r="E681" t="s">
        <v>365</v>
      </c>
      <c r="F681" t="s">
        <v>13</v>
      </c>
      <c r="G681" t="s">
        <v>462</v>
      </c>
      <c r="H681" t="s">
        <v>368</v>
      </c>
      <c r="I681">
        <v>61</v>
      </c>
      <c r="J681">
        <v>0.82987551867219911</v>
      </c>
      <c r="K681">
        <v>0.79365079365079361</v>
      </c>
      <c r="L681">
        <v>0.86956521739130432</v>
      </c>
      <c r="M681" t="s">
        <v>60</v>
      </c>
      <c r="N681" t="s">
        <v>1789</v>
      </c>
      <c r="O681" t="s">
        <v>1790</v>
      </c>
      <c r="P681">
        <v>217.6</v>
      </c>
    </row>
    <row r="682" spans="1:16" x14ac:dyDescent="0.3">
      <c r="A682" t="s">
        <v>28</v>
      </c>
      <c r="B682" t="s">
        <v>18</v>
      </c>
      <c r="C682" t="s">
        <v>19</v>
      </c>
      <c r="D682" t="s">
        <v>363</v>
      </c>
      <c r="E682" t="s">
        <v>467</v>
      </c>
      <c r="F682" t="s">
        <v>9</v>
      </c>
      <c r="G682" t="s">
        <v>468</v>
      </c>
      <c r="H682" t="s">
        <v>470</v>
      </c>
      <c r="I682">
        <v>42</v>
      </c>
      <c r="J682">
        <v>0.82548476454293618</v>
      </c>
      <c r="K682">
        <v>0.77604166666666663</v>
      </c>
      <c r="L682">
        <v>0.88165680473372776</v>
      </c>
      <c r="M682" t="s">
        <v>60</v>
      </c>
      <c r="N682" t="s">
        <v>1791</v>
      </c>
      <c r="O682" t="s">
        <v>1792</v>
      </c>
      <c r="P682">
        <v>205.2</v>
      </c>
    </row>
    <row r="683" spans="1:16" x14ac:dyDescent="0.3">
      <c r="A683" t="s">
        <v>28</v>
      </c>
      <c r="B683" t="s">
        <v>18</v>
      </c>
      <c r="C683" t="s">
        <v>19</v>
      </c>
      <c r="D683" t="s">
        <v>363</v>
      </c>
      <c r="E683" t="s">
        <v>467</v>
      </c>
      <c r="F683" t="s">
        <v>9</v>
      </c>
      <c r="G683" t="s">
        <v>474</v>
      </c>
      <c r="H683" t="s">
        <v>470</v>
      </c>
      <c r="I683">
        <v>43</v>
      </c>
      <c r="J683">
        <v>0.81232492997198891</v>
      </c>
      <c r="K683">
        <v>0.77127659574468088</v>
      </c>
      <c r="L683">
        <v>0.85798816568047342</v>
      </c>
      <c r="M683" t="s">
        <v>60</v>
      </c>
      <c r="N683" t="s">
        <v>1793</v>
      </c>
      <c r="O683" t="s">
        <v>1794</v>
      </c>
      <c r="P683">
        <v>203.9</v>
      </c>
    </row>
    <row r="684" spans="1:16" x14ac:dyDescent="0.3">
      <c r="A684" t="s">
        <v>28</v>
      </c>
      <c r="B684" t="s">
        <v>18</v>
      </c>
      <c r="C684" t="s">
        <v>19</v>
      </c>
      <c r="D684" t="s">
        <v>363</v>
      </c>
      <c r="E684" t="s">
        <v>467</v>
      </c>
      <c r="F684" t="s">
        <v>9</v>
      </c>
      <c r="G684" t="s">
        <v>479</v>
      </c>
      <c r="H684" t="s">
        <v>470</v>
      </c>
      <c r="I684">
        <v>44</v>
      </c>
      <c r="J684">
        <v>0.81792717086834721</v>
      </c>
      <c r="K684">
        <v>0.77659574468085102</v>
      </c>
      <c r="L684">
        <v>0.86390532544378695</v>
      </c>
      <c r="M684" t="s">
        <v>60</v>
      </c>
      <c r="N684" t="s">
        <v>1795</v>
      </c>
      <c r="O684" t="s">
        <v>1796</v>
      </c>
      <c r="P684">
        <v>216.7</v>
      </c>
    </row>
    <row r="685" spans="1:16" x14ac:dyDescent="0.3">
      <c r="A685" t="s">
        <v>28</v>
      </c>
      <c r="B685" t="s">
        <v>18</v>
      </c>
      <c r="C685" t="s">
        <v>19</v>
      </c>
      <c r="D685" t="s">
        <v>363</v>
      </c>
      <c r="E685" t="s">
        <v>467</v>
      </c>
      <c r="F685" t="s">
        <v>9</v>
      </c>
      <c r="G685" t="s">
        <v>484</v>
      </c>
      <c r="H685" t="s">
        <v>470</v>
      </c>
      <c r="I685">
        <v>45</v>
      </c>
      <c r="J685">
        <v>0.8595505617977528</v>
      </c>
      <c r="K685">
        <v>0.81818181818181823</v>
      </c>
      <c r="L685">
        <v>0.90532544378698221</v>
      </c>
      <c r="M685" t="s">
        <v>60</v>
      </c>
      <c r="N685" t="s">
        <v>1797</v>
      </c>
      <c r="O685" t="s">
        <v>1798</v>
      </c>
      <c r="P685">
        <v>231</v>
      </c>
    </row>
    <row r="686" spans="1:16" x14ac:dyDescent="0.3">
      <c r="A686" t="s">
        <v>28</v>
      </c>
      <c r="B686" t="s">
        <v>18</v>
      </c>
      <c r="C686" t="s">
        <v>19</v>
      </c>
      <c r="D686" t="s">
        <v>363</v>
      </c>
      <c r="E686" t="s">
        <v>467</v>
      </c>
      <c r="F686" t="s">
        <v>9</v>
      </c>
      <c r="G686" t="s">
        <v>489</v>
      </c>
      <c r="H686" t="s">
        <v>470</v>
      </c>
      <c r="I686">
        <v>46</v>
      </c>
      <c r="J686">
        <v>0.82320441988950277</v>
      </c>
      <c r="K686">
        <v>0.772020725388601</v>
      </c>
      <c r="L686">
        <v>0.88165680473372776</v>
      </c>
      <c r="M686" t="s">
        <v>60</v>
      </c>
      <c r="N686" t="s">
        <v>1799</v>
      </c>
      <c r="O686" t="s">
        <v>1800</v>
      </c>
      <c r="P686">
        <v>191.6</v>
      </c>
    </row>
    <row r="687" spans="1:16" x14ac:dyDescent="0.3">
      <c r="A687" t="s">
        <v>28</v>
      </c>
      <c r="B687" t="s">
        <v>18</v>
      </c>
      <c r="C687" t="s">
        <v>19</v>
      </c>
      <c r="D687" t="s">
        <v>363</v>
      </c>
      <c r="E687" t="s">
        <v>467</v>
      </c>
      <c r="F687" t="s">
        <v>9</v>
      </c>
      <c r="G687" t="s">
        <v>494</v>
      </c>
      <c r="H687" t="s">
        <v>470</v>
      </c>
      <c r="I687">
        <v>47</v>
      </c>
      <c r="J687">
        <v>0.81994459833795008</v>
      </c>
      <c r="K687">
        <v>0.77083333333333337</v>
      </c>
      <c r="L687">
        <v>0.87573964497041423</v>
      </c>
      <c r="M687" t="s">
        <v>60</v>
      </c>
      <c r="N687" t="s">
        <v>1801</v>
      </c>
      <c r="O687" t="s">
        <v>1802</v>
      </c>
      <c r="P687">
        <v>255.4</v>
      </c>
    </row>
    <row r="688" spans="1:16" x14ac:dyDescent="0.3">
      <c r="A688" t="s">
        <v>28</v>
      </c>
      <c r="B688" t="s">
        <v>18</v>
      </c>
      <c r="C688" t="s">
        <v>19</v>
      </c>
      <c r="D688" t="s">
        <v>363</v>
      </c>
      <c r="E688" t="s">
        <v>467</v>
      </c>
      <c r="F688" t="s">
        <v>9</v>
      </c>
      <c r="G688" t="s">
        <v>499</v>
      </c>
      <c r="H688" t="s">
        <v>470</v>
      </c>
      <c r="I688">
        <v>48</v>
      </c>
      <c r="J688">
        <v>0.81564245810055858</v>
      </c>
      <c r="K688">
        <v>0.77248677248677244</v>
      </c>
      <c r="L688">
        <v>0.86390532544378695</v>
      </c>
      <c r="M688" t="s">
        <v>60</v>
      </c>
      <c r="N688" t="s">
        <v>1803</v>
      </c>
      <c r="O688" t="s">
        <v>1804</v>
      </c>
      <c r="P688">
        <v>229.8</v>
      </c>
    </row>
    <row r="689" spans="1:16" x14ac:dyDescent="0.3">
      <c r="A689" t="s">
        <v>28</v>
      </c>
      <c r="B689" t="s">
        <v>18</v>
      </c>
      <c r="C689" t="s">
        <v>19</v>
      </c>
      <c r="D689" t="s">
        <v>363</v>
      </c>
      <c r="E689" t="s">
        <v>467</v>
      </c>
      <c r="F689" t="s">
        <v>9</v>
      </c>
      <c r="G689" t="s">
        <v>504</v>
      </c>
      <c r="H689" t="s">
        <v>470</v>
      </c>
      <c r="I689">
        <v>49</v>
      </c>
      <c r="J689">
        <v>0.82681564245810057</v>
      </c>
      <c r="K689">
        <v>0.78306878306878303</v>
      </c>
      <c r="L689">
        <v>0.87573964497041423</v>
      </c>
      <c r="M689" t="s">
        <v>60</v>
      </c>
      <c r="N689" t="s">
        <v>1805</v>
      </c>
      <c r="O689" t="s">
        <v>1806</v>
      </c>
      <c r="P689">
        <v>203.1</v>
      </c>
    </row>
    <row r="690" spans="1:16" x14ac:dyDescent="0.3">
      <c r="A690" t="s">
        <v>28</v>
      </c>
      <c r="B690" t="s">
        <v>18</v>
      </c>
      <c r="C690" t="s">
        <v>19</v>
      </c>
      <c r="D690" t="s">
        <v>363</v>
      </c>
      <c r="E690" t="s">
        <v>467</v>
      </c>
      <c r="F690" t="s">
        <v>9</v>
      </c>
      <c r="G690" t="s">
        <v>509</v>
      </c>
      <c r="H690" t="s">
        <v>470</v>
      </c>
      <c r="I690">
        <v>50</v>
      </c>
      <c r="J690">
        <v>0.83102493074792239</v>
      </c>
      <c r="K690">
        <v>0.78125</v>
      </c>
      <c r="L690">
        <v>0.8875739644970414</v>
      </c>
      <c r="M690" t="s">
        <v>60</v>
      </c>
      <c r="N690" t="s">
        <v>1807</v>
      </c>
      <c r="O690" t="s">
        <v>1808</v>
      </c>
      <c r="P690">
        <v>217.4</v>
      </c>
    </row>
    <row r="691" spans="1:16" x14ac:dyDescent="0.3">
      <c r="A691" t="s">
        <v>28</v>
      </c>
      <c r="B691" t="s">
        <v>18</v>
      </c>
      <c r="C691" t="s">
        <v>19</v>
      </c>
      <c r="D691" t="s">
        <v>363</v>
      </c>
      <c r="E691" t="s">
        <v>467</v>
      </c>
      <c r="F691" t="s">
        <v>9</v>
      </c>
      <c r="G691" t="s">
        <v>514</v>
      </c>
      <c r="H691" t="s">
        <v>470</v>
      </c>
      <c r="I691">
        <v>51</v>
      </c>
      <c r="J691">
        <v>0.81215469613259672</v>
      </c>
      <c r="K691">
        <v>0.76165803108808294</v>
      </c>
      <c r="L691">
        <v>0.86982248520710059</v>
      </c>
      <c r="M691" t="s">
        <v>60</v>
      </c>
      <c r="N691" t="s">
        <v>1809</v>
      </c>
      <c r="O691" t="s">
        <v>1810</v>
      </c>
      <c r="P691">
        <v>256.39999999999998</v>
      </c>
    </row>
    <row r="692" spans="1:16" x14ac:dyDescent="0.3">
      <c r="A692" t="s">
        <v>28</v>
      </c>
      <c r="B692" t="s">
        <v>18</v>
      </c>
      <c r="C692" t="s">
        <v>19</v>
      </c>
      <c r="D692" t="s">
        <v>363</v>
      </c>
      <c r="E692" t="s">
        <v>467</v>
      </c>
      <c r="F692" t="s">
        <v>9</v>
      </c>
      <c r="G692" t="s">
        <v>519</v>
      </c>
      <c r="H692" t="s">
        <v>470</v>
      </c>
      <c r="I692">
        <v>52</v>
      </c>
      <c r="J692">
        <v>0.82451253481894149</v>
      </c>
      <c r="K692">
        <v>0.77894736842105261</v>
      </c>
      <c r="L692">
        <v>0.87573964497041423</v>
      </c>
      <c r="M692" t="s">
        <v>60</v>
      </c>
      <c r="N692" t="s">
        <v>1811</v>
      </c>
      <c r="O692" t="s">
        <v>1812</v>
      </c>
      <c r="P692">
        <v>253.8</v>
      </c>
    </row>
    <row r="693" spans="1:16" x14ac:dyDescent="0.3">
      <c r="A693" t="s">
        <v>28</v>
      </c>
      <c r="B693" t="s">
        <v>18</v>
      </c>
      <c r="C693" t="s">
        <v>19</v>
      </c>
      <c r="D693" t="s">
        <v>363</v>
      </c>
      <c r="E693" t="s">
        <v>467</v>
      </c>
      <c r="F693" t="s">
        <v>9</v>
      </c>
      <c r="G693" t="s">
        <v>524</v>
      </c>
      <c r="H693" t="s">
        <v>470</v>
      </c>
      <c r="I693">
        <v>53</v>
      </c>
      <c r="J693">
        <v>0.83286118980169965</v>
      </c>
      <c r="K693">
        <v>0.79891304347826086</v>
      </c>
      <c r="L693">
        <v>0.86982248520710059</v>
      </c>
      <c r="M693" t="s">
        <v>60</v>
      </c>
      <c r="N693" t="s">
        <v>1813</v>
      </c>
      <c r="O693" t="s">
        <v>1814</v>
      </c>
      <c r="P693">
        <v>243</v>
      </c>
    </row>
    <row r="694" spans="1:16" x14ac:dyDescent="0.3">
      <c r="A694" t="s">
        <v>28</v>
      </c>
      <c r="B694" t="s">
        <v>18</v>
      </c>
      <c r="C694" t="s">
        <v>19</v>
      </c>
      <c r="D694" t="s">
        <v>363</v>
      </c>
      <c r="E694" t="s">
        <v>467</v>
      </c>
      <c r="F694" t="s">
        <v>9</v>
      </c>
      <c r="G694" t="s">
        <v>529</v>
      </c>
      <c r="H694" t="s">
        <v>470</v>
      </c>
      <c r="I694">
        <v>54</v>
      </c>
      <c r="J694">
        <v>0.83798882681564246</v>
      </c>
      <c r="K694">
        <v>0.79365079365079361</v>
      </c>
      <c r="L694">
        <v>0.8875739644970414</v>
      </c>
      <c r="M694" t="s">
        <v>60</v>
      </c>
      <c r="N694" t="s">
        <v>1815</v>
      </c>
      <c r="O694" t="s">
        <v>1816</v>
      </c>
      <c r="P694">
        <v>191.9</v>
      </c>
    </row>
    <row r="695" spans="1:16" x14ac:dyDescent="0.3">
      <c r="A695" t="s">
        <v>28</v>
      </c>
      <c r="B695" t="s">
        <v>18</v>
      </c>
      <c r="C695" t="s">
        <v>19</v>
      </c>
      <c r="D695" t="s">
        <v>363</v>
      </c>
      <c r="E695" t="s">
        <v>467</v>
      </c>
      <c r="F695" t="s">
        <v>9</v>
      </c>
      <c r="G695" t="s">
        <v>534</v>
      </c>
      <c r="H695" t="s">
        <v>470</v>
      </c>
      <c r="I695">
        <v>55</v>
      </c>
      <c r="J695">
        <v>0.81792717086834721</v>
      </c>
      <c r="K695">
        <v>0.77659574468085102</v>
      </c>
      <c r="L695">
        <v>0.86390532544378695</v>
      </c>
      <c r="M695" t="s">
        <v>60</v>
      </c>
      <c r="N695" t="s">
        <v>1817</v>
      </c>
      <c r="O695" t="s">
        <v>1818</v>
      </c>
      <c r="P695">
        <v>258.5</v>
      </c>
    </row>
    <row r="696" spans="1:16" x14ac:dyDescent="0.3">
      <c r="A696" t="s">
        <v>28</v>
      </c>
      <c r="B696" t="s">
        <v>18</v>
      </c>
      <c r="C696" t="s">
        <v>19</v>
      </c>
      <c r="D696" t="s">
        <v>363</v>
      </c>
      <c r="E696" t="s">
        <v>467</v>
      </c>
      <c r="F696" t="s">
        <v>9</v>
      </c>
      <c r="G696" t="s">
        <v>539</v>
      </c>
      <c r="H696" t="s">
        <v>470</v>
      </c>
      <c r="I696">
        <v>56</v>
      </c>
      <c r="J696">
        <v>0.8258426966292135</v>
      </c>
      <c r="K696">
        <v>0.78609625668449201</v>
      </c>
      <c r="L696">
        <v>0.86982248520710059</v>
      </c>
      <c r="M696" t="s">
        <v>60</v>
      </c>
      <c r="N696" t="s">
        <v>1819</v>
      </c>
      <c r="O696" t="s">
        <v>1820</v>
      </c>
      <c r="P696">
        <v>257.60000000000002</v>
      </c>
    </row>
    <row r="697" spans="1:16" x14ac:dyDescent="0.3">
      <c r="A697" t="s">
        <v>28</v>
      </c>
      <c r="B697" t="s">
        <v>18</v>
      </c>
      <c r="C697" t="s">
        <v>19</v>
      </c>
      <c r="D697" t="s">
        <v>363</v>
      </c>
      <c r="E697" t="s">
        <v>467</v>
      </c>
      <c r="F697" t="s">
        <v>9</v>
      </c>
      <c r="G697" t="s">
        <v>544</v>
      </c>
      <c r="H697" t="s">
        <v>470</v>
      </c>
      <c r="I697">
        <v>57</v>
      </c>
      <c r="J697">
        <v>0.80332409972299168</v>
      </c>
      <c r="K697">
        <v>0.75520833333333337</v>
      </c>
      <c r="L697">
        <v>0.85798816568047342</v>
      </c>
      <c r="M697" t="s">
        <v>60</v>
      </c>
      <c r="N697" t="s">
        <v>1821</v>
      </c>
      <c r="O697" t="s">
        <v>1822</v>
      </c>
      <c r="P697">
        <v>232.6</v>
      </c>
    </row>
    <row r="698" spans="1:16" x14ac:dyDescent="0.3">
      <c r="A698" t="s">
        <v>28</v>
      </c>
      <c r="B698" t="s">
        <v>18</v>
      </c>
      <c r="C698" t="s">
        <v>19</v>
      </c>
      <c r="D698" t="s">
        <v>363</v>
      </c>
      <c r="E698" t="s">
        <v>467</v>
      </c>
      <c r="F698" t="s">
        <v>9</v>
      </c>
      <c r="G698" t="s">
        <v>549</v>
      </c>
      <c r="H698" t="s">
        <v>470</v>
      </c>
      <c r="I698">
        <v>58</v>
      </c>
      <c r="J698">
        <v>0.82122905027932958</v>
      </c>
      <c r="K698">
        <v>0.77777777777777779</v>
      </c>
      <c r="L698">
        <v>0.86982248520710059</v>
      </c>
      <c r="M698" t="s">
        <v>60</v>
      </c>
      <c r="N698" t="s">
        <v>1823</v>
      </c>
      <c r="O698" t="s">
        <v>1824</v>
      </c>
      <c r="P698">
        <v>217.4</v>
      </c>
    </row>
    <row r="699" spans="1:16" x14ac:dyDescent="0.3">
      <c r="A699" t="s">
        <v>28</v>
      </c>
      <c r="B699" t="s">
        <v>18</v>
      </c>
      <c r="C699" t="s">
        <v>19</v>
      </c>
      <c r="D699" t="s">
        <v>363</v>
      </c>
      <c r="E699" t="s">
        <v>467</v>
      </c>
      <c r="F699" t="s">
        <v>9</v>
      </c>
      <c r="G699" t="s">
        <v>554</v>
      </c>
      <c r="H699" t="s">
        <v>470</v>
      </c>
      <c r="I699">
        <v>59</v>
      </c>
      <c r="J699">
        <v>0.82681564245810057</v>
      </c>
      <c r="K699">
        <v>0.78306878306878303</v>
      </c>
      <c r="L699">
        <v>0.87573964497041423</v>
      </c>
      <c r="M699" t="s">
        <v>60</v>
      </c>
      <c r="N699" t="s">
        <v>1825</v>
      </c>
      <c r="O699" t="s">
        <v>1826</v>
      </c>
      <c r="P699">
        <v>258.2</v>
      </c>
    </row>
    <row r="700" spans="1:16" x14ac:dyDescent="0.3">
      <c r="A700" t="s">
        <v>28</v>
      </c>
      <c r="B700" t="s">
        <v>18</v>
      </c>
      <c r="C700" t="s">
        <v>19</v>
      </c>
      <c r="D700" t="s">
        <v>363</v>
      </c>
      <c r="E700" t="s">
        <v>467</v>
      </c>
      <c r="F700" t="s">
        <v>9</v>
      </c>
      <c r="G700" t="s">
        <v>559</v>
      </c>
      <c r="H700" t="s">
        <v>470</v>
      </c>
      <c r="I700">
        <v>60</v>
      </c>
      <c r="J700">
        <v>0.8100558659217878</v>
      </c>
      <c r="K700">
        <v>0.76719576719576721</v>
      </c>
      <c r="L700">
        <v>0.85798816568047342</v>
      </c>
      <c r="M700" t="s">
        <v>60</v>
      </c>
      <c r="N700" t="s">
        <v>1827</v>
      </c>
      <c r="O700" t="s">
        <v>1828</v>
      </c>
      <c r="P700">
        <v>205.7</v>
      </c>
    </row>
    <row r="701" spans="1:16" x14ac:dyDescent="0.3">
      <c r="A701" t="s">
        <v>28</v>
      </c>
      <c r="B701" t="s">
        <v>18</v>
      </c>
      <c r="C701" t="s">
        <v>19</v>
      </c>
      <c r="D701" t="s">
        <v>363</v>
      </c>
      <c r="E701" t="s">
        <v>467</v>
      </c>
      <c r="F701" t="s">
        <v>9</v>
      </c>
      <c r="G701" t="s">
        <v>564</v>
      </c>
      <c r="H701" t="s">
        <v>470</v>
      </c>
      <c r="I701">
        <v>61</v>
      </c>
      <c r="J701">
        <v>0.84269662921348309</v>
      </c>
      <c r="K701">
        <v>0.80213903743315507</v>
      </c>
      <c r="L701">
        <v>0.8875739644970414</v>
      </c>
      <c r="M701" t="s">
        <v>60</v>
      </c>
      <c r="N701" t="s">
        <v>1829</v>
      </c>
      <c r="O701" t="s">
        <v>1830</v>
      </c>
      <c r="P701">
        <v>219.4</v>
      </c>
    </row>
    <row r="702" spans="1:16" x14ac:dyDescent="0.3">
      <c r="A702" t="s">
        <v>28</v>
      </c>
      <c r="B702" t="s">
        <v>18</v>
      </c>
      <c r="C702" t="s">
        <v>19</v>
      </c>
      <c r="D702" t="s">
        <v>363</v>
      </c>
      <c r="E702" t="s">
        <v>569</v>
      </c>
      <c r="F702" t="s">
        <v>11</v>
      </c>
      <c r="G702" t="s">
        <v>570</v>
      </c>
      <c r="H702" t="s">
        <v>572</v>
      </c>
      <c r="I702">
        <v>42</v>
      </c>
      <c r="J702">
        <v>0.84901531728665192</v>
      </c>
      <c r="K702">
        <v>0.82553191489361699</v>
      </c>
      <c r="L702">
        <v>0.87387387387387383</v>
      </c>
      <c r="M702" t="s">
        <v>60</v>
      </c>
      <c r="N702" t="s">
        <v>1831</v>
      </c>
      <c r="O702" t="s">
        <v>1832</v>
      </c>
      <c r="P702">
        <v>204.9</v>
      </c>
    </row>
    <row r="703" spans="1:16" x14ac:dyDescent="0.3">
      <c r="A703" t="s">
        <v>28</v>
      </c>
      <c r="B703" t="s">
        <v>18</v>
      </c>
      <c r="C703" t="s">
        <v>19</v>
      </c>
      <c r="D703" t="s">
        <v>363</v>
      </c>
      <c r="E703" t="s">
        <v>569</v>
      </c>
      <c r="F703" t="s">
        <v>11</v>
      </c>
      <c r="G703" t="s">
        <v>576</v>
      </c>
      <c r="H703" t="s">
        <v>572</v>
      </c>
      <c r="I703">
        <v>43</v>
      </c>
      <c r="J703">
        <v>0.85398230088495586</v>
      </c>
      <c r="K703">
        <v>0.83913043478260874</v>
      </c>
      <c r="L703">
        <v>0.86936936936936937</v>
      </c>
      <c r="M703" t="s">
        <v>60</v>
      </c>
      <c r="N703" t="s">
        <v>1833</v>
      </c>
      <c r="O703" t="s">
        <v>1834</v>
      </c>
      <c r="P703">
        <v>214.2</v>
      </c>
    </row>
    <row r="704" spans="1:16" x14ac:dyDescent="0.3">
      <c r="A704" t="s">
        <v>28</v>
      </c>
      <c r="B704" t="s">
        <v>18</v>
      </c>
      <c r="C704" t="s">
        <v>19</v>
      </c>
      <c r="D704" t="s">
        <v>363</v>
      </c>
      <c r="E704" t="s">
        <v>569</v>
      </c>
      <c r="F704" t="s">
        <v>11</v>
      </c>
      <c r="G704" t="s">
        <v>581</v>
      </c>
      <c r="H704" t="s">
        <v>572</v>
      </c>
      <c r="I704">
        <v>44</v>
      </c>
      <c r="J704">
        <v>0.85777777777777775</v>
      </c>
      <c r="K704">
        <v>0.84649122807017541</v>
      </c>
      <c r="L704">
        <v>0.86936936936936937</v>
      </c>
      <c r="M704" t="s">
        <v>60</v>
      </c>
      <c r="N704" t="s">
        <v>1835</v>
      </c>
      <c r="O704" t="s">
        <v>1836</v>
      </c>
      <c r="P704">
        <v>254.8</v>
      </c>
    </row>
    <row r="705" spans="1:16" x14ac:dyDescent="0.3">
      <c r="A705" t="s">
        <v>28</v>
      </c>
      <c r="B705" t="s">
        <v>18</v>
      </c>
      <c r="C705" t="s">
        <v>19</v>
      </c>
      <c r="D705" t="s">
        <v>363</v>
      </c>
      <c r="E705" t="s">
        <v>569</v>
      </c>
      <c r="F705" t="s">
        <v>11</v>
      </c>
      <c r="G705" t="s">
        <v>586</v>
      </c>
      <c r="H705" t="s">
        <v>572</v>
      </c>
      <c r="I705">
        <v>45</v>
      </c>
      <c r="J705">
        <v>0.85462555066079282</v>
      </c>
      <c r="K705">
        <v>0.83620689655172409</v>
      </c>
      <c r="L705">
        <v>0.87387387387387383</v>
      </c>
      <c r="M705" t="s">
        <v>60</v>
      </c>
      <c r="N705" t="s">
        <v>1837</v>
      </c>
      <c r="O705" t="s">
        <v>1838</v>
      </c>
      <c r="P705">
        <v>240.7</v>
      </c>
    </row>
    <row r="706" spans="1:16" x14ac:dyDescent="0.3">
      <c r="A706" t="s">
        <v>28</v>
      </c>
      <c r="B706" t="s">
        <v>18</v>
      </c>
      <c r="C706" t="s">
        <v>19</v>
      </c>
      <c r="D706" t="s">
        <v>363</v>
      </c>
      <c r="E706" t="s">
        <v>569</v>
      </c>
      <c r="F706" t="s">
        <v>11</v>
      </c>
      <c r="G706" t="s">
        <v>591</v>
      </c>
      <c r="H706" t="s">
        <v>572</v>
      </c>
      <c r="I706">
        <v>46</v>
      </c>
      <c r="J706">
        <v>0.83771929824561386</v>
      </c>
      <c r="K706">
        <v>0.81623931623931623</v>
      </c>
      <c r="L706">
        <v>0.86036036036036034</v>
      </c>
      <c r="M706" t="s">
        <v>60</v>
      </c>
      <c r="N706" t="s">
        <v>1839</v>
      </c>
      <c r="O706" t="s">
        <v>1840</v>
      </c>
      <c r="P706">
        <v>203.9</v>
      </c>
    </row>
    <row r="707" spans="1:16" x14ac:dyDescent="0.3">
      <c r="A707" t="s">
        <v>28</v>
      </c>
      <c r="B707" t="s">
        <v>18</v>
      </c>
      <c r="C707" t="s">
        <v>19</v>
      </c>
      <c r="D707" t="s">
        <v>363</v>
      </c>
      <c r="E707" t="s">
        <v>569</v>
      </c>
      <c r="F707" t="s">
        <v>11</v>
      </c>
      <c r="G707" t="s">
        <v>596</v>
      </c>
      <c r="H707" t="s">
        <v>572</v>
      </c>
      <c r="I707">
        <v>47</v>
      </c>
      <c r="J707">
        <v>0.85906040268456374</v>
      </c>
      <c r="K707">
        <v>0.85333333333333339</v>
      </c>
      <c r="L707">
        <v>0.86486486486486491</v>
      </c>
      <c r="M707" t="s">
        <v>60</v>
      </c>
      <c r="N707" t="s">
        <v>1841</v>
      </c>
      <c r="O707" t="s">
        <v>1842</v>
      </c>
      <c r="P707">
        <v>218.5</v>
      </c>
    </row>
    <row r="708" spans="1:16" x14ac:dyDescent="0.3">
      <c r="A708" t="s">
        <v>28</v>
      </c>
      <c r="B708" t="s">
        <v>18</v>
      </c>
      <c r="C708" t="s">
        <v>19</v>
      </c>
      <c r="D708" t="s">
        <v>363</v>
      </c>
      <c r="E708" t="s">
        <v>569</v>
      </c>
      <c r="F708" t="s">
        <v>11</v>
      </c>
      <c r="G708" t="s">
        <v>601</v>
      </c>
      <c r="H708" t="s">
        <v>572</v>
      </c>
      <c r="I708">
        <v>48</v>
      </c>
      <c r="J708">
        <v>0.83956043956043958</v>
      </c>
      <c r="K708">
        <v>0.81974248927038629</v>
      </c>
      <c r="L708">
        <v>0.86036036036036034</v>
      </c>
      <c r="M708" t="s">
        <v>60</v>
      </c>
      <c r="N708" t="s">
        <v>1843</v>
      </c>
      <c r="O708" t="s">
        <v>1844</v>
      </c>
      <c r="P708">
        <v>229.6</v>
      </c>
    </row>
    <row r="709" spans="1:16" x14ac:dyDescent="0.3">
      <c r="A709" t="s">
        <v>28</v>
      </c>
      <c r="B709" t="s">
        <v>18</v>
      </c>
      <c r="C709" t="s">
        <v>19</v>
      </c>
      <c r="D709" t="s">
        <v>363</v>
      </c>
      <c r="E709" t="s">
        <v>569</v>
      </c>
      <c r="F709" t="s">
        <v>11</v>
      </c>
      <c r="G709" t="s">
        <v>606</v>
      </c>
      <c r="H709" t="s">
        <v>572</v>
      </c>
      <c r="I709">
        <v>49</v>
      </c>
      <c r="J709">
        <v>0.84955752212389379</v>
      </c>
      <c r="K709">
        <v>0.83478260869565213</v>
      </c>
      <c r="L709">
        <v>0.86486486486486491</v>
      </c>
      <c r="M709" t="s">
        <v>60</v>
      </c>
      <c r="N709" t="s">
        <v>1845</v>
      </c>
      <c r="O709" t="s">
        <v>1846</v>
      </c>
      <c r="P709">
        <v>245.4</v>
      </c>
    </row>
    <row r="710" spans="1:16" x14ac:dyDescent="0.3">
      <c r="A710" t="s">
        <v>28</v>
      </c>
      <c r="B710" t="s">
        <v>18</v>
      </c>
      <c r="C710" t="s">
        <v>19</v>
      </c>
      <c r="D710" t="s">
        <v>363</v>
      </c>
      <c r="E710" t="s">
        <v>569</v>
      </c>
      <c r="F710" t="s">
        <v>11</v>
      </c>
      <c r="G710" t="s">
        <v>611</v>
      </c>
      <c r="H710" t="s">
        <v>572</v>
      </c>
      <c r="I710">
        <v>50</v>
      </c>
      <c r="J710">
        <v>0.8527472527472526</v>
      </c>
      <c r="K710">
        <v>0.83261802575107291</v>
      </c>
      <c r="L710">
        <v>0.87387387387387383</v>
      </c>
      <c r="M710" t="s">
        <v>60</v>
      </c>
      <c r="N710" t="s">
        <v>1847</v>
      </c>
      <c r="O710" t="s">
        <v>1848</v>
      </c>
      <c r="P710">
        <v>217</v>
      </c>
    </row>
    <row r="711" spans="1:16" x14ac:dyDescent="0.3">
      <c r="A711" t="s">
        <v>28</v>
      </c>
      <c r="B711" t="s">
        <v>18</v>
      </c>
      <c r="C711" t="s">
        <v>19</v>
      </c>
      <c r="D711" t="s">
        <v>363</v>
      </c>
      <c r="E711" t="s">
        <v>569</v>
      </c>
      <c r="F711" t="s">
        <v>11</v>
      </c>
      <c r="G711" t="s">
        <v>616</v>
      </c>
      <c r="H711" t="s">
        <v>572</v>
      </c>
      <c r="I711">
        <v>51</v>
      </c>
      <c r="J711">
        <v>0.84700665188470059</v>
      </c>
      <c r="K711">
        <v>0.83406113537117899</v>
      </c>
      <c r="L711">
        <v>0.86036036036036034</v>
      </c>
      <c r="M711" t="s">
        <v>60</v>
      </c>
      <c r="N711" t="s">
        <v>1849</v>
      </c>
      <c r="O711" t="s">
        <v>1850</v>
      </c>
      <c r="P711">
        <v>218.1</v>
      </c>
    </row>
    <row r="712" spans="1:16" x14ac:dyDescent="0.3">
      <c r="A712" t="s">
        <v>28</v>
      </c>
      <c r="B712" t="s">
        <v>18</v>
      </c>
      <c r="C712" t="s">
        <v>19</v>
      </c>
      <c r="D712" t="s">
        <v>363</v>
      </c>
      <c r="E712" t="s">
        <v>569</v>
      </c>
      <c r="F712" t="s">
        <v>11</v>
      </c>
      <c r="G712" t="s">
        <v>621</v>
      </c>
      <c r="H712" t="s">
        <v>572</v>
      </c>
      <c r="I712">
        <v>52</v>
      </c>
      <c r="J712">
        <v>0.83369330453563717</v>
      </c>
      <c r="K712">
        <v>0.80082987551867224</v>
      </c>
      <c r="L712">
        <v>0.86936936936936937</v>
      </c>
      <c r="M712" t="s">
        <v>60</v>
      </c>
      <c r="N712" t="s">
        <v>1851</v>
      </c>
      <c r="O712" t="s">
        <v>1852</v>
      </c>
      <c r="P712">
        <v>221.5</v>
      </c>
    </row>
    <row r="713" spans="1:16" x14ac:dyDescent="0.3">
      <c r="A713" t="s">
        <v>28</v>
      </c>
      <c r="B713" t="s">
        <v>18</v>
      </c>
      <c r="C713" t="s">
        <v>19</v>
      </c>
      <c r="D713" t="s">
        <v>363</v>
      </c>
      <c r="E713" t="s">
        <v>569</v>
      </c>
      <c r="F713" t="s">
        <v>11</v>
      </c>
      <c r="G713" t="s">
        <v>626</v>
      </c>
      <c r="H713" t="s">
        <v>572</v>
      </c>
      <c r="I713">
        <v>53</v>
      </c>
      <c r="J713">
        <v>0.84279475982532748</v>
      </c>
      <c r="K713">
        <v>0.81779661016949157</v>
      </c>
      <c r="L713">
        <v>0.86936936936936937</v>
      </c>
      <c r="M713" t="s">
        <v>60</v>
      </c>
      <c r="N713" t="s">
        <v>1853</v>
      </c>
      <c r="O713" t="s">
        <v>1854</v>
      </c>
      <c r="P713">
        <v>216.9</v>
      </c>
    </row>
    <row r="714" spans="1:16" x14ac:dyDescent="0.3">
      <c r="A714" t="s">
        <v>28</v>
      </c>
      <c r="B714" t="s">
        <v>18</v>
      </c>
      <c r="C714" t="s">
        <v>19</v>
      </c>
      <c r="D714" t="s">
        <v>363</v>
      </c>
      <c r="E714" t="s">
        <v>569</v>
      </c>
      <c r="F714" t="s">
        <v>11</v>
      </c>
      <c r="G714" t="s">
        <v>631</v>
      </c>
      <c r="H714" t="s">
        <v>572</v>
      </c>
      <c r="I714">
        <v>54</v>
      </c>
      <c r="J714">
        <v>0.8355555555555555</v>
      </c>
      <c r="K714">
        <v>0.82456140350877194</v>
      </c>
      <c r="L714">
        <v>0.84684684684684686</v>
      </c>
      <c r="M714" t="s">
        <v>60</v>
      </c>
      <c r="N714" t="s">
        <v>1855</v>
      </c>
      <c r="O714" t="s">
        <v>1856</v>
      </c>
      <c r="P714">
        <v>257</v>
      </c>
    </row>
    <row r="715" spans="1:16" x14ac:dyDescent="0.3">
      <c r="A715" t="s">
        <v>28</v>
      </c>
      <c r="B715" t="s">
        <v>18</v>
      </c>
      <c r="C715" t="s">
        <v>19</v>
      </c>
      <c r="D715" t="s">
        <v>363</v>
      </c>
      <c r="E715" t="s">
        <v>569</v>
      </c>
      <c r="F715" t="s">
        <v>11</v>
      </c>
      <c r="G715" t="s">
        <v>636</v>
      </c>
      <c r="H715" t="s">
        <v>572</v>
      </c>
      <c r="I715">
        <v>55</v>
      </c>
      <c r="J715">
        <v>0.8571428571428571</v>
      </c>
      <c r="K715">
        <v>0.84955752212389379</v>
      </c>
      <c r="L715">
        <v>0.86486486486486491</v>
      </c>
      <c r="M715" t="s">
        <v>60</v>
      </c>
      <c r="N715" t="s">
        <v>1857</v>
      </c>
      <c r="O715" t="s">
        <v>1858</v>
      </c>
      <c r="P715">
        <v>218.4</v>
      </c>
    </row>
    <row r="716" spans="1:16" x14ac:dyDescent="0.3">
      <c r="A716" t="s">
        <v>28</v>
      </c>
      <c r="B716" t="s">
        <v>18</v>
      </c>
      <c r="C716" t="s">
        <v>19</v>
      </c>
      <c r="D716" t="s">
        <v>363</v>
      </c>
      <c r="E716" t="s">
        <v>569</v>
      </c>
      <c r="F716" t="s">
        <v>11</v>
      </c>
      <c r="G716" t="s">
        <v>641</v>
      </c>
      <c r="H716" t="s">
        <v>572</v>
      </c>
      <c r="I716">
        <v>56</v>
      </c>
      <c r="J716">
        <v>0.8432671081677704</v>
      </c>
      <c r="K716">
        <v>0.82683982683982682</v>
      </c>
      <c r="L716">
        <v>0.86036036036036034</v>
      </c>
      <c r="M716" t="s">
        <v>60</v>
      </c>
      <c r="N716" t="s">
        <v>1859</v>
      </c>
      <c r="O716" t="s">
        <v>1860</v>
      </c>
      <c r="P716">
        <v>216.3</v>
      </c>
    </row>
    <row r="717" spans="1:16" x14ac:dyDescent="0.3">
      <c r="A717" t="s">
        <v>28</v>
      </c>
      <c r="B717" t="s">
        <v>18</v>
      </c>
      <c r="C717" t="s">
        <v>19</v>
      </c>
      <c r="D717" t="s">
        <v>363</v>
      </c>
      <c r="E717" t="s">
        <v>569</v>
      </c>
      <c r="F717" t="s">
        <v>11</v>
      </c>
      <c r="G717" t="s">
        <v>646</v>
      </c>
      <c r="H717" t="s">
        <v>572</v>
      </c>
      <c r="I717">
        <v>57</v>
      </c>
      <c r="J717">
        <v>0.84070796460176989</v>
      </c>
      <c r="K717">
        <v>0.82608695652173914</v>
      </c>
      <c r="L717">
        <v>0.85585585585585588</v>
      </c>
      <c r="M717" t="s">
        <v>60</v>
      </c>
      <c r="N717" t="s">
        <v>1861</v>
      </c>
      <c r="O717" t="s">
        <v>1862</v>
      </c>
      <c r="P717">
        <v>205.5</v>
      </c>
    </row>
    <row r="718" spans="1:16" x14ac:dyDescent="0.3">
      <c r="A718" t="s">
        <v>28</v>
      </c>
      <c r="B718" t="s">
        <v>18</v>
      </c>
      <c r="C718" t="s">
        <v>19</v>
      </c>
      <c r="D718" t="s">
        <v>363</v>
      </c>
      <c r="E718" t="s">
        <v>569</v>
      </c>
      <c r="F718" t="s">
        <v>11</v>
      </c>
      <c r="G718" t="s">
        <v>651</v>
      </c>
      <c r="H718" t="s">
        <v>572</v>
      </c>
      <c r="I718">
        <v>58</v>
      </c>
      <c r="J718">
        <v>0.84279475982532748</v>
      </c>
      <c r="K718">
        <v>0.81779661016949157</v>
      </c>
      <c r="L718">
        <v>0.86936936936936937</v>
      </c>
      <c r="M718" t="s">
        <v>60</v>
      </c>
      <c r="N718" t="s">
        <v>1863</v>
      </c>
      <c r="O718" t="s">
        <v>1864</v>
      </c>
      <c r="P718">
        <v>219.8</v>
      </c>
    </row>
    <row r="719" spans="1:16" x14ac:dyDescent="0.3">
      <c r="A719" t="s">
        <v>28</v>
      </c>
      <c r="B719" t="s">
        <v>18</v>
      </c>
      <c r="C719" t="s">
        <v>19</v>
      </c>
      <c r="D719" t="s">
        <v>363</v>
      </c>
      <c r="E719" t="s">
        <v>569</v>
      </c>
      <c r="F719" t="s">
        <v>11</v>
      </c>
      <c r="G719" t="s">
        <v>656</v>
      </c>
      <c r="H719" t="s">
        <v>572</v>
      </c>
      <c r="I719">
        <v>59</v>
      </c>
      <c r="J719">
        <v>0.85587583148558766</v>
      </c>
      <c r="K719">
        <v>0.84279475982532748</v>
      </c>
      <c r="L719">
        <v>0.86936936936936937</v>
      </c>
      <c r="M719" t="s">
        <v>60</v>
      </c>
      <c r="N719" t="s">
        <v>1865</v>
      </c>
      <c r="O719" t="s">
        <v>1866</v>
      </c>
      <c r="P719">
        <v>253.9</v>
      </c>
    </row>
    <row r="720" spans="1:16" x14ac:dyDescent="0.3">
      <c r="A720" t="s">
        <v>28</v>
      </c>
      <c r="B720" t="s">
        <v>18</v>
      </c>
      <c r="C720" t="s">
        <v>19</v>
      </c>
      <c r="D720" t="s">
        <v>363</v>
      </c>
      <c r="E720" t="s">
        <v>569</v>
      </c>
      <c r="F720" t="s">
        <v>11</v>
      </c>
      <c r="G720" t="s">
        <v>661</v>
      </c>
      <c r="H720" t="s">
        <v>572</v>
      </c>
      <c r="I720">
        <v>60</v>
      </c>
      <c r="J720">
        <v>0.83771929824561386</v>
      </c>
      <c r="K720">
        <v>0.81623931623931623</v>
      </c>
      <c r="L720">
        <v>0.86036036036036034</v>
      </c>
      <c r="M720" t="s">
        <v>60</v>
      </c>
      <c r="N720" t="s">
        <v>1867</v>
      </c>
      <c r="O720" t="s">
        <v>1868</v>
      </c>
      <c r="P720">
        <v>215.9</v>
      </c>
    </row>
    <row r="721" spans="1:16" x14ac:dyDescent="0.3">
      <c r="A721" t="s">
        <v>28</v>
      </c>
      <c r="B721" t="s">
        <v>18</v>
      </c>
      <c r="C721" t="s">
        <v>19</v>
      </c>
      <c r="D721" t="s">
        <v>363</v>
      </c>
      <c r="E721" t="s">
        <v>569</v>
      </c>
      <c r="F721" t="s">
        <v>11</v>
      </c>
      <c r="G721" t="s">
        <v>666</v>
      </c>
      <c r="H721" t="s">
        <v>572</v>
      </c>
      <c r="I721">
        <v>61</v>
      </c>
      <c r="J721">
        <v>0.84257206208425717</v>
      </c>
      <c r="K721">
        <v>0.82969432314410485</v>
      </c>
      <c r="L721">
        <v>0.85585585585585588</v>
      </c>
      <c r="M721" t="s">
        <v>60</v>
      </c>
      <c r="N721" t="s">
        <v>1869</v>
      </c>
      <c r="O721" t="s">
        <v>1870</v>
      </c>
      <c r="P721">
        <v>253.8</v>
      </c>
    </row>
    <row r="722" spans="1:16" x14ac:dyDescent="0.3">
      <c r="A722" t="s">
        <v>28</v>
      </c>
      <c r="B722" t="s">
        <v>20</v>
      </c>
      <c r="C722" t="s">
        <v>21</v>
      </c>
      <c r="D722" t="s">
        <v>54</v>
      </c>
      <c r="E722" t="s">
        <v>56</v>
      </c>
      <c r="F722" t="s">
        <v>7</v>
      </c>
      <c r="G722" t="s">
        <v>57</v>
      </c>
      <c r="H722" t="s">
        <v>59</v>
      </c>
      <c r="I722">
        <v>42</v>
      </c>
      <c r="J722">
        <v>0.7119341563786008</v>
      </c>
      <c r="M722" t="s">
        <v>670</v>
      </c>
      <c r="N722" t="s">
        <v>1871</v>
      </c>
      <c r="O722" t="s">
        <v>1872</v>
      </c>
      <c r="P722">
        <v>0.7</v>
      </c>
    </row>
    <row r="723" spans="1:16" x14ac:dyDescent="0.3">
      <c r="A723" t="s">
        <v>28</v>
      </c>
      <c r="B723" t="s">
        <v>20</v>
      </c>
      <c r="C723" t="s">
        <v>21</v>
      </c>
      <c r="D723" t="s">
        <v>54</v>
      </c>
      <c r="E723" t="s">
        <v>56</v>
      </c>
      <c r="F723" t="s">
        <v>7</v>
      </c>
      <c r="G723" t="s">
        <v>65</v>
      </c>
      <c r="H723" t="s">
        <v>59</v>
      </c>
      <c r="I723">
        <v>43</v>
      </c>
      <c r="J723">
        <v>0.52032520325203246</v>
      </c>
      <c r="M723" t="s">
        <v>670</v>
      </c>
      <c r="N723" t="s">
        <v>1873</v>
      </c>
      <c r="O723" t="s">
        <v>1874</v>
      </c>
      <c r="P723">
        <v>0.7</v>
      </c>
    </row>
    <row r="724" spans="1:16" x14ac:dyDescent="0.3">
      <c r="A724" t="s">
        <v>28</v>
      </c>
      <c r="B724" t="s">
        <v>20</v>
      </c>
      <c r="C724" t="s">
        <v>21</v>
      </c>
      <c r="D724" t="s">
        <v>54</v>
      </c>
      <c r="E724" t="s">
        <v>56</v>
      </c>
      <c r="F724" t="s">
        <v>7</v>
      </c>
      <c r="G724" t="s">
        <v>70</v>
      </c>
      <c r="H724" t="s">
        <v>59</v>
      </c>
      <c r="I724">
        <v>44</v>
      </c>
      <c r="J724">
        <v>0.58248472505091642</v>
      </c>
      <c r="M724" t="s">
        <v>670</v>
      </c>
      <c r="N724" t="s">
        <v>1875</v>
      </c>
      <c r="O724" t="s">
        <v>1876</v>
      </c>
      <c r="P724">
        <v>0.9</v>
      </c>
    </row>
    <row r="725" spans="1:16" x14ac:dyDescent="0.3">
      <c r="A725" t="s">
        <v>28</v>
      </c>
      <c r="B725" t="s">
        <v>20</v>
      </c>
      <c r="C725" t="s">
        <v>21</v>
      </c>
      <c r="D725" t="s">
        <v>54</v>
      </c>
      <c r="E725" t="s">
        <v>56</v>
      </c>
      <c r="F725" t="s">
        <v>7</v>
      </c>
      <c r="G725" t="s">
        <v>75</v>
      </c>
      <c r="H725" t="s">
        <v>59</v>
      </c>
      <c r="I725">
        <v>45</v>
      </c>
      <c r="J725">
        <v>0.71816283924843416</v>
      </c>
      <c r="M725" t="s">
        <v>670</v>
      </c>
      <c r="N725" t="s">
        <v>1877</v>
      </c>
      <c r="O725" t="s">
        <v>1878</v>
      </c>
      <c r="P725">
        <v>0.7</v>
      </c>
    </row>
    <row r="726" spans="1:16" x14ac:dyDescent="0.3">
      <c r="A726" t="s">
        <v>28</v>
      </c>
      <c r="B726" t="s">
        <v>20</v>
      </c>
      <c r="C726" t="s">
        <v>21</v>
      </c>
      <c r="D726" t="s">
        <v>54</v>
      </c>
      <c r="E726" t="s">
        <v>56</v>
      </c>
      <c r="F726" t="s">
        <v>7</v>
      </c>
      <c r="G726" t="s">
        <v>80</v>
      </c>
      <c r="H726" t="s">
        <v>59</v>
      </c>
      <c r="I726">
        <v>46</v>
      </c>
      <c r="J726">
        <v>0.54746136865342165</v>
      </c>
      <c r="M726" t="s">
        <v>670</v>
      </c>
      <c r="N726" t="s">
        <v>1879</v>
      </c>
      <c r="O726" t="s">
        <v>1880</v>
      </c>
      <c r="P726">
        <v>0.7</v>
      </c>
    </row>
    <row r="727" spans="1:16" x14ac:dyDescent="0.3">
      <c r="A727" t="s">
        <v>28</v>
      </c>
      <c r="B727" t="s">
        <v>20</v>
      </c>
      <c r="C727" t="s">
        <v>21</v>
      </c>
      <c r="D727" t="s">
        <v>54</v>
      </c>
      <c r="E727" t="s">
        <v>56</v>
      </c>
      <c r="F727" t="s">
        <v>7</v>
      </c>
      <c r="G727" t="s">
        <v>85</v>
      </c>
      <c r="H727" t="s">
        <v>59</v>
      </c>
      <c r="I727">
        <v>47</v>
      </c>
      <c r="J727">
        <v>0.71635610766045543</v>
      </c>
      <c r="M727" t="s">
        <v>670</v>
      </c>
      <c r="N727" t="s">
        <v>1881</v>
      </c>
      <c r="O727" t="s">
        <v>1882</v>
      </c>
      <c r="P727">
        <v>3.3</v>
      </c>
    </row>
    <row r="728" spans="1:16" x14ac:dyDescent="0.3">
      <c r="A728" t="s">
        <v>28</v>
      </c>
      <c r="B728" t="s">
        <v>20</v>
      </c>
      <c r="C728" t="s">
        <v>21</v>
      </c>
      <c r="D728" t="s">
        <v>54</v>
      </c>
      <c r="E728" t="s">
        <v>56</v>
      </c>
      <c r="F728" t="s">
        <v>7</v>
      </c>
      <c r="G728" t="s">
        <v>90</v>
      </c>
      <c r="H728" t="s">
        <v>59</v>
      </c>
      <c r="I728">
        <v>48</v>
      </c>
      <c r="J728">
        <v>0.74518201284796581</v>
      </c>
      <c r="M728" t="s">
        <v>670</v>
      </c>
      <c r="N728" t="s">
        <v>1883</v>
      </c>
      <c r="O728" t="s">
        <v>1884</v>
      </c>
      <c r="P728">
        <v>0.9</v>
      </c>
    </row>
    <row r="729" spans="1:16" x14ac:dyDescent="0.3">
      <c r="A729" t="s">
        <v>28</v>
      </c>
      <c r="B729" t="s">
        <v>20</v>
      </c>
      <c r="C729" t="s">
        <v>21</v>
      </c>
      <c r="D729" t="s">
        <v>54</v>
      </c>
      <c r="E729" t="s">
        <v>56</v>
      </c>
      <c r="F729" t="s">
        <v>7</v>
      </c>
      <c r="G729" t="s">
        <v>95</v>
      </c>
      <c r="H729" t="s">
        <v>59</v>
      </c>
      <c r="I729">
        <v>49</v>
      </c>
      <c r="J729">
        <v>0.71721311475409844</v>
      </c>
      <c r="M729" t="s">
        <v>670</v>
      </c>
      <c r="N729" t="s">
        <v>1885</v>
      </c>
      <c r="O729" t="s">
        <v>1886</v>
      </c>
      <c r="P729">
        <v>0.7</v>
      </c>
    </row>
    <row r="730" spans="1:16" x14ac:dyDescent="0.3">
      <c r="A730" t="s">
        <v>28</v>
      </c>
      <c r="B730" t="s">
        <v>20</v>
      </c>
      <c r="C730" t="s">
        <v>21</v>
      </c>
      <c r="D730" t="s">
        <v>54</v>
      </c>
      <c r="E730" t="s">
        <v>56</v>
      </c>
      <c r="F730" t="s">
        <v>7</v>
      </c>
      <c r="G730" t="s">
        <v>100</v>
      </c>
      <c r="H730" t="s">
        <v>59</v>
      </c>
      <c r="I730">
        <v>50</v>
      </c>
      <c r="J730">
        <v>0.72573839662447248</v>
      </c>
      <c r="M730" t="s">
        <v>670</v>
      </c>
      <c r="N730" t="s">
        <v>1887</v>
      </c>
      <c r="O730" t="s">
        <v>1888</v>
      </c>
      <c r="P730">
        <v>0.6</v>
      </c>
    </row>
    <row r="731" spans="1:16" x14ac:dyDescent="0.3">
      <c r="A731" t="s">
        <v>28</v>
      </c>
      <c r="B731" t="s">
        <v>20</v>
      </c>
      <c r="C731" t="s">
        <v>21</v>
      </c>
      <c r="D731" t="s">
        <v>54</v>
      </c>
      <c r="E731" t="s">
        <v>56</v>
      </c>
      <c r="F731" t="s">
        <v>7</v>
      </c>
      <c r="G731" t="s">
        <v>105</v>
      </c>
      <c r="H731" t="s">
        <v>59</v>
      </c>
      <c r="I731">
        <v>51</v>
      </c>
      <c r="J731">
        <v>0.46330275229357792</v>
      </c>
      <c r="M731" t="s">
        <v>670</v>
      </c>
      <c r="N731" t="s">
        <v>1889</v>
      </c>
      <c r="O731" t="s">
        <v>1890</v>
      </c>
      <c r="P731">
        <v>0.8</v>
      </c>
    </row>
    <row r="732" spans="1:16" x14ac:dyDescent="0.3">
      <c r="A732" t="s">
        <v>28</v>
      </c>
      <c r="B732" t="s">
        <v>20</v>
      </c>
      <c r="C732" t="s">
        <v>21</v>
      </c>
      <c r="D732" t="s">
        <v>54</v>
      </c>
      <c r="E732" t="s">
        <v>56</v>
      </c>
      <c r="F732" t="s">
        <v>7</v>
      </c>
      <c r="G732" t="s">
        <v>110</v>
      </c>
      <c r="H732" t="s">
        <v>59</v>
      </c>
      <c r="I732">
        <v>52</v>
      </c>
      <c r="J732">
        <v>0.72842105263157886</v>
      </c>
      <c r="M732" t="s">
        <v>670</v>
      </c>
      <c r="N732" t="s">
        <v>1891</v>
      </c>
      <c r="O732" t="s">
        <v>1892</v>
      </c>
      <c r="P732">
        <v>0.9</v>
      </c>
    </row>
    <row r="733" spans="1:16" x14ac:dyDescent="0.3">
      <c r="A733" t="s">
        <v>28</v>
      </c>
      <c r="B733" t="s">
        <v>20</v>
      </c>
      <c r="C733" t="s">
        <v>21</v>
      </c>
      <c r="D733" t="s">
        <v>54</v>
      </c>
      <c r="E733" t="s">
        <v>56</v>
      </c>
      <c r="F733" t="s">
        <v>7</v>
      </c>
      <c r="G733" t="s">
        <v>115</v>
      </c>
      <c r="H733" t="s">
        <v>59</v>
      </c>
      <c r="I733">
        <v>53</v>
      </c>
      <c r="J733">
        <v>0.47479674796747973</v>
      </c>
      <c r="M733" t="s">
        <v>670</v>
      </c>
      <c r="N733" t="s">
        <v>1893</v>
      </c>
      <c r="O733" t="s">
        <v>1894</v>
      </c>
      <c r="P733">
        <v>0.7</v>
      </c>
    </row>
    <row r="734" spans="1:16" x14ac:dyDescent="0.3">
      <c r="A734" t="s">
        <v>28</v>
      </c>
      <c r="B734" t="s">
        <v>20</v>
      </c>
      <c r="C734" t="s">
        <v>21</v>
      </c>
      <c r="D734" t="s">
        <v>54</v>
      </c>
      <c r="E734" t="s">
        <v>56</v>
      </c>
      <c r="F734" t="s">
        <v>7</v>
      </c>
      <c r="G734" t="s">
        <v>120</v>
      </c>
      <c r="H734" t="s">
        <v>59</v>
      </c>
      <c r="I734">
        <v>54</v>
      </c>
      <c r="J734">
        <v>0.51152073732718906</v>
      </c>
      <c r="M734" t="s">
        <v>670</v>
      </c>
      <c r="N734" t="s">
        <v>1895</v>
      </c>
      <c r="O734" t="s">
        <v>1896</v>
      </c>
      <c r="P734">
        <v>1</v>
      </c>
    </row>
    <row r="735" spans="1:16" x14ac:dyDescent="0.3">
      <c r="A735" t="s">
        <v>28</v>
      </c>
      <c r="B735" t="s">
        <v>20</v>
      </c>
      <c r="C735" t="s">
        <v>21</v>
      </c>
      <c r="D735" t="s">
        <v>54</v>
      </c>
      <c r="E735" t="s">
        <v>56</v>
      </c>
      <c r="F735" t="s">
        <v>7</v>
      </c>
      <c r="G735" t="s">
        <v>125</v>
      </c>
      <c r="H735" t="s">
        <v>59</v>
      </c>
      <c r="I735">
        <v>55</v>
      </c>
      <c r="J735">
        <v>0.53452115812917589</v>
      </c>
      <c r="M735" t="s">
        <v>670</v>
      </c>
      <c r="N735" t="s">
        <v>1897</v>
      </c>
      <c r="O735" t="s">
        <v>1898</v>
      </c>
      <c r="P735">
        <v>0.7</v>
      </c>
    </row>
    <row r="736" spans="1:16" x14ac:dyDescent="0.3">
      <c r="A736" t="s">
        <v>28</v>
      </c>
      <c r="B736" t="s">
        <v>20</v>
      </c>
      <c r="C736" t="s">
        <v>21</v>
      </c>
      <c r="D736" t="s">
        <v>54</v>
      </c>
      <c r="E736" t="s">
        <v>56</v>
      </c>
      <c r="F736" t="s">
        <v>7</v>
      </c>
      <c r="G736" t="s">
        <v>130</v>
      </c>
      <c r="H736" t="s">
        <v>59</v>
      </c>
      <c r="I736">
        <v>56</v>
      </c>
      <c r="J736">
        <v>0.73706004140786752</v>
      </c>
      <c r="M736" t="s">
        <v>670</v>
      </c>
      <c r="N736" t="s">
        <v>1899</v>
      </c>
      <c r="O736" t="s">
        <v>1900</v>
      </c>
      <c r="P736">
        <v>0.6</v>
      </c>
    </row>
    <row r="737" spans="1:16" x14ac:dyDescent="0.3">
      <c r="A737" t="s">
        <v>28</v>
      </c>
      <c r="B737" t="s">
        <v>20</v>
      </c>
      <c r="C737" t="s">
        <v>21</v>
      </c>
      <c r="D737" t="s">
        <v>54</v>
      </c>
      <c r="E737" t="s">
        <v>56</v>
      </c>
      <c r="F737" t="s">
        <v>7</v>
      </c>
      <c r="G737" t="s">
        <v>135</v>
      </c>
      <c r="H737" t="s">
        <v>59</v>
      </c>
      <c r="I737">
        <v>57</v>
      </c>
      <c r="J737">
        <v>0.54337899543378987</v>
      </c>
      <c r="M737" t="s">
        <v>670</v>
      </c>
      <c r="N737" t="s">
        <v>1901</v>
      </c>
      <c r="O737" t="s">
        <v>1902</v>
      </c>
      <c r="P737">
        <v>0.7</v>
      </c>
    </row>
    <row r="738" spans="1:16" x14ac:dyDescent="0.3">
      <c r="A738" t="s">
        <v>28</v>
      </c>
      <c r="B738" t="s">
        <v>20</v>
      </c>
      <c r="C738" t="s">
        <v>21</v>
      </c>
      <c r="D738" t="s">
        <v>54</v>
      </c>
      <c r="E738" t="s">
        <v>56</v>
      </c>
      <c r="F738" t="s">
        <v>7</v>
      </c>
      <c r="G738" t="s">
        <v>140</v>
      </c>
      <c r="H738" t="s">
        <v>59</v>
      </c>
      <c r="I738">
        <v>58</v>
      </c>
      <c r="J738">
        <v>0.73794549266247378</v>
      </c>
      <c r="M738" t="s">
        <v>670</v>
      </c>
      <c r="N738" t="s">
        <v>1903</v>
      </c>
      <c r="O738" t="s">
        <v>1904</v>
      </c>
      <c r="P738">
        <v>0.6</v>
      </c>
    </row>
    <row r="739" spans="1:16" x14ac:dyDescent="0.3">
      <c r="A739" t="s">
        <v>28</v>
      </c>
      <c r="B739" t="s">
        <v>20</v>
      </c>
      <c r="C739" t="s">
        <v>21</v>
      </c>
      <c r="D739" t="s">
        <v>54</v>
      </c>
      <c r="E739" t="s">
        <v>56</v>
      </c>
      <c r="F739" t="s">
        <v>7</v>
      </c>
      <c r="G739" t="s">
        <v>145</v>
      </c>
      <c r="H739" t="s">
        <v>59</v>
      </c>
      <c r="I739">
        <v>59</v>
      </c>
      <c r="J739">
        <v>0.71900826446280985</v>
      </c>
      <c r="M739" t="s">
        <v>670</v>
      </c>
      <c r="N739" t="s">
        <v>1905</v>
      </c>
      <c r="O739" t="s">
        <v>1906</v>
      </c>
      <c r="P739">
        <v>0.6</v>
      </c>
    </row>
    <row r="740" spans="1:16" x14ac:dyDescent="0.3">
      <c r="A740" t="s">
        <v>28</v>
      </c>
      <c r="B740" t="s">
        <v>20</v>
      </c>
      <c r="C740" t="s">
        <v>21</v>
      </c>
      <c r="D740" t="s">
        <v>54</v>
      </c>
      <c r="E740" t="s">
        <v>56</v>
      </c>
      <c r="F740" t="s">
        <v>7</v>
      </c>
      <c r="G740" t="s">
        <v>150</v>
      </c>
      <c r="H740" t="s">
        <v>59</v>
      </c>
      <c r="I740">
        <v>60</v>
      </c>
      <c r="J740">
        <v>0.59245283018867922</v>
      </c>
      <c r="M740" t="s">
        <v>670</v>
      </c>
      <c r="N740" t="s">
        <v>1907</v>
      </c>
      <c r="O740" t="s">
        <v>1908</v>
      </c>
      <c r="P740">
        <v>0.9</v>
      </c>
    </row>
    <row r="741" spans="1:16" x14ac:dyDescent="0.3">
      <c r="A741" t="s">
        <v>28</v>
      </c>
      <c r="B741" t="s">
        <v>20</v>
      </c>
      <c r="C741" t="s">
        <v>21</v>
      </c>
      <c r="D741" t="s">
        <v>54</v>
      </c>
      <c r="E741" t="s">
        <v>56</v>
      </c>
      <c r="F741" t="s">
        <v>7</v>
      </c>
      <c r="G741" t="s">
        <v>155</v>
      </c>
      <c r="H741" t="s">
        <v>59</v>
      </c>
      <c r="I741">
        <v>61</v>
      </c>
      <c r="J741">
        <v>0.52868852459016391</v>
      </c>
      <c r="M741" t="s">
        <v>670</v>
      </c>
      <c r="N741" t="s">
        <v>1909</v>
      </c>
      <c r="O741" t="s">
        <v>1910</v>
      </c>
      <c r="P741">
        <v>0.7</v>
      </c>
    </row>
    <row r="742" spans="1:16" x14ac:dyDescent="0.3">
      <c r="A742" t="s">
        <v>28</v>
      </c>
      <c r="B742" t="s">
        <v>20</v>
      </c>
      <c r="C742" t="s">
        <v>21</v>
      </c>
      <c r="D742" t="s">
        <v>54</v>
      </c>
      <c r="E742" t="s">
        <v>160</v>
      </c>
      <c r="F742" t="s">
        <v>3</v>
      </c>
      <c r="G742" t="s">
        <v>161</v>
      </c>
      <c r="H742" t="s">
        <v>163</v>
      </c>
      <c r="I742">
        <v>42</v>
      </c>
      <c r="J742">
        <v>0.45014245014245008</v>
      </c>
      <c r="M742" t="s">
        <v>670</v>
      </c>
      <c r="N742" t="s">
        <v>1911</v>
      </c>
      <c r="O742" t="s">
        <v>1912</v>
      </c>
      <c r="P742">
        <v>0.8</v>
      </c>
    </row>
    <row r="743" spans="1:16" x14ac:dyDescent="0.3">
      <c r="A743" t="s">
        <v>28</v>
      </c>
      <c r="B743" t="s">
        <v>20</v>
      </c>
      <c r="C743" t="s">
        <v>21</v>
      </c>
      <c r="D743" t="s">
        <v>54</v>
      </c>
      <c r="E743" t="s">
        <v>160</v>
      </c>
      <c r="F743" t="s">
        <v>3</v>
      </c>
      <c r="G743" t="s">
        <v>167</v>
      </c>
      <c r="H743" t="s">
        <v>163</v>
      </c>
      <c r="I743">
        <v>43</v>
      </c>
      <c r="J743">
        <v>0.60773480662983426</v>
      </c>
      <c r="M743" t="s">
        <v>670</v>
      </c>
      <c r="N743" t="s">
        <v>1913</v>
      </c>
      <c r="O743" t="s">
        <v>1914</v>
      </c>
      <c r="P743">
        <v>0.6</v>
      </c>
    </row>
    <row r="744" spans="1:16" x14ac:dyDescent="0.3">
      <c r="A744" t="s">
        <v>28</v>
      </c>
      <c r="B744" t="s">
        <v>20</v>
      </c>
      <c r="C744" t="s">
        <v>21</v>
      </c>
      <c r="D744" t="s">
        <v>54</v>
      </c>
      <c r="E744" t="s">
        <v>160</v>
      </c>
      <c r="F744" t="s">
        <v>3</v>
      </c>
      <c r="G744" t="s">
        <v>172</v>
      </c>
      <c r="H744" t="s">
        <v>163</v>
      </c>
      <c r="I744">
        <v>44</v>
      </c>
      <c r="J744">
        <v>0.58133333333333337</v>
      </c>
      <c r="M744" t="s">
        <v>670</v>
      </c>
      <c r="N744" t="s">
        <v>1915</v>
      </c>
      <c r="O744" t="s">
        <v>1916</v>
      </c>
      <c r="P744">
        <v>1</v>
      </c>
    </row>
    <row r="745" spans="1:16" x14ac:dyDescent="0.3">
      <c r="A745" t="s">
        <v>28</v>
      </c>
      <c r="B745" t="s">
        <v>20</v>
      </c>
      <c r="C745" t="s">
        <v>21</v>
      </c>
      <c r="D745" t="s">
        <v>54</v>
      </c>
      <c r="E745" t="s">
        <v>160</v>
      </c>
      <c r="F745" t="s">
        <v>3</v>
      </c>
      <c r="G745" t="s">
        <v>177</v>
      </c>
      <c r="H745" t="s">
        <v>163</v>
      </c>
      <c r="I745">
        <v>45</v>
      </c>
      <c r="J745">
        <v>0.67024128686327078</v>
      </c>
      <c r="M745" t="s">
        <v>670</v>
      </c>
      <c r="N745" t="s">
        <v>1917</v>
      </c>
      <c r="O745" t="s">
        <v>1918</v>
      </c>
      <c r="P745">
        <v>0.6</v>
      </c>
    </row>
    <row r="746" spans="1:16" x14ac:dyDescent="0.3">
      <c r="A746" t="s">
        <v>28</v>
      </c>
      <c r="B746" t="s">
        <v>20</v>
      </c>
      <c r="C746" t="s">
        <v>21</v>
      </c>
      <c r="D746" t="s">
        <v>54</v>
      </c>
      <c r="E746" t="s">
        <v>160</v>
      </c>
      <c r="F746" t="s">
        <v>3</v>
      </c>
      <c r="G746" t="s">
        <v>182</v>
      </c>
      <c r="H746" t="s">
        <v>163</v>
      </c>
      <c r="I746">
        <v>46</v>
      </c>
      <c r="J746">
        <v>0.74316939890710376</v>
      </c>
      <c r="M746" t="s">
        <v>670</v>
      </c>
      <c r="N746" t="s">
        <v>1919</v>
      </c>
      <c r="O746" t="s">
        <v>1920</v>
      </c>
      <c r="P746">
        <v>2.5</v>
      </c>
    </row>
    <row r="747" spans="1:16" x14ac:dyDescent="0.3">
      <c r="A747" t="s">
        <v>28</v>
      </c>
      <c r="B747" t="s">
        <v>20</v>
      </c>
      <c r="C747" t="s">
        <v>21</v>
      </c>
      <c r="D747" t="s">
        <v>54</v>
      </c>
      <c r="E747" t="s">
        <v>160</v>
      </c>
      <c r="F747" t="s">
        <v>3</v>
      </c>
      <c r="G747" t="s">
        <v>187</v>
      </c>
      <c r="H747" t="s">
        <v>163</v>
      </c>
      <c r="I747">
        <v>47</v>
      </c>
      <c r="J747">
        <v>0.76373626373626369</v>
      </c>
      <c r="M747" t="s">
        <v>670</v>
      </c>
      <c r="N747" t="s">
        <v>1921</v>
      </c>
      <c r="O747" t="s">
        <v>1922</v>
      </c>
      <c r="P747">
        <v>0.6</v>
      </c>
    </row>
    <row r="748" spans="1:16" x14ac:dyDescent="0.3">
      <c r="A748" t="s">
        <v>28</v>
      </c>
      <c r="B748" t="s">
        <v>20</v>
      </c>
      <c r="C748" t="s">
        <v>21</v>
      </c>
      <c r="D748" t="s">
        <v>54</v>
      </c>
      <c r="E748" t="s">
        <v>160</v>
      </c>
      <c r="F748" t="s">
        <v>3</v>
      </c>
      <c r="G748" t="s">
        <v>192</v>
      </c>
      <c r="H748" t="s">
        <v>163</v>
      </c>
      <c r="I748">
        <v>48</v>
      </c>
      <c r="J748">
        <v>0.70985915492957752</v>
      </c>
      <c r="M748" t="s">
        <v>670</v>
      </c>
      <c r="N748" t="s">
        <v>1923</v>
      </c>
      <c r="O748" t="s">
        <v>1924</v>
      </c>
      <c r="P748">
        <v>0.6</v>
      </c>
    </row>
    <row r="749" spans="1:16" x14ac:dyDescent="0.3">
      <c r="A749" t="s">
        <v>28</v>
      </c>
      <c r="B749" t="s">
        <v>20</v>
      </c>
      <c r="C749" t="s">
        <v>21</v>
      </c>
      <c r="D749" t="s">
        <v>54</v>
      </c>
      <c r="E749" t="s">
        <v>160</v>
      </c>
      <c r="F749" t="s">
        <v>3</v>
      </c>
      <c r="G749" t="s">
        <v>197</v>
      </c>
      <c r="H749" t="s">
        <v>163</v>
      </c>
      <c r="I749">
        <v>49</v>
      </c>
      <c r="J749">
        <v>0.40883977900552487</v>
      </c>
      <c r="M749" t="s">
        <v>670</v>
      </c>
      <c r="N749" t="s">
        <v>1925</v>
      </c>
      <c r="O749" t="s">
        <v>1926</v>
      </c>
      <c r="P749">
        <v>0.9</v>
      </c>
    </row>
    <row r="750" spans="1:16" x14ac:dyDescent="0.3">
      <c r="A750" t="s">
        <v>28</v>
      </c>
      <c r="B750" t="s">
        <v>20</v>
      </c>
      <c r="C750" t="s">
        <v>21</v>
      </c>
      <c r="D750" t="s">
        <v>54</v>
      </c>
      <c r="E750" t="s">
        <v>160</v>
      </c>
      <c r="F750" t="s">
        <v>3</v>
      </c>
      <c r="G750" t="s">
        <v>202</v>
      </c>
      <c r="H750" t="s">
        <v>163</v>
      </c>
      <c r="I750">
        <v>50</v>
      </c>
      <c r="J750">
        <v>0.72941176470588232</v>
      </c>
      <c r="M750" t="s">
        <v>670</v>
      </c>
      <c r="N750" t="s">
        <v>1927</v>
      </c>
      <c r="O750" t="s">
        <v>1928</v>
      </c>
      <c r="P750">
        <v>0.6</v>
      </c>
    </row>
    <row r="751" spans="1:16" x14ac:dyDescent="0.3">
      <c r="A751" t="s">
        <v>28</v>
      </c>
      <c r="B751" t="s">
        <v>20</v>
      </c>
      <c r="C751" t="s">
        <v>21</v>
      </c>
      <c r="D751" t="s">
        <v>54</v>
      </c>
      <c r="E751" t="s">
        <v>160</v>
      </c>
      <c r="F751" t="s">
        <v>3</v>
      </c>
      <c r="G751" t="s">
        <v>207</v>
      </c>
      <c r="H751" t="s">
        <v>163</v>
      </c>
      <c r="I751">
        <v>51</v>
      </c>
      <c r="J751">
        <v>0.74094707520891367</v>
      </c>
      <c r="M751" t="s">
        <v>670</v>
      </c>
      <c r="N751" t="s">
        <v>1929</v>
      </c>
      <c r="O751" t="s">
        <v>1930</v>
      </c>
      <c r="P751">
        <v>0.6</v>
      </c>
    </row>
    <row r="752" spans="1:16" x14ac:dyDescent="0.3">
      <c r="A752" t="s">
        <v>28</v>
      </c>
      <c r="B752" t="s">
        <v>20</v>
      </c>
      <c r="C752" t="s">
        <v>21</v>
      </c>
      <c r="D752" t="s">
        <v>54</v>
      </c>
      <c r="E752" t="s">
        <v>160</v>
      </c>
      <c r="F752" t="s">
        <v>3</v>
      </c>
      <c r="G752" t="s">
        <v>212</v>
      </c>
      <c r="H752" t="s">
        <v>163</v>
      </c>
      <c r="I752">
        <v>52</v>
      </c>
      <c r="J752">
        <v>0.56521739130434789</v>
      </c>
      <c r="M752" t="s">
        <v>670</v>
      </c>
      <c r="N752" t="s">
        <v>1931</v>
      </c>
      <c r="O752" t="s">
        <v>1932</v>
      </c>
      <c r="P752">
        <v>0.6</v>
      </c>
    </row>
    <row r="753" spans="1:16" x14ac:dyDescent="0.3">
      <c r="A753" t="s">
        <v>28</v>
      </c>
      <c r="B753" t="s">
        <v>20</v>
      </c>
      <c r="C753" t="s">
        <v>21</v>
      </c>
      <c r="D753" t="s">
        <v>54</v>
      </c>
      <c r="E753" t="s">
        <v>160</v>
      </c>
      <c r="F753" t="s">
        <v>3</v>
      </c>
      <c r="G753" t="s">
        <v>217</v>
      </c>
      <c r="H753" t="s">
        <v>163</v>
      </c>
      <c r="I753">
        <v>53</v>
      </c>
      <c r="J753">
        <v>0.70523415977961423</v>
      </c>
      <c r="M753" t="s">
        <v>670</v>
      </c>
      <c r="N753" t="s">
        <v>1933</v>
      </c>
      <c r="O753" t="s">
        <v>1934</v>
      </c>
      <c r="P753">
        <v>0.7</v>
      </c>
    </row>
    <row r="754" spans="1:16" x14ac:dyDescent="0.3">
      <c r="A754" t="s">
        <v>28</v>
      </c>
      <c r="B754" t="s">
        <v>20</v>
      </c>
      <c r="C754" t="s">
        <v>21</v>
      </c>
      <c r="D754" t="s">
        <v>54</v>
      </c>
      <c r="E754" t="s">
        <v>160</v>
      </c>
      <c r="F754" t="s">
        <v>3</v>
      </c>
      <c r="G754" t="s">
        <v>222</v>
      </c>
      <c r="H754" t="s">
        <v>163</v>
      </c>
      <c r="I754">
        <v>54</v>
      </c>
      <c r="J754">
        <v>0.72980501392757657</v>
      </c>
      <c r="M754" t="s">
        <v>670</v>
      </c>
      <c r="N754" t="s">
        <v>1935</v>
      </c>
      <c r="O754" t="s">
        <v>1936</v>
      </c>
      <c r="P754">
        <v>0.7</v>
      </c>
    </row>
    <row r="755" spans="1:16" x14ac:dyDescent="0.3">
      <c r="A755" t="s">
        <v>28</v>
      </c>
      <c r="B755" t="s">
        <v>20</v>
      </c>
      <c r="C755" t="s">
        <v>21</v>
      </c>
      <c r="D755" t="s">
        <v>54</v>
      </c>
      <c r="E755" t="s">
        <v>160</v>
      </c>
      <c r="F755" t="s">
        <v>3</v>
      </c>
      <c r="G755" t="s">
        <v>227</v>
      </c>
      <c r="H755" t="s">
        <v>163</v>
      </c>
      <c r="I755">
        <v>55</v>
      </c>
      <c r="J755">
        <v>0.75616438356164384</v>
      </c>
      <c r="M755" t="s">
        <v>670</v>
      </c>
      <c r="N755" t="s">
        <v>1937</v>
      </c>
      <c r="O755" t="s">
        <v>1938</v>
      </c>
      <c r="P755">
        <v>0.6</v>
      </c>
    </row>
    <row r="756" spans="1:16" x14ac:dyDescent="0.3">
      <c r="A756" t="s">
        <v>28</v>
      </c>
      <c r="B756" t="s">
        <v>20</v>
      </c>
      <c r="C756" t="s">
        <v>21</v>
      </c>
      <c r="D756" t="s">
        <v>54</v>
      </c>
      <c r="E756" t="s">
        <v>160</v>
      </c>
      <c r="F756" t="s">
        <v>3</v>
      </c>
      <c r="G756" t="s">
        <v>232</v>
      </c>
      <c r="H756" t="s">
        <v>163</v>
      </c>
      <c r="I756">
        <v>56</v>
      </c>
      <c r="J756">
        <v>0.72625698324022347</v>
      </c>
      <c r="M756" t="s">
        <v>670</v>
      </c>
      <c r="N756" t="s">
        <v>1939</v>
      </c>
      <c r="O756" t="s">
        <v>1940</v>
      </c>
      <c r="P756">
        <v>0.6</v>
      </c>
    </row>
    <row r="757" spans="1:16" x14ac:dyDescent="0.3">
      <c r="A757" t="s">
        <v>28</v>
      </c>
      <c r="B757" t="s">
        <v>20</v>
      </c>
      <c r="C757" t="s">
        <v>21</v>
      </c>
      <c r="D757" t="s">
        <v>54</v>
      </c>
      <c r="E757" t="s">
        <v>160</v>
      </c>
      <c r="F757" t="s">
        <v>3</v>
      </c>
      <c r="G757" t="s">
        <v>237</v>
      </c>
      <c r="H757" t="s">
        <v>163</v>
      </c>
      <c r="I757">
        <v>57</v>
      </c>
      <c r="J757">
        <v>0.73829201101928377</v>
      </c>
      <c r="M757" t="s">
        <v>670</v>
      </c>
      <c r="N757" t="s">
        <v>1941</v>
      </c>
      <c r="O757" t="s">
        <v>1942</v>
      </c>
      <c r="P757">
        <v>0.6</v>
      </c>
    </row>
    <row r="758" spans="1:16" x14ac:dyDescent="0.3">
      <c r="A758" t="s">
        <v>28</v>
      </c>
      <c r="B758" t="s">
        <v>20</v>
      </c>
      <c r="C758" t="s">
        <v>21</v>
      </c>
      <c r="D758" t="s">
        <v>54</v>
      </c>
      <c r="E758" t="s">
        <v>160</v>
      </c>
      <c r="F758" t="s">
        <v>3</v>
      </c>
      <c r="G758" t="s">
        <v>242</v>
      </c>
      <c r="H758" t="s">
        <v>163</v>
      </c>
      <c r="I758">
        <v>58</v>
      </c>
      <c r="J758">
        <v>0.51474530831099208</v>
      </c>
      <c r="M758" t="s">
        <v>670</v>
      </c>
      <c r="N758" t="s">
        <v>1943</v>
      </c>
      <c r="O758" t="s">
        <v>1944</v>
      </c>
      <c r="P758">
        <v>0.6</v>
      </c>
    </row>
    <row r="759" spans="1:16" x14ac:dyDescent="0.3">
      <c r="A759" t="s">
        <v>28</v>
      </c>
      <c r="B759" t="s">
        <v>20</v>
      </c>
      <c r="C759" t="s">
        <v>21</v>
      </c>
      <c r="D759" t="s">
        <v>54</v>
      </c>
      <c r="E759" t="s">
        <v>160</v>
      </c>
      <c r="F759" t="s">
        <v>3</v>
      </c>
      <c r="G759" t="s">
        <v>247</v>
      </c>
      <c r="H759" t="s">
        <v>163</v>
      </c>
      <c r="I759">
        <v>59</v>
      </c>
      <c r="J759">
        <v>0.50645994832041352</v>
      </c>
      <c r="M759" t="s">
        <v>670</v>
      </c>
      <c r="N759" t="s">
        <v>1945</v>
      </c>
      <c r="O759" t="s">
        <v>1946</v>
      </c>
      <c r="P759">
        <v>0.6</v>
      </c>
    </row>
    <row r="760" spans="1:16" x14ac:dyDescent="0.3">
      <c r="A760" t="s">
        <v>28</v>
      </c>
      <c r="B760" t="s">
        <v>20</v>
      </c>
      <c r="C760" t="s">
        <v>21</v>
      </c>
      <c r="D760" t="s">
        <v>54</v>
      </c>
      <c r="E760" t="s">
        <v>160</v>
      </c>
      <c r="F760" t="s">
        <v>3</v>
      </c>
      <c r="G760" t="s">
        <v>252</v>
      </c>
      <c r="H760" t="s">
        <v>163</v>
      </c>
      <c r="I760">
        <v>60</v>
      </c>
      <c r="J760">
        <v>0.57446808510638303</v>
      </c>
      <c r="M760" t="s">
        <v>670</v>
      </c>
      <c r="N760" t="s">
        <v>1947</v>
      </c>
      <c r="O760" t="s">
        <v>1948</v>
      </c>
      <c r="P760">
        <v>0.7</v>
      </c>
    </row>
    <row r="761" spans="1:16" x14ac:dyDescent="0.3">
      <c r="A761" t="s">
        <v>28</v>
      </c>
      <c r="B761" t="s">
        <v>20</v>
      </c>
      <c r="C761" t="s">
        <v>21</v>
      </c>
      <c r="D761" t="s">
        <v>54</v>
      </c>
      <c r="E761" t="s">
        <v>160</v>
      </c>
      <c r="F761" t="s">
        <v>3</v>
      </c>
      <c r="G761" t="s">
        <v>257</v>
      </c>
      <c r="H761" t="s">
        <v>163</v>
      </c>
      <c r="I761">
        <v>61</v>
      </c>
      <c r="J761">
        <v>0.7189189189189189</v>
      </c>
      <c r="M761" t="s">
        <v>670</v>
      </c>
      <c r="N761" t="s">
        <v>1949</v>
      </c>
      <c r="O761" t="s">
        <v>1950</v>
      </c>
      <c r="P761">
        <v>0.6</v>
      </c>
    </row>
    <row r="762" spans="1:16" x14ac:dyDescent="0.3">
      <c r="A762" t="s">
        <v>28</v>
      </c>
      <c r="B762" t="s">
        <v>20</v>
      </c>
      <c r="C762" t="s">
        <v>21</v>
      </c>
      <c r="D762" t="s">
        <v>54</v>
      </c>
      <c r="E762" t="s">
        <v>262</v>
      </c>
      <c r="F762" t="s">
        <v>5</v>
      </c>
      <c r="G762" t="s">
        <v>263</v>
      </c>
      <c r="H762" t="s">
        <v>265</v>
      </c>
      <c r="I762">
        <v>42</v>
      </c>
      <c r="J762">
        <v>0.56587473002159827</v>
      </c>
      <c r="M762" t="s">
        <v>670</v>
      </c>
      <c r="N762" t="s">
        <v>1951</v>
      </c>
      <c r="O762" t="s">
        <v>1952</v>
      </c>
      <c r="P762">
        <v>0.7</v>
      </c>
    </row>
    <row r="763" spans="1:16" x14ac:dyDescent="0.3">
      <c r="A763" t="s">
        <v>28</v>
      </c>
      <c r="B763" t="s">
        <v>20</v>
      </c>
      <c r="C763" t="s">
        <v>21</v>
      </c>
      <c r="D763" t="s">
        <v>54</v>
      </c>
      <c r="E763" t="s">
        <v>262</v>
      </c>
      <c r="F763" t="s">
        <v>5</v>
      </c>
      <c r="G763" t="s">
        <v>269</v>
      </c>
      <c r="H763" t="s">
        <v>265</v>
      </c>
      <c r="I763">
        <v>43</v>
      </c>
      <c r="J763">
        <v>0.43146067415730338</v>
      </c>
      <c r="M763" t="s">
        <v>670</v>
      </c>
      <c r="N763" t="s">
        <v>1953</v>
      </c>
      <c r="O763" t="s">
        <v>1954</v>
      </c>
      <c r="P763">
        <v>0.6</v>
      </c>
    </row>
    <row r="764" spans="1:16" x14ac:dyDescent="0.3">
      <c r="A764" t="s">
        <v>28</v>
      </c>
      <c r="B764" t="s">
        <v>20</v>
      </c>
      <c r="C764" t="s">
        <v>21</v>
      </c>
      <c r="D764" t="s">
        <v>54</v>
      </c>
      <c r="E764" t="s">
        <v>262</v>
      </c>
      <c r="F764" t="s">
        <v>5</v>
      </c>
      <c r="G764" t="s">
        <v>274</v>
      </c>
      <c r="H764" t="s">
        <v>265</v>
      </c>
      <c r="I764">
        <v>44</v>
      </c>
      <c r="J764">
        <v>0.47659574468085097</v>
      </c>
      <c r="M764" t="s">
        <v>670</v>
      </c>
      <c r="N764" t="s">
        <v>1955</v>
      </c>
      <c r="O764" t="s">
        <v>1956</v>
      </c>
      <c r="P764">
        <v>0.7</v>
      </c>
    </row>
    <row r="765" spans="1:16" x14ac:dyDescent="0.3">
      <c r="A765" t="s">
        <v>28</v>
      </c>
      <c r="B765" t="s">
        <v>20</v>
      </c>
      <c r="C765" t="s">
        <v>21</v>
      </c>
      <c r="D765" t="s">
        <v>54</v>
      </c>
      <c r="E765" t="s">
        <v>262</v>
      </c>
      <c r="F765" t="s">
        <v>5</v>
      </c>
      <c r="G765" t="s">
        <v>279</v>
      </c>
      <c r="H765" t="s">
        <v>265</v>
      </c>
      <c r="I765">
        <v>45</v>
      </c>
      <c r="J765">
        <v>0.7543103448275863</v>
      </c>
      <c r="M765" t="s">
        <v>670</v>
      </c>
      <c r="N765" t="s">
        <v>1957</v>
      </c>
      <c r="O765" t="s">
        <v>1958</v>
      </c>
      <c r="P765">
        <v>0.9</v>
      </c>
    </row>
    <row r="766" spans="1:16" x14ac:dyDescent="0.3">
      <c r="A766" t="s">
        <v>28</v>
      </c>
      <c r="B766" t="s">
        <v>20</v>
      </c>
      <c r="C766" t="s">
        <v>21</v>
      </c>
      <c r="D766" t="s">
        <v>54</v>
      </c>
      <c r="E766" t="s">
        <v>262</v>
      </c>
      <c r="F766" t="s">
        <v>5</v>
      </c>
      <c r="G766" t="s">
        <v>284</v>
      </c>
      <c r="H766" t="s">
        <v>265</v>
      </c>
      <c r="I766">
        <v>46</v>
      </c>
      <c r="J766">
        <v>0.75488069414316694</v>
      </c>
      <c r="M766" t="s">
        <v>670</v>
      </c>
      <c r="N766" t="s">
        <v>1959</v>
      </c>
      <c r="O766" t="s">
        <v>1960</v>
      </c>
      <c r="P766">
        <v>0.6</v>
      </c>
    </row>
    <row r="767" spans="1:16" x14ac:dyDescent="0.3">
      <c r="A767" t="s">
        <v>28</v>
      </c>
      <c r="B767" t="s">
        <v>20</v>
      </c>
      <c r="C767" t="s">
        <v>21</v>
      </c>
      <c r="D767" t="s">
        <v>54</v>
      </c>
      <c r="E767" t="s">
        <v>262</v>
      </c>
      <c r="F767" t="s">
        <v>5</v>
      </c>
      <c r="G767" t="s">
        <v>289</v>
      </c>
      <c r="H767" t="s">
        <v>265</v>
      </c>
      <c r="I767">
        <v>47</v>
      </c>
      <c r="J767">
        <v>0.73504273504273498</v>
      </c>
      <c r="M767" t="s">
        <v>670</v>
      </c>
      <c r="N767" t="s">
        <v>1961</v>
      </c>
      <c r="O767" t="s">
        <v>1962</v>
      </c>
      <c r="P767">
        <v>0.6</v>
      </c>
    </row>
    <row r="768" spans="1:16" x14ac:dyDescent="0.3">
      <c r="A768" t="s">
        <v>28</v>
      </c>
      <c r="B768" t="s">
        <v>20</v>
      </c>
      <c r="C768" t="s">
        <v>21</v>
      </c>
      <c r="D768" t="s">
        <v>54</v>
      </c>
      <c r="E768" t="s">
        <v>262</v>
      </c>
      <c r="F768" t="s">
        <v>5</v>
      </c>
      <c r="G768" t="s">
        <v>294</v>
      </c>
      <c r="H768" t="s">
        <v>265</v>
      </c>
      <c r="I768">
        <v>48</v>
      </c>
      <c r="J768">
        <v>0.4915966386554621</v>
      </c>
      <c r="M768" t="s">
        <v>670</v>
      </c>
      <c r="N768" t="s">
        <v>1963</v>
      </c>
      <c r="O768" t="s">
        <v>1964</v>
      </c>
      <c r="P768">
        <v>0.7</v>
      </c>
    </row>
    <row r="769" spans="1:16" x14ac:dyDescent="0.3">
      <c r="A769" t="s">
        <v>28</v>
      </c>
      <c r="B769" t="s">
        <v>20</v>
      </c>
      <c r="C769" t="s">
        <v>21</v>
      </c>
      <c r="D769" t="s">
        <v>54</v>
      </c>
      <c r="E769" t="s">
        <v>262</v>
      </c>
      <c r="F769" t="s">
        <v>5</v>
      </c>
      <c r="G769" t="s">
        <v>299</v>
      </c>
      <c r="H769" t="s">
        <v>265</v>
      </c>
      <c r="I769">
        <v>49</v>
      </c>
      <c r="J769">
        <v>0.76252723311546833</v>
      </c>
      <c r="M769" t="s">
        <v>670</v>
      </c>
      <c r="N769" t="s">
        <v>1965</v>
      </c>
      <c r="O769" t="s">
        <v>1966</v>
      </c>
      <c r="P769">
        <v>0.7</v>
      </c>
    </row>
    <row r="770" spans="1:16" x14ac:dyDescent="0.3">
      <c r="A770" t="s">
        <v>28</v>
      </c>
      <c r="B770" t="s">
        <v>20</v>
      </c>
      <c r="C770" t="s">
        <v>21</v>
      </c>
      <c r="D770" t="s">
        <v>54</v>
      </c>
      <c r="E770" t="s">
        <v>262</v>
      </c>
      <c r="F770" t="s">
        <v>5</v>
      </c>
      <c r="G770" t="s">
        <v>304</v>
      </c>
      <c r="H770" t="s">
        <v>265</v>
      </c>
      <c r="I770">
        <v>50</v>
      </c>
      <c r="J770">
        <v>0.50105263157894742</v>
      </c>
      <c r="M770" t="s">
        <v>670</v>
      </c>
      <c r="N770" t="s">
        <v>1967</v>
      </c>
      <c r="O770" t="s">
        <v>1968</v>
      </c>
      <c r="P770">
        <v>0.6</v>
      </c>
    </row>
    <row r="771" spans="1:16" x14ac:dyDescent="0.3">
      <c r="A771" t="s">
        <v>28</v>
      </c>
      <c r="B771" t="s">
        <v>20</v>
      </c>
      <c r="C771" t="s">
        <v>21</v>
      </c>
      <c r="D771" t="s">
        <v>54</v>
      </c>
      <c r="E771" t="s">
        <v>262</v>
      </c>
      <c r="F771" t="s">
        <v>5</v>
      </c>
      <c r="G771" t="s">
        <v>309</v>
      </c>
      <c r="H771" t="s">
        <v>265</v>
      </c>
      <c r="I771">
        <v>51</v>
      </c>
      <c r="J771">
        <v>0.73617021276595751</v>
      </c>
      <c r="M771" t="s">
        <v>670</v>
      </c>
      <c r="N771" t="s">
        <v>1969</v>
      </c>
      <c r="O771" t="s">
        <v>1970</v>
      </c>
      <c r="P771">
        <v>0.6</v>
      </c>
    </row>
    <row r="772" spans="1:16" x14ac:dyDescent="0.3">
      <c r="A772" t="s">
        <v>28</v>
      </c>
      <c r="B772" t="s">
        <v>20</v>
      </c>
      <c r="C772" t="s">
        <v>21</v>
      </c>
      <c r="D772" t="s">
        <v>54</v>
      </c>
      <c r="E772" t="s">
        <v>262</v>
      </c>
      <c r="F772" t="s">
        <v>5</v>
      </c>
      <c r="G772" t="s">
        <v>314</v>
      </c>
      <c r="H772" t="s">
        <v>265</v>
      </c>
      <c r="I772">
        <v>52</v>
      </c>
      <c r="J772">
        <v>0.45433255269320838</v>
      </c>
      <c r="M772" t="s">
        <v>670</v>
      </c>
      <c r="N772" t="s">
        <v>1971</v>
      </c>
      <c r="O772" t="s">
        <v>1972</v>
      </c>
      <c r="P772">
        <v>0.7</v>
      </c>
    </row>
    <row r="773" spans="1:16" x14ac:dyDescent="0.3">
      <c r="A773" t="s">
        <v>28</v>
      </c>
      <c r="B773" t="s">
        <v>20</v>
      </c>
      <c r="C773" t="s">
        <v>21</v>
      </c>
      <c r="D773" t="s">
        <v>54</v>
      </c>
      <c r="E773" t="s">
        <v>262</v>
      </c>
      <c r="F773" t="s">
        <v>5</v>
      </c>
      <c r="G773" t="s">
        <v>319</v>
      </c>
      <c r="H773" t="s">
        <v>265</v>
      </c>
      <c r="I773">
        <v>53</v>
      </c>
      <c r="J773">
        <v>0.78431372549019607</v>
      </c>
      <c r="M773" t="s">
        <v>670</v>
      </c>
      <c r="N773" t="s">
        <v>1973</v>
      </c>
      <c r="O773" t="s">
        <v>1974</v>
      </c>
      <c r="P773">
        <v>0.8</v>
      </c>
    </row>
    <row r="774" spans="1:16" x14ac:dyDescent="0.3">
      <c r="A774" t="s">
        <v>28</v>
      </c>
      <c r="B774" t="s">
        <v>20</v>
      </c>
      <c r="C774" t="s">
        <v>21</v>
      </c>
      <c r="D774" t="s">
        <v>54</v>
      </c>
      <c r="E774" t="s">
        <v>262</v>
      </c>
      <c r="F774" t="s">
        <v>5</v>
      </c>
      <c r="G774" t="s">
        <v>324</v>
      </c>
      <c r="H774" t="s">
        <v>265</v>
      </c>
      <c r="I774">
        <v>54</v>
      </c>
      <c r="J774">
        <v>0.71042471042471034</v>
      </c>
      <c r="M774" t="s">
        <v>670</v>
      </c>
      <c r="N774" t="s">
        <v>1975</v>
      </c>
      <c r="O774" t="s">
        <v>1976</v>
      </c>
      <c r="P774">
        <v>0.6</v>
      </c>
    </row>
    <row r="775" spans="1:16" x14ac:dyDescent="0.3">
      <c r="A775" t="s">
        <v>28</v>
      </c>
      <c r="B775" t="s">
        <v>20</v>
      </c>
      <c r="C775" t="s">
        <v>21</v>
      </c>
      <c r="D775" t="s">
        <v>54</v>
      </c>
      <c r="E775" t="s">
        <v>262</v>
      </c>
      <c r="F775" t="s">
        <v>5</v>
      </c>
      <c r="G775" t="s">
        <v>329</v>
      </c>
      <c r="H775" t="s">
        <v>265</v>
      </c>
      <c r="I775">
        <v>55</v>
      </c>
      <c r="J775">
        <v>0.4</v>
      </c>
      <c r="M775" t="s">
        <v>670</v>
      </c>
      <c r="N775" t="s">
        <v>1977</v>
      </c>
      <c r="O775" t="s">
        <v>1978</v>
      </c>
      <c r="P775">
        <v>1.9</v>
      </c>
    </row>
    <row r="776" spans="1:16" x14ac:dyDescent="0.3">
      <c r="A776" t="s">
        <v>28</v>
      </c>
      <c r="B776" t="s">
        <v>20</v>
      </c>
      <c r="C776" t="s">
        <v>21</v>
      </c>
      <c r="D776" t="s">
        <v>54</v>
      </c>
      <c r="E776" t="s">
        <v>262</v>
      </c>
      <c r="F776" t="s">
        <v>5</v>
      </c>
      <c r="G776" t="s">
        <v>334</v>
      </c>
      <c r="H776" t="s">
        <v>265</v>
      </c>
      <c r="I776">
        <v>56</v>
      </c>
      <c r="J776">
        <v>0.42754662840746049</v>
      </c>
      <c r="M776" t="s">
        <v>670</v>
      </c>
      <c r="N776" t="s">
        <v>1979</v>
      </c>
      <c r="O776" t="s">
        <v>1980</v>
      </c>
      <c r="P776">
        <v>0.6</v>
      </c>
    </row>
    <row r="777" spans="1:16" x14ac:dyDescent="0.3">
      <c r="A777" t="s">
        <v>28</v>
      </c>
      <c r="B777" t="s">
        <v>20</v>
      </c>
      <c r="C777" t="s">
        <v>21</v>
      </c>
      <c r="D777" t="s">
        <v>54</v>
      </c>
      <c r="E777" t="s">
        <v>262</v>
      </c>
      <c r="F777" t="s">
        <v>5</v>
      </c>
      <c r="G777" t="s">
        <v>339</v>
      </c>
      <c r="H777" t="s">
        <v>265</v>
      </c>
      <c r="I777">
        <v>57</v>
      </c>
      <c r="J777">
        <v>0.76483516483516489</v>
      </c>
      <c r="M777" t="s">
        <v>670</v>
      </c>
      <c r="N777" t="s">
        <v>1981</v>
      </c>
      <c r="O777" t="s">
        <v>1982</v>
      </c>
      <c r="P777">
        <v>0.7</v>
      </c>
    </row>
    <row r="778" spans="1:16" x14ac:dyDescent="0.3">
      <c r="A778" t="s">
        <v>28</v>
      </c>
      <c r="B778" t="s">
        <v>20</v>
      </c>
      <c r="C778" t="s">
        <v>21</v>
      </c>
      <c r="D778" t="s">
        <v>54</v>
      </c>
      <c r="E778" t="s">
        <v>262</v>
      </c>
      <c r="F778" t="s">
        <v>5</v>
      </c>
      <c r="G778" t="s">
        <v>344</v>
      </c>
      <c r="H778" t="s">
        <v>265</v>
      </c>
      <c r="I778">
        <v>58</v>
      </c>
      <c r="J778">
        <v>0.75555555555555542</v>
      </c>
      <c r="M778" t="s">
        <v>670</v>
      </c>
      <c r="N778" t="s">
        <v>1983</v>
      </c>
      <c r="O778" t="s">
        <v>1984</v>
      </c>
      <c r="P778">
        <v>0.6</v>
      </c>
    </row>
    <row r="779" spans="1:16" x14ac:dyDescent="0.3">
      <c r="A779" t="s">
        <v>28</v>
      </c>
      <c r="B779" t="s">
        <v>20</v>
      </c>
      <c r="C779" t="s">
        <v>21</v>
      </c>
      <c r="D779" t="s">
        <v>54</v>
      </c>
      <c r="E779" t="s">
        <v>262</v>
      </c>
      <c r="F779" t="s">
        <v>5</v>
      </c>
      <c r="G779" t="s">
        <v>349</v>
      </c>
      <c r="H779" t="s">
        <v>265</v>
      </c>
      <c r="I779">
        <v>59</v>
      </c>
      <c r="J779">
        <v>0.70925110132158597</v>
      </c>
      <c r="M779" t="s">
        <v>670</v>
      </c>
      <c r="N779" t="s">
        <v>1985</v>
      </c>
      <c r="O779" t="s">
        <v>1986</v>
      </c>
      <c r="P779">
        <v>0.6</v>
      </c>
    </row>
    <row r="780" spans="1:16" x14ac:dyDescent="0.3">
      <c r="A780" t="s">
        <v>28</v>
      </c>
      <c r="B780" t="s">
        <v>20</v>
      </c>
      <c r="C780" t="s">
        <v>21</v>
      </c>
      <c r="D780" t="s">
        <v>54</v>
      </c>
      <c r="E780" t="s">
        <v>262</v>
      </c>
      <c r="F780" t="s">
        <v>5</v>
      </c>
      <c r="G780" t="s">
        <v>354</v>
      </c>
      <c r="H780" t="s">
        <v>265</v>
      </c>
      <c r="I780">
        <v>60</v>
      </c>
      <c r="J780">
        <v>0.72570194384449238</v>
      </c>
      <c r="M780" t="s">
        <v>670</v>
      </c>
      <c r="N780" t="s">
        <v>1987</v>
      </c>
      <c r="O780" t="s">
        <v>1988</v>
      </c>
      <c r="P780">
        <v>0.7</v>
      </c>
    </row>
    <row r="781" spans="1:16" x14ac:dyDescent="0.3">
      <c r="A781" t="s">
        <v>28</v>
      </c>
      <c r="B781" t="s">
        <v>20</v>
      </c>
      <c r="C781" t="s">
        <v>21</v>
      </c>
      <c r="D781" t="s">
        <v>54</v>
      </c>
      <c r="E781" t="s">
        <v>262</v>
      </c>
      <c r="F781" t="s">
        <v>5</v>
      </c>
      <c r="G781" t="s">
        <v>359</v>
      </c>
      <c r="H781" t="s">
        <v>265</v>
      </c>
      <c r="I781">
        <v>61</v>
      </c>
      <c r="J781">
        <v>0.74633123689727465</v>
      </c>
      <c r="M781" t="s">
        <v>670</v>
      </c>
      <c r="N781" t="s">
        <v>1989</v>
      </c>
      <c r="O781" t="s">
        <v>1990</v>
      </c>
      <c r="P781">
        <v>0.6</v>
      </c>
    </row>
    <row r="782" spans="1:16" x14ac:dyDescent="0.3">
      <c r="A782" t="s">
        <v>28</v>
      </c>
      <c r="B782" t="s">
        <v>20</v>
      </c>
      <c r="C782" t="s">
        <v>21</v>
      </c>
      <c r="D782" t="s">
        <v>363</v>
      </c>
      <c r="E782" t="s">
        <v>365</v>
      </c>
      <c r="F782" t="s">
        <v>13</v>
      </c>
      <c r="G782" t="s">
        <v>366</v>
      </c>
      <c r="H782" t="s">
        <v>368</v>
      </c>
      <c r="I782">
        <v>42</v>
      </c>
      <c r="J782">
        <v>0.84057971014492761</v>
      </c>
      <c r="M782" t="s">
        <v>670</v>
      </c>
      <c r="N782" t="s">
        <v>1991</v>
      </c>
      <c r="O782" t="s">
        <v>1992</v>
      </c>
      <c r="P782">
        <v>0.6</v>
      </c>
    </row>
    <row r="783" spans="1:16" x14ac:dyDescent="0.3">
      <c r="A783" t="s">
        <v>28</v>
      </c>
      <c r="B783" t="s">
        <v>20</v>
      </c>
      <c r="C783" t="s">
        <v>21</v>
      </c>
      <c r="D783" t="s">
        <v>363</v>
      </c>
      <c r="E783" t="s">
        <v>365</v>
      </c>
      <c r="F783" t="s">
        <v>13</v>
      </c>
      <c r="G783" t="s">
        <v>372</v>
      </c>
      <c r="H783" t="s">
        <v>368</v>
      </c>
      <c r="I783">
        <v>43</v>
      </c>
      <c r="J783">
        <v>0.84100418410041855</v>
      </c>
      <c r="M783" t="s">
        <v>670</v>
      </c>
      <c r="N783" t="s">
        <v>1993</v>
      </c>
      <c r="O783" t="s">
        <v>1994</v>
      </c>
      <c r="P783">
        <v>0.9</v>
      </c>
    </row>
    <row r="784" spans="1:16" x14ac:dyDescent="0.3">
      <c r="A784" t="s">
        <v>28</v>
      </c>
      <c r="B784" t="s">
        <v>20</v>
      </c>
      <c r="C784" t="s">
        <v>21</v>
      </c>
      <c r="D784" t="s">
        <v>363</v>
      </c>
      <c r="E784" t="s">
        <v>365</v>
      </c>
      <c r="F784" t="s">
        <v>13</v>
      </c>
      <c r="G784" t="s">
        <v>377</v>
      </c>
      <c r="H784" t="s">
        <v>368</v>
      </c>
      <c r="I784">
        <v>44</v>
      </c>
      <c r="J784">
        <v>0.80842105263157893</v>
      </c>
      <c r="M784" t="s">
        <v>670</v>
      </c>
      <c r="N784" t="s">
        <v>1995</v>
      </c>
      <c r="O784" t="s">
        <v>1996</v>
      </c>
      <c r="P784">
        <v>0.7</v>
      </c>
    </row>
    <row r="785" spans="1:16" x14ac:dyDescent="0.3">
      <c r="A785" t="s">
        <v>28</v>
      </c>
      <c r="B785" t="s">
        <v>20</v>
      </c>
      <c r="C785" t="s">
        <v>21</v>
      </c>
      <c r="D785" t="s">
        <v>363</v>
      </c>
      <c r="E785" t="s">
        <v>365</v>
      </c>
      <c r="F785" t="s">
        <v>13</v>
      </c>
      <c r="G785" t="s">
        <v>382</v>
      </c>
      <c r="H785" t="s">
        <v>368</v>
      </c>
      <c r="I785">
        <v>45</v>
      </c>
      <c r="J785">
        <v>0.82203389830508466</v>
      </c>
      <c r="M785" t="s">
        <v>670</v>
      </c>
      <c r="N785" t="s">
        <v>1997</v>
      </c>
      <c r="O785" t="s">
        <v>1998</v>
      </c>
      <c r="P785">
        <v>0.8</v>
      </c>
    </row>
    <row r="786" spans="1:16" x14ac:dyDescent="0.3">
      <c r="A786" t="s">
        <v>28</v>
      </c>
      <c r="B786" t="s">
        <v>20</v>
      </c>
      <c r="C786" t="s">
        <v>21</v>
      </c>
      <c r="D786" t="s">
        <v>363</v>
      </c>
      <c r="E786" t="s">
        <v>365</v>
      </c>
      <c r="F786" t="s">
        <v>13</v>
      </c>
      <c r="G786" t="s">
        <v>387</v>
      </c>
      <c r="H786" t="s">
        <v>368</v>
      </c>
      <c r="I786">
        <v>46</v>
      </c>
      <c r="J786">
        <v>0.82377049180327866</v>
      </c>
      <c r="M786" t="s">
        <v>670</v>
      </c>
      <c r="N786" t="s">
        <v>1999</v>
      </c>
      <c r="O786" t="s">
        <v>2000</v>
      </c>
      <c r="P786">
        <v>0.8</v>
      </c>
    </row>
    <row r="787" spans="1:16" x14ac:dyDescent="0.3">
      <c r="A787" t="s">
        <v>28</v>
      </c>
      <c r="B787" t="s">
        <v>20</v>
      </c>
      <c r="C787" t="s">
        <v>21</v>
      </c>
      <c r="D787" t="s">
        <v>363</v>
      </c>
      <c r="E787" t="s">
        <v>365</v>
      </c>
      <c r="F787" t="s">
        <v>13</v>
      </c>
      <c r="G787" t="s">
        <v>392</v>
      </c>
      <c r="H787" t="s">
        <v>368</v>
      </c>
      <c r="I787">
        <v>47</v>
      </c>
      <c r="J787">
        <v>0.81649484536082473</v>
      </c>
      <c r="M787" t="s">
        <v>670</v>
      </c>
      <c r="N787" t="s">
        <v>2001</v>
      </c>
      <c r="O787" t="s">
        <v>2002</v>
      </c>
      <c r="P787">
        <v>1</v>
      </c>
    </row>
    <row r="788" spans="1:16" x14ac:dyDescent="0.3">
      <c r="A788" t="s">
        <v>28</v>
      </c>
      <c r="B788" t="s">
        <v>20</v>
      </c>
      <c r="C788" t="s">
        <v>21</v>
      </c>
      <c r="D788" t="s">
        <v>363</v>
      </c>
      <c r="E788" t="s">
        <v>365</v>
      </c>
      <c r="F788" t="s">
        <v>13</v>
      </c>
      <c r="G788" t="s">
        <v>397</v>
      </c>
      <c r="H788" t="s">
        <v>368</v>
      </c>
      <c r="I788">
        <v>48</v>
      </c>
      <c r="J788">
        <v>0.83950617283950602</v>
      </c>
      <c r="M788" t="s">
        <v>670</v>
      </c>
      <c r="N788" t="s">
        <v>2003</v>
      </c>
      <c r="O788" t="s">
        <v>2004</v>
      </c>
      <c r="P788">
        <v>0.8</v>
      </c>
    </row>
    <row r="789" spans="1:16" x14ac:dyDescent="0.3">
      <c r="A789" t="s">
        <v>28</v>
      </c>
      <c r="B789" t="s">
        <v>20</v>
      </c>
      <c r="C789" t="s">
        <v>21</v>
      </c>
      <c r="D789" t="s">
        <v>363</v>
      </c>
      <c r="E789" t="s">
        <v>365</v>
      </c>
      <c r="F789" t="s">
        <v>13</v>
      </c>
      <c r="G789" t="s">
        <v>402</v>
      </c>
      <c r="H789" t="s">
        <v>368</v>
      </c>
      <c r="I789">
        <v>49</v>
      </c>
      <c r="J789">
        <v>0.79497907949790803</v>
      </c>
      <c r="M789" t="s">
        <v>670</v>
      </c>
      <c r="N789" t="s">
        <v>2005</v>
      </c>
      <c r="O789" t="s">
        <v>2006</v>
      </c>
      <c r="P789">
        <v>0.7</v>
      </c>
    </row>
    <row r="790" spans="1:16" x14ac:dyDescent="0.3">
      <c r="A790" t="s">
        <v>28</v>
      </c>
      <c r="B790" t="s">
        <v>20</v>
      </c>
      <c r="C790" t="s">
        <v>21</v>
      </c>
      <c r="D790" t="s">
        <v>363</v>
      </c>
      <c r="E790" t="s">
        <v>365</v>
      </c>
      <c r="F790" t="s">
        <v>13</v>
      </c>
      <c r="G790" t="s">
        <v>407</v>
      </c>
      <c r="H790" t="s">
        <v>368</v>
      </c>
      <c r="I790">
        <v>50</v>
      </c>
      <c r="J790">
        <v>0.83127572016460904</v>
      </c>
      <c r="M790" t="s">
        <v>670</v>
      </c>
      <c r="N790" t="s">
        <v>2007</v>
      </c>
      <c r="O790" t="s">
        <v>2008</v>
      </c>
      <c r="P790">
        <v>0.8</v>
      </c>
    </row>
    <row r="791" spans="1:16" x14ac:dyDescent="0.3">
      <c r="A791" t="s">
        <v>28</v>
      </c>
      <c r="B791" t="s">
        <v>20</v>
      </c>
      <c r="C791" t="s">
        <v>21</v>
      </c>
      <c r="D791" t="s">
        <v>363</v>
      </c>
      <c r="E791" t="s">
        <v>365</v>
      </c>
      <c r="F791" t="s">
        <v>13</v>
      </c>
      <c r="G791" t="s">
        <v>412</v>
      </c>
      <c r="H791" t="s">
        <v>368</v>
      </c>
      <c r="I791">
        <v>51</v>
      </c>
      <c r="J791">
        <v>0.82572614107883813</v>
      </c>
      <c r="M791" t="s">
        <v>670</v>
      </c>
      <c r="N791" t="s">
        <v>2009</v>
      </c>
      <c r="O791" t="s">
        <v>2010</v>
      </c>
      <c r="P791">
        <v>0.8</v>
      </c>
    </row>
    <row r="792" spans="1:16" x14ac:dyDescent="0.3">
      <c r="A792" t="s">
        <v>28</v>
      </c>
      <c r="B792" t="s">
        <v>20</v>
      </c>
      <c r="C792" t="s">
        <v>21</v>
      </c>
      <c r="D792" t="s">
        <v>363</v>
      </c>
      <c r="E792" t="s">
        <v>365</v>
      </c>
      <c r="F792" t="s">
        <v>13</v>
      </c>
      <c r="G792" t="s">
        <v>417</v>
      </c>
      <c r="H792" t="s">
        <v>368</v>
      </c>
      <c r="I792">
        <v>52</v>
      </c>
      <c r="J792">
        <v>0.83095723014256617</v>
      </c>
      <c r="M792" t="s">
        <v>670</v>
      </c>
      <c r="N792" t="s">
        <v>2011</v>
      </c>
      <c r="O792" t="s">
        <v>2012</v>
      </c>
      <c r="P792">
        <v>0.8</v>
      </c>
    </row>
    <row r="793" spans="1:16" x14ac:dyDescent="0.3">
      <c r="A793" t="s">
        <v>28</v>
      </c>
      <c r="B793" t="s">
        <v>20</v>
      </c>
      <c r="C793" t="s">
        <v>21</v>
      </c>
      <c r="D793" t="s">
        <v>363</v>
      </c>
      <c r="E793" t="s">
        <v>365</v>
      </c>
      <c r="F793" t="s">
        <v>13</v>
      </c>
      <c r="G793" t="s">
        <v>422</v>
      </c>
      <c r="H793" t="s">
        <v>368</v>
      </c>
      <c r="I793">
        <v>53</v>
      </c>
      <c r="J793">
        <v>0.83613445378151263</v>
      </c>
      <c r="M793" t="s">
        <v>670</v>
      </c>
      <c r="N793" t="s">
        <v>2013</v>
      </c>
      <c r="O793" t="s">
        <v>2014</v>
      </c>
      <c r="P793">
        <v>0.8</v>
      </c>
    </row>
    <row r="794" spans="1:16" x14ac:dyDescent="0.3">
      <c r="A794" t="s">
        <v>28</v>
      </c>
      <c r="B794" t="s">
        <v>20</v>
      </c>
      <c r="C794" t="s">
        <v>21</v>
      </c>
      <c r="D794" t="s">
        <v>363</v>
      </c>
      <c r="E794" t="s">
        <v>365</v>
      </c>
      <c r="F794" t="s">
        <v>13</v>
      </c>
      <c r="G794" t="s">
        <v>427</v>
      </c>
      <c r="H794" t="s">
        <v>368</v>
      </c>
      <c r="I794">
        <v>54</v>
      </c>
      <c r="J794">
        <v>0.84631578947368424</v>
      </c>
      <c r="M794" t="s">
        <v>670</v>
      </c>
      <c r="N794" t="s">
        <v>2015</v>
      </c>
      <c r="O794" t="s">
        <v>2016</v>
      </c>
      <c r="P794">
        <v>0.7</v>
      </c>
    </row>
    <row r="795" spans="1:16" x14ac:dyDescent="0.3">
      <c r="A795" t="s">
        <v>28</v>
      </c>
      <c r="B795" t="s">
        <v>20</v>
      </c>
      <c r="C795" t="s">
        <v>21</v>
      </c>
      <c r="D795" t="s">
        <v>363</v>
      </c>
      <c r="E795" t="s">
        <v>365</v>
      </c>
      <c r="F795" t="s">
        <v>13</v>
      </c>
      <c r="G795" t="s">
        <v>432</v>
      </c>
      <c r="H795" t="s">
        <v>368</v>
      </c>
      <c r="I795">
        <v>55</v>
      </c>
      <c r="J795">
        <v>0.81724845995893225</v>
      </c>
      <c r="M795" t="s">
        <v>670</v>
      </c>
      <c r="N795" t="s">
        <v>2017</v>
      </c>
      <c r="O795" t="s">
        <v>2018</v>
      </c>
      <c r="P795">
        <v>0.6</v>
      </c>
    </row>
    <row r="796" spans="1:16" x14ac:dyDescent="0.3">
      <c r="A796" t="s">
        <v>28</v>
      </c>
      <c r="B796" t="s">
        <v>20</v>
      </c>
      <c r="C796" t="s">
        <v>21</v>
      </c>
      <c r="D796" t="s">
        <v>363</v>
      </c>
      <c r="E796" t="s">
        <v>365</v>
      </c>
      <c r="F796" t="s">
        <v>13</v>
      </c>
      <c r="G796" t="s">
        <v>437</v>
      </c>
      <c r="H796" t="s">
        <v>368</v>
      </c>
      <c r="I796">
        <v>56</v>
      </c>
      <c r="J796">
        <v>0.83817427385892129</v>
      </c>
      <c r="M796" t="s">
        <v>670</v>
      </c>
      <c r="N796" t="s">
        <v>2019</v>
      </c>
      <c r="O796" t="s">
        <v>2020</v>
      </c>
      <c r="P796">
        <v>0.7</v>
      </c>
    </row>
    <row r="797" spans="1:16" x14ac:dyDescent="0.3">
      <c r="A797" t="s">
        <v>28</v>
      </c>
      <c r="B797" t="s">
        <v>20</v>
      </c>
      <c r="C797" t="s">
        <v>21</v>
      </c>
      <c r="D797" t="s">
        <v>363</v>
      </c>
      <c r="E797" t="s">
        <v>365</v>
      </c>
      <c r="F797" t="s">
        <v>13</v>
      </c>
      <c r="G797" t="s">
        <v>442</v>
      </c>
      <c r="H797" t="s">
        <v>368</v>
      </c>
      <c r="I797">
        <v>57</v>
      </c>
      <c r="J797">
        <v>0.82208588957055218</v>
      </c>
      <c r="M797" t="s">
        <v>670</v>
      </c>
      <c r="N797" t="s">
        <v>2021</v>
      </c>
      <c r="O797" t="s">
        <v>2022</v>
      </c>
      <c r="P797">
        <v>0.6</v>
      </c>
    </row>
    <row r="798" spans="1:16" x14ac:dyDescent="0.3">
      <c r="A798" t="s">
        <v>28</v>
      </c>
      <c r="B798" t="s">
        <v>20</v>
      </c>
      <c r="C798" t="s">
        <v>21</v>
      </c>
      <c r="D798" t="s">
        <v>363</v>
      </c>
      <c r="E798" t="s">
        <v>365</v>
      </c>
      <c r="F798" t="s">
        <v>13</v>
      </c>
      <c r="G798" t="s">
        <v>447</v>
      </c>
      <c r="H798" t="s">
        <v>368</v>
      </c>
      <c r="I798">
        <v>58</v>
      </c>
      <c r="J798">
        <v>0.83263598326359822</v>
      </c>
      <c r="M798" t="s">
        <v>670</v>
      </c>
      <c r="N798" t="s">
        <v>2023</v>
      </c>
      <c r="O798" t="s">
        <v>2024</v>
      </c>
      <c r="P798">
        <v>0.6</v>
      </c>
    </row>
    <row r="799" spans="1:16" x14ac:dyDescent="0.3">
      <c r="A799" t="s">
        <v>28</v>
      </c>
      <c r="B799" t="s">
        <v>20</v>
      </c>
      <c r="C799" t="s">
        <v>21</v>
      </c>
      <c r="D799" t="s">
        <v>363</v>
      </c>
      <c r="E799" t="s">
        <v>365</v>
      </c>
      <c r="F799" t="s">
        <v>13</v>
      </c>
      <c r="G799" t="s">
        <v>452</v>
      </c>
      <c r="H799" t="s">
        <v>368</v>
      </c>
      <c r="I799">
        <v>59</v>
      </c>
      <c r="J799">
        <v>0.83229813664596286</v>
      </c>
      <c r="M799" t="s">
        <v>670</v>
      </c>
      <c r="N799" t="s">
        <v>2025</v>
      </c>
      <c r="O799" t="s">
        <v>2026</v>
      </c>
      <c r="P799">
        <v>0.6</v>
      </c>
    </row>
    <row r="800" spans="1:16" x14ac:dyDescent="0.3">
      <c r="A800" t="s">
        <v>28</v>
      </c>
      <c r="B800" t="s">
        <v>20</v>
      </c>
      <c r="C800" t="s">
        <v>21</v>
      </c>
      <c r="D800" t="s">
        <v>363</v>
      </c>
      <c r="E800" t="s">
        <v>365</v>
      </c>
      <c r="F800" t="s">
        <v>13</v>
      </c>
      <c r="G800" t="s">
        <v>457</v>
      </c>
      <c r="H800" t="s">
        <v>368</v>
      </c>
      <c r="I800">
        <v>60</v>
      </c>
      <c r="J800">
        <v>0.84297520661157022</v>
      </c>
      <c r="M800" t="s">
        <v>670</v>
      </c>
      <c r="N800" t="s">
        <v>2027</v>
      </c>
      <c r="O800" t="s">
        <v>2028</v>
      </c>
      <c r="P800">
        <v>0.6</v>
      </c>
    </row>
    <row r="801" spans="1:16" x14ac:dyDescent="0.3">
      <c r="A801" t="s">
        <v>28</v>
      </c>
      <c r="B801" t="s">
        <v>20</v>
      </c>
      <c r="C801" t="s">
        <v>21</v>
      </c>
      <c r="D801" t="s">
        <v>363</v>
      </c>
      <c r="E801" t="s">
        <v>365</v>
      </c>
      <c r="F801" t="s">
        <v>13</v>
      </c>
      <c r="G801" t="s">
        <v>462</v>
      </c>
      <c r="H801" t="s">
        <v>368</v>
      </c>
      <c r="I801">
        <v>61</v>
      </c>
      <c r="J801">
        <v>0.83229813664596286</v>
      </c>
      <c r="M801" t="s">
        <v>670</v>
      </c>
      <c r="N801" t="s">
        <v>2029</v>
      </c>
      <c r="O801" t="s">
        <v>2030</v>
      </c>
      <c r="P801">
        <v>0.6</v>
      </c>
    </row>
    <row r="802" spans="1:16" x14ac:dyDescent="0.3">
      <c r="A802" t="s">
        <v>28</v>
      </c>
      <c r="B802" t="s">
        <v>20</v>
      </c>
      <c r="C802" t="s">
        <v>21</v>
      </c>
      <c r="D802" t="s">
        <v>363</v>
      </c>
      <c r="E802" t="s">
        <v>467</v>
      </c>
      <c r="F802" t="s">
        <v>9</v>
      </c>
      <c r="G802" t="s">
        <v>468</v>
      </c>
      <c r="H802" t="s">
        <v>470</v>
      </c>
      <c r="I802">
        <v>42</v>
      </c>
      <c r="J802">
        <v>0.81481481481481477</v>
      </c>
      <c r="M802" t="s">
        <v>670</v>
      </c>
      <c r="N802" t="s">
        <v>2031</v>
      </c>
      <c r="O802" t="s">
        <v>2032</v>
      </c>
      <c r="P802">
        <v>0.6</v>
      </c>
    </row>
    <row r="803" spans="1:16" x14ac:dyDescent="0.3">
      <c r="A803" t="s">
        <v>28</v>
      </c>
      <c r="B803" t="s">
        <v>20</v>
      </c>
      <c r="C803" t="s">
        <v>21</v>
      </c>
      <c r="D803" t="s">
        <v>363</v>
      </c>
      <c r="E803" t="s">
        <v>467</v>
      </c>
      <c r="F803" t="s">
        <v>9</v>
      </c>
      <c r="G803" t="s">
        <v>474</v>
      </c>
      <c r="H803" t="s">
        <v>470</v>
      </c>
      <c r="I803">
        <v>43</v>
      </c>
      <c r="J803">
        <v>0.81395348837209314</v>
      </c>
      <c r="M803" t="s">
        <v>670</v>
      </c>
      <c r="N803" t="s">
        <v>2033</v>
      </c>
      <c r="O803" t="s">
        <v>2034</v>
      </c>
      <c r="P803">
        <v>0.6</v>
      </c>
    </row>
    <row r="804" spans="1:16" x14ac:dyDescent="0.3">
      <c r="A804" t="s">
        <v>28</v>
      </c>
      <c r="B804" t="s">
        <v>20</v>
      </c>
      <c r="C804" t="s">
        <v>21</v>
      </c>
      <c r="D804" t="s">
        <v>363</v>
      </c>
      <c r="E804" t="s">
        <v>467</v>
      </c>
      <c r="F804" t="s">
        <v>9</v>
      </c>
      <c r="G804" t="s">
        <v>479</v>
      </c>
      <c r="H804" t="s">
        <v>470</v>
      </c>
      <c r="I804">
        <v>44</v>
      </c>
      <c r="J804">
        <v>0.81034482758620685</v>
      </c>
      <c r="M804" t="s">
        <v>670</v>
      </c>
      <c r="N804" t="s">
        <v>2035</v>
      </c>
      <c r="O804" t="s">
        <v>2036</v>
      </c>
      <c r="P804">
        <v>0.6</v>
      </c>
    </row>
    <row r="805" spans="1:16" x14ac:dyDescent="0.3">
      <c r="A805" t="s">
        <v>28</v>
      </c>
      <c r="B805" t="s">
        <v>20</v>
      </c>
      <c r="C805" t="s">
        <v>21</v>
      </c>
      <c r="D805" t="s">
        <v>363</v>
      </c>
      <c r="E805" t="s">
        <v>467</v>
      </c>
      <c r="F805" t="s">
        <v>9</v>
      </c>
      <c r="G805" t="s">
        <v>484</v>
      </c>
      <c r="H805" t="s">
        <v>470</v>
      </c>
      <c r="I805">
        <v>45</v>
      </c>
      <c r="J805">
        <v>0.81609195402298851</v>
      </c>
      <c r="M805" t="s">
        <v>670</v>
      </c>
      <c r="N805" t="s">
        <v>2037</v>
      </c>
      <c r="O805" t="s">
        <v>2038</v>
      </c>
      <c r="P805">
        <v>0.7</v>
      </c>
    </row>
    <row r="806" spans="1:16" x14ac:dyDescent="0.3">
      <c r="A806" t="s">
        <v>28</v>
      </c>
      <c r="B806" t="s">
        <v>20</v>
      </c>
      <c r="C806" t="s">
        <v>21</v>
      </c>
      <c r="D806" t="s">
        <v>363</v>
      </c>
      <c r="E806" t="s">
        <v>467</v>
      </c>
      <c r="F806" t="s">
        <v>9</v>
      </c>
      <c r="G806" t="s">
        <v>489</v>
      </c>
      <c r="H806" t="s">
        <v>470</v>
      </c>
      <c r="I806">
        <v>46</v>
      </c>
      <c r="J806">
        <v>0.81375358166189105</v>
      </c>
      <c r="M806" t="s">
        <v>670</v>
      </c>
      <c r="N806" t="s">
        <v>2039</v>
      </c>
      <c r="O806" t="s">
        <v>2040</v>
      </c>
      <c r="P806">
        <v>0.7</v>
      </c>
    </row>
    <row r="807" spans="1:16" x14ac:dyDescent="0.3">
      <c r="A807" t="s">
        <v>28</v>
      </c>
      <c r="B807" t="s">
        <v>20</v>
      </c>
      <c r="C807" t="s">
        <v>21</v>
      </c>
      <c r="D807" t="s">
        <v>363</v>
      </c>
      <c r="E807" t="s">
        <v>467</v>
      </c>
      <c r="F807" t="s">
        <v>9</v>
      </c>
      <c r="G807" t="s">
        <v>494</v>
      </c>
      <c r="H807" t="s">
        <v>470</v>
      </c>
      <c r="I807">
        <v>47</v>
      </c>
      <c r="J807">
        <v>0.82420749279538896</v>
      </c>
      <c r="M807" t="s">
        <v>670</v>
      </c>
      <c r="N807" t="s">
        <v>2041</v>
      </c>
      <c r="O807" t="s">
        <v>2042</v>
      </c>
      <c r="P807">
        <v>0.6</v>
      </c>
    </row>
    <row r="808" spans="1:16" x14ac:dyDescent="0.3">
      <c r="A808" t="s">
        <v>28</v>
      </c>
      <c r="B808" t="s">
        <v>20</v>
      </c>
      <c r="C808" t="s">
        <v>21</v>
      </c>
      <c r="D808" t="s">
        <v>363</v>
      </c>
      <c r="E808" t="s">
        <v>467</v>
      </c>
      <c r="F808" t="s">
        <v>9</v>
      </c>
      <c r="G808" t="s">
        <v>499</v>
      </c>
      <c r="H808" t="s">
        <v>470</v>
      </c>
      <c r="I808">
        <v>48</v>
      </c>
      <c r="J808">
        <v>0.8125</v>
      </c>
      <c r="M808" t="s">
        <v>670</v>
      </c>
      <c r="N808" t="s">
        <v>2043</v>
      </c>
      <c r="O808" t="s">
        <v>2044</v>
      </c>
      <c r="P808">
        <v>0.6</v>
      </c>
    </row>
    <row r="809" spans="1:16" x14ac:dyDescent="0.3">
      <c r="A809" t="s">
        <v>28</v>
      </c>
      <c r="B809" t="s">
        <v>20</v>
      </c>
      <c r="C809" t="s">
        <v>21</v>
      </c>
      <c r="D809" t="s">
        <v>363</v>
      </c>
      <c r="E809" t="s">
        <v>467</v>
      </c>
      <c r="F809" t="s">
        <v>9</v>
      </c>
      <c r="G809" t="s">
        <v>504</v>
      </c>
      <c r="H809" t="s">
        <v>470</v>
      </c>
      <c r="I809">
        <v>49</v>
      </c>
      <c r="J809">
        <v>0.81920903954802249</v>
      </c>
      <c r="M809" t="s">
        <v>670</v>
      </c>
      <c r="N809" t="s">
        <v>2045</v>
      </c>
      <c r="O809" t="s">
        <v>2046</v>
      </c>
      <c r="P809">
        <v>1.2</v>
      </c>
    </row>
    <row r="810" spans="1:16" x14ac:dyDescent="0.3">
      <c r="A810" t="s">
        <v>28</v>
      </c>
      <c r="B810" t="s">
        <v>20</v>
      </c>
      <c r="C810" t="s">
        <v>21</v>
      </c>
      <c r="D810" t="s">
        <v>363</v>
      </c>
      <c r="E810" t="s">
        <v>467</v>
      </c>
      <c r="F810" t="s">
        <v>9</v>
      </c>
      <c r="G810" t="s">
        <v>509</v>
      </c>
      <c r="H810" t="s">
        <v>470</v>
      </c>
      <c r="I810">
        <v>50</v>
      </c>
      <c r="J810">
        <v>0.81159420289855067</v>
      </c>
      <c r="M810" t="s">
        <v>670</v>
      </c>
      <c r="N810" t="s">
        <v>2047</v>
      </c>
      <c r="O810" t="s">
        <v>2048</v>
      </c>
      <c r="P810">
        <v>0.6</v>
      </c>
    </row>
    <row r="811" spans="1:16" x14ac:dyDescent="0.3">
      <c r="A811" t="s">
        <v>28</v>
      </c>
      <c r="B811" t="s">
        <v>20</v>
      </c>
      <c r="C811" t="s">
        <v>21</v>
      </c>
      <c r="D811" t="s">
        <v>363</v>
      </c>
      <c r="E811" t="s">
        <v>467</v>
      </c>
      <c r="F811" t="s">
        <v>9</v>
      </c>
      <c r="G811" t="s">
        <v>514</v>
      </c>
      <c r="H811" t="s">
        <v>470</v>
      </c>
      <c r="I811">
        <v>51</v>
      </c>
      <c r="J811">
        <v>0.83522727272727271</v>
      </c>
      <c r="M811" t="s">
        <v>670</v>
      </c>
      <c r="N811" t="s">
        <v>2049</v>
      </c>
      <c r="O811" t="s">
        <v>2050</v>
      </c>
      <c r="P811">
        <v>0.6</v>
      </c>
    </row>
    <row r="812" spans="1:16" x14ac:dyDescent="0.3">
      <c r="A812" t="s">
        <v>28</v>
      </c>
      <c r="B812" t="s">
        <v>20</v>
      </c>
      <c r="C812" t="s">
        <v>21</v>
      </c>
      <c r="D812" t="s">
        <v>363</v>
      </c>
      <c r="E812" t="s">
        <v>467</v>
      </c>
      <c r="F812" t="s">
        <v>9</v>
      </c>
      <c r="G812" t="s">
        <v>519</v>
      </c>
      <c r="H812" t="s">
        <v>470</v>
      </c>
      <c r="I812">
        <v>52</v>
      </c>
      <c r="J812">
        <v>0.81034482758620685</v>
      </c>
      <c r="M812" t="s">
        <v>670</v>
      </c>
      <c r="N812" t="s">
        <v>2051</v>
      </c>
      <c r="O812" t="s">
        <v>2052</v>
      </c>
      <c r="P812">
        <v>0.8</v>
      </c>
    </row>
    <row r="813" spans="1:16" x14ac:dyDescent="0.3">
      <c r="A813" t="s">
        <v>28</v>
      </c>
      <c r="B813" t="s">
        <v>20</v>
      </c>
      <c r="C813" t="s">
        <v>21</v>
      </c>
      <c r="D813" t="s">
        <v>363</v>
      </c>
      <c r="E813" t="s">
        <v>467</v>
      </c>
      <c r="F813" t="s">
        <v>9</v>
      </c>
      <c r="G813" t="s">
        <v>524</v>
      </c>
      <c r="H813" t="s">
        <v>470</v>
      </c>
      <c r="I813">
        <v>53</v>
      </c>
      <c r="J813">
        <v>0.82183908045977005</v>
      </c>
      <c r="M813" t="s">
        <v>670</v>
      </c>
      <c r="N813" t="s">
        <v>2053</v>
      </c>
      <c r="O813" t="s">
        <v>2054</v>
      </c>
      <c r="P813">
        <v>0.6</v>
      </c>
    </row>
    <row r="814" spans="1:16" x14ac:dyDescent="0.3">
      <c r="A814" t="s">
        <v>28</v>
      </c>
      <c r="B814" t="s">
        <v>20</v>
      </c>
      <c r="C814" t="s">
        <v>21</v>
      </c>
      <c r="D814" t="s">
        <v>363</v>
      </c>
      <c r="E814" t="s">
        <v>467</v>
      </c>
      <c r="F814" t="s">
        <v>9</v>
      </c>
      <c r="G814" t="s">
        <v>529</v>
      </c>
      <c r="H814" t="s">
        <v>470</v>
      </c>
      <c r="I814">
        <v>54</v>
      </c>
      <c r="J814">
        <v>0.80802292263610309</v>
      </c>
      <c r="M814" t="s">
        <v>670</v>
      </c>
      <c r="N814" t="s">
        <v>2055</v>
      </c>
      <c r="O814" t="s">
        <v>2056</v>
      </c>
      <c r="P814">
        <v>0.7</v>
      </c>
    </row>
    <row r="815" spans="1:16" x14ac:dyDescent="0.3">
      <c r="A815" t="s">
        <v>28</v>
      </c>
      <c r="B815" t="s">
        <v>20</v>
      </c>
      <c r="C815" t="s">
        <v>21</v>
      </c>
      <c r="D815" t="s">
        <v>363</v>
      </c>
      <c r="E815" t="s">
        <v>467</v>
      </c>
      <c r="F815" t="s">
        <v>9</v>
      </c>
      <c r="G815" t="s">
        <v>534</v>
      </c>
      <c r="H815" t="s">
        <v>470</v>
      </c>
      <c r="I815">
        <v>55</v>
      </c>
      <c r="J815">
        <v>0.81502890173410403</v>
      </c>
      <c r="M815" t="s">
        <v>670</v>
      </c>
      <c r="N815" t="s">
        <v>2057</v>
      </c>
      <c r="O815" t="s">
        <v>2058</v>
      </c>
      <c r="P815">
        <v>0.6</v>
      </c>
    </row>
    <row r="816" spans="1:16" x14ac:dyDescent="0.3">
      <c r="A816" t="s">
        <v>28</v>
      </c>
      <c r="B816" t="s">
        <v>20</v>
      </c>
      <c r="C816" t="s">
        <v>21</v>
      </c>
      <c r="D816" t="s">
        <v>363</v>
      </c>
      <c r="E816" t="s">
        <v>467</v>
      </c>
      <c r="F816" t="s">
        <v>9</v>
      </c>
      <c r="G816" t="s">
        <v>539</v>
      </c>
      <c r="H816" t="s">
        <v>470</v>
      </c>
      <c r="I816">
        <v>56</v>
      </c>
      <c r="J816">
        <v>0.81268011527377526</v>
      </c>
      <c r="M816" t="s">
        <v>670</v>
      </c>
      <c r="N816" t="s">
        <v>2059</v>
      </c>
      <c r="O816" t="s">
        <v>2060</v>
      </c>
      <c r="P816">
        <v>0.6</v>
      </c>
    </row>
    <row r="817" spans="1:16" x14ac:dyDescent="0.3">
      <c r="A817" t="s">
        <v>28</v>
      </c>
      <c r="B817" t="s">
        <v>20</v>
      </c>
      <c r="C817" t="s">
        <v>21</v>
      </c>
      <c r="D817" t="s">
        <v>363</v>
      </c>
      <c r="E817" t="s">
        <v>467</v>
      </c>
      <c r="F817" t="s">
        <v>9</v>
      </c>
      <c r="G817" t="s">
        <v>544</v>
      </c>
      <c r="H817" t="s">
        <v>470</v>
      </c>
      <c r="I817">
        <v>57</v>
      </c>
      <c r="J817">
        <v>0.82080924855491322</v>
      </c>
      <c r="M817" t="s">
        <v>670</v>
      </c>
      <c r="N817" t="s">
        <v>2061</v>
      </c>
      <c r="O817" t="s">
        <v>2062</v>
      </c>
      <c r="P817">
        <v>0.6</v>
      </c>
    </row>
    <row r="818" spans="1:16" x14ac:dyDescent="0.3">
      <c r="A818" t="s">
        <v>28</v>
      </c>
      <c r="B818" t="s">
        <v>20</v>
      </c>
      <c r="C818" t="s">
        <v>21</v>
      </c>
      <c r="D818" t="s">
        <v>363</v>
      </c>
      <c r="E818" t="s">
        <v>467</v>
      </c>
      <c r="F818" t="s">
        <v>9</v>
      </c>
      <c r="G818" t="s">
        <v>549</v>
      </c>
      <c r="H818" t="s">
        <v>470</v>
      </c>
      <c r="I818">
        <v>58</v>
      </c>
      <c r="J818">
        <v>0.81502890173410403</v>
      </c>
      <c r="M818" t="s">
        <v>670</v>
      </c>
      <c r="N818" t="s">
        <v>2063</v>
      </c>
      <c r="O818" t="s">
        <v>2064</v>
      </c>
      <c r="P818">
        <v>0.7</v>
      </c>
    </row>
    <row r="819" spans="1:16" x14ac:dyDescent="0.3">
      <c r="A819" t="s">
        <v>28</v>
      </c>
      <c r="B819" t="s">
        <v>20</v>
      </c>
      <c r="C819" t="s">
        <v>21</v>
      </c>
      <c r="D819" t="s">
        <v>363</v>
      </c>
      <c r="E819" t="s">
        <v>467</v>
      </c>
      <c r="F819" t="s">
        <v>9</v>
      </c>
      <c r="G819" t="s">
        <v>554</v>
      </c>
      <c r="H819" t="s">
        <v>470</v>
      </c>
      <c r="I819">
        <v>59</v>
      </c>
      <c r="J819">
        <v>0.81355932203389825</v>
      </c>
      <c r="M819" t="s">
        <v>670</v>
      </c>
      <c r="N819" t="s">
        <v>2065</v>
      </c>
      <c r="O819" t="s">
        <v>2066</v>
      </c>
      <c r="P819">
        <v>0.6</v>
      </c>
    </row>
    <row r="820" spans="1:16" x14ac:dyDescent="0.3">
      <c r="A820" t="s">
        <v>28</v>
      </c>
      <c r="B820" t="s">
        <v>20</v>
      </c>
      <c r="C820" t="s">
        <v>21</v>
      </c>
      <c r="D820" t="s">
        <v>363</v>
      </c>
      <c r="E820" t="s">
        <v>467</v>
      </c>
      <c r="F820" t="s">
        <v>9</v>
      </c>
      <c r="G820" t="s">
        <v>559</v>
      </c>
      <c r="H820" t="s">
        <v>470</v>
      </c>
      <c r="I820">
        <v>60</v>
      </c>
      <c r="J820">
        <v>0.82318840579710151</v>
      </c>
      <c r="M820" t="s">
        <v>670</v>
      </c>
      <c r="N820" t="s">
        <v>2067</v>
      </c>
      <c r="O820" t="s">
        <v>2068</v>
      </c>
      <c r="P820">
        <v>0.5</v>
      </c>
    </row>
    <row r="821" spans="1:16" x14ac:dyDescent="0.3">
      <c r="A821" t="s">
        <v>28</v>
      </c>
      <c r="B821" t="s">
        <v>20</v>
      </c>
      <c r="C821" t="s">
        <v>21</v>
      </c>
      <c r="D821" t="s">
        <v>363</v>
      </c>
      <c r="E821" t="s">
        <v>467</v>
      </c>
      <c r="F821" t="s">
        <v>9</v>
      </c>
      <c r="G821" t="s">
        <v>564</v>
      </c>
      <c r="H821" t="s">
        <v>470</v>
      </c>
      <c r="I821">
        <v>61</v>
      </c>
      <c r="J821">
        <v>0.80691642651296835</v>
      </c>
      <c r="M821" t="s">
        <v>670</v>
      </c>
      <c r="N821" t="s">
        <v>2069</v>
      </c>
      <c r="O821" t="s">
        <v>2070</v>
      </c>
      <c r="P821">
        <v>0.7</v>
      </c>
    </row>
    <row r="822" spans="1:16" x14ac:dyDescent="0.3">
      <c r="A822" t="s">
        <v>28</v>
      </c>
      <c r="B822" t="s">
        <v>20</v>
      </c>
      <c r="C822" t="s">
        <v>21</v>
      </c>
      <c r="D822" t="s">
        <v>363</v>
      </c>
      <c r="E822" t="s">
        <v>569</v>
      </c>
      <c r="F822" t="s">
        <v>11</v>
      </c>
      <c r="G822" t="s">
        <v>570</v>
      </c>
      <c r="H822" t="s">
        <v>572</v>
      </c>
      <c r="I822">
        <v>42</v>
      </c>
      <c r="J822">
        <v>0.84782608695652173</v>
      </c>
      <c r="M822" t="s">
        <v>670</v>
      </c>
      <c r="N822" t="s">
        <v>2071</v>
      </c>
      <c r="O822" t="s">
        <v>2072</v>
      </c>
      <c r="P822">
        <v>0.8</v>
      </c>
    </row>
    <row r="823" spans="1:16" x14ac:dyDescent="0.3">
      <c r="A823" t="s">
        <v>28</v>
      </c>
      <c r="B823" t="s">
        <v>20</v>
      </c>
      <c r="C823" t="s">
        <v>21</v>
      </c>
      <c r="D823" t="s">
        <v>363</v>
      </c>
      <c r="E823" t="s">
        <v>569</v>
      </c>
      <c r="F823" t="s">
        <v>11</v>
      </c>
      <c r="G823" t="s">
        <v>576</v>
      </c>
      <c r="H823" t="s">
        <v>572</v>
      </c>
      <c r="I823">
        <v>43</v>
      </c>
      <c r="J823">
        <v>0.83150984682713347</v>
      </c>
      <c r="M823" t="s">
        <v>670</v>
      </c>
      <c r="N823" t="s">
        <v>2073</v>
      </c>
      <c r="O823" t="s">
        <v>2074</v>
      </c>
      <c r="P823">
        <v>0.6</v>
      </c>
    </row>
    <row r="824" spans="1:16" x14ac:dyDescent="0.3">
      <c r="A824" t="s">
        <v>28</v>
      </c>
      <c r="B824" t="s">
        <v>20</v>
      </c>
      <c r="C824" t="s">
        <v>21</v>
      </c>
      <c r="D824" t="s">
        <v>363</v>
      </c>
      <c r="E824" t="s">
        <v>569</v>
      </c>
      <c r="F824" t="s">
        <v>11</v>
      </c>
      <c r="G824" t="s">
        <v>581</v>
      </c>
      <c r="H824" t="s">
        <v>572</v>
      </c>
      <c r="I824">
        <v>44</v>
      </c>
      <c r="J824">
        <v>0.83741648106904221</v>
      </c>
      <c r="M824" t="s">
        <v>670</v>
      </c>
      <c r="N824" t="s">
        <v>2075</v>
      </c>
      <c r="O824" t="s">
        <v>2076</v>
      </c>
      <c r="P824">
        <v>1</v>
      </c>
    </row>
    <row r="825" spans="1:16" x14ac:dyDescent="0.3">
      <c r="A825" t="s">
        <v>28</v>
      </c>
      <c r="B825" t="s">
        <v>20</v>
      </c>
      <c r="C825" t="s">
        <v>21</v>
      </c>
      <c r="D825" t="s">
        <v>363</v>
      </c>
      <c r="E825" t="s">
        <v>569</v>
      </c>
      <c r="F825" t="s">
        <v>11</v>
      </c>
      <c r="G825" t="s">
        <v>586</v>
      </c>
      <c r="H825" t="s">
        <v>572</v>
      </c>
      <c r="I825">
        <v>45</v>
      </c>
      <c r="J825">
        <v>0.8283261802575107</v>
      </c>
      <c r="M825" t="s">
        <v>670</v>
      </c>
      <c r="N825" t="s">
        <v>2077</v>
      </c>
      <c r="O825" t="s">
        <v>2078</v>
      </c>
      <c r="P825">
        <v>0.6</v>
      </c>
    </row>
    <row r="826" spans="1:16" x14ac:dyDescent="0.3">
      <c r="A826" t="s">
        <v>28</v>
      </c>
      <c r="B826" t="s">
        <v>20</v>
      </c>
      <c r="C826" t="s">
        <v>21</v>
      </c>
      <c r="D826" t="s">
        <v>363</v>
      </c>
      <c r="E826" t="s">
        <v>569</v>
      </c>
      <c r="F826" t="s">
        <v>11</v>
      </c>
      <c r="G826" t="s">
        <v>591</v>
      </c>
      <c r="H826" t="s">
        <v>572</v>
      </c>
      <c r="I826">
        <v>46</v>
      </c>
      <c r="J826">
        <v>0.82743362831858391</v>
      </c>
      <c r="M826" t="s">
        <v>670</v>
      </c>
      <c r="N826" t="s">
        <v>2079</v>
      </c>
      <c r="O826" t="s">
        <v>2080</v>
      </c>
      <c r="P826">
        <v>0.6</v>
      </c>
    </row>
    <row r="827" spans="1:16" x14ac:dyDescent="0.3">
      <c r="A827" t="s">
        <v>28</v>
      </c>
      <c r="B827" t="s">
        <v>20</v>
      </c>
      <c r="C827" t="s">
        <v>21</v>
      </c>
      <c r="D827" t="s">
        <v>363</v>
      </c>
      <c r="E827" t="s">
        <v>569</v>
      </c>
      <c r="F827" t="s">
        <v>11</v>
      </c>
      <c r="G827" t="s">
        <v>596</v>
      </c>
      <c r="H827" t="s">
        <v>572</v>
      </c>
      <c r="I827">
        <v>47</v>
      </c>
      <c r="J827">
        <v>0.81355932203389836</v>
      </c>
      <c r="M827" t="s">
        <v>670</v>
      </c>
      <c r="N827" t="s">
        <v>2081</v>
      </c>
      <c r="O827" t="s">
        <v>2082</v>
      </c>
      <c r="P827">
        <v>0.7</v>
      </c>
    </row>
    <row r="828" spans="1:16" x14ac:dyDescent="0.3">
      <c r="A828" t="s">
        <v>28</v>
      </c>
      <c r="B828" t="s">
        <v>20</v>
      </c>
      <c r="C828" t="s">
        <v>21</v>
      </c>
      <c r="D828" t="s">
        <v>363</v>
      </c>
      <c r="E828" t="s">
        <v>569</v>
      </c>
      <c r="F828" t="s">
        <v>11</v>
      </c>
      <c r="G828" t="s">
        <v>601</v>
      </c>
      <c r="H828" t="s">
        <v>572</v>
      </c>
      <c r="I828">
        <v>48</v>
      </c>
      <c r="J828">
        <v>0.83261802575107302</v>
      </c>
      <c r="M828" t="s">
        <v>670</v>
      </c>
      <c r="N828" t="s">
        <v>2083</v>
      </c>
      <c r="O828" t="s">
        <v>2084</v>
      </c>
      <c r="P828">
        <v>0.7</v>
      </c>
    </row>
    <row r="829" spans="1:16" x14ac:dyDescent="0.3">
      <c r="A829" t="s">
        <v>28</v>
      </c>
      <c r="B829" t="s">
        <v>20</v>
      </c>
      <c r="C829" t="s">
        <v>21</v>
      </c>
      <c r="D829" t="s">
        <v>363</v>
      </c>
      <c r="E829" t="s">
        <v>569</v>
      </c>
      <c r="F829" t="s">
        <v>11</v>
      </c>
      <c r="G829" t="s">
        <v>606</v>
      </c>
      <c r="H829" t="s">
        <v>572</v>
      </c>
      <c r="I829">
        <v>49</v>
      </c>
      <c r="J829">
        <v>0.84116331096196872</v>
      </c>
      <c r="M829" t="s">
        <v>670</v>
      </c>
      <c r="N829" t="s">
        <v>2085</v>
      </c>
      <c r="O829" t="s">
        <v>2086</v>
      </c>
      <c r="P829">
        <v>0.6</v>
      </c>
    </row>
    <row r="830" spans="1:16" x14ac:dyDescent="0.3">
      <c r="A830" t="s">
        <v>28</v>
      </c>
      <c r="B830" t="s">
        <v>20</v>
      </c>
      <c r="C830" t="s">
        <v>21</v>
      </c>
      <c r="D830" t="s">
        <v>363</v>
      </c>
      <c r="E830" t="s">
        <v>569</v>
      </c>
      <c r="F830" t="s">
        <v>11</v>
      </c>
      <c r="G830" t="s">
        <v>611</v>
      </c>
      <c r="H830" t="s">
        <v>572</v>
      </c>
      <c r="I830">
        <v>50</v>
      </c>
      <c r="J830">
        <v>0.83297180043383956</v>
      </c>
      <c r="M830" t="s">
        <v>670</v>
      </c>
      <c r="N830" t="s">
        <v>2087</v>
      </c>
      <c r="O830" t="s">
        <v>2088</v>
      </c>
      <c r="P830">
        <v>0.6</v>
      </c>
    </row>
    <row r="831" spans="1:16" x14ac:dyDescent="0.3">
      <c r="A831" t="s">
        <v>28</v>
      </c>
      <c r="B831" t="s">
        <v>20</v>
      </c>
      <c r="C831" t="s">
        <v>21</v>
      </c>
      <c r="D831" t="s">
        <v>363</v>
      </c>
      <c r="E831" t="s">
        <v>569</v>
      </c>
      <c r="F831" t="s">
        <v>11</v>
      </c>
      <c r="G831" t="s">
        <v>616</v>
      </c>
      <c r="H831" t="s">
        <v>572</v>
      </c>
      <c r="I831">
        <v>51</v>
      </c>
      <c r="J831">
        <v>0.84513274336283184</v>
      </c>
      <c r="M831" t="s">
        <v>670</v>
      </c>
      <c r="N831" t="s">
        <v>2089</v>
      </c>
      <c r="O831" t="s">
        <v>2090</v>
      </c>
      <c r="P831">
        <v>0.8</v>
      </c>
    </row>
    <row r="832" spans="1:16" x14ac:dyDescent="0.3">
      <c r="A832" t="s">
        <v>28</v>
      </c>
      <c r="B832" t="s">
        <v>20</v>
      </c>
      <c r="C832" t="s">
        <v>21</v>
      </c>
      <c r="D832" t="s">
        <v>363</v>
      </c>
      <c r="E832" t="s">
        <v>569</v>
      </c>
      <c r="F832" t="s">
        <v>11</v>
      </c>
      <c r="G832" t="s">
        <v>621</v>
      </c>
      <c r="H832" t="s">
        <v>572</v>
      </c>
      <c r="I832">
        <v>52</v>
      </c>
      <c r="J832">
        <v>0.83010752688172051</v>
      </c>
      <c r="M832" t="s">
        <v>670</v>
      </c>
      <c r="N832" t="s">
        <v>2091</v>
      </c>
      <c r="O832" t="s">
        <v>2092</v>
      </c>
      <c r="P832">
        <v>5.4</v>
      </c>
    </row>
    <row r="833" spans="1:16" x14ac:dyDescent="0.3">
      <c r="A833" t="s">
        <v>28</v>
      </c>
      <c r="B833" t="s">
        <v>20</v>
      </c>
      <c r="C833" t="s">
        <v>21</v>
      </c>
      <c r="D833" t="s">
        <v>363</v>
      </c>
      <c r="E833" t="s">
        <v>569</v>
      </c>
      <c r="F833" t="s">
        <v>11</v>
      </c>
      <c r="G833" t="s">
        <v>626</v>
      </c>
      <c r="H833" t="s">
        <v>572</v>
      </c>
      <c r="I833">
        <v>53</v>
      </c>
      <c r="J833">
        <v>0.8458149779735683</v>
      </c>
      <c r="M833" t="s">
        <v>670</v>
      </c>
      <c r="N833" t="s">
        <v>2093</v>
      </c>
      <c r="O833" t="s">
        <v>2094</v>
      </c>
      <c r="P833">
        <v>0.7</v>
      </c>
    </row>
    <row r="834" spans="1:16" x14ac:dyDescent="0.3">
      <c r="A834" t="s">
        <v>28</v>
      </c>
      <c r="B834" t="s">
        <v>20</v>
      </c>
      <c r="C834" t="s">
        <v>21</v>
      </c>
      <c r="D834" t="s">
        <v>363</v>
      </c>
      <c r="E834" t="s">
        <v>569</v>
      </c>
      <c r="F834" t="s">
        <v>11</v>
      </c>
      <c r="G834" t="s">
        <v>631</v>
      </c>
      <c r="H834" t="s">
        <v>572</v>
      </c>
      <c r="I834">
        <v>54</v>
      </c>
      <c r="J834">
        <v>0.8351648351648352</v>
      </c>
      <c r="M834" t="s">
        <v>670</v>
      </c>
      <c r="N834" t="s">
        <v>2095</v>
      </c>
      <c r="O834" t="s">
        <v>2096</v>
      </c>
      <c r="P834">
        <v>0.6</v>
      </c>
    </row>
    <row r="835" spans="1:16" x14ac:dyDescent="0.3">
      <c r="A835" t="s">
        <v>28</v>
      </c>
      <c r="B835" t="s">
        <v>20</v>
      </c>
      <c r="C835" t="s">
        <v>21</v>
      </c>
      <c r="D835" t="s">
        <v>363</v>
      </c>
      <c r="E835" t="s">
        <v>569</v>
      </c>
      <c r="F835" t="s">
        <v>11</v>
      </c>
      <c r="G835" t="s">
        <v>636</v>
      </c>
      <c r="H835" t="s">
        <v>572</v>
      </c>
      <c r="I835">
        <v>55</v>
      </c>
      <c r="J835">
        <v>0.84531590413943347</v>
      </c>
      <c r="M835" t="s">
        <v>670</v>
      </c>
      <c r="N835" t="s">
        <v>2097</v>
      </c>
      <c r="O835" t="s">
        <v>2098</v>
      </c>
      <c r="P835">
        <v>0.6</v>
      </c>
    </row>
    <row r="836" spans="1:16" x14ac:dyDescent="0.3">
      <c r="A836" t="s">
        <v>28</v>
      </c>
      <c r="B836" t="s">
        <v>20</v>
      </c>
      <c r="C836" t="s">
        <v>21</v>
      </c>
      <c r="D836" t="s">
        <v>363</v>
      </c>
      <c r="E836" t="s">
        <v>569</v>
      </c>
      <c r="F836" t="s">
        <v>11</v>
      </c>
      <c r="G836" t="s">
        <v>641</v>
      </c>
      <c r="H836" t="s">
        <v>572</v>
      </c>
      <c r="I836">
        <v>56</v>
      </c>
      <c r="J836">
        <v>0.84210526315789469</v>
      </c>
      <c r="M836" t="s">
        <v>670</v>
      </c>
      <c r="N836" t="s">
        <v>2099</v>
      </c>
      <c r="O836" t="s">
        <v>2100</v>
      </c>
      <c r="P836">
        <v>0</v>
      </c>
    </row>
    <row r="837" spans="1:16" x14ac:dyDescent="0.3">
      <c r="A837" t="s">
        <v>28</v>
      </c>
      <c r="B837" t="s">
        <v>20</v>
      </c>
      <c r="C837" t="s">
        <v>21</v>
      </c>
      <c r="D837" t="s">
        <v>363</v>
      </c>
      <c r="E837" t="s">
        <v>569</v>
      </c>
      <c r="F837" t="s">
        <v>11</v>
      </c>
      <c r="G837" t="s">
        <v>646</v>
      </c>
      <c r="H837" t="s">
        <v>572</v>
      </c>
      <c r="I837">
        <v>57</v>
      </c>
      <c r="J837">
        <v>0.83406113537117899</v>
      </c>
      <c r="M837" t="s">
        <v>670</v>
      </c>
      <c r="N837" t="s">
        <v>2101</v>
      </c>
      <c r="O837" t="s">
        <v>2102</v>
      </c>
      <c r="P837">
        <v>0</v>
      </c>
    </row>
    <row r="838" spans="1:16" x14ac:dyDescent="0.3">
      <c r="A838" t="s">
        <v>28</v>
      </c>
      <c r="B838" t="s">
        <v>20</v>
      </c>
      <c r="C838" t="s">
        <v>21</v>
      </c>
      <c r="D838" t="s">
        <v>363</v>
      </c>
      <c r="E838" t="s">
        <v>569</v>
      </c>
      <c r="F838" t="s">
        <v>11</v>
      </c>
      <c r="G838" t="s">
        <v>651</v>
      </c>
      <c r="H838" t="s">
        <v>572</v>
      </c>
      <c r="I838">
        <v>58</v>
      </c>
      <c r="J838">
        <v>0.83549783549783552</v>
      </c>
      <c r="M838" t="s">
        <v>670</v>
      </c>
      <c r="N838" t="s">
        <v>2103</v>
      </c>
      <c r="O838" t="s">
        <v>2104</v>
      </c>
      <c r="P838">
        <v>0</v>
      </c>
    </row>
    <row r="839" spans="1:16" x14ac:dyDescent="0.3">
      <c r="A839" t="s">
        <v>28</v>
      </c>
      <c r="B839" t="s">
        <v>20</v>
      </c>
      <c r="C839" t="s">
        <v>21</v>
      </c>
      <c r="D839" t="s">
        <v>363</v>
      </c>
      <c r="E839" t="s">
        <v>569</v>
      </c>
      <c r="F839" t="s">
        <v>11</v>
      </c>
      <c r="G839" t="s">
        <v>656</v>
      </c>
      <c r="H839" t="s">
        <v>572</v>
      </c>
      <c r="I839">
        <v>59</v>
      </c>
      <c r="J839">
        <v>0.82560706401766004</v>
      </c>
      <c r="M839" t="s">
        <v>670</v>
      </c>
      <c r="N839" t="s">
        <v>2105</v>
      </c>
      <c r="O839" t="s">
        <v>2106</v>
      </c>
      <c r="P839">
        <v>0</v>
      </c>
    </row>
    <row r="840" spans="1:16" x14ac:dyDescent="0.3">
      <c r="A840" t="s">
        <v>28</v>
      </c>
      <c r="B840" t="s">
        <v>20</v>
      </c>
      <c r="C840" t="s">
        <v>21</v>
      </c>
      <c r="D840" t="s">
        <v>363</v>
      </c>
      <c r="E840" t="s">
        <v>569</v>
      </c>
      <c r="F840" t="s">
        <v>11</v>
      </c>
      <c r="G840" t="s">
        <v>661</v>
      </c>
      <c r="H840" t="s">
        <v>572</v>
      </c>
      <c r="I840">
        <v>60</v>
      </c>
      <c r="J840">
        <v>0.84279475982532748</v>
      </c>
      <c r="M840" t="s">
        <v>670</v>
      </c>
      <c r="N840" t="s">
        <v>2107</v>
      </c>
      <c r="O840" t="s">
        <v>2108</v>
      </c>
      <c r="P840">
        <v>0</v>
      </c>
    </row>
    <row r="841" spans="1:16" x14ac:dyDescent="0.3">
      <c r="A841" t="s">
        <v>28</v>
      </c>
      <c r="B841" t="s">
        <v>20</v>
      </c>
      <c r="C841" t="s">
        <v>21</v>
      </c>
      <c r="D841" t="s">
        <v>363</v>
      </c>
      <c r="E841" t="s">
        <v>569</v>
      </c>
      <c r="F841" t="s">
        <v>11</v>
      </c>
      <c r="G841" t="s">
        <v>666</v>
      </c>
      <c r="H841" t="s">
        <v>572</v>
      </c>
      <c r="I841">
        <v>61</v>
      </c>
      <c r="J841">
        <v>0.84395604395604407</v>
      </c>
      <c r="M841" t="s">
        <v>670</v>
      </c>
      <c r="N841" t="s">
        <v>2109</v>
      </c>
      <c r="O841" t="s">
        <v>2110</v>
      </c>
      <c r="P841">
        <v>0</v>
      </c>
    </row>
    <row r="842" spans="1:16" x14ac:dyDescent="0.3">
      <c r="A842" t="s">
        <v>28</v>
      </c>
      <c r="B842" t="s">
        <v>22</v>
      </c>
      <c r="C842" t="s">
        <v>23</v>
      </c>
      <c r="D842" t="s">
        <v>54</v>
      </c>
      <c r="E842" t="s">
        <v>56</v>
      </c>
      <c r="F842" t="s">
        <v>7</v>
      </c>
      <c r="G842" t="s">
        <v>57</v>
      </c>
      <c r="H842" t="s">
        <v>59</v>
      </c>
      <c r="I842">
        <v>42</v>
      </c>
      <c r="J842">
        <v>0.7116564417177913</v>
      </c>
      <c r="K842">
        <v>0.6718146718146718</v>
      </c>
      <c r="L842">
        <v>0.75652173913043474</v>
      </c>
      <c r="M842" t="s">
        <v>60</v>
      </c>
      <c r="N842" t="s">
        <v>2111</v>
      </c>
      <c r="O842" t="s">
        <v>2112</v>
      </c>
      <c r="P842">
        <v>7</v>
      </c>
    </row>
    <row r="843" spans="1:16" x14ac:dyDescent="0.3">
      <c r="A843" t="s">
        <v>28</v>
      </c>
      <c r="B843" t="s">
        <v>22</v>
      </c>
      <c r="C843" t="s">
        <v>23</v>
      </c>
      <c r="D843" t="s">
        <v>54</v>
      </c>
      <c r="E843" t="s">
        <v>56</v>
      </c>
      <c r="F843" t="s">
        <v>7</v>
      </c>
      <c r="G843" t="s">
        <v>65</v>
      </c>
      <c r="H843" t="s">
        <v>59</v>
      </c>
      <c r="I843">
        <v>43</v>
      </c>
      <c r="J843">
        <v>0.51717171717171717</v>
      </c>
      <c r="K843">
        <v>0.48301886792452831</v>
      </c>
      <c r="L843">
        <v>0.55652173913043479</v>
      </c>
      <c r="M843" t="s">
        <v>60</v>
      </c>
      <c r="N843" t="s">
        <v>2113</v>
      </c>
      <c r="O843" t="s">
        <v>2114</v>
      </c>
      <c r="P843">
        <v>2.9</v>
      </c>
    </row>
    <row r="844" spans="1:16" x14ac:dyDescent="0.3">
      <c r="A844" t="s">
        <v>28</v>
      </c>
      <c r="B844" t="s">
        <v>22</v>
      </c>
      <c r="C844" t="s">
        <v>23</v>
      </c>
      <c r="D844" t="s">
        <v>54</v>
      </c>
      <c r="E844" t="s">
        <v>56</v>
      </c>
      <c r="F844" t="s">
        <v>7</v>
      </c>
      <c r="G844" t="s">
        <v>70</v>
      </c>
      <c r="H844" t="s">
        <v>59</v>
      </c>
      <c r="I844">
        <v>44</v>
      </c>
      <c r="J844">
        <v>0.58704453441295545</v>
      </c>
      <c r="K844">
        <v>0.5492424242424242</v>
      </c>
      <c r="L844">
        <v>0.63043478260869568</v>
      </c>
      <c r="M844" t="s">
        <v>60</v>
      </c>
      <c r="N844" t="s">
        <v>2115</v>
      </c>
      <c r="O844" t="s">
        <v>2116</v>
      </c>
      <c r="P844">
        <v>1.7</v>
      </c>
    </row>
    <row r="845" spans="1:16" x14ac:dyDescent="0.3">
      <c r="A845" t="s">
        <v>28</v>
      </c>
      <c r="B845" t="s">
        <v>22</v>
      </c>
      <c r="C845" t="s">
        <v>23</v>
      </c>
      <c r="D845" t="s">
        <v>54</v>
      </c>
      <c r="E845" t="s">
        <v>56</v>
      </c>
      <c r="F845" t="s">
        <v>7</v>
      </c>
      <c r="G845" t="s">
        <v>75</v>
      </c>
      <c r="H845" t="s">
        <v>59</v>
      </c>
      <c r="I845">
        <v>45</v>
      </c>
      <c r="J845">
        <v>0.72727272727272729</v>
      </c>
      <c r="K845">
        <v>0.69291338582677164</v>
      </c>
      <c r="L845">
        <v>0.76521739130434785</v>
      </c>
      <c r="M845" t="s">
        <v>60</v>
      </c>
      <c r="N845" t="s">
        <v>2117</v>
      </c>
      <c r="O845" t="s">
        <v>2118</v>
      </c>
      <c r="P845">
        <v>3</v>
      </c>
    </row>
    <row r="846" spans="1:16" x14ac:dyDescent="0.3">
      <c r="A846" t="s">
        <v>28</v>
      </c>
      <c r="B846" t="s">
        <v>22</v>
      </c>
      <c r="C846" t="s">
        <v>23</v>
      </c>
      <c r="D846" t="s">
        <v>54</v>
      </c>
      <c r="E846" t="s">
        <v>56</v>
      </c>
      <c r="F846" t="s">
        <v>7</v>
      </c>
      <c r="G846" t="s">
        <v>80</v>
      </c>
      <c r="H846" t="s">
        <v>59</v>
      </c>
      <c r="I846">
        <v>46</v>
      </c>
      <c r="J846">
        <v>0.55506607929515417</v>
      </c>
      <c r="K846">
        <v>0.5625</v>
      </c>
      <c r="L846">
        <v>0.54782608695652169</v>
      </c>
      <c r="M846" t="s">
        <v>60</v>
      </c>
      <c r="N846" t="s">
        <v>2119</v>
      </c>
      <c r="O846" t="s">
        <v>2120</v>
      </c>
      <c r="P846">
        <v>1.4</v>
      </c>
    </row>
    <row r="847" spans="1:16" x14ac:dyDescent="0.3">
      <c r="A847" t="s">
        <v>28</v>
      </c>
      <c r="B847" t="s">
        <v>22</v>
      </c>
      <c r="C847" t="s">
        <v>23</v>
      </c>
      <c r="D847" t="s">
        <v>54</v>
      </c>
      <c r="E847" t="s">
        <v>56</v>
      </c>
      <c r="F847" t="s">
        <v>7</v>
      </c>
      <c r="G847" t="s">
        <v>85</v>
      </c>
      <c r="H847" t="s">
        <v>59</v>
      </c>
      <c r="I847">
        <v>47</v>
      </c>
      <c r="J847">
        <v>0.73100616016427111</v>
      </c>
      <c r="K847">
        <v>0.69260700389105057</v>
      </c>
      <c r="L847">
        <v>0.77391304347826084</v>
      </c>
      <c r="M847" t="s">
        <v>60</v>
      </c>
      <c r="N847" t="s">
        <v>2121</v>
      </c>
      <c r="O847" t="s">
        <v>2122</v>
      </c>
      <c r="P847">
        <v>1.4</v>
      </c>
    </row>
    <row r="848" spans="1:16" x14ac:dyDescent="0.3">
      <c r="A848" t="s">
        <v>28</v>
      </c>
      <c r="B848" t="s">
        <v>22</v>
      </c>
      <c r="C848" t="s">
        <v>23</v>
      </c>
      <c r="D848" t="s">
        <v>54</v>
      </c>
      <c r="E848" t="s">
        <v>56</v>
      </c>
      <c r="F848" t="s">
        <v>7</v>
      </c>
      <c r="G848" t="s">
        <v>90</v>
      </c>
      <c r="H848" t="s">
        <v>59</v>
      </c>
      <c r="I848">
        <v>48</v>
      </c>
      <c r="J848">
        <v>0.75744680851063839</v>
      </c>
      <c r="K848">
        <v>0.7416666666666667</v>
      </c>
      <c r="L848">
        <v>0.77391304347826084</v>
      </c>
      <c r="M848" t="s">
        <v>60</v>
      </c>
      <c r="N848" t="s">
        <v>2123</v>
      </c>
      <c r="O848" t="s">
        <v>2124</v>
      </c>
      <c r="P848">
        <v>1.4</v>
      </c>
    </row>
    <row r="849" spans="1:16" x14ac:dyDescent="0.3">
      <c r="A849" t="s">
        <v>28</v>
      </c>
      <c r="B849" t="s">
        <v>22</v>
      </c>
      <c r="C849" t="s">
        <v>23</v>
      </c>
      <c r="D849" t="s">
        <v>54</v>
      </c>
      <c r="E849" t="s">
        <v>56</v>
      </c>
      <c r="F849" t="s">
        <v>7</v>
      </c>
      <c r="G849" t="s">
        <v>95</v>
      </c>
      <c r="H849" t="s">
        <v>59</v>
      </c>
      <c r="I849">
        <v>49</v>
      </c>
      <c r="J849">
        <v>0.73210633946830261</v>
      </c>
      <c r="K849">
        <v>0.69111969111969107</v>
      </c>
      <c r="L849">
        <v>0.77826086956521734</v>
      </c>
      <c r="M849" t="s">
        <v>60</v>
      </c>
      <c r="N849" t="s">
        <v>2125</v>
      </c>
      <c r="O849" t="s">
        <v>2126</v>
      </c>
      <c r="P849">
        <v>1.4</v>
      </c>
    </row>
    <row r="850" spans="1:16" x14ac:dyDescent="0.3">
      <c r="A850" t="s">
        <v>28</v>
      </c>
      <c r="B850" t="s">
        <v>22</v>
      </c>
      <c r="C850" t="s">
        <v>23</v>
      </c>
      <c r="D850" t="s">
        <v>54</v>
      </c>
      <c r="E850" t="s">
        <v>56</v>
      </c>
      <c r="F850" t="s">
        <v>7</v>
      </c>
      <c r="G850" t="s">
        <v>100</v>
      </c>
      <c r="H850" t="s">
        <v>59</v>
      </c>
      <c r="I850">
        <v>50</v>
      </c>
      <c r="J850">
        <v>0.73949579831932788</v>
      </c>
      <c r="K850">
        <v>0.71544715447154472</v>
      </c>
      <c r="L850">
        <v>0.76521739130434785</v>
      </c>
      <c r="M850" t="s">
        <v>60</v>
      </c>
      <c r="N850" t="s">
        <v>2127</v>
      </c>
      <c r="O850" t="s">
        <v>2128</v>
      </c>
      <c r="P850">
        <v>1.6</v>
      </c>
    </row>
    <row r="851" spans="1:16" x14ac:dyDescent="0.3">
      <c r="A851" t="s">
        <v>28</v>
      </c>
      <c r="B851" t="s">
        <v>22</v>
      </c>
      <c r="C851" t="s">
        <v>23</v>
      </c>
      <c r="D851" t="s">
        <v>54</v>
      </c>
      <c r="E851" t="s">
        <v>56</v>
      </c>
      <c r="F851" t="s">
        <v>7</v>
      </c>
      <c r="G851" t="s">
        <v>105</v>
      </c>
      <c r="H851" t="s">
        <v>59</v>
      </c>
      <c r="I851">
        <v>51</v>
      </c>
      <c r="J851">
        <v>0.46575342465753428</v>
      </c>
      <c r="K851">
        <v>0.49038461538461542</v>
      </c>
      <c r="L851">
        <v>0.44347826086956521</v>
      </c>
      <c r="M851" t="s">
        <v>60</v>
      </c>
      <c r="N851" t="s">
        <v>2129</v>
      </c>
      <c r="O851" t="s">
        <v>2130</v>
      </c>
      <c r="P851">
        <v>1.8</v>
      </c>
    </row>
    <row r="852" spans="1:16" x14ac:dyDescent="0.3">
      <c r="A852" t="s">
        <v>28</v>
      </c>
      <c r="B852" t="s">
        <v>22</v>
      </c>
      <c r="C852" t="s">
        <v>23</v>
      </c>
      <c r="D852" t="s">
        <v>54</v>
      </c>
      <c r="E852" t="s">
        <v>56</v>
      </c>
      <c r="F852" t="s">
        <v>7</v>
      </c>
      <c r="G852" t="s">
        <v>110</v>
      </c>
      <c r="H852" t="s">
        <v>59</v>
      </c>
      <c r="I852">
        <v>52</v>
      </c>
      <c r="J852">
        <v>0.73903966597077242</v>
      </c>
      <c r="K852">
        <v>0.71084337349397586</v>
      </c>
      <c r="L852">
        <v>0.76956521739130435</v>
      </c>
      <c r="M852" t="s">
        <v>60</v>
      </c>
      <c r="N852" t="s">
        <v>2131</v>
      </c>
      <c r="O852" t="s">
        <v>2132</v>
      </c>
      <c r="P852">
        <v>1.4</v>
      </c>
    </row>
    <row r="853" spans="1:16" x14ac:dyDescent="0.3">
      <c r="A853" t="s">
        <v>28</v>
      </c>
      <c r="B853" t="s">
        <v>22</v>
      </c>
      <c r="C853" t="s">
        <v>23</v>
      </c>
      <c r="D853" t="s">
        <v>54</v>
      </c>
      <c r="E853" t="s">
        <v>56</v>
      </c>
      <c r="F853" t="s">
        <v>7</v>
      </c>
      <c r="G853" t="s">
        <v>115</v>
      </c>
      <c r="H853" t="s">
        <v>59</v>
      </c>
      <c r="I853">
        <v>53</v>
      </c>
      <c r="J853">
        <v>0.47266881028938901</v>
      </c>
      <c r="K853">
        <v>0.375</v>
      </c>
      <c r="L853">
        <v>0.63913043478260867</v>
      </c>
      <c r="M853" t="s">
        <v>60</v>
      </c>
      <c r="N853" t="s">
        <v>2133</v>
      </c>
      <c r="O853" t="s">
        <v>2134</v>
      </c>
      <c r="P853">
        <v>1.5</v>
      </c>
    </row>
    <row r="854" spans="1:16" x14ac:dyDescent="0.3">
      <c r="A854" t="s">
        <v>28</v>
      </c>
      <c r="B854" t="s">
        <v>22</v>
      </c>
      <c r="C854" t="s">
        <v>23</v>
      </c>
      <c r="D854" t="s">
        <v>54</v>
      </c>
      <c r="E854" t="s">
        <v>56</v>
      </c>
      <c r="F854" t="s">
        <v>7</v>
      </c>
      <c r="G854" t="s">
        <v>120</v>
      </c>
      <c r="H854" t="s">
        <v>59</v>
      </c>
      <c r="I854">
        <v>54</v>
      </c>
      <c r="J854">
        <v>0.51494252873563218</v>
      </c>
      <c r="K854">
        <v>0.54634146341463419</v>
      </c>
      <c r="L854">
        <v>0.48695652173913051</v>
      </c>
      <c r="M854" t="s">
        <v>60</v>
      </c>
      <c r="N854" t="s">
        <v>2135</v>
      </c>
      <c r="O854" t="s">
        <v>2136</v>
      </c>
      <c r="P854">
        <v>1.4</v>
      </c>
    </row>
    <row r="855" spans="1:16" x14ac:dyDescent="0.3">
      <c r="A855" t="s">
        <v>28</v>
      </c>
      <c r="B855" t="s">
        <v>22</v>
      </c>
      <c r="C855" t="s">
        <v>23</v>
      </c>
      <c r="D855" t="s">
        <v>54</v>
      </c>
      <c r="E855" t="s">
        <v>56</v>
      </c>
      <c r="F855" t="s">
        <v>7</v>
      </c>
      <c r="G855" t="s">
        <v>125</v>
      </c>
      <c r="H855" t="s">
        <v>59</v>
      </c>
      <c r="I855">
        <v>55</v>
      </c>
      <c r="J855">
        <v>0.53333333333333321</v>
      </c>
      <c r="K855">
        <v>0.54545454545454541</v>
      </c>
      <c r="L855">
        <v>0.52173913043478259</v>
      </c>
      <c r="M855" t="s">
        <v>60</v>
      </c>
      <c r="N855" t="s">
        <v>2137</v>
      </c>
      <c r="O855" t="s">
        <v>2138</v>
      </c>
      <c r="P855">
        <v>1.4</v>
      </c>
    </row>
    <row r="856" spans="1:16" x14ac:dyDescent="0.3">
      <c r="A856" t="s">
        <v>28</v>
      </c>
      <c r="B856" t="s">
        <v>22</v>
      </c>
      <c r="C856" t="s">
        <v>23</v>
      </c>
      <c r="D856" t="s">
        <v>54</v>
      </c>
      <c r="E856" t="s">
        <v>56</v>
      </c>
      <c r="F856" t="s">
        <v>7</v>
      </c>
      <c r="G856" t="s">
        <v>130</v>
      </c>
      <c r="H856" t="s">
        <v>59</v>
      </c>
      <c r="I856">
        <v>56</v>
      </c>
      <c r="J856">
        <v>0.75463917525773194</v>
      </c>
      <c r="K856">
        <v>0.71764705882352942</v>
      </c>
      <c r="L856">
        <v>0.79565217391304344</v>
      </c>
      <c r="M856" t="s">
        <v>60</v>
      </c>
      <c r="N856" t="s">
        <v>2139</v>
      </c>
      <c r="O856" t="s">
        <v>2140</v>
      </c>
      <c r="P856">
        <v>1.8</v>
      </c>
    </row>
    <row r="857" spans="1:16" x14ac:dyDescent="0.3">
      <c r="A857" t="s">
        <v>28</v>
      </c>
      <c r="B857" t="s">
        <v>22</v>
      </c>
      <c r="C857" t="s">
        <v>23</v>
      </c>
      <c r="D857" t="s">
        <v>54</v>
      </c>
      <c r="E857" t="s">
        <v>56</v>
      </c>
      <c r="F857" t="s">
        <v>7</v>
      </c>
      <c r="G857" t="s">
        <v>135</v>
      </c>
      <c r="H857" t="s">
        <v>59</v>
      </c>
      <c r="I857">
        <v>57</v>
      </c>
      <c r="J857">
        <v>0.54669703872437359</v>
      </c>
      <c r="K857">
        <v>0.57416267942583732</v>
      </c>
      <c r="L857">
        <v>0.52173913043478259</v>
      </c>
      <c r="M857" t="s">
        <v>60</v>
      </c>
      <c r="N857" t="s">
        <v>2141</v>
      </c>
      <c r="O857" t="s">
        <v>2142</v>
      </c>
      <c r="P857">
        <v>1.5</v>
      </c>
    </row>
    <row r="858" spans="1:16" x14ac:dyDescent="0.3">
      <c r="A858" t="s">
        <v>28</v>
      </c>
      <c r="B858" t="s">
        <v>22</v>
      </c>
      <c r="C858" t="s">
        <v>23</v>
      </c>
      <c r="D858" t="s">
        <v>54</v>
      </c>
      <c r="E858" t="s">
        <v>56</v>
      </c>
      <c r="F858" t="s">
        <v>7</v>
      </c>
      <c r="G858" t="s">
        <v>140</v>
      </c>
      <c r="H858" t="s">
        <v>59</v>
      </c>
      <c r="I858">
        <v>58</v>
      </c>
      <c r="J858">
        <v>0.75259875259875264</v>
      </c>
      <c r="K858">
        <v>0.7211155378486056</v>
      </c>
      <c r="L858">
        <v>0.78695652173913044</v>
      </c>
      <c r="M858" t="s">
        <v>60</v>
      </c>
      <c r="N858" t="s">
        <v>2143</v>
      </c>
      <c r="O858" t="s">
        <v>2144</v>
      </c>
      <c r="P858">
        <v>1.4</v>
      </c>
    </row>
    <row r="859" spans="1:16" x14ac:dyDescent="0.3">
      <c r="A859" t="s">
        <v>28</v>
      </c>
      <c r="B859" t="s">
        <v>22</v>
      </c>
      <c r="C859" t="s">
        <v>23</v>
      </c>
      <c r="D859" t="s">
        <v>54</v>
      </c>
      <c r="E859" t="s">
        <v>56</v>
      </c>
      <c r="F859" t="s">
        <v>7</v>
      </c>
      <c r="G859" t="s">
        <v>145</v>
      </c>
      <c r="H859" t="s">
        <v>59</v>
      </c>
      <c r="I859">
        <v>59</v>
      </c>
      <c r="J859">
        <v>0.73511293634496921</v>
      </c>
      <c r="K859">
        <v>0.69649805447470814</v>
      </c>
      <c r="L859">
        <v>0.77826086956521734</v>
      </c>
      <c r="M859" t="s">
        <v>60</v>
      </c>
      <c r="N859" t="s">
        <v>2145</v>
      </c>
      <c r="O859" t="s">
        <v>2146</v>
      </c>
      <c r="P859">
        <v>1.4</v>
      </c>
    </row>
    <row r="860" spans="1:16" x14ac:dyDescent="0.3">
      <c r="A860" t="s">
        <v>28</v>
      </c>
      <c r="B860" t="s">
        <v>22</v>
      </c>
      <c r="C860" t="s">
        <v>23</v>
      </c>
      <c r="D860" t="s">
        <v>54</v>
      </c>
      <c r="E860" t="s">
        <v>56</v>
      </c>
      <c r="F860" t="s">
        <v>7</v>
      </c>
      <c r="G860" t="s">
        <v>150</v>
      </c>
      <c r="H860" t="s">
        <v>59</v>
      </c>
      <c r="I860">
        <v>60</v>
      </c>
      <c r="J860">
        <v>0.6064030131826742</v>
      </c>
      <c r="K860">
        <v>0.53488372093023251</v>
      </c>
      <c r="L860">
        <v>0.7</v>
      </c>
      <c r="M860" t="s">
        <v>60</v>
      </c>
      <c r="N860" t="s">
        <v>2147</v>
      </c>
      <c r="O860" t="s">
        <v>2148</v>
      </c>
      <c r="P860">
        <v>1.4</v>
      </c>
    </row>
    <row r="861" spans="1:16" x14ac:dyDescent="0.3">
      <c r="A861" t="s">
        <v>28</v>
      </c>
      <c r="B861" t="s">
        <v>22</v>
      </c>
      <c r="C861" t="s">
        <v>23</v>
      </c>
      <c r="D861" t="s">
        <v>54</v>
      </c>
      <c r="E861" t="s">
        <v>56</v>
      </c>
      <c r="F861" t="s">
        <v>7</v>
      </c>
      <c r="G861" t="s">
        <v>155</v>
      </c>
      <c r="H861" t="s">
        <v>59</v>
      </c>
      <c r="I861">
        <v>61</v>
      </c>
      <c r="J861">
        <v>0.5233265720081135</v>
      </c>
      <c r="K861">
        <v>0.49049429657794669</v>
      </c>
      <c r="L861">
        <v>0.56086956521739129</v>
      </c>
      <c r="M861" t="s">
        <v>60</v>
      </c>
      <c r="N861" t="s">
        <v>2149</v>
      </c>
      <c r="O861" t="s">
        <v>2150</v>
      </c>
      <c r="P861">
        <v>1.5</v>
      </c>
    </row>
    <row r="862" spans="1:16" x14ac:dyDescent="0.3">
      <c r="A862" t="s">
        <v>28</v>
      </c>
      <c r="B862" t="s">
        <v>22</v>
      </c>
      <c r="C862" t="s">
        <v>23</v>
      </c>
      <c r="D862" t="s">
        <v>54</v>
      </c>
      <c r="E862" t="s">
        <v>160</v>
      </c>
      <c r="F862" t="s">
        <v>3</v>
      </c>
      <c r="G862" t="s">
        <v>161</v>
      </c>
      <c r="H862" t="s">
        <v>163</v>
      </c>
      <c r="I862">
        <v>42</v>
      </c>
      <c r="J862">
        <v>0.43943661971830988</v>
      </c>
      <c r="K862">
        <v>0.41935483870967738</v>
      </c>
      <c r="L862">
        <v>0.46153846153846162</v>
      </c>
      <c r="M862" t="s">
        <v>60</v>
      </c>
      <c r="N862" t="s">
        <v>2151</v>
      </c>
      <c r="O862" t="s">
        <v>2152</v>
      </c>
      <c r="P862">
        <v>1.4</v>
      </c>
    </row>
    <row r="863" spans="1:16" x14ac:dyDescent="0.3">
      <c r="A863" t="s">
        <v>28</v>
      </c>
      <c r="B863" t="s">
        <v>22</v>
      </c>
      <c r="C863" t="s">
        <v>23</v>
      </c>
      <c r="D863" t="s">
        <v>54</v>
      </c>
      <c r="E863" t="s">
        <v>160</v>
      </c>
      <c r="F863" t="s">
        <v>3</v>
      </c>
      <c r="G863" t="s">
        <v>167</v>
      </c>
      <c r="H863" t="s">
        <v>163</v>
      </c>
      <c r="I863">
        <v>43</v>
      </c>
      <c r="J863">
        <v>0.61369863013698622</v>
      </c>
      <c r="K863">
        <v>0.5714285714285714</v>
      </c>
      <c r="L863">
        <v>0.66272189349112431</v>
      </c>
      <c r="M863" t="s">
        <v>60</v>
      </c>
      <c r="N863" t="s">
        <v>2153</v>
      </c>
      <c r="O863" t="s">
        <v>2154</v>
      </c>
      <c r="P863">
        <v>1.7</v>
      </c>
    </row>
    <row r="864" spans="1:16" x14ac:dyDescent="0.3">
      <c r="A864" t="s">
        <v>28</v>
      </c>
      <c r="B864" t="s">
        <v>22</v>
      </c>
      <c r="C864" t="s">
        <v>23</v>
      </c>
      <c r="D864" t="s">
        <v>54</v>
      </c>
      <c r="E864" t="s">
        <v>160</v>
      </c>
      <c r="F864" t="s">
        <v>3</v>
      </c>
      <c r="G864" t="s">
        <v>172</v>
      </c>
      <c r="H864" t="s">
        <v>163</v>
      </c>
      <c r="I864">
        <v>44</v>
      </c>
      <c r="J864">
        <v>0.57894736842105265</v>
      </c>
      <c r="K864">
        <v>0.52132701421800953</v>
      </c>
      <c r="L864">
        <v>0.65088757396449703</v>
      </c>
      <c r="M864" t="s">
        <v>60</v>
      </c>
      <c r="N864" t="s">
        <v>2155</v>
      </c>
      <c r="O864" t="s">
        <v>2156</v>
      </c>
      <c r="P864">
        <v>1.4</v>
      </c>
    </row>
    <row r="865" spans="1:16" x14ac:dyDescent="0.3">
      <c r="A865" t="s">
        <v>28</v>
      </c>
      <c r="B865" t="s">
        <v>22</v>
      </c>
      <c r="C865" t="s">
        <v>23</v>
      </c>
      <c r="D865" t="s">
        <v>54</v>
      </c>
      <c r="E865" t="s">
        <v>160</v>
      </c>
      <c r="F865" t="s">
        <v>3</v>
      </c>
      <c r="G865" t="s">
        <v>177</v>
      </c>
      <c r="H865" t="s">
        <v>163</v>
      </c>
      <c r="I865">
        <v>45</v>
      </c>
      <c r="J865">
        <v>0.67553191489361697</v>
      </c>
      <c r="K865">
        <v>0.61352657004830913</v>
      </c>
      <c r="L865">
        <v>0.75147928994082835</v>
      </c>
      <c r="M865" t="s">
        <v>60</v>
      </c>
      <c r="N865" t="s">
        <v>2157</v>
      </c>
      <c r="O865" t="s">
        <v>2158</v>
      </c>
      <c r="P865">
        <v>1.4</v>
      </c>
    </row>
    <row r="866" spans="1:16" x14ac:dyDescent="0.3">
      <c r="A866" t="s">
        <v>28</v>
      </c>
      <c r="B866" t="s">
        <v>22</v>
      </c>
      <c r="C866" t="s">
        <v>23</v>
      </c>
      <c r="D866" t="s">
        <v>54</v>
      </c>
      <c r="E866" t="s">
        <v>160</v>
      </c>
      <c r="F866" t="s">
        <v>3</v>
      </c>
      <c r="G866" t="s">
        <v>182</v>
      </c>
      <c r="H866" t="s">
        <v>163</v>
      </c>
      <c r="I866">
        <v>46</v>
      </c>
      <c r="J866">
        <v>0.75338753387533874</v>
      </c>
      <c r="K866">
        <v>0.69499999999999995</v>
      </c>
      <c r="L866">
        <v>0.8224852071005917</v>
      </c>
      <c r="M866" t="s">
        <v>60</v>
      </c>
      <c r="N866" t="s">
        <v>2159</v>
      </c>
      <c r="O866" t="s">
        <v>2160</v>
      </c>
      <c r="P866">
        <v>1.5</v>
      </c>
    </row>
    <row r="867" spans="1:16" x14ac:dyDescent="0.3">
      <c r="A867" t="s">
        <v>28</v>
      </c>
      <c r="B867" t="s">
        <v>22</v>
      </c>
      <c r="C867" t="s">
        <v>23</v>
      </c>
      <c r="D867" t="s">
        <v>54</v>
      </c>
      <c r="E867" t="s">
        <v>160</v>
      </c>
      <c r="F867" t="s">
        <v>3</v>
      </c>
      <c r="G867" t="s">
        <v>187</v>
      </c>
      <c r="H867" t="s">
        <v>163</v>
      </c>
      <c r="I867">
        <v>47</v>
      </c>
      <c r="J867">
        <v>0.76502732240437155</v>
      </c>
      <c r="K867">
        <v>0.71065989847715738</v>
      </c>
      <c r="L867">
        <v>0.82840236686390534</v>
      </c>
      <c r="M867" t="s">
        <v>60</v>
      </c>
      <c r="N867" t="s">
        <v>2161</v>
      </c>
      <c r="O867" t="s">
        <v>2162</v>
      </c>
      <c r="P867">
        <v>1.4</v>
      </c>
    </row>
    <row r="868" spans="1:16" x14ac:dyDescent="0.3">
      <c r="A868" t="s">
        <v>28</v>
      </c>
      <c r="B868" t="s">
        <v>22</v>
      </c>
      <c r="C868" t="s">
        <v>23</v>
      </c>
      <c r="D868" t="s">
        <v>54</v>
      </c>
      <c r="E868" t="s">
        <v>160</v>
      </c>
      <c r="F868" t="s">
        <v>3</v>
      </c>
      <c r="G868" t="s">
        <v>192</v>
      </c>
      <c r="H868" t="s">
        <v>163</v>
      </c>
      <c r="I868">
        <v>48</v>
      </c>
      <c r="J868">
        <v>0.71708683473389345</v>
      </c>
      <c r="K868">
        <v>0.68085106382978722</v>
      </c>
      <c r="L868">
        <v>0.75739644970414199</v>
      </c>
      <c r="M868" t="s">
        <v>60</v>
      </c>
      <c r="N868" t="s">
        <v>2163</v>
      </c>
      <c r="O868" t="s">
        <v>2164</v>
      </c>
      <c r="P868">
        <v>1.3</v>
      </c>
    </row>
    <row r="869" spans="1:16" x14ac:dyDescent="0.3">
      <c r="A869" t="s">
        <v>28</v>
      </c>
      <c r="B869" t="s">
        <v>22</v>
      </c>
      <c r="C869" t="s">
        <v>23</v>
      </c>
      <c r="D869" t="s">
        <v>54</v>
      </c>
      <c r="E869" t="s">
        <v>160</v>
      </c>
      <c r="F869" t="s">
        <v>3</v>
      </c>
      <c r="G869" t="s">
        <v>197</v>
      </c>
      <c r="H869" t="s">
        <v>163</v>
      </c>
      <c r="I869">
        <v>49</v>
      </c>
      <c r="J869">
        <v>0.41095890410958902</v>
      </c>
      <c r="K869">
        <v>0.38265306122448978</v>
      </c>
      <c r="L869">
        <v>0.4437869822485207</v>
      </c>
      <c r="M869" t="s">
        <v>60</v>
      </c>
      <c r="N869" t="s">
        <v>2165</v>
      </c>
      <c r="O869" t="s">
        <v>2166</v>
      </c>
      <c r="P869">
        <v>1.5</v>
      </c>
    </row>
    <row r="870" spans="1:16" x14ac:dyDescent="0.3">
      <c r="A870" t="s">
        <v>28</v>
      </c>
      <c r="B870" t="s">
        <v>22</v>
      </c>
      <c r="C870" t="s">
        <v>23</v>
      </c>
      <c r="D870" t="s">
        <v>54</v>
      </c>
      <c r="E870" t="s">
        <v>160</v>
      </c>
      <c r="F870" t="s">
        <v>3</v>
      </c>
      <c r="G870" t="s">
        <v>202</v>
      </c>
      <c r="H870" t="s">
        <v>163</v>
      </c>
      <c r="I870">
        <v>50</v>
      </c>
      <c r="J870">
        <v>0.74052478134110788</v>
      </c>
      <c r="K870">
        <v>0.72988505747126442</v>
      </c>
      <c r="L870">
        <v>0.75147928994082835</v>
      </c>
      <c r="M870" t="s">
        <v>60</v>
      </c>
      <c r="N870" t="s">
        <v>2167</v>
      </c>
      <c r="O870" t="s">
        <v>2168</v>
      </c>
      <c r="P870">
        <v>1.7</v>
      </c>
    </row>
    <row r="871" spans="1:16" x14ac:dyDescent="0.3">
      <c r="A871" t="s">
        <v>28</v>
      </c>
      <c r="B871" t="s">
        <v>22</v>
      </c>
      <c r="C871" t="s">
        <v>23</v>
      </c>
      <c r="D871" t="s">
        <v>54</v>
      </c>
      <c r="E871" t="s">
        <v>160</v>
      </c>
      <c r="F871" t="s">
        <v>3</v>
      </c>
      <c r="G871" t="s">
        <v>207</v>
      </c>
      <c r="H871" t="s">
        <v>163</v>
      </c>
      <c r="I871">
        <v>51</v>
      </c>
      <c r="J871">
        <v>0.75138121546961323</v>
      </c>
      <c r="K871">
        <v>0.70466321243523311</v>
      </c>
      <c r="L871">
        <v>0.80473372781065089</v>
      </c>
      <c r="M871" t="s">
        <v>60</v>
      </c>
      <c r="N871" t="s">
        <v>2169</v>
      </c>
      <c r="O871" t="s">
        <v>2170</v>
      </c>
      <c r="P871">
        <v>1.3</v>
      </c>
    </row>
    <row r="872" spans="1:16" x14ac:dyDescent="0.3">
      <c r="A872" t="s">
        <v>28</v>
      </c>
      <c r="B872" t="s">
        <v>22</v>
      </c>
      <c r="C872" t="s">
        <v>23</v>
      </c>
      <c r="D872" t="s">
        <v>54</v>
      </c>
      <c r="E872" t="s">
        <v>160</v>
      </c>
      <c r="F872" t="s">
        <v>3</v>
      </c>
      <c r="G872" t="s">
        <v>212</v>
      </c>
      <c r="H872" t="s">
        <v>163</v>
      </c>
      <c r="I872">
        <v>52</v>
      </c>
      <c r="J872">
        <v>0.56603773584905659</v>
      </c>
      <c r="K872">
        <v>0.51980198019801982</v>
      </c>
      <c r="L872">
        <v>0.62130177514792895</v>
      </c>
      <c r="M872" t="s">
        <v>60</v>
      </c>
      <c r="N872" t="s">
        <v>2171</v>
      </c>
      <c r="O872" t="s">
        <v>2172</v>
      </c>
      <c r="P872">
        <v>1.5</v>
      </c>
    </row>
    <row r="873" spans="1:16" x14ac:dyDescent="0.3">
      <c r="A873" t="s">
        <v>28</v>
      </c>
      <c r="B873" t="s">
        <v>22</v>
      </c>
      <c r="C873" t="s">
        <v>23</v>
      </c>
      <c r="D873" t="s">
        <v>54</v>
      </c>
      <c r="E873" t="s">
        <v>160</v>
      </c>
      <c r="F873" t="s">
        <v>3</v>
      </c>
      <c r="G873" t="s">
        <v>217</v>
      </c>
      <c r="H873" t="s">
        <v>163</v>
      </c>
      <c r="I873">
        <v>53</v>
      </c>
      <c r="J873">
        <v>0.7103825136612022</v>
      </c>
      <c r="K873">
        <v>0.65989847715736039</v>
      </c>
      <c r="L873">
        <v>0.76923076923076927</v>
      </c>
      <c r="M873" t="s">
        <v>60</v>
      </c>
      <c r="N873" t="s">
        <v>2173</v>
      </c>
      <c r="O873" t="s">
        <v>2174</v>
      </c>
      <c r="P873">
        <v>2.2000000000000002</v>
      </c>
    </row>
    <row r="874" spans="1:16" x14ac:dyDescent="0.3">
      <c r="A874" t="s">
        <v>28</v>
      </c>
      <c r="B874" t="s">
        <v>22</v>
      </c>
      <c r="C874" t="s">
        <v>23</v>
      </c>
      <c r="D874" t="s">
        <v>54</v>
      </c>
      <c r="E874" t="s">
        <v>160</v>
      </c>
      <c r="F874" t="s">
        <v>3</v>
      </c>
      <c r="G874" t="s">
        <v>222</v>
      </c>
      <c r="H874" t="s">
        <v>163</v>
      </c>
      <c r="I874">
        <v>54</v>
      </c>
      <c r="J874">
        <v>0.73480662983425415</v>
      </c>
      <c r="K874">
        <v>0.68911917098445596</v>
      </c>
      <c r="L874">
        <v>0.78698224852071008</v>
      </c>
      <c r="M874" t="s">
        <v>60</v>
      </c>
      <c r="N874" t="s">
        <v>2175</v>
      </c>
      <c r="O874" t="s">
        <v>2176</v>
      </c>
      <c r="P874">
        <v>1.3</v>
      </c>
    </row>
    <row r="875" spans="1:16" x14ac:dyDescent="0.3">
      <c r="A875" t="s">
        <v>28</v>
      </c>
      <c r="B875" t="s">
        <v>22</v>
      </c>
      <c r="C875" t="s">
        <v>23</v>
      </c>
      <c r="D875" t="s">
        <v>54</v>
      </c>
      <c r="E875" t="s">
        <v>160</v>
      </c>
      <c r="F875" t="s">
        <v>3</v>
      </c>
      <c r="G875" t="s">
        <v>227</v>
      </c>
      <c r="H875" t="s">
        <v>163</v>
      </c>
      <c r="I875">
        <v>55</v>
      </c>
      <c r="J875">
        <v>0.76630434782608703</v>
      </c>
      <c r="K875">
        <v>0.70854271356783916</v>
      </c>
      <c r="L875">
        <v>0.83431952662721898</v>
      </c>
      <c r="M875" t="s">
        <v>60</v>
      </c>
      <c r="N875" t="s">
        <v>2177</v>
      </c>
      <c r="O875" t="s">
        <v>2178</v>
      </c>
      <c r="P875">
        <v>1.4</v>
      </c>
    </row>
    <row r="876" spans="1:16" x14ac:dyDescent="0.3">
      <c r="A876" t="s">
        <v>28</v>
      </c>
      <c r="B876" t="s">
        <v>22</v>
      </c>
      <c r="C876" t="s">
        <v>23</v>
      </c>
      <c r="D876" t="s">
        <v>54</v>
      </c>
      <c r="E876" t="s">
        <v>160</v>
      </c>
      <c r="F876" t="s">
        <v>3</v>
      </c>
      <c r="G876" t="s">
        <v>232</v>
      </c>
      <c r="H876" t="s">
        <v>163</v>
      </c>
      <c r="I876">
        <v>56</v>
      </c>
      <c r="J876">
        <v>0.73888888888888882</v>
      </c>
      <c r="K876">
        <v>0.69633507853403143</v>
      </c>
      <c r="L876">
        <v>0.78698224852071008</v>
      </c>
      <c r="M876" t="s">
        <v>60</v>
      </c>
      <c r="N876" t="s">
        <v>2179</v>
      </c>
      <c r="O876" t="s">
        <v>2180</v>
      </c>
      <c r="P876">
        <v>1.5</v>
      </c>
    </row>
    <row r="877" spans="1:16" x14ac:dyDescent="0.3">
      <c r="A877" t="s">
        <v>28</v>
      </c>
      <c r="B877" t="s">
        <v>22</v>
      </c>
      <c r="C877" t="s">
        <v>23</v>
      </c>
      <c r="D877" t="s">
        <v>54</v>
      </c>
      <c r="E877" t="s">
        <v>160</v>
      </c>
      <c r="F877" t="s">
        <v>3</v>
      </c>
      <c r="G877" t="s">
        <v>237</v>
      </c>
      <c r="H877" t="s">
        <v>163</v>
      </c>
      <c r="I877">
        <v>57</v>
      </c>
      <c r="J877">
        <v>0.74863387978142093</v>
      </c>
      <c r="K877">
        <v>0.69543147208121825</v>
      </c>
      <c r="L877">
        <v>0.81065088757396453</v>
      </c>
      <c r="M877" t="s">
        <v>60</v>
      </c>
      <c r="N877" t="s">
        <v>2181</v>
      </c>
      <c r="O877" t="s">
        <v>2182</v>
      </c>
      <c r="P877">
        <v>1.3</v>
      </c>
    </row>
    <row r="878" spans="1:16" x14ac:dyDescent="0.3">
      <c r="A878" t="s">
        <v>28</v>
      </c>
      <c r="B878" t="s">
        <v>22</v>
      </c>
      <c r="C878" t="s">
        <v>23</v>
      </c>
      <c r="D878" t="s">
        <v>54</v>
      </c>
      <c r="E878" t="s">
        <v>160</v>
      </c>
      <c r="F878" t="s">
        <v>3</v>
      </c>
      <c r="G878" t="s">
        <v>242</v>
      </c>
      <c r="H878" t="s">
        <v>163</v>
      </c>
      <c r="I878">
        <v>58</v>
      </c>
      <c r="J878">
        <v>0.51458885941644572</v>
      </c>
      <c r="K878">
        <v>0.46634615384615391</v>
      </c>
      <c r="L878">
        <v>0.57396449704142016</v>
      </c>
      <c r="M878" t="s">
        <v>60</v>
      </c>
      <c r="N878" t="s">
        <v>2183</v>
      </c>
      <c r="O878" t="s">
        <v>2184</v>
      </c>
      <c r="P878">
        <v>1.7</v>
      </c>
    </row>
    <row r="879" spans="1:16" x14ac:dyDescent="0.3">
      <c r="A879" t="s">
        <v>28</v>
      </c>
      <c r="B879" t="s">
        <v>22</v>
      </c>
      <c r="C879" t="s">
        <v>23</v>
      </c>
      <c r="D879" t="s">
        <v>54</v>
      </c>
      <c r="E879" t="s">
        <v>160</v>
      </c>
      <c r="F879" t="s">
        <v>3</v>
      </c>
      <c r="G879" t="s">
        <v>247</v>
      </c>
      <c r="H879" t="s">
        <v>163</v>
      </c>
      <c r="I879">
        <v>59</v>
      </c>
      <c r="J879">
        <v>0.50769230769230766</v>
      </c>
      <c r="K879">
        <v>0.44796380090497739</v>
      </c>
      <c r="L879">
        <v>0.58579881656804733</v>
      </c>
      <c r="M879" t="s">
        <v>60</v>
      </c>
      <c r="N879" t="s">
        <v>2185</v>
      </c>
      <c r="O879" t="s">
        <v>2186</v>
      </c>
      <c r="P879">
        <v>1.3</v>
      </c>
    </row>
    <row r="880" spans="1:16" x14ac:dyDescent="0.3">
      <c r="A880" t="s">
        <v>28</v>
      </c>
      <c r="B880" t="s">
        <v>22</v>
      </c>
      <c r="C880" t="s">
        <v>23</v>
      </c>
      <c r="D880" t="s">
        <v>54</v>
      </c>
      <c r="E880" t="s">
        <v>160</v>
      </c>
      <c r="F880" t="s">
        <v>3</v>
      </c>
      <c r="G880" t="s">
        <v>252</v>
      </c>
      <c r="H880" t="s">
        <v>163</v>
      </c>
      <c r="I880">
        <v>60</v>
      </c>
      <c r="J880">
        <v>0.58047493403693928</v>
      </c>
      <c r="K880">
        <v>0.52380952380952384</v>
      </c>
      <c r="L880">
        <v>0.65088757396449703</v>
      </c>
      <c r="M880" t="s">
        <v>60</v>
      </c>
      <c r="N880" t="s">
        <v>2187</v>
      </c>
      <c r="O880" t="s">
        <v>2188</v>
      </c>
      <c r="P880">
        <v>1.4</v>
      </c>
    </row>
    <row r="881" spans="1:16" x14ac:dyDescent="0.3">
      <c r="A881" t="s">
        <v>28</v>
      </c>
      <c r="B881" t="s">
        <v>22</v>
      </c>
      <c r="C881" t="s">
        <v>23</v>
      </c>
      <c r="D881" t="s">
        <v>54</v>
      </c>
      <c r="E881" t="s">
        <v>160</v>
      </c>
      <c r="F881" t="s">
        <v>3</v>
      </c>
      <c r="G881" t="s">
        <v>257</v>
      </c>
      <c r="H881" t="s">
        <v>163</v>
      </c>
      <c r="I881">
        <v>61</v>
      </c>
      <c r="J881">
        <v>0.73118279569892464</v>
      </c>
      <c r="K881">
        <v>0.66995073891625612</v>
      </c>
      <c r="L881">
        <v>0.80473372781065089</v>
      </c>
      <c r="M881" t="s">
        <v>60</v>
      </c>
      <c r="N881" t="s">
        <v>2189</v>
      </c>
      <c r="O881" t="s">
        <v>2190</v>
      </c>
      <c r="P881">
        <v>1.5</v>
      </c>
    </row>
    <row r="882" spans="1:16" x14ac:dyDescent="0.3">
      <c r="A882" t="s">
        <v>28</v>
      </c>
      <c r="B882" t="s">
        <v>22</v>
      </c>
      <c r="C882" t="s">
        <v>23</v>
      </c>
      <c r="D882" t="s">
        <v>54</v>
      </c>
      <c r="E882" t="s">
        <v>262</v>
      </c>
      <c r="F882" t="s">
        <v>5</v>
      </c>
      <c r="G882" t="s">
        <v>263</v>
      </c>
      <c r="H882" t="s">
        <v>265</v>
      </c>
      <c r="I882">
        <v>42</v>
      </c>
      <c r="J882">
        <v>0.55483870967741933</v>
      </c>
      <c r="K882">
        <v>0.53086419753086422</v>
      </c>
      <c r="L882">
        <v>0.58108108108108103</v>
      </c>
      <c r="M882" t="s">
        <v>60</v>
      </c>
      <c r="N882" t="s">
        <v>2191</v>
      </c>
      <c r="O882" t="s">
        <v>2192</v>
      </c>
      <c r="P882">
        <v>1.4</v>
      </c>
    </row>
    <row r="883" spans="1:16" x14ac:dyDescent="0.3">
      <c r="A883" t="s">
        <v>28</v>
      </c>
      <c r="B883" t="s">
        <v>22</v>
      </c>
      <c r="C883" t="s">
        <v>23</v>
      </c>
      <c r="D883" t="s">
        <v>54</v>
      </c>
      <c r="E883" t="s">
        <v>262</v>
      </c>
      <c r="F883" t="s">
        <v>5</v>
      </c>
      <c r="G883" t="s">
        <v>269</v>
      </c>
      <c r="H883" t="s">
        <v>265</v>
      </c>
      <c r="I883">
        <v>43</v>
      </c>
      <c r="J883">
        <v>0.43146067415730338</v>
      </c>
      <c r="K883">
        <v>0.43049327354260092</v>
      </c>
      <c r="L883">
        <v>0.43243243243243251</v>
      </c>
      <c r="M883" t="s">
        <v>60</v>
      </c>
      <c r="N883" t="s">
        <v>2193</v>
      </c>
      <c r="O883" t="s">
        <v>2194</v>
      </c>
      <c r="P883">
        <v>1.6</v>
      </c>
    </row>
    <row r="884" spans="1:16" x14ac:dyDescent="0.3">
      <c r="A884" t="s">
        <v>28</v>
      </c>
      <c r="B884" t="s">
        <v>22</v>
      </c>
      <c r="C884" t="s">
        <v>23</v>
      </c>
      <c r="D884" t="s">
        <v>54</v>
      </c>
      <c r="E884" t="s">
        <v>262</v>
      </c>
      <c r="F884" t="s">
        <v>5</v>
      </c>
      <c r="G884" t="s">
        <v>274</v>
      </c>
      <c r="H884" t="s">
        <v>265</v>
      </c>
      <c r="I884">
        <v>44</v>
      </c>
      <c r="J884">
        <v>0.48407643312101911</v>
      </c>
      <c r="K884">
        <v>0.45783132530120479</v>
      </c>
      <c r="L884">
        <v>0.51351351351351349</v>
      </c>
      <c r="M884" t="s">
        <v>60</v>
      </c>
      <c r="N884" t="s">
        <v>2195</v>
      </c>
      <c r="O884" t="s">
        <v>2196</v>
      </c>
      <c r="P884">
        <v>1.9</v>
      </c>
    </row>
    <row r="885" spans="1:16" x14ac:dyDescent="0.3">
      <c r="A885" t="s">
        <v>28</v>
      </c>
      <c r="B885" t="s">
        <v>22</v>
      </c>
      <c r="C885" t="s">
        <v>23</v>
      </c>
      <c r="D885" t="s">
        <v>54</v>
      </c>
      <c r="E885" t="s">
        <v>262</v>
      </c>
      <c r="F885" t="s">
        <v>5</v>
      </c>
      <c r="G885" t="s">
        <v>279</v>
      </c>
      <c r="H885" t="s">
        <v>265</v>
      </c>
      <c r="I885">
        <v>45</v>
      </c>
      <c r="J885">
        <v>0.75698924731182793</v>
      </c>
      <c r="K885">
        <v>0.72427983539094654</v>
      </c>
      <c r="L885">
        <v>0.7927927927927928</v>
      </c>
      <c r="M885" t="s">
        <v>60</v>
      </c>
      <c r="N885" t="s">
        <v>2197</v>
      </c>
      <c r="O885" t="s">
        <v>2198</v>
      </c>
      <c r="P885">
        <v>1.4</v>
      </c>
    </row>
    <row r="886" spans="1:16" x14ac:dyDescent="0.3">
      <c r="A886" t="s">
        <v>28</v>
      </c>
      <c r="B886" t="s">
        <v>22</v>
      </c>
      <c r="C886" t="s">
        <v>23</v>
      </c>
      <c r="D886" t="s">
        <v>54</v>
      </c>
      <c r="E886" t="s">
        <v>262</v>
      </c>
      <c r="F886" t="s">
        <v>5</v>
      </c>
      <c r="G886" t="s">
        <v>284</v>
      </c>
      <c r="H886" t="s">
        <v>265</v>
      </c>
      <c r="I886">
        <v>46</v>
      </c>
      <c r="J886">
        <v>0.76190476190476186</v>
      </c>
      <c r="K886">
        <v>0.73333333333333328</v>
      </c>
      <c r="L886">
        <v>0.7927927927927928</v>
      </c>
      <c r="M886" t="s">
        <v>60</v>
      </c>
      <c r="N886" t="s">
        <v>2199</v>
      </c>
      <c r="O886" t="s">
        <v>2200</v>
      </c>
      <c r="P886">
        <v>1.4</v>
      </c>
    </row>
    <row r="887" spans="1:16" x14ac:dyDescent="0.3">
      <c r="A887" t="s">
        <v>28</v>
      </c>
      <c r="B887" t="s">
        <v>22</v>
      </c>
      <c r="C887" t="s">
        <v>23</v>
      </c>
      <c r="D887" t="s">
        <v>54</v>
      </c>
      <c r="E887" t="s">
        <v>262</v>
      </c>
      <c r="F887" t="s">
        <v>5</v>
      </c>
      <c r="G887" t="s">
        <v>289</v>
      </c>
      <c r="H887" t="s">
        <v>265</v>
      </c>
      <c r="I887">
        <v>47</v>
      </c>
      <c r="J887">
        <v>0.75479744136460558</v>
      </c>
      <c r="K887">
        <v>0.7165991902834008</v>
      </c>
      <c r="L887">
        <v>0.79729729729729726</v>
      </c>
      <c r="M887" t="s">
        <v>60</v>
      </c>
      <c r="N887" t="s">
        <v>2201</v>
      </c>
      <c r="O887" t="s">
        <v>2202</v>
      </c>
      <c r="P887">
        <v>1.5</v>
      </c>
    </row>
    <row r="888" spans="1:16" x14ac:dyDescent="0.3">
      <c r="A888" t="s">
        <v>28</v>
      </c>
      <c r="B888" t="s">
        <v>22</v>
      </c>
      <c r="C888" t="s">
        <v>23</v>
      </c>
      <c r="D888" t="s">
        <v>54</v>
      </c>
      <c r="E888" t="s">
        <v>262</v>
      </c>
      <c r="F888" t="s">
        <v>5</v>
      </c>
      <c r="G888" t="s">
        <v>294</v>
      </c>
      <c r="H888" t="s">
        <v>265</v>
      </c>
      <c r="I888">
        <v>48</v>
      </c>
      <c r="J888">
        <v>0.51260504201680679</v>
      </c>
      <c r="K888">
        <v>0.48031496062992118</v>
      </c>
      <c r="L888">
        <v>0.5495495495495496</v>
      </c>
      <c r="M888" t="s">
        <v>60</v>
      </c>
      <c r="N888" t="s">
        <v>2203</v>
      </c>
      <c r="O888" t="s">
        <v>2204</v>
      </c>
      <c r="P888">
        <v>1.4</v>
      </c>
    </row>
    <row r="889" spans="1:16" x14ac:dyDescent="0.3">
      <c r="A889" t="s">
        <v>28</v>
      </c>
      <c r="B889" t="s">
        <v>22</v>
      </c>
      <c r="C889" t="s">
        <v>23</v>
      </c>
      <c r="D889" t="s">
        <v>54</v>
      </c>
      <c r="E889" t="s">
        <v>262</v>
      </c>
      <c r="F889" t="s">
        <v>5</v>
      </c>
      <c r="G889" t="s">
        <v>299</v>
      </c>
      <c r="H889" t="s">
        <v>265</v>
      </c>
      <c r="I889">
        <v>49</v>
      </c>
      <c r="J889">
        <v>0.77559912854030522</v>
      </c>
      <c r="K889">
        <v>0.75105485232067515</v>
      </c>
      <c r="L889">
        <v>0.80180180180180183</v>
      </c>
      <c r="M889" t="s">
        <v>60</v>
      </c>
      <c r="N889" t="s">
        <v>2205</v>
      </c>
      <c r="O889" t="s">
        <v>2206</v>
      </c>
      <c r="P889">
        <v>1.3</v>
      </c>
    </row>
    <row r="890" spans="1:16" x14ac:dyDescent="0.3">
      <c r="A890" t="s">
        <v>28</v>
      </c>
      <c r="B890" t="s">
        <v>22</v>
      </c>
      <c r="C890" t="s">
        <v>23</v>
      </c>
      <c r="D890" t="s">
        <v>54</v>
      </c>
      <c r="E890" t="s">
        <v>262</v>
      </c>
      <c r="F890" t="s">
        <v>5</v>
      </c>
      <c r="G890" t="s">
        <v>304</v>
      </c>
      <c r="H890" t="s">
        <v>265</v>
      </c>
      <c r="I890">
        <v>50</v>
      </c>
      <c r="J890">
        <v>0.4947589098532495</v>
      </c>
      <c r="K890">
        <v>0.46274509803921571</v>
      </c>
      <c r="L890">
        <v>0.53153153153153154</v>
      </c>
      <c r="M890" t="s">
        <v>60</v>
      </c>
      <c r="N890" t="s">
        <v>2207</v>
      </c>
      <c r="O890" t="s">
        <v>2208</v>
      </c>
      <c r="P890">
        <v>2.4</v>
      </c>
    </row>
    <row r="891" spans="1:16" x14ac:dyDescent="0.3">
      <c r="A891" t="s">
        <v>28</v>
      </c>
      <c r="B891" t="s">
        <v>22</v>
      </c>
      <c r="C891" t="s">
        <v>23</v>
      </c>
      <c r="D891" t="s">
        <v>54</v>
      </c>
      <c r="E891" t="s">
        <v>262</v>
      </c>
      <c r="F891" t="s">
        <v>5</v>
      </c>
      <c r="G891" t="s">
        <v>309</v>
      </c>
      <c r="H891" t="s">
        <v>265</v>
      </c>
      <c r="I891">
        <v>51</v>
      </c>
      <c r="J891">
        <v>0.74734607218683646</v>
      </c>
      <c r="K891">
        <v>0.70682730923694781</v>
      </c>
      <c r="L891">
        <v>0.7927927927927928</v>
      </c>
      <c r="M891" t="s">
        <v>60</v>
      </c>
      <c r="N891" t="s">
        <v>2209</v>
      </c>
      <c r="O891" t="s">
        <v>2210</v>
      </c>
      <c r="P891">
        <v>1.4</v>
      </c>
    </row>
    <row r="892" spans="1:16" x14ac:dyDescent="0.3">
      <c r="A892" t="s">
        <v>28</v>
      </c>
      <c r="B892" t="s">
        <v>22</v>
      </c>
      <c r="C892" t="s">
        <v>23</v>
      </c>
      <c r="D892" t="s">
        <v>54</v>
      </c>
      <c r="E892" t="s">
        <v>262</v>
      </c>
      <c r="F892" t="s">
        <v>5</v>
      </c>
      <c r="G892" t="s">
        <v>314</v>
      </c>
      <c r="H892" t="s">
        <v>265</v>
      </c>
      <c r="I892">
        <v>52</v>
      </c>
      <c r="J892">
        <v>0.44496487119437939</v>
      </c>
      <c r="K892">
        <v>0.46341463414634149</v>
      </c>
      <c r="L892">
        <v>0.42792792792792789</v>
      </c>
      <c r="M892" t="s">
        <v>60</v>
      </c>
      <c r="N892" t="s">
        <v>2211</v>
      </c>
      <c r="O892" t="s">
        <v>2212</v>
      </c>
      <c r="P892">
        <v>1.4</v>
      </c>
    </row>
    <row r="893" spans="1:16" x14ac:dyDescent="0.3">
      <c r="A893" t="s">
        <v>28</v>
      </c>
      <c r="B893" t="s">
        <v>22</v>
      </c>
      <c r="C893" t="s">
        <v>23</v>
      </c>
      <c r="D893" t="s">
        <v>54</v>
      </c>
      <c r="E893" t="s">
        <v>262</v>
      </c>
      <c r="F893" t="s">
        <v>5</v>
      </c>
      <c r="G893" t="s">
        <v>319</v>
      </c>
      <c r="H893" t="s">
        <v>265</v>
      </c>
      <c r="I893">
        <v>53</v>
      </c>
      <c r="J893">
        <v>0.77657266811279824</v>
      </c>
      <c r="K893">
        <v>0.7489539748953975</v>
      </c>
      <c r="L893">
        <v>0.80630630630630629</v>
      </c>
      <c r="M893" t="s">
        <v>60</v>
      </c>
      <c r="N893" t="s">
        <v>2213</v>
      </c>
      <c r="O893" t="s">
        <v>2214</v>
      </c>
      <c r="P893">
        <v>1.4</v>
      </c>
    </row>
    <row r="894" spans="1:16" x14ac:dyDescent="0.3">
      <c r="A894" t="s">
        <v>28</v>
      </c>
      <c r="B894" t="s">
        <v>22</v>
      </c>
      <c r="C894" t="s">
        <v>23</v>
      </c>
      <c r="D894" t="s">
        <v>54</v>
      </c>
      <c r="E894" t="s">
        <v>262</v>
      </c>
      <c r="F894" t="s">
        <v>5</v>
      </c>
      <c r="G894" t="s">
        <v>324</v>
      </c>
      <c r="H894" t="s">
        <v>265</v>
      </c>
      <c r="I894">
        <v>54</v>
      </c>
      <c r="J894">
        <v>0.71042471042471034</v>
      </c>
      <c r="K894">
        <v>0.6216216216216216</v>
      </c>
      <c r="L894">
        <v>0.8288288288288288</v>
      </c>
      <c r="M894" t="s">
        <v>60</v>
      </c>
      <c r="N894" t="s">
        <v>2215</v>
      </c>
      <c r="O894" t="s">
        <v>2216</v>
      </c>
      <c r="P894">
        <v>1.6</v>
      </c>
    </row>
    <row r="895" spans="1:16" x14ac:dyDescent="0.3">
      <c r="A895" t="s">
        <v>28</v>
      </c>
      <c r="B895" t="s">
        <v>22</v>
      </c>
      <c r="C895" t="s">
        <v>23</v>
      </c>
      <c r="D895" t="s">
        <v>54</v>
      </c>
      <c r="E895" t="s">
        <v>262</v>
      </c>
      <c r="F895" t="s">
        <v>5</v>
      </c>
      <c r="G895" t="s">
        <v>329</v>
      </c>
      <c r="H895" t="s">
        <v>265</v>
      </c>
      <c r="I895">
        <v>55</v>
      </c>
      <c r="J895">
        <v>0.40869565217391302</v>
      </c>
      <c r="K895">
        <v>0.3949579831932773</v>
      </c>
      <c r="L895">
        <v>0.42342342342342337</v>
      </c>
      <c r="M895" t="s">
        <v>60</v>
      </c>
      <c r="N895" t="s">
        <v>2217</v>
      </c>
      <c r="O895" t="s">
        <v>2218</v>
      </c>
      <c r="P895">
        <v>1.4</v>
      </c>
    </row>
    <row r="896" spans="1:16" x14ac:dyDescent="0.3">
      <c r="A896" t="s">
        <v>28</v>
      </c>
      <c r="B896" t="s">
        <v>22</v>
      </c>
      <c r="C896" t="s">
        <v>23</v>
      </c>
      <c r="D896" t="s">
        <v>54</v>
      </c>
      <c r="E896" t="s">
        <v>262</v>
      </c>
      <c r="F896" t="s">
        <v>5</v>
      </c>
      <c r="G896" t="s">
        <v>334</v>
      </c>
      <c r="H896" t="s">
        <v>265</v>
      </c>
      <c r="I896">
        <v>56</v>
      </c>
      <c r="J896">
        <v>0.42</v>
      </c>
      <c r="K896">
        <v>0.30753138075313807</v>
      </c>
      <c r="L896">
        <v>0.66216216216216217</v>
      </c>
      <c r="M896" t="s">
        <v>60</v>
      </c>
      <c r="N896" t="s">
        <v>2219</v>
      </c>
      <c r="O896" t="s">
        <v>2220</v>
      </c>
      <c r="P896">
        <v>1.8</v>
      </c>
    </row>
    <row r="897" spans="1:16" x14ac:dyDescent="0.3">
      <c r="A897" t="s">
        <v>28</v>
      </c>
      <c r="B897" t="s">
        <v>22</v>
      </c>
      <c r="C897" t="s">
        <v>23</v>
      </c>
      <c r="D897" t="s">
        <v>54</v>
      </c>
      <c r="E897" t="s">
        <v>262</v>
      </c>
      <c r="F897" t="s">
        <v>5</v>
      </c>
      <c r="G897" t="s">
        <v>339</v>
      </c>
      <c r="H897" t="s">
        <v>265</v>
      </c>
      <c r="I897">
        <v>57</v>
      </c>
      <c r="J897">
        <v>0.76754385964912286</v>
      </c>
      <c r="K897">
        <v>0.74786324786324787</v>
      </c>
      <c r="L897">
        <v>0.78828828828828834</v>
      </c>
      <c r="M897" t="s">
        <v>60</v>
      </c>
      <c r="N897" t="s">
        <v>2221</v>
      </c>
      <c r="O897" t="s">
        <v>2222</v>
      </c>
      <c r="P897">
        <v>1.5</v>
      </c>
    </row>
    <row r="898" spans="1:16" x14ac:dyDescent="0.3">
      <c r="A898" t="s">
        <v>28</v>
      </c>
      <c r="B898" t="s">
        <v>22</v>
      </c>
      <c r="C898" t="s">
        <v>23</v>
      </c>
      <c r="D898" t="s">
        <v>54</v>
      </c>
      <c r="E898" t="s">
        <v>262</v>
      </c>
      <c r="F898" t="s">
        <v>5</v>
      </c>
      <c r="G898" t="s">
        <v>344</v>
      </c>
      <c r="H898" t="s">
        <v>265</v>
      </c>
      <c r="I898">
        <v>58</v>
      </c>
      <c r="J898">
        <v>0.75831485587583147</v>
      </c>
      <c r="K898">
        <v>0.74672489082969429</v>
      </c>
      <c r="L898">
        <v>0.77027027027027029</v>
      </c>
      <c r="M898" t="s">
        <v>60</v>
      </c>
      <c r="N898" t="s">
        <v>2223</v>
      </c>
      <c r="O898" t="s">
        <v>2224</v>
      </c>
      <c r="P898">
        <v>2.5</v>
      </c>
    </row>
    <row r="899" spans="1:16" x14ac:dyDescent="0.3">
      <c r="A899" t="s">
        <v>28</v>
      </c>
      <c r="B899" t="s">
        <v>22</v>
      </c>
      <c r="C899" t="s">
        <v>23</v>
      </c>
      <c r="D899" t="s">
        <v>54</v>
      </c>
      <c r="E899" t="s">
        <v>262</v>
      </c>
      <c r="F899" t="s">
        <v>5</v>
      </c>
      <c r="G899" t="s">
        <v>349</v>
      </c>
      <c r="H899" t="s">
        <v>265</v>
      </c>
      <c r="I899">
        <v>59</v>
      </c>
      <c r="J899">
        <v>0.72527472527472525</v>
      </c>
      <c r="K899">
        <v>0.70815450643776823</v>
      </c>
      <c r="L899">
        <v>0.7432432432432432</v>
      </c>
      <c r="M899" t="s">
        <v>60</v>
      </c>
      <c r="N899" t="s">
        <v>2225</v>
      </c>
      <c r="O899" t="s">
        <v>2226</v>
      </c>
      <c r="P899">
        <v>1.6</v>
      </c>
    </row>
    <row r="900" spans="1:16" x14ac:dyDescent="0.3">
      <c r="A900" t="s">
        <v>28</v>
      </c>
      <c r="B900" t="s">
        <v>22</v>
      </c>
      <c r="C900" t="s">
        <v>23</v>
      </c>
      <c r="D900" t="s">
        <v>54</v>
      </c>
      <c r="E900" t="s">
        <v>262</v>
      </c>
      <c r="F900" t="s">
        <v>5</v>
      </c>
      <c r="G900" t="s">
        <v>354</v>
      </c>
      <c r="H900" t="s">
        <v>265</v>
      </c>
      <c r="I900">
        <v>60</v>
      </c>
      <c r="J900">
        <v>0.73548387096774204</v>
      </c>
      <c r="K900">
        <v>0.70370370370370372</v>
      </c>
      <c r="L900">
        <v>0.77027027027027029</v>
      </c>
      <c r="M900" t="s">
        <v>60</v>
      </c>
      <c r="N900" t="s">
        <v>2227</v>
      </c>
      <c r="O900" t="s">
        <v>2228</v>
      </c>
      <c r="P900">
        <v>1.4</v>
      </c>
    </row>
    <row r="901" spans="1:16" x14ac:dyDescent="0.3">
      <c r="A901" t="s">
        <v>28</v>
      </c>
      <c r="B901" t="s">
        <v>22</v>
      </c>
      <c r="C901" t="s">
        <v>23</v>
      </c>
      <c r="D901" t="s">
        <v>54</v>
      </c>
      <c r="E901" t="s">
        <v>262</v>
      </c>
      <c r="F901" t="s">
        <v>5</v>
      </c>
      <c r="G901" t="s">
        <v>359</v>
      </c>
      <c r="H901" t="s">
        <v>265</v>
      </c>
      <c r="I901">
        <v>61</v>
      </c>
      <c r="J901">
        <v>0.75890985324947591</v>
      </c>
      <c r="K901">
        <v>0.70980392156862748</v>
      </c>
      <c r="L901">
        <v>0.81531531531531531</v>
      </c>
      <c r="M901" t="s">
        <v>60</v>
      </c>
      <c r="N901" t="s">
        <v>2229</v>
      </c>
      <c r="O901" t="s">
        <v>2230</v>
      </c>
      <c r="P901">
        <v>1.4</v>
      </c>
    </row>
    <row r="902" spans="1:16" x14ac:dyDescent="0.3">
      <c r="A902" t="s">
        <v>28</v>
      </c>
      <c r="B902" t="s">
        <v>22</v>
      </c>
      <c r="C902" t="s">
        <v>23</v>
      </c>
      <c r="D902" t="s">
        <v>363</v>
      </c>
      <c r="E902" t="s">
        <v>365</v>
      </c>
      <c r="F902" t="s">
        <v>13</v>
      </c>
      <c r="G902" t="s">
        <v>366</v>
      </c>
      <c r="H902" t="s">
        <v>368</v>
      </c>
      <c r="I902">
        <v>42</v>
      </c>
      <c r="J902">
        <v>0.84297520661157022</v>
      </c>
      <c r="K902">
        <v>0.80314960629921262</v>
      </c>
      <c r="L902">
        <v>0.88695652173913042</v>
      </c>
      <c r="M902" t="s">
        <v>60</v>
      </c>
      <c r="N902" t="s">
        <v>2231</v>
      </c>
      <c r="O902" t="s">
        <v>2232</v>
      </c>
      <c r="P902">
        <v>1.9</v>
      </c>
    </row>
    <row r="903" spans="1:16" x14ac:dyDescent="0.3">
      <c r="A903" t="s">
        <v>28</v>
      </c>
      <c r="B903" t="s">
        <v>22</v>
      </c>
      <c r="C903" t="s">
        <v>23</v>
      </c>
      <c r="D903" t="s">
        <v>363</v>
      </c>
      <c r="E903" t="s">
        <v>365</v>
      </c>
      <c r="F903" t="s">
        <v>13</v>
      </c>
      <c r="G903" t="s">
        <v>372</v>
      </c>
      <c r="H903" t="s">
        <v>368</v>
      </c>
      <c r="I903">
        <v>43</v>
      </c>
      <c r="J903">
        <v>0.85177453027139871</v>
      </c>
      <c r="K903">
        <v>0.81927710843373491</v>
      </c>
      <c r="L903">
        <v>0.88695652173913042</v>
      </c>
      <c r="M903" t="s">
        <v>60</v>
      </c>
      <c r="N903" t="s">
        <v>2233</v>
      </c>
      <c r="O903" t="s">
        <v>2234</v>
      </c>
      <c r="P903">
        <v>1.4</v>
      </c>
    </row>
    <row r="904" spans="1:16" x14ac:dyDescent="0.3">
      <c r="A904" t="s">
        <v>28</v>
      </c>
      <c r="B904" t="s">
        <v>22</v>
      </c>
      <c r="C904" t="s">
        <v>23</v>
      </c>
      <c r="D904" t="s">
        <v>363</v>
      </c>
      <c r="E904" t="s">
        <v>365</v>
      </c>
      <c r="F904" t="s">
        <v>13</v>
      </c>
      <c r="G904" t="s">
        <v>377</v>
      </c>
      <c r="H904" t="s">
        <v>368</v>
      </c>
      <c r="I904">
        <v>44</v>
      </c>
      <c r="J904">
        <v>0.82352941176470573</v>
      </c>
      <c r="K904">
        <v>0.7967479674796748</v>
      </c>
      <c r="L904">
        <v>0.85217391304347823</v>
      </c>
      <c r="M904" t="s">
        <v>60</v>
      </c>
      <c r="N904" t="s">
        <v>2235</v>
      </c>
      <c r="O904" t="s">
        <v>2236</v>
      </c>
      <c r="P904">
        <v>1.6</v>
      </c>
    </row>
    <row r="905" spans="1:16" x14ac:dyDescent="0.3">
      <c r="A905" t="s">
        <v>28</v>
      </c>
      <c r="B905" t="s">
        <v>22</v>
      </c>
      <c r="C905" t="s">
        <v>23</v>
      </c>
      <c r="D905" t="s">
        <v>363</v>
      </c>
      <c r="E905" t="s">
        <v>365</v>
      </c>
      <c r="F905" t="s">
        <v>13</v>
      </c>
      <c r="G905" t="s">
        <v>382</v>
      </c>
      <c r="H905" t="s">
        <v>368</v>
      </c>
      <c r="I905">
        <v>45</v>
      </c>
      <c r="J905">
        <v>0.83720930232558144</v>
      </c>
      <c r="K905">
        <v>0.81481481481481477</v>
      </c>
      <c r="L905">
        <v>0.86086956521739133</v>
      </c>
      <c r="M905" t="s">
        <v>60</v>
      </c>
      <c r="N905" t="s">
        <v>2237</v>
      </c>
      <c r="O905" t="s">
        <v>2238</v>
      </c>
      <c r="P905">
        <v>1.4</v>
      </c>
    </row>
    <row r="906" spans="1:16" x14ac:dyDescent="0.3">
      <c r="A906" t="s">
        <v>28</v>
      </c>
      <c r="B906" t="s">
        <v>22</v>
      </c>
      <c r="C906" t="s">
        <v>23</v>
      </c>
      <c r="D906" t="s">
        <v>363</v>
      </c>
      <c r="E906" t="s">
        <v>365</v>
      </c>
      <c r="F906" t="s">
        <v>13</v>
      </c>
      <c r="G906" t="s">
        <v>387</v>
      </c>
      <c r="H906" t="s">
        <v>368</v>
      </c>
      <c r="I906">
        <v>46</v>
      </c>
      <c r="J906">
        <v>0.82617586912065444</v>
      </c>
      <c r="K906">
        <v>0.77992277992277992</v>
      </c>
      <c r="L906">
        <v>0.87826086956521743</v>
      </c>
      <c r="M906" t="s">
        <v>60</v>
      </c>
      <c r="N906" t="s">
        <v>2239</v>
      </c>
      <c r="O906" t="s">
        <v>2240</v>
      </c>
      <c r="P906">
        <v>1.6</v>
      </c>
    </row>
    <row r="907" spans="1:16" x14ac:dyDescent="0.3">
      <c r="A907" t="s">
        <v>28</v>
      </c>
      <c r="B907" t="s">
        <v>22</v>
      </c>
      <c r="C907" t="s">
        <v>23</v>
      </c>
      <c r="D907" t="s">
        <v>363</v>
      </c>
      <c r="E907" t="s">
        <v>365</v>
      </c>
      <c r="F907" t="s">
        <v>13</v>
      </c>
      <c r="G907" t="s">
        <v>392</v>
      </c>
      <c r="H907" t="s">
        <v>368</v>
      </c>
      <c r="I907">
        <v>47</v>
      </c>
      <c r="J907">
        <v>0.83367556468172488</v>
      </c>
      <c r="K907">
        <v>0.78988326848249024</v>
      </c>
      <c r="L907">
        <v>0.88260869565217392</v>
      </c>
      <c r="M907" t="s">
        <v>60</v>
      </c>
      <c r="N907" t="s">
        <v>2241</v>
      </c>
      <c r="O907" t="s">
        <v>2242</v>
      </c>
      <c r="P907">
        <v>1.6</v>
      </c>
    </row>
    <row r="908" spans="1:16" x14ac:dyDescent="0.3">
      <c r="A908" t="s">
        <v>28</v>
      </c>
      <c r="B908" t="s">
        <v>22</v>
      </c>
      <c r="C908" t="s">
        <v>23</v>
      </c>
      <c r="D908" t="s">
        <v>363</v>
      </c>
      <c r="E908" t="s">
        <v>365</v>
      </c>
      <c r="F908" t="s">
        <v>13</v>
      </c>
      <c r="G908" t="s">
        <v>397</v>
      </c>
      <c r="H908" t="s">
        <v>368</v>
      </c>
      <c r="I908">
        <v>48</v>
      </c>
      <c r="J908">
        <v>0.84426229508196726</v>
      </c>
      <c r="K908">
        <v>0.79844961240310075</v>
      </c>
      <c r="L908">
        <v>0.89565217391304353</v>
      </c>
      <c r="M908" t="s">
        <v>60</v>
      </c>
      <c r="N908" t="s">
        <v>2243</v>
      </c>
      <c r="O908" t="s">
        <v>2244</v>
      </c>
      <c r="P908">
        <v>2.4</v>
      </c>
    </row>
    <row r="909" spans="1:16" x14ac:dyDescent="0.3">
      <c r="A909" t="s">
        <v>28</v>
      </c>
      <c r="B909" t="s">
        <v>22</v>
      </c>
      <c r="C909" t="s">
        <v>23</v>
      </c>
      <c r="D909" t="s">
        <v>363</v>
      </c>
      <c r="E909" t="s">
        <v>365</v>
      </c>
      <c r="F909" t="s">
        <v>13</v>
      </c>
      <c r="G909" t="s">
        <v>402</v>
      </c>
      <c r="H909" t="s">
        <v>368</v>
      </c>
      <c r="I909">
        <v>49</v>
      </c>
      <c r="J909">
        <v>0.8125</v>
      </c>
      <c r="K909">
        <v>0.78</v>
      </c>
      <c r="L909">
        <v>0.84782608695652173</v>
      </c>
      <c r="M909" t="s">
        <v>60</v>
      </c>
      <c r="N909" t="s">
        <v>2245</v>
      </c>
      <c r="O909" t="s">
        <v>2246</v>
      </c>
      <c r="P909">
        <v>2</v>
      </c>
    </row>
    <row r="910" spans="1:16" x14ac:dyDescent="0.3">
      <c r="A910" t="s">
        <v>28</v>
      </c>
      <c r="B910" t="s">
        <v>22</v>
      </c>
      <c r="C910" t="s">
        <v>23</v>
      </c>
      <c r="D910" t="s">
        <v>363</v>
      </c>
      <c r="E910" t="s">
        <v>365</v>
      </c>
      <c r="F910" t="s">
        <v>13</v>
      </c>
      <c r="G910" t="s">
        <v>407</v>
      </c>
      <c r="H910" t="s">
        <v>368</v>
      </c>
      <c r="I910">
        <v>50</v>
      </c>
      <c r="J910">
        <v>0.84016393442622939</v>
      </c>
      <c r="K910">
        <v>0.79457364341085268</v>
      </c>
      <c r="L910">
        <v>0.89130434782608692</v>
      </c>
      <c r="M910" t="s">
        <v>60</v>
      </c>
      <c r="N910" t="s">
        <v>2247</v>
      </c>
      <c r="O910" t="s">
        <v>2248</v>
      </c>
      <c r="P910">
        <v>1.6</v>
      </c>
    </row>
    <row r="911" spans="1:16" x14ac:dyDescent="0.3">
      <c r="A911" t="s">
        <v>28</v>
      </c>
      <c r="B911" t="s">
        <v>22</v>
      </c>
      <c r="C911" t="s">
        <v>23</v>
      </c>
      <c r="D911" t="s">
        <v>363</v>
      </c>
      <c r="E911" t="s">
        <v>365</v>
      </c>
      <c r="F911" t="s">
        <v>13</v>
      </c>
      <c r="G911" t="s">
        <v>412</v>
      </c>
      <c r="H911" t="s">
        <v>368</v>
      </c>
      <c r="I911">
        <v>51</v>
      </c>
      <c r="J911">
        <v>0.83471074380165289</v>
      </c>
      <c r="K911">
        <v>0.79527559055118113</v>
      </c>
      <c r="L911">
        <v>0.87826086956521743</v>
      </c>
      <c r="M911" t="s">
        <v>60</v>
      </c>
      <c r="N911" t="s">
        <v>2249</v>
      </c>
      <c r="O911" t="s">
        <v>2250</v>
      </c>
      <c r="P911">
        <v>1.5</v>
      </c>
    </row>
    <row r="912" spans="1:16" x14ac:dyDescent="0.3">
      <c r="A912" t="s">
        <v>28</v>
      </c>
      <c r="B912" t="s">
        <v>22</v>
      </c>
      <c r="C912" t="s">
        <v>23</v>
      </c>
      <c r="D912" t="s">
        <v>363</v>
      </c>
      <c r="E912" t="s">
        <v>365</v>
      </c>
      <c r="F912" t="s">
        <v>13</v>
      </c>
      <c r="G912" t="s">
        <v>417</v>
      </c>
      <c r="H912" t="s">
        <v>368</v>
      </c>
      <c r="I912">
        <v>52</v>
      </c>
      <c r="J912">
        <v>0.83569979716024345</v>
      </c>
      <c r="K912">
        <v>0.78326996197718635</v>
      </c>
      <c r="L912">
        <v>0.89565217391304353</v>
      </c>
      <c r="M912" t="s">
        <v>60</v>
      </c>
      <c r="N912" t="s">
        <v>2251</v>
      </c>
      <c r="O912" t="s">
        <v>2252</v>
      </c>
      <c r="P912">
        <v>1.6</v>
      </c>
    </row>
    <row r="913" spans="1:16" x14ac:dyDescent="0.3">
      <c r="A913" t="s">
        <v>28</v>
      </c>
      <c r="B913" t="s">
        <v>22</v>
      </c>
      <c r="C913" t="s">
        <v>23</v>
      </c>
      <c r="D913" t="s">
        <v>363</v>
      </c>
      <c r="E913" t="s">
        <v>365</v>
      </c>
      <c r="F913" t="s">
        <v>13</v>
      </c>
      <c r="G913" t="s">
        <v>422</v>
      </c>
      <c r="H913" t="s">
        <v>368</v>
      </c>
      <c r="I913">
        <v>53</v>
      </c>
      <c r="J913">
        <v>0.84696016771488469</v>
      </c>
      <c r="K913">
        <v>0.81781376518218618</v>
      </c>
      <c r="L913">
        <v>0.87826086956521743</v>
      </c>
      <c r="M913" t="s">
        <v>60</v>
      </c>
      <c r="N913" t="s">
        <v>2253</v>
      </c>
      <c r="O913" t="s">
        <v>2254</v>
      </c>
      <c r="P913">
        <v>1.7</v>
      </c>
    </row>
    <row r="914" spans="1:16" x14ac:dyDescent="0.3">
      <c r="A914" t="s">
        <v>28</v>
      </c>
      <c r="B914" t="s">
        <v>22</v>
      </c>
      <c r="C914" t="s">
        <v>23</v>
      </c>
      <c r="D914" t="s">
        <v>363</v>
      </c>
      <c r="E914" t="s">
        <v>365</v>
      </c>
      <c r="F914" t="s">
        <v>13</v>
      </c>
      <c r="G914" t="s">
        <v>427</v>
      </c>
      <c r="H914" t="s">
        <v>368</v>
      </c>
      <c r="I914">
        <v>54</v>
      </c>
      <c r="J914">
        <v>0.85534591194968557</v>
      </c>
      <c r="K914">
        <v>0.82591093117408909</v>
      </c>
      <c r="L914">
        <v>0.88695652173913042</v>
      </c>
      <c r="M914" t="s">
        <v>60</v>
      </c>
      <c r="N914" t="s">
        <v>2255</v>
      </c>
      <c r="O914" t="s">
        <v>2256</v>
      </c>
      <c r="P914">
        <v>1.6</v>
      </c>
    </row>
    <row r="915" spans="1:16" x14ac:dyDescent="0.3">
      <c r="A915" t="s">
        <v>28</v>
      </c>
      <c r="B915" t="s">
        <v>22</v>
      </c>
      <c r="C915" t="s">
        <v>23</v>
      </c>
      <c r="D915" t="s">
        <v>363</v>
      </c>
      <c r="E915" t="s">
        <v>365</v>
      </c>
      <c r="F915" t="s">
        <v>13</v>
      </c>
      <c r="G915" t="s">
        <v>432</v>
      </c>
      <c r="H915" t="s">
        <v>368</v>
      </c>
      <c r="I915">
        <v>55</v>
      </c>
      <c r="J915">
        <v>0.83606557377049184</v>
      </c>
      <c r="K915">
        <v>0.79069767441860461</v>
      </c>
      <c r="L915">
        <v>0.88695652173913042</v>
      </c>
      <c r="M915" t="s">
        <v>60</v>
      </c>
      <c r="N915" t="s">
        <v>2257</v>
      </c>
      <c r="O915" t="s">
        <v>2258</v>
      </c>
      <c r="P915">
        <v>1.8</v>
      </c>
    </row>
    <row r="916" spans="1:16" x14ac:dyDescent="0.3">
      <c r="A916" t="s">
        <v>28</v>
      </c>
      <c r="B916" t="s">
        <v>22</v>
      </c>
      <c r="C916" t="s">
        <v>23</v>
      </c>
      <c r="D916" t="s">
        <v>363</v>
      </c>
      <c r="E916" t="s">
        <v>365</v>
      </c>
      <c r="F916" t="s">
        <v>13</v>
      </c>
      <c r="G916" t="s">
        <v>437</v>
      </c>
      <c r="H916" t="s">
        <v>368</v>
      </c>
      <c r="I916">
        <v>56</v>
      </c>
      <c r="J916">
        <v>0.84710743801652899</v>
      </c>
      <c r="K916">
        <v>0.80708661417322836</v>
      </c>
      <c r="L916">
        <v>0.89130434782608692</v>
      </c>
      <c r="M916" t="s">
        <v>60</v>
      </c>
      <c r="N916" t="s">
        <v>2259</v>
      </c>
      <c r="O916" t="s">
        <v>2260</v>
      </c>
      <c r="P916">
        <v>1.4</v>
      </c>
    </row>
    <row r="917" spans="1:16" x14ac:dyDescent="0.3">
      <c r="A917" t="s">
        <v>28</v>
      </c>
      <c r="B917" t="s">
        <v>22</v>
      </c>
      <c r="C917" t="s">
        <v>23</v>
      </c>
      <c r="D917" t="s">
        <v>363</v>
      </c>
      <c r="E917" t="s">
        <v>365</v>
      </c>
      <c r="F917" t="s">
        <v>13</v>
      </c>
      <c r="G917" t="s">
        <v>442</v>
      </c>
      <c r="H917" t="s">
        <v>368</v>
      </c>
      <c r="I917">
        <v>57</v>
      </c>
      <c r="J917">
        <v>0.83673469387755095</v>
      </c>
      <c r="K917">
        <v>0.78846153846153844</v>
      </c>
      <c r="L917">
        <v>0.89130434782608692</v>
      </c>
      <c r="M917" t="s">
        <v>60</v>
      </c>
      <c r="N917" t="s">
        <v>2261</v>
      </c>
      <c r="O917" t="s">
        <v>2262</v>
      </c>
      <c r="P917">
        <v>1.4</v>
      </c>
    </row>
    <row r="918" spans="1:16" x14ac:dyDescent="0.3">
      <c r="A918" t="s">
        <v>28</v>
      </c>
      <c r="B918" t="s">
        <v>22</v>
      </c>
      <c r="C918" t="s">
        <v>23</v>
      </c>
      <c r="D918" t="s">
        <v>363</v>
      </c>
      <c r="E918" t="s">
        <v>365</v>
      </c>
      <c r="F918" t="s">
        <v>13</v>
      </c>
      <c r="G918" t="s">
        <v>447</v>
      </c>
      <c r="H918" t="s">
        <v>368</v>
      </c>
      <c r="I918">
        <v>58</v>
      </c>
      <c r="J918">
        <v>0.84342379958246338</v>
      </c>
      <c r="K918">
        <v>0.8112449799196787</v>
      </c>
      <c r="L918">
        <v>0.87826086956521743</v>
      </c>
      <c r="M918" t="s">
        <v>60</v>
      </c>
      <c r="N918" t="s">
        <v>2263</v>
      </c>
      <c r="O918" t="s">
        <v>2264</v>
      </c>
      <c r="P918">
        <v>1.5</v>
      </c>
    </row>
    <row r="919" spans="1:16" x14ac:dyDescent="0.3">
      <c r="A919" t="s">
        <v>28</v>
      </c>
      <c r="B919" t="s">
        <v>22</v>
      </c>
      <c r="C919" t="s">
        <v>23</v>
      </c>
      <c r="D919" t="s">
        <v>363</v>
      </c>
      <c r="E919" t="s">
        <v>365</v>
      </c>
      <c r="F919" t="s">
        <v>13</v>
      </c>
      <c r="G919" t="s">
        <v>452</v>
      </c>
      <c r="H919" t="s">
        <v>368</v>
      </c>
      <c r="I919">
        <v>59</v>
      </c>
      <c r="J919">
        <v>0.82886597938144324</v>
      </c>
      <c r="K919">
        <v>0.78823529411764703</v>
      </c>
      <c r="L919">
        <v>0.87391304347826082</v>
      </c>
      <c r="M919" t="s">
        <v>60</v>
      </c>
      <c r="N919" t="s">
        <v>2265</v>
      </c>
      <c r="O919" t="s">
        <v>2266</v>
      </c>
      <c r="P919">
        <v>1.6</v>
      </c>
    </row>
    <row r="920" spans="1:16" x14ac:dyDescent="0.3">
      <c r="A920" t="s">
        <v>28</v>
      </c>
      <c r="B920" t="s">
        <v>22</v>
      </c>
      <c r="C920" t="s">
        <v>23</v>
      </c>
      <c r="D920" t="s">
        <v>363</v>
      </c>
      <c r="E920" t="s">
        <v>365</v>
      </c>
      <c r="F920" t="s">
        <v>13</v>
      </c>
      <c r="G920" t="s">
        <v>457</v>
      </c>
      <c r="H920" t="s">
        <v>368</v>
      </c>
      <c r="I920">
        <v>60</v>
      </c>
      <c r="J920">
        <v>0.84948453608247432</v>
      </c>
      <c r="K920">
        <v>0.80784313725490198</v>
      </c>
      <c r="L920">
        <v>0.89565217391304353</v>
      </c>
      <c r="M920" t="s">
        <v>60</v>
      </c>
      <c r="N920" t="s">
        <v>2267</v>
      </c>
      <c r="O920" t="s">
        <v>2268</v>
      </c>
      <c r="P920">
        <v>1.4</v>
      </c>
    </row>
    <row r="921" spans="1:16" x14ac:dyDescent="0.3">
      <c r="A921" t="s">
        <v>28</v>
      </c>
      <c r="B921" t="s">
        <v>22</v>
      </c>
      <c r="C921" t="s">
        <v>23</v>
      </c>
      <c r="D921" t="s">
        <v>363</v>
      </c>
      <c r="E921" t="s">
        <v>365</v>
      </c>
      <c r="F921" t="s">
        <v>13</v>
      </c>
      <c r="G921" t="s">
        <v>462</v>
      </c>
      <c r="H921" t="s">
        <v>368</v>
      </c>
      <c r="I921">
        <v>61</v>
      </c>
      <c r="J921">
        <v>0.83884297520661166</v>
      </c>
      <c r="K921">
        <v>0.79921259842519687</v>
      </c>
      <c r="L921">
        <v>0.88260869565217392</v>
      </c>
      <c r="M921" t="s">
        <v>60</v>
      </c>
      <c r="N921" t="s">
        <v>2269</v>
      </c>
      <c r="O921" t="s">
        <v>2270</v>
      </c>
      <c r="P921">
        <v>1.8</v>
      </c>
    </row>
    <row r="922" spans="1:16" x14ac:dyDescent="0.3">
      <c r="A922" t="s">
        <v>28</v>
      </c>
      <c r="B922" t="s">
        <v>22</v>
      </c>
      <c r="C922" t="s">
        <v>23</v>
      </c>
      <c r="D922" t="s">
        <v>363</v>
      </c>
      <c r="E922" t="s">
        <v>467</v>
      </c>
      <c r="F922" t="s">
        <v>9</v>
      </c>
      <c r="G922" t="s">
        <v>468</v>
      </c>
      <c r="H922" t="s">
        <v>470</v>
      </c>
      <c r="I922">
        <v>42</v>
      </c>
      <c r="J922">
        <v>0.81586402266288949</v>
      </c>
      <c r="K922">
        <v>0.78260869565217395</v>
      </c>
      <c r="L922">
        <v>0.85207100591715978</v>
      </c>
      <c r="M922" t="s">
        <v>60</v>
      </c>
      <c r="N922" t="s">
        <v>2271</v>
      </c>
      <c r="O922" t="s">
        <v>2272</v>
      </c>
      <c r="P922">
        <v>1.4</v>
      </c>
    </row>
    <row r="923" spans="1:16" x14ac:dyDescent="0.3">
      <c r="A923" t="s">
        <v>28</v>
      </c>
      <c r="B923" t="s">
        <v>22</v>
      </c>
      <c r="C923" t="s">
        <v>23</v>
      </c>
      <c r="D923" t="s">
        <v>363</v>
      </c>
      <c r="E923" t="s">
        <v>467</v>
      </c>
      <c r="F923" t="s">
        <v>9</v>
      </c>
      <c r="G923" t="s">
        <v>474</v>
      </c>
      <c r="H923" t="s">
        <v>470</v>
      </c>
      <c r="I923">
        <v>43</v>
      </c>
      <c r="J923">
        <v>0.81844380403458217</v>
      </c>
      <c r="K923">
        <v>0.797752808988764</v>
      </c>
      <c r="L923">
        <v>0.84023668639053251</v>
      </c>
      <c r="M923" t="s">
        <v>60</v>
      </c>
      <c r="N923" t="s">
        <v>2273</v>
      </c>
      <c r="O923" t="s">
        <v>2274</v>
      </c>
      <c r="P923">
        <v>1.4</v>
      </c>
    </row>
    <row r="924" spans="1:16" x14ac:dyDescent="0.3">
      <c r="A924" t="s">
        <v>28</v>
      </c>
      <c r="B924" t="s">
        <v>22</v>
      </c>
      <c r="C924" t="s">
        <v>23</v>
      </c>
      <c r="D924" t="s">
        <v>363</v>
      </c>
      <c r="E924" t="s">
        <v>467</v>
      </c>
      <c r="F924" t="s">
        <v>9</v>
      </c>
      <c r="G924" t="s">
        <v>479</v>
      </c>
      <c r="H924" t="s">
        <v>470</v>
      </c>
      <c r="I924">
        <v>44</v>
      </c>
      <c r="J924">
        <v>0.81481481481481477</v>
      </c>
      <c r="K924">
        <v>0.7857142857142857</v>
      </c>
      <c r="L924">
        <v>0.84615384615384615</v>
      </c>
      <c r="M924" t="s">
        <v>60</v>
      </c>
      <c r="N924" t="s">
        <v>2275</v>
      </c>
      <c r="O924" t="s">
        <v>2276</v>
      </c>
      <c r="P924">
        <v>1.4</v>
      </c>
    </row>
    <row r="925" spans="1:16" x14ac:dyDescent="0.3">
      <c r="A925" t="s">
        <v>28</v>
      </c>
      <c r="B925" t="s">
        <v>22</v>
      </c>
      <c r="C925" t="s">
        <v>23</v>
      </c>
      <c r="D925" t="s">
        <v>363</v>
      </c>
      <c r="E925" t="s">
        <v>467</v>
      </c>
      <c r="F925" t="s">
        <v>9</v>
      </c>
      <c r="G925" t="s">
        <v>484</v>
      </c>
      <c r="H925" t="s">
        <v>470</v>
      </c>
      <c r="I925">
        <v>45</v>
      </c>
      <c r="J925">
        <v>0.81481481481481477</v>
      </c>
      <c r="K925">
        <v>0.7857142857142857</v>
      </c>
      <c r="L925">
        <v>0.84615384615384615</v>
      </c>
      <c r="M925" t="s">
        <v>60</v>
      </c>
      <c r="N925" t="s">
        <v>2277</v>
      </c>
      <c r="O925" t="s">
        <v>2278</v>
      </c>
      <c r="P925">
        <v>1.3</v>
      </c>
    </row>
    <row r="926" spans="1:16" x14ac:dyDescent="0.3">
      <c r="A926" t="s">
        <v>28</v>
      </c>
      <c r="B926" t="s">
        <v>22</v>
      </c>
      <c r="C926" t="s">
        <v>23</v>
      </c>
      <c r="D926" t="s">
        <v>363</v>
      </c>
      <c r="E926" t="s">
        <v>467</v>
      </c>
      <c r="F926" t="s">
        <v>9</v>
      </c>
      <c r="G926" t="s">
        <v>489</v>
      </c>
      <c r="H926" t="s">
        <v>470</v>
      </c>
      <c r="I926">
        <v>46</v>
      </c>
      <c r="J926">
        <v>0.81818181818181823</v>
      </c>
      <c r="K926">
        <v>0.78688524590163933</v>
      </c>
      <c r="L926">
        <v>0.85207100591715978</v>
      </c>
      <c r="M926" t="s">
        <v>60</v>
      </c>
      <c r="N926" t="s">
        <v>2279</v>
      </c>
      <c r="O926" t="s">
        <v>2280</v>
      </c>
      <c r="P926">
        <v>1.3</v>
      </c>
    </row>
    <row r="927" spans="1:16" x14ac:dyDescent="0.3">
      <c r="A927" t="s">
        <v>28</v>
      </c>
      <c r="B927" t="s">
        <v>22</v>
      </c>
      <c r="C927" t="s">
        <v>23</v>
      </c>
      <c r="D927" t="s">
        <v>363</v>
      </c>
      <c r="E927" t="s">
        <v>467</v>
      </c>
      <c r="F927" t="s">
        <v>9</v>
      </c>
      <c r="G927" t="s">
        <v>494</v>
      </c>
      <c r="H927" t="s">
        <v>470</v>
      </c>
      <c r="I927">
        <v>47</v>
      </c>
      <c r="J927">
        <v>0.83094555873925513</v>
      </c>
      <c r="K927">
        <v>0.80555555555555558</v>
      </c>
      <c r="L927">
        <v>0.85798816568047342</v>
      </c>
      <c r="M927" t="s">
        <v>60</v>
      </c>
      <c r="N927" t="s">
        <v>2281</v>
      </c>
      <c r="O927" t="s">
        <v>2282</v>
      </c>
      <c r="P927">
        <v>1.4</v>
      </c>
    </row>
    <row r="928" spans="1:16" x14ac:dyDescent="0.3">
      <c r="A928" t="s">
        <v>28</v>
      </c>
      <c r="B928" t="s">
        <v>22</v>
      </c>
      <c r="C928" t="s">
        <v>23</v>
      </c>
      <c r="D928" t="s">
        <v>363</v>
      </c>
      <c r="E928" t="s">
        <v>467</v>
      </c>
      <c r="F928" t="s">
        <v>9</v>
      </c>
      <c r="G928" t="s">
        <v>499</v>
      </c>
      <c r="H928" t="s">
        <v>470</v>
      </c>
      <c r="I928">
        <v>48</v>
      </c>
      <c r="J928">
        <v>0.81690140845070425</v>
      </c>
      <c r="K928">
        <v>0.77956989247311825</v>
      </c>
      <c r="L928">
        <v>0.85798816568047342</v>
      </c>
      <c r="M928" t="s">
        <v>60</v>
      </c>
      <c r="N928" t="s">
        <v>2283</v>
      </c>
      <c r="O928" t="s">
        <v>2284</v>
      </c>
      <c r="P928">
        <v>1.9</v>
      </c>
    </row>
    <row r="929" spans="1:16" x14ac:dyDescent="0.3">
      <c r="A929" t="s">
        <v>28</v>
      </c>
      <c r="B929" t="s">
        <v>22</v>
      </c>
      <c r="C929" t="s">
        <v>23</v>
      </c>
      <c r="D929" t="s">
        <v>363</v>
      </c>
      <c r="E929" t="s">
        <v>467</v>
      </c>
      <c r="F929" t="s">
        <v>9</v>
      </c>
      <c r="G929" t="s">
        <v>504</v>
      </c>
      <c r="H929" t="s">
        <v>470</v>
      </c>
      <c r="I929">
        <v>49</v>
      </c>
      <c r="J929">
        <v>0.82352941176470595</v>
      </c>
      <c r="K929">
        <v>0.78191489361702127</v>
      </c>
      <c r="L929">
        <v>0.86982248520710059</v>
      </c>
      <c r="M929" t="s">
        <v>60</v>
      </c>
      <c r="N929" t="s">
        <v>2285</v>
      </c>
      <c r="O929" t="s">
        <v>2286</v>
      </c>
      <c r="P929">
        <v>1.3</v>
      </c>
    </row>
    <row r="930" spans="1:16" x14ac:dyDescent="0.3">
      <c r="A930" t="s">
        <v>28</v>
      </c>
      <c r="B930" t="s">
        <v>22</v>
      </c>
      <c r="C930" t="s">
        <v>23</v>
      </c>
      <c r="D930" t="s">
        <v>363</v>
      </c>
      <c r="E930" t="s">
        <v>467</v>
      </c>
      <c r="F930" t="s">
        <v>9</v>
      </c>
      <c r="G930" t="s">
        <v>509</v>
      </c>
      <c r="H930" t="s">
        <v>470</v>
      </c>
      <c r="I930">
        <v>50</v>
      </c>
      <c r="J930">
        <v>0.81609195402298851</v>
      </c>
      <c r="K930">
        <v>0.79329608938547491</v>
      </c>
      <c r="L930">
        <v>0.84023668639053251</v>
      </c>
      <c r="M930" t="s">
        <v>60</v>
      </c>
      <c r="N930" t="s">
        <v>2287</v>
      </c>
      <c r="O930" t="s">
        <v>2288</v>
      </c>
      <c r="P930">
        <v>1.4</v>
      </c>
    </row>
    <row r="931" spans="1:16" x14ac:dyDescent="0.3">
      <c r="A931" t="s">
        <v>28</v>
      </c>
      <c r="B931" t="s">
        <v>22</v>
      </c>
      <c r="C931" t="s">
        <v>23</v>
      </c>
      <c r="D931" t="s">
        <v>363</v>
      </c>
      <c r="E931" t="s">
        <v>467</v>
      </c>
      <c r="F931" t="s">
        <v>9</v>
      </c>
      <c r="G931" t="s">
        <v>514</v>
      </c>
      <c r="H931" t="s">
        <v>470</v>
      </c>
      <c r="I931">
        <v>51</v>
      </c>
      <c r="J931">
        <v>0.83943661971830974</v>
      </c>
      <c r="K931">
        <v>0.80107526881720426</v>
      </c>
      <c r="L931">
        <v>0.88165680473372776</v>
      </c>
      <c r="M931" t="s">
        <v>60</v>
      </c>
      <c r="N931" t="s">
        <v>2289</v>
      </c>
      <c r="O931" t="s">
        <v>2290</v>
      </c>
      <c r="P931">
        <v>1.5</v>
      </c>
    </row>
    <row r="932" spans="1:16" x14ac:dyDescent="0.3">
      <c r="A932" t="s">
        <v>28</v>
      </c>
      <c r="B932" t="s">
        <v>22</v>
      </c>
      <c r="C932" t="s">
        <v>23</v>
      </c>
      <c r="D932" t="s">
        <v>363</v>
      </c>
      <c r="E932" t="s">
        <v>467</v>
      </c>
      <c r="F932" t="s">
        <v>9</v>
      </c>
      <c r="G932" t="s">
        <v>519</v>
      </c>
      <c r="H932" t="s">
        <v>470</v>
      </c>
      <c r="I932">
        <v>52</v>
      </c>
      <c r="J932">
        <v>0.81481481481481477</v>
      </c>
      <c r="K932">
        <v>0.7857142857142857</v>
      </c>
      <c r="L932">
        <v>0.84615384615384615</v>
      </c>
      <c r="M932" t="s">
        <v>60</v>
      </c>
      <c r="N932" t="s">
        <v>2291</v>
      </c>
      <c r="O932" t="s">
        <v>2292</v>
      </c>
      <c r="P932">
        <v>1.3</v>
      </c>
    </row>
    <row r="933" spans="1:16" x14ac:dyDescent="0.3">
      <c r="A933" t="s">
        <v>28</v>
      </c>
      <c r="B933" t="s">
        <v>22</v>
      </c>
      <c r="C933" t="s">
        <v>23</v>
      </c>
      <c r="D933" t="s">
        <v>363</v>
      </c>
      <c r="E933" t="s">
        <v>467</v>
      </c>
      <c r="F933" t="s">
        <v>9</v>
      </c>
      <c r="G933" t="s">
        <v>524</v>
      </c>
      <c r="H933" t="s">
        <v>470</v>
      </c>
      <c r="I933">
        <v>53</v>
      </c>
      <c r="J933">
        <v>0.8262108262108262</v>
      </c>
      <c r="K933">
        <v>0.79670329670329665</v>
      </c>
      <c r="L933">
        <v>0.85798816568047342</v>
      </c>
      <c r="M933" t="s">
        <v>60</v>
      </c>
      <c r="N933" t="s">
        <v>2293</v>
      </c>
      <c r="O933" t="s">
        <v>2294</v>
      </c>
      <c r="P933">
        <v>1.3</v>
      </c>
    </row>
    <row r="934" spans="1:16" x14ac:dyDescent="0.3">
      <c r="A934" t="s">
        <v>28</v>
      </c>
      <c r="B934" t="s">
        <v>22</v>
      </c>
      <c r="C934" t="s">
        <v>23</v>
      </c>
      <c r="D934" t="s">
        <v>363</v>
      </c>
      <c r="E934" t="s">
        <v>467</v>
      </c>
      <c r="F934" t="s">
        <v>9</v>
      </c>
      <c r="G934" t="s">
        <v>529</v>
      </c>
      <c r="H934" t="s">
        <v>470</v>
      </c>
      <c r="I934">
        <v>54</v>
      </c>
      <c r="J934">
        <v>0.8125</v>
      </c>
      <c r="K934">
        <v>0.78142076502732238</v>
      </c>
      <c r="L934">
        <v>0.84615384615384615</v>
      </c>
      <c r="M934" t="s">
        <v>60</v>
      </c>
      <c r="N934" t="s">
        <v>2295</v>
      </c>
      <c r="O934" t="s">
        <v>2296</v>
      </c>
      <c r="P934">
        <v>1.4</v>
      </c>
    </row>
    <row r="935" spans="1:16" x14ac:dyDescent="0.3">
      <c r="A935" t="s">
        <v>28</v>
      </c>
      <c r="B935" t="s">
        <v>22</v>
      </c>
      <c r="C935" t="s">
        <v>23</v>
      </c>
      <c r="D935" t="s">
        <v>363</v>
      </c>
      <c r="E935" t="s">
        <v>467</v>
      </c>
      <c r="F935" t="s">
        <v>9</v>
      </c>
      <c r="G935" t="s">
        <v>534</v>
      </c>
      <c r="H935" t="s">
        <v>470</v>
      </c>
      <c r="I935">
        <v>55</v>
      </c>
      <c r="J935">
        <v>0.82183908045977005</v>
      </c>
      <c r="K935">
        <v>0.7988826815642458</v>
      </c>
      <c r="L935">
        <v>0.84615384615384615</v>
      </c>
      <c r="M935" t="s">
        <v>60</v>
      </c>
      <c r="N935" t="s">
        <v>2297</v>
      </c>
      <c r="O935" t="s">
        <v>2298</v>
      </c>
      <c r="P935">
        <v>1.7</v>
      </c>
    </row>
    <row r="936" spans="1:16" x14ac:dyDescent="0.3">
      <c r="A936" t="s">
        <v>28</v>
      </c>
      <c r="B936" t="s">
        <v>22</v>
      </c>
      <c r="C936" t="s">
        <v>23</v>
      </c>
      <c r="D936" t="s">
        <v>363</v>
      </c>
      <c r="E936" t="s">
        <v>467</v>
      </c>
      <c r="F936" t="s">
        <v>9</v>
      </c>
      <c r="G936" t="s">
        <v>539</v>
      </c>
      <c r="H936" t="s">
        <v>470</v>
      </c>
      <c r="I936">
        <v>56</v>
      </c>
      <c r="J936">
        <v>0.82285714285714284</v>
      </c>
      <c r="K936">
        <v>0.79558011049723754</v>
      </c>
      <c r="L936">
        <v>0.85207100591715978</v>
      </c>
      <c r="M936" t="s">
        <v>60</v>
      </c>
      <c r="N936" t="s">
        <v>2299</v>
      </c>
      <c r="O936" t="s">
        <v>2300</v>
      </c>
      <c r="P936">
        <v>1.5</v>
      </c>
    </row>
    <row r="937" spans="1:16" x14ac:dyDescent="0.3">
      <c r="A937" t="s">
        <v>28</v>
      </c>
      <c r="B937" t="s">
        <v>22</v>
      </c>
      <c r="C937" t="s">
        <v>23</v>
      </c>
      <c r="D937" t="s">
        <v>363</v>
      </c>
      <c r="E937" t="s">
        <v>467</v>
      </c>
      <c r="F937" t="s">
        <v>9</v>
      </c>
      <c r="G937" t="s">
        <v>544</v>
      </c>
      <c r="H937" t="s">
        <v>470</v>
      </c>
      <c r="I937">
        <v>57</v>
      </c>
      <c r="J937">
        <v>0.819484240687679</v>
      </c>
      <c r="K937">
        <v>0.7944444444444444</v>
      </c>
      <c r="L937">
        <v>0.84615384615384615</v>
      </c>
      <c r="M937" t="s">
        <v>60</v>
      </c>
      <c r="N937" t="s">
        <v>2301</v>
      </c>
      <c r="O937" t="s">
        <v>2302</v>
      </c>
      <c r="P937">
        <v>1.4</v>
      </c>
    </row>
    <row r="938" spans="1:16" x14ac:dyDescent="0.3">
      <c r="A938" t="s">
        <v>28</v>
      </c>
      <c r="B938" t="s">
        <v>22</v>
      </c>
      <c r="C938" t="s">
        <v>23</v>
      </c>
      <c r="D938" t="s">
        <v>363</v>
      </c>
      <c r="E938" t="s">
        <v>467</v>
      </c>
      <c r="F938" t="s">
        <v>9</v>
      </c>
      <c r="G938" t="s">
        <v>549</v>
      </c>
      <c r="H938" t="s">
        <v>470</v>
      </c>
      <c r="I938">
        <v>58</v>
      </c>
      <c r="J938">
        <v>0.82758620689655182</v>
      </c>
      <c r="K938">
        <v>0.8044692737430168</v>
      </c>
      <c r="L938">
        <v>0.85207100591715978</v>
      </c>
      <c r="M938" t="s">
        <v>60</v>
      </c>
      <c r="N938" t="s">
        <v>2303</v>
      </c>
      <c r="O938" t="s">
        <v>2304</v>
      </c>
      <c r="P938">
        <v>1.4</v>
      </c>
    </row>
    <row r="939" spans="1:16" x14ac:dyDescent="0.3">
      <c r="A939" t="s">
        <v>28</v>
      </c>
      <c r="B939" t="s">
        <v>22</v>
      </c>
      <c r="C939" t="s">
        <v>23</v>
      </c>
      <c r="D939" t="s">
        <v>363</v>
      </c>
      <c r="E939" t="s">
        <v>467</v>
      </c>
      <c r="F939" t="s">
        <v>9</v>
      </c>
      <c r="G939" t="s">
        <v>554</v>
      </c>
      <c r="H939" t="s">
        <v>470</v>
      </c>
      <c r="I939">
        <v>59</v>
      </c>
      <c r="J939">
        <v>0.82352941176470595</v>
      </c>
      <c r="K939">
        <v>0.78191489361702127</v>
      </c>
      <c r="L939">
        <v>0.86982248520710059</v>
      </c>
      <c r="M939" t="s">
        <v>60</v>
      </c>
      <c r="N939" t="s">
        <v>2305</v>
      </c>
      <c r="O939" t="s">
        <v>2306</v>
      </c>
      <c r="P939">
        <v>1.4</v>
      </c>
    </row>
    <row r="940" spans="1:16" x14ac:dyDescent="0.3">
      <c r="A940" t="s">
        <v>28</v>
      </c>
      <c r="B940" t="s">
        <v>22</v>
      </c>
      <c r="C940" t="s">
        <v>23</v>
      </c>
      <c r="D940" t="s">
        <v>363</v>
      </c>
      <c r="E940" t="s">
        <v>467</v>
      </c>
      <c r="F940" t="s">
        <v>9</v>
      </c>
      <c r="G940" t="s">
        <v>559</v>
      </c>
      <c r="H940" t="s">
        <v>470</v>
      </c>
      <c r="I940">
        <v>60</v>
      </c>
      <c r="J940">
        <v>0.83573487031700289</v>
      </c>
      <c r="K940">
        <v>0.8146067415730337</v>
      </c>
      <c r="L940">
        <v>0.85798816568047342</v>
      </c>
      <c r="M940" t="s">
        <v>60</v>
      </c>
      <c r="N940" t="s">
        <v>2307</v>
      </c>
      <c r="O940" t="s">
        <v>2308</v>
      </c>
      <c r="P940">
        <v>1.4</v>
      </c>
    </row>
    <row r="941" spans="1:16" x14ac:dyDescent="0.3">
      <c r="A941" t="s">
        <v>28</v>
      </c>
      <c r="B941" t="s">
        <v>22</v>
      </c>
      <c r="C941" t="s">
        <v>23</v>
      </c>
      <c r="D941" t="s">
        <v>363</v>
      </c>
      <c r="E941" t="s">
        <v>467</v>
      </c>
      <c r="F941" t="s">
        <v>9</v>
      </c>
      <c r="G941" t="s">
        <v>564</v>
      </c>
      <c r="H941" t="s">
        <v>470</v>
      </c>
      <c r="I941">
        <v>61</v>
      </c>
      <c r="J941">
        <v>0.819484240687679</v>
      </c>
      <c r="K941">
        <v>0.7944444444444444</v>
      </c>
      <c r="L941">
        <v>0.84615384615384615</v>
      </c>
      <c r="M941" t="s">
        <v>60</v>
      </c>
      <c r="N941" t="s">
        <v>2309</v>
      </c>
      <c r="O941" t="s">
        <v>2310</v>
      </c>
      <c r="P941">
        <v>1.5</v>
      </c>
    </row>
    <row r="942" spans="1:16" x14ac:dyDescent="0.3">
      <c r="A942" t="s">
        <v>28</v>
      </c>
      <c r="B942" t="s">
        <v>22</v>
      </c>
      <c r="C942" t="s">
        <v>23</v>
      </c>
      <c r="D942" t="s">
        <v>363</v>
      </c>
      <c r="E942" t="s">
        <v>569</v>
      </c>
      <c r="F942" t="s">
        <v>11</v>
      </c>
      <c r="G942" t="s">
        <v>570</v>
      </c>
      <c r="H942" t="s">
        <v>572</v>
      </c>
      <c r="I942">
        <v>42</v>
      </c>
      <c r="J942">
        <v>0.86086956521739144</v>
      </c>
      <c r="K942">
        <v>0.83193277310924374</v>
      </c>
      <c r="L942">
        <v>0.89189189189189189</v>
      </c>
      <c r="M942" t="s">
        <v>60</v>
      </c>
      <c r="N942" t="s">
        <v>2311</v>
      </c>
      <c r="O942" t="s">
        <v>2312</v>
      </c>
      <c r="P942">
        <v>1.8</v>
      </c>
    </row>
    <row r="943" spans="1:16" x14ac:dyDescent="0.3">
      <c r="A943" t="s">
        <v>28</v>
      </c>
      <c r="B943" t="s">
        <v>22</v>
      </c>
      <c r="C943" t="s">
        <v>23</v>
      </c>
      <c r="D943" t="s">
        <v>363</v>
      </c>
      <c r="E943" t="s">
        <v>569</v>
      </c>
      <c r="F943" t="s">
        <v>11</v>
      </c>
      <c r="G943" t="s">
        <v>576</v>
      </c>
      <c r="H943" t="s">
        <v>572</v>
      </c>
      <c r="I943">
        <v>43</v>
      </c>
      <c r="J943">
        <v>0.83842794759825334</v>
      </c>
      <c r="K943">
        <v>0.81355932203389836</v>
      </c>
      <c r="L943">
        <v>0.86486486486486491</v>
      </c>
      <c r="M943" t="s">
        <v>60</v>
      </c>
      <c r="N943" t="s">
        <v>2313</v>
      </c>
      <c r="O943" t="s">
        <v>2314</v>
      </c>
      <c r="P943">
        <v>1.4</v>
      </c>
    </row>
    <row r="944" spans="1:16" x14ac:dyDescent="0.3">
      <c r="A944" t="s">
        <v>28</v>
      </c>
      <c r="B944" t="s">
        <v>22</v>
      </c>
      <c r="C944" t="s">
        <v>23</v>
      </c>
      <c r="D944" t="s">
        <v>363</v>
      </c>
      <c r="E944" t="s">
        <v>569</v>
      </c>
      <c r="F944" t="s">
        <v>11</v>
      </c>
      <c r="G944" t="s">
        <v>581</v>
      </c>
      <c r="H944" t="s">
        <v>572</v>
      </c>
      <c r="I944">
        <v>44</v>
      </c>
      <c r="J944">
        <v>0.85968819599109125</v>
      </c>
      <c r="K944">
        <v>0.85022026431718056</v>
      </c>
      <c r="L944">
        <v>0.86936936936936937</v>
      </c>
      <c r="M944" t="s">
        <v>60</v>
      </c>
      <c r="N944" t="s">
        <v>2315</v>
      </c>
      <c r="O944" t="s">
        <v>2316</v>
      </c>
      <c r="P944">
        <v>1.3</v>
      </c>
    </row>
    <row r="945" spans="1:16" x14ac:dyDescent="0.3">
      <c r="A945" t="s">
        <v>28</v>
      </c>
      <c r="B945" t="s">
        <v>22</v>
      </c>
      <c r="C945" t="s">
        <v>23</v>
      </c>
      <c r="D945" t="s">
        <v>363</v>
      </c>
      <c r="E945" t="s">
        <v>569</v>
      </c>
      <c r="F945" t="s">
        <v>11</v>
      </c>
      <c r="G945" t="s">
        <v>586</v>
      </c>
      <c r="H945" t="s">
        <v>572</v>
      </c>
      <c r="I945">
        <v>45</v>
      </c>
      <c r="J945">
        <v>0.83333333333333337</v>
      </c>
      <c r="K945">
        <v>0.79268292682926833</v>
      </c>
      <c r="L945">
        <v>0.8783783783783784</v>
      </c>
      <c r="M945" t="s">
        <v>60</v>
      </c>
      <c r="N945" t="s">
        <v>2317</v>
      </c>
      <c r="O945" t="s">
        <v>2318</v>
      </c>
      <c r="P945">
        <v>1.4</v>
      </c>
    </row>
    <row r="946" spans="1:16" x14ac:dyDescent="0.3">
      <c r="A946" t="s">
        <v>28</v>
      </c>
      <c r="B946" t="s">
        <v>22</v>
      </c>
      <c r="C946" t="s">
        <v>23</v>
      </c>
      <c r="D946" t="s">
        <v>363</v>
      </c>
      <c r="E946" t="s">
        <v>569</v>
      </c>
      <c r="F946" t="s">
        <v>11</v>
      </c>
      <c r="G946" t="s">
        <v>591</v>
      </c>
      <c r="H946" t="s">
        <v>572</v>
      </c>
      <c r="I946">
        <v>46</v>
      </c>
      <c r="J946">
        <v>0.84070796460176989</v>
      </c>
      <c r="K946">
        <v>0.82608695652173914</v>
      </c>
      <c r="L946">
        <v>0.85585585585585588</v>
      </c>
      <c r="M946" t="s">
        <v>60</v>
      </c>
      <c r="N946" t="s">
        <v>2319</v>
      </c>
      <c r="O946" t="s">
        <v>2320</v>
      </c>
      <c r="P946">
        <v>1.4</v>
      </c>
    </row>
    <row r="947" spans="1:16" x14ac:dyDescent="0.3">
      <c r="A947" t="s">
        <v>28</v>
      </c>
      <c r="B947" t="s">
        <v>22</v>
      </c>
      <c r="C947" t="s">
        <v>23</v>
      </c>
      <c r="D947" t="s">
        <v>363</v>
      </c>
      <c r="E947" t="s">
        <v>569</v>
      </c>
      <c r="F947" t="s">
        <v>11</v>
      </c>
      <c r="G947" t="s">
        <v>596</v>
      </c>
      <c r="H947" t="s">
        <v>572</v>
      </c>
      <c r="I947">
        <v>47</v>
      </c>
      <c r="J947">
        <v>0.83050847457627119</v>
      </c>
      <c r="K947">
        <v>0.78400000000000003</v>
      </c>
      <c r="L947">
        <v>0.88288288288288286</v>
      </c>
      <c r="M947" t="s">
        <v>60</v>
      </c>
      <c r="N947" t="s">
        <v>2321</v>
      </c>
      <c r="O947" t="s">
        <v>2322</v>
      </c>
      <c r="P947">
        <v>1.5</v>
      </c>
    </row>
    <row r="948" spans="1:16" x14ac:dyDescent="0.3">
      <c r="A948" t="s">
        <v>28</v>
      </c>
      <c r="B948" t="s">
        <v>22</v>
      </c>
      <c r="C948" t="s">
        <v>23</v>
      </c>
      <c r="D948" t="s">
        <v>363</v>
      </c>
      <c r="E948" t="s">
        <v>569</v>
      </c>
      <c r="F948" t="s">
        <v>11</v>
      </c>
      <c r="G948" t="s">
        <v>601</v>
      </c>
      <c r="H948" t="s">
        <v>572</v>
      </c>
      <c r="I948">
        <v>48</v>
      </c>
      <c r="J948">
        <v>0.84796573875802994</v>
      </c>
      <c r="K948">
        <v>0.80816326530612248</v>
      </c>
      <c r="L948">
        <v>0.89189189189189189</v>
      </c>
      <c r="M948" t="s">
        <v>60</v>
      </c>
      <c r="N948" t="s">
        <v>2323</v>
      </c>
      <c r="O948" t="s">
        <v>2324</v>
      </c>
      <c r="P948">
        <v>2.2999999999999998</v>
      </c>
    </row>
    <row r="949" spans="1:16" x14ac:dyDescent="0.3">
      <c r="A949" t="s">
        <v>28</v>
      </c>
      <c r="B949" t="s">
        <v>22</v>
      </c>
      <c r="C949" t="s">
        <v>23</v>
      </c>
      <c r="D949" t="s">
        <v>363</v>
      </c>
      <c r="E949" t="s">
        <v>569</v>
      </c>
      <c r="F949" t="s">
        <v>11</v>
      </c>
      <c r="G949" t="s">
        <v>606</v>
      </c>
      <c r="H949" t="s">
        <v>572</v>
      </c>
      <c r="I949">
        <v>49</v>
      </c>
      <c r="J949">
        <v>0.8482142857142857</v>
      </c>
      <c r="K949">
        <v>0.84070796460176989</v>
      </c>
      <c r="L949">
        <v>0.85585585585585588</v>
      </c>
      <c r="M949" t="s">
        <v>60</v>
      </c>
      <c r="N949" t="s">
        <v>2325</v>
      </c>
      <c r="O949" t="s">
        <v>2326</v>
      </c>
      <c r="P949">
        <v>1.8</v>
      </c>
    </row>
    <row r="950" spans="1:16" x14ac:dyDescent="0.3">
      <c r="A950" t="s">
        <v>28</v>
      </c>
      <c r="B950" t="s">
        <v>22</v>
      </c>
      <c r="C950" t="s">
        <v>23</v>
      </c>
      <c r="D950" t="s">
        <v>363</v>
      </c>
      <c r="E950" t="s">
        <v>569</v>
      </c>
      <c r="F950" t="s">
        <v>11</v>
      </c>
      <c r="G950" t="s">
        <v>611</v>
      </c>
      <c r="H950" t="s">
        <v>572</v>
      </c>
      <c r="I950">
        <v>50</v>
      </c>
      <c r="J950">
        <v>0.8441558441558441</v>
      </c>
      <c r="K950">
        <v>0.8125</v>
      </c>
      <c r="L950">
        <v>0.8783783783783784</v>
      </c>
      <c r="M950" t="s">
        <v>60</v>
      </c>
      <c r="N950" t="s">
        <v>2327</v>
      </c>
      <c r="O950" t="s">
        <v>2328</v>
      </c>
      <c r="P950">
        <v>1.6</v>
      </c>
    </row>
    <row r="951" spans="1:16" x14ac:dyDescent="0.3">
      <c r="A951" t="s">
        <v>28</v>
      </c>
      <c r="B951" t="s">
        <v>22</v>
      </c>
      <c r="C951" t="s">
        <v>23</v>
      </c>
      <c r="D951" t="s">
        <v>363</v>
      </c>
      <c r="E951" t="s">
        <v>569</v>
      </c>
      <c r="F951" t="s">
        <v>11</v>
      </c>
      <c r="G951" t="s">
        <v>616</v>
      </c>
      <c r="H951" t="s">
        <v>572</v>
      </c>
      <c r="I951">
        <v>51</v>
      </c>
      <c r="J951">
        <v>0.85651214128035313</v>
      </c>
      <c r="K951">
        <v>0.83982683982683981</v>
      </c>
      <c r="L951">
        <v>0.87387387387387383</v>
      </c>
      <c r="M951" t="s">
        <v>60</v>
      </c>
      <c r="N951" t="s">
        <v>2329</v>
      </c>
      <c r="O951" t="s">
        <v>2330</v>
      </c>
      <c r="P951">
        <v>1.4</v>
      </c>
    </row>
    <row r="952" spans="1:16" x14ac:dyDescent="0.3">
      <c r="A952" t="s">
        <v>28</v>
      </c>
      <c r="B952" t="s">
        <v>22</v>
      </c>
      <c r="C952" t="s">
        <v>23</v>
      </c>
      <c r="D952" t="s">
        <v>363</v>
      </c>
      <c r="E952" t="s">
        <v>569</v>
      </c>
      <c r="F952" t="s">
        <v>11</v>
      </c>
      <c r="G952" t="s">
        <v>621</v>
      </c>
      <c r="H952" t="s">
        <v>572</v>
      </c>
      <c r="I952">
        <v>52</v>
      </c>
      <c r="J952">
        <v>0.83870967741935487</v>
      </c>
      <c r="K952">
        <v>0.80246913580246915</v>
      </c>
      <c r="L952">
        <v>0.8783783783783784</v>
      </c>
      <c r="M952" t="s">
        <v>60</v>
      </c>
      <c r="N952" t="s">
        <v>2331</v>
      </c>
      <c r="O952" t="s">
        <v>2332</v>
      </c>
      <c r="P952">
        <v>2</v>
      </c>
    </row>
    <row r="953" spans="1:16" x14ac:dyDescent="0.3">
      <c r="A953" t="s">
        <v>28</v>
      </c>
      <c r="B953" t="s">
        <v>22</v>
      </c>
      <c r="C953" t="s">
        <v>23</v>
      </c>
      <c r="D953" t="s">
        <v>363</v>
      </c>
      <c r="E953" t="s">
        <v>569</v>
      </c>
      <c r="F953" t="s">
        <v>11</v>
      </c>
      <c r="G953" t="s">
        <v>626</v>
      </c>
      <c r="H953" t="s">
        <v>572</v>
      </c>
      <c r="I953">
        <v>53</v>
      </c>
      <c r="J953">
        <v>0.84835164835164845</v>
      </c>
      <c r="K953">
        <v>0.8283261802575107</v>
      </c>
      <c r="L953">
        <v>0.86936936936936937</v>
      </c>
      <c r="M953" t="s">
        <v>60</v>
      </c>
      <c r="N953" t="s">
        <v>2333</v>
      </c>
      <c r="O953" t="s">
        <v>2334</v>
      </c>
      <c r="P953">
        <v>1.4</v>
      </c>
    </row>
    <row r="954" spans="1:16" x14ac:dyDescent="0.3">
      <c r="A954" t="s">
        <v>28</v>
      </c>
      <c r="B954" t="s">
        <v>22</v>
      </c>
      <c r="C954" t="s">
        <v>23</v>
      </c>
      <c r="D954" t="s">
        <v>363</v>
      </c>
      <c r="E954" t="s">
        <v>569</v>
      </c>
      <c r="F954" t="s">
        <v>11</v>
      </c>
      <c r="G954" t="s">
        <v>631</v>
      </c>
      <c r="H954" t="s">
        <v>572</v>
      </c>
      <c r="I954">
        <v>54</v>
      </c>
      <c r="J954">
        <v>0.83771929824561386</v>
      </c>
      <c r="K954">
        <v>0.81623931623931623</v>
      </c>
      <c r="L954">
        <v>0.86036036036036034</v>
      </c>
      <c r="M954" t="s">
        <v>60</v>
      </c>
      <c r="N954" t="s">
        <v>2335</v>
      </c>
      <c r="O954" t="s">
        <v>2336</v>
      </c>
      <c r="P954">
        <v>1.4</v>
      </c>
    </row>
    <row r="955" spans="1:16" x14ac:dyDescent="0.3">
      <c r="A955" t="s">
        <v>28</v>
      </c>
      <c r="B955" t="s">
        <v>22</v>
      </c>
      <c r="C955" t="s">
        <v>23</v>
      </c>
      <c r="D955" t="s">
        <v>363</v>
      </c>
      <c r="E955" t="s">
        <v>569</v>
      </c>
      <c r="F955" t="s">
        <v>11</v>
      </c>
      <c r="G955" t="s">
        <v>636</v>
      </c>
      <c r="H955" t="s">
        <v>572</v>
      </c>
      <c r="I955">
        <v>55</v>
      </c>
      <c r="J955">
        <v>0.85217391304347823</v>
      </c>
      <c r="K955">
        <v>0.82352941176470584</v>
      </c>
      <c r="L955">
        <v>0.88288288288288286</v>
      </c>
      <c r="M955" t="s">
        <v>60</v>
      </c>
      <c r="N955" t="s">
        <v>2337</v>
      </c>
      <c r="O955" t="s">
        <v>2338</v>
      </c>
      <c r="P955">
        <v>1.4</v>
      </c>
    </row>
    <row r="956" spans="1:16" x14ac:dyDescent="0.3">
      <c r="A956" t="s">
        <v>28</v>
      </c>
      <c r="B956" t="s">
        <v>22</v>
      </c>
      <c r="C956" t="s">
        <v>23</v>
      </c>
      <c r="D956" t="s">
        <v>363</v>
      </c>
      <c r="E956" t="s">
        <v>569</v>
      </c>
      <c r="F956" t="s">
        <v>11</v>
      </c>
      <c r="G956" t="s">
        <v>641</v>
      </c>
      <c r="H956" t="s">
        <v>572</v>
      </c>
      <c r="I956">
        <v>56</v>
      </c>
      <c r="J956">
        <v>0.84901531728665192</v>
      </c>
      <c r="K956">
        <v>0.82553191489361699</v>
      </c>
      <c r="L956">
        <v>0.87387387387387383</v>
      </c>
      <c r="M956" t="s">
        <v>60</v>
      </c>
      <c r="N956" t="s">
        <v>2339</v>
      </c>
      <c r="O956" t="s">
        <v>2340</v>
      </c>
      <c r="P956">
        <v>1.2</v>
      </c>
    </row>
    <row r="957" spans="1:16" x14ac:dyDescent="0.3">
      <c r="A957" t="s">
        <v>28</v>
      </c>
      <c r="B957" t="s">
        <v>22</v>
      </c>
      <c r="C957" t="s">
        <v>23</v>
      </c>
      <c r="D957" t="s">
        <v>363</v>
      </c>
      <c r="E957" t="s">
        <v>569</v>
      </c>
      <c r="F957" t="s">
        <v>11</v>
      </c>
      <c r="G957" t="s">
        <v>646</v>
      </c>
      <c r="H957" t="s">
        <v>572</v>
      </c>
      <c r="I957">
        <v>57</v>
      </c>
      <c r="J957">
        <v>0.84279475982532748</v>
      </c>
      <c r="K957">
        <v>0.81779661016949157</v>
      </c>
      <c r="L957">
        <v>0.86936936936936937</v>
      </c>
      <c r="M957" t="s">
        <v>60</v>
      </c>
      <c r="N957" t="s">
        <v>2341</v>
      </c>
      <c r="O957" t="s">
        <v>2342</v>
      </c>
      <c r="P957">
        <v>0.8</v>
      </c>
    </row>
    <row r="958" spans="1:16" x14ac:dyDescent="0.3">
      <c r="A958" t="s">
        <v>28</v>
      </c>
      <c r="B958" t="s">
        <v>22</v>
      </c>
      <c r="C958" t="s">
        <v>23</v>
      </c>
      <c r="D958" t="s">
        <v>363</v>
      </c>
      <c r="E958" t="s">
        <v>569</v>
      </c>
      <c r="F958" t="s">
        <v>11</v>
      </c>
      <c r="G958" t="s">
        <v>651</v>
      </c>
      <c r="H958" t="s">
        <v>572</v>
      </c>
      <c r="I958">
        <v>58</v>
      </c>
      <c r="J958">
        <v>0.8423326133909288</v>
      </c>
      <c r="K958">
        <v>0.8091286307053942</v>
      </c>
      <c r="L958">
        <v>0.8783783783783784</v>
      </c>
      <c r="M958" t="s">
        <v>60</v>
      </c>
      <c r="N958" t="s">
        <v>2343</v>
      </c>
      <c r="O958" t="s">
        <v>2344</v>
      </c>
      <c r="P958">
        <v>0.8</v>
      </c>
    </row>
    <row r="959" spans="1:16" x14ac:dyDescent="0.3">
      <c r="A959" t="s">
        <v>28</v>
      </c>
      <c r="B959" t="s">
        <v>22</v>
      </c>
      <c r="C959" t="s">
        <v>23</v>
      </c>
      <c r="D959" t="s">
        <v>363</v>
      </c>
      <c r="E959" t="s">
        <v>569</v>
      </c>
      <c r="F959" t="s">
        <v>11</v>
      </c>
      <c r="G959" t="s">
        <v>656</v>
      </c>
      <c r="H959" t="s">
        <v>572</v>
      </c>
      <c r="I959">
        <v>59</v>
      </c>
      <c r="J959">
        <v>0.8432671081677704</v>
      </c>
      <c r="K959">
        <v>0.82683982683982682</v>
      </c>
      <c r="L959">
        <v>0.86036036036036034</v>
      </c>
      <c r="M959" t="s">
        <v>60</v>
      </c>
      <c r="N959" t="s">
        <v>2345</v>
      </c>
      <c r="O959" t="s">
        <v>2346</v>
      </c>
      <c r="P959">
        <v>0.8</v>
      </c>
    </row>
    <row r="960" spans="1:16" x14ac:dyDescent="0.3">
      <c r="A960" t="s">
        <v>28</v>
      </c>
      <c r="B960" t="s">
        <v>22</v>
      </c>
      <c r="C960" t="s">
        <v>23</v>
      </c>
      <c r="D960" t="s">
        <v>363</v>
      </c>
      <c r="E960" t="s">
        <v>569</v>
      </c>
      <c r="F960" t="s">
        <v>11</v>
      </c>
      <c r="G960" t="s">
        <v>661</v>
      </c>
      <c r="H960" t="s">
        <v>572</v>
      </c>
      <c r="I960">
        <v>60</v>
      </c>
      <c r="J960">
        <v>0.85589519650655022</v>
      </c>
      <c r="K960">
        <v>0.83050847457627119</v>
      </c>
      <c r="L960">
        <v>0.88288288288288286</v>
      </c>
      <c r="M960" t="s">
        <v>60</v>
      </c>
      <c r="N960" t="s">
        <v>2347</v>
      </c>
      <c r="O960" t="s">
        <v>2346</v>
      </c>
      <c r="P960">
        <v>0.8</v>
      </c>
    </row>
    <row r="961" spans="1:16" x14ac:dyDescent="0.3">
      <c r="A961" t="s">
        <v>28</v>
      </c>
      <c r="B961" t="s">
        <v>22</v>
      </c>
      <c r="C961" t="s">
        <v>23</v>
      </c>
      <c r="D961" t="s">
        <v>363</v>
      </c>
      <c r="E961" t="s">
        <v>569</v>
      </c>
      <c r="F961" t="s">
        <v>11</v>
      </c>
      <c r="G961" t="s">
        <v>666</v>
      </c>
      <c r="H961" t="s">
        <v>572</v>
      </c>
      <c r="I961">
        <v>61</v>
      </c>
      <c r="J961">
        <v>0.84649122807017541</v>
      </c>
      <c r="K961">
        <v>0.82478632478632474</v>
      </c>
      <c r="L961">
        <v>0.86936936936936937</v>
      </c>
      <c r="M961" t="s">
        <v>60</v>
      </c>
      <c r="N961" t="s">
        <v>2348</v>
      </c>
      <c r="O961" t="s">
        <v>2349</v>
      </c>
      <c r="P961">
        <v>0.8</v>
      </c>
    </row>
    <row r="962" spans="1:16" x14ac:dyDescent="0.3">
      <c r="A962" t="s">
        <v>28</v>
      </c>
      <c r="B962" t="s">
        <v>24</v>
      </c>
      <c r="C962" t="s">
        <v>25</v>
      </c>
      <c r="D962" t="s">
        <v>54</v>
      </c>
      <c r="E962" t="s">
        <v>56</v>
      </c>
      <c r="F962" t="s">
        <v>7</v>
      </c>
      <c r="G962" t="s">
        <v>57</v>
      </c>
      <c r="H962" t="s">
        <v>59</v>
      </c>
      <c r="I962">
        <v>42</v>
      </c>
      <c r="J962">
        <v>0.71398747390396655</v>
      </c>
      <c r="K962">
        <v>0.68674698795180722</v>
      </c>
      <c r="L962">
        <v>0.74347826086956526</v>
      </c>
      <c r="M962" t="s">
        <v>60</v>
      </c>
      <c r="N962" t="s">
        <v>2350</v>
      </c>
      <c r="O962" t="s">
        <v>2351</v>
      </c>
      <c r="P962">
        <v>5.5</v>
      </c>
    </row>
    <row r="963" spans="1:16" x14ac:dyDescent="0.3">
      <c r="A963" t="s">
        <v>28</v>
      </c>
      <c r="B963" t="s">
        <v>24</v>
      </c>
      <c r="C963" t="s">
        <v>25</v>
      </c>
      <c r="D963" t="s">
        <v>54</v>
      </c>
      <c r="E963" t="s">
        <v>56</v>
      </c>
      <c r="F963" t="s">
        <v>7</v>
      </c>
      <c r="G963" t="s">
        <v>65</v>
      </c>
      <c r="H963" t="s">
        <v>59</v>
      </c>
      <c r="I963">
        <v>43</v>
      </c>
      <c r="J963">
        <v>0.71334792122538282</v>
      </c>
      <c r="K963">
        <v>0.7180616740088106</v>
      </c>
      <c r="L963">
        <v>0.70869565217391306</v>
      </c>
      <c r="M963" t="s">
        <v>60</v>
      </c>
      <c r="N963" t="s">
        <v>2352</v>
      </c>
      <c r="O963" t="s">
        <v>2353</v>
      </c>
      <c r="P963">
        <v>2.2000000000000002</v>
      </c>
    </row>
    <row r="964" spans="1:16" x14ac:dyDescent="0.3">
      <c r="A964" t="s">
        <v>28</v>
      </c>
      <c r="B964" t="s">
        <v>24</v>
      </c>
      <c r="C964" t="s">
        <v>25</v>
      </c>
      <c r="D964" t="s">
        <v>54</v>
      </c>
      <c r="E964" t="s">
        <v>56</v>
      </c>
      <c r="F964" t="s">
        <v>7</v>
      </c>
      <c r="G964" t="s">
        <v>70</v>
      </c>
      <c r="H964" t="s">
        <v>59</v>
      </c>
      <c r="I964">
        <v>44</v>
      </c>
      <c r="J964">
        <v>0.7222222222222221</v>
      </c>
      <c r="K964">
        <v>0.71008403361344541</v>
      </c>
      <c r="L964">
        <v>0.73478260869565215</v>
      </c>
      <c r="M964" t="s">
        <v>60</v>
      </c>
      <c r="N964" t="s">
        <v>2354</v>
      </c>
      <c r="O964" t="s">
        <v>2355</v>
      </c>
      <c r="P964">
        <v>2.2999999999999998</v>
      </c>
    </row>
    <row r="965" spans="1:16" x14ac:dyDescent="0.3">
      <c r="A965" t="s">
        <v>28</v>
      </c>
      <c r="B965" t="s">
        <v>24</v>
      </c>
      <c r="C965" t="s">
        <v>25</v>
      </c>
      <c r="D965" t="s">
        <v>54</v>
      </c>
      <c r="E965" t="s">
        <v>56</v>
      </c>
      <c r="F965" t="s">
        <v>7</v>
      </c>
      <c r="G965" t="s">
        <v>75</v>
      </c>
      <c r="H965" t="s">
        <v>59</v>
      </c>
      <c r="I965">
        <v>45</v>
      </c>
      <c r="J965">
        <v>0.70247933884297531</v>
      </c>
      <c r="K965">
        <v>0.6692913385826772</v>
      </c>
      <c r="L965">
        <v>0.73913043478260865</v>
      </c>
      <c r="M965" t="s">
        <v>60</v>
      </c>
      <c r="N965" t="s">
        <v>2356</v>
      </c>
      <c r="O965" t="s">
        <v>2357</v>
      </c>
      <c r="P965">
        <v>1.9</v>
      </c>
    </row>
    <row r="966" spans="1:16" x14ac:dyDescent="0.3">
      <c r="A966" t="s">
        <v>28</v>
      </c>
      <c r="B966" t="s">
        <v>24</v>
      </c>
      <c r="C966" t="s">
        <v>25</v>
      </c>
      <c r="D966" t="s">
        <v>54</v>
      </c>
      <c r="E966" t="s">
        <v>56</v>
      </c>
      <c r="F966" t="s">
        <v>7</v>
      </c>
      <c r="G966" t="s">
        <v>80</v>
      </c>
      <c r="H966" t="s">
        <v>59</v>
      </c>
      <c r="I966">
        <v>46</v>
      </c>
      <c r="J966">
        <v>0.71238938053097345</v>
      </c>
      <c r="K966">
        <v>0.72522522522522526</v>
      </c>
      <c r="L966">
        <v>0.7</v>
      </c>
      <c r="M966" t="s">
        <v>60</v>
      </c>
      <c r="N966" t="s">
        <v>2358</v>
      </c>
      <c r="O966" t="s">
        <v>2359</v>
      </c>
      <c r="P966">
        <v>1.9</v>
      </c>
    </row>
    <row r="967" spans="1:16" x14ac:dyDescent="0.3">
      <c r="A967" t="s">
        <v>28</v>
      </c>
      <c r="B967" t="s">
        <v>24</v>
      </c>
      <c r="C967" t="s">
        <v>25</v>
      </c>
      <c r="D967" t="s">
        <v>54</v>
      </c>
      <c r="E967" t="s">
        <v>56</v>
      </c>
      <c r="F967" t="s">
        <v>7</v>
      </c>
      <c r="G967" t="s">
        <v>85</v>
      </c>
      <c r="H967" t="s">
        <v>59</v>
      </c>
      <c r="I967">
        <v>47</v>
      </c>
      <c r="J967">
        <v>0.69120654396728021</v>
      </c>
      <c r="K967">
        <v>0.65250965250965254</v>
      </c>
      <c r="L967">
        <v>0.73478260869565215</v>
      </c>
      <c r="M967" t="s">
        <v>60</v>
      </c>
      <c r="N967" t="s">
        <v>2360</v>
      </c>
      <c r="O967" t="s">
        <v>2361</v>
      </c>
      <c r="P967">
        <v>2.2999999999999998</v>
      </c>
    </row>
    <row r="968" spans="1:16" x14ac:dyDescent="0.3">
      <c r="A968" t="s">
        <v>28</v>
      </c>
      <c r="B968" t="s">
        <v>24</v>
      </c>
      <c r="C968" t="s">
        <v>25</v>
      </c>
      <c r="D968" t="s">
        <v>54</v>
      </c>
      <c r="E968" t="s">
        <v>56</v>
      </c>
      <c r="F968" t="s">
        <v>7</v>
      </c>
      <c r="G968" t="s">
        <v>90</v>
      </c>
      <c r="H968" t="s">
        <v>59</v>
      </c>
      <c r="I968">
        <v>48</v>
      </c>
      <c r="J968">
        <v>0.72427983539094654</v>
      </c>
      <c r="K968">
        <v>0.6875</v>
      </c>
      <c r="L968">
        <v>0.76521739130434785</v>
      </c>
      <c r="M968" t="s">
        <v>60</v>
      </c>
      <c r="N968" t="s">
        <v>2362</v>
      </c>
      <c r="O968" t="s">
        <v>2363</v>
      </c>
      <c r="P968">
        <v>2</v>
      </c>
    </row>
    <row r="969" spans="1:16" x14ac:dyDescent="0.3">
      <c r="A969" t="s">
        <v>28</v>
      </c>
      <c r="B969" t="s">
        <v>24</v>
      </c>
      <c r="C969" t="s">
        <v>25</v>
      </c>
      <c r="D969" t="s">
        <v>54</v>
      </c>
      <c r="E969" t="s">
        <v>56</v>
      </c>
      <c r="F969" t="s">
        <v>7</v>
      </c>
      <c r="G969" t="s">
        <v>95</v>
      </c>
      <c r="H969" t="s">
        <v>59</v>
      </c>
      <c r="I969">
        <v>49</v>
      </c>
      <c r="J969">
        <v>0.69565217391304357</v>
      </c>
      <c r="K969">
        <v>0.66403162055335974</v>
      </c>
      <c r="L969">
        <v>0.73043478260869565</v>
      </c>
      <c r="M969" t="s">
        <v>60</v>
      </c>
      <c r="N969" t="s">
        <v>2364</v>
      </c>
      <c r="O969" t="s">
        <v>2365</v>
      </c>
      <c r="P969">
        <v>1.9</v>
      </c>
    </row>
    <row r="970" spans="1:16" x14ac:dyDescent="0.3">
      <c r="A970" t="s">
        <v>28</v>
      </c>
      <c r="B970" t="s">
        <v>24</v>
      </c>
      <c r="C970" t="s">
        <v>25</v>
      </c>
      <c r="D970" t="s">
        <v>54</v>
      </c>
      <c r="E970" t="s">
        <v>56</v>
      </c>
      <c r="F970" t="s">
        <v>7</v>
      </c>
      <c r="G970" t="s">
        <v>100</v>
      </c>
      <c r="H970" t="s">
        <v>59</v>
      </c>
      <c r="I970">
        <v>50</v>
      </c>
      <c r="J970">
        <v>0.71487603305785119</v>
      </c>
      <c r="K970">
        <v>0.68110236220472442</v>
      </c>
      <c r="L970">
        <v>0.75217391304347825</v>
      </c>
      <c r="M970" t="s">
        <v>60</v>
      </c>
      <c r="N970" t="s">
        <v>2366</v>
      </c>
      <c r="O970" t="s">
        <v>2367</v>
      </c>
      <c r="P970">
        <v>2.2999999999999998</v>
      </c>
    </row>
    <row r="971" spans="1:16" x14ac:dyDescent="0.3">
      <c r="A971" t="s">
        <v>28</v>
      </c>
      <c r="B971" t="s">
        <v>24</v>
      </c>
      <c r="C971" t="s">
        <v>25</v>
      </c>
      <c r="D971" t="s">
        <v>54</v>
      </c>
      <c r="E971" t="s">
        <v>56</v>
      </c>
      <c r="F971" t="s">
        <v>7</v>
      </c>
      <c r="G971" t="s">
        <v>105</v>
      </c>
      <c r="H971" t="s">
        <v>59</v>
      </c>
      <c r="I971">
        <v>51</v>
      </c>
      <c r="J971">
        <v>0.71523178807947019</v>
      </c>
      <c r="K971">
        <v>0.726457399103139</v>
      </c>
      <c r="L971">
        <v>0.70434782608695656</v>
      </c>
      <c r="M971" t="s">
        <v>60</v>
      </c>
      <c r="N971" t="s">
        <v>2368</v>
      </c>
      <c r="O971" t="s">
        <v>2369</v>
      </c>
      <c r="P971">
        <v>2.1</v>
      </c>
    </row>
    <row r="972" spans="1:16" x14ac:dyDescent="0.3">
      <c r="A972" t="s">
        <v>28</v>
      </c>
      <c r="B972" t="s">
        <v>24</v>
      </c>
      <c r="C972" t="s">
        <v>25</v>
      </c>
      <c r="D972" t="s">
        <v>54</v>
      </c>
      <c r="E972" t="s">
        <v>56</v>
      </c>
      <c r="F972" t="s">
        <v>7</v>
      </c>
      <c r="G972" t="s">
        <v>110</v>
      </c>
      <c r="H972" t="s">
        <v>59</v>
      </c>
      <c r="I972">
        <v>52</v>
      </c>
      <c r="J972">
        <v>0.708502024291498</v>
      </c>
      <c r="K972">
        <v>0.66287878787878785</v>
      </c>
      <c r="L972">
        <v>0.76086956521739135</v>
      </c>
      <c r="M972" t="s">
        <v>60</v>
      </c>
      <c r="N972" t="s">
        <v>2370</v>
      </c>
      <c r="O972" t="s">
        <v>2371</v>
      </c>
      <c r="P972">
        <v>2.6</v>
      </c>
    </row>
    <row r="973" spans="1:16" x14ac:dyDescent="0.3">
      <c r="A973" t="s">
        <v>28</v>
      </c>
      <c r="B973" t="s">
        <v>24</v>
      </c>
      <c r="C973" t="s">
        <v>25</v>
      </c>
      <c r="D973" t="s">
        <v>54</v>
      </c>
      <c r="E973" t="s">
        <v>56</v>
      </c>
      <c r="F973" t="s">
        <v>7</v>
      </c>
      <c r="G973" t="s">
        <v>115</v>
      </c>
      <c r="H973" t="s">
        <v>59</v>
      </c>
      <c r="I973">
        <v>53</v>
      </c>
      <c r="J973">
        <v>0.73150105708245228</v>
      </c>
      <c r="K973">
        <v>0.7119341563786008</v>
      </c>
      <c r="L973">
        <v>0.75217391304347825</v>
      </c>
      <c r="M973" t="s">
        <v>60</v>
      </c>
      <c r="N973" t="s">
        <v>2372</v>
      </c>
      <c r="O973" t="s">
        <v>2373</v>
      </c>
      <c r="P973">
        <v>2</v>
      </c>
    </row>
    <row r="974" spans="1:16" x14ac:dyDescent="0.3">
      <c r="A974" t="s">
        <v>28</v>
      </c>
      <c r="B974" t="s">
        <v>24</v>
      </c>
      <c r="C974" t="s">
        <v>25</v>
      </c>
      <c r="D974" t="s">
        <v>54</v>
      </c>
      <c r="E974" t="s">
        <v>56</v>
      </c>
      <c r="F974" t="s">
        <v>7</v>
      </c>
      <c r="G974" t="s">
        <v>120</v>
      </c>
      <c r="H974" t="s">
        <v>59</v>
      </c>
      <c r="I974">
        <v>54</v>
      </c>
      <c r="J974">
        <v>0.69425287356321841</v>
      </c>
      <c r="K974">
        <v>0.73658536585365852</v>
      </c>
      <c r="L974">
        <v>0.65652173913043477</v>
      </c>
      <c r="M974" t="s">
        <v>60</v>
      </c>
      <c r="N974" t="s">
        <v>2374</v>
      </c>
      <c r="O974" t="s">
        <v>2375</v>
      </c>
      <c r="P974">
        <v>2.5</v>
      </c>
    </row>
    <row r="975" spans="1:16" x14ac:dyDescent="0.3">
      <c r="A975" t="s">
        <v>28</v>
      </c>
      <c r="B975" t="s">
        <v>24</v>
      </c>
      <c r="C975" t="s">
        <v>25</v>
      </c>
      <c r="D975" t="s">
        <v>54</v>
      </c>
      <c r="E975" t="s">
        <v>56</v>
      </c>
      <c r="F975" t="s">
        <v>7</v>
      </c>
      <c r="G975" t="s">
        <v>125</v>
      </c>
      <c r="H975" t="s">
        <v>59</v>
      </c>
      <c r="I975">
        <v>55</v>
      </c>
      <c r="J975">
        <v>0.70693512304250561</v>
      </c>
      <c r="K975">
        <v>0.72811059907834097</v>
      </c>
      <c r="L975">
        <v>0.68695652173913047</v>
      </c>
      <c r="M975" t="s">
        <v>60</v>
      </c>
      <c r="N975" t="s">
        <v>2376</v>
      </c>
      <c r="O975" t="s">
        <v>2377</v>
      </c>
      <c r="P975">
        <v>2</v>
      </c>
    </row>
    <row r="976" spans="1:16" x14ac:dyDescent="0.3">
      <c r="A976" t="s">
        <v>28</v>
      </c>
      <c r="B976" t="s">
        <v>24</v>
      </c>
      <c r="C976" t="s">
        <v>25</v>
      </c>
      <c r="D976" t="s">
        <v>54</v>
      </c>
      <c r="E976" t="s">
        <v>56</v>
      </c>
      <c r="F976" t="s">
        <v>7</v>
      </c>
      <c r="G976" t="s">
        <v>130</v>
      </c>
      <c r="H976" t="s">
        <v>59</v>
      </c>
      <c r="I976">
        <v>56</v>
      </c>
      <c r="J976">
        <v>0.72427983539094654</v>
      </c>
      <c r="K976">
        <v>0.6875</v>
      </c>
      <c r="L976">
        <v>0.76521739130434785</v>
      </c>
      <c r="M976" t="s">
        <v>60</v>
      </c>
      <c r="N976" t="s">
        <v>2378</v>
      </c>
      <c r="O976" t="s">
        <v>2379</v>
      </c>
      <c r="P976">
        <v>2</v>
      </c>
    </row>
    <row r="977" spans="1:16" x14ac:dyDescent="0.3">
      <c r="A977" t="s">
        <v>28</v>
      </c>
      <c r="B977" t="s">
        <v>24</v>
      </c>
      <c r="C977" t="s">
        <v>25</v>
      </c>
      <c r="D977" t="s">
        <v>54</v>
      </c>
      <c r="E977" t="s">
        <v>56</v>
      </c>
      <c r="F977" t="s">
        <v>7</v>
      </c>
      <c r="G977" t="s">
        <v>135</v>
      </c>
      <c r="H977" t="s">
        <v>59</v>
      </c>
      <c r="I977">
        <v>57</v>
      </c>
      <c r="J977">
        <v>0.68531468531468531</v>
      </c>
      <c r="K977">
        <v>0.7386934673366834</v>
      </c>
      <c r="L977">
        <v>0.63913043478260867</v>
      </c>
      <c r="M977" t="s">
        <v>60</v>
      </c>
      <c r="N977" t="s">
        <v>2380</v>
      </c>
      <c r="O977" t="s">
        <v>2381</v>
      </c>
      <c r="P977">
        <v>2.4</v>
      </c>
    </row>
    <row r="978" spans="1:16" x14ac:dyDescent="0.3">
      <c r="A978" t="s">
        <v>28</v>
      </c>
      <c r="B978" t="s">
        <v>24</v>
      </c>
      <c r="C978" t="s">
        <v>25</v>
      </c>
      <c r="D978" t="s">
        <v>54</v>
      </c>
      <c r="E978" t="s">
        <v>56</v>
      </c>
      <c r="F978" t="s">
        <v>7</v>
      </c>
      <c r="G978" t="s">
        <v>140</v>
      </c>
      <c r="H978" t="s">
        <v>59</v>
      </c>
      <c r="I978">
        <v>58</v>
      </c>
      <c r="J978">
        <v>0.70901639344262291</v>
      </c>
      <c r="K978">
        <v>0.6705426356589147</v>
      </c>
      <c r="L978">
        <v>0.75217391304347825</v>
      </c>
      <c r="M978" t="s">
        <v>60</v>
      </c>
      <c r="N978" t="s">
        <v>2382</v>
      </c>
      <c r="O978" t="s">
        <v>2383</v>
      </c>
      <c r="P978">
        <v>1.9</v>
      </c>
    </row>
    <row r="979" spans="1:16" x14ac:dyDescent="0.3">
      <c r="A979" t="s">
        <v>28</v>
      </c>
      <c r="B979" t="s">
        <v>24</v>
      </c>
      <c r="C979" t="s">
        <v>25</v>
      </c>
      <c r="D979" t="s">
        <v>54</v>
      </c>
      <c r="E979" t="s">
        <v>56</v>
      </c>
      <c r="F979" t="s">
        <v>7</v>
      </c>
      <c r="G979" t="s">
        <v>145</v>
      </c>
      <c r="H979" t="s">
        <v>59</v>
      </c>
      <c r="I979">
        <v>59</v>
      </c>
      <c r="J979">
        <v>0.70270270270270274</v>
      </c>
      <c r="K979">
        <v>0.67330677290836649</v>
      </c>
      <c r="L979">
        <v>0.73478260869565215</v>
      </c>
      <c r="M979" t="s">
        <v>60</v>
      </c>
      <c r="N979" t="s">
        <v>2384</v>
      </c>
      <c r="O979" t="s">
        <v>2385</v>
      </c>
      <c r="P979">
        <v>2.4</v>
      </c>
    </row>
    <row r="980" spans="1:16" x14ac:dyDescent="0.3">
      <c r="A980" t="s">
        <v>28</v>
      </c>
      <c r="B980" t="s">
        <v>24</v>
      </c>
      <c r="C980" t="s">
        <v>25</v>
      </c>
      <c r="D980" t="s">
        <v>54</v>
      </c>
      <c r="E980" t="s">
        <v>56</v>
      </c>
      <c r="F980" t="s">
        <v>7</v>
      </c>
      <c r="G980" t="s">
        <v>150</v>
      </c>
      <c r="H980" t="s">
        <v>59</v>
      </c>
      <c r="I980">
        <v>60</v>
      </c>
      <c r="J980">
        <v>0.73360655737704916</v>
      </c>
      <c r="K980">
        <v>0.69379844961240311</v>
      </c>
      <c r="L980">
        <v>0.77826086956521734</v>
      </c>
      <c r="M980" t="s">
        <v>60</v>
      </c>
      <c r="N980" t="s">
        <v>2386</v>
      </c>
      <c r="O980" t="s">
        <v>2387</v>
      </c>
      <c r="P980">
        <v>1.9</v>
      </c>
    </row>
    <row r="981" spans="1:16" x14ac:dyDescent="0.3">
      <c r="A981" t="s">
        <v>28</v>
      </c>
      <c r="B981" t="s">
        <v>24</v>
      </c>
      <c r="C981" t="s">
        <v>25</v>
      </c>
      <c r="D981" t="s">
        <v>54</v>
      </c>
      <c r="E981" t="s">
        <v>56</v>
      </c>
      <c r="F981" t="s">
        <v>7</v>
      </c>
      <c r="G981" t="s">
        <v>155</v>
      </c>
      <c r="H981" t="s">
        <v>59</v>
      </c>
      <c r="I981">
        <v>61</v>
      </c>
      <c r="J981">
        <v>0.7071583514099784</v>
      </c>
      <c r="K981">
        <v>0.7056277056277056</v>
      </c>
      <c r="L981">
        <v>0.70869565217391306</v>
      </c>
      <c r="M981" t="s">
        <v>60</v>
      </c>
      <c r="N981" t="s">
        <v>2388</v>
      </c>
      <c r="O981" t="s">
        <v>2389</v>
      </c>
      <c r="P981">
        <v>2.2000000000000002</v>
      </c>
    </row>
    <row r="982" spans="1:16" x14ac:dyDescent="0.3">
      <c r="A982" t="s">
        <v>28</v>
      </c>
      <c r="B982" t="s">
        <v>24</v>
      </c>
      <c r="C982" t="s">
        <v>25</v>
      </c>
      <c r="D982" t="s">
        <v>54</v>
      </c>
      <c r="E982" t="s">
        <v>160</v>
      </c>
      <c r="F982" t="s">
        <v>3</v>
      </c>
      <c r="G982" t="s">
        <v>161</v>
      </c>
      <c r="H982" t="s">
        <v>163</v>
      </c>
      <c r="I982">
        <v>42</v>
      </c>
      <c r="J982">
        <v>0.70658682634730541</v>
      </c>
      <c r="K982">
        <v>0.7151515151515152</v>
      </c>
      <c r="L982">
        <v>0.69822485207100593</v>
      </c>
      <c r="M982" t="s">
        <v>60</v>
      </c>
      <c r="N982" t="s">
        <v>2390</v>
      </c>
      <c r="O982" t="s">
        <v>2391</v>
      </c>
      <c r="P982">
        <v>1.7</v>
      </c>
    </row>
    <row r="983" spans="1:16" x14ac:dyDescent="0.3">
      <c r="A983" t="s">
        <v>28</v>
      </c>
      <c r="B983" t="s">
        <v>24</v>
      </c>
      <c r="C983" t="s">
        <v>25</v>
      </c>
      <c r="D983" t="s">
        <v>54</v>
      </c>
      <c r="E983" t="s">
        <v>160</v>
      </c>
      <c r="F983" t="s">
        <v>3</v>
      </c>
      <c r="G983" t="s">
        <v>167</v>
      </c>
      <c r="H983" t="s">
        <v>163</v>
      </c>
      <c r="I983">
        <v>43</v>
      </c>
      <c r="J983">
        <v>0.71780821917808213</v>
      </c>
      <c r="K983">
        <v>0.66836734693877553</v>
      </c>
      <c r="L983">
        <v>0.7751479289940828</v>
      </c>
      <c r="M983" t="s">
        <v>60</v>
      </c>
      <c r="N983" t="s">
        <v>2392</v>
      </c>
      <c r="O983" t="s">
        <v>2393</v>
      </c>
      <c r="P983">
        <v>2.2000000000000002</v>
      </c>
    </row>
    <row r="984" spans="1:16" x14ac:dyDescent="0.3">
      <c r="A984" t="s">
        <v>28</v>
      </c>
      <c r="B984" t="s">
        <v>24</v>
      </c>
      <c r="C984" t="s">
        <v>25</v>
      </c>
      <c r="D984" t="s">
        <v>54</v>
      </c>
      <c r="E984" t="s">
        <v>160</v>
      </c>
      <c r="F984" t="s">
        <v>3</v>
      </c>
      <c r="G984" t="s">
        <v>172</v>
      </c>
      <c r="H984" t="s">
        <v>163</v>
      </c>
      <c r="I984">
        <v>44</v>
      </c>
      <c r="J984">
        <v>0.72067039106145259</v>
      </c>
      <c r="K984">
        <v>0.68253968253968256</v>
      </c>
      <c r="L984">
        <v>0.76331360946745563</v>
      </c>
      <c r="M984" t="s">
        <v>60</v>
      </c>
      <c r="N984" t="s">
        <v>2394</v>
      </c>
      <c r="O984" t="s">
        <v>2395</v>
      </c>
      <c r="P984">
        <v>2</v>
      </c>
    </row>
    <row r="985" spans="1:16" x14ac:dyDescent="0.3">
      <c r="A985" t="s">
        <v>28</v>
      </c>
      <c r="B985" t="s">
        <v>24</v>
      </c>
      <c r="C985" t="s">
        <v>25</v>
      </c>
      <c r="D985" t="s">
        <v>54</v>
      </c>
      <c r="E985" t="s">
        <v>160</v>
      </c>
      <c r="F985" t="s">
        <v>3</v>
      </c>
      <c r="G985" t="s">
        <v>177</v>
      </c>
      <c r="H985" t="s">
        <v>163</v>
      </c>
      <c r="I985">
        <v>45</v>
      </c>
      <c r="J985">
        <v>0.6975476839237057</v>
      </c>
      <c r="K985">
        <v>0.64646464646464652</v>
      </c>
      <c r="L985">
        <v>0.75739644970414199</v>
      </c>
      <c r="M985" t="s">
        <v>60</v>
      </c>
      <c r="N985" t="s">
        <v>2396</v>
      </c>
      <c r="O985" t="s">
        <v>2397</v>
      </c>
      <c r="P985">
        <v>1.8</v>
      </c>
    </row>
    <row r="986" spans="1:16" x14ac:dyDescent="0.3">
      <c r="A986" t="s">
        <v>28</v>
      </c>
      <c r="B986" t="s">
        <v>24</v>
      </c>
      <c r="C986" t="s">
        <v>25</v>
      </c>
      <c r="D986" t="s">
        <v>54</v>
      </c>
      <c r="E986" t="s">
        <v>160</v>
      </c>
      <c r="F986" t="s">
        <v>3</v>
      </c>
      <c r="G986" t="s">
        <v>182</v>
      </c>
      <c r="H986" t="s">
        <v>163</v>
      </c>
      <c r="I986">
        <v>46</v>
      </c>
      <c r="J986">
        <v>0.70108695652173914</v>
      </c>
      <c r="K986">
        <v>0.64824120603015079</v>
      </c>
      <c r="L986">
        <v>0.76331360946745563</v>
      </c>
      <c r="M986" t="s">
        <v>60</v>
      </c>
      <c r="N986" t="s">
        <v>2398</v>
      </c>
      <c r="O986" t="s">
        <v>2399</v>
      </c>
      <c r="P986">
        <v>2.1</v>
      </c>
    </row>
    <row r="987" spans="1:16" x14ac:dyDescent="0.3">
      <c r="A987" t="s">
        <v>28</v>
      </c>
      <c r="B987" t="s">
        <v>24</v>
      </c>
      <c r="C987" t="s">
        <v>25</v>
      </c>
      <c r="D987" t="s">
        <v>54</v>
      </c>
      <c r="E987" t="s">
        <v>160</v>
      </c>
      <c r="F987" t="s">
        <v>3</v>
      </c>
      <c r="G987" t="s">
        <v>187</v>
      </c>
      <c r="H987" t="s">
        <v>163</v>
      </c>
      <c r="I987">
        <v>47</v>
      </c>
      <c r="J987">
        <v>0.71389645776566768</v>
      </c>
      <c r="K987">
        <v>0.66161616161616166</v>
      </c>
      <c r="L987">
        <v>0.7751479289940828</v>
      </c>
      <c r="M987" t="s">
        <v>60</v>
      </c>
      <c r="N987" t="s">
        <v>2400</v>
      </c>
      <c r="O987" t="s">
        <v>2401</v>
      </c>
      <c r="P987">
        <v>2.1</v>
      </c>
    </row>
    <row r="988" spans="1:16" x14ac:dyDescent="0.3">
      <c r="A988" t="s">
        <v>28</v>
      </c>
      <c r="B988" t="s">
        <v>24</v>
      </c>
      <c r="C988" t="s">
        <v>25</v>
      </c>
      <c r="D988" t="s">
        <v>54</v>
      </c>
      <c r="E988" t="s">
        <v>160</v>
      </c>
      <c r="F988" t="s">
        <v>3</v>
      </c>
      <c r="G988" t="s">
        <v>192</v>
      </c>
      <c r="H988" t="s">
        <v>163</v>
      </c>
      <c r="I988">
        <v>48</v>
      </c>
      <c r="J988">
        <v>0.71780821917808213</v>
      </c>
      <c r="K988">
        <v>0.66836734693877553</v>
      </c>
      <c r="L988">
        <v>0.7751479289940828</v>
      </c>
      <c r="M988" t="s">
        <v>60</v>
      </c>
      <c r="N988" t="s">
        <v>2402</v>
      </c>
      <c r="O988" t="s">
        <v>2403</v>
      </c>
      <c r="P988">
        <v>1.7</v>
      </c>
    </row>
    <row r="989" spans="1:16" x14ac:dyDescent="0.3">
      <c r="A989" t="s">
        <v>28</v>
      </c>
      <c r="B989" t="s">
        <v>24</v>
      </c>
      <c r="C989" t="s">
        <v>25</v>
      </c>
      <c r="D989" t="s">
        <v>54</v>
      </c>
      <c r="E989" t="s">
        <v>160</v>
      </c>
      <c r="F989" t="s">
        <v>3</v>
      </c>
      <c r="G989" t="s">
        <v>197</v>
      </c>
      <c r="H989" t="s">
        <v>163</v>
      </c>
      <c r="I989">
        <v>49</v>
      </c>
      <c r="J989">
        <v>0.71549295774647881</v>
      </c>
      <c r="K989">
        <v>0.68279569892473113</v>
      </c>
      <c r="L989">
        <v>0.75147928994082835</v>
      </c>
      <c r="M989" t="s">
        <v>60</v>
      </c>
      <c r="N989" t="s">
        <v>2404</v>
      </c>
      <c r="O989" t="s">
        <v>2405</v>
      </c>
      <c r="P989">
        <v>1.7</v>
      </c>
    </row>
    <row r="990" spans="1:16" x14ac:dyDescent="0.3">
      <c r="A990" t="s">
        <v>28</v>
      </c>
      <c r="B990" t="s">
        <v>24</v>
      </c>
      <c r="C990" t="s">
        <v>25</v>
      </c>
      <c r="D990" t="s">
        <v>54</v>
      </c>
      <c r="E990" t="s">
        <v>160</v>
      </c>
      <c r="F990" t="s">
        <v>3</v>
      </c>
      <c r="G990" t="s">
        <v>202</v>
      </c>
      <c r="H990" t="s">
        <v>163</v>
      </c>
      <c r="I990">
        <v>50</v>
      </c>
      <c r="J990">
        <v>0.71584699453551914</v>
      </c>
      <c r="K990">
        <v>0.6649746192893401</v>
      </c>
      <c r="L990">
        <v>0.7751479289940828</v>
      </c>
      <c r="M990" t="s">
        <v>60</v>
      </c>
      <c r="N990" t="s">
        <v>2406</v>
      </c>
      <c r="O990" t="s">
        <v>2407</v>
      </c>
      <c r="P990">
        <v>2.2999999999999998</v>
      </c>
    </row>
    <row r="991" spans="1:16" x14ac:dyDescent="0.3">
      <c r="A991" t="s">
        <v>28</v>
      </c>
      <c r="B991" t="s">
        <v>24</v>
      </c>
      <c r="C991" t="s">
        <v>25</v>
      </c>
      <c r="D991" t="s">
        <v>54</v>
      </c>
      <c r="E991" t="s">
        <v>160</v>
      </c>
      <c r="F991" t="s">
        <v>3</v>
      </c>
      <c r="G991" t="s">
        <v>207</v>
      </c>
      <c r="H991" t="s">
        <v>163</v>
      </c>
      <c r="I991">
        <v>51</v>
      </c>
      <c r="J991">
        <v>0.7262872628726289</v>
      </c>
      <c r="K991">
        <v>0.67</v>
      </c>
      <c r="L991">
        <v>0.79289940828402372</v>
      </c>
      <c r="M991" t="s">
        <v>60</v>
      </c>
      <c r="N991" t="s">
        <v>2408</v>
      </c>
      <c r="O991" t="s">
        <v>2409</v>
      </c>
      <c r="P991">
        <v>1.7</v>
      </c>
    </row>
    <row r="992" spans="1:16" x14ac:dyDescent="0.3">
      <c r="A992" t="s">
        <v>28</v>
      </c>
      <c r="B992" t="s">
        <v>24</v>
      </c>
      <c r="C992" t="s">
        <v>25</v>
      </c>
      <c r="D992" t="s">
        <v>54</v>
      </c>
      <c r="E992" t="s">
        <v>160</v>
      </c>
      <c r="F992" t="s">
        <v>3</v>
      </c>
      <c r="G992" t="s">
        <v>212</v>
      </c>
      <c r="H992" t="s">
        <v>163</v>
      </c>
      <c r="I992">
        <v>52</v>
      </c>
      <c r="J992">
        <v>0.73537604456824524</v>
      </c>
      <c r="K992">
        <v>0.69473684210526321</v>
      </c>
      <c r="L992">
        <v>0.78106508875739644</v>
      </c>
      <c r="M992" t="s">
        <v>60</v>
      </c>
      <c r="N992" t="s">
        <v>2410</v>
      </c>
      <c r="O992" t="s">
        <v>2411</v>
      </c>
      <c r="P992">
        <v>1.8</v>
      </c>
    </row>
    <row r="993" spans="1:16" x14ac:dyDescent="0.3">
      <c r="A993" t="s">
        <v>28</v>
      </c>
      <c r="B993" t="s">
        <v>24</v>
      </c>
      <c r="C993" t="s">
        <v>25</v>
      </c>
      <c r="D993" t="s">
        <v>54</v>
      </c>
      <c r="E993" t="s">
        <v>160</v>
      </c>
      <c r="F993" t="s">
        <v>3</v>
      </c>
      <c r="G993" t="s">
        <v>217</v>
      </c>
      <c r="H993" t="s">
        <v>163</v>
      </c>
      <c r="I993">
        <v>53</v>
      </c>
      <c r="J993">
        <v>0.71544715447154472</v>
      </c>
      <c r="K993">
        <v>0.66</v>
      </c>
      <c r="L993">
        <v>0.78106508875739644</v>
      </c>
      <c r="M993" t="s">
        <v>60</v>
      </c>
      <c r="N993" t="s">
        <v>2412</v>
      </c>
      <c r="O993" t="s">
        <v>2413</v>
      </c>
      <c r="P993">
        <v>2.2000000000000002</v>
      </c>
    </row>
    <row r="994" spans="1:16" x14ac:dyDescent="0.3">
      <c r="A994" t="s">
        <v>28</v>
      </c>
      <c r="B994" t="s">
        <v>24</v>
      </c>
      <c r="C994" t="s">
        <v>25</v>
      </c>
      <c r="D994" t="s">
        <v>54</v>
      </c>
      <c r="E994" t="s">
        <v>160</v>
      </c>
      <c r="F994" t="s">
        <v>3</v>
      </c>
      <c r="G994" t="s">
        <v>222</v>
      </c>
      <c r="H994" t="s">
        <v>163</v>
      </c>
      <c r="I994">
        <v>54</v>
      </c>
      <c r="J994">
        <v>0.70652173913043481</v>
      </c>
      <c r="K994">
        <v>0.65326633165829151</v>
      </c>
      <c r="L994">
        <v>0.76923076923076927</v>
      </c>
      <c r="M994" t="s">
        <v>60</v>
      </c>
      <c r="N994" t="s">
        <v>2414</v>
      </c>
      <c r="O994" t="s">
        <v>2415</v>
      </c>
      <c r="P994">
        <v>1.9</v>
      </c>
    </row>
    <row r="995" spans="1:16" x14ac:dyDescent="0.3">
      <c r="A995" t="s">
        <v>28</v>
      </c>
      <c r="B995" t="s">
        <v>24</v>
      </c>
      <c r="C995" t="s">
        <v>25</v>
      </c>
      <c r="D995" t="s">
        <v>54</v>
      </c>
      <c r="E995" t="s">
        <v>160</v>
      </c>
      <c r="F995" t="s">
        <v>3</v>
      </c>
      <c r="G995" t="s">
        <v>227</v>
      </c>
      <c r="H995" t="s">
        <v>163</v>
      </c>
      <c r="I995">
        <v>55</v>
      </c>
      <c r="J995">
        <v>0.70967741935483863</v>
      </c>
      <c r="K995">
        <v>0.65024630541871919</v>
      </c>
      <c r="L995">
        <v>0.78106508875739644</v>
      </c>
      <c r="M995" t="s">
        <v>60</v>
      </c>
      <c r="N995" t="s">
        <v>2416</v>
      </c>
      <c r="O995" t="s">
        <v>2417</v>
      </c>
      <c r="P995">
        <v>1.7</v>
      </c>
    </row>
    <row r="996" spans="1:16" x14ac:dyDescent="0.3">
      <c r="A996" t="s">
        <v>28</v>
      </c>
      <c r="B996" t="s">
        <v>24</v>
      </c>
      <c r="C996" t="s">
        <v>25</v>
      </c>
      <c r="D996" t="s">
        <v>54</v>
      </c>
      <c r="E996" t="s">
        <v>160</v>
      </c>
      <c r="F996" t="s">
        <v>3</v>
      </c>
      <c r="G996" t="s">
        <v>232</v>
      </c>
      <c r="H996" t="s">
        <v>163</v>
      </c>
      <c r="I996">
        <v>56</v>
      </c>
      <c r="J996">
        <v>0.7189189189189189</v>
      </c>
      <c r="K996">
        <v>0.6616915422885572</v>
      </c>
      <c r="L996">
        <v>0.78698224852071008</v>
      </c>
      <c r="M996" t="s">
        <v>60</v>
      </c>
      <c r="N996" t="s">
        <v>2418</v>
      </c>
      <c r="O996" t="s">
        <v>2419</v>
      </c>
      <c r="P996">
        <v>1.7</v>
      </c>
    </row>
    <row r="997" spans="1:16" x14ac:dyDescent="0.3">
      <c r="A997" t="s">
        <v>28</v>
      </c>
      <c r="B997" t="s">
        <v>24</v>
      </c>
      <c r="C997" t="s">
        <v>25</v>
      </c>
      <c r="D997" t="s">
        <v>54</v>
      </c>
      <c r="E997" t="s">
        <v>160</v>
      </c>
      <c r="F997" t="s">
        <v>3</v>
      </c>
      <c r="G997" t="s">
        <v>237</v>
      </c>
      <c r="H997" t="s">
        <v>163</v>
      </c>
      <c r="I997">
        <v>57</v>
      </c>
      <c r="J997">
        <v>0.71739130434782605</v>
      </c>
      <c r="K997">
        <v>0.66331658291457285</v>
      </c>
      <c r="L997">
        <v>0.78106508875739644</v>
      </c>
      <c r="M997" t="s">
        <v>60</v>
      </c>
      <c r="N997" t="s">
        <v>2420</v>
      </c>
      <c r="O997" t="s">
        <v>2421</v>
      </c>
      <c r="P997">
        <v>2.2000000000000002</v>
      </c>
    </row>
    <row r="998" spans="1:16" x14ac:dyDescent="0.3">
      <c r="A998" t="s">
        <v>28</v>
      </c>
      <c r="B998" t="s">
        <v>24</v>
      </c>
      <c r="C998" t="s">
        <v>25</v>
      </c>
      <c r="D998" t="s">
        <v>54</v>
      </c>
      <c r="E998" t="s">
        <v>160</v>
      </c>
      <c r="F998" t="s">
        <v>3</v>
      </c>
      <c r="G998" t="s">
        <v>242</v>
      </c>
      <c r="H998" t="s">
        <v>163</v>
      </c>
      <c r="I998">
        <v>58</v>
      </c>
      <c r="J998">
        <v>0.70422535211267612</v>
      </c>
      <c r="K998">
        <v>0.67204301075268813</v>
      </c>
      <c r="L998">
        <v>0.73964497041420119</v>
      </c>
      <c r="M998" t="s">
        <v>60</v>
      </c>
      <c r="N998" t="s">
        <v>2422</v>
      </c>
      <c r="O998" t="s">
        <v>2423</v>
      </c>
      <c r="P998">
        <v>1.7</v>
      </c>
    </row>
    <row r="999" spans="1:16" x14ac:dyDescent="0.3">
      <c r="A999" t="s">
        <v>28</v>
      </c>
      <c r="B999" t="s">
        <v>24</v>
      </c>
      <c r="C999" t="s">
        <v>25</v>
      </c>
      <c r="D999" t="s">
        <v>54</v>
      </c>
      <c r="E999" t="s">
        <v>160</v>
      </c>
      <c r="F999" t="s">
        <v>3</v>
      </c>
      <c r="G999" t="s">
        <v>247</v>
      </c>
      <c r="H999" t="s">
        <v>163</v>
      </c>
      <c r="I999">
        <v>59</v>
      </c>
      <c r="J999">
        <v>0.7325581395348838</v>
      </c>
      <c r="K999">
        <v>0.72</v>
      </c>
      <c r="L999">
        <v>0.74556213017751483</v>
      </c>
      <c r="M999" t="s">
        <v>60</v>
      </c>
      <c r="N999" t="s">
        <v>2424</v>
      </c>
      <c r="O999" t="s">
        <v>2425</v>
      </c>
      <c r="P999">
        <v>1.8</v>
      </c>
    </row>
    <row r="1000" spans="1:16" x14ac:dyDescent="0.3">
      <c r="A1000" t="s">
        <v>28</v>
      </c>
      <c r="B1000" t="s">
        <v>24</v>
      </c>
      <c r="C1000" t="s">
        <v>25</v>
      </c>
      <c r="D1000" t="s">
        <v>54</v>
      </c>
      <c r="E1000" t="s">
        <v>160</v>
      </c>
      <c r="F1000" t="s">
        <v>3</v>
      </c>
      <c r="G1000" t="s">
        <v>252</v>
      </c>
      <c r="H1000" t="s">
        <v>163</v>
      </c>
      <c r="I1000">
        <v>60</v>
      </c>
      <c r="J1000">
        <v>0.72222222222222232</v>
      </c>
      <c r="K1000">
        <v>0.68062827225130895</v>
      </c>
      <c r="L1000">
        <v>0.76923076923076927</v>
      </c>
      <c r="M1000" t="s">
        <v>60</v>
      </c>
      <c r="N1000" t="s">
        <v>2426</v>
      </c>
      <c r="O1000" t="s">
        <v>2427</v>
      </c>
      <c r="P1000">
        <v>2.1</v>
      </c>
    </row>
    <row r="1001" spans="1:16" x14ac:dyDescent="0.3">
      <c r="A1001" t="s">
        <v>28</v>
      </c>
      <c r="B1001" t="s">
        <v>24</v>
      </c>
      <c r="C1001" t="s">
        <v>25</v>
      </c>
      <c r="D1001" t="s">
        <v>54</v>
      </c>
      <c r="E1001" t="s">
        <v>160</v>
      </c>
      <c r="F1001" t="s">
        <v>3</v>
      </c>
      <c r="G1001" t="s">
        <v>257</v>
      </c>
      <c r="H1001" t="s">
        <v>163</v>
      </c>
      <c r="I1001">
        <v>61</v>
      </c>
      <c r="J1001">
        <v>0.70967741935483863</v>
      </c>
      <c r="K1001">
        <v>0.65024630541871919</v>
      </c>
      <c r="L1001">
        <v>0.78106508875739644</v>
      </c>
      <c r="M1001" t="s">
        <v>60</v>
      </c>
      <c r="N1001" t="s">
        <v>2428</v>
      </c>
      <c r="O1001" t="s">
        <v>2429</v>
      </c>
      <c r="P1001">
        <v>2.1</v>
      </c>
    </row>
    <row r="1002" spans="1:16" x14ac:dyDescent="0.3">
      <c r="A1002" t="s">
        <v>28</v>
      </c>
      <c r="B1002" t="s">
        <v>24</v>
      </c>
      <c r="C1002" t="s">
        <v>25</v>
      </c>
      <c r="D1002" t="s">
        <v>54</v>
      </c>
      <c r="E1002" t="s">
        <v>262</v>
      </c>
      <c r="F1002" t="s">
        <v>5</v>
      </c>
      <c r="G1002" t="s">
        <v>263</v>
      </c>
      <c r="H1002" t="s">
        <v>265</v>
      </c>
      <c r="I1002">
        <v>42</v>
      </c>
      <c r="J1002">
        <v>0.74022988505747134</v>
      </c>
      <c r="K1002">
        <v>0.755868544600939</v>
      </c>
      <c r="L1002">
        <v>0.72522522522522526</v>
      </c>
      <c r="M1002" t="s">
        <v>60</v>
      </c>
      <c r="N1002" t="s">
        <v>2430</v>
      </c>
      <c r="O1002" t="s">
        <v>2431</v>
      </c>
      <c r="P1002">
        <v>1.9</v>
      </c>
    </row>
    <row r="1003" spans="1:16" x14ac:dyDescent="0.3">
      <c r="A1003" t="s">
        <v>28</v>
      </c>
      <c r="B1003" t="s">
        <v>24</v>
      </c>
      <c r="C1003" t="s">
        <v>25</v>
      </c>
      <c r="D1003" t="s">
        <v>54</v>
      </c>
      <c r="E1003" t="s">
        <v>262</v>
      </c>
      <c r="F1003" t="s">
        <v>5</v>
      </c>
      <c r="G1003" t="s">
        <v>269</v>
      </c>
      <c r="H1003" t="s">
        <v>265</v>
      </c>
      <c r="I1003">
        <v>43</v>
      </c>
      <c r="J1003">
        <v>0.73253012048192767</v>
      </c>
      <c r="K1003">
        <v>0.78756476683937826</v>
      </c>
      <c r="L1003">
        <v>0.68468468468468469</v>
      </c>
      <c r="M1003" t="s">
        <v>60</v>
      </c>
      <c r="N1003" t="s">
        <v>2432</v>
      </c>
      <c r="O1003" t="s">
        <v>2433</v>
      </c>
      <c r="P1003">
        <v>2.2999999999999998</v>
      </c>
    </row>
    <row r="1004" spans="1:16" x14ac:dyDescent="0.3">
      <c r="A1004" t="s">
        <v>28</v>
      </c>
      <c r="B1004" t="s">
        <v>24</v>
      </c>
      <c r="C1004" t="s">
        <v>25</v>
      </c>
      <c r="D1004" t="s">
        <v>54</v>
      </c>
      <c r="E1004" t="s">
        <v>262</v>
      </c>
      <c r="F1004" t="s">
        <v>5</v>
      </c>
      <c r="G1004" t="s">
        <v>274</v>
      </c>
      <c r="H1004" t="s">
        <v>265</v>
      </c>
      <c r="I1004">
        <v>44</v>
      </c>
      <c r="J1004">
        <v>0.73922902494331066</v>
      </c>
      <c r="K1004">
        <v>0.74429223744292239</v>
      </c>
      <c r="L1004">
        <v>0.73423423423423428</v>
      </c>
      <c r="M1004" t="s">
        <v>60</v>
      </c>
      <c r="N1004" t="s">
        <v>2434</v>
      </c>
      <c r="O1004" t="s">
        <v>2435</v>
      </c>
      <c r="P1004">
        <v>2.4</v>
      </c>
    </row>
    <row r="1005" spans="1:16" x14ac:dyDescent="0.3">
      <c r="A1005" t="s">
        <v>28</v>
      </c>
      <c r="B1005" t="s">
        <v>24</v>
      </c>
      <c r="C1005" t="s">
        <v>25</v>
      </c>
      <c r="D1005" t="s">
        <v>54</v>
      </c>
      <c r="E1005" t="s">
        <v>262</v>
      </c>
      <c r="F1005" t="s">
        <v>5</v>
      </c>
      <c r="G1005" t="s">
        <v>279</v>
      </c>
      <c r="H1005" t="s">
        <v>265</v>
      </c>
      <c r="I1005">
        <v>45</v>
      </c>
      <c r="J1005">
        <v>0.74008810572687223</v>
      </c>
      <c r="K1005">
        <v>0.72413793103448276</v>
      </c>
      <c r="L1005">
        <v>0.7567567567567568</v>
      </c>
      <c r="M1005" t="s">
        <v>60</v>
      </c>
      <c r="N1005" t="s">
        <v>2436</v>
      </c>
      <c r="O1005" t="s">
        <v>2437</v>
      </c>
      <c r="P1005">
        <v>1.8</v>
      </c>
    </row>
    <row r="1006" spans="1:16" x14ac:dyDescent="0.3">
      <c r="A1006" t="s">
        <v>28</v>
      </c>
      <c r="B1006" t="s">
        <v>24</v>
      </c>
      <c r="C1006" t="s">
        <v>25</v>
      </c>
      <c r="D1006" t="s">
        <v>54</v>
      </c>
      <c r="E1006" t="s">
        <v>262</v>
      </c>
      <c r="F1006" t="s">
        <v>5</v>
      </c>
      <c r="G1006" t="s">
        <v>284</v>
      </c>
      <c r="H1006" t="s">
        <v>265</v>
      </c>
      <c r="I1006">
        <v>46</v>
      </c>
      <c r="J1006">
        <v>0.72766884531590414</v>
      </c>
      <c r="K1006">
        <v>0.70464135021097052</v>
      </c>
      <c r="L1006">
        <v>0.75225225225225223</v>
      </c>
      <c r="M1006" t="s">
        <v>60</v>
      </c>
      <c r="N1006" t="s">
        <v>2438</v>
      </c>
      <c r="O1006" t="s">
        <v>2439</v>
      </c>
      <c r="P1006">
        <v>2.2999999999999998</v>
      </c>
    </row>
    <row r="1007" spans="1:16" x14ac:dyDescent="0.3">
      <c r="A1007" t="s">
        <v>28</v>
      </c>
      <c r="B1007" t="s">
        <v>24</v>
      </c>
      <c r="C1007" t="s">
        <v>25</v>
      </c>
      <c r="D1007" t="s">
        <v>54</v>
      </c>
      <c r="E1007" t="s">
        <v>262</v>
      </c>
      <c r="F1007" t="s">
        <v>5</v>
      </c>
      <c r="G1007" t="s">
        <v>289</v>
      </c>
      <c r="H1007" t="s">
        <v>265</v>
      </c>
      <c r="I1007">
        <v>47</v>
      </c>
      <c r="J1007">
        <v>0.75604395604395613</v>
      </c>
      <c r="K1007">
        <v>0.7381974248927039</v>
      </c>
      <c r="L1007">
        <v>0.77477477477477474</v>
      </c>
      <c r="M1007" t="s">
        <v>60</v>
      </c>
      <c r="N1007" t="s">
        <v>2440</v>
      </c>
      <c r="O1007" t="s">
        <v>2441</v>
      </c>
      <c r="P1007">
        <v>2.2000000000000002</v>
      </c>
    </row>
    <row r="1008" spans="1:16" x14ac:dyDescent="0.3">
      <c r="A1008" t="s">
        <v>28</v>
      </c>
      <c r="B1008" t="s">
        <v>24</v>
      </c>
      <c r="C1008" t="s">
        <v>25</v>
      </c>
      <c r="D1008" t="s">
        <v>54</v>
      </c>
      <c r="E1008" t="s">
        <v>262</v>
      </c>
      <c r="F1008" t="s">
        <v>5</v>
      </c>
      <c r="G1008" t="s">
        <v>294</v>
      </c>
      <c r="H1008" t="s">
        <v>265</v>
      </c>
      <c r="I1008">
        <v>48</v>
      </c>
      <c r="J1008">
        <v>0.71910112359550549</v>
      </c>
      <c r="K1008">
        <v>0.71748878923766812</v>
      </c>
      <c r="L1008">
        <v>0.72072072072072069</v>
      </c>
      <c r="M1008" t="s">
        <v>60</v>
      </c>
      <c r="N1008" t="s">
        <v>2442</v>
      </c>
      <c r="O1008" t="s">
        <v>2443</v>
      </c>
      <c r="P1008">
        <v>2.2999999999999998</v>
      </c>
    </row>
    <row r="1009" spans="1:16" x14ac:dyDescent="0.3">
      <c r="A1009" t="s">
        <v>28</v>
      </c>
      <c r="B1009" t="s">
        <v>24</v>
      </c>
      <c r="C1009" t="s">
        <v>25</v>
      </c>
      <c r="D1009" t="s">
        <v>54</v>
      </c>
      <c r="E1009" t="s">
        <v>262</v>
      </c>
      <c r="F1009" t="s">
        <v>5</v>
      </c>
      <c r="G1009" t="s">
        <v>299</v>
      </c>
      <c r="H1009" t="s">
        <v>265</v>
      </c>
      <c r="I1009">
        <v>49</v>
      </c>
      <c r="J1009">
        <v>0.73362445414847166</v>
      </c>
      <c r="K1009">
        <v>0.71186440677966101</v>
      </c>
      <c r="L1009">
        <v>0.7567567567567568</v>
      </c>
      <c r="M1009" t="s">
        <v>60</v>
      </c>
      <c r="N1009" t="s">
        <v>2444</v>
      </c>
      <c r="O1009" t="s">
        <v>2445</v>
      </c>
      <c r="P1009">
        <v>2.5</v>
      </c>
    </row>
    <row r="1010" spans="1:16" x14ac:dyDescent="0.3">
      <c r="A1010" t="s">
        <v>28</v>
      </c>
      <c r="B1010" t="s">
        <v>24</v>
      </c>
      <c r="C1010" t="s">
        <v>25</v>
      </c>
      <c r="D1010" t="s">
        <v>54</v>
      </c>
      <c r="E1010" t="s">
        <v>262</v>
      </c>
      <c r="F1010" t="s">
        <v>5</v>
      </c>
      <c r="G1010" t="s">
        <v>304</v>
      </c>
      <c r="H1010" t="s">
        <v>265</v>
      </c>
      <c r="I1010">
        <v>50</v>
      </c>
      <c r="J1010">
        <v>0.74879227053140085</v>
      </c>
      <c r="K1010">
        <v>0.80729166666666663</v>
      </c>
      <c r="L1010">
        <v>0.69819819819819817</v>
      </c>
      <c r="M1010" t="s">
        <v>60</v>
      </c>
      <c r="N1010" t="s">
        <v>2446</v>
      </c>
      <c r="O1010" t="s">
        <v>2447</v>
      </c>
      <c r="P1010">
        <v>2</v>
      </c>
    </row>
    <row r="1011" spans="1:16" x14ac:dyDescent="0.3">
      <c r="A1011" t="s">
        <v>28</v>
      </c>
      <c r="B1011" t="s">
        <v>24</v>
      </c>
      <c r="C1011" t="s">
        <v>25</v>
      </c>
      <c r="D1011" t="s">
        <v>54</v>
      </c>
      <c r="E1011" t="s">
        <v>262</v>
      </c>
      <c r="F1011" t="s">
        <v>5</v>
      </c>
      <c r="G1011" t="s">
        <v>309</v>
      </c>
      <c r="H1011" t="s">
        <v>265</v>
      </c>
      <c r="I1011">
        <v>51</v>
      </c>
      <c r="J1011">
        <v>0.74285714285714288</v>
      </c>
      <c r="K1011">
        <v>0.72532188841201717</v>
      </c>
      <c r="L1011">
        <v>0.76126126126126126</v>
      </c>
      <c r="M1011" t="s">
        <v>60</v>
      </c>
      <c r="N1011" t="s">
        <v>2448</v>
      </c>
      <c r="O1011" t="s">
        <v>2449</v>
      </c>
      <c r="P1011">
        <v>1.9</v>
      </c>
    </row>
    <row r="1012" spans="1:16" x14ac:dyDescent="0.3">
      <c r="A1012" t="s">
        <v>28</v>
      </c>
      <c r="B1012" t="s">
        <v>24</v>
      </c>
      <c r="C1012" t="s">
        <v>25</v>
      </c>
      <c r="D1012" t="s">
        <v>54</v>
      </c>
      <c r="E1012" t="s">
        <v>262</v>
      </c>
      <c r="F1012" t="s">
        <v>5</v>
      </c>
      <c r="G1012" t="s">
        <v>314</v>
      </c>
      <c r="H1012" t="s">
        <v>265</v>
      </c>
      <c r="I1012">
        <v>52</v>
      </c>
      <c r="J1012">
        <v>0.74939172749391725</v>
      </c>
      <c r="K1012">
        <v>0.81481481481481477</v>
      </c>
      <c r="L1012">
        <v>0.69369369369369371</v>
      </c>
      <c r="M1012" t="s">
        <v>60</v>
      </c>
      <c r="N1012" t="s">
        <v>2450</v>
      </c>
      <c r="O1012" t="s">
        <v>2451</v>
      </c>
      <c r="P1012">
        <v>2.5</v>
      </c>
    </row>
    <row r="1013" spans="1:16" x14ac:dyDescent="0.3">
      <c r="A1013" t="s">
        <v>28</v>
      </c>
      <c r="B1013" t="s">
        <v>24</v>
      </c>
      <c r="C1013" t="s">
        <v>25</v>
      </c>
      <c r="D1013" t="s">
        <v>54</v>
      </c>
      <c r="E1013" t="s">
        <v>262</v>
      </c>
      <c r="F1013" t="s">
        <v>5</v>
      </c>
      <c r="G1013" t="s">
        <v>319</v>
      </c>
      <c r="H1013" t="s">
        <v>265</v>
      </c>
      <c r="I1013">
        <v>53</v>
      </c>
      <c r="J1013">
        <v>0.77391304347826084</v>
      </c>
      <c r="K1013">
        <v>0.74789915966386555</v>
      </c>
      <c r="L1013">
        <v>0.80180180180180183</v>
      </c>
      <c r="M1013" t="s">
        <v>60</v>
      </c>
      <c r="N1013" t="s">
        <v>2452</v>
      </c>
      <c r="O1013" t="s">
        <v>2453</v>
      </c>
      <c r="P1013">
        <v>1.9</v>
      </c>
    </row>
    <row r="1014" spans="1:16" x14ac:dyDescent="0.3">
      <c r="A1014" t="s">
        <v>28</v>
      </c>
      <c r="B1014" t="s">
        <v>24</v>
      </c>
      <c r="C1014" t="s">
        <v>25</v>
      </c>
      <c r="D1014" t="s">
        <v>54</v>
      </c>
      <c r="E1014" t="s">
        <v>262</v>
      </c>
      <c r="F1014" t="s">
        <v>5</v>
      </c>
      <c r="G1014" t="s">
        <v>324</v>
      </c>
      <c r="H1014" t="s">
        <v>265</v>
      </c>
      <c r="I1014">
        <v>54</v>
      </c>
      <c r="J1014">
        <v>0.74458874458874458</v>
      </c>
      <c r="K1014">
        <v>0.71666666666666667</v>
      </c>
      <c r="L1014">
        <v>0.77477477477477474</v>
      </c>
      <c r="M1014" t="s">
        <v>60</v>
      </c>
      <c r="N1014" t="s">
        <v>2454</v>
      </c>
      <c r="O1014" t="s">
        <v>2455</v>
      </c>
      <c r="P1014">
        <v>2</v>
      </c>
    </row>
    <row r="1015" spans="1:16" x14ac:dyDescent="0.3">
      <c r="A1015" t="s">
        <v>28</v>
      </c>
      <c r="B1015" t="s">
        <v>24</v>
      </c>
      <c r="C1015" t="s">
        <v>25</v>
      </c>
      <c r="D1015" t="s">
        <v>54</v>
      </c>
      <c r="E1015" t="s">
        <v>262</v>
      </c>
      <c r="F1015" t="s">
        <v>5</v>
      </c>
      <c r="G1015" t="s">
        <v>329</v>
      </c>
      <c r="H1015" t="s">
        <v>265</v>
      </c>
      <c r="I1015">
        <v>55</v>
      </c>
      <c r="J1015">
        <v>0.73933649289099523</v>
      </c>
      <c r="K1015">
        <v>0.78</v>
      </c>
      <c r="L1015">
        <v>0.70270270270270274</v>
      </c>
      <c r="M1015" t="s">
        <v>60</v>
      </c>
      <c r="N1015" t="s">
        <v>2456</v>
      </c>
      <c r="O1015" t="s">
        <v>2457</v>
      </c>
      <c r="P1015">
        <v>1.9</v>
      </c>
    </row>
    <row r="1016" spans="1:16" x14ac:dyDescent="0.3">
      <c r="A1016" t="s">
        <v>28</v>
      </c>
      <c r="B1016" t="s">
        <v>24</v>
      </c>
      <c r="C1016" t="s">
        <v>25</v>
      </c>
      <c r="D1016" t="s">
        <v>54</v>
      </c>
      <c r="E1016" t="s">
        <v>262</v>
      </c>
      <c r="F1016" t="s">
        <v>5</v>
      </c>
      <c r="G1016" t="s">
        <v>334</v>
      </c>
      <c r="H1016" t="s">
        <v>265</v>
      </c>
      <c r="I1016">
        <v>56</v>
      </c>
      <c r="J1016">
        <v>0.72807017543859653</v>
      </c>
      <c r="K1016">
        <v>0.70940170940170943</v>
      </c>
      <c r="L1016">
        <v>0.74774774774774777</v>
      </c>
      <c r="M1016" t="s">
        <v>60</v>
      </c>
      <c r="N1016" t="s">
        <v>2458</v>
      </c>
      <c r="O1016" t="s">
        <v>2459</v>
      </c>
      <c r="P1016">
        <v>2.2999999999999998</v>
      </c>
    </row>
    <row r="1017" spans="1:16" x14ac:dyDescent="0.3">
      <c r="A1017" t="s">
        <v>28</v>
      </c>
      <c r="B1017" t="s">
        <v>24</v>
      </c>
      <c r="C1017" t="s">
        <v>25</v>
      </c>
      <c r="D1017" t="s">
        <v>54</v>
      </c>
      <c r="E1017" t="s">
        <v>262</v>
      </c>
      <c r="F1017" t="s">
        <v>5</v>
      </c>
      <c r="G1017" t="s">
        <v>339</v>
      </c>
      <c r="H1017" t="s">
        <v>265</v>
      </c>
      <c r="I1017">
        <v>57</v>
      </c>
      <c r="J1017">
        <v>0.73434125269978412</v>
      </c>
      <c r="K1017">
        <v>0.70539419087136934</v>
      </c>
      <c r="L1017">
        <v>0.76576576576576572</v>
      </c>
      <c r="M1017" t="s">
        <v>60</v>
      </c>
      <c r="N1017" t="s">
        <v>2460</v>
      </c>
      <c r="O1017" t="s">
        <v>2461</v>
      </c>
      <c r="P1017">
        <v>1.9</v>
      </c>
    </row>
    <row r="1018" spans="1:16" x14ac:dyDescent="0.3">
      <c r="A1018" t="s">
        <v>28</v>
      </c>
      <c r="B1018" t="s">
        <v>24</v>
      </c>
      <c r="C1018" t="s">
        <v>25</v>
      </c>
      <c r="D1018" t="s">
        <v>54</v>
      </c>
      <c r="E1018" t="s">
        <v>262</v>
      </c>
      <c r="F1018" t="s">
        <v>5</v>
      </c>
      <c r="G1018" t="s">
        <v>344</v>
      </c>
      <c r="H1018" t="s">
        <v>265</v>
      </c>
      <c r="I1018">
        <v>58</v>
      </c>
      <c r="J1018">
        <v>0.73638344226579511</v>
      </c>
      <c r="K1018">
        <v>0.71308016877637126</v>
      </c>
      <c r="L1018">
        <v>0.76126126126126126</v>
      </c>
      <c r="M1018" t="s">
        <v>60</v>
      </c>
      <c r="N1018" t="s">
        <v>2462</v>
      </c>
      <c r="O1018" t="s">
        <v>2463</v>
      </c>
      <c r="P1018">
        <v>2.2999999999999998</v>
      </c>
    </row>
    <row r="1019" spans="1:16" x14ac:dyDescent="0.3">
      <c r="A1019" t="s">
        <v>28</v>
      </c>
      <c r="B1019" t="s">
        <v>24</v>
      </c>
      <c r="C1019" t="s">
        <v>25</v>
      </c>
      <c r="D1019" t="s">
        <v>54</v>
      </c>
      <c r="E1019" t="s">
        <v>262</v>
      </c>
      <c r="F1019" t="s">
        <v>5</v>
      </c>
      <c r="G1019" t="s">
        <v>349</v>
      </c>
      <c r="H1019" t="s">
        <v>265</v>
      </c>
      <c r="I1019">
        <v>59</v>
      </c>
      <c r="J1019">
        <v>0.73245614035087725</v>
      </c>
      <c r="K1019">
        <v>0.71367521367521369</v>
      </c>
      <c r="L1019">
        <v>0.75225225225225223</v>
      </c>
      <c r="M1019" t="s">
        <v>60</v>
      </c>
      <c r="N1019" t="s">
        <v>2464</v>
      </c>
      <c r="O1019" t="s">
        <v>2465</v>
      </c>
      <c r="P1019">
        <v>2</v>
      </c>
    </row>
    <row r="1020" spans="1:16" x14ac:dyDescent="0.3">
      <c r="A1020" t="s">
        <v>28</v>
      </c>
      <c r="B1020" t="s">
        <v>24</v>
      </c>
      <c r="C1020" t="s">
        <v>25</v>
      </c>
      <c r="D1020" t="s">
        <v>54</v>
      </c>
      <c r="E1020" t="s">
        <v>262</v>
      </c>
      <c r="F1020" t="s">
        <v>5</v>
      </c>
      <c r="G1020" t="s">
        <v>354</v>
      </c>
      <c r="H1020" t="s">
        <v>265</v>
      </c>
      <c r="I1020">
        <v>60</v>
      </c>
      <c r="J1020">
        <v>0.72608695652173905</v>
      </c>
      <c r="K1020">
        <v>0.70168067226890751</v>
      </c>
      <c r="L1020">
        <v>0.75225225225225223</v>
      </c>
      <c r="M1020" t="s">
        <v>60</v>
      </c>
      <c r="N1020" t="s">
        <v>2466</v>
      </c>
      <c r="O1020" t="s">
        <v>2467</v>
      </c>
      <c r="P1020">
        <v>2.4</v>
      </c>
    </row>
    <row r="1021" spans="1:16" x14ac:dyDescent="0.3">
      <c r="A1021" t="s">
        <v>28</v>
      </c>
      <c r="B1021" t="s">
        <v>24</v>
      </c>
      <c r="C1021" t="s">
        <v>25</v>
      </c>
      <c r="D1021" t="s">
        <v>54</v>
      </c>
      <c r="E1021" t="s">
        <v>262</v>
      </c>
      <c r="F1021" t="s">
        <v>5</v>
      </c>
      <c r="G1021" t="s">
        <v>359</v>
      </c>
      <c r="H1021" t="s">
        <v>265</v>
      </c>
      <c r="I1021">
        <v>61</v>
      </c>
      <c r="J1021">
        <v>0.7316017316017317</v>
      </c>
      <c r="K1021">
        <v>0.70416666666666672</v>
      </c>
      <c r="L1021">
        <v>0.76126126126126126</v>
      </c>
      <c r="M1021" t="s">
        <v>60</v>
      </c>
      <c r="N1021" t="s">
        <v>2468</v>
      </c>
      <c r="O1021" t="s">
        <v>2469</v>
      </c>
      <c r="P1021">
        <v>1.8</v>
      </c>
    </row>
    <row r="1022" spans="1:16" x14ac:dyDescent="0.3">
      <c r="A1022" t="s">
        <v>28</v>
      </c>
      <c r="B1022" t="s">
        <v>24</v>
      </c>
      <c r="C1022" t="s">
        <v>25</v>
      </c>
      <c r="D1022" t="s">
        <v>363</v>
      </c>
      <c r="E1022" t="s">
        <v>365</v>
      </c>
      <c r="F1022" t="s">
        <v>13</v>
      </c>
      <c r="G1022" t="s">
        <v>366</v>
      </c>
      <c r="H1022" t="s">
        <v>368</v>
      </c>
      <c r="I1022">
        <v>42</v>
      </c>
      <c r="J1022">
        <v>0.81573498964803304</v>
      </c>
      <c r="K1022">
        <v>0.77865612648221338</v>
      </c>
      <c r="L1022">
        <v>0.85652173913043483</v>
      </c>
      <c r="M1022" t="s">
        <v>60</v>
      </c>
      <c r="N1022" t="s">
        <v>2470</v>
      </c>
      <c r="O1022" t="s">
        <v>2471</v>
      </c>
      <c r="P1022">
        <v>2.4</v>
      </c>
    </row>
    <row r="1023" spans="1:16" x14ac:dyDescent="0.3">
      <c r="A1023" t="s">
        <v>28</v>
      </c>
      <c r="B1023" t="s">
        <v>24</v>
      </c>
      <c r="C1023" t="s">
        <v>25</v>
      </c>
      <c r="D1023" t="s">
        <v>363</v>
      </c>
      <c r="E1023" t="s">
        <v>365</v>
      </c>
      <c r="F1023" t="s">
        <v>13</v>
      </c>
      <c r="G1023" t="s">
        <v>372</v>
      </c>
      <c r="H1023" t="s">
        <v>368</v>
      </c>
      <c r="I1023">
        <v>43</v>
      </c>
      <c r="J1023">
        <v>0.83817427385892118</v>
      </c>
      <c r="K1023">
        <v>0.80158730158730163</v>
      </c>
      <c r="L1023">
        <v>0.87826086956521743</v>
      </c>
      <c r="M1023" t="s">
        <v>60</v>
      </c>
      <c r="N1023" t="s">
        <v>2472</v>
      </c>
      <c r="O1023" t="s">
        <v>2473</v>
      </c>
      <c r="P1023">
        <v>2</v>
      </c>
    </row>
    <row r="1024" spans="1:16" x14ac:dyDescent="0.3">
      <c r="A1024" t="s">
        <v>28</v>
      </c>
      <c r="B1024" t="s">
        <v>24</v>
      </c>
      <c r="C1024" t="s">
        <v>25</v>
      </c>
      <c r="D1024" t="s">
        <v>363</v>
      </c>
      <c r="E1024" t="s">
        <v>365</v>
      </c>
      <c r="F1024" t="s">
        <v>13</v>
      </c>
      <c r="G1024" t="s">
        <v>377</v>
      </c>
      <c r="H1024" t="s">
        <v>368</v>
      </c>
      <c r="I1024">
        <v>44</v>
      </c>
      <c r="J1024">
        <v>0.84123711340206186</v>
      </c>
      <c r="K1024">
        <v>0.8</v>
      </c>
      <c r="L1024">
        <v>0.88695652173913042</v>
      </c>
      <c r="M1024" t="s">
        <v>60</v>
      </c>
      <c r="N1024" t="s">
        <v>2474</v>
      </c>
      <c r="O1024" t="s">
        <v>2475</v>
      </c>
      <c r="P1024">
        <v>2</v>
      </c>
    </row>
    <row r="1025" spans="1:16" x14ac:dyDescent="0.3">
      <c r="A1025" t="s">
        <v>28</v>
      </c>
      <c r="B1025" t="s">
        <v>24</v>
      </c>
      <c r="C1025" t="s">
        <v>25</v>
      </c>
      <c r="D1025" t="s">
        <v>363</v>
      </c>
      <c r="E1025" t="s">
        <v>365</v>
      </c>
      <c r="F1025" t="s">
        <v>13</v>
      </c>
      <c r="G1025" t="s">
        <v>382</v>
      </c>
      <c r="H1025" t="s">
        <v>368</v>
      </c>
      <c r="I1025">
        <v>45</v>
      </c>
      <c r="J1025">
        <v>0.85416666666666663</v>
      </c>
      <c r="K1025">
        <v>0.82</v>
      </c>
      <c r="L1025">
        <v>0.89130434782608692</v>
      </c>
      <c r="M1025" t="s">
        <v>60</v>
      </c>
      <c r="N1025" t="s">
        <v>2476</v>
      </c>
      <c r="O1025" t="s">
        <v>2477</v>
      </c>
      <c r="P1025">
        <v>2.5</v>
      </c>
    </row>
    <row r="1026" spans="1:16" x14ac:dyDescent="0.3">
      <c r="A1026" t="s">
        <v>28</v>
      </c>
      <c r="B1026" t="s">
        <v>24</v>
      </c>
      <c r="C1026" t="s">
        <v>25</v>
      </c>
      <c r="D1026" t="s">
        <v>363</v>
      </c>
      <c r="E1026" t="s">
        <v>365</v>
      </c>
      <c r="F1026" t="s">
        <v>13</v>
      </c>
      <c r="G1026" t="s">
        <v>387</v>
      </c>
      <c r="H1026" t="s">
        <v>368</v>
      </c>
      <c r="I1026">
        <v>46</v>
      </c>
      <c r="J1026">
        <v>0.83229813664596275</v>
      </c>
      <c r="K1026">
        <v>0.7944664031620553</v>
      </c>
      <c r="L1026">
        <v>0.87391304347826082</v>
      </c>
      <c r="M1026" t="s">
        <v>60</v>
      </c>
      <c r="N1026" t="s">
        <v>2478</v>
      </c>
      <c r="O1026" t="s">
        <v>2479</v>
      </c>
      <c r="P1026">
        <v>2.1</v>
      </c>
    </row>
    <row r="1027" spans="1:16" x14ac:dyDescent="0.3">
      <c r="A1027" t="s">
        <v>28</v>
      </c>
      <c r="B1027" t="s">
        <v>24</v>
      </c>
      <c r="C1027" t="s">
        <v>25</v>
      </c>
      <c r="D1027" t="s">
        <v>363</v>
      </c>
      <c r="E1027" t="s">
        <v>365</v>
      </c>
      <c r="F1027" t="s">
        <v>13</v>
      </c>
      <c r="G1027" t="s">
        <v>392</v>
      </c>
      <c r="H1027" t="s">
        <v>368</v>
      </c>
      <c r="I1027">
        <v>47</v>
      </c>
      <c r="J1027">
        <v>0.83991683991683985</v>
      </c>
      <c r="K1027">
        <v>0.80478087649402386</v>
      </c>
      <c r="L1027">
        <v>0.87826086956521743</v>
      </c>
      <c r="M1027" t="s">
        <v>60</v>
      </c>
      <c r="N1027" t="s">
        <v>2480</v>
      </c>
      <c r="O1027" t="s">
        <v>2481</v>
      </c>
      <c r="P1027">
        <v>2</v>
      </c>
    </row>
    <row r="1028" spans="1:16" x14ac:dyDescent="0.3">
      <c r="A1028" t="s">
        <v>28</v>
      </c>
      <c r="B1028" t="s">
        <v>24</v>
      </c>
      <c r="C1028" t="s">
        <v>25</v>
      </c>
      <c r="D1028" t="s">
        <v>363</v>
      </c>
      <c r="E1028" t="s">
        <v>365</v>
      </c>
      <c r="F1028" t="s">
        <v>13</v>
      </c>
      <c r="G1028" t="s">
        <v>397</v>
      </c>
      <c r="H1028" t="s">
        <v>368</v>
      </c>
      <c r="I1028">
        <v>48</v>
      </c>
      <c r="J1028">
        <v>0.84166666666666667</v>
      </c>
      <c r="K1028">
        <v>0.80800000000000005</v>
      </c>
      <c r="L1028">
        <v>0.87826086956521743</v>
      </c>
      <c r="M1028" t="s">
        <v>60</v>
      </c>
      <c r="N1028" t="s">
        <v>2482</v>
      </c>
      <c r="O1028" t="s">
        <v>2483</v>
      </c>
      <c r="P1028">
        <v>2.5</v>
      </c>
    </row>
    <row r="1029" spans="1:16" x14ac:dyDescent="0.3">
      <c r="A1029" t="s">
        <v>28</v>
      </c>
      <c r="B1029" t="s">
        <v>24</v>
      </c>
      <c r="C1029" t="s">
        <v>25</v>
      </c>
      <c r="D1029" t="s">
        <v>363</v>
      </c>
      <c r="E1029" t="s">
        <v>365</v>
      </c>
      <c r="F1029" t="s">
        <v>13</v>
      </c>
      <c r="G1029" t="s">
        <v>402</v>
      </c>
      <c r="H1029" t="s">
        <v>368</v>
      </c>
      <c r="I1029">
        <v>49</v>
      </c>
      <c r="J1029">
        <v>0.84166666666666667</v>
      </c>
      <c r="K1029">
        <v>0.80800000000000005</v>
      </c>
      <c r="L1029">
        <v>0.87826086956521743</v>
      </c>
      <c r="M1029" t="s">
        <v>60</v>
      </c>
      <c r="N1029" t="s">
        <v>2484</v>
      </c>
      <c r="O1029" t="s">
        <v>2485</v>
      </c>
      <c r="P1029">
        <v>2.1</v>
      </c>
    </row>
    <row r="1030" spans="1:16" x14ac:dyDescent="0.3">
      <c r="A1030" t="s">
        <v>28</v>
      </c>
      <c r="B1030" t="s">
        <v>24</v>
      </c>
      <c r="C1030" t="s">
        <v>25</v>
      </c>
      <c r="D1030" t="s">
        <v>363</v>
      </c>
      <c r="E1030" t="s">
        <v>365</v>
      </c>
      <c r="F1030" t="s">
        <v>13</v>
      </c>
      <c r="G1030" t="s">
        <v>407</v>
      </c>
      <c r="H1030" t="s">
        <v>368</v>
      </c>
      <c r="I1030">
        <v>50</v>
      </c>
      <c r="J1030">
        <v>0.83507306889352806</v>
      </c>
      <c r="K1030">
        <v>0.80321285140562249</v>
      </c>
      <c r="L1030">
        <v>0.86956521739130432</v>
      </c>
      <c r="M1030" t="s">
        <v>60</v>
      </c>
      <c r="N1030" t="s">
        <v>2486</v>
      </c>
      <c r="O1030" t="s">
        <v>2487</v>
      </c>
      <c r="P1030">
        <v>2.5</v>
      </c>
    </row>
    <row r="1031" spans="1:16" x14ac:dyDescent="0.3">
      <c r="A1031" t="s">
        <v>28</v>
      </c>
      <c r="B1031" t="s">
        <v>24</v>
      </c>
      <c r="C1031" t="s">
        <v>25</v>
      </c>
      <c r="D1031" t="s">
        <v>363</v>
      </c>
      <c r="E1031" t="s">
        <v>365</v>
      </c>
      <c r="F1031" t="s">
        <v>13</v>
      </c>
      <c r="G1031" t="s">
        <v>412</v>
      </c>
      <c r="H1031" t="s">
        <v>368</v>
      </c>
      <c r="I1031">
        <v>51</v>
      </c>
      <c r="J1031">
        <v>0.8340248962655602</v>
      </c>
      <c r="K1031">
        <v>0.79761904761904767</v>
      </c>
      <c r="L1031">
        <v>0.87391304347826082</v>
      </c>
      <c r="M1031" t="s">
        <v>60</v>
      </c>
      <c r="N1031" t="s">
        <v>2488</v>
      </c>
      <c r="O1031" t="s">
        <v>2489</v>
      </c>
      <c r="P1031">
        <v>2.1</v>
      </c>
    </row>
    <row r="1032" spans="1:16" x14ac:dyDescent="0.3">
      <c r="A1032" t="s">
        <v>28</v>
      </c>
      <c r="B1032" t="s">
        <v>24</v>
      </c>
      <c r="C1032" t="s">
        <v>25</v>
      </c>
      <c r="D1032" t="s">
        <v>363</v>
      </c>
      <c r="E1032" t="s">
        <v>365</v>
      </c>
      <c r="F1032" t="s">
        <v>13</v>
      </c>
      <c r="G1032" t="s">
        <v>417</v>
      </c>
      <c r="H1032" t="s">
        <v>368</v>
      </c>
      <c r="I1032">
        <v>52</v>
      </c>
      <c r="J1032">
        <v>0.83817427385892118</v>
      </c>
      <c r="K1032">
        <v>0.80158730158730163</v>
      </c>
      <c r="L1032">
        <v>0.87826086956521743</v>
      </c>
      <c r="M1032" t="s">
        <v>60</v>
      </c>
      <c r="N1032" t="s">
        <v>2490</v>
      </c>
      <c r="O1032" t="s">
        <v>2491</v>
      </c>
      <c r="P1032">
        <v>2.1</v>
      </c>
    </row>
    <row r="1033" spans="1:16" x14ac:dyDescent="0.3">
      <c r="A1033" t="s">
        <v>28</v>
      </c>
      <c r="B1033" t="s">
        <v>24</v>
      </c>
      <c r="C1033" t="s">
        <v>25</v>
      </c>
      <c r="D1033" t="s">
        <v>363</v>
      </c>
      <c r="E1033" t="s">
        <v>365</v>
      </c>
      <c r="F1033" t="s">
        <v>13</v>
      </c>
      <c r="G1033" t="s">
        <v>422</v>
      </c>
      <c r="H1033" t="s">
        <v>368</v>
      </c>
      <c r="I1033">
        <v>53</v>
      </c>
      <c r="J1033">
        <v>0.83575883575883581</v>
      </c>
      <c r="K1033">
        <v>0.80079681274900394</v>
      </c>
      <c r="L1033">
        <v>0.87391304347826082</v>
      </c>
      <c r="M1033" t="s">
        <v>60</v>
      </c>
      <c r="N1033" t="s">
        <v>2492</v>
      </c>
      <c r="O1033" t="s">
        <v>2493</v>
      </c>
      <c r="P1033">
        <v>2.1</v>
      </c>
    </row>
    <row r="1034" spans="1:16" x14ac:dyDescent="0.3">
      <c r="A1034" t="s">
        <v>28</v>
      </c>
      <c r="B1034" t="s">
        <v>24</v>
      </c>
      <c r="C1034" t="s">
        <v>25</v>
      </c>
      <c r="D1034" t="s">
        <v>363</v>
      </c>
      <c r="E1034" t="s">
        <v>365</v>
      </c>
      <c r="F1034" t="s">
        <v>13</v>
      </c>
      <c r="G1034" t="s">
        <v>427</v>
      </c>
      <c r="H1034" t="s">
        <v>368</v>
      </c>
      <c r="I1034">
        <v>54</v>
      </c>
      <c r="J1034">
        <v>0.84647302904564314</v>
      </c>
      <c r="K1034">
        <v>0.80952380952380953</v>
      </c>
      <c r="L1034">
        <v>0.88695652173913042</v>
      </c>
      <c r="M1034" t="s">
        <v>60</v>
      </c>
      <c r="N1034" t="s">
        <v>2494</v>
      </c>
      <c r="O1034" t="s">
        <v>2495</v>
      </c>
      <c r="P1034">
        <v>2.2999999999999998</v>
      </c>
    </row>
    <row r="1035" spans="1:16" x14ac:dyDescent="0.3">
      <c r="A1035" t="s">
        <v>28</v>
      </c>
      <c r="B1035" t="s">
        <v>24</v>
      </c>
      <c r="C1035" t="s">
        <v>25</v>
      </c>
      <c r="D1035" t="s">
        <v>363</v>
      </c>
      <c r="E1035" t="s">
        <v>365</v>
      </c>
      <c r="F1035" t="s">
        <v>13</v>
      </c>
      <c r="G1035" t="s">
        <v>432</v>
      </c>
      <c r="H1035" t="s">
        <v>368</v>
      </c>
      <c r="I1035">
        <v>55</v>
      </c>
      <c r="J1035">
        <v>0.8340248962655602</v>
      </c>
      <c r="K1035">
        <v>0.79761904761904767</v>
      </c>
      <c r="L1035">
        <v>0.87391304347826082</v>
      </c>
      <c r="M1035" t="s">
        <v>60</v>
      </c>
      <c r="N1035" t="s">
        <v>2496</v>
      </c>
      <c r="O1035" t="s">
        <v>2497</v>
      </c>
      <c r="P1035">
        <v>1.9</v>
      </c>
    </row>
    <row r="1036" spans="1:16" x14ac:dyDescent="0.3">
      <c r="A1036" t="s">
        <v>28</v>
      </c>
      <c r="B1036" t="s">
        <v>24</v>
      </c>
      <c r="C1036" t="s">
        <v>25</v>
      </c>
      <c r="D1036" t="s">
        <v>363</v>
      </c>
      <c r="E1036" t="s">
        <v>365</v>
      </c>
      <c r="F1036" t="s">
        <v>13</v>
      </c>
      <c r="G1036" t="s">
        <v>437</v>
      </c>
      <c r="H1036" t="s">
        <v>368</v>
      </c>
      <c r="I1036">
        <v>56</v>
      </c>
      <c r="J1036">
        <v>0.83507306889352806</v>
      </c>
      <c r="K1036">
        <v>0.80321285140562249</v>
      </c>
      <c r="L1036">
        <v>0.86956521739130432</v>
      </c>
      <c r="M1036" t="s">
        <v>60</v>
      </c>
      <c r="N1036" t="s">
        <v>2498</v>
      </c>
      <c r="O1036" t="s">
        <v>2499</v>
      </c>
      <c r="P1036">
        <v>2.2999999999999998</v>
      </c>
    </row>
    <row r="1037" spans="1:16" x14ac:dyDescent="0.3">
      <c r="A1037" t="s">
        <v>28</v>
      </c>
      <c r="B1037" t="s">
        <v>24</v>
      </c>
      <c r="C1037" t="s">
        <v>25</v>
      </c>
      <c r="D1037" t="s">
        <v>363</v>
      </c>
      <c r="E1037" t="s">
        <v>365</v>
      </c>
      <c r="F1037" t="s">
        <v>13</v>
      </c>
      <c r="G1037" t="s">
        <v>442</v>
      </c>
      <c r="H1037" t="s">
        <v>368</v>
      </c>
      <c r="I1037">
        <v>57</v>
      </c>
      <c r="J1037">
        <v>0.84342379958246338</v>
      </c>
      <c r="K1037">
        <v>0.8112449799196787</v>
      </c>
      <c r="L1037">
        <v>0.87826086956521743</v>
      </c>
      <c r="M1037" t="s">
        <v>60</v>
      </c>
      <c r="N1037" t="s">
        <v>2500</v>
      </c>
      <c r="O1037" t="s">
        <v>2501</v>
      </c>
      <c r="P1037">
        <v>2.1</v>
      </c>
    </row>
    <row r="1038" spans="1:16" x14ac:dyDescent="0.3">
      <c r="A1038" t="s">
        <v>28</v>
      </c>
      <c r="B1038" t="s">
        <v>24</v>
      </c>
      <c r="C1038" t="s">
        <v>25</v>
      </c>
      <c r="D1038" t="s">
        <v>363</v>
      </c>
      <c r="E1038" t="s">
        <v>365</v>
      </c>
      <c r="F1038" t="s">
        <v>13</v>
      </c>
      <c r="G1038" t="s">
        <v>447</v>
      </c>
      <c r="H1038" t="s">
        <v>368</v>
      </c>
      <c r="I1038">
        <v>58</v>
      </c>
      <c r="J1038">
        <v>0.83333333333333326</v>
      </c>
      <c r="K1038">
        <v>0.8</v>
      </c>
      <c r="L1038">
        <v>0.86956521739130432</v>
      </c>
      <c r="M1038" t="s">
        <v>60</v>
      </c>
      <c r="N1038" t="s">
        <v>2502</v>
      </c>
      <c r="O1038" t="s">
        <v>2503</v>
      </c>
      <c r="P1038">
        <v>2.1</v>
      </c>
    </row>
    <row r="1039" spans="1:16" x14ac:dyDescent="0.3">
      <c r="A1039" t="s">
        <v>28</v>
      </c>
      <c r="B1039" t="s">
        <v>24</v>
      </c>
      <c r="C1039" t="s">
        <v>25</v>
      </c>
      <c r="D1039" t="s">
        <v>363</v>
      </c>
      <c r="E1039" t="s">
        <v>365</v>
      </c>
      <c r="F1039" t="s">
        <v>13</v>
      </c>
      <c r="G1039" t="s">
        <v>452</v>
      </c>
      <c r="H1039" t="s">
        <v>368</v>
      </c>
      <c r="I1039">
        <v>59</v>
      </c>
      <c r="J1039">
        <v>0.81818181818181823</v>
      </c>
      <c r="K1039">
        <v>0.77952755905511806</v>
      </c>
      <c r="L1039">
        <v>0.86086956521739133</v>
      </c>
      <c r="M1039" t="s">
        <v>60</v>
      </c>
      <c r="N1039" t="s">
        <v>2504</v>
      </c>
      <c r="O1039" t="s">
        <v>2505</v>
      </c>
      <c r="P1039">
        <v>1.8</v>
      </c>
    </row>
    <row r="1040" spans="1:16" x14ac:dyDescent="0.3">
      <c r="A1040" t="s">
        <v>28</v>
      </c>
      <c r="B1040" t="s">
        <v>24</v>
      </c>
      <c r="C1040" t="s">
        <v>25</v>
      </c>
      <c r="D1040" t="s">
        <v>363</v>
      </c>
      <c r="E1040" t="s">
        <v>365</v>
      </c>
      <c r="F1040" t="s">
        <v>13</v>
      </c>
      <c r="G1040" t="s">
        <v>457</v>
      </c>
      <c r="H1040" t="s">
        <v>368</v>
      </c>
      <c r="I1040">
        <v>60</v>
      </c>
      <c r="J1040">
        <v>0.83471074380165289</v>
      </c>
      <c r="K1040">
        <v>0.79527559055118113</v>
      </c>
      <c r="L1040">
        <v>0.87826086956521743</v>
      </c>
      <c r="M1040" t="s">
        <v>60</v>
      </c>
      <c r="N1040" t="s">
        <v>2506</v>
      </c>
      <c r="O1040" t="s">
        <v>2507</v>
      </c>
      <c r="P1040">
        <v>2.2999999999999998</v>
      </c>
    </row>
    <row r="1041" spans="1:16" x14ac:dyDescent="0.3">
      <c r="A1041" t="s">
        <v>28</v>
      </c>
      <c r="B1041" t="s">
        <v>24</v>
      </c>
      <c r="C1041" t="s">
        <v>25</v>
      </c>
      <c r="D1041" t="s">
        <v>363</v>
      </c>
      <c r="E1041" t="s">
        <v>365</v>
      </c>
      <c r="F1041" t="s">
        <v>13</v>
      </c>
      <c r="G1041" t="s">
        <v>462</v>
      </c>
      <c r="H1041" t="s">
        <v>368</v>
      </c>
      <c r="I1041">
        <v>61</v>
      </c>
      <c r="J1041">
        <v>0.81742738589211617</v>
      </c>
      <c r="K1041">
        <v>0.78174603174603174</v>
      </c>
      <c r="L1041">
        <v>0.85652173913043483</v>
      </c>
      <c r="M1041" t="s">
        <v>60</v>
      </c>
      <c r="N1041" t="s">
        <v>2508</v>
      </c>
      <c r="O1041" t="s">
        <v>2509</v>
      </c>
      <c r="P1041">
        <v>1.9</v>
      </c>
    </row>
    <row r="1042" spans="1:16" x14ac:dyDescent="0.3">
      <c r="A1042" t="s">
        <v>28</v>
      </c>
      <c r="B1042" t="s">
        <v>24</v>
      </c>
      <c r="C1042" t="s">
        <v>25</v>
      </c>
      <c r="D1042" t="s">
        <v>363</v>
      </c>
      <c r="E1042" t="s">
        <v>467</v>
      </c>
      <c r="F1042" t="s">
        <v>9</v>
      </c>
      <c r="G1042" t="s">
        <v>468</v>
      </c>
      <c r="H1042" t="s">
        <v>470</v>
      </c>
      <c r="I1042">
        <v>42</v>
      </c>
      <c r="J1042">
        <v>0.83102493074792239</v>
      </c>
      <c r="K1042">
        <v>0.78125</v>
      </c>
      <c r="L1042">
        <v>0.8875739644970414</v>
      </c>
      <c r="M1042" t="s">
        <v>60</v>
      </c>
      <c r="N1042" t="s">
        <v>2510</v>
      </c>
      <c r="O1042" t="s">
        <v>2511</v>
      </c>
      <c r="P1042">
        <v>1.8</v>
      </c>
    </row>
    <row r="1043" spans="1:16" x14ac:dyDescent="0.3">
      <c r="A1043" t="s">
        <v>28</v>
      </c>
      <c r="B1043" t="s">
        <v>24</v>
      </c>
      <c r="C1043" t="s">
        <v>25</v>
      </c>
      <c r="D1043" t="s">
        <v>363</v>
      </c>
      <c r="E1043" t="s">
        <v>467</v>
      </c>
      <c r="F1043" t="s">
        <v>9</v>
      </c>
      <c r="G1043" t="s">
        <v>474</v>
      </c>
      <c r="H1043" t="s">
        <v>470</v>
      </c>
      <c r="I1043">
        <v>43</v>
      </c>
      <c r="J1043">
        <v>0.79558011049723765</v>
      </c>
      <c r="K1043">
        <v>0.74611398963730569</v>
      </c>
      <c r="L1043">
        <v>0.85207100591715978</v>
      </c>
      <c r="M1043" t="s">
        <v>60</v>
      </c>
      <c r="N1043" t="s">
        <v>2512</v>
      </c>
      <c r="O1043" t="s">
        <v>2513</v>
      </c>
      <c r="P1043">
        <v>2.2000000000000002</v>
      </c>
    </row>
    <row r="1044" spans="1:16" x14ac:dyDescent="0.3">
      <c r="A1044" t="s">
        <v>28</v>
      </c>
      <c r="B1044" t="s">
        <v>24</v>
      </c>
      <c r="C1044" t="s">
        <v>25</v>
      </c>
      <c r="D1044" t="s">
        <v>363</v>
      </c>
      <c r="E1044" t="s">
        <v>467</v>
      </c>
      <c r="F1044" t="s">
        <v>9</v>
      </c>
      <c r="G1044" t="s">
        <v>479</v>
      </c>
      <c r="H1044" t="s">
        <v>470</v>
      </c>
      <c r="I1044">
        <v>44</v>
      </c>
      <c r="J1044">
        <v>0.82485875706214684</v>
      </c>
      <c r="K1044">
        <v>0.78918918918918923</v>
      </c>
      <c r="L1044">
        <v>0.86390532544378695</v>
      </c>
      <c r="M1044" t="s">
        <v>60</v>
      </c>
      <c r="N1044" t="s">
        <v>2514</v>
      </c>
      <c r="O1044" t="s">
        <v>2515</v>
      </c>
      <c r="P1044">
        <v>1.7</v>
      </c>
    </row>
    <row r="1045" spans="1:16" x14ac:dyDescent="0.3">
      <c r="A1045" t="s">
        <v>28</v>
      </c>
      <c r="B1045" t="s">
        <v>24</v>
      </c>
      <c r="C1045" t="s">
        <v>25</v>
      </c>
      <c r="D1045" t="s">
        <v>363</v>
      </c>
      <c r="E1045" t="s">
        <v>467</v>
      </c>
      <c r="F1045" t="s">
        <v>9</v>
      </c>
      <c r="G1045" t="s">
        <v>484</v>
      </c>
      <c r="H1045" t="s">
        <v>470</v>
      </c>
      <c r="I1045">
        <v>45</v>
      </c>
      <c r="J1045">
        <v>0.83473389355742289</v>
      </c>
      <c r="K1045">
        <v>0.79255319148936165</v>
      </c>
      <c r="L1045">
        <v>0.88165680473372776</v>
      </c>
      <c r="M1045" t="s">
        <v>60</v>
      </c>
      <c r="N1045" t="s">
        <v>2516</v>
      </c>
      <c r="O1045" t="s">
        <v>2517</v>
      </c>
      <c r="P1045">
        <v>1.7</v>
      </c>
    </row>
    <row r="1046" spans="1:16" x14ac:dyDescent="0.3">
      <c r="A1046" t="s">
        <v>28</v>
      </c>
      <c r="B1046" t="s">
        <v>24</v>
      </c>
      <c r="C1046" t="s">
        <v>25</v>
      </c>
      <c r="D1046" t="s">
        <v>363</v>
      </c>
      <c r="E1046" t="s">
        <v>467</v>
      </c>
      <c r="F1046" t="s">
        <v>9</v>
      </c>
      <c r="G1046" t="s">
        <v>489</v>
      </c>
      <c r="H1046" t="s">
        <v>470</v>
      </c>
      <c r="I1046">
        <v>46</v>
      </c>
      <c r="J1046">
        <v>0.83008356545961004</v>
      </c>
      <c r="K1046">
        <v>0.78421052631578947</v>
      </c>
      <c r="L1046">
        <v>0.88165680473372776</v>
      </c>
      <c r="M1046" t="s">
        <v>60</v>
      </c>
      <c r="N1046" t="s">
        <v>2518</v>
      </c>
      <c r="O1046" t="s">
        <v>2519</v>
      </c>
      <c r="P1046">
        <v>2.2999999999999998</v>
      </c>
    </row>
    <row r="1047" spans="1:16" x14ac:dyDescent="0.3">
      <c r="A1047" t="s">
        <v>28</v>
      </c>
      <c r="B1047" t="s">
        <v>24</v>
      </c>
      <c r="C1047" t="s">
        <v>25</v>
      </c>
      <c r="D1047" t="s">
        <v>363</v>
      </c>
      <c r="E1047" t="s">
        <v>467</v>
      </c>
      <c r="F1047" t="s">
        <v>9</v>
      </c>
      <c r="G1047" t="s">
        <v>494</v>
      </c>
      <c r="H1047" t="s">
        <v>470</v>
      </c>
      <c r="I1047">
        <v>47</v>
      </c>
      <c r="J1047">
        <v>0.81894150417827294</v>
      </c>
      <c r="K1047">
        <v>0.77368421052631575</v>
      </c>
      <c r="L1047">
        <v>0.86982248520710059</v>
      </c>
      <c r="M1047" t="s">
        <v>60</v>
      </c>
      <c r="N1047" t="s">
        <v>2520</v>
      </c>
      <c r="O1047" t="s">
        <v>2521</v>
      </c>
      <c r="P1047">
        <v>1.7</v>
      </c>
    </row>
    <row r="1048" spans="1:16" x14ac:dyDescent="0.3">
      <c r="A1048" t="s">
        <v>28</v>
      </c>
      <c r="B1048" t="s">
        <v>24</v>
      </c>
      <c r="C1048" t="s">
        <v>25</v>
      </c>
      <c r="D1048" t="s">
        <v>363</v>
      </c>
      <c r="E1048" t="s">
        <v>467</v>
      </c>
      <c r="F1048" t="s">
        <v>9</v>
      </c>
      <c r="G1048" t="s">
        <v>499</v>
      </c>
      <c r="H1048" t="s">
        <v>470</v>
      </c>
      <c r="I1048">
        <v>48</v>
      </c>
      <c r="J1048">
        <v>0.82022471910112349</v>
      </c>
      <c r="K1048">
        <v>0.78074866310160429</v>
      </c>
      <c r="L1048">
        <v>0.86390532544378695</v>
      </c>
      <c r="M1048" t="s">
        <v>60</v>
      </c>
      <c r="N1048" t="s">
        <v>2522</v>
      </c>
      <c r="O1048" t="s">
        <v>2523</v>
      </c>
      <c r="P1048">
        <v>1.7</v>
      </c>
    </row>
    <row r="1049" spans="1:16" x14ac:dyDescent="0.3">
      <c r="A1049" t="s">
        <v>28</v>
      </c>
      <c r="B1049" t="s">
        <v>24</v>
      </c>
      <c r="C1049" t="s">
        <v>25</v>
      </c>
      <c r="D1049" t="s">
        <v>363</v>
      </c>
      <c r="E1049" t="s">
        <v>467</v>
      </c>
      <c r="F1049" t="s">
        <v>9</v>
      </c>
      <c r="G1049" t="s">
        <v>504</v>
      </c>
      <c r="H1049" t="s">
        <v>470</v>
      </c>
      <c r="I1049">
        <v>49</v>
      </c>
      <c r="J1049">
        <v>0.8133704735376045</v>
      </c>
      <c r="K1049">
        <v>0.76842105263157889</v>
      </c>
      <c r="L1049">
        <v>0.86390532544378695</v>
      </c>
      <c r="M1049" t="s">
        <v>60</v>
      </c>
      <c r="N1049" t="s">
        <v>2524</v>
      </c>
      <c r="O1049" t="s">
        <v>2525</v>
      </c>
      <c r="P1049">
        <v>3.5</v>
      </c>
    </row>
    <row r="1050" spans="1:16" x14ac:dyDescent="0.3">
      <c r="A1050" t="s">
        <v>28</v>
      </c>
      <c r="B1050" t="s">
        <v>24</v>
      </c>
      <c r="C1050" t="s">
        <v>25</v>
      </c>
      <c r="D1050" t="s">
        <v>363</v>
      </c>
      <c r="E1050" t="s">
        <v>467</v>
      </c>
      <c r="F1050" t="s">
        <v>9</v>
      </c>
      <c r="G1050" t="s">
        <v>509</v>
      </c>
      <c r="H1050" t="s">
        <v>470</v>
      </c>
      <c r="I1050">
        <v>50</v>
      </c>
      <c r="J1050">
        <v>0.81767955801104963</v>
      </c>
      <c r="K1050">
        <v>0.76683937823834192</v>
      </c>
      <c r="L1050">
        <v>0.87573964497041423</v>
      </c>
      <c r="M1050" t="s">
        <v>60</v>
      </c>
      <c r="N1050" t="s">
        <v>2526</v>
      </c>
      <c r="O1050" t="s">
        <v>2527</v>
      </c>
      <c r="P1050">
        <v>2.2000000000000002</v>
      </c>
    </row>
    <row r="1051" spans="1:16" x14ac:dyDescent="0.3">
      <c r="A1051" t="s">
        <v>28</v>
      </c>
      <c r="B1051" t="s">
        <v>24</v>
      </c>
      <c r="C1051" t="s">
        <v>25</v>
      </c>
      <c r="D1051" t="s">
        <v>363</v>
      </c>
      <c r="E1051" t="s">
        <v>467</v>
      </c>
      <c r="F1051" t="s">
        <v>9</v>
      </c>
      <c r="G1051" t="s">
        <v>514</v>
      </c>
      <c r="H1051" t="s">
        <v>470</v>
      </c>
      <c r="I1051">
        <v>51</v>
      </c>
      <c r="J1051">
        <v>0.83333333333333326</v>
      </c>
      <c r="K1051">
        <v>0.78534031413612571</v>
      </c>
      <c r="L1051">
        <v>0.8875739644970414</v>
      </c>
      <c r="M1051" t="s">
        <v>60</v>
      </c>
      <c r="N1051" t="s">
        <v>2528</v>
      </c>
      <c r="O1051" t="s">
        <v>2529</v>
      </c>
      <c r="P1051">
        <v>1.9</v>
      </c>
    </row>
    <row r="1052" spans="1:16" x14ac:dyDescent="0.3">
      <c r="A1052" t="s">
        <v>28</v>
      </c>
      <c r="B1052" t="s">
        <v>24</v>
      </c>
      <c r="C1052" t="s">
        <v>25</v>
      </c>
      <c r="D1052" t="s">
        <v>363</v>
      </c>
      <c r="E1052" t="s">
        <v>467</v>
      </c>
      <c r="F1052" t="s">
        <v>9</v>
      </c>
      <c r="G1052" t="s">
        <v>519</v>
      </c>
      <c r="H1052" t="s">
        <v>470</v>
      </c>
      <c r="I1052">
        <v>52</v>
      </c>
      <c r="J1052">
        <v>0.81792717086834721</v>
      </c>
      <c r="K1052">
        <v>0.77659574468085102</v>
      </c>
      <c r="L1052">
        <v>0.86390532544378695</v>
      </c>
      <c r="M1052" t="s">
        <v>60</v>
      </c>
      <c r="N1052" t="s">
        <v>2530</v>
      </c>
      <c r="O1052" t="s">
        <v>2531</v>
      </c>
      <c r="P1052">
        <v>1.7</v>
      </c>
    </row>
    <row r="1053" spans="1:16" x14ac:dyDescent="0.3">
      <c r="A1053" t="s">
        <v>28</v>
      </c>
      <c r="B1053" t="s">
        <v>24</v>
      </c>
      <c r="C1053" t="s">
        <v>25</v>
      </c>
      <c r="D1053" t="s">
        <v>363</v>
      </c>
      <c r="E1053" t="s">
        <v>467</v>
      </c>
      <c r="F1053" t="s">
        <v>9</v>
      </c>
      <c r="G1053" t="s">
        <v>524</v>
      </c>
      <c r="H1053" t="s">
        <v>470</v>
      </c>
      <c r="I1053">
        <v>53</v>
      </c>
      <c r="J1053">
        <v>0.84090909090909094</v>
      </c>
      <c r="K1053">
        <v>0.80874316939890711</v>
      </c>
      <c r="L1053">
        <v>0.87573964497041423</v>
      </c>
      <c r="M1053" t="s">
        <v>60</v>
      </c>
      <c r="N1053" t="s">
        <v>2532</v>
      </c>
      <c r="O1053" t="s">
        <v>2533</v>
      </c>
      <c r="P1053">
        <v>2.2000000000000002</v>
      </c>
    </row>
    <row r="1054" spans="1:16" x14ac:dyDescent="0.3">
      <c r="A1054" t="s">
        <v>28</v>
      </c>
      <c r="B1054" t="s">
        <v>24</v>
      </c>
      <c r="C1054" t="s">
        <v>25</v>
      </c>
      <c r="D1054" t="s">
        <v>363</v>
      </c>
      <c r="E1054" t="s">
        <v>467</v>
      </c>
      <c r="F1054" t="s">
        <v>9</v>
      </c>
      <c r="G1054" t="s">
        <v>529</v>
      </c>
      <c r="H1054" t="s">
        <v>470</v>
      </c>
      <c r="I1054">
        <v>54</v>
      </c>
      <c r="J1054">
        <v>0.83240223463687157</v>
      </c>
      <c r="K1054">
        <v>0.78835978835978837</v>
      </c>
      <c r="L1054">
        <v>0.88165680473372776</v>
      </c>
      <c r="M1054" t="s">
        <v>60</v>
      </c>
      <c r="N1054" t="s">
        <v>2534</v>
      </c>
      <c r="O1054" t="s">
        <v>2535</v>
      </c>
      <c r="P1054">
        <v>1.8</v>
      </c>
    </row>
    <row r="1055" spans="1:16" x14ac:dyDescent="0.3">
      <c r="A1055" t="s">
        <v>28</v>
      </c>
      <c r="B1055" t="s">
        <v>24</v>
      </c>
      <c r="C1055" t="s">
        <v>25</v>
      </c>
      <c r="D1055" t="s">
        <v>363</v>
      </c>
      <c r="E1055" t="s">
        <v>467</v>
      </c>
      <c r="F1055" t="s">
        <v>9</v>
      </c>
      <c r="G1055" t="s">
        <v>534</v>
      </c>
      <c r="H1055" t="s">
        <v>470</v>
      </c>
      <c r="I1055">
        <v>55</v>
      </c>
      <c r="J1055">
        <v>0.81460674157303359</v>
      </c>
      <c r="K1055">
        <v>0.77540106951871657</v>
      </c>
      <c r="L1055">
        <v>0.85798816568047342</v>
      </c>
      <c r="M1055" t="s">
        <v>60</v>
      </c>
      <c r="N1055" t="s">
        <v>2536</v>
      </c>
      <c r="O1055" t="s">
        <v>2537</v>
      </c>
      <c r="P1055">
        <v>1.8</v>
      </c>
    </row>
    <row r="1056" spans="1:16" x14ac:dyDescent="0.3">
      <c r="A1056" t="s">
        <v>28</v>
      </c>
      <c r="B1056" t="s">
        <v>24</v>
      </c>
      <c r="C1056" t="s">
        <v>25</v>
      </c>
      <c r="D1056" t="s">
        <v>363</v>
      </c>
      <c r="E1056" t="s">
        <v>467</v>
      </c>
      <c r="F1056" t="s">
        <v>9</v>
      </c>
      <c r="G1056" t="s">
        <v>539</v>
      </c>
      <c r="H1056" t="s">
        <v>470</v>
      </c>
      <c r="I1056">
        <v>56</v>
      </c>
      <c r="J1056">
        <v>0.81792717086834721</v>
      </c>
      <c r="K1056">
        <v>0.77659574468085102</v>
      </c>
      <c r="L1056">
        <v>0.86390532544378695</v>
      </c>
      <c r="M1056" t="s">
        <v>60</v>
      </c>
      <c r="N1056" t="s">
        <v>2538</v>
      </c>
      <c r="O1056" t="s">
        <v>2539</v>
      </c>
      <c r="P1056">
        <v>2.2000000000000002</v>
      </c>
    </row>
    <row r="1057" spans="1:16" x14ac:dyDescent="0.3">
      <c r="A1057" t="s">
        <v>28</v>
      </c>
      <c r="B1057" t="s">
        <v>24</v>
      </c>
      <c r="C1057" t="s">
        <v>25</v>
      </c>
      <c r="D1057" t="s">
        <v>363</v>
      </c>
      <c r="E1057" t="s">
        <v>467</v>
      </c>
      <c r="F1057" t="s">
        <v>9</v>
      </c>
      <c r="G1057" t="s">
        <v>544</v>
      </c>
      <c r="H1057" t="s">
        <v>470</v>
      </c>
      <c r="I1057">
        <v>57</v>
      </c>
      <c r="J1057">
        <v>0.81111111111111112</v>
      </c>
      <c r="K1057">
        <v>0.76439790575916233</v>
      </c>
      <c r="L1057">
        <v>0.86390532544378695</v>
      </c>
      <c r="M1057" t="s">
        <v>60</v>
      </c>
      <c r="N1057" t="s">
        <v>2540</v>
      </c>
      <c r="O1057" t="s">
        <v>2541</v>
      </c>
      <c r="P1057">
        <v>1.8</v>
      </c>
    </row>
    <row r="1058" spans="1:16" x14ac:dyDescent="0.3">
      <c r="A1058" t="s">
        <v>28</v>
      </c>
      <c r="B1058" t="s">
        <v>24</v>
      </c>
      <c r="C1058" t="s">
        <v>25</v>
      </c>
      <c r="D1058" t="s">
        <v>363</v>
      </c>
      <c r="E1058" t="s">
        <v>467</v>
      </c>
      <c r="F1058" t="s">
        <v>9</v>
      </c>
      <c r="G1058" t="s">
        <v>549</v>
      </c>
      <c r="H1058" t="s">
        <v>470</v>
      </c>
      <c r="I1058">
        <v>58</v>
      </c>
      <c r="J1058">
        <v>0.8314606741573034</v>
      </c>
      <c r="K1058">
        <v>0.79144385026737973</v>
      </c>
      <c r="L1058">
        <v>0.87573964497041423</v>
      </c>
      <c r="M1058" t="s">
        <v>60</v>
      </c>
      <c r="N1058" t="s">
        <v>2542</v>
      </c>
      <c r="O1058" t="s">
        <v>2543</v>
      </c>
      <c r="P1058">
        <v>1.7</v>
      </c>
    </row>
    <row r="1059" spans="1:16" x14ac:dyDescent="0.3">
      <c r="A1059" t="s">
        <v>28</v>
      </c>
      <c r="B1059" t="s">
        <v>24</v>
      </c>
      <c r="C1059" t="s">
        <v>25</v>
      </c>
      <c r="D1059" t="s">
        <v>363</v>
      </c>
      <c r="E1059" t="s">
        <v>467</v>
      </c>
      <c r="F1059" t="s">
        <v>9</v>
      </c>
      <c r="G1059" t="s">
        <v>554</v>
      </c>
      <c r="H1059" t="s">
        <v>470</v>
      </c>
      <c r="I1059">
        <v>59</v>
      </c>
      <c r="J1059">
        <v>0.81894150417827294</v>
      </c>
      <c r="K1059">
        <v>0.77368421052631575</v>
      </c>
      <c r="L1059">
        <v>0.86982248520710059</v>
      </c>
      <c r="M1059" t="s">
        <v>60</v>
      </c>
      <c r="N1059" t="s">
        <v>2544</v>
      </c>
      <c r="O1059" t="s">
        <v>2545</v>
      </c>
      <c r="P1059">
        <v>1.7</v>
      </c>
    </row>
    <row r="1060" spans="1:16" x14ac:dyDescent="0.3">
      <c r="A1060" t="s">
        <v>28</v>
      </c>
      <c r="B1060" t="s">
        <v>24</v>
      </c>
      <c r="C1060" t="s">
        <v>25</v>
      </c>
      <c r="D1060" t="s">
        <v>363</v>
      </c>
      <c r="E1060" t="s">
        <v>467</v>
      </c>
      <c r="F1060" t="s">
        <v>9</v>
      </c>
      <c r="G1060" t="s">
        <v>559</v>
      </c>
      <c r="H1060" t="s">
        <v>470</v>
      </c>
      <c r="I1060">
        <v>60</v>
      </c>
      <c r="J1060">
        <v>0.81792717086834721</v>
      </c>
      <c r="K1060">
        <v>0.77659574468085102</v>
      </c>
      <c r="L1060">
        <v>0.86390532544378695</v>
      </c>
      <c r="M1060" t="s">
        <v>60</v>
      </c>
      <c r="N1060" t="s">
        <v>2546</v>
      </c>
      <c r="O1060" t="s">
        <v>2547</v>
      </c>
      <c r="P1060">
        <v>2.2999999999999998</v>
      </c>
    </row>
    <row r="1061" spans="1:16" x14ac:dyDescent="0.3">
      <c r="A1061" t="s">
        <v>28</v>
      </c>
      <c r="B1061" t="s">
        <v>24</v>
      </c>
      <c r="C1061" t="s">
        <v>25</v>
      </c>
      <c r="D1061" t="s">
        <v>363</v>
      </c>
      <c r="E1061" t="s">
        <v>467</v>
      </c>
      <c r="F1061" t="s">
        <v>9</v>
      </c>
      <c r="G1061" t="s">
        <v>564</v>
      </c>
      <c r="H1061" t="s">
        <v>470</v>
      </c>
      <c r="I1061">
        <v>61</v>
      </c>
      <c r="J1061">
        <v>0.83473389355742289</v>
      </c>
      <c r="K1061">
        <v>0.79255319148936165</v>
      </c>
      <c r="L1061">
        <v>0.88165680473372776</v>
      </c>
      <c r="M1061" t="s">
        <v>60</v>
      </c>
      <c r="N1061" t="s">
        <v>2548</v>
      </c>
      <c r="O1061" t="s">
        <v>2549</v>
      </c>
      <c r="P1061">
        <v>1.9</v>
      </c>
    </row>
    <row r="1062" spans="1:16" x14ac:dyDescent="0.3">
      <c r="A1062" t="s">
        <v>28</v>
      </c>
      <c r="B1062" t="s">
        <v>24</v>
      </c>
      <c r="C1062" t="s">
        <v>25</v>
      </c>
      <c r="D1062" t="s">
        <v>363</v>
      </c>
      <c r="E1062" t="s">
        <v>569</v>
      </c>
      <c r="F1062" t="s">
        <v>11</v>
      </c>
      <c r="G1062" t="s">
        <v>570</v>
      </c>
      <c r="H1062" t="s">
        <v>572</v>
      </c>
      <c r="I1062">
        <v>42</v>
      </c>
      <c r="J1062">
        <v>0.86343612334801756</v>
      </c>
      <c r="K1062">
        <v>0.84482758620689657</v>
      </c>
      <c r="L1062">
        <v>0.88288288288288286</v>
      </c>
      <c r="M1062" t="s">
        <v>60</v>
      </c>
      <c r="N1062" t="s">
        <v>2550</v>
      </c>
      <c r="O1062" t="s">
        <v>2551</v>
      </c>
      <c r="P1062">
        <v>2</v>
      </c>
    </row>
    <row r="1063" spans="1:16" x14ac:dyDescent="0.3">
      <c r="A1063" t="s">
        <v>28</v>
      </c>
      <c r="B1063" t="s">
        <v>24</v>
      </c>
      <c r="C1063" t="s">
        <v>25</v>
      </c>
      <c r="D1063" t="s">
        <v>363</v>
      </c>
      <c r="E1063" t="s">
        <v>569</v>
      </c>
      <c r="F1063" t="s">
        <v>11</v>
      </c>
      <c r="G1063" t="s">
        <v>576</v>
      </c>
      <c r="H1063" t="s">
        <v>572</v>
      </c>
      <c r="I1063">
        <v>43</v>
      </c>
      <c r="J1063">
        <v>0.8458149779735683</v>
      </c>
      <c r="K1063">
        <v>0.82758620689655171</v>
      </c>
      <c r="L1063">
        <v>0.86486486486486491</v>
      </c>
      <c r="M1063" t="s">
        <v>60</v>
      </c>
      <c r="N1063" t="s">
        <v>2552</v>
      </c>
      <c r="O1063" t="s">
        <v>2553</v>
      </c>
      <c r="P1063">
        <v>2.2999999999999998</v>
      </c>
    </row>
    <row r="1064" spans="1:16" x14ac:dyDescent="0.3">
      <c r="A1064" t="s">
        <v>28</v>
      </c>
      <c r="B1064" t="s">
        <v>24</v>
      </c>
      <c r="C1064" t="s">
        <v>25</v>
      </c>
      <c r="D1064" t="s">
        <v>363</v>
      </c>
      <c r="E1064" t="s">
        <v>569</v>
      </c>
      <c r="F1064" t="s">
        <v>11</v>
      </c>
      <c r="G1064" t="s">
        <v>581</v>
      </c>
      <c r="H1064" t="s">
        <v>572</v>
      </c>
      <c r="I1064">
        <v>44</v>
      </c>
      <c r="J1064">
        <v>0.8488888888888888</v>
      </c>
      <c r="K1064">
        <v>0.83771929824561409</v>
      </c>
      <c r="L1064">
        <v>0.86036036036036034</v>
      </c>
      <c r="M1064" t="s">
        <v>60</v>
      </c>
      <c r="N1064" t="s">
        <v>2554</v>
      </c>
      <c r="O1064" t="s">
        <v>2555</v>
      </c>
      <c r="P1064">
        <v>1.9</v>
      </c>
    </row>
    <row r="1065" spans="1:16" x14ac:dyDescent="0.3">
      <c r="A1065" t="s">
        <v>28</v>
      </c>
      <c r="B1065" t="s">
        <v>24</v>
      </c>
      <c r="C1065" t="s">
        <v>25</v>
      </c>
      <c r="D1065" t="s">
        <v>363</v>
      </c>
      <c r="E1065" t="s">
        <v>569</v>
      </c>
      <c r="F1065" t="s">
        <v>11</v>
      </c>
      <c r="G1065" t="s">
        <v>586</v>
      </c>
      <c r="H1065" t="s">
        <v>572</v>
      </c>
      <c r="I1065">
        <v>45</v>
      </c>
      <c r="J1065">
        <v>0.85022026431718056</v>
      </c>
      <c r="K1065">
        <v>0.8318965517241379</v>
      </c>
      <c r="L1065">
        <v>0.86936936936936937</v>
      </c>
      <c r="M1065" t="s">
        <v>60</v>
      </c>
      <c r="N1065" t="s">
        <v>2556</v>
      </c>
      <c r="O1065" t="s">
        <v>2557</v>
      </c>
      <c r="P1065">
        <v>2.1</v>
      </c>
    </row>
    <row r="1066" spans="1:16" x14ac:dyDescent="0.3">
      <c r="A1066" t="s">
        <v>28</v>
      </c>
      <c r="B1066" t="s">
        <v>24</v>
      </c>
      <c r="C1066" t="s">
        <v>25</v>
      </c>
      <c r="D1066" t="s">
        <v>363</v>
      </c>
      <c r="E1066" t="s">
        <v>569</v>
      </c>
      <c r="F1066" t="s">
        <v>11</v>
      </c>
      <c r="G1066" t="s">
        <v>591</v>
      </c>
      <c r="H1066" t="s">
        <v>572</v>
      </c>
      <c r="I1066">
        <v>46</v>
      </c>
      <c r="J1066">
        <v>0.83956043956043958</v>
      </c>
      <c r="K1066">
        <v>0.81974248927038629</v>
      </c>
      <c r="L1066">
        <v>0.86036036036036034</v>
      </c>
      <c r="M1066" t="s">
        <v>60</v>
      </c>
      <c r="N1066" t="s">
        <v>2558</v>
      </c>
      <c r="O1066" t="s">
        <v>2559</v>
      </c>
      <c r="P1066">
        <v>2.2999999999999998</v>
      </c>
    </row>
    <row r="1067" spans="1:16" x14ac:dyDescent="0.3">
      <c r="A1067" t="s">
        <v>28</v>
      </c>
      <c r="B1067" t="s">
        <v>24</v>
      </c>
      <c r="C1067" t="s">
        <v>25</v>
      </c>
      <c r="D1067" t="s">
        <v>363</v>
      </c>
      <c r="E1067" t="s">
        <v>569</v>
      </c>
      <c r="F1067" t="s">
        <v>11</v>
      </c>
      <c r="G1067" t="s">
        <v>596</v>
      </c>
      <c r="H1067" t="s">
        <v>572</v>
      </c>
      <c r="I1067">
        <v>47</v>
      </c>
      <c r="J1067">
        <v>0.84257206208425717</v>
      </c>
      <c r="K1067">
        <v>0.82969432314410485</v>
      </c>
      <c r="L1067">
        <v>0.85585585585585588</v>
      </c>
      <c r="M1067" t="s">
        <v>60</v>
      </c>
      <c r="N1067" t="s">
        <v>2560</v>
      </c>
      <c r="O1067" t="s">
        <v>2561</v>
      </c>
      <c r="P1067">
        <v>1.9</v>
      </c>
    </row>
    <row r="1068" spans="1:16" x14ac:dyDescent="0.3">
      <c r="A1068" t="s">
        <v>28</v>
      </c>
      <c r="B1068" t="s">
        <v>24</v>
      </c>
      <c r="C1068" t="s">
        <v>25</v>
      </c>
      <c r="D1068" t="s">
        <v>363</v>
      </c>
      <c r="E1068" t="s">
        <v>569</v>
      </c>
      <c r="F1068" t="s">
        <v>11</v>
      </c>
      <c r="G1068" t="s">
        <v>601</v>
      </c>
      <c r="H1068" t="s">
        <v>572</v>
      </c>
      <c r="I1068">
        <v>48</v>
      </c>
      <c r="J1068">
        <v>0.8527472527472526</v>
      </c>
      <c r="K1068">
        <v>0.83261802575107291</v>
      </c>
      <c r="L1068">
        <v>0.87387387387387383</v>
      </c>
      <c r="M1068" t="s">
        <v>60</v>
      </c>
      <c r="N1068" t="s">
        <v>2562</v>
      </c>
      <c r="O1068" t="s">
        <v>2563</v>
      </c>
      <c r="P1068">
        <v>2</v>
      </c>
    </row>
    <row r="1069" spans="1:16" x14ac:dyDescent="0.3">
      <c r="A1069" t="s">
        <v>28</v>
      </c>
      <c r="B1069" t="s">
        <v>24</v>
      </c>
      <c r="C1069" t="s">
        <v>25</v>
      </c>
      <c r="D1069" t="s">
        <v>363</v>
      </c>
      <c r="E1069" t="s">
        <v>569</v>
      </c>
      <c r="F1069" t="s">
        <v>11</v>
      </c>
      <c r="G1069" t="s">
        <v>606</v>
      </c>
      <c r="H1069" t="s">
        <v>572</v>
      </c>
      <c r="I1069">
        <v>49</v>
      </c>
      <c r="J1069">
        <v>0.84700665188470059</v>
      </c>
      <c r="K1069">
        <v>0.83406113537117899</v>
      </c>
      <c r="L1069">
        <v>0.86036036036036034</v>
      </c>
      <c r="M1069" t="s">
        <v>60</v>
      </c>
      <c r="N1069" t="s">
        <v>2564</v>
      </c>
      <c r="O1069" t="s">
        <v>2565</v>
      </c>
      <c r="P1069">
        <v>2.2999999999999998</v>
      </c>
    </row>
    <row r="1070" spans="1:16" x14ac:dyDescent="0.3">
      <c r="A1070" t="s">
        <v>28</v>
      </c>
      <c r="B1070" t="s">
        <v>24</v>
      </c>
      <c r="C1070" t="s">
        <v>25</v>
      </c>
      <c r="D1070" t="s">
        <v>363</v>
      </c>
      <c r="E1070" t="s">
        <v>569</v>
      </c>
      <c r="F1070" t="s">
        <v>11</v>
      </c>
      <c r="G1070" t="s">
        <v>611</v>
      </c>
      <c r="H1070" t="s">
        <v>572</v>
      </c>
      <c r="I1070">
        <v>50</v>
      </c>
      <c r="J1070">
        <v>0.85022026431718056</v>
      </c>
      <c r="K1070">
        <v>0.8318965517241379</v>
      </c>
      <c r="L1070">
        <v>0.86936936936936937</v>
      </c>
      <c r="M1070" t="s">
        <v>60</v>
      </c>
      <c r="N1070" t="s">
        <v>2566</v>
      </c>
      <c r="O1070" t="s">
        <v>2567</v>
      </c>
      <c r="P1070">
        <v>1.9</v>
      </c>
    </row>
    <row r="1071" spans="1:16" x14ac:dyDescent="0.3">
      <c r="A1071" t="s">
        <v>28</v>
      </c>
      <c r="B1071" t="s">
        <v>24</v>
      </c>
      <c r="C1071" t="s">
        <v>25</v>
      </c>
      <c r="D1071" t="s">
        <v>363</v>
      </c>
      <c r="E1071" t="s">
        <v>569</v>
      </c>
      <c r="F1071" t="s">
        <v>11</v>
      </c>
      <c r="G1071" t="s">
        <v>616</v>
      </c>
      <c r="H1071" t="s">
        <v>572</v>
      </c>
      <c r="I1071">
        <v>51</v>
      </c>
      <c r="J1071">
        <v>0.8590308370044053</v>
      </c>
      <c r="K1071">
        <v>0.84051724137931039</v>
      </c>
      <c r="L1071">
        <v>0.8783783783783784</v>
      </c>
      <c r="M1071" t="s">
        <v>60</v>
      </c>
      <c r="N1071" t="s">
        <v>2568</v>
      </c>
      <c r="O1071" t="s">
        <v>2569</v>
      </c>
      <c r="P1071">
        <v>1.9</v>
      </c>
    </row>
    <row r="1072" spans="1:16" x14ac:dyDescent="0.3">
      <c r="A1072" t="s">
        <v>28</v>
      </c>
      <c r="B1072" t="s">
        <v>24</v>
      </c>
      <c r="C1072" t="s">
        <v>25</v>
      </c>
      <c r="D1072" t="s">
        <v>363</v>
      </c>
      <c r="E1072" t="s">
        <v>569</v>
      </c>
      <c r="F1072" t="s">
        <v>11</v>
      </c>
      <c r="G1072" t="s">
        <v>621</v>
      </c>
      <c r="H1072" t="s">
        <v>572</v>
      </c>
      <c r="I1072">
        <v>52</v>
      </c>
      <c r="J1072">
        <v>0.83116883116883122</v>
      </c>
      <c r="K1072">
        <v>0.8</v>
      </c>
      <c r="L1072">
        <v>0.86486486486486491</v>
      </c>
      <c r="M1072" t="s">
        <v>60</v>
      </c>
      <c r="N1072" t="s">
        <v>2570</v>
      </c>
      <c r="O1072" t="s">
        <v>2571</v>
      </c>
      <c r="P1072">
        <v>2.2999999999999998</v>
      </c>
    </row>
    <row r="1073" spans="1:16" x14ac:dyDescent="0.3">
      <c r="A1073" t="s">
        <v>28</v>
      </c>
      <c r="B1073" t="s">
        <v>24</v>
      </c>
      <c r="C1073" t="s">
        <v>25</v>
      </c>
      <c r="D1073" t="s">
        <v>363</v>
      </c>
      <c r="E1073" t="s">
        <v>569</v>
      </c>
      <c r="F1073" t="s">
        <v>11</v>
      </c>
      <c r="G1073" t="s">
        <v>626</v>
      </c>
      <c r="H1073" t="s">
        <v>572</v>
      </c>
      <c r="I1073">
        <v>53</v>
      </c>
      <c r="J1073">
        <v>0.84835164835164845</v>
      </c>
      <c r="K1073">
        <v>0.8283261802575107</v>
      </c>
      <c r="L1073">
        <v>0.86936936936936937</v>
      </c>
      <c r="M1073" t="s">
        <v>60</v>
      </c>
      <c r="N1073" t="s">
        <v>2572</v>
      </c>
      <c r="O1073" t="s">
        <v>2573</v>
      </c>
      <c r="P1073">
        <v>2.1</v>
      </c>
    </row>
    <row r="1074" spans="1:16" x14ac:dyDescent="0.3">
      <c r="A1074" t="s">
        <v>28</v>
      </c>
      <c r="B1074" t="s">
        <v>24</v>
      </c>
      <c r="C1074" t="s">
        <v>25</v>
      </c>
      <c r="D1074" t="s">
        <v>363</v>
      </c>
      <c r="E1074" t="s">
        <v>569</v>
      </c>
      <c r="F1074" t="s">
        <v>11</v>
      </c>
      <c r="G1074" t="s">
        <v>631</v>
      </c>
      <c r="H1074" t="s">
        <v>572</v>
      </c>
      <c r="I1074">
        <v>54</v>
      </c>
      <c r="J1074">
        <v>0.84632516703786187</v>
      </c>
      <c r="K1074">
        <v>0.83700440528634357</v>
      </c>
      <c r="L1074">
        <v>0.85585585585585588</v>
      </c>
      <c r="M1074" t="s">
        <v>60</v>
      </c>
      <c r="N1074" t="s">
        <v>2574</v>
      </c>
      <c r="O1074" t="s">
        <v>2575</v>
      </c>
      <c r="P1074">
        <v>1.8</v>
      </c>
    </row>
    <row r="1075" spans="1:16" x14ac:dyDescent="0.3">
      <c r="A1075" t="s">
        <v>28</v>
      </c>
      <c r="B1075" t="s">
        <v>24</v>
      </c>
      <c r="C1075" t="s">
        <v>25</v>
      </c>
      <c r="D1075" t="s">
        <v>363</v>
      </c>
      <c r="E1075" t="s">
        <v>569</v>
      </c>
      <c r="F1075" t="s">
        <v>11</v>
      </c>
      <c r="G1075" t="s">
        <v>636</v>
      </c>
      <c r="H1075" t="s">
        <v>572</v>
      </c>
      <c r="I1075">
        <v>55</v>
      </c>
      <c r="J1075">
        <v>0.8507795100222717</v>
      </c>
      <c r="K1075">
        <v>0.84140969162995594</v>
      </c>
      <c r="L1075">
        <v>0.86036036036036034</v>
      </c>
      <c r="M1075" t="s">
        <v>60</v>
      </c>
      <c r="N1075" t="s">
        <v>2576</v>
      </c>
      <c r="O1075" t="s">
        <v>2577</v>
      </c>
      <c r="P1075">
        <v>2.2999999999999998</v>
      </c>
    </row>
    <row r="1076" spans="1:16" x14ac:dyDescent="0.3">
      <c r="A1076" t="s">
        <v>28</v>
      </c>
      <c r="B1076" t="s">
        <v>24</v>
      </c>
      <c r="C1076" t="s">
        <v>25</v>
      </c>
      <c r="D1076" t="s">
        <v>363</v>
      </c>
      <c r="E1076" t="s">
        <v>569</v>
      </c>
      <c r="F1076" t="s">
        <v>11</v>
      </c>
      <c r="G1076" t="s">
        <v>641</v>
      </c>
      <c r="H1076" t="s">
        <v>572</v>
      </c>
      <c r="I1076">
        <v>56</v>
      </c>
      <c r="J1076">
        <v>0.83700440528634368</v>
      </c>
      <c r="K1076">
        <v>0.81896551724137934</v>
      </c>
      <c r="L1076">
        <v>0.85585585585585588</v>
      </c>
      <c r="M1076" t="s">
        <v>60</v>
      </c>
      <c r="N1076" t="s">
        <v>2578</v>
      </c>
      <c r="O1076" t="s">
        <v>2579</v>
      </c>
      <c r="P1076">
        <v>1.3</v>
      </c>
    </row>
    <row r="1077" spans="1:16" x14ac:dyDescent="0.3">
      <c r="A1077" t="s">
        <v>28</v>
      </c>
      <c r="B1077" t="s">
        <v>24</v>
      </c>
      <c r="C1077" t="s">
        <v>25</v>
      </c>
      <c r="D1077" t="s">
        <v>363</v>
      </c>
      <c r="E1077" t="s">
        <v>569</v>
      </c>
      <c r="F1077" t="s">
        <v>11</v>
      </c>
      <c r="G1077" t="s">
        <v>646</v>
      </c>
      <c r="H1077" t="s">
        <v>572</v>
      </c>
      <c r="I1077">
        <v>57</v>
      </c>
      <c r="J1077">
        <v>0.84070796460176989</v>
      </c>
      <c r="K1077">
        <v>0.82608695652173914</v>
      </c>
      <c r="L1077">
        <v>0.85585585585585588</v>
      </c>
      <c r="M1077" t="s">
        <v>60</v>
      </c>
      <c r="N1077" t="s">
        <v>2580</v>
      </c>
      <c r="O1077" t="s">
        <v>2581</v>
      </c>
      <c r="P1077">
        <v>1.3</v>
      </c>
    </row>
    <row r="1078" spans="1:16" x14ac:dyDescent="0.3">
      <c r="A1078" t="s">
        <v>28</v>
      </c>
      <c r="B1078" t="s">
        <v>24</v>
      </c>
      <c r="C1078" t="s">
        <v>25</v>
      </c>
      <c r="D1078" t="s">
        <v>363</v>
      </c>
      <c r="E1078" t="s">
        <v>569</v>
      </c>
      <c r="F1078" t="s">
        <v>11</v>
      </c>
      <c r="G1078" t="s">
        <v>651</v>
      </c>
      <c r="H1078" t="s">
        <v>572</v>
      </c>
      <c r="I1078">
        <v>58</v>
      </c>
      <c r="J1078">
        <v>0.8527472527472526</v>
      </c>
      <c r="K1078">
        <v>0.83261802575107291</v>
      </c>
      <c r="L1078">
        <v>0.87387387387387383</v>
      </c>
      <c r="M1078" t="s">
        <v>60</v>
      </c>
      <c r="N1078" t="s">
        <v>2582</v>
      </c>
      <c r="O1078" t="s">
        <v>2583</v>
      </c>
      <c r="P1078">
        <v>1.3</v>
      </c>
    </row>
    <row r="1079" spans="1:16" x14ac:dyDescent="0.3">
      <c r="A1079" t="s">
        <v>28</v>
      </c>
      <c r="B1079" t="s">
        <v>24</v>
      </c>
      <c r="C1079" t="s">
        <v>25</v>
      </c>
      <c r="D1079" t="s">
        <v>363</v>
      </c>
      <c r="E1079" t="s">
        <v>569</v>
      </c>
      <c r="F1079" t="s">
        <v>11</v>
      </c>
      <c r="G1079" t="s">
        <v>656</v>
      </c>
      <c r="H1079" t="s">
        <v>572</v>
      </c>
      <c r="I1079">
        <v>59</v>
      </c>
      <c r="J1079">
        <v>0.85651214128035313</v>
      </c>
      <c r="K1079">
        <v>0.83982683982683981</v>
      </c>
      <c r="L1079">
        <v>0.87387387387387383</v>
      </c>
      <c r="M1079" t="s">
        <v>60</v>
      </c>
      <c r="N1079" t="s">
        <v>2584</v>
      </c>
      <c r="O1079" t="s">
        <v>2585</v>
      </c>
      <c r="P1079">
        <v>1.7</v>
      </c>
    </row>
    <row r="1080" spans="1:16" x14ac:dyDescent="0.3">
      <c r="A1080" t="s">
        <v>28</v>
      </c>
      <c r="B1080" t="s">
        <v>24</v>
      </c>
      <c r="C1080" t="s">
        <v>25</v>
      </c>
      <c r="D1080" t="s">
        <v>363</v>
      </c>
      <c r="E1080" t="s">
        <v>569</v>
      </c>
      <c r="F1080" t="s">
        <v>11</v>
      </c>
      <c r="G1080" t="s">
        <v>661</v>
      </c>
      <c r="H1080" t="s">
        <v>572</v>
      </c>
      <c r="I1080">
        <v>60</v>
      </c>
      <c r="J1080">
        <v>0.84463894967177233</v>
      </c>
      <c r="K1080">
        <v>0.82127659574468082</v>
      </c>
      <c r="L1080">
        <v>0.86936936936936937</v>
      </c>
      <c r="M1080" t="s">
        <v>60</v>
      </c>
      <c r="N1080" t="s">
        <v>2586</v>
      </c>
      <c r="O1080" t="s">
        <v>2587</v>
      </c>
      <c r="P1080">
        <v>1.3</v>
      </c>
    </row>
    <row r="1081" spans="1:16" x14ac:dyDescent="0.3">
      <c r="A1081" t="s">
        <v>28</v>
      </c>
      <c r="B1081" t="s">
        <v>24</v>
      </c>
      <c r="C1081" t="s">
        <v>25</v>
      </c>
      <c r="D1081" t="s">
        <v>363</v>
      </c>
      <c r="E1081" t="s">
        <v>569</v>
      </c>
      <c r="F1081" t="s">
        <v>11</v>
      </c>
      <c r="G1081" t="s">
        <v>666</v>
      </c>
      <c r="H1081" t="s">
        <v>572</v>
      </c>
      <c r="I1081">
        <v>61</v>
      </c>
      <c r="J1081">
        <v>0.8488888888888888</v>
      </c>
      <c r="K1081">
        <v>0.83771929824561409</v>
      </c>
      <c r="L1081">
        <v>0.86036036036036034</v>
      </c>
      <c r="M1081" t="s">
        <v>60</v>
      </c>
      <c r="N1081" t="s">
        <v>2588</v>
      </c>
      <c r="O1081" t="s">
        <v>2589</v>
      </c>
      <c r="P1081">
        <v>1.7</v>
      </c>
    </row>
    <row r="1082" spans="1:16" x14ac:dyDescent="0.3">
      <c r="A1082" t="s">
        <v>28</v>
      </c>
      <c r="B1082" t="s">
        <v>26</v>
      </c>
      <c r="C1082" t="s">
        <v>27</v>
      </c>
      <c r="D1082" t="s">
        <v>54</v>
      </c>
      <c r="E1082" t="s">
        <v>56</v>
      </c>
      <c r="F1082" t="s">
        <v>7</v>
      </c>
      <c r="G1082" t="s">
        <v>57</v>
      </c>
      <c r="H1082" t="s">
        <v>59</v>
      </c>
      <c r="I1082">
        <v>42</v>
      </c>
      <c r="J1082">
        <v>0.79002079002079006</v>
      </c>
      <c r="K1082">
        <v>0.75697211155378485</v>
      </c>
      <c r="L1082">
        <v>0.82608695652173914</v>
      </c>
      <c r="M1082" t="s">
        <v>60</v>
      </c>
      <c r="N1082" t="s">
        <v>2590</v>
      </c>
      <c r="O1082" t="s">
        <v>2591</v>
      </c>
      <c r="P1082">
        <v>4.4000000000000004</v>
      </c>
    </row>
    <row r="1083" spans="1:16" x14ac:dyDescent="0.3">
      <c r="A1083" t="s">
        <v>28</v>
      </c>
      <c r="B1083" t="s">
        <v>26</v>
      </c>
      <c r="C1083" t="s">
        <v>27</v>
      </c>
      <c r="D1083" t="s">
        <v>54</v>
      </c>
      <c r="E1083" t="s">
        <v>56</v>
      </c>
      <c r="F1083" t="s">
        <v>7</v>
      </c>
      <c r="G1083" t="s">
        <v>65</v>
      </c>
      <c r="H1083" t="s">
        <v>59</v>
      </c>
      <c r="I1083">
        <v>43</v>
      </c>
      <c r="J1083">
        <v>0.71428571428571419</v>
      </c>
      <c r="K1083">
        <v>0.69105691056910568</v>
      </c>
      <c r="L1083">
        <v>0.73913043478260865</v>
      </c>
      <c r="M1083" t="s">
        <v>60</v>
      </c>
      <c r="N1083" t="s">
        <v>2592</v>
      </c>
      <c r="O1083" t="s">
        <v>2593</v>
      </c>
      <c r="P1083">
        <v>1.3</v>
      </c>
    </row>
    <row r="1084" spans="1:16" x14ac:dyDescent="0.3">
      <c r="A1084" t="s">
        <v>28</v>
      </c>
      <c r="B1084" t="s">
        <v>26</v>
      </c>
      <c r="C1084" t="s">
        <v>27</v>
      </c>
      <c r="D1084" t="s">
        <v>54</v>
      </c>
      <c r="E1084" t="s">
        <v>56</v>
      </c>
      <c r="F1084" t="s">
        <v>7</v>
      </c>
      <c r="G1084" t="s">
        <v>70</v>
      </c>
      <c r="H1084" t="s">
        <v>59</v>
      </c>
      <c r="I1084">
        <v>44</v>
      </c>
      <c r="J1084">
        <v>0.7653276955602536</v>
      </c>
      <c r="K1084">
        <v>0.74485596707818935</v>
      </c>
      <c r="L1084">
        <v>0.78695652173913044</v>
      </c>
      <c r="M1084" t="s">
        <v>60</v>
      </c>
      <c r="N1084" t="s">
        <v>2594</v>
      </c>
      <c r="O1084" t="s">
        <v>2595</v>
      </c>
      <c r="P1084">
        <v>1.3</v>
      </c>
    </row>
    <row r="1085" spans="1:16" x14ac:dyDescent="0.3">
      <c r="A1085" t="s">
        <v>28</v>
      </c>
      <c r="B1085" t="s">
        <v>26</v>
      </c>
      <c r="C1085" t="s">
        <v>27</v>
      </c>
      <c r="D1085" t="s">
        <v>54</v>
      </c>
      <c r="E1085" t="s">
        <v>56</v>
      </c>
      <c r="F1085" t="s">
        <v>7</v>
      </c>
      <c r="G1085" t="s">
        <v>75</v>
      </c>
      <c r="H1085" t="s">
        <v>59</v>
      </c>
      <c r="I1085">
        <v>45</v>
      </c>
      <c r="J1085">
        <v>0.78813559322033888</v>
      </c>
      <c r="K1085">
        <v>0.76859504132231404</v>
      </c>
      <c r="L1085">
        <v>0.80869565217391304</v>
      </c>
      <c r="M1085" t="s">
        <v>60</v>
      </c>
      <c r="N1085" t="s">
        <v>2596</v>
      </c>
      <c r="O1085" t="s">
        <v>2597</v>
      </c>
      <c r="P1085">
        <v>1.7</v>
      </c>
    </row>
    <row r="1086" spans="1:16" x14ac:dyDescent="0.3">
      <c r="A1086" t="s">
        <v>28</v>
      </c>
      <c r="B1086" t="s">
        <v>26</v>
      </c>
      <c r="C1086" t="s">
        <v>27</v>
      </c>
      <c r="D1086" t="s">
        <v>54</v>
      </c>
      <c r="E1086" t="s">
        <v>56</v>
      </c>
      <c r="F1086" t="s">
        <v>7</v>
      </c>
      <c r="G1086" t="s">
        <v>80</v>
      </c>
      <c r="H1086" t="s">
        <v>59</v>
      </c>
      <c r="I1086">
        <v>46</v>
      </c>
      <c r="J1086">
        <v>0.74418604651162801</v>
      </c>
      <c r="K1086">
        <v>0.72427983539094654</v>
      </c>
      <c r="L1086">
        <v>0.76521739130434785</v>
      </c>
      <c r="M1086" t="s">
        <v>60</v>
      </c>
      <c r="N1086" t="s">
        <v>2598</v>
      </c>
      <c r="O1086" t="s">
        <v>2599</v>
      </c>
      <c r="P1086">
        <v>1.3</v>
      </c>
    </row>
    <row r="1087" spans="1:16" x14ac:dyDescent="0.3">
      <c r="A1087" t="s">
        <v>28</v>
      </c>
      <c r="B1087" t="s">
        <v>26</v>
      </c>
      <c r="C1087" t="s">
        <v>27</v>
      </c>
      <c r="D1087" t="s">
        <v>54</v>
      </c>
      <c r="E1087" t="s">
        <v>56</v>
      </c>
      <c r="F1087" t="s">
        <v>7</v>
      </c>
      <c r="G1087" t="s">
        <v>85</v>
      </c>
      <c r="H1087" t="s">
        <v>59</v>
      </c>
      <c r="I1087">
        <v>47</v>
      </c>
      <c r="J1087">
        <v>0.79002079002079006</v>
      </c>
      <c r="K1087">
        <v>0.75697211155378485</v>
      </c>
      <c r="L1087">
        <v>0.82608695652173914</v>
      </c>
      <c r="M1087" t="s">
        <v>60</v>
      </c>
      <c r="N1087" t="s">
        <v>2600</v>
      </c>
      <c r="O1087" t="s">
        <v>2601</v>
      </c>
      <c r="P1087">
        <v>1.7</v>
      </c>
    </row>
    <row r="1088" spans="1:16" x14ac:dyDescent="0.3">
      <c r="A1088" t="s">
        <v>28</v>
      </c>
      <c r="B1088" t="s">
        <v>26</v>
      </c>
      <c r="C1088" t="s">
        <v>27</v>
      </c>
      <c r="D1088" t="s">
        <v>54</v>
      </c>
      <c r="E1088" t="s">
        <v>56</v>
      </c>
      <c r="F1088" t="s">
        <v>7</v>
      </c>
      <c r="G1088" t="s">
        <v>90</v>
      </c>
      <c r="H1088" t="s">
        <v>59</v>
      </c>
      <c r="I1088">
        <v>48</v>
      </c>
      <c r="J1088">
        <v>0.80761099365750522</v>
      </c>
      <c r="K1088">
        <v>0.78600823045267487</v>
      </c>
      <c r="L1088">
        <v>0.83043478260869563</v>
      </c>
      <c r="M1088" t="s">
        <v>60</v>
      </c>
      <c r="N1088" t="s">
        <v>2602</v>
      </c>
      <c r="O1088" t="s">
        <v>2603</v>
      </c>
      <c r="P1088">
        <v>1.3</v>
      </c>
    </row>
    <row r="1089" spans="1:16" x14ac:dyDescent="0.3">
      <c r="A1089" t="s">
        <v>28</v>
      </c>
      <c r="B1089" t="s">
        <v>26</v>
      </c>
      <c r="C1089" t="s">
        <v>27</v>
      </c>
      <c r="D1089" t="s">
        <v>54</v>
      </c>
      <c r="E1089" t="s">
        <v>56</v>
      </c>
      <c r="F1089" t="s">
        <v>7</v>
      </c>
      <c r="G1089" t="s">
        <v>95</v>
      </c>
      <c r="H1089" t="s">
        <v>59</v>
      </c>
      <c r="I1089">
        <v>49</v>
      </c>
      <c r="J1089">
        <v>0.77142857142857146</v>
      </c>
      <c r="K1089">
        <v>0.72692307692307689</v>
      </c>
      <c r="L1089">
        <v>0.82173913043478264</v>
      </c>
      <c r="M1089" t="s">
        <v>60</v>
      </c>
      <c r="N1089" t="s">
        <v>2604</v>
      </c>
      <c r="O1089" t="s">
        <v>2605</v>
      </c>
      <c r="P1089">
        <v>1.3</v>
      </c>
    </row>
    <row r="1090" spans="1:16" x14ac:dyDescent="0.3">
      <c r="A1090" t="s">
        <v>28</v>
      </c>
      <c r="B1090" t="s">
        <v>26</v>
      </c>
      <c r="C1090" t="s">
        <v>27</v>
      </c>
      <c r="D1090" t="s">
        <v>54</v>
      </c>
      <c r="E1090" t="s">
        <v>56</v>
      </c>
      <c r="F1090" t="s">
        <v>7</v>
      </c>
      <c r="G1090" t="s">
        <v>100</v>
      </c>
      <c r="H1090" t="s">
        <v>59</v>
      </c>
      <c r="I1090">
        <v>50</v>
      </c>
      <c r="J1090">
        <v>0.78600823045267498</v>
      </c>
      <c r="K1090">
        <v>0.74609375</v>
      </c>
      <c r="L1090">
        <v>0.83043478260869563</v>
      </c>
      <c r="M1090" t="s">
        <v>60</v>
      </c>
      <c r="N1090" t="s">
        <v>2606</v>
      </c>
      <c r="O1090" t="s">
        <v>2607</v>
      </c>
      <c r="P1090">
        <v>1.7</v>
      </c>
    </row>
    <row r="1091" spans="1:16" x14ac:dyDescent="0.3">
      <c r="A1091" t="s">
        <v>28</v>
      </c>
      <c r="B1091" t="s">
        <v>26</v>
      </c>
      <c r="C1091" t="s">
        <v>27</v>
      </c>
      <c r="D1091" t="s">
        <v>54</v>
      </c>
      <c r="E1091" t="s">
        <v>56</v>
      </c>
      <c r="F1091" t="s">
        <v>7</v>
      </c>
      <c r="G1091" t="s">
        <v>105</v>
      </c>
      <c r="H1091" t="s">
        <v>59</v>
      </c>
      <c r="I1091">
        <v>51</v>
      </c>
      <c r="J1091">
        <v>0.75</v>
      </c>
      <c r="K1091">
        <v>0.73140495867768596</v>
      </c>
      <c r="L1091">
        <v>0.76956521739130435</v>
      </c>
      <c r="M1091" t="s">
        <v>60</v>
      </c>
      <c r="N1091" t="s">
        <v>2608</v>
      </c>
      <c r="O1091" t="s">
        <v>2609</v>
      </c>
      <c r="P1091">
        <v>1.3</v>
      </c>
    </row>
    <row r="1092" spans="1:16" x14ac:dyDescent="0.3">
      <c r="A1092" t="s">
        <v>28</v>
      </c>
      <c r="B1092" t="s">
        <v>26</v>
      </c>
      <c r="C1092" t="s">
        <v>27</v>
      </c>
      <c r="D1092" t="s">
        <v>54</v>
      </c>
      <c r="E1092" t="s">
        <v>56</v>
      </c>
      <c r="F1092" t="s">
        <v>7</v>
      </c>
      <c r="G1092" t="s">
        <v>110</v>
      </c>
      <c r="H1092" t="s">
        <v>59</v>
      </c>
      <c r="I1092">
        <v>52</v>
      </c>
      <c r="J1092">
        <v>0.80167014613778709</v>
      </c>
      <c r="K1092">
        <v>0.77108433734939763</v>
      </c>
      <c r="L1092">
        <v>0.83478260869565213</v>
      </c>
      <c r="M1092" t="s">
        <v>60</v>
      </c>
      <c r="N1092" t="s">
        <v>2610</v>
      </c>
      <c r="O1092" t="s">
        <v>2611</v>
      </c>
      <c r="P1092">
        <v>1.3</v>
      </c>
    </row>
    <row r="1093" spans="1:16" x14ac:dyDescent="0.3">
      <c r="A1093" t="s">
        <v>28</v>
      </c>
      <c r="B1093" t="s">
        <v>26</v>
      </c>
      <c r="C1093" t="s">
        <v>27</v>
      </c>
      <c r="D1093" t="s">
        <v>54</v>
      </c>
      <c r="E1093" t="s">
        <v>56</v>
      </c>
      <c r="F1093" t="s">
        <v>7</v>
      </c>
      <c r="G1093" t="s">
        <v>115</v>
      </c>
      <c r="H1093" t="s">
        <v>59</v>
      </c>
      <c r="I1093">
        <v>53</v>
      </c>
      <c r="J1093">
        <v>0.73730684326710816</v>
      </c>
      <c r="K1093">
        <v>0.7488789237668162</v>
      </c>
      <c r="L1093">
        <v>0.72608695652173916</v>
      </c>
      <c r="M1093" t="s">
        <v>60</v>
      </c>
      <c r="N1093" t="s">
        <v>2612</v>
      </c>
      <c r="O1093" t="s">
        <v>2613</v>
      </c>
      <c r="P1093">
        <v>1.3</v>
      </c>
    </row>
    <row r="1094" spans="1:16" x14ac:dyDescent="0.3">
      <c r="A1094" t="s">
        <v>28</v>
      </c>
      <c r="B1094" t="s">
        <v>26</v>
      </c>
      <c r="C1094" t="s">
        <v>27</v>
      </c>
      <c r="D1094" t="s">
        <v>54</v>
      </c>
      <c r="E1094" t="s">
        <v>56</v>
      </c>
      <c r="F1094" t="s">
        <v>7</v>
      </c>
      <c r="G1094" t="s">
        <v>120</v>
      </c>
      <c r="H1094" t="s">
        <v>59</v>
      </c>
      <c r="I1094">
        <v>54</v>
      </c>
      <c r="J1094">
        <v>0.74730021598272134</v>
      </c>
      <c r="K1094">
        <v>0.74248927038626611</v>
      </c>
      <c r="L1094">
        <v>0.75217391304347825</v>
      </c>
      <c r="M1094" t="s">
        <v>60</v>
      </c>
      <c r="N1094" t="s">
        <v>2614</v>
      </c>
      <c r="O1094" t="s">
        <v>2615</v>
      </c>
      <c r="P1094">
        <v>1.8</v>
      </c>
    </row>
    <row r="1095" spans="1:16" x14ac:dyDescent="0.3">
      <c r="A1095" t="s">
        <v>28</v>
      </c>
      <c r="B1095" t="s">
        <v>26</v>
      </c>
      <c r="C1095" t="s">
        <v>27</v>
      </c>
      <c r="D1095" t="s">
        <v>54</v>
      </c>
      <c r="E1095" t="s">
        <v>56</v>
      </c>
      <c r="F1095" t="s">
        <v>7</v>
      </c>
      <c r="G1095" t="s">
        <v>125</v>
      </c>
      <c r="H1095" t="s">
        <v>59</v>
      </c>
      <c r="I1095">
        <v>55</v>
      </c>
      <c r="J1095">
        <v>0.75</v>
      </c>
      <c r="K1095">
        <v>0.75663716814159288</v>
      </c>
      <c r="L1095">
        <v>0.74347826086956526</v>
      </c>
      <c r="M1095" t="s">
        <v>60</v>
      </c>
      <c r="N1095" t="s">
        <v>2616</v>
      </c>
      <c r="O1095" t="s">
        <v>2617</v>
      </c>
      <c r="P1095">
        <v>1.4</v>
      </c>
    </row>
    <row r="1096" spans="1:16" x14ac:dyDescent="0.3">
      <c r="A1096" t="s">
        <v>28</v>
      </c>
      <c r="B1096" t="s">
        <v>26</v>
      </c>
      <c r="C1096" t="s">
        <v>27</v>
      </c>
      <c r="D1096" t="s">
        <v>54</v>
      </c>
      <c r="E1096" t="s">
        <v>56</v>
      </c>
      <c r="F1096" t="s">
        <v>7</v>
      </c>
      <c r="G1096" t="s">
        <v>130</v>
      </c>
      <c r="H1096" t="s">
        <v>59</v>
      </c>
      <c r="I1096">
        <v>56</v>
      </c>
      <c r="J1096">
        <v>0.79157894736842105</v>
      </c>
      <c r="K1096">
        <v>0.76734693877551019</v>
      </c>
      <c r="L1096">
        <v>0.81739130434782614</v>
      </c>
      <c r="M1096" t="s">
        <v>60</v>
      </c>
      <c r="N1096" t="s">
        <v>2618</v>
      </c>
      <c r="O1096" t="s">
        <v>2619</v>
      </c>
      <c r="P1096">
        <v>1.7</v>
      </c>
    </row>
    <row r="1097" spans="1:16" x14ac:dyDescent="0.3">
      <c r="A1097" t="s">
        <v>28</v>
      </c>
      <c r="B1097" t="s">
        <v>26</v>
      </c>
      <c r="C1097" t="s">
        <v>27</v>
      </c>
      <c r="D1097" t="s">
        <v>54</v>
      </c>
      <c r="E1097" t="s">
        <v>56</v>
      </c>
      <c r="F1097" t="s">
        <v>7</v>
      </c>
      <c r="G1097" t="s">
        <v>135</v>
      </c>
      <c r="H1097" t="s">
        <v>59</v>
      </c>
      <c r="I1097">
        <v>57</v>
      </c>
      <c r="J1097">
        <v>0.76457883369330448</v>
      </c>
      <c r="K1097">
        <v>0.75965665236051505</v>
      </c>
      <c r="L1097">
        <v>0.76956521739130435</v>
      </c>
      <c r="M1097" t="s">
        <v>60</v>
      </c>
      <c r="N1097" t="s">
        <v>2620</v>
      </c>
      <c r="O1097" t="s">
        <v>2621</v>
      </c>
      <c r="P1097">
        <v>1.3</v>
      </c>
    </row>
    <row r="1098" spans="1:16" x14ac:dyDescent="0.3">
      <c r="A1098" t="s">
        <v>28</v>
      </c>
      <c r="B1098" t="s">
        <v>26</v>
      </c>
      <c r="C1098" t="s">
        <v>27</v>
      </c>
      <c r="D1098" t="s">
        <v>54</v>
      </c>
      <c r="E1098" t="s">
        <v>56</v>
      </c>
      <c r="F1098" t="s">
        <v>7</v>
      </c>
      <c r="G1098" t="s">
        <v>140</v>
      </c>
      <c r="H1098" t="s">
        <v>59</v>
      </c>
      <c r="I1098">
        <v>58</v>
      </c>
      <c r="J1098">
        <v>0.79253112033195028</v>
      </c>
      <c r="K1098">
        <v>0.75793650793650791</v>
      </c>
      <c r="L1098">
        <v>0.83043478260869563</v>
      </c>
      <c r="M1098" t="s">
        <v>60</v>
      </c>
      <c r="N1098" t="s">
        <v>2622</v>
      </c>
      <c r="O1098" t="s">
        <v>2623</v>
      </c>
      <c r="P1098">
        <v>1.3</v>
      </c>
    </row>
    <row r="1099" spans="1:16" x14ac:dyDescent="0.3">
      <c r="A1099" t="s">
        <v>28</v>
      </c>
      <c r="B1099" t="s">
        <v>26</v>
      </c>
      <c r="C1099" t="s">
        <v>27</v>
      </c>
      <c r="D1099" t="s">
        <v>54</v>
      </c>
      <c r="E1099" t="s">
        <v>56</v>
      </c>
      <c r="F1099" t="s">
        <v>7</v>
      </c>
      <c r="G1099" t="s">
        <v>145</v>
      </c>
      <c r="H1099" t="s">
        <v>59</v>
      </c>
      <c r="I1099">
        <v>59</v>
      </c>
      <c r="J1099">
        <v>0.79668049792531104</v>
      </c>
      <c r="K1099">
        <v>0.76190476190476186</v>
      </c>
      <c r="L1099">
        <v>0.83478260869565213</v>
      </c>
      <c r="M1099" t="s">
        <v>60</v>
      </c>
      <c r="N1099" t="s">
        <v>2624</v>
      </c>
      <c r="O1099" t="s">
        <v>2625</v>
      </c>
      <c r="P1099">
        <v>1.7</v>
      </c>
    </row>
    <row r="1100" spans="1:16" x14ac:dyDescent="0.3">
      <c r="A1100" t="s">
        <v>28</v>
      </c>
      <c r="B1100" t="s">
        <v>26</v>
      </c>
      <c r="C1100" t="s">
        <v>27</v>
      </c>
      <c r="D1100" t="s">
        <v>54</v>
      </c>
      <c r="E1100" t="s">
        <v>56</v>
      </c>
      <c r="F1100" t="s">
        <v>7</v>
      </c>
      <c r="G1100" t="s">
        <v>150</v>
      </c>
      <c r="H1100" t="s">
        <v>59</v>
      </c>
      <c r="I1100">
        <v>60</v>
      </c>
      <c r="J1100">
        <v>0.77052631578947361</v>
      </c>
      <c r="K1100">
        <v>0.74693877551020404</v>
      </c>
      <c r="L1100">
        <v>0.79565217391304344</v>
      </c>
      <c r="M1100" t="s">
        <v>60</v>
      </c>
      <c r="N1100" t="s">
        <v>2626</v>
      </c>
      <c r="O1100" t="s">
        <v>2627</v>
      </c>
      <c r="P1100">
        <v>1.3</v>
      </c>
    </row>
    <row r="1101" spans="1:16" x14ac:dyDescent="0.3">
      <c r="A1101" t="s">
        <v>28</v>
      </c>
      <c r="B1101" t="s">
        <v>26</v>
      </c>
      <c r="C1101" t="s">
        <v>27</v>
      </c>
      <c r="D1101" t="s">
        <v>54</v>
      </c>
      <c r="E1101" t="s">
        <v>56</v>
      </c>
      <c r="F1101" t="s">
        <v>7</v>
      </c>
      <c r="G1101" t="s">
        <v>155</v>
      </c>
      <c r="H1101" t="s">
        <v>59</v>
      </c>
      <c r="I1101">
        <v>61</v>
      </c>
      <c r="J1101">
        <v>0.76923076923076927</v>
      </c>
      <c r="K1101">
        <v>0.75630252100840334</v>
      </c>
      <c r="L1101">
        <v>0.78260869565217395</v>
      </c>
      <c r="M1101" t="s">
        <v>60</v>
      </c>
      <c r="N1101" t="s">
        <v>2628</v>
      </c>
      <c r="O1101" t="s">
        <v>2629</v>
      </c>
      <c r="P1101">
        <v>1.3</v>
      </c>
    </row>
    <row r="1102" spans="1:16" x14ac:dyDescent="0.3">
      <c r="A1102" t="s">
        <v>28</v>
      </c>
      <c r="B1102" t="s">
        <v>26</v>
      </c>
      <c r="C1102" t="s">
        <v>27</v>
      </c>
      <c r="D1102" t="s">
        <v>54</v>
      </c>
      <c r="E1102" t="s">
        <v>160</v>
      </c>
      <c r="F1102" t="s">
        <v>3</v>
      </c>
      <c r="G1102" t="s">
        <v>161</v>
      </c>
      <c r="H1102" t="s">
        <v>163</v>
      </c>
      <c r="I1102">
        <v>42</v>
      </c>
      <c r="J1102">
        <v>0.72839506172839508</v>
      </c>
      <c r="K1102">
        <v>0.76129032258064511</v>
      </c>
      <c r="L1102">
        <v>0.69822485207100593</v>
      </c>
      <c r="M1102" t="s">
        <v>60</v>
      </c>
      <c r="N1102" t="s">
        <v>2630</v>
      </c>
      <c r="O1102" t="s">
        <v>2631</v>
      </c>
      <c r="P1102">
        <v>1.6</v>
      </c>
    </row>
    <row r="1103" spans="1:16" x14ac:dyDescent="0.3">
      <c r="A1103" t="s">
        <v>28</v>
      </c>
      <c r="B1103" t="s">
        <v>26</v>
      </c>
      <c r="C1103" t="s">
        <v>27</v>
      </c>
      <c r="D1103" t="s">
        <v>54</v>
      </c>
      <c r="E1103" t="s">
        <v>160</v>
      </c>
      <c r="F1103" t="s">
        <v>3</v>
      </c>
      <c r="G1103" t="s">
        <v>167</v>
      </c>
      <c r="H1103" t="s">
        <v>163</v>
      </c>
      <c r="I1103">
        <v>43</v>
      </c>
      <c r="J1103">
        <v>0.80681818181818177</v>
      </c>
      <c r="K1103">
        <v>0.77595628415300544</v>
      </c>
      <c r="L1103">
        <v>0.84023668639053251</v>
      </c>
      <c r="M1103" t="s">
        <v>60</v>
      </c>
      <c r="N1103" t="s">
        <v>2632</v>
      </c>
      <c r="O1103" t="s">
        <v>2633</v>
      </c>
      <c r="P1103">
        <v>1.2</v>
      </c>
    </row>
    <row r="1104" spans="1:16" x14ac:dyDescent="0.3">
      <c r="A1104" t="s">
        <v>28</v>
      </c>
      <c r="B1104" t="s">
        <v>26</v>
      </c>
      <c r="C1104" t="s">
        <v>27</v>
      </c>
      <c r="D1104" t="s">
        <v>54</v>
      </c>
      <c r="E1104" t="s">
        <v>160</v>
      </c>
      <c r="F1104" t="s">
        <v>3</v>
      </c>
      <c r="G1104" t="s">
        <v>172</v>
      </c>
      <c r="H1104" t="s">
        <v>163</v>
      </c>
      <c r="I1104">
        <v>44</v>
      </c>
      <c r="J1104">
        <v>0.77714285714285702</v>
      </c>
      <c r="K1104">
        <v>0.75138121546961323</v>
      </c>
      <c r="L1104">
        <v>0.80473372781065089</v>
      </c>
      <c r="M1104" t="s">
        <v>60</v>
      </c>
      <c r="N1104" t="s">
        <v>2634</v>
      </c>
      <c r="O1104" t="s">
        <v>2635</v>
      </c>
      <c r="P1104">
        <v>1.2</v>
      </c>
    </row>
    <row r="1105" spans="1:16" x14ac:dyDescent="0.3">
      <c r="A1105" t="s">
        <v>28</v>
      </c>
      <c r="B1105" t="s">
        <v>26</v>
      </c>
      <c r="C1105" t="s">
        <v>27</v>
      </c>
      <c r="D1105" t="s">
        <v>54</v>
      </c>
      <c r="E1105" t="s">
        <v>160</v>
      </c>
      <c r="F1105" t="s">
        <v>3</v>
      </c>
      <c r="G1105" t="s">
        <v>177</v>
      </c>
      <c r="H1105" t="s">
        <v>163</v>
      </c>
      <c r="I1105">
        <v>45</v>
      </c>
      <c r="J1105">
        <v>0.7658402203856749</v>
      </c>
      <c r="K1105">
        <v>0.71649484536082475</v>
      </c>
      <c r="L1105">
        <v>0.8224852071005917</v>
      </c>
      <c r="M1105" t="s">
        <v>60</v>
      </c>
      <c r="N1105" t="s">
        <v>2636</v>
      </c>
      <c r="O1105" t="s">
        <v>2637</v>
      </c>
      <c r="P1105">
        <v>1.1000000000000001</v>
      </c>
    </row>
    <row r="1106" spans="1:16" x14ac:dyDescent="0.3">
      <c r="A1106" t="s">
        <v>28</v>
      </c>
      <c r="B1106" t="s">
        <v>26</v>
      </c>
      <c r="C1106" t="s">
        <v>27</v>
      </c>
      <c r="D1106" t="s">
        <v>54</v>
      </c>
      <c r="E1106" t="s">
        <v>160</v>
      </c>
      <c r="F1106" t="s">
        <v>3</v>
      </c>
      <c r="G1106" t="s">
        <v>182</v>
      </c>
      <c r="H1106" t="s">
        <v>163</v>
      </c>
      <c r="I1106">
        <v>46</v>
      </c>
      <c r="J1106">
        <v>0.8125</v>
      </c>
      <c r="K1106">
        <v>0.78142076502732238</v>
      </c>
      <c r="L1106">
        <v>0.84615384615384615</v>
      </c>
      <c r="M1106" t="s">
        <v>60</v>
      </c>
      <c r="N1106" t="s">
        <v>2638</v>
      </c>
      <c r="O1106" t="s">
        <v>2639</v>
      </c>
      <c r="P1106">
        <v>1.6</v>
      </c>
    </row>
    <row r="1107" spans="1:16" x14ac:dyDescent="0.3">
      <c r="A1107" t="s">
        <v>28</v>
      </c>
      <c r="B1107" t="s">
        <v>26</v>
      </c>
      <c r="C1107" t="s">
        <v>27</v>
      </c>
      <c r="D1107" t="s">
        <v>54</v>
      </c>
      <c r="E1107" t="s">
        <v>160</v>
      </c>
      <c r="F1107" t="s">
        <v>3</v>
      </c>
      <c r="G1107" t="s">
        <v>187</v>
      </c>
      <c r="H1107" t="s">
        <v>163</v>
      </c>
      <c r="I1107">
        <v>47</v>
      </c>
      <c r="J1107">
        <v>0.8262108262108262</v>
      </c>
      <c r="K1107">
        <v>0.79670329670329665</v>
      </c>
      <c r="L1107">
        <v>0.85798816568047342</v>
      </c>
      <c r="M1107" t="s">
        <v>60</v>
      </c>
      <c r="N1107" t="s">
        <v>2640</v>
      </c>
      <c r="O1107" t="s">
        <v>2641</v>
      </c>
      <c r="P1107">
        <v>1.1000000000000001</v>
      </c>
    </row>
    <row r="1108" spans="1:16" x14ac:dyDescent="0.3">
      <c r="A1108" t="s">
        <v>28</v>
      </c>
      <c r="B1108" t="s">
        <v>26</v>
      </c>
      <c r="C1108" t="s">
        <v>27</v>
      </c>
      <c r="D1108" t="s">
        <v>54</v>
      </c>
      <c r="E1108" t="s">
        <v>160</v>
      </c>
      <c r="F1108" t="s">
        <v>3</v>
      </c>
      <c r="G1108" t="s">
        <v>192</v>
      </c>
      <c r="H1108" t="s">
        <v>163</v>
      </c>
      <c r="I1108">
        <v>48</v>
      </c>
      <c r="J1108">
        <v>0.78309859154929573</v>
      </c>
      <c r="K1108">
        <v>0.74731182795698925</v>
      </c>
      <c r="L1108">
        <v>0.8224852071005917</v>
      </c>
      <c r="M1108" t="s">
        <v>60</v>
      </c>
      <c r="N1108" t="s">
        <v>2642</v>
      </c>
      <c r="O1108" t="s">
        <v>2643</v>
      </c>
      <c r="P1108">
        <v>1.1000000000000001</v>
      </c>
    </row>
    <row r="1109" spans="1:16" x14ac:dyDescent="0.3">
      <c r="A1109" t="s">
        <v>28</v>
      </c>
      <c r="B1109" t="s">
        <v>26</v>
      </c>
      <c r="C1109" t="s">
        <v>27</v>
      </c>
      <c r="D1109" t="s">
        <v>54</v>
      </c>
      <c r="E1109" t="s">
        <v>160</v>
      </c>
      <c r="F1109" t="s">
        <v>3</v>
      </c>
      <c r="G1109" t="s">
        <v>197</v>
      </c>
      <c r="H1109" t="s">
        <v>163</v>
      </c>
      <c r="I1109">
        <v>49</v>
      </c>
      <c r="J1109">
        <v>0.77142857142857146</v>
      </c>
      <c r="K1109">
        <v>0.7458563535911602</v>
      </c>
      <c r="L1109">
        <v>0.79881656804733725</v>
      </c>
      <c r="M1109" t="s">
        <v>60</v>
      </c>
      <c r="N1109" t="s">
        <v>2644</v>
      </c>
      <c r="O1109" t="s">
        <v>2645</v>
      </c>
      <c r="P1109">
        <v>1.6</v>
      </c>
    </row>
    <row r="1110" spans="1:16" x14ac:dyDescent="0.3">
      <c r="A1110" t="s">
        <v>28</v>
      </c>
      <c r="B1110" t="s">
        <v>26</v>
      </c>
      <c r="C1110" t="s">
        <v>27</v>
      </c>
      <c r="D1110" t="s">
        <v>54</v>
      </c>
      <c r="E1110" t="s">
        <v>160</v>
      </c>
      <c r="F1110" t="s">
        <v>3</v>
      </c>
      <c r="G1110" t="s">
        <v>202</v>
      </c>
      <c r="H1110" t="s">
        <v>163</v>
      </c>
      <c r="I1110">
        <v>50</v>
      </c>
      <c r="J1110">
        <v>0.8125</v>
      </c>
      <c r="K1110">
        <v>0.78142076502732238</v>
      </c>
      <c r="L1110">
        <v>0.84615384615384615</v>
      </c>
      <c r="M1110" t="s">
        <v>60</v>
      </c>
      <c r="N1110" t="s">
        <v>2646</v>
      </c>
      <c r="O1110" t="s">
        <v>2647</v>
      </c>
      <c r="P1110">
        <v>1.1000000000000001</v>
      </c>
    </row>
    <row r="1111" spans="1:16" x14ac:dyDescent="0.3">
      <c r="A1111" t="s">
        <v>28</v>
      </c>
      <c r="B1111" t="s">
        <v>26</v>
      </c>
      <c r="C1111" t="s">
        <v>27</v>
      </c>
      <c r="D1111" t="s">
        <v>54</v>
      </c>
      <c r="E1111" t="s">
        <v>160</v>
      </c>
      <c r="F1111" t="s">
        <v>3</v>
      </c>
      <c r="G1111" t="s">
        <v>207</v>
      </c>
      <c r="H1111" t="s">
        <v>163</v>
      </c>
      <c r="I1111">
        <v>51</v>
      </c>
      <c r="J1111">
        <v>0.82285714285714284</v>
      </c>
      <c r="K1111">
        <v>0.79558011049723754</v>
      </c>
      <c r="L1111">
        <v>0.85207100591715978</v>
      </c>
      <c r="M1111" t="s">
        <v>60</v>
      </c>
      <c r="N1111" t="s">
        <v>2648</v>
      </c>
      <c r="O1111" t="s">
        <v>2649</v>
      </c>
      <c r="P1111">
        <v>1.2</v>
      </c>
    </row>
    <row r="1112" spans="1:16" x14ac:dyDescent="0.3">
      <c r="A1112" t="s">
        <v>28</v>
      </c>
      <c r="B1112" t="s">
        <v>26</v>
      </c>
      <c r="C1112" t="s">
        <v>27</v>
      </c>
      <c r="D1112" t="s">
        <v>54</v>
      </c>
      <c r="E1112" t="s">
        <v>160</v>
      </c>
      <c r="F1112" t="s">
        <v>3</v>
      </c>
      <c r="G1112" t="s">
        <v>212</v>
      </c>
      <c r="H1112" t="s">
        <v>163</v>
      </c>
      <c r="I1112">
        <v>52</v>
      </c>
      <c r="J1112">
        <v>0.79545454545454541</v>
      </c>
      <c r="K1112">
        <v>0.76502732240437155</v>
      </c>
      <c r="L1112">
        <v>0.82840236686390534</v>
      </c>
      <c r="M1112" t="s">
        <v>60</v>
      </c>
      <c r="N1112" t="s">
        <v>2650</v>
      </c>
      <c r="O1112" t="s">
        <v>2651</v>
      </c>
      <c r="P1112">
        <v>1.2</v>
      </c>
    </row>
    <row r="1113" spans="1:16" x14ac:dyDescent="0.3">
      <c r="A1113" t="s">
        <v>28</v>
      </c>
      <c r="B1113" t="s">
        <v>26</v>
      </c>
      <c r="C1113" t="s">
        <v>27</v>
      </c>
      <c r="D1113" t="s">
        <v>54</v>
      </c>
      <c r="E1113" t="s">
        <v>160</v>
      </c>
      <c r="F1113" t="s">
        <v>3</v>
      </c>
      <c r="G1113" t="s">
        <v>217</v>
      </c>
      <c r="H1113" t="s">
        <v>163</v>
      </c>
      <c r="I1113">
        <v>53</v>
      </c>
      <c r="J1113">
        <v>0.81714285714285706</v>
      </c>
      <c r="K1113">
        <v>0.79005524861878451</v>
      </c>
      <c r="L1113">
        <v>0.84615384615384615</v>
      </c>
      <c r="M1113" t="s">
        <v>60</v>
      </c>
      <c r="N1113" t="s">
        <v>2652</v>
      </c>
      <c r="O1113" t="s">
        <v>2653</v>
      </c>
      <c r="P1113">
        <v>1.6</v>
      </c>
    </row>
    <row r="1114" spans="1:16" x14ac:dyDescent="0.3">
      <c r="A1114" t="s">
        <v>28</v>
      </c>
      <c r="B1114" t="s">
        <v>26</v>
      </c>
      <c r="C1114" t="s">
        <v>27</v>
      </c>
      <c r="D1114" t="s">
        <v>54</v>
      </c>
      <c r="E1114" t="s">
        <v>160</v>
      </c>
      <c r="F1114" t="s">
        <v>3</v>
      </c>
      <c r="G1114" t="s">
        <v>222</v>
      </c>
      <c r="H1114" t="s">
        <v>163</v>
      </c>
      <c r="I1114">
        <v>54</v>
      </c>
      <c r="J1114">
        <v>0.78977272727272729</v>
      </c>
      <c r="K1114">
        <v>0.7595628415300546</v>
      </c>
      <c r="L1114">
        <v>0.8224852071005917</v>
      </c>
      <c r="M1114" t="s">
        <v>60</v>
      </c>
      <c r="N1114" t="s">
        <v>2654</v>
      </c>
      <c r="O1114" t="s">
        <v>2655</v>
      </c>
      <c r="P1114">
        <v>1.1000000000000001</v>
      </c>
    </row>
    <row r="1115" spans="1:16" x14ac:dyDescent="0.3">
      <c r="A1115" t="s">
        <v>28</v>
      </c>
      <c r="B1115" t="s">
        <v>26</v>
      </c>
      <c r="C1115" t="s">
        <v>27</v>
      </c>
      <c r="D1115" t="s">
        <v>54</v>
      </c>
      <c r="E1115" t="s">
        <v>160</v>
      </c>
      <c r="F1115" t="s">
        <v>3</v>
      </c>
      <c r="G1115" t="s">
        <v>227</v>
      </c>
      <c r="H1115" t="s">
        <v>163</v>
      </c>
      <c r="I1115">
        <v>55</v>
      </c>
      <c r="J1115">
        <v>0.81126760563380274</v>
      </c>
      <c r="K1115">
        <v>0.77419354838709675</v>
      </c>
      <c r="L1115">
        <v>0.85207100591715978</v>
      </c>
      <c r="M1115" t="s">
        <v>60</v>
      </c>
      <c r="N1115" t="s">
        <v>2656</v>
      </c>
      <c r="O1115" t="s">
        <v>2657</v>
      </c>
      <c r="P1115">
        <v>1.2</v>
      </c>
    </row>
    <row r="1116" spans="1:16" x14ac:dyDescent="0.3">
      <c r="A1116" t="s">
        <v>28</v>
      </c>
      <c r="B1116" t="s">
        <v>26</v>
      </c>
      <c r="C1116" t="s">
        <v>27</v>
      </c>
      <c r="D1116" t="s">
        <v>54</v>
      </c>
      <c r="E1116" t="s">
        <v>160</v>
      </c>
      <c r="F1116" t="s">
        <v>3</v>
      </c>
      <c r="G1116" t="s">
        <v>232</v>
      </c>
      <c r="H1116" t="s">
        <v>163</v>
      </c>
      <c r="I1116">
        <v>56</v>
      </c>
      <c r="J1116">
        <v>0.79665738161559885</v>
      </c>
      <c r="K1116">
        <v>0.75263157894736843</v>
      </c>
      <c r="L1116">
        <v>0.84615384615384615</v>
      </c>
      <c r="M1116" t="s">
        <v>60</v>
      </c>
      <c r="N1116" t="s">
        <v>2658</v>
      </c>
      <c r="O1116" t="s">
        <v>2659</v>
      </c>
      <c r="P1116">
        <v>1.1000000000000001</v>
      </c>
    </row>
    <row r="1117" spans="1:16" x14ac:dyDescent="0.3">
      <c r="A1117" t="s">
        <v>28</v>
      </c>
      <c r="B1117" t="s">
        <v>26</v>
      </c>
      <c r="C1117" t="s">
        <v>27</v>
      </c>
      <c r="D1117" t="s">
        <v>54</v>
      </c>
      <c r="E1117" t="s">
        <v>160</v>
      </c>
      <c r="F1117" t="s">
        <v>3</v>
      </c>
      <c r="G1117" t="s">
        <v>237</v>
      </c>
      <c r="H1117" t="s">
        <v>163</v>
      </c>
      <c r="I1117">
        <v>57</v>
      </c>
      <c r="J1117">
        <v>0.79320113314447593</v>
      </c>
      <c r="K1117">
        <v>0.76086956521739135</v>
      </c>
      <c r="L1117">
        <v>0.82840236686390534</v>
      </c>
      <c r="M1117" t="s">
        <v>60</v>
      </c>
      <c r="N1117" t="s">
        <v>2660</v>
      </c>
      <c r="O1117" t="s">
        <v>2661</v>
      </c>
      <c r="P1117">
        <v>1.6</v>
      </c>
    </row>
    <row r="1118" spans="1:16" x14ac:dyDescent="0.3">
      <c r="A1118" t="s">
        <v>28</v>
      </c>
      <c r="B1118" t="s">
        <v>26</v>
      </c>
      <c r="C1118" t="s">
        <v>27</v>
      </c>
      <c r="D1118" t="s">
        <v>54</v>
      </c>
      <c r="E1118" t="s">
        <v>160</v>
      </c>
      <c r="F1118" t="s">
        <v>3</v>
      </c>
      <c r="G1118" t="s">
        <v>242</v>
      </c>
      <c r="H1118" t="s">
        <v>163</v>
      </c>
      <c r="I1118">
        <v>58</v>
      </c>
      <c r="J1118">
        <v>0.79885057471264365</v>
      </c>
      <c r="K1118">
        <v>0.77653631284916202</v>
      </c>
      <c r="L1118">
        <v>0.8224852071005917</v>
      </c>
      <c r="M1118" t="s">
        <v>60</v>
      </c>
      <c r="N1118" t="s">
        <v>2662</v>
      </c>
      <c r="O1118" t="s">
        <v>2663</v>
      </c>
      <c r="P1118">
        <v>1.2</v>
      </c>
    </row>
    <row r="1119" spans="1:16" x14ac:dyDescent="0.3">
      <c r="A1119" t="s">
        <v>28</v>
      </c>
      <c r="B1119" t="s">
        <v>26</v>
      </c>
      <c r="C1119" t="s">
        <v>27</v>
      </c>
      <c r="D1119" t="s">
        <v>54</v>
      </c>
      <c r="E1119" t="s">
        <v>160</v>
      </c>
      <c r="F1119" t="s">
        <v>3</v>
      </c>
      <c r="G1119" t="s">
        <v>247</v>
      </c>
      <c r="H1119" t="s">
        <v>163</v>
      </c>
      <c r="I1119">
        <v>59</v>
      </c>
      <c r="J1119">
        <v>0.72121212121212119</v>
      </c>
      <c r="K1119">
        <v>0.73913043478260865</v>
      </c>
      <c r="L1119">
        <v>0.70414201183431957</v>
      </c>
      <c r="M1119" t="s">
        <v>60</v>
      </c>
      <c r="N1119" t="s">
        <v>2664</v>
      </c>
      <c r="O1119" t="s">
        <v>2665</v>
      </c>
      <c r="P1119">
        <v>1.1000000000000001</v>
      </c>
    </row>
    <row r="1120" spans="1:16" x14ac:dyDescent="0.3">
      <c r="A1120" t="s">
        <v>28</v>
      </c>
      <c r="B1120" t="s">
        <v>26</v>
      </c>
      <c r="C1120" t="s">
        <v>27</v>
      </c>
      <c r="D1120" t="s">
        <v>54</v>
      </c>
      <c r="E1120" t="s">
        <v>160</v>
      </c>
      <c r="F1120" t="s">
        <v>3</v>
      </c>
      <c r="G1120" t="s">
        <v>252</v>
      </c>
      <c r="H1120" t="s">
        <v>163</v>
      </c>
      <c r="I1120">
        <v>60</v>
      </c>
      <c r="J1120">
        <v>0.77363896848137548</v>
      </c>
      <c r="K1120">
        <v>0.75</v>
      </c>
      <c r="L1120">
        <v>0.79881656804733725</v>
      </c>
      <c r="M1120" t="s">
        <v>60</v>
      </c>
      <c r="N1120" t="s">
        <v>2666</v>
      </c>
      <c r="O1120" t="s">
        <v>2667</v>
      </c>
      <c r="P1120">
        <v>1.6</v>
      </c>
    </row>
    <row r="1121" spans="1:16" x14ac:dyDescent="0.3">
      <c r="A1121" t="s">
        <v>28</v>
      </c>
      <c r="B1121" t="s">
        <v>26</v>
      </c>
      <c r="C1121" t="s">
        <v>27</v>
      </c>
      <c r="D1121" t="s">
        <v>54</v>
      </c>
      <c r="E1121" t="s">
        <v>160</v>
      </c>
      <c r="F1121" t="s">
        <v>3</v>
      </c>
      <c r="G1121" t="s">
        <v>257</v>
      </c>
      <c r="H1121" t="s">
        <v>163</v>
      </c>
      <c r="I1121">
        <v>61</v>
      </c>
      <c r="J1121">
        <v>0.79551820728291323</v>
      </c>
      <c r="K1121">
        <v>0.75531914893617025</v>
      </c>
      <c r="L1121">
        <v>0.84023668639053251</v>
      </c>
      <c r="M1121" t="s">
        <v>60</v>
      </c>
      <c r="N1121" t="s">
        <v>2668</v>
      </c>
      <c r="O1121" t="s">
        <v>2669</v>
      </c>
      <c r="P1121">
        <v>1.2</v>
      </c>
    </row>
    <row r="1122" spans="1:16" x14ac:dyDescent="0.3">
      <c r="A1122" t="s">
        <v>28</v>
      </c>
      <c r="B1122" t="s">
        <v>26</v>
      </c>
      <c r="C1122" t="s">
        <v>27</v>
      </c>
      <c r="D1122" t="s">
        <v>54</v>
      </c>
      <c r="E1122" t="s">
        <v>262</v>
      </c>
      <c r="F1122" t="s">
        <v>5</v>
      </c>
      <c r="G1122" t="s">
        <v>263</v>
      </c>
      <c r="H1122" t="s">
        <v>265</v>
      </c>
      <c r="I1122">
        <v>42</v>
      </c>
      <c r="J1122">
        <v>0.80089485458612975</v>
      </c>
      <c r="K1122">
        <v>0.79555555555555557</v>
      </c>
      <c r="L1122">
        <v>0.80630630630630629</v>
      </c>
      <c r="M1122" t="s">
        <v>60</v>
      </c>
      <c r="N1122" t="s">
        <v>2670</v>
      </c>
      <c r="O1122" t="s">
        <v>2671</v>
      </c>
      <c r="P1122">
        <v>1.3</v>
      </c>
    </row>
    <row r="1123" spans="1:16" x14ac:dyDescent="0.3">
      <c r="A1123" t="s">
        <v>28</v>
      </c>
      <c r="B1123" t="s">
        <v>26</v>
      </c>
      <c r="C1123" t="s">
        <v>27</v>
      </c>
      <c r="D1123" t="s">
        <v>54</v>
      </c>
      <c r="E1123" t="s">
        <v>262</v>
      </c>
      <c r="F1123" t="s">
        <v>5</v>
      </c>
      <c r="G1123" t="s">
        <v>269</v>
      </c>
      <c r="H1123" t="s">
        <v>265</v>
      </c>
      <c r="I1123">
        <v>43</v>
      </c>
      <c r="J1123">
        <v>0.76923076923076927</v>
      </c>
      <c r="K1123">
        <v>0.77272727272727271</v>
      </c>
      <c r="L1123">
        <v>0.76576576576576572</v>
      </c>
      <c r="M1123" t="s">
        <v>60</v>
      </c>
      <c r="N1123" t="s">
        <v>2672</v>
      </c>
      <c r="O1123" t="s">
        <v>2673</v>
      </c>
      <c r="P1123">
        <v>1.8</v>
      </c>
    </row>
    <row r="1124" spans="1:16" x14ac:dyDescent="0.3">
      <c r="A1124" t="s">
        <v>28</v>
      </c>
      <c r="B1124" t="s">
        <v>26</v>
      </c>
      <c r="C1124" t="s">
        <v>27</v>
      </c>
      <c r="D1124" t="s">
        <v>54</v>
      </c>
      <c r="E1124" t="s">
        <v>262</v>
      </c>
      <c r="F1124" t="s">
        <v>5</v>
      </c>
      <c r="G1124" t="s">
        <v>274</v>
      </c>
      <c r="H1124" t="s">
        <v>265</v>
      </c>
      <c r="I1124">
        <v>44</v>
      </c>
      <c r="J1124">
        <v>0.75663716814159288</v>
      </c>
      <c r="K1124">
        <v>0.74347826086956526</v>
      </c>
      <c r="L1124">
        <v>0.77027027027027029</v>
      </c>
      <c r="M1124" t="s">
        <v>60</v>
      </c>
      <c r="N1124" t="s">
        <v>2674</v>
      </c>
      <c r="O1124" t="s">
        <v>2675</v>
      </c>
      <c r="P1124">
        <v>1.3</v>
      </c>
    </row>
    <row r="1125" spans="1:16" x14ac:dyDescent="0.3">
      <c r="A1125" t="s">
        <v>28</v>
      </c>
      <c r="B1125" t="s">
        <v>26</v>
      </c>
      <c r="C1125" t="s">
        <v>27</v>
      </c>
      <c r="D1125" t="s">
        <v>54</v>
      </c>
      <c r="E1125" t="s">
        <v>262</v>
      </c>
      <c r="F1125" t="s">
        <v>5</v>
      </c>
      <c r="G1125" t="s">
        <v>279</v>
      </c>
      <c r="H1125" t="s">
        <v>265</v>
      </c>
      <c r="I1125">
        <v>45</v>
      </c>
      <c r="J1125">
        <v>0.81057268722466969</v>
      </c>
      <c r="K1125">
        <v>0.7931034482758621</v>
      </c>
      <c r="L1125">
        <v>0.8288288288288288</v>
      </c>
      <c r="M1125" t="s">
        <v>60</v>
      </c>
      <c r="N1125" t="s">
        <v>2676</v>
      </c>
      <c r="O1125" t="s">
        <v>2677</v>
      </c>
      <c r="P1125">
        <v>1.3</v>
      </c>
    </row>
    <row r="1126" spans="1:16" x14ac:dyDescent="0.3">
      <c r="A1126" t="s">
        <v>28</v>
      </c>
      <c r="B1126" t="s">
        <v>26</v>
      </c>
      <c r="C1126" t="s">
        <v>27</v>
      </c>
      <c r="D1126" t="s">
        <v>54</v>
      </c>
      <c r="E1126" t="s">
        <v>262</v>
      </c>
      <c r="F1126" t="s">
        <v>5</v>
      </c>
      <c r="G1126" t="s">
        <v>284</v>
      </c>
      <c r="H1126" t="s">
        <v>265</v>
      </c>
      <c r="I1126">
        <v>46</v>
      </c>
      <c r="J1126">
        <v>0.80345572354211658</v>
      </c>
      <c r="K1126">
        <v>0.77178423236514526</v>
      </c>
      <c r="L1126">
        <v>0.83783783783783783</v>
      </c>
      <c r="M1126" t="s">
        <v>60</v>
      </c>
      <c r="N1126" t="s">
        <v>2678</v>
      </c>
      <c r="O1126" t="s">
        <v>2679</v>
      </c>
      <c r="P1126">
        <v>1.7</v>
      </c>
    </row>
    <row r="1127" spans="1:16" x14ac:dyDescent="0.3">
      <c r="A1127" t="s">
        <v>28</v>
      </c>
      <c r="B1127" t="s">
        <v>26</v>
      </c>
      <c r="C1127" t="s">
        <v>27</v>
      </c>
      <c r="D1127" t="s">
        <v>54</v>
      </c>
      <c r="E1127" t="s">
        <v>262</v>
      </c>
      <c r="F1127" t="s">
        <v>5</v>
      </c>
      <c r="G1127" t="s">
        <v>289</v>
      </c>
      <c r="H1127" t="s">
        <v>265</v>
      </c>
      <c r="I1127">
        <v>47</v>
      </c>
      <c r="J1127">
        <v>0.81818181818181801</v>
      </c>
      <c r="K1127">
        <v>0.78749999999999998</v>
      </c>
      <c r="L1127">
        <v>0.85135135135135132</v>
      </c>
      <c r="M1127" t="s">
        <v>60</v>
      </c>
      <c r="N1127" t="s">
        <v>2680</v>
      </c>
      <c r="O1127" t="s">
        <v>2681</v>
      </c>
      <c r="P1127">
        <v>1.3</v>
      </c>
    </row>
    <row r="1128" spans="1:16" x14ac:dyDescent="0.3">
      <c r="A1128" t="s">
        <v>28</v>
      </c>
      <c r="B1128" t="s">
        <v>26</v>
      </c>
      <c r="C1128" t="s">
        <v>27</v>
      </c>
      <c r="D1128" t="s">
        <v>54</v>
      </c>
      <c r="E1128" t="s">
        <v>262</v>
      </c>
      <c r="F1128" t="s">
        <v>5</v>
      </c>
      <c r="G1128" t="s">
        <v>294</v>
      </c>
      <c r="H1128" t="s">
        <v>265</v>
      </c>
      <c r="I1128">
        <v>48</v>
      </c>
      <c r="J1128">
        <v>0.74730021598272145</v>
      </c>
      <c r="K1128">
        <v>0.71784232365145229</v>
      </c>
      <c r="L1128">
        <v>0.77927927927927931</v>
      </c>
      <c r="M1128" t="s">
        <v>60</v>
      </c>
      <c r="N1128" t="s">
        <v>2682</v>
      </c>
      <c r="O1128" t="s">
        <v>2683</v>
      </c>
      <c r="P1128">
        <v>1.3</v>
      </c>
    </row>
    <row r="1129" spans="1:16" x14ac:dyDescent="0.3">
      <c r="A1129" t="s">
        <v>28</v>
      </c>
      <c r="B1129" t="s">
        <v>26</v>
      </c>
      <c r="C1129" t="s">
        <v>27</v>
      </c>
      <c r="D1129" t="s">
        <v>54</v>
      </c>
      <c r="E1129" t="s">
        <v>262</v>
      </c>
      <c r="F1129" t="s">
        <v>5</v>
      </c>
      <c r="G1129" t="s">
        <v>299</v>
      </c>
      <c r="H1129" t="s">
        <v>265</v>
      </c>
      <c r="I1129">
        <v>49</v>
      </c>
      <c r="J1129">
        <v>0.82819383259911894</v>
      </c>
      <c r="K1129">
        <v>0.81034482758620685</v>
      </c>
      <c r="L1129">
        <v>0.84684684684684686</v>
      </c>
      <c r="M1129" t="s">
        <v>60</v>
      </c>
      <c r="N1129" t="s">
        <v>2684</v>
      </c>
      <c r="O1129" t="s">
        <v>2685</v>
      </c>
      <c r="P1129">
        <v>1.8</v>
      </c>
    </row>
    <row r="1130" spans="1:16" x14ac:dyDescent="0.3">
      <c r="A1130" t="s">
        <v>28</v>
      </c>
      <c r="B1130" t="s">
        <v>26</v>
      </c>
      <c r="C1130" t="s">
        <v>27</v>
      </c>
      <c r="D1130" t="s">
        <v>54</v>
      </c>
      <c r="E1130" t="s">
        <v>262</v>
      </c>
      <c r="F1130" t="s">
        <v>5</v>
      </c>
      <c r="G1130" t="s">
        <v>304</v>
      </c>
      <c r="H1130" t="s">
        <v>265</v>
      </c>
      <c r="I1130">
        <v>50</v>
      </c>
      <c r="J1130">
        <v>0.74770642201834869</v>
      </c>
      <c r="K1130">
        <v>0.76168224299065423</v>
      </c>
      <c r="L1130">
        <v>0.73423423423423428</v>
      </c>
      <c r="M1130" t="s">
        <v>60</v>
      </c>
      <c r="N1130" t="s">
        <v>2686</v>
      </c>
      <c r="O1130" t="s">
        <v>2687</v>
      </c>
      <c r="P1130">
        <v>1.3</v>
      </c>
    </row>
    <row r="1131" spans="1:16" x14ac:dyDescent="0.3">
      <c r="A1131" t="s">
        <v>28</v>
      </c>
      <c r="B1131" t="s">
        <v>26</v>
      </c>
      <c r="C1131" t="s">
        <v>27</v>
      </c>
      <c r="D1131" t="s">
        <v>54</v>
      </c>
      <c r="E1131" t="s">
        <v>262</v>
      </c>
      <c r="F1131" t="s">
        <v>5</v>
      </c>
      <c r="G1131" t="s">
        <v>309</v>
      </c>
      <c r="H1131" t="s">
        <v>265</v>
      </c>
      <c r="I1131">
        <v>51</v>
      </c>
      <c r="J1131">
        <v>0.80174291938997833</v>
      </c>
      <c r="K1131">
        <v>0.77637130801687759</v>
      </c>
      <c r="L1131">
        <v>0.8288288288288288</v>
      </c>
      <c r="M1131" t="s">
        <v>60</v>
      </c>
      <c r="N1131" t="s">
        <v>2688</v>
      </c>
      <c r="O1131" t="s">
        <v>2689</v>
      </c>
      <c r="P1131">
        <v>1.4</v>
      </c>
    </row>
    <row r="1132" spans="1:16" x14ac:dyDescent="0.3">
      <c r="A1132" t="s">
        <v>28</v>
      </c>
      <c r="B1132" t="s">
        <v>26</v>
      </c>
      <c r="C1132" t="s">
        <v>27</v>
      </c>
      <c r="D1132" t="s">
        <v>54</v>
      </c>
      <c r="E1132" t="s">
        <v>262</v>
      </c>
      <c r="F1132" t="s">
        <v>5</v>
      </c>
      <c r="G1132" t="s">
        <v>314</v>
      </c>
      <c r="H1132" t="s">
        <v>265</v>
      </c>
      <c r="I1132">
        <v>52</v>
      </c>
      <c r="J1132">
        <v>0.74654377880184331</v>
      </c>
      <c r="K1132">
        <v>0.76415094339622647</v>
      </c>
      <c r="L1132">
        <v>0.72972972972972971</v>
      </c>
      <c r="M1132" t="s">
        <v>60</v>
      </c>
      <c r="N1132" t="s">
        <v>2690</v>
      </c>
      <c r="O1132" t="s">
        <v>2691</v>
      </c>
      <c r="P1132">
        <v>1.7</v>
      </c>
    </row>
    <row r="1133" spans="1:16" x14ac:dyDescent="0.3">
      <c r="A1133" t="s">
        <v>28</v>
      </c>
      <c r="B1133" t="s">
        <v>26</v>
      </c>
      <c r="C1133" t="s">
        <v>27</v>
      </c>
      <c r="D1133" t="s">
        <v>54</v>
      </c>
      <c r="E1133" t="s">
        <v>262</v>
      </c>
      <c r="F1133" t="s">
        <v>5</v>
      </c>
      <c r="G1133" t="s">
        <v>319</v>
      </c>
      <c r="H1133" t="s">
        <v>265</v>
      </c>
      <c r="I1133">
        <v>53</v>
      </c>
      <c r="J1133">
        <v>0.82819383259911894</v>
      </c>
      <c r="K1133">
        <v>0.81034482758620685</v>
      </c>
      <c r="L1133">
        <v>0.84684684684684686</v>
      </c>
      <c r="M1133" t="s">
        <v>60</v>
      </c>
      <c r="N1133" t="s">
        <v>2692</v>
      </c>
      <c r="O1133" t="s">
        <v>2693</v>
      </c>
      <c r="P1133">
        <v>1.4</v>
      </c>
    </row>
    <row r="1134" spans="1:16" x14ac:dyDescent="0.3">
      <c r="A1134" t="s">
        <v>28</v>
      </c>
      <c r="B1134" t="s">
        <v>26</v>
      </c>
      <c r="C1134" t="s">
        <v>27</v>
      </c>
      <c r="D1134" t="s">
        <v>54</v>
      </c>
      <c r="E1134" t="s">
        <v>262</v>
      </c>
      <c r="F1134" t="s">
        <v>5</v>
      </c>
      <c r="G1134" t="s">
        <v>324</v>
      </c>
      <c r="H1134" t="s">
        <v>265</v>
      </c>
      <c r="I1134">
        <v>54</v>
      </c>
      <c r="J1134">
        <v>0.81938325991189431</v>
      </c>
      <c r="K1134">
        <v>0.80172413793103448</v>
      </c>
      <c r="L1134">
        <v>0.83783783783783783</v>
      </c>
      <c r="M1134" t="s">
        <v>60</v>
      </c>
      <c r="N1134" t="s">
        <v>2694</v>
      </c>
      <c r="O1134" t="s">
        <v>2695</v>
      </c>
      <c r="P1134">
        <v>1.3</v>
      </c>
    </row>
    <row r="1135" spans="1:16" x14ac:dyDescent="0.3">
      <c r="A1135" t="s">
        <v>28</v>
      </c>
      <c r="B1135" t="s">
        <v>26</v>
      </c>
      <c r="C1135" t="s">
        <v>27</v>
      </c>
      <c r="D1135" t="s">
        <v>54</v>
      </c>
      <c r="E1135" t="s">
        <v>262</v>
      </c>
      <c r="F1135" t="s">
        <v>5</v>
      </c>
      <c r="G1135" t="s">
        <v>329</v>
      </c>
      <c r="H1135" t="s">
        <v>265</v>
      </c>
      <c r="I1135">
        <v>55</v>
      </c>
      <c r="J1135">
        <v>0.76456876456876455</v>
      </c>
      <c r="K1135">
        <v>0.79227053140096615</v>
      </c>
      <c r="L1135">
        <v>0.73873873873873874</v>
      </c>
      <c r="M1135" t="s">
        <v>60</v>
      </c>
      <c r="N1135" t="s">
        <v>2696</v>
      </c>
      <c r="O1135" t="s">
        <v>2697</v>
      </c>
      <c r="P1135">
        <v>1.8</v>
      </c>
    </row>
    <row r="1136" spans="1:16" x14ac:dyDescent="0.3">
      <c r="A1136" t="s">
        <v>28</v>
      </c>
      <c r="B1136" t="s">
        <v>26</v>
      </c>
      <c r="C1136" t="s">
        <v>27</v>
      </c>
      <c r="D1136" t="s">
        <v>54</v>
      </c>
      <c r="E1136" t="s">
        <v>262</v>
      </c>
      <c r="F1136" t="s">
        <v>5</v>
      </c>
      <c r="G1136" t="s">
        <v>334</v>
      </c>
      <c r="H1136" t="s">
        <v>265</v>
      </c>
      <c r="I1136">
        <v>56</v>
      </c>
      <c r="J1136">
        <v>0.78587196467991161</v>
      </c>
      <c r="K1136">
        <v>0.77056277056277056</v>
      </c>
      <c r="L1136">
        <v>0.80180180180180183</v>
      </c>
      <c r="M1136" t="s">
        <v>60</v>
      </c>
      <c r="N1136" t="s">
        <v>2698</v>
      </c>
      <c r="O1136" t="s">
        <v>2699</v>
      </c>
      <c r="P1136">
        <v>1.4</v>
      </c>
    </row>
    <row r="1137" spans="1:16" x14ac:dyDescent="0.3">
      <c r="A1137" t="s">
        <v>28</v>
      </c>
      <c r="B1137" t="s">
        <v>26</v>
      </c>
      <c r="C1137" t="s">
        <v>27</v>
      </c>
      <c r="D1137" t="s">
        <v>54</v>
      </c>
      <c r="E1137" t="s">
        <v>262</v>
      </c>
      <c r="F1137" t="s">
        <v>5</v>
      </c>
      <c r="G1137" t="s">
        <v>339</v>
      </c>
      <c r="H1137" t="s">
        <v>265</v>
      </c>
      <c r="I1137">
        <v>57</v>
      </c>
      <c r="J1137">
        <v>0.84140969162995594</v>
      </c>
      <c r="K1137">
        <v>0.82327586206896552</v>
      </c>
      <c r="L1137">
        <v>0.86036036036036034</v>
      </c>
      <c r="M1137" t="s">
        <v>60</v>
      </c>
      <c r="N1137" t="s">
        <v>2700</v>
      </c>
      <c r="O1137" t="s">
        <v>2701</v>
      </c>
      <c r="P1137">
        <v>1.3</v>
      </c>
    </row>
    <row r="1138" spans="1:16" x14ac:dyDescent="0.3">
      <c r="A1138" t="s">
        <v>28</v>
      </c>
      <c r="B1138" t="s">
        <v>26</v>
      </c>
      <c r="C1138" t="s">
        <v>27</v>
      </c>
      <c r="D1138" t="s">
        <v>54</v>
      </c>
      <c r="E1138" t="s">
        <v>262</v>
      </c>
      <c r="F1138" t="s">
        <v>5</v>
      </c>
      <c r="G1138" t="s">
        <v>344</v>
      </c>
      <c r="H1138" t="s">
        <v>265</v>
      </c>
      <c r="I1138">
        <v>58</v>
      </c>
      <c r="J1138">
        <v>0.8325991189427312</v>
      </c>
      <c r="K1138">
        <v>0.81465517241379315</v>
      </c>
      <c r="L1138">
        <v>0.85135135135135132</v>
      </c>
      <c r="M1138" t="s">
        <v>60</v>
      </c>
      <c r="N1138" t="s">
        <v>2702</v>
      </c>
      <c r="O1138" t="s">
        <v>2703</v>
      </c>
      <c r="P1138">
        <v>1.3</v>
      </c>
    </row>
    <row r="1139" spans="1:16" x14ac:dyDescent="0.3">
      <c r="A1139" t="s">
        <v>28</v>
      </c>
      <c r="B1139" t="s">
        <v>26</v>
      </c>
      <c r="C1139" t="s">
        <v>27</v>
      </c>
      <c r="D1139" t="s">
        <v>54</v>
      </c>
      <c r="E1139" t="s">
        <v>262</v>
      </c>
      <c r="F1139" t="s">
        <v>5</v>
      </c>
      <c r="G1139" t="s">
        <v>349</v>
      </c>
      <c r="H1139" t="s">
        <v>265</v>
      </c>
      <c r="I1139">
        <v>59</v>
      </c>
      <c r="J1139">
        <v>0.79302832244008714</v>
      </c>
      <c r="K1139">
        <v>0.76793248945147674</v>
      </c>
      <c r="L1139">
        <v>0.81981981981981977</v>
      </c>
      <c r="M1139" t="s">
        <v>60</v>
      </c>
      <c r="N1139" t="s">
        <v>2704</v>
      </c>
      <c r="O1139" t="s">
        <v>2705</v>
      </c>
      <c r="P1139">
        <v>1.8</v>
      </c>
    </row>
    <row r="1140" spans="1:16" x14ac:dyDescent="0.3">
      <c r="A1140" t="s">
        <v>28</v>
      </c>
      <c r="B1140" t="s">
        <v>26</v>
      </c>
      <c r="C1140" t="s">
        <v>27</v>
      </c>
      <c r="D1140" t="s">
        <v>54</v>
      </c>
      <c r="E1140" t="s">
        <v>262</v>
      </c>
      <c r="F1140" t="s">
        <v>5</v>
      </c>
      <c r="G1140" t="s">
        <v>354</v>
      </c>
      <c r="H1140" t="s">
        <v>265</v>
      </c>
      <c r="I1140">
        <v>60</v>
      </c>
      <c r="J1140">
        <v>0.8086021505376344</v>
      </c>
      <c r="K1140">
        <v>0.77366255144032925</v>
      </c>
      <c r="L1140">
        <v>0.84684684684684686</v>
      </c>
      <c r="M1140" t="s">
        <v>60</v>
      </c>
      <c r="N1140" t="s">
        <v>2706</v>
      </c>
      <c r="O1140" t="s">
        <v>2707</v>
      </c>
      <c r="P1140">
        <v>1.4</v>
      </c>
    </row>
    <row r="1141" spans="1:16" x14ac:dyDescent="0.3">
      <c r="A1141" t="s">
        <v>28</v>
      </c>
      <c r="B1141" t="s">
        <v>26</v>
      </c>
      <c r="C1141" t="s">
        <v>27</v>
      </c>
      <c r="D1141" t="s">
        <v>54</v>
      </c>
      <c r="E1141" t="s">
        <v>262</v>
      </c>
      <c r="F1141" t="s">
        <v>5</v>
      </c>
      <c r="G1141" t="s">
        <v>359</v>
      </c>
      <c r="H1141" t="s">
        <v>265</v>
      </c>
      <c r="I1141">
        <v>61</v>
      </c>
      <c r="J1141">
        <v>0.80257510729613735</v>
      </c>
      <c r="K1141">
        <v>0.76639344262295084</v>
      </c>
      <c r="L1141">
        <v>0.84234234234234229</v>
      </c>
      <c r="M1141" t="s">
        <v>60</v>
      </c>
      <c r="N1141" t="s">
        <v>2708</v>
      </c>
      <c r="O1141" t="s">
        <v>2709</v>
      </c>
      <c r="P1141">
        <v>1.8</v>
      </c>
    </row>
    <row r="1142" spans="1:16" x14ac:dyDescent="0.3">
      <c r="A1142" t="s">
        <v>28</v>
      </c>
      <c r="B1142" t="s">
        <v>26</v>
      </c>
      <c r="C1142" t="s">
        <v>27</v>
      </c>
      <c r="D1142" t="s">
        <v>363</v>
      </c>
      <c r="E1142" t="s">
        <v>365</v>
      </c>
      <c r="F1142" t="s">
        <v>13</v>
      </c>
      <c r="G1142" t="s">
        <v>366</v>
      </c>
      <c r="H1142" t="s">
        <v>368</v>
      </c>
      <c r="I1142">
        <v>42</v>
      </c>
      <c r="J1142">
        <v>0.86128364389233958</v>
      </c>
      <c r="K1142">
        <v>0.82213438735177868</v>
      </c>
      <c r="L1142">
        <v>0.90434782608695652</v>
      </c>
      <c r="M1142" t="s">
        <v>60</v>
      </c>
      <c r="N1142" t="s">
        <v>2710</v>
      </c>
      <c r="O1142" t="s">
        <v>2711</v>
      </c>
      <c r="P1142">
        <v>1.4</v>
      </c>
    </row>
    <row r="1143" spans="1:16" x14ac:dyDescent="0.3">
      <c r="A1143" t="s">
        <v>28</v>
      </c>
      <c r="B1143" t="s">
        <v>26</v>
      </c>
      <c r="C1143" t="s">
        <v>27</v>
      </c>
      <c r="D1143" t="s">
        <v>363</v>
      </c>
      <c r="E1143" t="s">
        <v>365</v>
      </c>
      <c r="F1143" t="s">
        <v>13</v>
      </c>
      <c r="G1143" t="s">
        <v>372</v>
      </c>
      <c r="H1143" t="s">
        <v>368</v>
      </c>
      <c r="I1143">
        <v>43</v>
      </c>
      <c r="J1143">
        <v>0.86721991701244816</v>
      </c>
      <c r="K1143">
        <v>0.82936507936507942</v>
      </c>
      <c r="L1143">
        <v>0.90869565217391302</v>
      </c>
      <c r="M1143" t="s">
        <v>60</v>
      </c>
      <c r="N1143" t="s">
        <v>2712</v>
      </c>
      <c r="O1143" t="s">
        <v>2713</v>
      </c>
      <c r="P1143">
        <v>1.3</v>
      </c>
    </row>
    <row r="1144" spans="1:16" x14ac:dyDescent="0.3">
      <c r="A1144" t="s">
        <v>28</v>
      </c>
      <c r="B1144" t="s">
        <v>26</v>
      </c>
      <c r="C1144" t="s">
        <v>27</v>
      </c>
      <c r="D1144" t="s">
        <v>363</v>
      </c>
      <c r="E1144" t="s">
        <v>365</v>
      </c>
      <c r="F1144" t="s">
        <v>13</v>
      </c>
      <c r="G1144" t="s">
        <v>377</v>
      </c>
      <c r="H1144" t="s">
        <v>368</v>
      </c>
      <c r="I1144">
        <v>44</v>
      </c>
      <c r="J1144">
        <v>0.86070686070686075</v>
      </c>
      <c r="K1144">
        <v>0.82470119521912355</v>
      </c>
      <c r="L1144">
        <v>0.9</v>
      </c>
      <c r="M1144" t="s">
        <v>60</v>
      </c>
      <c r="N1144" t="s">
        <v>2714</v>
      </c>
      <c r="O1144" t="s">
        <v>2715</v>
      </c>
      <c r="P1144">
        <v>1.8</v>
      </c>
    </row>
    <row r="1145" spans="1:16" x14ac:dyDescent="0.3">
      <c r="A1145" t="s">
        <v>28</v>
      </c>
      <c r="B1145" t="s">
        <v>26</v>
      </c>
      <c r="C1145" t="s">
        <v>27</v>
      </c>
      <c r="D1145" t="s">
        <v>363</v>
      </c>
      <c r="E1145" t="s">
        <v>365</v>
      </c>
      <c r="F1145" t="s">
        <v>13</v>
      </c>
      <c r="G1145" t="s">
        <v>382</v>
      </c>
      <c r="H1145" t="s">
        <v>368</v>
      </c>
      <c r="I1145">
        <v>45</v>
      </c>
      <c r="J1145">
        <v>0.85714285714285698</v>
      </c>
      <c r="K1145">
        <v>0.82926829268292679</v>
      </c>
      <c r="L1145">
        <v>0.88695652173913042</v>
      </c>
      <c r="M1145" t="s">
        <v>60</v>
      </c>
      <c r="N1145" t="s">
        <v>2716</v>
      </c>
      <c r="O1145" t="s">
        <v>2717</v>
      </c>
      <c r="P1145">
        <v>1.4</v>
      </c>
    </row>
    <row r="1146" spans="1:16" x14ac:dyDescent="0.3">
      <c r="A1146" t="s">
        <v>28</v>
      </c>
      <c r="B1146" t="s">
        <v>26</v>
      </c>
      <c r="C1146" t="s">
        <v>27</v>
      </c>
      <c r="D1146" t="s">
        <v>363</v>
      </c>
      <c r="E1146" t="s">
        <v>365</v>
      </c>
      <c r="F1146" t="s">
        <v>13</v>
      </c>
      <c r="G1146" t="s">
        <v>387</v>
      </c>
      <c r="H1146" t="s">
        <v>368</v>
      </c>
      <c r="I1146">
        <v>46</v>
      </c>
      <c r="J1146">
        <v>0.86307053941908707</v>
      </c>
      <c r="K1146">
        <v>0.82539682539682535</v>
      </c>
      <c r="L1146">
        <v>0.90434782608695652</v>
      </c>
      <c r="M1146" t="s">
        <v>60</v>
      </c>
      <c r="N1146" t="s">
        <v>2718</v>
      </c>
      <c r="O1146" t="s">
        <v>2719</v>
      </c>
      <c r="P1146">
        <v>1.3</v>
      </c>
    </row>
    <row r="1147" spans="1:16" x14ac:dyDescent="0.3">
      <c r="A1147" t="s">
        <v>28</v>
      </c>
      <c r="B1147" t="s">
        <v>26</v>
      </c>
      <c r="C1147" t="s">
        <v>27</v>
      </c>
      <c r="D1147" t="s">
        <v>363</v>
      </c>
      <c r="E1147" t="s">
        <v>365</v>
      </c>
      <c r="F1147" t="s">
        <v>13</v>
      </c>
      <c r="G1147" t="s">
        <v>392</v>
      </c>
      <c r="H1147" t="s">
        <v>368</v>
      </c>
      <c r="I1147">
        <v>47</v>
      </c>
      <c r="J1147">
        <v>0.86128364389233958</v>
      </c>
      <c r="K1147">
        <v>0.82213438735177868</v>
      </c>
      <c r="L1147">
        <v>0.90434782608695652</v>
      </c>
      <c r="M1147" t="s">
        <v>60</v>
      </c>
      <c r="N1147" t="s">
        <v>2720</v>
      </c>
      <c r="O1147" t="s">
        <v>2721</v>
      </c>
      <c r="P1147">
        <v>1.8</v>
      </c>
    </row>
    <row r="1148" spans="1:16" x14ac:dyDescent="0.3">
      <c r="A1148" t="s">
        <v>28</v>
      </c>
      <c r="B1148" t="s">
        <v>26</v>
      </c>
      <c r="C1148" t="s">
        <v>27</v>
      </c>
      <c r="D1148" t="s">
        <v>363</v>
      </c>
      <c r="E1148" t="s">
        <v>365</v>
      </c>
      <c r="F1148" t="s">
        <v>13</v>
      </c>
      <c r="G1148" t="s">
        <v>397</v>
      </c>
      <c r="H1148" t="s">
        <v>368</v>
      </c>
      <c r="I1148">
        <v>48</v>
      </c>
      <c r="J1148">
        <v>0.84836065573770492</v>
      </c>
      <c r="K1148">
        <v>0.80232558139534882</v>
      </c>
      <c r="L1148">
        <v>0.9</v>
      </c>
      <c r="M1148" t="s">
        <v>60</v>
      </c>
      <c r="N1148" t="s">
        <v>2722</v>
      </c>
      <c r="O1148" t="s">
        <v>2723</v>
      </c>
      <c r="P1148">
        <v>1.3</v>
      </c>
    </row>
    <row r="1149" spans="1:16" x14ac:dyDescent="0.3">
      <c r="A1149" t="s">
        <v>28</v>
      </c>
      <c r="B1149" t="s">
        <v>26</v>
      </c>
      <c r="C1149" t="s">
        <v>27</v>
      </c>
      <c r="D1149" t="s">
        <v>363</v>
      </c>
      <c r="E1149" t="s">
        <v>365</v>
      </c>
      <c r="F1149" t="s">
        <v>13</v>
      </c>
      <c r="G1149" t="s">
        <v>402</v>
      </c>
      <c r="H1149" t="s">
        <v>368</v>
      </c>
      <c r="I1149">
        <v>49</v>
      </c>
      <c r="J1149">
        <v>0.84647302904564314</v>
      </c>
      <c r="K1149">
        <v>0.80952380952380953</v>
      </c>
      <c r="L1149">
        <v>0.88695652173913042</v>
      </c>
      <c r="M1149" t="s">
        <v>60</v>
      </c>
      <c r="N1149" t="s">
        <v>2724</v>
      </c>
      <c r="O1149" t="s">
        <v>2725</v>
      </c>
      <c r="P1149">
        <v>1.3</v>
      </c>
    </row>
    <row r="1150" spans="1:16" x14ac:dyDescent="0.3">
      <c r="A1150" t="s">
        <v>28</v>
      </c>
      <c r="B1150" t="s">
        <v>26</v>
      </c>
      <c r="C1150" t="s">
        <v>27</v>
      </c>
      <c r="D1150" t="s">
        <v>363</v>
      </c>
      <c r="E1150" t="s">
        <v>365</v>
      </c>
      <c r="F1150" t="s">
        <v>13</v>
      </c>
      <c r="G1150" t="s">
        <v>407</v>
      </c>
      <c r="H1150" t="s">
        <v>368</v>
      </c>
      <c r="I1150">
        <v>50</v>
      </c>
      <c r="J1150">
        <v>0.85239085239085233</v>
      </c>
      <c r="K1150">
        <v>0.81673306772908372</v>
      </c>
      <c r="L1150">
        <v>0.89130434782608692</v>
      </c>
      <c r="M1150" t="s">
        <v>60</v>
      </c>
      <c r="N1150" t="s">
        <v>2726</v>
      </c>
      <c r="O1150" t="s">
        <v>2727</v>
      </c>
      <c r="P1150">
        <v>1.8</v>
      </c>
    </row>
    <row r="1151" spans="1:16" x14ac:dyDescent="0.3">
      <c r="A1151" t="s">
        <v>28</v>
      </c>
      <c r="B1151" t="s">
        <v>26</v>
      </c>
      <c r="C1151" t="s">
        <v>27</v>
      </c>
      <c r="D1151" t="s">
        <v>363</v>
      </c>
      <c r="E1151" t="s">
        <v>365</v>
      </c>
      <c r="F1151" t="s">
        <v>13</v>
      </c>
      <c r="G1151" t="s">
        <v>412</v>
      </c>
      <c r="H1151" t="s">
        <v>368</v>
      </c>
      <c r="I1151">
        <v>51</v>
      </c>
      <c r="J1151">
        <v>0.85123966942148765</v>
      </c>
      <c r="K1151">
        <v>0.8110236220472441</v>
      </c>
      <c r="L1151">
        <v>0.89565217391304353</v>
      </c>
      <c r="M1151" t="s">
        <v>60</v>
      </c>
      <c r="N1151" t="s">
        <v>2728</v>
      </c>
      <c r="O1151" t="s">
        <v>2729</v>
      </c>
      <c r="P1151">
        <v>1.3</v>
      </c>
    </row>
    <row r="1152" spans="1:16" x14ac:dyDescent="0.3">
      <c r="A1152" t="s">
        <v>28</v>
      </c>
      <c r="B1152" t="s">
        <v>26</v>
      </c>
      <c r="C1152" t="s">
        <v>27</v>
      </c>
      <c r="D1152" t="s">
        <v>363</v>
      </c>
      <c r="E1152" t="s">
        <v>365</v>
      </c>
      <c r="F1152" t="s">
        <v>13</v>
      </c>
      <c r="G1152" t="s">
        <v>417</v>
      </c>
      <c r="H1152" t="s">
        <v>368</v>
      </c>
      <c r="I1152">
        <v>52</v>
      </c>
      <c r="J1152">
        <v>0.86070686070686075</v>
      </c>
      <c r="K1152">
        <v>0.82470119521912355</v>
      </c>
      <c r="L1152">
        <v>0.9</v>
      </c>
      <c r="M1152" t="s">
        <v>60</v>
      </c>
      <c r="N1152" t="s">
        <v>2730</v>
      </c>
      <c r="O1152" t="s">
        <v>2731</v>
      </c>
      <c r="P1152">
        <v>1.3</v>
      </c>
    </row>
    <row r="1153" spans="1:16" x14ac:dyDescent="0.3">
      <c r="A1153" t="s">
        <v>28</v>
      </c>
      <c r="B1153" t="s">
        <v>26</v>
      </c>
      <c r="C1153" t="s">
        <v>27</v>
      </c>
      <c r="D1153" t="s">
        <v>363</v>
      </c>
      <c r="E1153" t="s">
        <v>365</v>
      </c>
      <c r="F1153" t="s">
        <v>13</v>
      </c>
      <c r="G1153" t="s">
        <v>422</v>
      </c>
      <c r="H1153" t="s">
        <v>368</v>
      </c>
      <c r="I1153">
        <v>53</v>
      </c>
      <c r="J1153">
        <v>0.85477178423236522</v>
      </c>
      <c r="K1153">
        <v>0.81746031746031744</v>
      </c>
      <c r="L1153">
        <v>0.89565217391304353</v>
      </c>
      <c r="M1153" t="s">
        <v>60</v>
      </c>
      <c r="N1153" t="s">
        <v>2732</v>
      </c>
      <c r="O1153" t="s">
        <v>2733</v>
      </c>
      <c r="P1153">
        <v>1.8</v>
      </c>
    </row>
    <row r="1154" spans="1:16" x14ac:dyDescent="0.3">
      <c r="A1154" t="s">
        <v>28</v>
      </c>
      <c r="B1154" t="s">
        <v>26</v>
      </c>
      <c r="C1154" t="s">
        <v>27</v>
      </c>
      <c r="D1154" t="s">
        <v>363</v>
      </c>
      <c r="E1154" t="s">
        <v>365</v>
      </c>
      <c r="F1154" t="s">
        <v>13</v>
      </c>
      <c r="G1154" t="s">
        <v>427</v>
      </c>
      <c r="H1154" t="s">
        <v>368</v>
      </c>
      <c r="I1154">
        <v>54</v>
      </c>
      <c r="J1154">
        <v>0.86192468619246865</v>
      </c>
      <c r="K1154">
        <v>0.83064516129032262</v>
      </c>
      <c r="L1154">
        <v>0.89565217391304353</v>
      </c>
      <c r="M1154" t="s">
        <v>60</v>
      </c>
      <c r="N1154" t="s">
        <v>2734</v>
      </c>
      <c r="O1154" t="s">
        <v>2735</v>
      </c>
      <c r="P1154">
        <v>1.4</v>
      </c>
    </row>
    <row r="1155" spans="1:16" x14ac:dyDescent="0.3">
      <c r="A1155" t="s">
        <v>28</v>
      </c>
      <c r="B1155" t="s">
        <v>26</v>
      </c>
      <c r="C1155" t="s">
        <v>27</v>
      </c>
      <c r="D1155" t="s">
        <v>363</v>
      </c>
      <c r="E1155" t="s">
        <v>365</v>
      </c>
      <c r="F1155" t="s">
        <v>13</v>
      </c>
      <c r="G1155" t="s">
        <v>432</v>
      </c>
      <c r="H1155" t="s">
        <v>368</v>
      </c>
      <c r="I1155">
        <v>55</v>
      </c>
      <c r="J1155">
        <v>0.85123966942148765</v>
      </c>
      <c r="K1155">
        <v>0.8110236220472441</v>
      </c>
      <c r="L1155">
        <v>0.89565217391304353</v>
      </c>
      <c r="M1155" t="s">
        <v>60</v>
      </c>
      <c r="N1155" t="s">
        <v>2736</v>
      </c>
      <c r="O1155" t="s">
        <v>2737</v>
      </c>
      <c r="P1155">
        <v>1.3</v>
      </c>
    </row>
    <row r="1156" spans="1:16" x14ac:dyDescent="0.3">
      <c r="A1156" t="s">
        <v>28</v>
      </c>
      <c r="B1156" t="s">
        <v>26</v>
      </c>
      <c r="C1156" t="s">
        <v>27</v>
      </c>
      <c r="D1156" t="s">
        <v>363</v>
      </c>
      <c r="E1156" t="s">
        <v>365</v>
      </c>
      <c r="F1156" t="s">
        <v>13</v>
      </c>
      <c r="G1156" t="s">
        <v>437</v>
      </c>
      <c r="H1156" t="s">
        <v>368</v>
      </c>
      <c r="I1156">
        <v>56</v>
      </c>
      <c r="J1156">
        <v>0.87136929460580903</v>
      </c>
      <c r="K1156">
        <v>0.83333333333333337</v>
      </c>
      <c r="L1156">
        <v>0.91304347826086951</v>
      </c>
      <c r="M1156" t="s">
        <v>60</v>
      </c>
      <c r="N1156" t="s">
        <v>2738</v>
      </c>
      <c r="O1156" t="s">
        <v>2739</v>
      </c>
      <c r="P1156">
        <v>1.8</v>
      </c>
    </row>
    <row r="1157" spans="1:16" x14ac:dyDescent="0.3">
      <c r="A1157" t="s">
        <v>28</v>
      </c>
      <c r="B1157" t="s">
        <v>26</v>
      </c>
      <c r="C1157" t="s">
        <v>27</v>
      </c>
      <c r="D1157" t="s">
        <v>363</v>
      </c>
      <c r="E1157" t="s">
        <v>365</v>
      </c>
      <c r="F1157" t="s">
        <v>13</v>
      </c>
      <c r="G1157" t="s">
        <v>442</v>
      </c>
      <c r="H1157" t="s">
        <v>368</v>
      </c>
      <c r="I1157">
        <v>57</v>
      </c>
      <c r="J1157">
        <v>0.8565488565488566</v>
      </c>
      <c r="K1157">
        <v>0.82071713147410363</v>
      </c>
      <c r="L1157">
        <v>0.89565217391304353</v>
      </c>
      <c r="M1157" t="s">
        <v>60</v>
      </c>
      <c r="N1157" t="s">
        <v>2740</v>
      </c>
      <c r="O1157" t="s">
        <v>2741</v>
      </c>
      <c r="P1157">
        <v>1.3</v>
      </c>
    </row>
    <row r="1158" spans="1:16" x14ac:dyDescent="0.3">
      <c r="A1158" t="s">
        <v>28</v>
      </c>
      <c r="B1158" t="s">
        <v>26</v>
      </c>
      <c r="C1158" t="s">
        <v>27</v>
      </c>
      <c r="D1158" t="s">
        <v>363</v>
      </c>
      <c r="E1158" t="s">
        <v>365</v>
      </c>
      <c r="F1158" t="s">
        <v>13</v>
      </c>
      <c r="G1158" t="s">
        <v>447</v>
      </c>
      <c r="H1158" t="s">
        <v>368</v>
      </c>
      <c r="I1158">
        <v>58</v>
      </c>
      <c r="J1158">
        <v>0.84166666666666667</v>
      </c>
      <c r="K1158">
        <v>0.80800000000000005</v>
      </c>
      <c r="L1158">
        <v>0.87826086956521743</v>
      </c>
      <c r="M1158" t="s">
        <v>60</v>
      </c>
      <c r="N1158" t="s">
        <v>2742</v>
      </c>
      <c r="O1158" t="s">
        <v>2743</v>
      </c>
      <c r="P1158">
        <v>1.3</v>
      </c>
    </row>
    <row r="1159" spans="1:16" x14ac:dyDescent="0.3">
      <c r="A1159" t="s">
        <v>28</v>
      </c>
      <c r="B1159" t="s">
        <v>26</v>
      </c>
      <c r="C1159" t="s">
        <v>27</v>
      </c>
      <c r="D1159" t="s">
        <v>363</v>
      </c>
      <c r="E1159" t="s">
        <v>365</v>
      </c>
      <c r="F1159" t="s">
        <v>13</v>
      </c>
      <c r="G1159" t="s">
        <v>452</v>
      </c>
      <c r="H1159" t="s">
        <v>368</v>
      </c>
      <c r="I1159">
        <v>59</v>
      </c>
      <c r="J1159">
        <v>0.85833333333333339</v>
      </c>
      <c r="K1159">
        <v>0.82399999999999995</v>
      </c>
      <c r="L1159">
        <v>0.89565217391304353</v>
      </c>
      <c r="M1159" t="s">
        <v>60</v>
      </c>
      <c r="N1159" t="s">
        <v>2744</v>
      </c>
      <c r="O1159" t="s">
        <v>2745</v>
      </c>
      <c r="P1159">
        <v>1.7</v>
      </c>
    </row>
    <row r="1160" spans="1:16" x14ac:dyDescent="0.3">
      <c r="A1160" t="s">
        <v>28</v>
      </c>
      <c r="B1160" t="s">
        <v>26</v>
      </c>
      <c r="C1160" t="s">
        <v>27</v>
      </c>
      <c r="D1160" t="s">
        <v>363</v>
      </c>
      <c r="E1160" t="s">
        <v>365</v>
      </c>
      <c r="F1160" t="s">
        <v>13</v>
      </c>
      <c r="G1160" t="s">
        <v>457</v>
      </c>
      <c r="H1160" t="s">
        <v>368</v>
      </c>
      <c r="I1160">
        <v>60</v>
      </c>
      <c r="J1160">
        <v>0.86956521739130432</v>
      </c>
      <c r="K1160">
        <v>0.83003952569169959</v>
      </c>
      <c r="L1160">
        <v>0.91304347826086951</v>
      </c>
      <c r="M1160" t="s">
        <v>60</v>
      </c>
      <c r="N1160" t="s">
        <v>2746</v>
      </c>
      <c r="O1160" t="s">
        <v>2747</v>
      </c>
      <c r="P1160">
        <v>1.3</v>
      </c>
    </row>
    <row r="1161" spans="1:16" x14ac:dyDescent="0.3">
      <c r="A1161" t="s">
        <v>28</v>
      </c>
      <c r="B1161" t="s">
        <v>26</v>
      </c>
      <c r="C1161" t="s">
        <v>27</v>
      </c>
      <c r="D1161" t="s">
        <v>363</v>
      </c>
      <c r="E1161" t="s">
        <v>365</v>
      </c>
      <c r="F1161" t="s">
        <v>13</v>
      </c>
      <c r="G1161" t="s">
        <v>462</v>
      </c>
      <c r="H1161" t="s">
        <v>368</v>
      </c>
      <c r="I1161">
        <v>61</v>
      </c>
      <c r="J1161">
        <v>0.85185185185185197</v>
      </c>
      <c r="K1161">
        <v>0.80859375</v>
      </c>
      <c r="L1161">
        <v>0.9</v>
      </c>
      <c r="M1161" t="s">
        <v>60</v>
      </c>
      <c r="N1161" t="s">
        <v>2748</v>
      </c>
      <c r="O1161" t="s">
        <v>2749</v>
      </c>
      <c r="P1161">
        <v>1.3</v>
      </c>
    </row>
    <row r="1162" spans="1:16" x14ac:dyDescent="0.3">
      <c r="A1162" t="s">
        <v>28</v>
      </c>
      <c r="B1162" t="s">
        <v>26</v>
      </c>
      <c r="C1162" t="s">
        <v>27</v>
      </c>
      <c r="D1162" t="s">
        <v>363</v>
      </c>
      <c r="E1162" t="s">
        <v>467</v>
      </c>
      <c r="F1162" t="s">
        <v>9</v>
      </c>
      <c r="G1162" t="s">
        <v>468</v>
      </c>
      <c r="H1162" t="s">
        <v>470</v>
      </c>
      <c r="I1162">
        <v>42</v>
      </c>
      <c r="J1162">
        <v>0.85070422535211254</v>
      </c>
      <c r="K1162">
        <v>0.81182795698924726</v>
      </c>
      <c r="L1162">
        <v>0.89349112426035504</v>
      </c>
      <c r="M1162" t="s">
        <v>60</v>
      </c>
      <c r="N1162" t="s">
        <v>2750</v>
      </c>
      <c r="O1162" t="s">
        <v>2751</v>
      </c>
      <c r="P1162">
        <v>1.6</v>
      </c>
    </row>
    <row r="1163" spans="1:16" x14ac:dyDescent="0.3">
      <c r="A1163" t="s">
        <v>28</v>
      </c>
      <c r="B1163" t="s">
        <v>26</v>
      </c>
      <c r="C1163" t="s">
        <v>27</v>
      </c>
      <c r="D1163" t="s">
        <v>363</v>
      </c>
      <c r="E1163" t="s">
        <v>467</v>
      </c>
      <c r="F1163" t="s">
        <v>9</v>
      </c>
      <c r="G1163" t="s">
        <v>474</v>
      </c>
      <c r="H1163" t="s">
        <v>470</v>
      </c>
      <c r="I1163">
        <v>43</v>
      </c>
      <c r="J1163">
        <v>0.84180790960451968</v>
      </c>
      <c r="K1163">
        <v>0.80540540540540539</v>
      </c>
      <c r="L1163">
        <v>0.88165680473372776</v>
      </c>
      <c r="M1163" t="s">
        <v>60</v>
      </c>
      <c r="N1163" t="s">
        <v>2752</v>
      </c>
      <c r="O1163" t="s">
        <v>2753</v>
      </c>
      <c r="P1163">
        <v>1.2</v>
      </c>
    </row>
    <row r="1164" spans="1:16" x14ac:dyDescent="0.3">
      <c r="A1164" t="s">
        <v>28</v>
      </c>
      <c r="B1164" t="s">
        <v>26</v>
      </c>
      <c r="C1164" t="s">
        <v>27</v>
      </c>
      <c r="D1164" t="s">
        <v>363</v>
      </c>
      <c r="E1164" t="s">
        <v>467</v>
      </c>
      <c r="F1164" t="s">
        <v>9</v>
      </c>
      <c r="G1164" t="s">
        <v>479</v>
      </c>
      <c r="H1164" t="s">
        <v>470</v>
      </c>
      <c r="I1164">
        <v>44</v>
      </c>
      <c r="J1164">
        <v>0.84900284900284884</v>
      </c>
      <c r="K1164">
        <v>0.81868131868131866</v>
      </c>
      <c r="L1164">
        <v>0.88165680473372776</v>
      </c>
      <c r="M1164" t="s">
        <v>60</v>
      </c>
      <c r="N1164" t="s">
        <v>2754</v>
      </c>
      <c r="O1164" t="s">
        <v>2755</v>
      </c>
      <c r="P1164">
        <v>1.2</v>
      </c>
    </row>
    <row r="1165" spans="1:16" x14ac:dyDescent="0.3">
      <c r="A1165" t="s">
        <v>28</v>
      </c>
      <c r="B1165" t="s">
        <v>26</v>
      </c>
      <c r="C1165" t="s">
        <v>27</v>
      </c>
      <c r="D1165" t="s">
        <v>363</v>
      </c>
      <c r="E1165" t="s">
        <v>467</v>
      </c>
      <c r="F1165" t="s">
        <v>9</v>
      </c>
      <c r="G1165" t="s">
        <v>484</v>
      </c>
      <c r="H1165" t="s">
        <v>470</v>
      </c>
      <c r="I1165">
        <v>45</v>
      </c>
      <c r="J1165">
        <v>0.86118980169971671</v>
      </c>
      <c r="K1165">
        <v>0.82608695652173914</v>
      </c>
      <c r="L1165">
        <v>0.89940828402366868</v>
      </c>
      <c r="M1165" t="s">
        <v>60</v>
      </c>
      <c r="N1165" t="s">
        <v>2756</v>
      </c>
      <c r="O1165" t="s">
        <v>2757</v>
      </c>
      <c r="P1165">
        <v>1.6</v>
      </c>
    </row>
    <row r="1166" spans="1:16" x14ac:dyDescent="0.3">
      <c r="A1166" t="s">
        <v>28</v>
      </c>
      <c r="B1166" t="s">
        <v>26</v>
      </c>
      <c r="C1166" t="s">
        <v>27</v>
      </c>
      <c r="D1166" t="s">
        <v>363</v>
      </c>
      <c r="E1166" t="s">
        <v>467</v>
      </c>
      <c r="F1166" t="s">
        <v>9</v>
      </c>
      <c r="G1166" t="s">
        <v>489</v>
      </c>
      <c r="H1166" t="s">
        <v>470</v>
      </c>
      <c r="I1166">
        <v>46</v>
      </c>
      <c r="J1166">
        <v>0.84507042253521136</v>
      </c>
      <c r="K1166">
        <v>0.80645161290322576</v>
      </c>
      <c r="L1166">
        <v>0.8875739644970414</v>
      </c>
      <c r="M1166" t="s">
        <v>60</v>
      </c>
      <c r="N1166" t="s">
        <v>2758</v>
      </c>
      <c r="O1166" t="s">
        <v>2759</v>
      </c>
      <c r="P1166">
        <v>1.2</v>
      </c>
    </row>
    <row r="1167" spans="1:16" x14ac:dyDescent="0.3">
      <c r="A1167" t="s">
        <v>28</v>
      </c>
      <c r="B1167" t="s">
        <v>26</v>
      </c>
      <c r="C1167" t="s">
        <v>27</v>
      </c>
      <c r="D1167" t="s">
        <v>363</v>
      </c>
      <c r="E1167" t="s">
        <v>467</v>
      </c>
      <c r="F1167" t="s">
        <v>9</v>
      </c>
      <c r="G1167" t="s">
        <v>494</v>
      </c>
      <c r="H1167" t="s">
        <v>470</v>
      </c>
      <c r="I1167">
        <v>47</v>
      </c>
      <c r="J1167">
        <v>0.84419263456090643</v>
      </c>
      <c r="K1167">
        <v>0.80978260869565222</v>
      </c>
      <c r="L1167">
        <v>0.88165680473372776</v>
      </c>
      <c r="M1167" t="s">
        <v>60</v>
      </c>
      <c r="N1167" t="s">
        <v>2760</v>
      </c>
      <c r="O1167" t="s">
        <v>2761</v>
      </c>
      <c r="P1167">
        <v>1.2</v>
      </c>
    </row>
    <row r="1168" spans="1:16" x14ac:dyDescent="0.3">
      <c r="A1168" t="s">
        <v>28</v>
      </c>
      <c r="B1168" t="s">
        <v>26</v>
      </c>
      <c r="C1168" t="s">
        <v>27</v>
      </c>
      <c r="D1168" t="s">
        <v>363</v>
      </c>
      <c r="E1168" t="s">
        <v>467</v>
      </c>
      <c r="F1168" t="s">
        <v>9</v>
      </c>
      <c r="G1168" t="s">
        <v>499</v>
      </c>
      <c r="H1168" t="s">
        <v>470</v>
      </c>
      <c r="I1168">
        <v>48</v>
      </c>
      <c r="J1168">
        <v>0.82681564245810057</v>
      </c>
      <c r="K1168">
        <v>0.78306878306878303</v>
      </c>
      <c r="L1168">
        <v>0.87573964497041423</v>
      </c>
      <c r="M1168" t="s">
        <v>60</v>
      </c>
      <c r="N1168" t="s">
        <v>2762</v>
      </c>
      <c r="O1168" t="s">
        <v>2763</v>
      </c>
      <c r="P1168">
        <v>1.2</v>
      </c>
    </row>
    <row r="1169" spans="1:16" x14ac:dyDescent="0.3">
      <c r="A1169" t="s">
        <v>28</v>
      </c>
      <c r="B1169" t="s">
        <v>26</v>
      </c>
      <c r="C1169" t="s">
        <v>27</v>
      </c>
      <c r="D1169" t="s">
        <v>363</v>
      </c>
      <c r="E1169" t="s">
        <v>467</v>
      </c>
      <c r="F1169" t="s">
        <v>9</v>
      </c>
      <c r="G1169" t="s">
        <v>504</v>
      </c>
      <c r="H1169" t="s">
        <v>470</v>
      </c>
      <c r="I1169">
        <v>49</v>
      </c>
      <c r="J1169">
        <v>0.84507042253521136</v>
      </c>
      <c r="K1169">
        <v>0.80645161290322576</v>
      </c>
      <c r="L1169">
        <v>0.8875739644970414</v>
      </c>
      <c r="M1169" t="s">
        <v>60</v>
      </c>
      <c r="N1169" t="s">
        <v>2764</v>
      </c>
      <c r="O1169" t="s">
        <v>2765</v>
      </c>
      <c r="P1169">
        <v>1.6</v>
      </c>
    </row>
    <row r="1170" spans="1:16" x14ac:dyDescent="0.3">
      <c r="A1170" t="s">
        <v>28</v>
      </c>
      <c r="B1170" t="s">
        <v>26</v>
      </c>
      <c r="C1170" t="s">
        <v>27</v>
      </c>
      <c r="D1170" t="s">
        <v>363</v>
      </c>
      <c r="E1170" t="s">
        <v>467</v>
      </c>
      <c r="F1170" t="s">
        <v>9</v>
      </c>
      <c r="G1170" t="s">
        <v>509</v>
      </c>
      <c r="H1170" t="s">
        <v>470</v>
      </c>
      <c r="I1170">
        <v>50</v>
      </c>
      <c r="J1170">
        <v>0.85310734463276838</v>
      </c>
      <c r="K1170">
        <v>0.81621621621621621</v>
      </c>
      <c r="L1170">
        <v>0.89349112426035504</v>
      </c>
      <c r="M1170" t="s">
        <v>60</v>
      </c>
      <c r="N1170" t="s">
        <v>2766</v>
      </c>
      <c r="O1170" t="s">
        <v>2767</v>
      </c>
      <c r="P1170">
        <v>1.2</v>
      </c>
    </row>
    <row r="1171" spans="1:16" x14ac:dyDescent="0.3">
      <c r="A1171" t="s">
        <v>28</v>
      </c>
      <c r="B1171" t="s">
        <v>26</v>
      </c>
      <c r="C1171" t="s">
        <v>27</v>
      </c>
      <c r="D1171" t="s">
        <v>363</v>
      </c>
      <c r="E1171" t="s">
        <v>467</v>
      </c>
      <c r="F1171" t="s">
        <v>9</v>
      </c>
      <c r="G1171" t="s">
        <v>514</v>
      </c>
      <c r="H1171" t="s">
        <v>470</v>
      </c>
      <c r="I1171">
        <v>51</v>
      </c>
      <c r="J1171">
        <v>0.8539325842696629</v>
      </c>
      <c r="K1171">
        <v>0.81283422459893051</v>
      </c>
      <c r="L1171">
        <v>0.89940828402366868</v>
      </c>
      <c r="M1171" t="s">
        <v>60</v>
      </c>
      <c r="N1171" t="s">
        <v>2768</v>
      </c>
      <c r="O1171" t="s">
        <v>2769</v>
      </c>
      <c r="P1171">
        <v>1.2</v>
      </c>
    </row>
    <row r="1172" spans="1:16" x14ac:dyDescent="0.3">
      <c r="A1172" t="s">
        <v>28</v>
      </c>
      <c r="B1172" t="s">
        <v>26</v>
      </c>
      <c r="C1172" t="s">
        <v>27</v>
      </c>
      <c r="D1172" t="s">
        <v>363</v>
      </c>
      <c r="E1172" t="s">
        <v>467</v>
      </c>
      <c r="F1172" t="s">
        <v>9</v>
      </c>
      <c r="G1172" t="s">
        <v>519</v>
      </c>
      <c r="H1172" t="s">
        <v>470</v>
      </c>
      <c r="I1172">
        <v>52</v>
      </c>
      <c r="J1172">
        <v>0.84419263456090643</v>
      </c>
      <c r="K1172">
        <v>0.80978260869565222</v>
      </c>
      <c r="L1172">
        <v>0.88165680473372776</v>
      </c>
      <c r="M1172" t="s">
        <v>60</v>
      </c>
      <c r="N1172" t="s">
        <v>2770</v>
      </c>
      <c r="O1172" t="s">
        <v>2771</v>
      </c>
      <c r="P1172">
        <v>1.2</v>
      </c>
    </row>
    <row r="1173" spans="1:16" x14ac:dyDescent="0.3">
      <c r="A1173" t="s">
        <v>28</v>
      </c>
      <c r="B1173" t="s">
        <v>26</v>
      </c>
      <c r="C1173" t="s">
        <v>27</v>
      </c>
      <c r="D1173" t="s">
        <v>363</v>
      </c>
      <c r="E1173" t="s">
        <v>467</v>
      </c>
      <c r="F1173" t="s">
        <v>9</v>
      </c>
      <c r="G1173" t="s">
        <v>524</v>
      </c>
      <c r="H1173" t="s">
        <v>470</v>
      </c>
      <c r="I1173">
        <v>53</v>
      </c>
      <c r="J1173">
        <v>0.84813753581661899</v>
      </c>
      <c r="K1173">
        <v>0.82222222222222219</v>
      </c>
      <c r="L1173">
        <v>0.87573964497041423</v>
      </c>
      <c r="M1173" t="s">
        <v>60</v>
      </c>
      <c r="N1173" t="s">
        <v>2772</v>
      </c>
      <c r="O1173" t="s">
        <v>2773</v>
      </c>
      <c r="P1173">
        <v>1.6</v>
      </c>
    </row>
    <row r="1174" spans="1:16" x14ac:dyDescent="0.3">
      <c r="A1174" t="s">
        <v>28</v>
      </c>
      <c r="B1174" t="s">
        <v>26</v>
      </c>
      <c r="C1174" t="s">
        <v>27</v>
      </c>
      <c r="D1174" t="s">
        <v>363</v>
      </c>
      <c r="E1174" t="s">
        <v>467</v>
      </c>
      <c r="F1174" t="s">
        <v>9</v>
      </c>
      <c r="G1174" t="s">
        <v>529</v>
      </c>
      <c r="H1174" t="s">
        <v>470</v>
      </c>
      <c r="I1174">
        <v>54</v>
      </c>
      <c r="J1174">
        <v>0.86609686609686609</v>
      </c>
      <c r="K1174">
        <v>0.8351648351648352</v>
      </c>
      <c r="L1174">
        <v>0.89940828402366868</v>
      </c>
      <c r="M1174" t="s">
        <v>60</v>
      </c>
      <c r="N1174" t="s">
        <v>2774</v>
      </c>
      <c r="O1174" t="s">
        <v>2775</v>
      </c>
      <c r="P1174">
        <v>1.2</v>
      </c>
    </row>
    <row r="1175" spans="1:16" x14ac:dyDescent="0.3">
      <c r="A1175" t="s">
        <v>28</v>
      </c>
      <c r="B1175" t="s">
        <v>26</v>
      </c>
      <c r="C1175" t="s">
        <v>27</v>
      </c>
      <c r="D1175" t="s">
        <v>363</v>
      </c>
      <c r="E1175" t="s">
        <v>467</v>
      </c>
      <c r="F1175" t="s">
        <v>9</v>
      </c>
      <c r="G1175" t="s">
        <v>534</v>
      </c>
      <c r="H1175" t="s">
        <v>470</v>
      </c>
      <c r="I1175">
        <v>55</v>
      </c>
      <c r="J1175">
        <v>0.84330484330484323</v>
      </c>
      <c r="K1175">
        <v>0.81318681318681318</v>
      </c>
      <c r="L1175">
        <v>0.87573964497041423</v>
      </c>
      <c r="M1175" t="s">
        <v>60</v>
      </c>
      <c r="N1175" t="s">
        <v>2776</v>
      </c>
      <c r="O1175" t="s">
        <v>2777</v>
      </c>
      <c r="P1175">
        <v>1.2</v>
      </c>
    </row>
    <row r="1176" spans="1:16" x14ac:dyDescent="0.3">
      <c r="A1176" t="s">
        <v>28</v>
      </c>
      <c r="B1176" t="s">
        <v>26</v>
      </c>
      <c r="C1176" t="s">
        <v>27</v>
      </c>
      <c r="D1176" t="s">
        <v>363</v>
      </c>
      <c r="E1176" t="s">
        <v>467</v>
      </c>
      <c r="F1176" t="s">
        <v>9</v>
      </c>
      <c r="G1176" t="s">
        <v>539</v>
      </c>
      <c r="H1176" t="s">
        <v>470</v>
      </c>
      <c r="I1176">
        <v>56</v>
      </c>
      <c r="J1176">
        <v>0.83286118980169965</v>
      </c>
      <c r="K1176">
        <v>0.79891304347826086</v>
      </c>
      <c r="L1176">
        <v>0.86982248520710059</v>
      </c>
      <c r="M1176" t="s">
        <v>60</v>
      </c>
      <c r="N1176" t="s">
        <v>2778</v>
      </c>
      <c r="O1176" t="s">
        <v>2779</v>
      </c>
      <c r="P1176">
        <v>1.6</v>
      </c>
    </row>
    <row r="1177" spans="1:16" x14ac:dyDescent="0.3">
      <c r="A1177" t="s">
        <v>28</v>
      </c>
      <c r="B1177" t="s">
        <v>26</v>
      </c>
      <c r="C1177" t="s">
        <v>27</v>
      </c>
      <c r="D1177" t="s">
        <v>363</v>
      </c>
      <c r="E1177" t="s">
        <v>467</v>
      </c>
      <c r="F1177" t="s">
        <v>9</v>
      </c>
      <c r="G1177" t="s">
        <v>544</v>
      </c>
      <c r="H1177" t="s">
        <v>470</v>
      </c>
      <c r="I1177">
        <v>57</v>
      </c>
      <c r="J1177">
        <v>0.81232492997198891</v>
      </c>
      <c r="K1177">
        <v>0.77127659574468088</v>
      </c>
      <c r="L1177">
        <v>0.85798816568047342</v>
      </c>
      <c r="M1177" t="s">
        <v>60</v>
      </c>
      <c r="N1177" t="s">
        <v>2780</v>
      </c>
      <c r="O1177" t="s">
        <v>2781</v>
      </c>
      <c r="P1177">
        <v>1.2</v>
      </c>
    </row>
    <row r="1178" spans="1:16" x14ac:dyDescent="0.3">
      <c r="A1178" t="s">
        <v>28</v>
      </c>
      <c r="B1178" t="s">
        <v>26</v>
      </c>
      <c r="C1178" t="s">
        <v>27</v>
      </c>
      <c r="D1178" t="s">
        <v>363</v>
      </c>
      <c r="E1178" t="s">
        <v>467</v>
      </c>
      <c r="F1178" t="s">
        <v>9</v>
      </c>
      <c r="G1178" t="s">
        <v>549</v>
      </c>
      <c r="H1178" t="s">
        <v>470</v>
      </c>
      <c r="I1178">
        <v>58</v>
      </c>
      <c r="J1178">
        <v>0.83286118980169965</v>
      </c>
      <c r="K1178">
        <v>0.79891304347826086</v>
      </c>
      <c r="L1178">
        <v>0.86982248520710059</v>
      </c>
      <c r="M1178" t="s">
        <v>60</v>
      </c>
      <c r="N1178" t="s">
        <v>2782</v>
      </c>
      <c r="O1178" t="s">
        <v>2783</v>
      </c>
      <c r="P1178">
        <v>1.2</v>
      </c>
    </row>
    <row r="1179" spans="1:16" x14ac:dyDescent="0.3">
      <c r="A1179" t="s">
        <v>28</v>
      </c>
      <c r="B1179" t="s">
        <v>26</v>
      </c>
      <c r="C1179" t="s">
        <v>27</v>
      </c>
      <c r="D1179" t="s">
        <v>363</v>
      </c>
      <c r="E1179" t="s">
        <v>467</v>
      </c>
      <c r="F1179" t="s">
        <v>9</v>
      </c>
      <c r="G1179" t="s">
        <v>554</v>
      </c>
      <c r="H1179" t="s">
        <v>470</v>
      </c>
      <c r="I1179">
        <v>59</v>
      </c>
      <c r="J1179">
        <v>0.84033613445378152</v>
      </c>
      <c r="K1179">
        <v>0.7978723404255319</v>
      </c>
      <c r="L1179">
        <v>0.8875739644970414</v>
      </c>
      <c r="M1179" t="s">
        <v>60</v>
      </c>
      <c r="N1179" t="s">
        <v>2784</v>
      </c>
      <c r="O1179" t="s">
        <v>2785</v>
      </c>
      <c r="P1179">
        <v>1.2</v>
      </c>
    </row>
    <row r="1180" spans="1:16" x14ac:dyDescent="0.3">
      <c r="A1180" t="s">
        <v>28</v>
      </c>
      <c r="B1180" t="s">
        <v>26</v>
      </c>
      <c r="C1180" t="s">
        <v>27</v>
      </c>
      <c r="D1180" t="s">
        <v>363</v>
      </c>
      <c r="E1180" t="s">
        <v>467</v>
      </c>
      <c r="F1180" t="s">
        <v>9</v>
      </c>
      <c r="G1180" t="s">
        <v>559</v>
      </c>
      <c r="H1180" t="s">
        <v>470</v>
      </c>
      <c r="I1180">
        <v>60</v>
      </c>
      <c r="J1180">
        <v>0.84330484330484323</v>
      </c>
      <c r="K1180">
        <v>0.81318681318681318</v>
      </c>
      <c r="L1180">
        <v>0.87573964497041423</v>
      </c>
      <c r="M1180" t="s">
        <v>60</v>
      </c>
      <c r="N1180" t="s">
        <v>2786</v>
      </c>
      <c r="O1180" t="s">
        <v>2787</v>
      </c>
      <c r="P1180">
        <v>1.6</v>
      </c>
    </row>
    <row r="1181" spans="1:16" x14ac:dyDescent="0.3">
      <c r="A1181" t="s">
        <v>28</v>
      </c>
      <c r="B1181" t="s">
        <v>26</v>
      </c>
      <c r="C1181" t="s">
        <v>27</v>
      </c>
      <c r="D1181" t="s">
        <v>363</v>
      </c>
      <c r="E1181" t="s">
        <v>467</v>
      </c>
      <c r="F1181" t="s">
        <v>9</v>
      </c>
      <c r="G1181" t="s">
        <v>564</v>
      </c>
      <c r="H1181" t="s">
        <v>470</v>
      </c>
      <c r="I1181">
        <v>61</v>
      </c>
      <c r="J1181">
        <v>0.85310734463276838</v>
      </c>
      <c r="K1181">
        <v>0.81621621621621621</v>
      </c>
      <c r="L1181">
        <v>0.89349112426035504</v>
      </c>
      <c r="M1181" t="s">
        <v>60</v>
      </c>
      <c r="N1181" t="s">
        <v>2788</v>
      </c>
      <c r="O1181" t="s">
        <v>2789</v>
      </c>
      <c r="P1181">
        <v>1.2</v>
      </c>
    </row>
    <row r="1182" spans="1:16" x14ac:dyDescent="0.3">
      <c r="A1182" t="s">
        <v>28</v>
      </c>
      <c r="B1182" t="s">
        <v>26</v>
      </c>
      <c r="C1182" t="s">
        <v>27</v>
      </c>
      <c r="D1182" t="s">
        <v>363</v>
      </c>
      <c r="E1182" t="s">
        <v>569</v>
      </c>
      <c r="F1182" t="s">
        <v>11</v>
      </c>
      <c r="G1182" t="s">
        <v>570</v>
      </c>
      <c r="H1182" t="s">
        <v>572</v>
      </c>
      <c r="I1182">
        <v>42</v>
      </c>
      <c r="J1182">
        <v>0.85838779956427014</v>
      </c>
      <c r="K1182">
        <v>0.83122362869198307</v>
      </c>
      <c r="L1182">
        <v>0.88738738738738743</v>
      </c>
      <c r="M1182" t="s">
        <v>60</v>
      </c>
      <c r="N1182" t="s">
        <v>2790</v>
      </c>
      <c r="O1182" t="s">
        <v>2791</v>
      </c>
      <c r="P1182">
        <v>1.3</v>
      </c>
    </row>
    <row r="1183" spans="1:16" x14ac:dyDescent="0.3">
      <c r="A1183" t="s">
        <v>28</v>
      </c>
      <c r="B1183" t="s">
        <v>26</v>
      </c>
      <c r="C1183" t="s">
        <v>27</v>
      </c>
      <c r="D1183" t="s">
        <v>363</v>
      </c>
      <c r="E1183" t="s">
        <v>569</v>
      </c>
      <c r="F1183" t="s">
        <v>11</v>
      </c>
      <c r="G1183" t="s">
        <v>576</v>
      </c>
      <c r="H1183" t="s">
        <v>572</v>
      </c>
      <c r="I1183">
        <v>43</v>
      </c>
      <c r="J1183">
        <v>0.85964912280701755</v>
      </c>
      <c r="K1183">
        <v>0.83760683760683763</v>
      </c>
      <c r="L1183">
        <v>0.88288288288288286</v>
      </c>
      <c r="M1183" t="s">
        <v>60</v>
      </c>
      <c r="N1183" t="s">
        <v>2792</v>
      </c>
      <c r="O1183" t="s">
        <v>2793</v>
      </c>
      <c r="P1183">
        <v>1.8</v>
      </c>
    </row>
    <row r="1184" spans="1:16" x14ac:dyDescent="0.3">
      <c r="A1184" t="s">
        <v>28</v>
      </c>
      <c r="B1184" t="s">
        <v>26</v>
      </c>
      <c r="C1184" t="s">
        <v>27</v>
      </c>
      <c r="D1184" t="s">
        <v>363</v>
      </c>
      <c r="E1184" t="s">
        <v>569</v>
      </c>
      <c r="F1184" t="s">
        <v>11</v>
      </c>
      <c r="G1184" t="s">
        <v>581</v>
      </c>
      <c r="H1184" t="s">
        <v>572</v>
      </c>
      <c r="I1184">
        <v>44</v>
      </c>
      <c r="J1184">
        <v>0.85398230088495586</v>
      </c>
      <c r="K1184">
        <v>0.83913043478260874</v>
      </c>
      <c r="L1184">
        <v>0.86936936936936937</v>
      </c>
      <c r="M1184" t="s">
        <v>60</v>
      </c>
      <c r="N1184" t="s">
        <v>2794</v>
      </c>
      <c r="O1184" t="s">
        <v>2795</v>
      </c>
      <c r="P1184">
        <v>1.4</v>
      </c>
    </row>
    <row r="1185" spans="1:16" x14ac:dyDescent="0.3">
      <c r="A1185" t="s">
        <v>28</v>
      </c>
      <c r="B1185" t="s">
        <v>26</v>
      </c>
      <c r="C1185" t="s">
        <v>27</v>
      </c>
      <c r="D1185" t="s">
        <v>363</v>
      </c>
      <c r="E1185" t="s">
        <v>569</v>
      </c>
      <c r="F1185" t="s">
        <v>11</v>
      </c>
      <c r="G1185" t="s">
        <v>586</v>
      </c>
      <c r="H1185" t="s">
        <v>572</v>
      </c>
      <c r="I1185">
        <v>45</v>
      </c>
      <c r="J1185">
        <v>0.8416485900216919</v>
      </c>
      <c r="K1185">
        <v>0.81171548117154813</v>
      </c>
      <c r="L1185">
        <v>0.87387387387387383</v>
      </c>
      <c r="M1185" t="s">
        <v>60</v>
      </c>
      <c r="N1185" t="s">
        <v>2796</v>
      </c>
      <c r="O1185" t="s">
        <v>2797</v>
      </c>
      <c r="P1185">
        <v>1.3</v>
      </c>
    </row>
    <row r="1186" spans="1:16" x14ac:dyDescent="0.3">
      <c r="A1186" t="s">
        <v>28</v>
      </c>
      <c r="B1186" t="s">
        <v>26</v>
      </c>
      <c r="C1186" t="s">
        <v>27</v>
      </c>
      <c r="D1186" t="s">
        <v>363</v>
      </c>
      <c r="E1186" t="s">
        <v>569</v>
      </c>
      <c r="F1186" t="s">
        <v>11</v>
      </c>
      <c r="G1186" t="s">
        <v>591</v>
      </c>
      <c r="H1186" t="s">
        <v>572</v>
      </c>
      <c r="I1186">
        <v>46</v>
      </c>
      <c r="J1186">
        <v>0.85087719298245612</v>
      </c>
      <c r="K1186">
        <v>0.82905982905982911</v>
      </c>
      <c r="L1186">
        <v>0.87387387387387383</v>
      </c>
      <c r="M1186" t="s">
        <v>60</v>
      </c>
      <c r="N1186" t="s">
        <v>2798</v>
      </c>
      <c r="O1186" t="s">
        <v>2799</v>
      </c>
      <c r="P1186">
        <v>1.8</v>
      </c>
    </row>
    <row r="1187" spans="1:16" x14ac:dyDescent="0.3">
      <c r="A1187" t="s">
        <v>28</v>
      </c>
      <c r="B1187" t="s">
        <v>26</v>
      </c>
      <c r="C1187" t="s">
        <v>27</v>
      </c>
      <c r="D1187" t="s">
        <v>363</v>
      </c>
      <c r="E1187" t="s">
        <v>569</v>
      </c>
      <c r="F1187" t="s">
        <v>11</v>
      </c>
      <c r="G1187" t="s">
        <v>596</v>
      </c>
      <c r="H1187" t="s">
        <v>572</v>
      </c>
      <c r="I1187">
        <v>47</v>
      </c>
      <c r="J1187">
        <v>0.83982683982683981</v>
      </c>
      <c r="K1187">
        <v>0.80833333333333335</v>
      </c>
      <c r="L1187">
        <v>0.87387387387387383</v>
      </c>
      <c r="M1187" t="s">
        <v>60</v>
      </c>
      <c r="N1187" t="s">
        <v>2800</v>
      </c>
      <c r="O1187" t="s">
        <v>2801</v>
      </c>
      <c r="P1187">
        <v>1.3</v>
      </c>
    </row>
    <row r="1188" spans="1:16" x14ac:dyDescent="0.3">
      <c r="A1188" t="s">
        <v>28</v>
      </c>
      <c r="B1188" t="s">
        <v>26</v>
      </c>
      <c r="C1188" t="s">
        <v>27</v>
      </c>
      <c r="D1188" t="s">
        <v>363</v>
      </c>
      <c r="E1188" t="s">
        <v>569</v>
      </c>
      <c r="F1188" t="s">
        <v>11</v>
      </c>
      <c r="G1188" t="s">
        <v>601</v>
      </c>
      <c r="H1188" t="s">
        <v>572</v>
      </c>
      <c r="I1188">
        <v>48</v>
      </c>
      <c r="J1188">
        <v>0.83549783549783552</v>
      </c>
      <c r="K1188">
        <v>0.8041666666666667</v>
      </c>
      <c r="L1188">
        <v>0.86936936936936937</v>
      </c>
      <c r="M1188" t="s">
        <v>60</v>
      </c>
      <c r="N1188" t="s">
        <v>2802</v>
      </c>
      <c r="O1188" t="s">
        <v>2803</v>
      </c>
      <c r="P1188">
        <v>1.3</v>
      </c>
    </row>
    <row r="1189" spans="1:16" x14ac:dyDescent="0.3">
      <c r="A1189" t="s">
        <v>28</v>
      </c>
      <c r="B1189" t="s">
        <v>26</v>
      </c>
      <c r="C1189" t="s">
        <v>27</v>
      </c>
      <c r="D1189" t="s">
        <v>363</v>
      </c>
      <c r="E1189" t="s">
        <v>569</v>
      </c>
      <c r="F1189" t="s">
        <v>11</v>
      </c>
      <c r="G1189" t="s">
        <v>606</v>
      </c>
      <c r="H1189" t="s">
        <v>572</v>
      </c>
      <c r="I1189">
        <v>49</v>
      </c>
      <c r="J1189">
        <v>0.85144124168514423</v>
      </c>
      <c r="K1189">
        <v>0.83842794759825323</v>
      </c>
      <c r="L1189">
        <v>0.86486486486486491</v>
      </c>
      <c r="M1189" t="s">
        <v>60</v>
      </c>
      <c r="N1189" t="s">
        <v>2804</v>
      </c>
      <c r="O1189" t="s">
        <v>2805</v>
      </c>
      <c r="P1189">
        <v>1.7</v>
      </c>
    </row>
    <row r="1190" spans="1:16" x14ac:dyDescent="0.3">
      <c r="A1190" t="s">
        <v>28</v>
      </c>
      <c r="B1190" t="s">
        <v>26</v>
      </c>
      <c r="C1190" t="s">
        <v>27</v>
      </c>
      <c r="D1190" t="s">
        <v>363</v>
      </c>
      <c r="E1190" t="s">
        <v>569</v>
      </c>
      <c r="F1190" t="s">
        <v>11</v>
      </c>
      <c r="G1190" t="s">
        <v>611</v>
      </c>
      <c r="H1190" t="s">
        <v>572</v>
      </c>
      <c r="I1190">
        <v>50</v>
      </c>
      <c r="J1190">
        <v>0.85152838427947608</v>
      </c>
      <c r="K1190">
        <v>0.82627118644067798</v>
      </c>
      <c r="L1190">
        <v>0.8783783783783784</v>
      </c>
      <c r="M1190" t="s">
        <v>60</v>
      </c>
      <c r="N1190" t="s">
        <v>2806</v>
      </c>
      <c r="O1190" t="s">
        <v>2807</v>
      </c>
      <c r="P1190">
        <v>1.4</v>
      </c>
    </row>
    <row r="1191" spans="1:16" x14ac:dyDescent="0.3">
      <c r="A1191" t="s">
        <v>28</v>
      </c>
      <c r="B1191" t="s">
        <v>26</v>
      </c>
      <c r="C1191" t="s">
        <v>27</v>
      </c>
      <c r="D1191" t="s">
        <v>363</v>
      </c>
      <c r="E1191" t="s">
        <v>569</v>
      </c>
      <c r="F1191" t="s">
        <v>11</v>
      </c>
      <c r="G1191" t="s">
        <v>616</v>
      </c>
      <c r="H1191" t="s">
        <v>572</v>
      </c>
      <c r="I1191">
        <v>51</v>
      </c>
      <c r="J1191">
        <v>0.86343612334801756</v>
      </c>
      <c r="K1191">
        <v>0.84482758620689657</v>
      </c>
      <c r="L1191">
        <v>0.88288288288288286</v>
      </c>
      <c r="M1191" t="s">
        <v>60</v>
      </c>
      <c r="N1191" t="s">
        <v>2808</v>
      </c>
      <c r="O1191" t="s">
        <v>2809</v>
      </c>
      <c r="P1191">
        <v>1.4</v>
      </c>
    </row>
    <row r="1192" spans="1:16" x14ac:dyDescent="0.3">
      <c r="A1192" t="s">
        <v>28</v>
      </c>
      <c r="B1192" t="s">
        <v>26</v>
      </c>
      <c r="C1192" t="s">
        <v>27</v>
      </c>
      <c r="D1192" t="s">
        <v>363</v>
      </c>
      <c r="E1192" t="s">
        <v>569</v>
      </c>
      <c r="F1192" t="s">
        <v>11</v>
      </c>
      <c r="G1192" t="s">
        <v>621</v>
      </c>
      <c r="H1192" t="s">
        <v>572</v>
      </c>
      <c r="I1192">
        <v>52</v>
      </c>
      <c r="J1192">
        <v>0.85403050108932466</v>
      </c>
      <c r="K1192">
        <v>0.8270042194092827</v>
      </c>
      <c r="L1192">
        <v>0.88288288288288286</v>
      </c>
      <c r="M1192" t="s">
        <v>60</v>
      </c>
      <c r="N1192" t="s">
        <v>2810</v>
      </c>
      <c r="O1192" t="s">
        <v>2811</v>
      </c>
      <c r="P1192">
        <v>1.8</v>
      </c>
    </row>
    <row r="1193" spans="1:16" x14ac:dyDescent="0.3">
      <c r="A1193" t="s">
        <v>28</v>
      </c>
      <c r="B1193" t="s">
        <v>26</v>
      </c>
      <c r="C1193" t="s">
        <v>27</v>
      </c>
      <c r="D1193" t="s">
        <v>363</v>
      </c>
      <c r="E1193" t="s">
        <v>569</v>
      </c>
      <c r="F1193" t="s">
        <v>11</v>
      </c>
      <c r="G1193" t="s">
        <v>626</v>
      </c>
      <c r="H1193" t="s">
        <v>572</v>
      </c>
      <c r="I1193">
        <v>53</v>
      </c>
      <c r="J1193">
        <v>0.85776805251641142</v>
      </c>
      <c r="K1193">
        <v>0.83404255319148934</v>
      </c>
      <c r="L1193">
        <v>0.88288288288288286</v>
      </c>
      <c r="M1193" t="s">
        <v>60</v>
      </c>
      <c r="N1193" t="s">
        <v>2812</v>
      </c>
      <c r="O1193" t="s">
        <v>2813</v>
      </c>
      <c r="P1193">
        <v>1.3</v>
      </c>
    </row>
    <row r="1194" spans="1:16" x14ac:dyDescent="0.3">
      <c r="A1194" t="s">
        <v>28</v>
      </c>
      <c r="B1194" t="s">
        <v>26</v>
      </c>
      <c r="C1194" t="s">
        <v>27</v>
      </c>
      <c r="D1194" t="s">
        <v>363</v>
      </c>
      <c r="E1194" t="s">
        <v>569</v>
      </c>
      <c r="F1194" t="s">
        <v>11</v>
      </c>
      <c r="G1194" t="s">
        <v>631</v>
      </c>
      <c r="H1194" t="s">
        <v>572</v>
      </c>
      <c r="I1194">
        <v>54</v>
      </c>
      <c r="J1194">
        <v>0.84140969162995594</v>
      </c>
      <c r="K1194">
        <v>0.82327586206896552</v>
      </c>
      <c r="L1194">
        <v>0.86036036036036034</v>
      </c>
      <c r="M1194" t="s">
        <v>60</v>
      </c>
      <c r="N1194" t="s">
        <v>2814</v>
      </c>
      <c r="O1194" t="s">
        <v>2815</v>
      </c>
      <c r="P1194">
        <v>1.3</v>
      </c>
    </row>
    <row r="1195" spans="1:16" x14ac:dyDescent="0.3">
      <c r="A1195" t="s">
        <v>28</v>
      </c>
      <c r="B1195" t="s">
        <v>26</v>
      </c>
      <c r="C1195" t="s">
        <v>27</v>
      </c>
      <c r="D1195" t="s">
        <v>363</v>
      </c>
      <c r="E1195" t="s">
        <v>569</v>
      </c>
      <c r="F1195" t="s">
        <v>11</v>
      </c>
      <c r="G1195" t="s">
        <v>636</v>
      </c>
      <c r="H1195" t="s">
        <v>572</v>
      </c>
      <c r="I1195">
        <v>55</v>
      </c>
      <c r="J1195">
        <v>0.86283185840707977</v>
      </c>
      <c r="K1195">
        <v>0.84782608695652173</v>
      </c>
      <c r="L1195">
        <v>0.8783783783783784</v>
      </c>
      <c r="M1195" t="s">
        <v>60</v>
      </c>
      <c r="N1195" t="s">
        <v>2816</v>
      </c>
      <c r="O1195" t="s">
        <v>2817</v>
      </c>
      <c r="P1195">
        <v>1.8</v>
      </c>
    </row>
    <row r="1196" spans="1:16" x14ac:dyDescent="0.3">
      <c r="A1196" t="s">
        <v>28</v>
      </c>
      <c r="B1196" t="s">
        <v>26</v>
      </c>
      <c r="C1196" t="s">
        <v>27</v>
      </c>
      <c r="D1196" t="s">
        <v>363</v>
      </c>
      <c r="E1196" t="s">
        <v>569</v>
      </c>
      <c r="F1196" t="s">
        <v>11</v>
      </c>
      <c r="G1196" t="s">
        <v>641</v>
      </c>
      <c r="H1196" t="s">
        <v>572</v>
      </c>
      <c r="I1196">
        <v>56</v>
      </c>
      <c r="J1196">
        <v>0.85398230088495586</v>
      </c>
      <c r="K1196">
        <v>0.83913043478260874</v>
      </c>
      <c r="L1196">
        <v>0.86936936936936937</v>
      </c>
      <c r="M1196" t="s">
        <v>60</v>
      </c>
      <c r="N1196" t="s">
        <v>2818</v>
      </c>
      <c r="O1196" t="s">
        <v>2819</v>
      </c>
      <c r="P1196">
        <v>1.3</v>
      </c>
    </row>
    <row r="1197" spans="1:16" x14ac:dyDescent="0.3">
      <c r="A1197" t="s">
        <v>28</v>
      </c>
      <c r="B1197" t="s">
        <v>26</v>
      </c>
      <c r="C1197" t="s">
        <v>27</v>
      </c>
      <c r="D1197" t="s">
        <v>363</v>
      </c>
      <c r="E1197" t="s">
        <v>569</v>
      </c>
      <c r="F1197" t="s">
        <v>11</v>
      </c>
      <c r="G1197" t="s">
        <v>646</v>
      </c>
      <c r="H1197" t="s">
        <v>572</v>
      </c>
      <c r="I1197">
        <v>57</v>
      </c>
      <c r="J1197">
        <v>0.84901531728665192</v>
      </c>
      <c r="K1197">
        <v>0.82553191489361699</v>
      </c>
      <c r="L1197">
        <v>0.87387387387387383</v>
      </c>
      <c r="M1197" t="s">
        <v>60</v>
      </c>
      <c r="N1197" t="s">
        <v>2820</v>
      </c>
      <c r="O1197" t="s">
        <v>2821</v>
      </c>
      <c r="P1197">
        <v>1.3</v>
      </c>
    </row>
    <row r="1198" spans="1:16" x14ac:dyDescent="0.3">
      <c r="A1198" t="s">
        <v>28</v>
      </c>
      <c r="B1198" t="s">
        <v>26</v>
      </c>
      <c r="C1198" t="s">
        <v>27</v>
      </c>
      <c r="D1198" t="s">
        <v>363</v>
      </c>
      <c r="E1198" t="s">
        <v>569</v>
      </c>
      <c r="F1198" t="s">
        <v>11</v>
      </c>
      <c r="G1198" t="s">
        <v>651</v>
      </c>
      <c r="H1198" t="s">
        <v>572</v>
      </c>
      <c r="I1198">
        <v>58</v>
      </c>
      <c r="J1198">
        <v>0.84531590413943347</v>
      </c>
      <c r="K1198">
        <v>0.81856540084388185</v>
      </c>
      <c r="L1198">
        <v>0.87387387387387383</v>
      </c>
      <c r="M1198" t="s">
        <v>60</v>
      </c>
      <c r="N1198" t="s">
        <v>2822</v>
      </c>
      <c r="O1198" t="s">
        <v>2823</v>
      </c>
      <c r="P1198">
        <v>1.8</v>
      </c>
    </row>
    <row r="1199" spans="1:16" x14ac:dyDescent="0.3">
      <c r="A1199" t="s">
        <v>28</v>
      </c>
      <c r="B1199" t="s">
        <v>26</v>
      </c>
      <c r="C1199" t="s">
        <v>27</v>
      </c>
      <c r="D1199" t="s">
        <v>363</v>
      </c>
      <c r="E1199" t="s">
        <v>569</v>
      </c>
      <c r="F1199" t="s">
        <v>11</v>
      </c>
      <c r="G1199" t="s">
        <v>656</v>
      </c>
      <c r="H1199" t="s">
        <v>572</v>
      </c>
      <c r="I1199">
        <v>59</v>
      </c>
      <c r="J1199">
        <v>0.86283185840707977</v>
      </c>
      <c r="K1199">
        <v>0.84782608695652173</v>
      </c>
      <c r="L1199">
        <v>0.8783783783783784</v>
      </c>
      <c r="M1199" t="s">
        <v>60</v>
      </c>
      <c r="N1199" t="s">
        <v>2824</v>
      </c>
      <c r="O1199" t="s">
        <v>2825</v>
      </c>
      <c r="P1199">
        <v>1.4</v>
      </c>
    </row>
    <row r="1200" spans="1:16" x14ac:dyDescent="0.3">
      <c r="A1200" t="s">
        <v>28</v>
      </c>
      <c r="B1200" t="s">
        <v>26</v>
      </c>
      <c r="C1200" t="s">
        <v>27</v>
      </c>
      <c r="D1200" t="s">
        <v>363</v>
      </c>
      <c r="E1200" t="s">
        <v>569</v>
      </c>
      <c r="F1200" t="s">
        <v>11</v>
      </c>
      <c r="G1200" t="s">
        <v>661</v>
      </c>
      <c r="H1200" t="s">
        <v>572</v>
      </c>
      <c r="I1200">
        <v>60</v>
      </c>
      <c r="J1200">
        <v>0.85339168490153183</v>
      </c>
      <c r="K1200">
        <v>0.82978723404255317</v>
      </c>
      <c r="L1200">
        <v>0.8783783783783784</v>
      </c>
      <c r="M1200" t="s">
        <v>60</v>
      </c>
      <c r="N1200" t="s">
        <v>2826</v>
      </c>
      <c r="O1200" t="s">
        <v>2827</v>
      </c>
      <c r="P1200">
        <v>1.7</v>
      </c>
    </row>
    <row r="1201" spans="1:16" x14ac:dyDescent="0.3">
      <c r="A1201" t="s">
        <v>28</v>
      </c>
      <c r="B1201" t="s">
        <v>26</v>
      </c>
      <c r="C1201" t="s">
        <v>27</v>
      </c>
      <c r="D1201" t="s">
        <v>363</v>
      </c>
      <c r="E1201" t="s">
        <v>569</v>
      </c>
      <c r="F1201" t="s">
        <v>11</v>
      </c>
      <c r="G1201" t="s">
        <v>666</v>
      </c>
      <c r="H1201" t="s">
        <v>572</v>
      </c>
      <c r="I1201">
        <v>61</v>
      </c>
      <c r="J1201">
        <v>0.84955752212389379</v>
      </c>
      <c r="K1201">
        <v>0.83478260869565213</v>
      </c>
      <c r="L1201">
        <v>0.86486486486486491</v>
      </c>
      <c r="M1201" t="s">
        <v>60</v>
      </c>
      <c r="N1201" t="s">
        <v>2828</v>
      </c>
      <c r="O1201" t="s">
        <v>2829</v>
      </c>
      <c r="P1201">
        <v>1.3</v>
      </c>
    </row>
    <row r="1202" spans="1:16" x14ac:dyDescent="0.3">
      <c r="A1202" t="s">
        <v>29</v>
      </c>
      <c r="B1202" t="s">
        <v>18</v>
      </c>
      <c r="C1202" t="s">
        <v>19</v>
      </c>
      <c r="D1202" t="s">
        <v>54</v>
      </c>
      <c r="E1202" t="s">
        <v>56</v>
      </c>
      <c r="F1202" t="s">
        <v>7</v>
      </c>
      <c r="G1202" t="s">
        <v>57</v>
      </c>
      <c r="H1202" t="s">
        <v>59</v>
      </c>
      <c r="I1202">
        <v>42</v>
      </c>
      <c r="J1202">
        <v>0.78496868475991644</v>
      </c>
      <c r="K1202">
        <v>0.75502008032128509</v>
      </c>
      <c r="L1202">
        <v>0.81739130434782614</v>
      </c>
      <c r="M1202" t="s">
        <v>60</v>
      </c>
      <c r="N1202" t="s">
        <v>2832</v>
      </c>
      <c r="O1202" t="s">
        <v>2833</v>
      </c>
      <c r="P1202">
        <v>127.8</v>
      </c>
    </row>
    <row r="1203" spans="1:16" x14ac:dyDescent="0.3">
      <c r="A1203" t="s">
        <v>29</v>
      </c>
      <c r="B1203" t="s">
        <v>18</v>
      </c>
      <c r="C1203" t="s">
        <v>19</v>
      </c>
      <c r="D1203" t="s">
        <v>54</v>
      </c>
      <c r="E1203" t="s">
        <v>56</v>
      </c>
      <c r="F1203" t="s">
        <v>7</v>
      </c>
      <c r="G1203" t="s">
        <v>65</v>
      </c>
      <c r="H1203" t="s">
        <v>59</v>
      </c>
      <c r="I1203">
        <v>43</v>
      </c>
      <c r="J1203">
        <v>0.74239350912778912</v>
      </c>
      <c r="K1203">
        <v>0.69581749049429653</v>
      </c>
      <c r="L1203">
        <v>0.79565217391304344</v>
      </c>
      <c r="M1203" t="s">
        <v>60</v>
      </c>
      <c r="N1203" t="s">
        <v>2834</v>
      </c>
      <c r="O1203" t="s">
        <v>2835</v>
      </c>
      <c r="P1203">
        <v>53</v>
      </c>
    </row>
    <row r="1204" spans="1:16" x14ac:dyDescent="0.3">
      <c r="A1204" t="s">
        <v>29</v>
      </c>
      <c r="B1204" t="s">
        <v>18</v>
      </c>
      <c r="C1204" t="s">
        <v>19</v>
      </c>
      <c r="D1204" t="s">
        <v>54</v>
      </c>
      <c r="E1204" t="s">
        <v>56</v>
      </c>
      <c r="F1204" t="s">
        <v>7</v>
      </c>
      <c r="G1204" t="s">
        <v>70</v>
      </c>
      <c r="H1204" t="s">
        <v>59</v>
      </c>
      <c r="I1204">
        <v>44</v>
      </c>
      <c r="J1204">
        <v>0.74239350912778912</v>
      </c>
      <c r="K1204">
        <v>0.69581749049429653</v>
      </c>
      <c r="L1204">
        <v>0.79565217391304344</v>
      </c>
      <c r="M1204" t="s">
        <v>60</v>
      </c>
      <c r="N1204" t="s">
        <v>2836</v>
      </c>
      <c r="O1204" t="s">
        <v>2837</v>
      </c>
      <c r="P1204">
        <v>53.5</v>
      </c>
    </row>
    <row r="1205" spans="1:16" x14ac:dyDescent="0.3">
      <c r="A1205" t="s">
        <v>29</v>
      </c>
      <c r="B1205" t="s">
        <v>18</v>
      </c>
      <c r="C1205" t="s">
        <v>19</v>
      </c>
      <c r="D1205" t="s">
        <v>54</v>
      </c>
      <c r="E1205" t="s">
        <v>56</v>
      </c>
      <c r="F1205" t="s">
        <v>7</v>
      </c>
      <c r="G1205" t="s">
        <v>75</v>
      </c>
      <c r="H1205" t="s">
        <v>59</v>
      </c>
      <c r="I1205">
        <v>45</v>
      </c>
      <c r="J1205">
        <v>0.74239350912778912</v>
      </c>
      <c r="K1205">
        <v>0.69581749049429653</v>
      </c>
      <c r="L1205">
        <v>0.79565217391304344</v>
      </c>
      <c r="M1205" t="s">
        <v>60</v>
      </c>
      <c r="N1205" t="s">
        <v>2838</v>
      </c>
      <c r="O1205" t="s">
        <v>2839</v>
      </c>
      <c r="P1205">
        <v>53.1</v>
      </c>
    </row>
    <row r="1206" spans="1:16" x14ac:dyDescent="0.3">
      <c r="A1206" t="s">
        <v>29</v>
      </c>
      <c r="B1206" t="s">
        <v>18</v>
      </c>
      <c r="C1206" t="s">
        <v>19</v>
      </c>
      <c r="D1206" t="s">
        <v>54</v>
      </c>
      <c r="E1206" t="s">
        <v>56</v>
      </c>
      <c r="F1206" t="s">
        <v>7</v>
      </c>
      <c r="G1206" t="s">
        <v>80</v>
      </c>
      <c r="H1206" t="s">
        <v>59</v>
      </c>
      <c r="I1206">
        <v>46</v>
      </c>
      <c r="J1206">
        <v>0.74239350912778912</v>
      </c>
      <c r="K1206">
        <v>0.69581749049429653</v>
      </c>
      <c r="L1206">
        <v>0.79565217391304344</v>
      </c>
      <c r="M1206" t="s">
        <v>60</v>
      </c>
      <c r="N1206" t="s">
        <v>2840</v>
      </c>
      <c r="O1206" t="s">
        <v>2841</v>
      </c>
      <c r="P1206">
        <v>53.3</v>
      </c>
    </row>
    <row r="1207" spans="1:16" x14ac:dyDescent="0.3">
      <c r="A1207" t="s">
        <v>29</v>
      </c>
      <c r="B1207" t="s">
        <v>18</v>
      </c>
      <c r="C1207" t="s">
        <v>19</v>
      </c>
      <c r="D1207" t="s">
        <v>54</v>
      </c>
      <c r="E1207" t="s">
        <v>56</v>
      </c>
      <c r="F1207" t="s">
        <v>7</v>
      </c>
      <c r="G1207" t="s">
        <v>85</v>
      </c>
      <c r="H1207" t="s">
        <v>59</v>
      </c>
      <c r="I1207">
        <v>47</v>
      </c>
      <c r="J1207">
        <v>0.74239350912778912</v>
      </c>
      <c r="K1207">
        <v>0.69581749049429653</v>
      </c>
      <c r="L1207">
        <v>0.79565217391304344</v>
      </c>
      <c r="M1207" t="s">
        <v>60</v>
      </c>
      <c r="N1207" t="s">
        <v>2842</v>
      </c>
      <c r="O1207" t="s">
        <v>2843</v>
      </c>
      <c r="P1207">
        <v>53.1</v>
      </c>
    </row>
    <row r="1208" spans="1:16" x14ac:dyDescent="0.3">
      <c r="A1208" t="s">
        <v>29</v>
      </c>
      <c r="B1208" t="s">
        <v>18</v>
      </c>
      <c r="C1208" t="s">
        <v>19</v>
      </c>
      <c r="D1208" t="s">
        <v>54</v>
      </c>
      <c r="E1208" t="s">
        <v>56</v>
      </c>
      <c r="F1208" t="s">
        <v>7</v>
      </c>
      <c r="G1208" t="s">
        <v>90</v>
      </c>
      <c r="H1208" t="s">
        <v>59</v>
      </c>
      <c r="I1208">
        <v>48</v>
      </c>
      <c r="J1208">
        <v>0.74239350912778912</v>
      </c>
      <c r="K1208">
        <v>0.69581749049429653</v>
      </c>
      <c r="L1208">
        <v>0.79565217391304344</v>
      </c>
      <c r="M1208" t="s">
        <v>60</v>
      </c>
      <c r="N1208" t="s">
        <v>2844</v>
      </c>
      <c r="O1208" t="s">
        <v>2845</v>
      </c>
      <c r="P1208">
        <v>53.7</v>
      </c>
    </row>
    <row r="1209" spans="1:16" x14ac:dyDescent="0.3">
      <c r="A1209" t="s">
        <v>29</v>
      </c>
      <c r="B1209" t="s">
        <v>18</v>
      </c>
      <c r="C1209" t="s">
        <v>19</v>
      </c>
      <c r="D1209" t="s">
        <v>54</v>
      </c>
      <c r="E1209" t="s">
        <v>56</v>
      </c>
      <c r="F1209" t="s">
        <v>7</v>
      </c>
      <c r="G1209" t="s">
        <v>95</v>
      </c>
      <c r="H1209" t="s">
        <v>59</v>
      </c>
      <c r="I1209">
        <v>49</v>
      </c>
      <c r="J1209">
        <v>0.74239350912778912</v>
      </c>
      <c r="K1209">
        <v>0.69581749049429653</v>
      </c>
      <c r="L1209">
        <v>0.79565217391304344</v>
      </c>
      <c r="M1209" t="s">
        <v>60</v>
      </c>
      <c r="N1209" t="s">
        <v>2846</v>
      </c>
      <c r="O1209" t="s">
        <v>2847</v>
      </c>
      <c r="P1209">
        <v>53.2</v>
      </c>
    </row>
    <row r="1210" spans="1:16" x14ac:dyDescent="0.3">
      <c r="A1210" t="s">
        <v>29</v>
      </c>
      <c r="B1210" t="s">
        <v>18</v>
      </c>
      <c r="C1210" t="s">
        <v>19</v>
      </c>
      <c r="D1210" t="s">
        <v>54</v>
      </c>
      <c r="E1210" t="s">
        <v>56</v>
      </c>
      <c r="F1210" t="s">
        <v>7</v>
      </c>
      <c r="G1210" t="s">
        <v>100</v>
      </c>
      <c r="H1210" t="s">
        <v>59</v>
      </c>
      <c r="I1210">
        <v>50</v>
      </c>
      <c r="J1210">
        <v>0.74239350912778912</v>
      </c>
      <c r="K1210">
        <v>0.69581749049429653</v>
      </c>
      <c r="L1210">
        <v>0.79565217391304344</v>
      </c>
      <c r="M1210" t="s">
        <v>60</v>
      </c>
      <c r="N1210" t="s">
        <v>2848</v>
      </c>
      <c r="O1210" t="s">
        <v>2849</v>
      </c>
      <c r="P1210">
        <v>53.1</v>
      </c>
    </row>
    <row r="1211" spans="1:16" x14ac:dyDescent="0.3">
      <c r="A1211" t="s">
        <v>29</v>
      </c>
      <c r="B1211" t="s">
        <v>18</v>
      </c>
      <c r="C1211" t="s">
        <v>19</v>
      </c>
      <c r="D1211" t="s">
        <v>54</v>
      </c>
      <c r="E1211" t="s">
        <v>56</v>
      </c>
      <c r="F1211" t="s">
        <v>7</v>
      </c>
      <c r="G1211" t="s">
        <v>105</v>
      </c>
      <c r="H1211" t="s">
        <v>59</v>
      </c>
      <c r="I1211">
        <v>51</v>
      </c>
      <c r="J1211">
        <v>0.74239350912778912</v>
      </c>
      <c r="K1211">
        <v>0.69581749049429653</v>
      </c>
      <c r="L1211">
        <v>0.79565217391304344</v>
      </c>
      <c r="M1211" t="s">
        <v>60</v>
      </c>
      <c r="N1211" t="s">
        <v>2850</v>
      </c>
      <c r="O1211" t="s">
        <v>2851</v>
      </c>
      <c r="P1211">
        <v>53.1</v>
      </c>
    </row>
    <row r="1212" spans="1:16" x14ac:dyDescent="0.3">
      <c r="A1212" t="s">
        <v>29</v>
      </c>
      <c r="B1212" t="s">
        <v>18</v>
      </c>
      <c r="C1212" t="s">
        <v>19</v>
      </c>
      <c r="D1212" t="s">
        <v>54</v>
      </c>
      <c r="E1212" t="s">
        <v>56</v>
      </c>
      <c r="F1212" t="s">
        <v>7</v>
      </c>
      <c r="G1212" t="s">
        <v>110</v>
      </c>
      <c r="H1212" t="s">
        <v>59</v>
      </c>
      <c r="I1212">
        <v>52</v>
      </c>
      <c r="J1212">
        <v>0.74239350912778912</v>
      </c>
      <c r="K1212">
        <v>0.69581749049429653</v>
      </c>
      <c r="L1212">
        <v>0.79565217391304344</v>
      </c>
      <c r="M1212" t="s">
        <v>60</v>
      </c>
      <c r="N1212" t="s">
        <v>2852</v>
      </c>
      <c r="O1212" t="s">
        <v>2853</v>
      </c>
      <c r="P1212">
        <v>53.4</v>
      </c>
    </row>
    <row r="1213" spans="1:16" x14ac:dyDescent="0.3">
      <c r="A1213" t="s">
        <v>29</v>
      </c>
      <c r="B1213" t="s">
        <v>18</v>
      </c>
      <c r="C1213" t="s">
        <v>19</v>
      </c>
      <c r="D1213" t="s">
        <v>54</v>
      </c>
      <c r="E1213" t="s">
        <v>56</v>
      </c>
      <c r="F1213" t="s">
        <v>7</v>
      </c>
      <c r="G1213" t="s">
        <v>115</v>
      </c>
      <c r="H1213" t="s">
        <v>59</v>
      </c>
      <c r="I1213">
        <v>53</v>
      </c>
      <c r="J1213">
        <v>0.74239350912778912</v>
      </c>
      <c r="K1213">
        <v>0.69581749049429653</v>
      </c>
      <c r="L1213">
        <v>0.79565217391304344</v>
      </c>
      <c r="M1213" t="s">
        <v>60</v>
      </c>
      <c r="N1213" t="s">
        <v>2854</v>
      </c>
      <c r="O1213" t="s">
        <v>2855</v>
      </c>
      <c r="P1213">
        <v>53.4</v>
      </c>
    </row>
    <row r="1214" spans="1:16" x14ac:dyDescent="0.3">
      <c r="A1214" t="s">
        <v>29</v>
      </c>
      <c r="B1214" t="s">
        <v>18</v>
      </c>
      <c r="C1214" t="s">
        <v>19</v>
      </c>
      <c r="D1214" t="s">
        <v>54</v>
      </c>
      <c r="E1214" t="s">
        <v>56</v>
      </c>
      <c r="F1214" t="s">
        <v>7</v>
      </c>
      <c r="G1214" t="s">
        <v>120</v>
      </c>
      <c r="H1214" t="s">
        <v>59</v>
      </c>
      <c r="I1214">
        <v>54</v>
      </c>
      <c r="J1214">
        <v>0.74239350912778912</v>
      </c>
      <c r="K1214">
        <v>0.69581749049429653</v>
      </c>
      <c r="L1214">
        <v>0.79565217391304344</v>
      </c>
      <c r="M1214" t="s">
        <v>60</v>
      </c>
      <c r="N1214" t="s">
        <v>2856</v>
      </c>
      <c r="O1214" t="s">
        <v>2857</v>
      </c>
      <c r="P1214">
        <v>54</v>
      </c>
    </row>
    <row r="1215" spans="1:16" x14ac:dyDescent="0.3">
      <c r="A1215" t="s">
        <v>29</v>
      </c>
      <c r="B1215" t="s">
        <v>18</v>
      </c>
      <c r="C1215" t="s">
        <v>19</v>
      </c>
      <c r="D1215" t="s">
        <v>54</v>
      </c>
      <c r="E1215" t="s">
        <v>56</v>
      </c>
      <c r="F1215" t="s">
        <v>7</v>
      </c>
      <c r="G1215" t="s">
        <v>125</v>
      </c>
      <c r="H1215" t="s">
        <v>59</v>
      </c>
      <c r="I1215">
        <v>55</v>
      </c>
      <c r="J1215">
        <v>0.74239350912778912</v>
      </c>
      <c r="K1215">
        <v>0.69581749049429653</v>
      </c>
      <c r="L1215">
        <v>0.79565217391304344</v>
      </c>
      <c r="M1215" t="s">
        <v>60</v>
      </c>
      <c r="N1215" t="s">
        <v>2858</v>
      </c>
      <c r="O1215" t="s">
        <v>2859</v>
      </c>
      <c r="P1215">
        <v>53.6</v>
      </c>
    </row>
    <row r="1216" spans="1:16" x14ac:dyDescent="0.3">
      <c r="A1216" t="s">
        <v>29</v>
      </c>
      <c r="B1216" t="s">
        <v>18</v>
      </c>
      <c r="C1216" t="s">
        <v>19</v>
      </c>
      <c r="D1216" t="s">
        <v>54</v>
      </c>
      <c r="E1216" t="s">
        <v>56</v>
      </c>
      <c r="F1216" t="s">
        <v>7</v>
      </c>
      <c r="G1216" t="s">
        <v>130</v>
      </c>
      <c r="H1216" t="s">
        <v>59</v>
      </c>
      <c r="I1216">
        <v>56</v>
      </c>
      <c r="J1216">
        <v>0.74239350912778912</v>
      </c>
      <c r="K1216">
        <v>0.69581749049429653</v>
      </c>
      <c r="L1216">
        <v>0.79565217391304344</v>
      </c>
      <c r="M1216" t="s">
        <v>60</v>
      </c>
      <c r="N1216" t="s">
        <v>2860</v>
      </c>
      <c r="O1216" t="s">
        <v>2861</v>
      </c>
      <c r="P1216">
        <v>53.3</v>
      </c>
    </row>
    <row r="1217" spans="1:16" x14ac:dyDescent="0.3">
      <c r="A1217" t="s">
        <v>29</v>
      </c>
      <c r="B1217" t="s">
        <v>18</v>
      </c>
      <c r="C1217" t="s">
        <v>19</v>
      </c>
      <c r="D1217" t="s">
        <v>54</v>
      </c>
      <c r="E1217" t="s">
        <v>56</v>
      </c>
      <c r="F1217" t="s">
        <v>7</v>
      </c>
      <c r="G1217" t="s">
        <v>135</v>
      </c>
      <c r="H1217" t="s">
        <v>59</v>
      </c>
      <c r="I1217">
        <v>57</v>
      </c>
      <c r="J1217">
        <v>0.74239350912778912</v>
      </c>
      <c r="K1217">
        <v>0.69581749049429653</v>
      </c>
      <c r="L1217">
        <v>0.79565217391304344</v>
      </c>
      <c r="M1217" t="s">
        <v>60</v>
      </c>
      <c r="N1217" t="s">
        <v>2862</v>
      </c>
      <c r="O1217" t="s">
        <v>2863</v>
      </c>
      <c r="P1217">
        <v>53.7</v>
      </c>
    </row>
    <row r="1218" spans="1:16" x14ac:dyDescent="0.3">
      <c r="A1218" t="s">
        <v>29</v>
      </c>
      <c r="B1218" t="s">
        <v>18</v>
      </c>
      <c r="C1218" t="s">
        <v>19</v>
      </c>
      <c r="D1218" t="s">
        <v>54</v>
      </c>
      <c r="E1218" t="s">
        <v>56</v>
      </c>
      <c r="F1218" t="s">
        <v>7</v>
      </c>
      <c r="G1218" t="s">
        <v>140</v>
      </c>
      <c r="H1218" t="s">
        <v>59</v>
      </c>
      <c r="I1218">
        <v>58</v>
      </c>
      <c r="J1218">
        <v>0.74239350912778912</v>
      </c>
      <c r="K1218">
        <v>0.69581749049429653</v>
      </c>
      <c r="L1218">
        <v>0.79565217391304344</v>
      </c>
      <c r="M1218" t="s">
        <v>60</v>
      </c>
      <c r="N1218" t="s">
        <v>2864</v>
      </c>
      <c r="O1218" t="s">
        <v>2865</v>
      </c>
      <c r="P1218">
        <v>53.5</v>
      </c>
    </row>
    <row r="1219" spans="1:16" x14ac:dyDescent="0.3">
      <c r="A1219" t="s">
        <v>29</v>
      </c>
      <c r="B1219" t="s">
        <v>18</v>
      </c>
      <c r="C1219" t="s">
        <v>19</v>
      </c>
      <c r="D1219" t="s">
        <v>54</v>
      </c>
      <c r="E1219" t="s">
        <v>56</v>
      </c>
      <c r="F1219" t="s">
        <v>7</v>
      </c>
      <c r="G1219" t="s">
        <v>145</v>
      </c>
      <c r="H1219" t="s">
        <v>59</v>
      </c>
      <c r="I1219">
        <v>59</v>
      </c>
      <c r="J1219">
        <v>0.74239350912778912</v>
      </c>
      <c r="K1219">
        <v>0.69581749049429653</v>
      </c>
      <c r="L1219">
        <v>0.79565217391304344</v>
      </c>
      <c r="M1219" t="s">
        <v>60</v>
      </c>
      <c r="N1219" t="s">
        <v>2866</v>
      </c>
      <c r="O1219" t="s">
        <v>2867</v>
      </c>
      <c r="P1219">
        <v>53.2</v>
      </c>
    </row>
    <row r="1220" spans="1:16" x14ac:dyDescent="0.3">
      <c r="A1220" t="s">
        <v>29</v>
      </c>
      <c r="B1220" t="s">
        <v>18</v>
      </c>
      <c r="C1220" t="s">
        <v>19</v>
      </c>
      <c r="D1220" t="s">
        <v>54</v>
      </c>
      <c r="E1220" t="s">
        <v>56</v>
      </c>
      <c r="F1220" t="s">
        <v>7</v>
      </c>
      <c r="G1220" t="s">
        <v>150</v>
      </c>
      <c r="H1220" t="s">
        <v>59</v>
      </c>
      <c r="I1220">
        <v>60</v>
      </c>
      <c r="J1220">
        <v>0.74239350912778912</v>
      </c>
      <c r="K1220">
        <v>0.69581749049429653</v>
      </c>
      <c r="L1220">
        <v>0.79565217391304344</v>
      </c>
      <c r="M1220" t="s">
        <v>60</v>
      </c>
      <c r="N1220" t="s">
        <v>2868</v>
      </c>
      <c r="O1220" t="s">
        <v>2869</v>
      </c>
      <c r="P1220">
        <v>53.4</v>
      </c>
    </row>
    <row r="1221" spans="1:16" x14ac:dyDescent="0.3">
      <c r="A1221" t="s">
        <v>29</v>
      </c>
      <c r="B1221" t="s">
        <v>18</v>
      </c>
      <c r="C1221" t="s">
        <v>19</v>
      </c>
      <c r="D1221" t="s">
        <v>54</v>
      </c>
      <c r="E1221" t="s">
        <v>56</v>
      </c>
      <c r="F1221" t="s">
        <v>7</v>
      </c>
      <c r="G1221" t="s">
        <v>155</v>
      </c>
      <c r="H1221" t="s">
        <v>59</v>
      </c>
      <c r="I1221">
        <v>61</v>
      </c>
      <c r="J1221">
        <v>0.74239350912778912</v>
      </c>
      <c r="K1221">
        <v>0.69581749049429653</v>
      </c>
      <c r="L1221">
        <v>0.79565217391304344</v>
      </c>
      <c r="M1221" t="s">
        <v>60</v>
      </c>
      <c r="N1221" t="s">
        <v>2870</v>
      </c>
      <c r="O1221" t="s">
        <v>2871</v>
      </c>
      <c r="P1221">
        <v>53.6</v>
      </c>
    </row>
    <row r="1222" spans="1:16" x14ac:dyDescent="0.3">
      <c r="A1222" t="s">
        <v>29</v>
      </c>
      <c r="B1222" t="s">
        <v>18</v>
      </c>
      <c r="C1222" t="s">
        <v>19</v>
      </c>
      <c r="D1222" t="s">
        <v>54</v>
      </c>
      <c r="E1222" t="s">
        <v>160</v>
      </c>
      <c r="F1222" t="s">
        <v>3</v>
      </c>
      <c r="G1222" t="s">
        <v>161</v>
      </c>
      <c r="H1222" t="s">
        <v>163</v>
      </c>
      <c r="I1222">
        <v>42</v>
      </c>
      <c r="J1222">
        <v>0.75482093663911842</v>
      </c>
      <c r="K1222">
        <v>0.70618556701030932</v>
      </c>
      <c r="L1222">
        <v>0.81065088757396453</v>
      </c>
      <c r="M1222" t="s">
        <v>60</v>
      </c>
      <c r="N1222" t="s">
        <v>2872</v>
      </c>
      <c r="O1222" t="s">
        <v>2873</v>
      </c>
      <c r="P1222">
        <v>53.5</v>
      </c>
    </row>
    <row r="1223" spans="1:16" x14ac:dyDescent="0.3">
      <c r="A1223" t="s">
        <v>29</v>
      </c>
      <c r="B1223" t="s">
        <v>18</v>
      </c>
      <c r="C1223" t="s">
        <v>19</v>
      </c>
      <c r="D1223" t="s">
        <v>54</v>
      </c>
      <c r="E1223" t="s">
        <v>160</v>
      </c>
      <c r="F1223" t="s">
        <v>3</v>
      </c>
      <c r="G1223" t="s">
        <v>167</v>
      </c>
      <c r="H1223" t="s">
        <v>163</v>
      </c>
      <c r="I1223">
        <v>43</v>
      </c>
      <c r="J1223">
        <v>0.75482093663911842</v>
      </c>
      <c r="K1223">
        <v>0.70618556701030932</v>
      </c>
      <c r="L1223">
        <v>0.81065088757396453</v>
      </c>
      <c r="M1223" t="s">
        <v>60</v>
      </c>
      <c r="N1223" t="s">
        <v>2874</v>
      </c>
      <c r="O1223" t="s">
        <v>2875</v>
      </c>
      <c r="P1223">
        <v>51.3</v>
      </c>
    </row>
    <row r="1224" spans="1:16" x14ac:dyDescent="0.3">
      <c r="A1224" t="s">
        <v>29</v>
      </c>
      <c r="B1224" t="s">
        <v>18</v>
      </c>
      <c r="C1224" t="s">
        <v>19</v>
      </c>
      <c r="D1224" t="s">
        <v>54</v>
      </c>
      <c r="E1224" t="s">
        <v>160</v>
      </c>
      <c r="F1224" t="s">
        <v>3</v>
      </c>
      <c r="G1224" t="s">
        <v>172</v>
      </c>
      <c r="H1224" t="s">
        <v>163</v>
      </c>
      <c r="I1224">
        <v>44</v>
      </c>
      <c r="J1224">
        <v>0.75482093663911842</v>
      </c>
      <c r="K1224">
        <v>0.70618556701030932</v>
      </c>
      <c r="L1224">
        <v>0.81065088757396453</v>
      </c>
      <c r="M1224" t="s">
        <v>60</v>
      </c>
      <c r="N1224" t="s">
        <v>2876</v>
      </c>
      <c r="O1224" t="s">
        <v>2877</v>
      </c>
      <c r="P1224">
        <v>51.1</v>
      </c>
    </row>
    <row r="1225" spans="1:16" x14ac:dyDescent="0.3">
      <c r="A1225" t="s">
        <v>29</v>
      </c>
      <c r="B1225" t="s">
        <v>18</v>
      </c>
      <c r="C1225" t="s">
        <v>19</v>
      </c>
      <c r="D1225" t="s">
        <v>54</v>
      </c>
      <c r="E1225" t="s">
        <v>160</v>
      </c>
      <c r="F1225" t="s">
        <v>3</v>
      </c>
      <c r="G1225" t="s">
        <v>177</v>
      </c>
      <c r="H1225" t="s">
        <v>163</v>
      </c>
      <c r="I1225">
        <v>45</v>
      </c>
      <c r="J1225">
        <v>0.75482093663911842</v>
      </c>
      <c r="K1225">
        <v>0.70618556701030932</v>
      </c>
      <c r="L1225">
        <v>0.81065088757396453</v>
      </c>
      <c r="M1225" t="s">
        <v>60</v>
      </c>
      <c r="N1225" t="s">
        <v>2878</v>
      </c>
      <c r="O1225" t="s">
        <v>2879</v>
      </c>
      <c r="P1225">
        <v>50.9</v>
      </c>
    </row>
    <row r="1226" spans="1:16" x14ac:dyDescent="0.3">
      <c r="A1226" t="s">
        <v>29</v>
      </c>
      <c r="B1226" t="s">
        <v>18</v>
      </c>
      <c r="C1226" t="s">
        <v>19</v>
      </c>
      <c r="D1226" t="s">
        <v>54</v>
      </c>
      <c r="E1226" t="s">
        <v>160</v>
      </c>
      <c r="F1226" t="s">
        <v>3</v>
      </c>
      <c r="G1226" t="s">
        <v>182</v>
      </c>
      <c r="H1226" t="s">
        <v>163</v>
      </c>
      <c r="I1226">
        <v>46</v>
      </c>
      <c r="J1226">
        <v>0.75482093663911842</v>
      </c>
      <c r="K1226">
        <v>0.70618556701030932</v>
      </c>
      <c r="L1226">
        <v>0.81065088757396453</v>
      </c>
      <c r="M1226" t="s">
        <v>60</v>
      </c>
      <c r="N1226" t="s">
        <v>2880</v>
      </c>
      <c r="O1226" t="s">
        <v>2881</v>
      </c>
      <c r="P1226">
        <v>51.1</v>
      </c>
    </row>
    <row r="1227" spans="1:16" x14ac:dyDescent="0.3">
      <c r="A1227" t="s">
        <v>29</v>
      </c>
      <c r="B1227" t="s">
        <v>18</v>
      </c>
      <c r="C1227" t="s">
        <v>19</v>
      </c>
      <c r="D1227" t="s">
        <v>54</v>
      </c>
      <c r="E1227" t="s">
        <v>160</v>
      </c>
      <c r="F1227" t="s">
        <v>3</v>
      </c>
      <c r="G1227" t="s">
        <v>187</v>
      </c>
      <c r="H1227" t="s">
        <v>163</v>
      </c>
      <c r="I1227">
        <v>47</v>
      </c>
      <c r="J1227">
        <v>0.75482093663911842</v>
      </c>
      <c r="K1227">
        <v>0.70618556701030932</v>
      </c>
      <c r="L1227">
        <v>0.81065088757396453</v>
      </c>
      <c r="M1227" t="s">
        <v>60</v>
      </c>
      <c r="N1227" t="s">
        <v>2882</v>
      </c>
      <c r="O1227" t="s">
        <v>2883</v>
      </c>
      <c r="P1227">
        <v>51.2</v>
      </c>
    </row>
    <row r="1228" spans="1:16" x14ac:dyDescent="0.3">
      <c r="A1228" t="s">
        <v>29</v>
      </c>
      <c r="B1228" t="s">
        <v>18</v>
      </c>
      <c r="C1228" t="s">
        <v>19</v>
      </c>
      <c r="D1228" t="s">
        <v>54</v>
      </c>
      <c r="E1228" t="s">
        <v>160</v>
      </c>
      <c r="F1228" t="s">
        <v>3</v>
      </c>
      <c r="G1228" t="s">
        <v>192</v>
      </c>
      <c r="H1228" t="s">
        <v>163</v>
      </c>
      <c r="I1228">
        <v>48</v>
      </c>
      <c r="J1228">
        <v>0.75482093663911842</v>
      </c>
      <c r="K1228">
        <v>0.70618556701030932</v>
      </c>
      <c r="L1228">
        <v>0.81065088757396453</v>
      </c>
      <c r="M1228" t="s">
        <v>60</v>
      </c>
      <c r="N1228" t="s">
        <v>2884</v>
      </c>
      <c r="O1228" t="s">
        <v>2885</v>
      </c>
      <c r="P1228">
        <v>51.3</v>
      </c>
    </row>
    <row r="1229" spans="1:16" x14ac:dyDescent="0.3">
      <c r="A1229" t="s">
        <v>29</v>
      </c>
      <c r="B1229" t="s">
        <v>18</v>
      </c>
      <c r="C1229" t="s">
        <v>19</v>
      </c>
      <c r="D1229" t="s">
        <v>54</v>
      </c>
      <c r="E1229" t="s">
        <v>160</v>
      </c>
      <c r="F1229" t="s">
        <v>3</v>
      </c>
      <c r="G1229" t="s">
        <v>197</v>
      </c>
      <c r="H1229" t="s">
        <v>163</v>
      </c>
      <c r="I1229">
        <v>49</v>
      </c>
      <c r="J1229">
        <v>0.75482093663911842</v>
      </c>
      <c r="K1229">
        <v>0.70618556701030932</v>
      </c>
      <c r="L1229">
        <v>0.81065088757396453</v>
      </c>
      <c r="M1229" t="s">
        <v>60</v>
      </c>
      <c r="N1229" t="s">
        <v>2886</v>
      </c>
      <c r="O1229" t="s">
        <v>2887</v>
      </c>
      <c r="P1229">
        <v>51.5</v>
      </c>
    </row>
    <row r="1230" spans="1:16" x14ac:dyDescent="0.3">
      <c r="A1230" t="s">
        <v>29</v>
      </c>
      <c r="B1230" t="s">
        <v>18</v>
      </c>
      <c r="C1230" t="s">
        <v>19</v>
      </c>
      <c r="D1230" t="s">
        <v>54</v>
      </c>
      <c r="E1230" t="s">
        <v>160</v>
      </c>
      <c r="F1230" t="s">
        <v>3</v>
      </c>
      <c r="G1230" t="s">
        <v>202</v>
      </c>
      <c r="H1230" t="s">
        <v>163</v>
      </c>
      <c r="I1230">
        <v>50</v>
      </c>
      <c r="J1230">
        <v>0.75482093663911842</v>
      </c>
      <c r="K1230">
        <v>0.70618556701030932</v>
      </c>
      <c r="L1230">
        <v>0.81065088757396453</v>
      </c>
      <c r="M1230" t="s">
        <v>60</v>
      </c>
      <c r="N1230" t="s">
        <v>2888</v>
      </c>
      <c r="O1230" t="s">
        <v>2889</v>
      </c>
      <c r="P1230">
        <v>50.1</v>
      </c>
    </row>
    <row r="1231" spans="1:16" x14ac:dyDescent="0.3">
      <c r="A1231" t="s">
        <v>29</v>
      </c>
      <c r="B1231" t="s">
        <v>18</v>
      </c>
      <c r="C1231" t="s">
        <v>19</v>
      </c>
      <c r="D1231" t="s">
        <v>54</v>
      </c>
      <c r="E1231" t="s">
        <v>160</v>
      </c>
      <c r="F1231" t="s">
        <v>3</v>
      </c>
      <c r="G1231" t="s">
        <v>207</v>
      </c>
      <c r="H1231" t="s">
        <v>163</v>
      </c>
      <c r="I1231">
        <v>51</v>
      </c>
      <c r="J1231">
        <v>0.75482093663911842</v>
      </c>
      <c r="K1231">
        <v>0.70618556701030932</v>
      </c>
      <c r="L1231">
        <v>0.81065088757396453</v>
      </c>
      <c r="M1231" t="s">
        <v>60</v>
      </c>
      <c r="N1231" t="s">
        <v>2890</v>
      </c>
      <c r="O1231" t="s">
        <v>2891</v>
      </c>
      <c r="P1231">
        <v>51.6</v>
      </c>
    </row>
    <row r="1232" spans="1:16" x14ac:dyDescent="0.3">
      <c r="A1232" t="s">
        <v>29</v>
      </c>
      <c r="B1232" t="s">
        <v>18</v>
      </c>
      <c r="C1232" t="s">
        <v>19</v>
      </c>
      <c r="D1232" t="s">
        <v>54</v>
      </c>
      <c r="E1232" t="s">
        <v>160</v>
      </c>
      <c r="F1232" t="s">
        <v>3</v>
      </c>
      <c r="G1232" t="s">
        <v>212</v>
      </c>
      <c r="H1232" t="s">
        <v>163</v>
      </c>
      <c r="I1232">
        <v>52</v>
      </c>
      <c r="J1232">
        <v>0.75482093663911842</v>
      </c>
      <c r="K1232">
        <v>0.70618556701030932</v>
      </c>
      <c r="L1232">
        <v>0.81065088757396453</v>
      </c>
      <c r="M1232" t="s">
        <v>60</v>
      </c>
      <c r="N1232" t="s">
        <v>2892</v>
      </c>
      <c r="O1232" t="s">
        <v>2893</v>
      </c>
      <c r="P1232">
        <v>51</v>
      </c>
    </row>
    <row r="1233" spans="1:16" x14ac:dyDescent="0.3">
      <c r="A1233" t="s">
        <v>29</v>
      </c>
      <c r="B1233" t="s">
        <v>18</v>
      </c>
      <c r="C1233" t="s">
        <v>19</v>
      </c>
      <c r="D1233" t="s">
        <v>54</v>
      </c>
      <c r="E1233" t="s">
        <v>160</v>
      </c>
      <c r="F1233" t="s">
        <v>3</v>
      </c>
      <c r="G1233" t="s">
        <v>217</v>
      </c>
      <c r="H1233" t="s">
        <v>163</v>
      </c>
      <c r="I1233">
        <v>53</v>
      </c>
      <c r="J1233">
        <v>0.75482093663911842</v>
      </c>
      <c r="K1233">
        <v>0.70618556701030932</v>
      </c>
      <c r="L1233">
        <v>0.81065088757396453</v>
      </c>
      <c r="M1233" t="s">
        <v>60</v>
      </c>
      <c r="N1233" t="s">
        <v>2894</v>
      </c>
      <c r="O1233" t="s">
        <v>2895</v>
      </c>
      <c r="P1233">
        <v>52.2</v>
      </c>
    </row>
    <row r="1234" spans="1:16" x14ac:dyDescent="0.3">
      <c r="A1234" t="s">
        <v>29</v>
      </c>
      <c r="B1234" t="s">
        <v>18</v>
      </c>
      <c r="C1234" t="s">
        <v>19</v>
      </c>
      <c r="D1234" t="s">
        <v>54</v>
      </c>
      <c r="E1234" t="s">
        <v>160</v>
      </c>
      <c r="F1234" t="s">
        <v>3</v>
      </c>
      <c r="G1234" t="s">
        <v>222</v>
      </c>
      <c r="H1234" t="s">
        <v>163</v>
      </c>
      <c r="I1234">
        <v>54</v>
      </c>
      <c r="J1234">
        <v>0.75482093663911842</v>
      </c>
      <c r="K1234">
        <v>0.70618556701030932</v>
      </c>
      <c r="L1234">
        <v>0.81065088757396453</v>
      </c>
      <c r="M1234" t="s">
        <v>60</v>
      </c>
      <c r="N1234" t="s">
        <v>2896</v>
      </c>
      <c r="O1234" t="s">
        <v>2897</v>
      </c>
      <c r="P1234">
        <v>51.7</v>
      </c>
    </row>
    <row r="1235" spans="1:16" x14ac:dyDescent="0.3">
      <c r="A1235" t="s">
        <v>29</v>
      </c>
      <c r="B1235" t="s">
        <v>18</v>
      </c>
      <c r="C1235" t="s">
        <v>19</v>
      </c>
      <c r="D1235" t="s">
        <v>54</v>
      </c>
      <c r="E1235" t="s">
        <v>160</v>
      </c>
      <c r="F1235" t="s">
        <v>3</v>
      </c>
      <c r="G1235" t="s">
        <v>227</v>
      </c>
      <c r="H1235" t="s">
        <v>163</v>
      </c>
      <c r="I1235">
        <v>55</v>
      </c>
      <c r="J1235">
        <v>0.75482093663911842</v>
      </c>
      <c r="K1235">
        <v>0.70618556701030932</v>
      </c>
      <c r="L1235">
        <v>0.81065088757396453</v>
      </c>
      <c r="M1235" t="s">
        <v>60</v>
      </c>
      <c r="N1235" t="s">
        <v>2898</v>
      </c>
      <c r="O1235" t="s">
        <v>2899</v>
      </c>
      <c r="P1235">
        <v>52</v>
      </c>
    </row>
    <row r="1236" spans="1:16" x14ac:dyDescent="0.3">
      <c r="A1236" t="s">
        <v>29</v>
      </c>
      <c r="B1236" t="s">
        <v>18</v>
      </c>
      <c r="C1236" t="s">
        <v>19</v>
      </c>
      <c r="D1236" t="s">
        <v>54</v>
      </c>
      <c r="E1236" t="s">
        <v>160</v>
      </c>
      <c r="F1236" t="s">
        <v>3</v>
      </c>
      <c r="G1236" t="s">
        <v>232</v>
      </c>
      <c r="H1236" t="s">
        <v>163</v>
      </c>
      <c r="I1236">
        <v>56</v>
      </c>
      <c r="J1236">
        <v>0.75482093663911842</v>
      </c>
      <c r="K1236">
        <v>0.70618556701030932</v>
      </c>
      <c r="L1236">
        <v>0.81065088757396453</v>
      </c>
      <c r="M1236" t="s">
        <v>60</v>
      </c>
      <c r="N1236" t="s">
        <v>2900</v>
      </c>
      <c r="O1236" t="s">
        <v>2901</v>
      </c>
      <c r="P1236">
        <v>51.6</v>
      </c>
    </row>
    <row r="1237" spans="1:16" x14ac:dyDescent="0.3">
      <c r="A1237" t="s">
        <v>29</v>
      </c>
      <c r="B1237" t="s">
        <v>18</v>
      </c>
      <c r="C1237" t="s">
        <v>19</v>
      </c>
      <c r="D1237" t="s">
        <v>54</v>
      </c>
      <c r="E1237" t="s">
        <v>160</v>
      </c>
      <c r="F1237" t="s">
        <v>3</v>
      </c>
      <c r="G1237" t="s">
        <v>237</v>
      </c>
      <c r="H1237" t="s">
        <v>163</v>
      </c>
      <c r="I1237">
        <v>57</v>
      </c>
      <c r="J1237">
        <v>0.75482093663911842</v>
      </c>
      <c r="K1237">
        <v>0.70618556701030932</v>
      </c>
      <c r="L1237">
        <v>0.81065088757396453</v>
      </c>
      <c r="M1237" t="s">
        <v>60</v>
      </c>
      <c r="N1237" t="s">
        <v>2902</v>
      </c>
      <c r="O1237" t="s">
        <v>2903</v>
      </c>
      <c r="P1237">
        <v>51.5</v>
      </c>
    </row>
    <row r="1238" spans="1:16" x14ac:dyDescent="0.3">
      <c r="A1238" t="s">
        <v>29</v>
      </c>
      <c r="B1238" t="s">
        <v>18</v>
      </c>
      <c r="C1238" t="s">
        <v>19</v>
      </c>
      <c r="D1238" t="s">
        <v>54</v>
      </c>
      <c r="E1238" t="s">
        <v>160</v>
      </c>
      <c r="F1238" t="s">
        <v>3</v>
      </c>
      <c r="G1238" t="s">
        <v>242</v>
      </c>
      <c r="H1238" t="s">
        <v>163</v>
      </c>
      <c r="I1238">
        <v>58</v>
      </c>
      <c r="J1238">
        <v>0.75482093663911842</v>
      </c>
      <c r="K1238">
        <v>0.70618556701030932</v>
      </c>
      <c r="L1238">
        <v>0.81065088757396453</v>
      </c>
      <c r="M1238" t="s">
        <v>60</v>
      </c>
      <c r="N1238" t="s">
        <v>2904</v>
      </c>
      <c r="O1238" t="s">
        <v>2905</v>
      </c>
      <c r="P1238">
        <v>51.4</v>
      </c>
    </row>
    <row r="1239" spans="1:16" x14ac:dyDescent="0.3">
      <c r="A1239" t="s">
        <v>29</v>
      </c>
      <c r="B1239" t="s">
        <v>18</v>
      </c>
      <c r="C1239" t="s">
        <v>19</v>
      </c>
      <c r="D1239" t="s">
        <v>54</v>
      </c>
      <c r="E1239" t="s">
        <v>160</v>
      </c>
      <c r="F1239" t="s">
        <v>3</v>
      </c>
      <c r="G1239" t="s">
        <v>247</v>
      </c>
      <c r="H1239" t="s">
        <v>163</v>
      </c>
      <c r="I1239">
        <v>59</v>
      </c>
      <c r="J1239">
        <v>0.75482093663911842</v>
      </c>
      <c r="K1239">
        <v>0.70618556701030932</v>
      </c>
      <c r="L1239">
        <v>0.81065088757396453</v>
      </c>
      <c r="M1239" t="s">
        <v>60</v>
      </c>
      <c r="N1239" t="s">
        <v>2906</v>
      </c>
      <c r="O1239" t="s">
        <v>2907</v>
      </c>
      <c r="P1239">
        <v>51.2</v>
      </c>
    </row>
    <row r="1240" spans="1:16" x14ac:dyDescent="0.3">
      <c r="A1240" t="s">
        <v>29</v>
      </c>
      <c r="B1240" t="s">
        <v>18</v>
      </c>
      <c r="C1240" t="s">
        <v>19</v>
      </c>
      <c r="D1240" t="s">
        <v>54</v>
      </c>
      <c r="E1240" t="s">
        <v>160</v>
      </c>
      <c r="F1240" t="s">
        <v>3</v>
      </c>
      <c r="G1240" t="s">
        <v>252</v>
      </c>
      <c r="H1240" t="s">
        <v>163</v>
      </c>
      <c r="I1240">
        <v>60</v>
      </c>
      <c r="J1240">
        <v>0.75482093663911842</v>
      </c>
      <c r="K1240">
        <v>0.70618556701030932</v>
      </c>
      <c r="L1240">
        <v>0.81065088757396453</v>
      </c>
      <c r="M1240" t="s">
        <v>60</v>
      </c>
      <c r="N1240" t="s">
        <v>2908</v>
      </c>
      <c r="O1240" t="s">
        <v>2909</v>
      </c>
      <c r="P1240">
        <v>51.6</v>
      </c>
    </row>
    <row r="1241" spans="1:16" x14ac:dyDescent="0.3">
      <c r="A1241" t="s">
        <v>29</v>
      </c>
      <c r="B1241" t="s">
        <v>18</v>
      </c>
      <c r="C1241" t="s">
        <v>19</v>
      </c>
      <c r="D1241" t="s">
        <v>54</v>
      </c>
      <c r="E1241" t="s">
        <v>160</v>
      </c>
      <c r="F1241" t="s">
        <v>3</v>
      </c>
      <c r="G1241" t="s">
        <v>257</v>
      </c>
      <c r="H1241" t="s">
        <v>163</v>
      </c>
      <c r="I1241">
        <v>61</v>
      </c>
      <c r="J1241">
        <v>0.75482093663911842</v>
      </c>
      <c r="K1241">
        <v>0.70618556701030932</v>
      </c>
      <c r="L1241">
        <v>0.81065088757396453</v>
      </c>
      <c r="M1241" t="s">
        <v>60</v>
      </c>
      <c r="N1241" t="s">
        <v>2910</v>
      </c>
      <c r="O1241" t="s">
        <v>2911</v>
      </c>
      <c r="P1241">
        <v>51</v>
      </c>
    </row>
    <row r="1242" spans="1:16" x14ac:dyDescent="0.3">
      <c r="A1242" t="s">
        <v>29</v>
      </c>
      <c r="B1242" t="s">
        <v>18</v>
      </c>
      <c r="C1242" t="s">
        <v>19</v>
      </c>
      <c r="D1242" t="s">
        <v>54</v>
      </c>
      <c r="E1242" t="s">
        <v>262</v>
      </c>
      <c r="F1242" t="s">
        <v>5</v>
      </c>
      <c r="G1242" t="s">
        <v>263</v>
      </c>
      <c r="H1242" t="s">
        <v>265</v>
      </c>
      <c r="I1242">
        <v>42</v>
      </c>
      <c r="J1242">
        <v>0.76923076923076927</v>
      </c>
      <c r="K1242">
        <v>0.75107296137339052</v>
      </c>
      <c r="L1242">
        <v>0.78828828828828834</v>
      </c>
      <c r="M1242" t="s">
        <v>60</v>
      </c>
      <c r="N1242" t="s">
        <v>2912</v>
      </c>
      <c r="O1242" t="s">
        <v>2913</v>
      </c>
      <c r="P1242">
        <v>53.8</v>
      </c>
    </row>
    <row r="1243" spans="1:16" x14ac:dyDescent="0.3">
      <c r="A1243" t="s">
        <v>29</v>
      </c>
      <c r="B1243" t="s">
        <v>18</v>
      </c>
      <c r="C1243" t="s">
        <v>19</v>
      </c>
      <c r="D1243" t="s">
        <v>54</v>
      </c>
      <c r="E1243" t="s">
        <v>262</v>
      </c>
      <c r="F1243" t="s">
        <v>5</v>
      </c>
      <c r="G1243" t="s">
        <v>269</v>
      </c>
      <c r="H1243" t="s">
        <v>265</v>
      </c>
      <c r="I1243">
        <v>43</v>
      </c>
      <c r="J1243">
        <v>0.76923076923076927</v>
      </c>
      <c r="K1243">
        <v>0.75107296137339052</v>
      </c>
      <c r="L1243">
        <v>0.78828828828828834</v>
      </c>
      <c r="M1243" t="s">
        <v>60</v>
      </c>
      <c r="N1243" t="s">
        <v>2914</v>
      </c>
      <c r="O1243" t="s">
        <v>2915</v>
      </c>
      <c r="P1243">
        <v>53.3</v>
      </c>
    </row>
    <row r="1244" spans="1:16" x14ac:dyDescent="0.3">
      <c r="A1244" t="s">
        <v>29</v>
      </c>
      <c r="B1244" t="s">
        <v>18</v>
      </c>
      <c r="C1244" t="s">
        <v>19</v>
      </c>
      <c r="D1244" t="s">
        <v>54</v>
      </c>
      <c r="E1244" t="s">
        <v>262</v>
      </c>
      <c r="F1244" t="s">
        <v>5</v>
      </c>
      <c r="G1244" t="s">
        <v>274</v>
      </c>
      <c r="H1244" t="s">
        <v>265</v>
      </c>
      <c r="I1244">
        <v>44</v>
      </c>
      <c r="J1244">
        <v>0.76923076923076927</v>
      </c>
      <c r="K1244">
        <v>0.75107296137339052</v>
      </c>
      <c r="L1244">
        <v>0.78828828828828834</v>
      </c>
      <c r="M1244" t="s">
        <v>60</v>
      </c>
      <c r="N1244" t="s">
        <v>2916</v>
      </c>
      <c r="O1244" t="s">
        <v>2917</v>
      </c>
      <c r="P1244">
        <v>52.7</v>
      </c>
    </row>
    <row r="1245" spans="1:16" x14ac:dyDescent="0.3">
      <c r="A1245" t="s">
        <v>29</v>
      </c>
      <c r="B1245" t="s">
        <v>18</v>
      </c>
      <c r="C1245" t="s">
        <v>19</v>
      </c>
      <c r="D1245" t="s">
        <v>54</v>
      </c>
      <c r="E1245" t="s">
        <v>262</v>
      </c>
      <c r="F1245" t="s">
        <v>5</v>
      </c>
      <c r="G1245" t="s">
        <v>279</v>
      </c>
      <c r="H1245" t="s">
        <v>265</v>
      </c>
      <c r="I1245">
        <v>45</v>
      </c>
      <c r="J1245">
        <v>0.76923076923076927</v>
      </c>
      <c r="K1245">
        <v>0.75107296137339052</v>
      </c>
      <c r="L1245">
        <v>0.78828828828828834</v>
      </c>
      <c r="M1245" t="s">
        <v>60</v>
      </c>
      <c r="N1245" t="s">
        <v>2918</v>
      </c>
      <c r="O1245" t="s">
        <v>2919</v>
      </c>
      <c r="P1245">
        <v>52.8</v>
      </c>
    </row>
    <row r="1246" spans="1:16" x14ac:dyDescent="0.3">
      <c r="A1246" t="s">
        <v>29</v>
      </c>
      <c r="B1246" t="s">
        <v>18</v>
      </c>
      <c r="C1246" t="s">
        <v>19</v>
      </c>
      <c r="D1246" t="s">
        <v>54</v>
      </c>
      <c r="E1246" t="s">
        <v>262</v>
      </c>
      <c r="F1246" t="s">
        <v>5</v>
      </c>
      <c r="G1246" t="s">
        <v>284</v>
      </c>
      <c r="H1246" t="s">
        <v>265</v>
      </c>
      <c r="I1246">
        <v>46</v>
      </c>
      <c r="J1246">
        <v>0.76923076923076927</v>
      </c>
      <c r="K1246">
        <v>0.75107296137339052</v>
      </c>
      <c r="L1246">
        <v>0.78828828828828834</v>
      </c>
      <c r="M1246" t="s">
        <v>60</v>
      </c>
      <c r="N1246" t="s">
        <v>2920</v>
      </c>
      <c r="O1246" t="s">
        <v>2921</v>
      </c>
      <c r="P1246">
        <v>54.1</v>
      </c>
    </row>
    <row r="1247" spans="1:16" x14ac:dyDescent="0.3">
      <c r="A1247" t="s">
        <v>29</v>
      </c>
      <c r="B1247" t="s">
        <v>18</v>
      </c>
      <c r="C1247" t="s">
        <v>19</v>
      </c>
      <c r="D1247" t="s">
        <v>54</v>
      </c>
      <c r="E1247" t="s">
        <v>262</v>
      </c>
      <c r="F1247" t="s">
        <v>5</v>
      </c>
      <c r="G1247" t="s">
        <v>289</v>
      </c>
      <c r="H1247" t="s">
        <v>265</v>
      </c>
      <c r="I1247">
        <v>47</v>
      </c>
      <c r="J1247">
        <v>0.76923076923076927</v>
      </c>
      <c r="K1247">
        <v>0.75107296137339052</v>
      </c>
      <c r="L1247">
        <v>0.78828828828828834</v>
      </c>
      <c r="M1247" t="s">
        <v>60</v>
      </c>
      <c r="N1247" t="s">
        <v>2922</v>
      </c>
      <c r="O1247" t="s">
        <v>2923</v>
      </c>
      <c r="P1247">
        <v>53.5</v>
      </c>
    </row>
    <row r="1248" spans="1:16" x14ac:dyDescent="0.3">
      <c r="A1248" t="s">
        <v>29</v>
      </c>
      <c r="B1248" t="s">
        <v>18</v>
      </c>
      <c r="C1248" t="s">
        <v>19</v>
      </c>
      <c r="D1248" t="s">
        <v>54</v>
      </c>
      <c r="E1248" t="s">
        <v>262</v>
      </c>
      <c r="F1248" t="s">
        <v>5</v>
      </c>
      <c r="G1248" t="s">
        <v>294</v>
      </c>
      <c r="H1248" t="s">
        <v>265</v>
      </c>
      <c r="I1248">
        <v>48</v>
      </c>
      <c r="J1248">
        <v>0.76923076923076927</v>
      </c>
      <c r="K1248">
        <v>0.75107296137339052</v>
      </c>
      <c r="L1248">
        <v>0.78828828828828834</v>
      </c>
      <c r="M1248" t="s">
        <v>60</v>
      </c>
      <c r="N1248" t="s">
        <v>2924</v>
      </c>
      <c r="O1248" t="s">
        <v>2925</v>
      </c>
      <c r="P1248">
        <v>53.3</v>
      </c>
    </row>
    <row r="1249" spans="1:16" x14ac:dyDescent="0.3">
      <c r="A1249" t="s">
        <v>29</v>
      </c>
      <c r="B1249" t="s">
        <v>18</v>
      </c>
      <c r="C1249" t="s">
        <v>19</v>
      </c>
      <c r="D1249" t="s">
        <v>54</v>
      </c>
      <c r="E1249" t="s">
        <v>262</v>
      </c>
      <c r="F1249" t="s">
        <v>5</v>
      </c>
      <c r="G1249" t="s">
        <v>299</v>
      </c>
      <c r="H1249" t="s">
        <v>265</v>
      </c>
      <c r="I1249">
        <v>49</v>
      </c>
      <c r="J1249">
        <v>0.76923076923076927</v>
      </c>
      <c r="K1249">
        <v>0.75107296137339052</v>
      </c>
      <c r="L1249">
        <v>0.78828828828828834</v>
      </c>
      <c r="M1249" t="s">
        <v>60</v>
      </c>
      <c r="N1249" t="s">
        <v>2926</v>
      </c>
      <c r="O1249" t="s">
        <v>2927</v>
      </c>
      <c r="P1249">
        <v>54.3</v>
      </c>
    </row>
    <row r="1250" spans="1:16" x14ac:dyDescent="0.3">
      <c r="A1250" t="s">
        <v>29</v>
      </c>
      <c r="B1250" t="s">
        <v>18</v>
      </c>
      <c r="C1250" t="s">
        <v>19</v>
      </c>
      <c r="D1250" t="s">
        <v>54</v>
      </c>
      <c r="E1250" t="s">
        <v>262</v>
      </c>
      <c r="F1250" t="s">
        <v>5</v>
      </c>
      <c r="G1250" t="s">
        <v>304</v>
      </c>
      <c r="H1250" t="s">
        <v>265</v>
      </c>
      <c r="I1250">
        <v>50</v>
      </c>
      <c r="J1250">
        <v>0.76923076923076927</v>
      </c>
      <c r="K1250">
        <v>0.75107296137339052</v>
      </c>
      <c r="L1250">
        <v>0.78828828828828834</v>
      </c>
      <c r="M1250" t="s">
        <v>60</v>
      </c>
      <c r="N1250" t="s">
        <v>2928</v>
      </c>
      <c r="O1250" t="s">
        <v>2929</v>
      </c>
      <c r="P1250">
        <v>53.1</v>
      </c>
    </row>
    <row r="1251" spans="1:16" x14ac:dyDescent="0.3">
      <c r="A1251" t="s">
        <v>29</v>
      </c>
      <c r="B1251" t="s">
        <v>18</v>
      </c>
      <c r="C1251" t="s">
        <v>19</v>
      </c>
      <c r="D1251" t="s">
        <v>54</v>
      </c>
      <c r="E1251" t="s">
        <v>262</v>
      </c>
      <c r="F1251" t="s">
        <v>5</v>
      </c>
      <c r="G1251" t="s">
        <v>309</v>
      </c>
      <c r="H1251" t="s">
        <v>265</v>
      </c>
      <c r="I1251">
        <v>51</v>
      </c>
      <c r="J1251">
        <v>0.76923076923076927</v>
      </c>
      <c r="K1251">
        <v>0.75107296137339052</v>
      </c>
      <c r="L1251">
        <v>0.78828828828828834</v>
      </c>
      <c r="M1251" t="s">
        <v>60</v>
      </c>
      <c r="N1251" t="s">
        <v>2930</v>
      </c>
      <c r="O1251" t="s">
        <v>2931</v>
      </c>
      <c r="P1251">
        <v>51.8</v>
      </c>
    </row>
    <row r="1252" spans="1:16" x14ac:dyDescent="0.3">
      <c r="A1252" t="s">
        <v>29</v>
      </c>
      <c r="B1252" t="s">
        <v>18</v>
      </c>
      <c r="C1252" t="s">
        <v>19</v>
      </c>
      <c r="D1252" t="s">
        <v>54</v>
      </c>
      <c r="E1252" t="s">
        <v>262</v>
      </c>
      <c r="F1252" t="s">
        <v>5</v>
      </c>
      <c r="G1252" t="s">
        <v>314</v>
      </c>
      <c r="H1252" t="s">
        <v>265</v>
      </c>
      <c r="I1252">
        <v>52</v>
      </c>
      <c r="J1252">
        <v>0.76923076923076927</v>
      </c>
      <c r="K1252">
        <v>0.75107296137339052</v>
      </c>
      <c r="L1252">
        <v>0.78828828828828834</v>
      </c>
      <c r="M1252" t="s">
        <v>60</v>
      </c>
      <c r="N1252" t="s">
        <v>2932</v>
      </c>
      <c r="O1252" t="s">
        <v>2933</v>
      </c>
      <c r="P1252">
        <v>53.2</v>
      </c>
    </row>
    <row r="1253" spans="1:16" x14ac:dyDescent="0.3">
      <c r="A1253" t="s">
        <v>29</v>
      </c>
      <c r="B1253" t="s">
        <v>18</v>
      </c>
      <c r="C1253" t="s">
        <v>19</v>
      </c>
      <c r="D1253" t="s">
        <v>54</v>
      </c>
      <c r="E1253" t="s">
        <v>262</v>
      </c>
      <c r="F1253" t="s">
        <v>5</v>
      </c>
      <c r="G1253" t="s">
        <v>319</v>
      </c>
      <c r="H1253" t="s">
        <v>265</v>
      </c>
      <c r="I1253">
        <v>53</v>
      </c>
      <c r="J1253">
        <v>0.76923076923076927</v>
      </c>
      <c r="K1253">
        <v>0.75107296137339052</v>
      </c>
      <c r="L1253">
        <v>0.78828828828828834</v>
      </c>
      <c r="M1253" t="s">
        <v>60</v>
      </c>
      <c r="N1253" t="s">
        <v>2934</v>
      </c>
      <c r="O1253" t="s">
        <v>2935</v>
      </c>
      <c r="P1253">
        <v>53.5</v>
      </c>
    </row>
    <row r="1254" spans="1:16" x14ac:dyDescent="0.3">
      <c r="A1254" t="s">
        <v>29</v>
      </c>
      <c r="B1254" t="s">
        <v>18</v>
      </c>
      <c r="C1254" t="s">
        <v>19</v>
      </c>
      <c r="D1254" t="s">
        <v>54</v>
      </c>
      <c r="E1254" t="s">
        <v>262</v>
      </c>
      <c r="F1254" t="s">
        <v>5</v>
      </c>
      <c r="G1254" t="s">
        <v>324</v>
      </c>
      <c r="H1254" t="s">
        <v>265</v>
      </c>
      <c r="I1254">
        <v>54</v>
      </c>
      <c r="J1254">
        <v>0.76923076923076927</v>
      </c>
      <c r="K1254">
        <v>0.75107296137339052</v>
      </c>
      <c r="L1254">
        <v>0.78828828828828834</v>
      </c>
      <c r="M1254" t="s">
        <v>60</v>
      </c>
      <c r="N1254" t="s">
        <v>2936</v>
      </c>
      <c r="O1254" t="s">
        <v>2937</v>
      </c>
      <c r="P1254">
        <v>53.9</v>
      </c>
    </row>
    <row r="1255" spans="1:16" x14ac:dyDescent="0.3">
      <c r="A1255" t="s">
        <v>29</v>
      </c>
      <c r="B1255" t="s">
        <v>18</v>
      </c>
      <c r="C1255" t="s">
        <v>19</v>
      </c>
      <c r="D1255" t="s">
        <v>54</v>
      </c>
      <c r="E1255" t="s">
        <v>262</v>
      </c>
      <c r="F1255" t="s">
        <v>5</v>
      </c>
      <c r="G1255" t="s">
        <v>329</v>
      </c>
      <c r="H1255" t="s">
        <v>265</v>
      </c>
      <c r="I1255">
        <v>55</v>
      </c>
      <c r="J1255">
        <v>0.76923076923076927</v>
      </c>
      <c r="K1255">
        <v>0.75107296137339052</v>
      </c>
      <c r="L1255">
        <v>0.78828828828828834</v>
      </c>
      <c r="M1255" t="s">
        <v>60</v>
      </c>
      <c r="N1255" t="s">
        <v>2938</v>
      </c>
      <c r="O1255" t="s">
        <v>2939</v>
      </c>
      <c r="P1255">
        <v>53.8</v>
      </c>
    </row>
    <row r="1256" spans="1:16" x14ac:dyDescent="0.3">
      <c r="A1256" t="s">
        <v>29</v>
      </c>
      <c r="B1256" t="s">
        <v>18</v>
      </c>
      <c r="C1256" t="s">
        <v>19</v>
      </c>
      <c r="D1256" t="s">
        <v>54</v>
      </c>
      <c r="E1256" t="s">
        <v>262</v>
      </c>
      <c r="F1256" t="s">
        <v>5</v>
      </c>
      <c r="G1256" t="s">
        <v>334</v>
      </c>
      <c r="H1256" t="s">
        <v>265</v>
      </c>
      <c r="I1256">
        <v>56</v>
      </c>
      <c r="J1256">
        <v>0.76923076923076927</v>
      </c>
      <c r="K1256">
        <v>0.75107296137339052</v>
      </c>
      <c r="L1256">
        <v>0.78828828828828834</v>
      </c>
      <c r="M1256" t="s">
        <v>60</v>
      </c>
      <c r="N1256" t="s">
        <v>2940</v>
      </c>
      <c r="O1256" t="s">
        <v>2941</v>
      </c>
      <c r="P1256">
        <v>54.2</v>
      </c>
    </row>
    <row r="1257" spans="1:16" x14ac:dyDescent="0.3">
      <c r="A1257" t="s">
        <v>29</v>
      </c>
      <c r="B1257" t="s">
        <v>18</v>
      </c>
      <c r="C1257" t="s">
        <v>19</v>
      </c>
      <c r="D1257" t="s">
        <v>54</v>
      </c>
      <c r="E1257" t="s">
        <v>262</v>
      </c>
      <c r="F1257" t="s">
        <v>5</v>
      </c>
      <c r="G1257" t="s">
        <v>339</v>
      </c>
      <c r="H1257" t="s">
        <v>265</v>
      </c>
      <c r="I1257">
        <v>57</v>
      </c>
      <c r="J1257">
        <v>0.76923076923076927</v>
      </c>
      <c r="K1257">
        <v>0.75107296137339052</v>
      </c>
      <c r="L1257">
        <v>0.78828828828828834</v>
      </c>
      <c r="M1257" t="s">
        <v>60</v>
      </c>
      <c r="N1257" t="s">
        <v>2942</v>
      </c>
      <c r="O1257" t="s">
        <v>2943</v>
      </c>
      <c r="P1257">
        <v>53.3</v>
      </c>
    </row>
    <row r="1258" spans="1:16" x14ac:dyDescent="0.3">
      <c r="A1258" t="s">
        <v>29</v>
      </c>
      <c r="B1258" t="s">
        <v>18</v>
      </c>
      <c r="C1258" t="s">
        <v>19</v>
      </c>
      <c r="D1258" t="s">
        <v>54</v>
      </c>
      <c r="E1258" t="s">
        <v>262</v>
      </c>
      <c r="F1258" t="s">
        <v>5</v>
      </c>
      <c r="G1258" t="s">
        <v>344</v>
      </c>
      <c r="H1258" t="s">
        <v>265</v>
      </c>
      <c r="I1258">
        <v>58</v>
      </c>
      <c r="J1258">
        <v>0.76923076923076927</v>
      </c>
      <c r="K1258">
        <v>0.75107296137339052</v>
      </c>
      <c r="L1258">
        <v>0.78828828828828834</v>
      </c>
      <c r="M1258" t="s">
        <v>60</v>
      </c>
      <c r="N1258" t="s">
        <v>2944</v>
      </c>
      <c r="O1258" t="s">
        <v>2945</v>
      </c>
      <c r="P1258">
        <v>52.9</v>
      </c>
    </row>
    <row r="1259" spans="1:16" x14ac:dyDescent="0.3">
      <c r="A1259" t="s">
        <v>29</v>
      </c>
      <c r="B1259" t="s">
        <v>18</v>
      </c>
      <c r="C1259" t="s">
        <v>19</v>
      </c>
      <c r="D1259" t="s">
        <v>54</v>
      </c>
      <c r="E1259" t="s">
        <v>262</v>
      </c>
      <c r="F1259" t="s">
        <v>5</v>
      </c>
      <c r="G1259" t="s">
        <v>349</v>
      </c>
      <c r="H1259" t="s">
        <v>265</v>
      </c>
      <c r="I1259">
        <v>59</v>
      </c>
      <c r="J1259">
        <v>0.76923076923076927</v>
      </c>
      <c r="K1259">
        <v>0.75107296137339052</v>
      </c>
      <c r="L1259">
        <v>0.78828828828828834</v>
      </c>
      <c r="M1259" t="s">
        <v>60</v>
      </c>
      <c r="N1259" t="s">
        <v>2946</v>
      </c>
      <c r="O1259" t="s">
        <v>2947</v>
      </c>
      <c r="P1259">
        <v>53.3</v>
      </c>
    </row>
    <row r="1260" spans="1:16" x14ac:dyDescent="0.3">
      <c r="A1260" t="s">
        <v>29</v>
      </c>
      <c r="B1260" t="s">
        <v>18</v>
      </c>
      <c r="C1260" t="s">
        <v>19</v>
      </c>
      <c r="D1260" t="s">
        <v>54</v>
      </c>
      <c r="E1260" t="s">
        <v>262</v>
      </c>
      <c r="F1260" t="s">
        <v>5</v>
      </c>
      <c r="G1260" t="s">
        <v>354</v>
      </c>
      <c r="H1260" t="s">
        <v>265</v>
      </c>
      <c r="I1260">
        <v>60</v>
      </c>
      <c r="J1260">
        <v>0.76923076923076927</v>
      </c>
      <c r="K1260">
        <v>0.75107296137339052</v>
      </c>
      <c r="L1260">
        <v>0.78828828828828834</v>
      </c>
      <c r="M1260" t="s">
        <v>60</v>
      </c>
      <c r="N1260" t="s">
        <v>2948</v>
      </c>
      <c r="O1260" t="s">
        <v>2949</v>
      </c>
      <c r="P1260">
        <v>53.6</v>
      </c>
    </row>
    <row r="1261" spans="1:16" x14ac:dyDescent="0.3">
      <c r="A1261" t="s">
        <v>29</v>
      </c>
      <c r="B1261" t="s">
        <v>18</v>
      </c>
      <c r="C1261" t="s">
        <v>19</v>
      </c>
      <c r="D1261" t="s">
        <v>54</v>
      </c>
      <c r="E1261" t="s">
        <v>262</v>
      </c>
      <c r="F1261" t="s">
        <v>5</v>
      </c>
      <c r="G1261" t="s">
        <v>359</v>
      </c>
      <c r="H1261" t="s">
        <v>265</v>
      </c>
      <c r="I1261">
        <v>61</v>
      </c>
      <c r="J1261">
        <v>0.76923076923076927</v>
      </c>
      <c r="K1261">
        <v>0.75107296137339052</v>
      </c>
      <c r="L1261">
        <v>0.78828828828828834</v>
      </c>
      <c r="M1261" t="s">
        <v>60</v>
      </c>
      <c r="N1261" t="s">
        <v>2950</v>
      </c>
      <c r="O1261" t="s">
        <v>2951</v>
      </c>
      <c r="P1261">
        <v>53.2</v>
      </c>
    </row>
    <row r="1262" spans="1:16" x14ac:dyDescent="0.3">
      <c r="A1262" t="s">
        <v>29</v>
      </c>
      <c r="B1262" t="s">
        <v>18</v>
      </c>
      <c r="C1262" t="s">
        <v>19</v>
      </c>
      <c r="D1262" t="s">
        <v>363</v>
      </c>
      <c r="E1262" t="s">
        <v>365</v>
      </c>
      <c r="F1262" t="s">
        <v>13</v>
      </c>
      <c r="G1262" t="s">
        <v>366</v>
      </c>
      <c r="H1262" t="s">
        <v>368</v>
      </c>
      <c r="I1262">
        <v>42</v>
      </c>
      <c r="J1262">
        <v>0.76859504132231404</v>
      </c>
      <c r="K1262">
        <v>0.73228346456692917</v>
      </c>
      <c r="L1262">
        <v>0.80869565217391304</v>
      </c>
      <c r="M1262" t="s">
        <v>60</v>
      </c>
      <c r="N1262" t="s">
        <v>2952</v>
      </c>
      <c r="O1262" t="s">
        <v>2953</v>
      </c>
      <c r="P1262">
        <v>225</v>
      </c>
    </row>
    <row r="1263" spans="1:16" x14ac:dyDescent="0.3">
      <c r="A1263" t="s">
        <v>29</v>
      </c>
      <c r="B1263" t="s">
        <v>18</v>
      </c>
      <c r="C1263" t="s">
        <v>19</v>
      </c>
      <c r="D1263" t="s">
        <v>363</v>
      </c>
      <c r="E1263" t="s">
        <v>365</v>
      </c>
      <c r="F1263" t="s">
        <v>13</v>
      </c>
      <c r="G1263" t="s">
        <v>372</v>
      </c>
      <c r="H1263" t="s">
        <v>368</v>
      </c>
      <c r="I1263">
        <v>43</v>
      </c>
      <c r="J1263">
        <v>0.78902953586497893</v>
      </c>
      <c r="K1263">
        <v>0.76639344262295084</v>
      </c>
      <c r="L1263">
        <v>0.81304347826086953</v>
      </c>
      <c r="M1263" t="s">
        <v>60</v>
      </c>
      <c r="N1263" t="s">
        <v>2954</v>
      </c>
      <c r="O1263" t="s">
        <v>2955</v>
      </c>
      <c r="P1263">
        <v>210</v>
      </c>
    </row>
    <row r="1264" spans="1:16" x14ac:dyDescent="0.3">
      <c r="A1264" t="s">
        <v>29</v>
      </c>
      <c r="B1264" t="s">
        <v>18</v>
      </c>
      <c r="C1264" t="s">
        <v>19</v>
      </c>
      <c r="D1264" t="s">
        <v>363</v>
      </c>
      <c r="E1264" t="s">
        <v>365</v>
      </c>
      <c r="F1264" t="s">
        <v>13</v>
      </c>
      <c r="G1264" t="s">
        <v>377</v>
      </c>
      <c r="H1264" t="s">
        <v>368</v>
      </c>
      <c r="I1264">
        <v>44</v>
      </c>
      <c r="J1264">
        <v>0.79917184265010366</v>
      </c>
      <c r="K1264">
        <v>0.76284584980237158</v>
      </c>
      <c r="L1264">
        <v>0.83913043478260874</v>
      </c>
      <c r="M1264" t="s">
        <v>60</v>
      </c>
      <c r="N1264" t="s">
        <v>2956</v>
      </c>
      <c r="O1264" t="s">
        <v>2957</v>
      </c>
      <c r="P1264">
        <v>237.5</v>
      </c>
    </row>
    <row r="1265" spans="1:16" x14ac:dyDescent="0.3">
      <c r="A1265" t="s">
        <v>29</v>
      </c>
      <c r="B1265" t="s">
        <v>18</v>
      </c>
      <c r="C1265" t="s">
        <v>19</v>
      </c>
      <c r="D1265" t="s">
        <v>363</v>
      </c>
      <c r="E1265" t="s">
        <v>365</v>
      </c>
      <c r="F1265" t="s">
        <v>13</v>
      </c>
      <c r="G1265" t="s">
        <v>382</v>
      </c>
      <c r="H1265" t="s">
        <v>368</v>
      </c>
      <c r="I1265">
        <v>45</v>
      </c>
      <c r="J1265">
        <v>0.80338266384778023</v>
      </c>
      <c r="K1265">
        <v>0.78189300411522633</v>
      </c>
      <c r="L1265">
        <v>0.82608695652173914</v>
      </c>
      <c r="M1265" t="s">
        <v>60</v>
      </c>
      <c r="N1265" t="s">
        <v>2958</v>
      </c>
      <c r="O1265" t="s">
        <v>2959</v>
      </c>
      <c r="P1265">
        <v>226.1</v>
      </c>
    </row>
    <row r="1266" spans="1:16" x14ac:dyDescent="0.3">
      <c r="A1266" t="s">
        <v>29</v>
      </c>
      <c r="B1266" t="s">
        <v>18</v>
      </c>
      <c r="C1266" t="s">
        <v>19</v>
      </c>
      <c r="D1266" t="s">
        <v>363</v>
      </c>
      <c r="E1266" t="s">
        <v>365</v>
      </c>
      <c r="F1266" t="s">
        <v>13</v>
      </c>
      <c r="G1266" t="s">
        <v>387</v>
      </c>
      <c r="H1266" t="s">
        <v>368</v>
      </c>
      <c r="I1266">
        <v>46</v>
      </c>
      <c r="J1266">
        <v>0.79833679833679827</v>
      </c>
      <c r="K1266">
        <v>0.76494023904382469</v>
      </c>
      <c r="L1266">
        <v>0.83478260869565213</v>
      </c>
      <c r="M1266" t="s">
        <v>60</v>
      </c>
      <c r="N1266" t="s">
        <v>2960</v>
      </c>
      <c r="O1266" t="s">
        <v>2961</v>
      </c>
      <c r="P1266">
        <v>225.5</v>
      </c>
    </row>
    <row r="1267" spans="1:16" x14ac:dyDescent="0.3">
      <c r="A1267" t="s">
        <v>29</v>
      </c>
      <c r="B1267" t="s">
        <v>18</v>
      </c>
      <c r="C1267" t="s">
        <v>19</v>
      </c>
      <c r="D1267" t="s">
        <v>363</v>
      </c>
      <c r="E1267" t="s">
        <v>365</v>
      </c>
      <c r="F1267" t="s">
        <v>13</v>
      </c>
      <c r="G1267" t="s">
        <v>392</v>
      </c>
      <c r="H1267" t="s">
        <v>368</v>
      </c>
      <c r="I1267">
        <v>47</v>
      </c>
      <c r="J1267">
        <v>0.78455284552845539</v>
      </c>
      <c r="K1267">
        <v>0.73664122137404575</v>
      </c>
      <c r="L1267">
        <v>0.83913043478260874</v>
      </c>
      <c r="M1267" t="s">
        <v>60</v>
      </c>
      <c r="N1267" t="s">
        <v>2962</v>
      </c>
      <c r="O1267" t="s">
        <v>2963</v>
      </c>
      <c r="P1267">
        <v>240.7</v>
      </c>
    </row>
    <row r="1268" spans="1:16" x14ac:dyDescent="0.3">
      <c r="A1268" t="s">
        <v>29</v>
      </c>
      <c r="B1268" t="s">
        <v>18</v>
      </c>
      <c r="C1268" t="s">
        <v>19</v>
      </c>
      <c r="D1268" t="s">
        <v>363</v>
      </c>
      <c r="E1268" t="s">
        <v>365</v>
      </c>
      <c r="F1268" t="s">
        <v>13</v>
      </c>
      <c r="G1268" t="s">
        <v>397</v>
      </c>
      <c r="H1268" t="s">
        <v>368</v>
      </c>
      <c r="I1268">
        <v>48</v>
      </c>
      <c r="J1268">
        <v>0.79915433403805503</v>
      </c>
      <c r="K1268">
        <v>0.77777777777777779</v>
      </c>
      <c r="L1268">
        <v>0.82173913043478264</v>
      </c>
      <c r="M1268" t="s">
        <v>60</v>
      </c>
      <c r="N1268" t="s">
        <v>2964</v>
      </c>
      <c r="O1268" t="s">
        <v>2965</v>
      </c>
      <c r="P1268">
        <v>213.2</v>
      </c>
    </row>
    <row r="1269" spans="1:16" x14ac:dyDescent="0.3">
      <c r="A1269" t="s">
        <v>29</v>
      </c>
      <c r="B1269" t="s">
        <v>18</v>
      </c>
      <c r="C1269" t="s">
        <v>19</v>
      </c>
      <c r="D1269" t="s">
        <v>363</v>
      </c>
      <c r="E1269" t="s">
        <v>365</v>
      </c>
      <c r="F1269" t="s">
        <v>13</v>
      </c>
      <c r="G1269" t="s">
        <v>402</v>
      </c>
      <c r="H1269" t="s">
        <v>368</v>
      </c>
      <c r="I1269">
        <v>49</v>
      </c>
      <c r="J1269">
        <v>0.79831932773109249</v>
      </c>
      <c r="K1269">
        <v>0.77235772357723576</v>
      </c>
      <c r="L1269">
        <v>0.82608695652173914</v>
      </c>
      <c r="M1269" t="s">
        <v>60</v>
      </c>
      <c r="N1269" t="s">
        <v>2966</v>
      </c>
      <c r="O1269" t="s">
        <v>2967</v>
      </c>
      <c r="P1269">
        <v>239.7</v>
      </c>
    </row>
    <row r="1270" spans="1:16" x14ac:dyDescent="0.3">
      <c r="A1270" t="s">
        <v>29</v>
      </c>
      <c r="B1270" t="s">
        <v>18</v>
      </c>
      <c r="C1270" t="s">
        <v>19</v>
      </c>
      <c r="D1270" t="s">
        <v>363</v>
      </c>
      <c r="E1270" t="s">
        <v>365</v>
      </c>
      <c r="F1270" t="s">
        <v>13</v>
      </c>
      <c r="G1270" t="s">
        <v>407</v>
      </c>
      <c r="H1270" t="s">
        <v>368</v>
      </c>
      <c r="I1270">
        <v>50</v>
      </c>
      <c r="J1270">
        <v>0.80252100840336138</v>
      </c>
      <c r="K1270">
        <v>0.77642276422764223</v>
      </c>
      <c r="L1270">
        <v>0.83043478260869563</v>
      </c>
      <c r="M1270" t="s">
        <v>60</v>
      </c>
      <c r="N1270" t="s">
        <v>2968</v>
      </c>
      <c r="O1270" t="s">
        <v>2969</v>
      </c>
      <c r="P1270">
        <v>223.7</v>
      </c>
    </row>
    <row r="1271" spans="1:16" x14ac:dyDescent="0.3">
      <c r="A1271" t="s">
        <v>29</v>
      </c>
      <c r="B1271" t="s">
        <v>18</v>
      </c>
      <c r="C1271" t="s">
        <v>19</v>
      </c>
      <c r="D1271" t="s">
        <v>363</v>
      </c>
      <c r="E1271" t="s">
        <v>365</v>
      </c>
      <c r="F1271" t="s">
        <v>13</v>
      </c>
      <c r="G1271" t="s">
        <v>412</v>
      </c>
      <c r="H1271" t="s">
        <v>368</v>
      </c>
      <c r="I1271">
        <v>51</v>
      </c>
      <c r="J1271">
        <v>0.81183932346723031</v>
      </c>
      <c r="K1271">
        <v>0.79012345679012341</v>
      </c>
      <c r="L1271">
        <v>0.83478260869565213</v>
      </c>
      <c r="M1271" t="s">
        <v>60</v>
      </c>
      <c r="N1271" t="s">
        <v>2970</v>
      </c>
      <c r="O1271" t="s">
        <v>2971</v>
      </c>
      <c r="P1271">
        <v>240.5</v>
      </c>
    </row>
    <row r="1272" spans="1:16" x14ac:dyDescent="0.3">
      <c r="A1272" t="s">
        <v>29</v>
      </c>
      <c r="B1272" t="s">
        <v>18</v>
      </c>
      <c r="C1272" t="s">
        <v>19</v>
      </c>
      <c r="D1272" t="s">
        <v>363</v>
      </c>
      <c r="E1272" t="s">
        <v>365</v>
      </c>
      <c r="F1272" t="s">
        <v>13</v>
      </c>
      <c r="G1272" t="s">
        <v>417</v>
      </c>
      <c r="H1272" t="s">
        <v>368</v>
      </c>
      <c r="I1272">
        <v>52</v>
      </c>
      <c r="J1272">
        <v>0.77801268498942933</v>
      </c>
      <c r="K1272">
        <v>0.75720164609053497</v>
      </c>
      <c r="L1272">
        <v>0.8</v>
      </c>
      <c r="M1272" t="s">
        <v>60</v>
      </c>
      <c r="N1272" t="s">
        <v>2972</v>
      </c>
      <c r="O1272" t="s">
        <v>2973</v>
      </c>
      <c r="P1272">
        <v>241.6</v>
      </c>
    </row>
    <row r="1273" spans="1:16" x14ac:dyDescent="0.3">
      <c r="A1273" t="s">
        <v>29</v>
      </c>
      <c r="B1273" t="s">
        <v>18</v>
      </c>
      <c r="C1273" t="s">
        <v>19</v>
      </c>
      <c r="D1273" t="s">
        <v>363</v>
      </c>
      <c r="E1273" t="s">
        <v>365</v>
      </c>
      <c r="F1273" t="s">
        <v>13</v>
      </c>
      <c r="G1273" t="s">
        <v>422</v>
      </c>
      <c r="H1273" t="s">
        <v>368</v>
      </c>
      <c r="I1273">
        <v>53</v>
      </c>
      <c r="J1273">
        <v>0.78315789473684205</v>
      </c>
      <c r="K1273">
        <v>0.75918367346938775</v>
      </c>
      <c r="L1273">
        <v>0.80869565217391304</v>
      </c>
      <c r="M1273" t="s">
        <v>60</v>
      </c>
      <c r="N1273" t="s">
        <v>2974</v>
      </c>
      <c r="O1273" t="s">
        <v>2975</v>
      </c>
      <c r="P1273">
        <v>236.8</v>
      </c>
    </row>
    <row r="1274" spans="1:16" x14ac:dyDescent="0.3">
      <c r="A1274" t="s">
        <v>29</v>
      </c>
      <c r="B1274" t="s">
        <v>18</v>
      </c>
      <c r="C1274" t="s">
        <v>19</v>
      </c>
      <c r="D1274" t="s">
        <v>363</v>
      </c>
      <c r="E1274" t="s">
        <v>365</v>
      </c>
      <c r="F1274" t="s">
        <v>13</v>
      </c>
      <c r="G1274" t="s">
        <v>427</v>
      </c>
      <c r="H1274" t="s">
        <v>368</v>
      </c>
      <c r="I1274">
        <v>54</v>
      </c>
      <c r="J1274">
        <v>0.79166666666666674</v>
      </c>
      <c r="K1274">
        <v>0.76</v>
      </c>
      <c r="L1274">
        <v>0.82608695652173914</v>
      </c>
      <c r="M1274" t="s">
        <v>60</v>
      </c>
      <c r="N1274" t="s">
        <v>2976</v>
      </c>
      <c r="O1274" t="s">
        <v>2977</v>
      </c>
      <c r="P1274">
        <v>186.8</v>
      </c>
    </row>
    <row r="1275" spans="1:16" x14ac:dyDescent="0.3">
      <c r="A1275" t="s">
        <v>29</v>
      </c>
      <c r="B1275" t="s">
        <v>18</v>
      </c>
      <c r="C1275" t="s">
        <v>19</v>
      </c>
      <c r="D1275" t="s">
        <v>363</v>
      </c>
      <c r="E1275" t="s">
        <v>365</v>
      </c>
      <c r="F1275" t="s">
        <v>13</v>
      </c>
      <c r="G1275" t="s">
        <v>432</v>
      </c>
      <c r="H1275" t="s">
        <v>368</v>
      </c>
      <c r="I1275">
        <v>55</v>
      </c>
      <c r="J1275">
        <v>0.80425531914893622</v>
      </c>
      <c r="K1275">
        <v>0.78749999999999998</v>
      </c>
      <c r="L1275">
        <v>0.82173913043478264</v>
      </c>
      <c r="M1275" t="s">
        <v>60</v>
      </c>
      <c r="N1275" t="s">
        <v>2978</v>
      </c>
      <c r="O1275" t="s">
        <v>2979</v>
      </c>
      <c r="P1275">
        <v>241.4</v>
      </c>
    </row>
    <row r="1276" spans="1:16" x14ac:dyDescent="0.3">
      <c r="A1276" t="s">
        <v>29</v>
      </c>
      <c r="B1276" t="s">
        <v>18</v>
      </c>
      <c r="C1276" t="s">
        <v>19</v>
      </c>
      <c r="D1276" t="s">
        <v>363</v>
      </c>
      <c r="E1276" t="s">
        <v>365</v>
      </c>
      <c r="F1276" t="s">
        <v>13</v>
      </c>
      <c r="G1276" t="s">
        <v>437</v>
      </c>
      <c r="H1276" t="s">
        <v>368</v>
      </c>
      <c r="I1276">
        <v>56</v>
      </c>
      <c r="J1276">
        <v>0.78242677824267781</v>
      </c>
      <c r="K1276">
        <v>0.75403225806451613</v>
      </c>
      <c r="L1276">
        <v>0.81304347826086953</v>
      </c>
      <c r="M1276" t="s">
        <v>60</v>
      </c>
      <c r="N1276" t="s">
        <v>2980</v>
      </c>
      <c r="O1276" t="s">
        <v>2981</v>
      </c>
      <c r="P1276">
        <v>200.4</v>
      </c>
    </row>
    <row r="1277" spans="1:16" x14ac:dyDescent="0.3">
      <c r="A1277" t="s">
        <v>29</v>
      </c>
      <c r="B1277" t="s">
        <v>18</v>
      </c>
      <c r="C1277" t="s">
        <v>19</v>
      </c>
      <c r="D1277" t="s">
        <v>363</v>
      </c>
      <c r="E1277" t="s">
        <v>365</v>
      </c>
      <c r="F1277" t="s">
        <v>13</v>
      </c>
      <c r="G1277" t="s">
        <v>442</v>
      </c>
      <c r="H1277" t="s">
        <v>368</v>
      </c>
      <c r="I1277">
        <v>57</v>
      </c>
      <c r="J1277">
        <v>0.79324894514767941</v>
      </c>
      <c r="K1277">
        <v>0.77049180327868849</v>
      </c>
      <c r="L1277">
        <v>0.81739130434782614</v>
      </c>
      <c r="M1277" t="s">
        <v>60</v>
      </c>
      <c r="N1277" t="s">
        <v>2982</v>
      </c>
      <c r="O1277" t="s">
        <v>2983</v>
      </c>
      <c r="P1277">
        <v>227.5</v>
      </c>
    </row>
    <row r="1278" spans="1:16" x14ac:dyDescent="0.3">
      <c r="A1278" t="s">
        <v>29</v>
      </c>
      <c r="B1278" t="s">
        <v>18</v>
      </c>
      <c r="C1278" t="s">
        <v>19</v>
      </c>
      <c r="D1278" t="s">
        <v>363</v>
      </c>
      <c r="E1278" t="s">
        <v>365</v>
      </c>
      <c r="F1278" t="s">
        <v>13</v>
      </c>
      <c r="G1278" t="s">
        <v>447</v>
      </c>
      <c r="H1278" t="s">
        <v>368</v>
      </c>
      <c r="I1278">
        <v>58</v>
      </c>
      <c r="J1278">
        <v>0.78315789473684205</v>
      </c>
      <c r="K1278">
        <v>0.75918367346938775</v>
      </c>
      <c r="L1278">
        <v>0.80869565217391304</v>
      </c>
      <c r="M1278" t="s">
        <v>60</v>
      </c>
      <c r="N1278" t="s">
        <v>2984</v>
      </c>
      <c r="O1278" t="s">
        <v>2985</v>
      </c>
      <c r="P1278">
        <v>239.5</v>
      </c>
    </row>
    <row r="1279" spans="1:16" x14ac:dyDescent="0.3">
      <c r="A1279" t="s">
        <v>29</v>
      </c>
      <c r="B1279" t="s">
        <v>18</v>
      </c>
      <c r="C1279" t="s">
        <v>19</v>
      </c>
      <c r="D1279" t="s">
        <v>363</v>
      </c>
      <c r="E1279" t="s">
        <v>365</v>
      </c>
      <c r="F1279" t="s">
        <v>13</v>
      </c>
      <c r="G1279" t="s">
        <v>452</v>
      </c>
      <c r="H1279" t="s">
        <v>368</v>
      </c>
      <c r="I1279">
        <v>59</v>
      </c>
      <c r="J1279">
        <v>0.78170478170478175</v>
      </c>
      <c r="K1279">
        <v>0.74900398406374502</v>
      </c>
      <c r="L1279">
        <v>0.81739130434782614</v>
      </c>
      <c r="M1279" t="s">
        <v>60</v>
      </c>
      <c r="N1279" t="s">
        <v>2986</v>
      </c>
      <c r="O1279" t="s">
        <v>2987</v>
      </c>
      <c r="P1279">
        <v>183.8</v>
      </c>
    </row>
    <row r="1280" spans="1:16" x14ac:dyDescent="0.3">
      <c r="A1280" t="s">
        <v>29</v>
      </c>
      <c r="B1280" t="s">
        <v>18</v>
      </c>
      <c r="C1280" t="s">
        <v>19</v>
      </c>
      <c r="D1280" t="s">
        <v>363</v>
      </c>
      <c r="E1280" t="s">
        <v>365</v>
      </c>
      <c r="F1280" t="s">
        <v>13</v>
      </c>
      <c r="G1280" t="s">
        <v>457</v>
      </c>
      <c r="H1280" t="s">
        <v>368</v>
      </c>
      <c r="I1280">
        <v>60</v>
      </c>
      <c r="J1280">
        <v>0.79069767441860461</v>
      </c>
      <c r="K1280">
        <v>0.76954732510288071</v>
      </c>
      <c r="L1280">
        <v>0.81304347826086953</v>
      </c>
      <c r="M1280" t="s">
        <v>60</v>
      </c>
      <c r="N1280" t="s">
        <v>2988</v>
      </c>
      <c r="O1280" t="s">
        <v>2989</v>
      </c>
      <c r="P1280">
        <v>199.7</v>
      </c>
    </row>
    <row r="1281" spans="1:16" x14ac:dyDescent="0.3">
      <c r="A1281" t="s">
        <v>29</v>
      </c>
      <c r="B1281" t="s">
        <v>18</v>
      </c>
      <c r="C1281" t="s">
        <v>19</v>
      </c>
      <c r="D1281" t="s">
        <v>363</v>
      </c>
      <c r="E1281" t="s">
        <v>365</v>
      </c>
      <c r="F1281" t="s">
        <v>13</v>
      </c>
      <c r="G1281" t="s">
        <v>462</v>
      </c>
      <c r="H1281" t="s">
        <v>368</v>
      </c>
      <c r="I1281">
        <v>61</v>
      </c>
      <c r="J1281">
        <v>0.8</v>
      </c>
      <c r="K1281">
        <v>0.78333333333333333</v>
      </c>
      <c r="L1281">
        <v>0.81739130434782614</v>
      </c>
      <c r="M1281" t="s">
        <v>60</v>
      </c>
      <c r="N1281" t="s">
        <v>2990</v>
      </c>
      <c r="O1281" t="s">
        <v>2991</v>
      </c>
      <c r="P1281">
        <v>209.1</v>
      </c>
    </row>
    <row r="1282" spans="1:16" x14ac:dyDescent="0.3">
      <c r="A1282" t="s">
        <v>29</v>
      </c>
      <c r="B1282" t="s">
        <v>18</v>
      </c>
      <c r="C1282" t="s">
        <v>19</v>
      </c>
      <c r="D1282" t="s">
        <v>363</v>
      </c>
      <c r="E1282" t="s">
        <v>467</v>
      </c>
      <c r="F1282" t="s">
        <v>9</v>
      </c>
      <c r="G1282" t="s">
        <v>468</v>
      </c>
      <c r="H1282" t="s">
        <v>470</v>
      </c>
      <c r="I1282">
        <v>42</v>
      </c>
      <c r="J1282">
        <v>0.78977272727272729</v>
      </c>
      <c r="K1282">
        <v>0.7595628415300546</v>
      </c>
      <c r="L1282">
        <v>0.8224852071005917</v>
      </c>
      <c r="M1282" t="s">
        <v>60</v>
      </c>
      <c r="N1282" t="s">
        <v>2992</v>
      </c>
      <c r="O1282" t="s">
        <v>2993</v>
      </c>
      <c r="P1282">
        <v>211.8</v>
      </c>
    </row>
    <row r="1283" spans="1:16" x14ac:dyDescent="0.3">
      <c r="A1283" t="s">
        <v>29</v>
      </c>
      <c r="B1283" t="s">
        <v>18</v>
      </c>
      <c r="C1283" t="s">
        <v>19</v>
      </c>
      <c r="D1283" t="s">
        <v>363</v>
      </c>
      <c r="E1283" t="s">
        <v>467</v>
      </c>
      <c r="F1283" t="s">
        <v>9</v>
      </c>
      <c r="G1283" t="s">
        <v>474</v>
      </c>
      <c r="H1283" t="s">
        <v>470</v>
      </c>
      <c r="I1283">
        <v>43</v>
      </c>
      <c r="J1283">
        <v>0.80886426592797789</v>
      </c>
      <c r="K1283">
        <v>0.76041666666666663</v>
      </c>
      <c r="L1283">
        <v>0.86390532544378695</v>
      </c>
      <c r="M1283" t="s">
        <v>60</v>
      </c>
      <c r="N1283" t="s">
        <v>2994</v>
      </c>
      <c r="O1283" t="s">
        <v>2995</v>
      </c>
      <c r="P1283">
        <v>198.9</v>
      </c>
    </row>
    <row r="1284" spans="1:16" x14ac:dyDescent="0.3">
      <c r="A1284" t="s">
        <v>29</v>
      </c>
      <c r="B1284" t="s">
        <v>18</v>
      </c>
      <c r="C1284" t="s">
        <v>19</v>
      </c>
      <c r="D1284" t="s">
        <v>363</v>
      </c>
      <c r="E1284" t="s">
        <v>467</v>
      </c>
      <c r="F1284" t="s">
        <v>9</v>
      </c>
      <c r="G1284" t="s">
        <v>479</v>
      </c>
      <c r="H1284" t="s">
        <v>470</v>
      </c>
      <c r="I1284">
        <v>44</v>
      </c>
      <c r="J1284">
        <v>0.78062678062678059</v>
      </c>
      <c r="K1284">
        <v>0.75274725274725274</v>
      </c>
      <c r="L1284">
        <v>0.81065088757396453</v>
      </c>
      <c r="M1284" t="s">
        <v>60</v>
      </c>
      <c r="N1284" t="s">
        <v>2996</v>
      </c>
      <c r="O1284" t="s">
        <v>2997</v>
      </c>
      <c r="P1284">
        <v>171.8</v>
      </c>
    </row>
    <row r="1285" spans="1:16" x14ac:dyDescent="0.3">
      <c r="A1285" t="s">
        <v>29</v>
      </c>
      <c r="B1285" t="s">
        <v>18</v>
      </c>
      <c r="C1285" t="s">
        <v>19</v>
      </c>
      <c r="D1285" t="s">
        <v>363</v>
      </c>
      <c r="E1285" t="s">
        <v>467</v>
      </c>
      <c r="F1285" t="s">
        <v>9</v>
      </c>
      <c r="G1285" t="s">
        <v>484</v>
      </c>
      <c r="H1285" t="s">
        <v>470</v>
      </c>
      <c r="I1285">
        <v>45</v>
      </c>
      <c r="J1285">
        <v>0.80337078651685379</v>
      </c>
      <c r="K1285">
        <v>0.76470588235294112</v>
      </c>
      <c r="L1285">
        <v>0.84615384615384615</v>
      </c>
      <c r="M1285" t="s">
        <v>60</v>
      </c>
      <c r="N1285" t="s">
        <v>2998</v>
      </c>
      <c r="O1285" t="s">
        <v>2999</v>
      </c>
      <c r="P1285">
        <v>199</v>
      </c>
    </row>
    <row r="1286" spans="1:16" x14ac:dyDescent="0.3">
      <c r="A1286" t="s">
        <v>29</v>
      </c>
      <c r="B1286" t="s">
        <v>18</v>
      </c>
      <c r="C1286" t="s">
        <v>19</v>
      </c>
      <c r="D1286" t="s">
        <v>363</v>
      </c>
      <c r="E1286" t="s">
        <v>467</v>
      </c>
      <c r="F1286" t="s">
        <v>9</v>
      </c>
      <c r="G1286" t="s">
        <v>489</v>
      </c>
      <c r="H1286" t="s">
        <v>470</v>
      </c>
      <c r="I1286">
        <v>46</v>
      </c>
      <c r="J1286">
        <v>0.79772079772079774</v>
      </c>
      <c r="K1286">
        <v>0.76923076923076927</v>
      </c>
      <c r="L1286">
        <v>0.82840236686390534</v>
      </c>
      <c r="M1286" t="s">
        <v>60</v>
      </c>
      <c r="N1286" t="s">
        <v>3000</v>
      </c>
      <c r="O1286" t="s">
        <v>3001</v>
      </c>
      <c r="P1286">
        <v>186</v>
      </c>
    </row>
    <row r="1287" spans="1:16" x14ac:dyDescent="0.3">
      <c r="A1287" t="s">
        <v>29</v>
      </c>
      <c r="B1287" t="s">
        <v>18</v>
      </c>
      <c r="C1287" t="s">
        <v>19</v>
      </c>
      <c r="D1287" t="s">
        <v>363</v>
      </c>
      <c r="E1287" t="s">
        <v>467</v>
      </c>
      <c r="F1287" t="s">
        <v>9</v>
      </c>
      <c r="G1287" t="s">
        <v>494</v>
      </c>
      <c r="H1287" t="s">
        <v>470</v>
      </c>
      <c r="I1287">
        <v>47</v>
      </c>
      <c r="J1287">
        <v>0.78021978021978022</v>
      </c>
      <c r="K1287">
        <v>0.72820512820512817</v>
      </c>
      <c r="L1287">
        <v>0.84023668639053251</v>
      </c>
      <c r="M1287" t="s">
        <v>60</v>
      </c>
      <c r="N1287" t="s">
        <v>3002</v>
      </c>
      <c r="O1287" t="s">
        <v>3003</v>
      </c>
      <c r="P1287">
        <v>200.3</v>
      </c>
    </row>
    <row r="1288" spans="1:16" x14ac:dyDescent="0.3">
      <c r="A1288" t="s">
        <v>29</v>
      </c>
      <c r="B1288" t="s">
        <v>18</v>
      </c>
      <c r="C1288" t="s">
        <v>19</v>
      </c>
      <c r="D1288" t="s">
        <v>363</v>
      </c>
      <c r="E1288" t="s">
        <v>467</v>
      </c>
      <c r="F1288" t="s">
        <v>9</v>
      </c>
      <c r="G1288" t="s">
        <v>499</v>
      </c>
      <c r="H1288" t="s">
        <v>470</v>
      </c>
      <c r="I1288">
        <v>48</v>
      </c>
      <c r="J1288">
        <v>0.78787878787878785</v>
      </c>
      <c r="K1288">
        <v>0.73711340206185572</v>
      </c>
      <c r="L1288">
        <v>0.84615384615384615</v>
      </c>
      <c r="M1288" t="s">
        <v>60</v>
      </c>
      <c r="N1288" t="s">
        <v>3004</v>
      </c>
      <c r="O1288" t="s">
        <v>3005</v>
      </c>
      <c r="P1288">
        <v>172.4</v>
      </c>
    </row>
    <row r="1289" spans="1:16" x14ac:dyDescent="0.3">
      <c r="A1289" t="s">
        <v>29</v>
      </c>
      <c r="B1289" t="s">
        <v>18</v>
      </c>
      <c r="C1289" t="s">
        <v>19</v>
      </c>
      <c r="D1289" t="s">
        <v>363</v>
      </c>
      <c r="E1289" t="s">
        <v>467</v>
      </c>
      <c r="F1289" t="s">
        <v>9</v>
      </c>
      <c r="G1289" t="s">
        <v>504</v>
      </c>
      <c r="H1289" t="s">
        <v>470</v>
      </c>
      <c r="I1289">
        <v>49</v>
      </c>
      <c r="J1289">
        <v>0.78991596638655459</v>
      </c>
      <c r="K1289">
        <v>0.75</v>
      </c>
      <c r="L1289">
        <v>0.83431952662721898</v>
      </c>
      <c r="M1289" t="s">
        <v>60</v>
      </c>
      <c r="N1289" t="s">
        <v>3006</v>
      </c>
      <c r="O1289" t="s">
        <v>3007</v>
      </c>
      <c r="P1289">
        <v>226.3</v>
      </c>
    </row>
    <row r="1290" spans="1:16" x14ac:dyDescent="0.3">
      <c r="A1290" t="s">
        <v>29</v>
      </c>
      <c r="B1290" t="s">
        <v>18</v>
      </c>
      <c r="C1290" t="s">
        <v>19</v>
      </c>
      <c r="D1290" t="s">
        <v>363</v>
      </c>
      <c r="E1290" t="s">
        <v>467</v>
      </c>
      <c r="F1290" t="s">
        <v>9</v>
      </c>
      <c r="G1290" t="s">
        <v>509</v>
      </c>
      <c r="H1290" t="s">
        <v>470</v>
      </c>
      <c r="I1290">
        <v>50</v>
      </c>
      <c r="J1290">
        <v>0.81564245810055858</v>
      </c>
      <c r="K1290">
        <v>0.77248677248677244</v>
      </c>
      <c r="L1290">
        <v>0.86390532544378695</v>
      </c>
      <c r="M1290" t="s">
        <v>60</v>
      </c>
      <c r="N1290" t="s">
        <v>3008</v>
      </c>
      <c r="O1290" t="s">
        <v>3009</v>
      </c>
      <c r="P1290">
        <v>172.6</v>
      </c>
    </row>
    <row r="1291" spans="1:16" x14ac:dyDescent="0.3">
      <c r="A1291" t="s">
        <v>29</v>
      </c>
      <c r="B1291" t="s">
        <v>18</v>
      </c>
      <c r="C1291" t="s">
        <v>19</v>
      </c>
      <c r="D1291" t="s">
        <v>363</v>
      </c>
      <c r="E1291" t="s">
        <v>467</v>
      </c>
      <c r="F1291" t="s">
        <v>9</v>
      </c>
      <c r="G1291" t="s">
        <v>514</v>
      </c>
      <c r="H1291" t="s">
        <v>470</v>
      </c>
      <c r="I1291">
        <v>51</v>
      </c>
      <c r="J1291">
        <v>0.79999999999999982</v>
      </c>
      <c r="K1291">
        <v>0.76344086021505375</v>
      </c>
      <c r="L1291">
        <v>0.84023668639053251</v>
      </c>
      <c r="M1291" t="s">
        <v>60</v>
      </c>
      <c r="N1291" t="s">
        <v>3010</v>
      </c>
      <c r="O1291" t="s">
        <v>3011</v>
      </c>
      <c r="P1291">
        <v>172.2</v>
      </c>
    </row>
    <row r="1292" spans="1:16" x14ac:dyDescent="0.3">
      <c r="A1292" t="s">
        <v>29</v>
      </c>
      <c r="B1292" t="s">
        <v>18</v>
      </c>
      <c r="C1292" t="s">
        <v>19</v>
      </c>
      <c r="D1292" t="s">
        <v>363</v>
      </c>
      <c r="E1292" t="s">
        <v>467</v>
      </c>
      <c r="F1292" t="s">
        <v>9</v>
      </c>
      <c r="G1292" t="s">
        <v>519</v>
      </c>
      <c r="H1292" t="s">
        <v>470</v>
      </c>
      <c r="I1292">
        <v>52</v>
      </c>
      <c r="J1292">
        <v>0.76454293628808856</v>
      </c>
      <c r="K1292">
        <v>0.71875</v>
      </c>
      <c r="L1292">
        <v>0.81656804733727806</v>
      </c>
      <c r="M1292" t="s">
        <v>60</v>
      </c>
      <c r="N1292" t="s">
        <v>3012</v>
      </c>
      <c r="O1292" t="s">
        <v>3013</v>
      </c>
      <c r="P1292">
        <v>198.3</v>
      </c>
    </row>
    <row r="1293" spans="1:16" x14ac:dyDescent="0.3">
      <c r="A1293" t="s">
        <v>29</v>
      </c>
      <c r="B1293" t="s">
        <v>18</v>
      </c>
      <c r="C1293" t="s">
        <v>19</v>
      </c>
      <c r="D1293" t="s">
        <v>363</v>
      </c>
      <c r="E1293" t="s">
        <v>467</v>
      </c>
      <c r="F1293" t="s">
        <v>9</v>
      </c>
      <c r="G1293" t="s">
        <v>524</v>
      </c>
      <c r="H1293" t="s">
        <v>470</v>
      </c>
      <c r="I1293">
        <v>53</v>
      </c>
      <c r="J1293">
        <v>0.79551820728291323</v>
      </c>
      <c r="K1293">
        <v>0.75531914893617025</v>
      </c>
      <c r="L1293">
        <v>0.84023668639053251</v>
      </c>
      <c r="M1293" t="s">
        <v>60</v>
      </c>
      <c r="N1293" t="s">
        <v>3014</v>
      </c>
      <c r="O1293" t="s">
        <v>3015</v>
      </c>
      <c r="P1293">
        <v>170.5</v>
      </c>
    </row>
    <row r="1294" spans="1:16" x14ac:dyDescent="0.3">
      <c r="A1294" t="s">
        <v>29</v>
      </c>
      <c r="B1294" t="s">
        <v>18</v>
      </c>
      <c r="C1294" t="s">
        <v>19</v>
      </c>
      <c r="D1294" t="s">
        <v>363</v>
      </c>
      <c r="E1294" t="s">
        <v>467</v>
      </c>
      <c r="F1294" t="s">
        <v>9</v>
      </c>
      <c r="G1294" t="s">
        <v>529</v>
      </c>
      <c r="H1294" t="s">
        <v>470</v>
      </c>
      <c r="I1294">
        <v>54</v>
      </c>
      <c r="J1294">
        <v>0.7988826815642458</v>
      </c>
      <c r="K1294">
        <v>0.75661375661375663</v>
      </c>
      <c r="L1294">
        <v>0.84615384615384615</v>
      </c>
      <c r="M1294" t="s">
        <v>60</v>
      </c>
      <c r="N1294" t="s">
        <v>3016</v>
      </c>
      <c r="O1294" t="s">
        <v>3017</v>
      </c>
      <c r="P1294">
        <v>225.7</v>
      </c>
    </row>
    <row r="1295" spans="1:16" x14ac:dyDescent="0.3">
      <c r="A1295" t="s">
        <v>29</v>
      </c>
      <c r="B1295" t="s">
        <v>18</v>
      </c>
      <c r="C1295" t="s">
        <v>19</v>
      </c>
      <c r="D1295" t="s">
        <v>363</v>
      </c>
      <c r="E1295" t="s">
        <v>467</v>
      </c>
      <c r="F1295" t="s">
        <v>9</v>
      </c>
      <c r="G1295" t="s">
        <v>534</v>
      </c>
      <c r="H1295" t="s">
        <v>470</v>
      </c>
      <c r="I1295">
        <v>55</v>
      </c>
      <c r="J1295">
        <v>0.82386363636363646</v>
      </c>
      <c r="K1295">
        <v>0.79234972677595628</v>
      </c>
      <c r="L1295">
        <v>0.85798816568047342</v>
      </c>
      <c r="M1295" t="s">
        <v>60</v>
      </c>
      <c r="N1295" t="s">
        <v>3018</v>
      </c>
      <c r="O1295" t="s">
        <v>3019</v>
      </c>
      <c r="P1295">
        <v>213.6</v>
      </c>
    </row>
    <row r="1296" spans="1:16" x14ac:dyDescent="0.3">
      <c r="A1296" t="s">
        <v>29</v>
      </c>
      <c r="B1296" t="s">
        <v>18</v>
      </c>
      <c r="C1296" t="s">
        <v>19</v>
      </c>
      <c r="D1296" t="s">
        <v>363</v>
      </c>
      <c r="E1296" t="s">
        <v>467</v>
      </c>
      <c r="F1296" t="s">
        <v>9</v>
      </c>
      <c r="G1296" t="s">
        <v>539</v>
      </c>
      <c r="H1296" t="s">
        <v>470</v>
      </c>
      <c r="I1296">
        <v>56</v>
      </c>
      <c r="J1296">
        <v>0.79999999999999982</v>
      </c>
      <c r="K1296">
        <v>0.76344086021505375</v>
      </c>
      <c r="L1296">
        <v>0.84023668639053251</v>
      </c>
      <c r="M1296" t="s">
        <v>60</v>
      </c>
      <c r="N1296" t="s">
        <v>3020</v>
      </c>
      <c r="O1296" t="s">
        <v>3021</v>
      </c>
      <c r="P1296">
        <v>241.1</v>
      </c>
    </row>
    <row r="1297" spans="1:16" x14ac:dyDescent="0.3">
      <c r="A1297" t="s">
        <v>29</v>
      </c>
      <c r="B1297" t="s">
        <v>18</v>
      </c>
      <c r="C1297" t="s">
        <v>19</v>
      </c>
      <c r="D1297" t="s">
        <v>363</v>
      </c>
      <c r="E1297" t="s">
        <v>467</v>
      </c>
      <c r="F1297" t="s">
        <v>9</v>
      </c>
      <c r="G1297" t="s">
        <v>544</v>
      </c>
      <c r="H1297" t="s">
        <v>470</v>
      </c>
      <c r="I1297">
        <v>57</v>
      </c>
      <c r="J1297">
        <v>0.80691642651296835</v>
      </c>
      <c r="K1297">
        <v>0.7865168539325843</v>
      </c>
      <c r="L1297">
        <v>0.82840236686390534</v>
      </c>
      <c r="M1297" t="s">
        <v>60</v>
      </c>
      <c r="N1297" t="s">
        <v>3022</v>
      </c>
      <c r="O1297" t="s">
        <v>3023</v>
      </c>
      <c r="P1297">
        <v>172.5</v>
      </c>
    </row>
    <row r="1298" spans="1:16" x14ac:dyDescent="0.3">
      <c r="A1298" t="s">
        <v>29</v>
      </c>
      <c r="B1298" t="s">
        <v>18</v>
      </c>
      <c r="C1298" t="s">
        <v>19</v>
      </c>
      <c r="D1298" t="s">
        <v>363</v>
      </c>
      <c r="E1298" t="s">
        <v>467</v>
      </c>
      <c r="F1298" t="s">
        <v>9</v>
      </c>
      <c r="G1298" t="s">
        <v>549</v>
      </c>
      <c r="H1298" t="s">
        <v>470</v>
      </c>
      <c r="I1298">
        <v>58</v>
      </c>
      <c r="J1298">
        <v>0.77717391304347827</v>
      </c>
      <c r="K1298">
        <v>0.71859296482412061</v>
      </c>
      <c r="L1298">
        <v>0.84615384615384615</v>
      </c>
      <c r="M1298" t="s">
        <v>60</v>
      </c>
      <c r="N1298" t="s">
        <v>3024</v>
      </c>
      <c r="O1298" t="s">
        <v>3025</v>
      </c>
      <c r="P1298">
        <v>183.8</v>
      </c>
    </row>
    <row r="1299" spans="1:16" x14ac:dyDescent="0.3">
      <c r="A1299" t="s">
        <v>29</v>
      </c>
      <c r="B1299" t="s">
        <v>18</v>
      </c>
      <c r="C1299" t="s">
        <v>19</v>
      </c>
      <c r="D1299" t="s">
        <v>363</v>
      </c>
      <c r="E1299" t="s">
        <v>467</v>
      </c>
      <c r="F1299" t="s">
        <v>9</v>
      </c>
      <c r="G1299" t="s">
        <v>554</v>
      </c>
      <c r="H1299" t="s">
        <v>470</v>
      </c>
      <c r="I1299">
        <v>59</v>
      </c>
      <c r="J1299">
        <v>0.79444444444444451</v>
      </c>
      <c r="K1299">
        <v>0.74869109947643975</v>
      </c>
      <c r="L1299">
        <v>0.84615384615384615</v>
      </c>
      <c r="M1299" t="s">
        <v>60</v>
      </c>
      <c r="N1299" t="s">
        <v>3026</v>
      </c>
      <c r="O1299" t="s">
        <v>3027</v>
      </c>
      <c r="P1299">
        <v>198.5</v>
      </c>
    </row>
    <row r="1300" spans="1:16" x14ac:dyDescent="0.3">
      <c r="A1300" t="s">
        <v>29</v>
      </c>
      <c r="B1300" t="s">
        <v>18</v>
      </c>
      <c r="C1300" t="s">
        <v>19</v>
      </c>
      <c r="D1300" t="s">
        <v>363</v>
      </c>
      <c r="E1300" t="s">
        <v>467</v>
      </c>
      <c r="F1300" t="s">
        <v>9</v>
      </c>
      <c r="G1300" t="s">
        <v>559</v>
      </c>
      <c r="H1300" t="s">
        <v>470</v>
      </c>
      <c r="I1300">
        <v>60</v>
      </c>
      <c r="J1300">
        <v>0.80110497237569056</v>
      </c>
      <c r="K1300">
        <v>0.75129533678756477</v>
      </c>
      <c r="L1300">
        <v>0.85798816568047342</v>
      </c>
      <c r="M1300" t="s">
        <v>60</v>
      </c>
      <c r="N1300" t="s">
        <v>3028</v>
      </c>
      <c r="O1300" t="s">
        <v>3029</v>
      </c>
      <c r="P1300">
        <v>200.8</v>
      </c>
    </row>
    <row r="1301" spans="1:16" x14ac:dyDescent="0.3">
      <c r="A1301" t="s">
        <v>29</v>
      </c>
      <c r="B1301" t="s">
        <v>18</v>
      </c>
      <c r="C1301" t="s">
        <v>19</v>
      </c>
      <c r="D1301" t="s">
        <v>363</v>
      </c>
      <c r="E1301" t="s">
        <v>467</v>
      </c>
      <c r="F1301" t="s">
        <v>9</v>
      </c>
      <c r="G1301" t="s">
        <v>564</v>
      </c>
      <c r="H1301" t="s">
        <v>470</v>
      </c>
      <c r="I1301">
        <v>61</v>
      </c>
      <c r="J1301">
        <v>0.81894150417827294</v>
      </c>
      <c r="K1301">
        <v>0.77368421052631575</v>
      </c>
      <c r="L1301">
        <v>0.86982248520710059</v>
      </c>
      <c r="M1301" t="s">
        <v>60</v>
      </c>
      <c r="N1301" t="s">
        <v>3030</v>
      </c>
      <c r="O1301" t="s">
        <v>3031</v>
      </c>
      <c r="P1301">
        <v>173.2</v>
      </c>
    </row>
    <row r="1302" spans="1:16" x14ac:dyDescent="0.3">
      <c r="A1302" t="s">
        <v>29</v>
      </c>
      <c r="B1302" t="s">
        <v>18</v>
      </c>
      <c r="C1302" t="s">
        <v>19</v>
      </c>
      <c r="D1302" t="s">
        <v>363</v>
      </c>
      <c r="E1302" t="s">
        <v>569</v>
      </c>
      <c r="F1302" t="s">
        <v>11</v>
      </c>
      <c r="G1302" t="s">
        <v>570</v>
      </c>
      <c r="H1302" t="s">
        <v>572</v>
      </c>
      <c r="I1302">
        <v>42</v>
      </c>
      <c r="J1302">
        <v>0.82959641255605376</v>
      </c>
      <c r="K1302">
        <v>0.8258928571428571</v>
      </c>
      <c r="L1302">
        <v>0.83333333333333337</v>
      </c>
      <c r="M1302" t="s">
        <v>60</v>
      </c>
      <c r="N1302" t="s">
        <v>3032</v>
      </c>
      <c r="O1302" t="s">
        <v>3033</v>
      </c>
      <c r="P1302">
        <v>222.3</v>
      </c>
    </row>
    <row r="1303" spans="1:16" x14ac:dyDescent="0.3">
      <c r="A1303" t="s">
        <v>29</v>
      </c>
      <c r="B1303" t="s">
        <v>18</v>
      </c>
      <c r="C1303" t="s">
        <v>19</v>
      </c>
      <c r="D1303" t="s">
        <v>363</v>
      </c>
      <c r="E1303" t="s">
        <v>569</v>
      </c>
      <c r="F1303" t="s">
        <v>11</v>
      </c>
      <c r="G1303" t="s">
        <v>576</v>
      </c>
      <c r="H1303" t="s">
        <v>572</v>
      </c>
      <c r="I1303">
        <v>43</v>
      </c>
      <c r="J1303">
        <v>0.81333333333333346</v>
      </c>
      <c r="K1303">
        <v>0.80263157894736847</v>
      </c>
      <c r="L1303">
        <v>0.82432432432432434</v>
      </c>
      <c r="M1303" t="s">
        <v>60</v>
      </c>
      <c r="N1303" t="s">
        <v>3034</v>
      </c>
      <c r="O1303" t="s">
        <v>3035</v>
      </c>
      <c r="P1303">
        <v>234.2</v>
      </c>
    </row>
    <row r="1304" spans="1:16" x14ac:dyDescent="0.3">
      <c r="A1304" t="s">
        <v>29</v>
      </c>
      <c r="B1304" t="s">
        <v>18</v>
      </c>
      <c r="C1304" t="s">
        <v>19</v>
      </c>
      <c r="D1304" t="s">
        <v>363</v>
      </c>
      <c r="E1304" t="s">
        <v>569</v>
      </c>
      <c r="F1304" t="s">
        <v>11</v>
      </c>
      <c r="G1304" t="s">
        <v>581</v>
      </c>
      <c r="H1304" t="s">
        <v>572</v>
      </c>
      <c r="I1304">
        <v>44</v>
      </c>
      <c r="J1304">
        <v>0.8355555555555555</v>
      </c>
      <c r="K1304">
        <v>0.82456140350877194</v>
      </c>
      <c r="L1304">
        <v>0.84684684684684686</v>
      </c>
      <c r="M1304" t="s">
        <v>60</v>
      </c>
      <c r="N1304" t="s">
        <v>3036</v>
      </c>
      <c r="O1304" t="s">
        <v>3037</v>
      </c>
      <c r="P1304">
        <v>169.5</v>
      </c>
    </row>
    <row r="1305" spans="1:16" x14ac:dyDescent="0.3">
      <c r="A1305" t="s">
        <v>29</v>
      </c>
      <c r="B1305" t="s">
        <v>18</v>
      </c>
      <c r="C1305" t="s">
        <v>19</v>
      </c>
      <c r="D1305" t="s">
        <v>363</v>
      </c>
      <c r="E1305" t="s">
        <v>569</v>
      </c>
      <c r="F1305" t="s">
        <v>11</v>
      </c>
      <c r="G1305" t="s">
        <v>586</v>
      </c>
      <c r="H1305" t="s">
        <v>572</v>
      </c>
      <c r="I1305">
        <v>45</v>
      </c>
      <c r="J1305">
        <v>0.82850779510022277</v>
      </c>
      <c r="K1305">
        <v>0.81938325991189431</v>
      </c>
      <c r="L1305">
        <v>0.83783783783783783</v>
      </c>
      <c r="M1305" t="s">
        <v>60</v>
      </c>
      <c r="N1305" t="s">
        <v>3038</v>
      </c>
      <c r="O1305" t="s">
        <v>3039</v>
      </c>
      <c r="P1305">
        <v>183.5</v>
      </c>
    </row>
    <row r="1306" spans="1:16" x14ac:dyDescent="0.3">
      <c r="A1306" t="s">
        <v>29</v>
      </c>
      <c r="B1306" t="s">
        <v>18</v>
      </c>
      <c r="C1306" t="s">
        <v>19</v>
      </c>
      <c r="D1306" t="s">
        <v>363</v>
      </c>
      <c r="E1306" t="s">
        <v>569</v>
      </c>
      <c r="F1306" t="s">
        <v>11</v>
      </c>
      <c r="G1306" t="s">
        <v>591</v>
      </c>
      <c r="H1306" t="s">
        <v>572</v>
      </c>
      <c r="I1306">
        <v>46</v>
      </c>
      <c r="J1306">
        <v>0.80973451327433632</v>
      </c>
      <c r="K1306">
        <v>0.79565217391304344</v>
      </c>
      <c r="L1306">
        <v>0.82432432432432434</v>
      </c>
      <c r="M1306" t="s">
        <v>60</v>
      </c>
      <c r="N1306" t="s">
        <v>3040</v>
      </c>
      <c r="O1306" t="s">
        <v>3041</v>
      </c>
      <c r="P1306">
        <v>186.2</v>
      </c>
    </row>
    <row r="1307" spans="1:16" x14ac:dyDescent="0.3">
      <c r="A1307" t="s">
        <v>29</v>
      </c>
      <c r="B1307" t="s">
        <v>18</v>
      </c>
      <c r="C1307" t="s">
        <v>19</v>
      </c>
      <c r="D1307" t="s">
        <v>363</v>
      </c>
      <c r="E1307" t="s">
        <v>569</v>
      </c>
      <c r="F1307" t="s">
        <v>11</v>
      </c>
      <c r="G1307" t="s">
        <v>596</v>
      </c>
      <c r="H1307" t="s">
        <v>572</v>
      </c>
      <c r="I1307">
        <v>47</v>
      </c>
      <c r="J1307">
        <v>0.81838074398249461</v>
      </c>
      <c r="K1307">
        <v>0.79574468085106387</v>
      </c>
      <c r="L1307">
        <v>0.84234234234234229</v>
      </c>
      <c r="M1307" t="s">
        <v>60</v>
      </c>
      <c r="N1307" t="s">
        <v>3042</v>
      </c>
      <c r="O1307" t="s">
        <v>3043</v>
      </c>
      <c r="P1307">
        <v>194.3</v>
      </c>
    </row>
    <row r="1308" spans="1:16" x14ac:dyDescent="0.3">
      <c r="A1308" t="s">
        <v>29</v>
      </c>
      <c r="B1308" t="s">
        <v>18</v>
      </c>
      <c r="C1308" t="s">
        <v>19</v>
      </c>
      <c r="D1308" t="s">
        <v>363</v>
      </c>
      <c r="E1308" t="s">
        <v>569</v>
      </c>
      <c r="F1308" t="s">
        <v>11</v>
      </c>
      <c r="G1308" t="s">
        <v>601</v>
      </c>
      <c r="H1308" t="s">
        <v>572</v>
      </c>
      <c r="I1308">
        <v>48</v>
      </c>
      <c r="J1308">
        <v>0.82894736842105265</v>
      </c>
      <c r="K1308">
        <v>0.80769230769230771</v>
      </c>
      <c r="L1308">
        <v>0.85135135135135132</v>
      </c>
      <c r="M1308" t="s">
        <v>60</v>
      </c>
      <c r="N1308" t="s">
        <v>3044</v>
      </c>
      <c r="O1308" t="s">
        <v>3045</v>
      </c>
      <c r="P1308">
        <v>233.4</v>
      </c>
    </row>
    <row r="1309" spans="1:16" x14ac:dyDescent="0.3">
      <c r="A1309" t="s">
        <v>29</v>
      </c>
      <c r="B1309" t="s">
        <v>18</v>
      </c>
      <c r="C1309" t="s">
        <v>19</v>
      </c>
      <c r="D1309" t="s">
        <v>363</v>
      </c>
      <c r="E1309" t="s">
        <v>569</v>
      </c>
      <c r="F1309" t="s">
        <v>11</v>
      </c>
      <c r="G1309" t="s">
        <v>606</v>
      </c>
      <c r="H1309" t="s">
        <v>572</v>
      </c>
      <c r="I1309">
        <v>49</v>
      </c>
      <c r="J1309">
        <v>0.82300884955752207</v>
      </c>
      <c r="K1309">
        <v>0.80869565217391304</v>
      </c>
      <c r="L1309">
        <v>0.83783783783783783</v>
      </c>
      <c r="M1309" t="s">
        <v>60</v>
      </c>
      <c r="N1309" t="s">
        <v>3046</v>
      </c>
      <c r="O1309" t="s">
        <v>3047</v>
      </c>
      <c r="P1309">
        <v>220.4</v>
      </c>
    </row>
    <row r="1310" spans="1:16" x14ac:dyDescent="0.3">
      <c r="A1310" t="s">
        <v>29</v>
      </c>
      <c r="B1310" t="s">
        <v>18</v>
      </c>
      <c r="C1310" t="s">
        <v>19</v>
      </c>
      <c r="D1310" t="s">
        <v>363</v>
      </c>
      <c r="E1310" t="s">
        <v>569</v>
      </c>
      <c r="F1310" t="s">
        <v>11</v>
      </c>
      <c r="G1310" t="s">
        <v>611</v>
      </c>
      <c r="H1310" t="s">
        <v>572</v>
      </c>
      <c r="I1310">
        <v>50</v>
      </c>
      <c r="J1310">
        <v>0.81333333333333346</v>
      </c>
      <c r="K1310">
        <v>0.80263157894736847</v>
      </c>
      <c r="L1310">
        <v>0.82432432432432434</v>
      </c>
      <c r="M1310" t="s">
        <v>60</v>
      </c>
      <c r="N1310" t="s">
        <v>3048</v>
      </c>
      <c r="O1310" t="s">
        <v>3049</v>
      </c>
      <c r="P1310">
        <v>221</v>
      </c>
    </row>
    <row r="1311" spans="1:16" x14ac:dyDescent="0.3">
      <c r="A1311" t="s">
        <v>29</v>
      </c>
      <c r="B1311" t="s">
        <v>18</v>
      </c>
      <c r="C1311" t="s">
        <v>19</v>
      </c>
      <c r="D1311" t="s">
        <v>363</v>
      </c>
      <c r="E1311" t="s">
        <v>569</v>
      </c>
      <c r="F1311" t="s">
        <v>11</v>
      </c>
      <c r="G1311" t="s">
        <v>616</v>
      </c>
      <c r="H1311" t="s">
        <v>572</v>
      </c>
      <c r="I1311">
        <v>51</v>
      </c>
      <c r="J1311">
        <v>0.81415929203539827</v>
      </c>
      <c r="K1311">
        <v>0.8</v>
      </c>
      <c r="L1311">
        <v>0.8288288288288288</v>
      </c>
      <c r="M1311" t="s">
        <v>60</v>
      </c>
      <c r="N1311" t="s">
        <v>3050</v>
      </c>
      <c r="O1311" t="s">
        <v>3051</v>
      </c>
      <c r="P1311">
        <v>220.4</v>
      </c>
    </row>
    <row r="1312" spans="1:16" x14ac:dyDescent="0.3">
      <c r="A1312" t="s">
        <v>29</v>
      </c>
      <c r="B1312" t="s">
        <v>18</v>
      </c>
      <c r="C1312" t="s">
        <v>19</v>
      </c>
      <c r="D1312" t="s">
        <v>363</v>
      </c>
      <c r="E1312" t="s">
        <v>569</v>
      </c>
      <c r="F1312" t="s">
        <v>11</v>
      </c>
      <c r="G1312" t="s">
        <v>621</v>
      </c>
      <c r="H1312" t="s">
        <v>572</v>
      </c>
      <c r="I1312">
        <v>52</v>
      </c>
      <c r="J1312">
        <v>0.8258928571428571</v>
      </c>
      <c r="K1312">
        <v>0.81858407079646023</v>
      </c>
      <c r="L1312">
        <v>0.83333333333333337</v>
      </c>
      <c r="M1312" t="s">
        <v>60</v>
      </c>
      <c r="N1312" t="s">
        <v>3052</v>
      </c>
      <c r="O1312" t="s">
        <v>3053</v>
      </c>
      <c r="P1312">
        <v>220.4</v>
      </c>
    </row>
    <row r="1313" spans="1:16" x14ac:dyDescent="0.3">
      <c r="A1313" t="s">
        <v>29</v>
      </c>
      <c r="B1313" t="s">
        <v>18</v>
      </c>
      <c r="C1313" t="s">
        <v>19</v>
      </c>
      <c r="D1313" t="s">
        <v>363</v>
      </c>
      <c r="E1313" t="s">
        <v>569</v>
      </c>
      <c r="F1313" t="s">
        <v>11</v>
      </c>
      <c r="G1313" t="s">
        <v>626</v>
      </c>
      <c r="H1313" t="s">
        <v>572</v>
      </c>
      <c r="I1313">
        <v>53</v>
      </c>
      <c r="J1313">
        <v>0.81677704194260492</v>
      </c>
      <c r="K1313">
        <v>0.80086580086580084</v>
      </c>
      <c r="L1313">
        <v>0.83333333333333337</v>
      </c>
      <c r="M1313" t="s">
        <v>60</v>
      </c>
      <c r="N1313" t="s">
        <v>3054</v>
      </c>
      <c r="O1313" t="s">
        <v>3055</v>
      </c>
      <c r="P1313">
        <v>233</v>
      </c>
    </row>
    <row r="1314" spans="1:16" x14ac:dyDescent="0.3">
      <c r="A1314" t="s">
        <v>29</v>
      </c>
      <c r="B1314" t="s">
        <v>18</v>
      </c>
      <c r="C1314" t="s">
        <v>19</v>
      </c>
      <c r="D1314" t="s">
        <v>363</v>
      </c>
      <c r="E1314" t="s">
        <v>569</v>
      </c>
      <c r="F1314" t="s">
        <v>11</v>
      </c>
      <c r="G1314" t="s">
        <v>631</v>
      </c>
      <c r="H1314" t="s">
        <v>572</v>
      </c>
      <c r="I1314">
        <v>54</v>
      </c>
      <c r="J1314">
        <v>0.81938325991189431</v>
      </c>
      <c r="K1314">
        <v>0.80172413793103448</v>
      </c>
      <c r="L1314">
        <v>0.83783783783783783</v>
      </c>
      <c r="M1314" t="s">
        <v>60</v>
      </c>
      <c r="N1314" t="s">
        <v>3056</v>
      </c>
      <c r="O1314" t="s">
        <v>3057</v>
      </c>
      <c r="P1314">
        <v>192.9</v>
      </c>
    </row>
    <row r="1315" spans="1:16" x14ac:dyDescent="0.3">
      <c r="A1315" t="s">
        <v>29</v>
      </c>
      <c r="B1315" t="s">
        <v>18</v>
      </c>
      <c r="C1315" t="s">
        <v>19</v>
      </c>
      <c r="D1315" t="s">
        <v>363</v>
      </c>
      <c r="E1315" t="s">
        <v>569</v>
      </c>
      <c r="F1315" t="s">
        <v>11</v>
      </c>
      <c r="G1315" t="s">
        <v>636</v>
      </c>
      <c r="H1315" t="s">
        <v>572</v>
      </c>
      <c r="I1315">
        <v>55</v>
      </c>
      <c r="J1315">
        <v>0.8318584070796462</v>
      </c>
      <c r="K1315">
        <v>0.81739130434782614</v>
      </c>
      <c r="L1315">
        <v>0.84684684684684686</v>
      </c>
      <c r="M1315" t="s">
        <v>60</v>
      </c>
      <c r="N1315" t="s">
        <v>3058</v>
      </c>
      <c r="O1315" t="s">
        <v>3059</v>
      </c>
      <c r="P1315">
        <v>233.5</v>
      </c>
    </row>
    <row r="1316" spans="1:16" x14ac:dyDescent="0.3">
      <c r="A1316" t="s">
        <v>29</v>
      </c>
      <c r="B1316" t="s">
        <v>18</v>
      </c>
      <c r="C1316" t="s">
        <v>19</v>
      </c>
      <c r="D1316" t="s">
        <v>363</v>
      </c>
      <c r="E1316" t="s">
        <v>569</v>
      </c>
      <c r="F1316" t="s">
        <v>11</v>
      </c>
      <c r="G1316" t="s">
        <v>641</v>
      </c>
      <c r="H1316" t="s">
        <v>572</v>
      </c>
      <c r="I1316">
        <v>56</v>
      </c>
      <c r="J1316">
        <v>0.82142857142857151</v>
      </c>
      <c r="K1316">
        <v>0.81415929203539827</v>
      </c>
      <c r="L1316">
        <v>0.8288288288288288</v>
      </c>
      <c r="M1316" t="s">
        <v>60</v>
      </c>
      <c r="N1316" t="s">
        <v>3060</v>
      </c>
      <c r="O1316" t="s">
        <v>3061</v>
      </c>
      <c r="P1316">
        <v>195.3</v>
      </c>
    </row>
    <row r="1317" spans="1:16" x14ac:dyDescent="0.3">
      <c r="A1317" t="s">
        <v>29</v>
      </c>
      <c r="B1317" t="s">
        <v>18</v>
      </c>
      <c r="C1317" t="s">
        <v>19</v>
      </c>
      <c r="D1317" t="s">
        <v>363</v>
      </c>
      <c r="E1317" t="s">
        <v>569</v>
      </c>
      <c r="F1317" t="s">
        <v>11</v>
      </c>
      <c r="G1317" t="s">
        <v>646</v>
      </c>
      <c r="H1317" t="s">
        <v>572</v>
      </c>
      <c r="I1317">
        <v>57</v>
      </c>
      <c r="J1317">
        <v>0.8169642857142857</v>
      </c>
      <c r="K1317">
        <v>0.80973451327433632</v>
      </c>
      <c r="L1317">
        <v>0.82432432432432434</v>
      </c>
      <c r="M1317" t="s">
        <v>60</v>
      </c>
      <c r="N1317" t="s">
        <v>3062</v>
      </c>
      <c r="O1317" t="s">
        <v>3063</v>
      </c>
      <c r="P1317">
        <v>181.5</v>
      </c>
    </row>
    <row r="1318" spans="1:16" x14ac:dyDescent="0.3">
      <c r="A1318" t="s">
        <v>29</v>
      </c>
      <c r="B1318" t="s">
        <v>18</v>
      </c>
      <c r="C1318" t="s">
        <v>19</v>
      </c>
      <c r="D1318" t="s">
        <v>363</v>
      </c>
      <c r="E1318" t="s">
        <v>569</v>
      </c>
      <c r="F1318" t="s">
        <v>11</v>
      </c>
      <c r="G1318" t="s">
        <v>651</v>
      </c>
      <c r="H1318" t="s">
        <v>572</v>
      </c>
      <c r="I1318">
        <v>58</v>
      </c>
      <c r="J1318">
        <v>0.81415929203539827</v>
      </c>
      <c r="K1318">
        <v>0.8</v>
      </c>
      <c r="L1318">
        <v>0.8288288288288288</v>
      </c>
      <c r="M1318" t="s">
        <v>60</v>
      </c>
      <c r="N1318" t="s">
        <v>3064</v>
      </c>
      <c r="O1318" t="s">
        <v>3065</v>
      </c>
      <c r="P1318">
        <v>234.8</v>
      </c>
    </row>
    <row r="1319" spans="1:16" x14ac:dyDescent="0.3">
      <c r="A1319" t="s">
        <v>29</v>
      </c>
      <c r="B1319" t="s">
        <v>18</v>
      </c>
      <c r="C1319" t="s">
        <v>19</v>
      </c>
      <c r="D1319" t="s">
        <v>363</v>
      </c>
      <c r="E1319" t="s">
        <v>569</v>
      </c>
      <c r="F1319" t="s">
        <v>11</v>
      </c>
      <c r="G1319" t="s">
        <v>656</v>
      </c>
      <c r="H1319" t="s">
        <v>572</v>
      </c>
      <c r="I1319">
        <v>59</v>
      </c>
      <c r="J1319">
        <v>0.80260303687635581</v>
      </c>
      <c r="K1319">
        <v>0.77405857740585771</v>
      </c>
      <c r="L1319">
        <v>0.83333333333333337</v>
      </c>
      <c r="M1319" t="s">
        <v>60</v>
      </c>
      <c r="N1319" t="s">
        <v>3066</v>
      </c>
      <c r="O1319" t="s">
        <v>3067</v>
      </c>
      <c r="P1319">
        <v>247.7</v>
      </c>
    </row>
    <row r="1320" spans="1:16" x14ac:dyDescent="0.3">
      <c r="A1320" t="s">
        <v>29</v>
      </c>
      <c r="B1320" t="s">
        <v>18</v>
      </c>
      <c r="C1320" t="s">
        <v>19</v>
      </c>
      <c r="D1320" t="s">
        <v>363</v>
      </c>
      <c r="E1320" t="s">
        <v>569</v>
      </c>
      <c r="F1320" t="s">
        <v>11</v>
      </c>
      <c r="G1320" t="s">
        <v>661</v>
      </c>
      <c r="H1320" t="s">
        <v>572</v>
      </c>
      <c r="I1320">
        <v>60</v>
      </c>
      <c r="J1320">
        <v>0.82926829268292679</v>
      </c>
      <c r="K1320">
        <v>0.81659388646288211</v>
      </c>
      <c r="L1320">
        <v>0.84234234234234229</v>
      </c>
      <c r="M1320" t="s">
        <v>60</v>
      </c>
      <c r="N1320" t="s">
        <v>3068</v>
      </c>
      <c r="O1320" t="s">
        <v>3069</v>
      </c>
      <c r="P1320">
        <v>229.8</v>
      </c>
    </row>
    <row r="1321" spans="1:16" x14ac:dyDescent="0.3">
      <c r="A1321" t="s">
        <v>29</v>
      </c>
      <c r="B1321" t="s">
        <v>18</v>
      </c>
      <c r="C1321" t="s">
        <v>19</v>
      </c>
      <c r="D1321" t="s">
        <v>363</v>
      </c>
      <c r="E1321" t="s">
        <v>569</v>
      </c>
      <c r="F1321" t="s">
        <v>11</v>
      </c>
      <c r="G1321" t="s">
        <v>666</v>
      </c>
      <c r="H1321" t="s">
        <v>572</v>
      </c>
      <c r="I1321">
        <v>61</v>
      </c>
      <c r="J1321">
        <v>0.83370288248337032</v>
      </c>
      <c r="K1321">
        <v>0.82096069868995636</v>
      </c>
      <c r="L1321">
        <v>0.84684684684684686</v>
      </c>
      <c r="M1321" t="s">
        <v>60</v>
      </c>
      <c r="N1321" t="s">
        <v>3070</v>
      </c>
      <c r="O1321" t="s">
        <v>3071</v>
      </c>
      <c r="P1321">
        <v>229.6</v>
      </c>
    </row>
    <row r="1322" spans="1:16" x14ac:dyDescent="0.3">
      <c r="A1322" t="s">
        <v>29</v>
      </c>
      <c r="B1322" t="s">
        <v>20</v>
      </c>
      <c r="C1322" t="s">
        <v>21</v>
      </c>
      <c r="D1322" t="s">
        <v>54</v>
      </c>
      <c r="E1322" t="s">
        <v>56</v>
      </c>
      <c r="F1322" t="s">
        <v>7</v>
      </c>
      <c r="G1322" t="s">
        <v>57</v>
      </c>
      <c r="H1322" t="s">
        <v>59</v>
      </c>
      <c r="I1322">
        <v>42</v>
      </c>
      <c r="J1322">
        <v>0.77707006369426745</v>
      </c>
      <c r="M1322" t="s">
        <v>670</v>
      </c>
      <c r="N1322" t="s">
        <v>3072</v>
      </c>
      <c r="O1322" t="s">
        <v>3073</v>
      </c>
      <c r="P1322">
        <v>1.8</v>
      </c>
    </row>
    <row r="1323" spans="1:16" x14ac:dyDescent="0.3">
      <c r="A1323" t="s">
        <v>29</v>
      </c>
      <c r="B1323" t="s">
        <v>20</v>
      </c>
      <c r="C1323" t="s">
        <v>21</v>
      </c>
      <c r="D1323" t="s">
        <v>54</v>
      </c>
      <c r="E1323" t="s">
        <v>56</v>
      </c>
      <c r="F1323" t="s">
        <v>7</v>
      </c>
      <c r="G1323" t="s">
        <v>65</v>
      </c>
      <c r="H1323" t="s">
        <v>59</v>
      </c>
      <c r="I1323">
        <v>43</v>
      </c>
      <c r="J1323">
        <v>0.71610169491525433</v>
      </c>
      <c r="M1323" t="s">
        <v>670</v>
      </c>
      <c r="N1323" t="s">
        <v>3074</v>
      </c>
      <c r="O1323" t="s">
        <v>3075</v>
      </c>
      <c r="P1323">
        <v>0.7</v>
      </c>
    </row>
    <row r="1324" spans="1:16" x14ac:dyDescent="0.3">
      <c r="A1324" t="s">
        <v>29</v>
      </c>
      <c r="B1324" t="s">
        <v>20</v>
      </c>
      <c r="C1324" t="s">
        <v>21</v>
      </c>
      <c r="D1324" t="s">
        <v>54</v>
      </c>
      <c r="E1324" t="s">
        <v>56</v>
      </c>
      <c r="F1324" t="s">
        <v>7</v>
      </c>
      <c r="G1324" t="s">
        <v>70</v>
      </c>
      <c r="H1324" t="s">
        <v>59</v>
      </c>
      <c r="I1324">
        <v>44</v>
      </c>
      <c r="J1324">
        <v>0.773218142548596</v>
      </c>
      <c r="M1324" t="s">
        <v>670</v>
      </c>
      <c r="N1324" t="s">
        <v>3076</v>
      </c>
      <c r="O1324" t="s">
        <v>3077</v>
      </c>
      <c r="P1324">
        <v>1.2</v>
      </c>
    </row>
    <row r="1325" spans="1:16" x14ac:dyDescent="0.3">
      <c r="A1325" t="s">
        <v>29</v>
      </c>
      <c r="B1325" t="s">
        <v>20</v>
      </c>
      <c r="C1325" t="s">
        <v>21</v>
      </c>
      <c r="D1325" t="s">
        <v>54</v>
      </c>
      <c r="E1325" t="s">
        <v>56</v>
      </c>
      <c r="F1325" t="s">
        <v>7</v>
      </c>
      <c r="G1325" t="s">
        <v>75</v>
      </c>
      <c r="H1325" t="s">
        <v>59</v>
      </c>
      <c r="I1325">
        <v>45</v>
      </c>
      <c r="J1325">
        <v>0.73939393939393938</v>
      </c>
      <c r="M1325" t="s">
        <v>670</v>
      </c>
      <c r="N1325" t="s">
        <v>3078</v>
      </c>
      <c r="O1325" t="s">
        <v>3079</v>
      </c>
      <c r="P1325">
        <v>0.6</v>
      </c>
    </row>
    <row r="1326" spans="1:16" x14ac:dyDescent="0.3">
      <c r="A1326" t="s">
        <v>29</v>
      </c>
      <c r="B1326" t="s">
        <v>20</v>
      </c>
      <c r="C1326" t="s">
        <v>21</v>
      </c>
      <c r="D1326" t="s">
        <v>54</v>
      </c>
      <c r="E1326" t="s">
        <v>56</v>
      </c>
      <c r="F1326" t="s">
        <v>7</v>
      </c>
      <c r="G1326" t="s">
        <v>80</v>
      </c>
      <c r="H1326" t="s">
        <v>59</v>
      </c>
      <c r="I1326">
        <v>46</v>
      </c>
      <c r="J1326">
        <v>0.7366167023554604</v>
      </c>
      <c r="M1326" t="s">
        <v>670</v>
      </c>
      <c r="N1326" t="s">
        <v>3080</v>
      </c>
      <c r="O1326" t="s">
        <v>3081</v>
      </c>
      <c r="P1326">
        <v>0.6</v>
      </c>
    </row>
    <row r="1327" spans="1:16" x14ac:dyDescent="0.3">
      <c r="A1327" t="s">
        <v>29</v>
      </c>
      <c r="B1327" t="s">
        <v>20</v>
      </c>
      <c r="C1327" t="s">
        <v>21</v>
      </c>
      <c r="D1327" t="s">
        <v>54</v>
      </c>
      <c r="E1327" t="s">
        <v>56</v>
      </c>
      <c r="F1327" t="s">
        <v>7</v>
      </c>
      <c r="G1327" t="s">
        <v>85</v>
      </c>
      <c r="H1327" t="s">
        <v>59</v>
      </c>
      <c r="I1327">
        <v>47</v>
      </c>
      <c r="J1327">
        <v>0.7295081967213114</v>
      </c>
      <c r="M1327" t="s">
        <v>670</v>
      </c>
      <c r="N1327" t="s">
        <v>3082</v>
      </c>
      <c r="O1327" t="s">
        <v>3083</v>
      </c>
      <c r="P1327">
        <v>0.8</v>
      </c>
    </row>
    <row r="1328" spans="1:16" x14ac:dyDescent="0.3">
      <c r="A1328" t="s">
        <v>29</v>
      </c>
      <c r="B1328" t="s">
        <v>20</v>
      </c>
      <c r="C1328" t="s">
        <v>21</v>
      </c>
      <c r="D1328" t="s">
        <v>54</v>
      </c>
      <c r="E1328" t="s">
        <v>56</v>
      </c>
      <c r="F1328" t="s">
        <v>7</v>
      </c>
      <c r="G1328" t="s">
        <v>90</v>
      </c>
      <c r="H1328" t="s">
        <v>59</v>
      </c>
      <c r="I1328">
        <v>48</v>
      </c>
      <c r="J1328">
        <v>0.74028629856850714</v>
      </c>
      <c r="M1328" t="s">
        <v>670</v>
      </c>
      <c r="N1328" t="s">
        <v>3084</v>
      </c>
      <c r="O1328" t="s">
        <v>3085</v>
      </c>
      <c r="P1328">
        <v>0.6</v>
      </c>
    </row>
    <row r="1329" spans="1:16" x14ac:dyDescent="0.3">
      <c r="A1329" t="s">
        <v>29</v>
      </c>
      <c r="B1329" t="s">
        <v>20</v>
      </c>
      <c r="C1329" t="s">
        <v>21</v>
      </c>
      <c r="D1329" t="s">
        <v>54</v>
      </c>
      <c r="E1329" t="s">
        <v>56</v>
      </c>
      <c r="F1329" t="s">
        <v>7</v>
      </c>
      <c r="G1329" t="s">
        <v>95</v>
      </c>
      <c r="H1329" t="s">
        <v>59</v>
      </c>
      <c r="I1329">
        <v>49</v>
      </c>
      <c r="J1329">
        <v>0.72323232323232334</v>
      </c>
      <c r="M1329" t="s">
        <v>670</v>
      </c>
      <c r="N1329" t="s">
        <v>3086</v>
      </c>
      <c r="O1329" t="s">
        <v>3087</v>
      </c>
      <c r="P1329">
        <v>0.6</v>
      </c>
    </row>
    <row r="1330" spans="1:16" x14ac:dyDescent="0.3">
      <c r="A1330" t="s">
        <v>29</v>
      </c>
      <c r="B1330" t="s">
        <v>20</v>
      </c>
      <c r="C1330" t="s">
        <v>21</v>
      </c>
      <c r="D1330" t="s">
        <v>54</v>
      </c>
      <c r="E1330" t="s">
        <v>56</v>
      </c>
      <c r="F1330" t="s">
        <v>7</v>
      </c>
      <c r="G1330" t="s">
        <v>100</v>
      </c>
      <c r="H1330" t="s">
        <v>59</v>
      </c>
      <c r="I1330">
        <v>50</v>
      </c>
      <c r="J1330">
        <v>0.67289719626168221</v>
      </c>
      <c r="M1330" t="s">
        <v>670</v>
      </c>
      <c r="N1330" t="s">
        <v>3088</v>
      </c>
      <c r="O1330" t="s">
        <v>3089</v>
      </c>
      <c r="P1330">
        <v>0.6</v>
      </c>
    </row>
    <row r="1331" spans="1:16" x14ac:dyDescent="0.3">
      <c r="A1331" t="s">
        <v>29</v>
      </c>
      <c r="B1331" t="s">
        <v>20</v>
      </c>
      <c r="C1331" t="s">
        <v>21</v>
      </c>
      <c r="D1331" t="s">
        <v>54</v>
      </c>
      <c r="E1331" t="s">
        <v>56</v>
      </c>
      <c r="F1331" t="s">
        <v>7</v>
      </c>
      <c r="G1331" t="s">
        <v>105</v>
      </c>
      <c r="H1331" t="s">
        <v>59</v>
      </c>
      <c r="I1331">
        <v>51</v>
      </c>
      <c r="J1331">
        <v>0.73210633946830272</v>
      </c>
      <c r="M1331" t="s">
        <v>670</v>
      </c>
      <c r="N1331" t="s">
        <v>3090</v>
      </c>
      <c r="O1331" t="s">
        <v>3091</v>
      </c>
      <c r="P1331">
        <v>0.6</v>
      </c>
    </row>
    <row r="1332" spans="1:16" x14ac:dyDescent="0.3">
      <c r="A1332" t="s">
        <v>29</v>
      </c>
      <c r="B1332" t="s">
        <v>20</v>
      </c>
      <c r="C1332" t="s">
        <v>21</v>
      </c>
      <c r="D1332" t="s">
        <v>54</v>
      </c>
      <c r="E1332" t="s">
        <v>56</v>
      </c>
      <c r="F1332" t="s">
        <v>7</v>
      </c>
      <c r="G1332" t="s">
        <v>110</v>
      </c>
      <c r="H1332" t="s">
        <v>59</v>
      </c>
      <c r="I1332">
        <v>52</v>
      </c>
      <c r="J1332">
        <v>0.73839662447257393</v>
      </c>
      <c r="M1332" t="s">
        <v>670</v>
      </c>
      <c r="N1332" t="s">
        <v>3092</v>
      </c>
      <c r="O1332" t="s">
        <v>3093</v>
      </c>
      <c r="P1332">
        <v>0.6</v>
      </c>
    </row>
    <row r="1333" spans="1:16" x14ac:dyDescent="0.3">
      <c r="A1333" t="s">
        <v>29</v>
      </c>
      <c r="B1333" t="s">
        <v>20</v>
      </c>
      <c r="C1333" t="s">
        <v>21</v>
      </c>
      <c r="D1333" t="s">
        <v>54</v>
      </c>
      <c r="E1333" t="s">
        <v>56</v>
      </c>
      <c r="F1333" t="s">
        <v>7</v>
      </c>
      <c r="G1333" t="s">
        <v>115</v>
      </c>
      <c r="H1333" t="s">
        <v>59</v>
      </c>
      <c r="I1333">
        <v>53</v>
      </c>
      <c r="J1333">
        <v>0.73809523809523814</v>
      </c>
      <c r="M1333" t="s">
        <v>670</v>
      </c>
      <c r="N1333" t="s">
        <v>3094</v>
      </c>
      <c r="O1333" t="s">
        <v>3095</v>
      </c>
      <c r="P1333">
        <v>0.6</v>
      </c>
    </row>
    <row r="1334" spans="1:16" x14ac:dyDescent="0.3">
      <c r="A1334" t="s">
        <v>29</v>
      </c>
      <c r="B1334" t="s">
        <v>20</v>
      </c>
      <c r="C1334" t="s">
        <v>21</v>
      </c>
      <c r="D1334" t="s">
        <v>54</v>
      </c>
      <c r="E1334" t="s">
        <v>56</v>
      </c>
      <c r="F1334" t="s">
        <v>7</v>
      </c>
      <c r="G1334" t="s">
        <v>120</v>
      </c>
      <c r="H1334" t="s">
        <v>59</v>
      </c>
      <c r="I1334">
        <v>54</v>
      </c>
      <c r="J1334">
        <v>0.72376873661670249</v>
      </c>
      <c r="M1334" t="s">
        <v>670</v>
      </c>
      <c r="N1334" t="s">
        <v>3096</v>
      </c>
      <c r="O1334" t="s">
        <v>3097</v>
      </c>
      <c r="P1334">
        <v>0.6</v>
      </c>
    </row>
    <row r="1335" spans="1:16" x14ac:dyDescent="0.3">
      <c r="A1335" t="s">
        <v>29</v>
      </c>
      <c r="B1335" t="s">
        <v>20</v>
      </c>
      <c r="C1335" t="s">
        <v>21</v>
      </c>
      <c r="D1335" t="s">
        <v>54</v>
      </c>
      <c r="E1335" t="s">
        <v>56</v>
      </c>
      <c r="F1335" t="s">
        <v>7</v>
      </c>
      <c r="G1335" t="s">
        <v>125</v>
      </c>
      <c r="H1335" t="s">
        <v>59</v>
      </c>
      <c r="I1335">
        <v>55</v>
      </c>
      <c r="J1335">
        <v>0.76106194690265483</v>
      </c>
      <c r="M1335" t="s">
        <v>670</v>
      </c>
      <c r="N1335" t="s">
        <v>3098</v>
      </c>
      <c r="O1335" t="s">
        <v>3099</v>
      </c>
      <c r="P1335">
        <v>0.6</v>
      </c>
    </row>
    <row r="1336" spans="1:16" x14ac:dyDescent="0.3">
      <c r="A1336" t="s">
        <v>29</v>
      </c>
      <c r="B1336" t="s">
        <v>20</v>
      </c>
      <c r="C1336" t="s">
        <v>21</v>
      </c>
      <c r="D1336" t="s">
        <v>54</v>
      </c>
      <c r="E1336" t="s">
        <v>56</v>
      </c>
      <c r="F1336" t="s">
        <v>7</v>
      </c>
      <c r="G1336" t="s">
        <v>130</v>
      </c>
      <c r="H1336" t="s">
        <v>59</v>
      </c>
      <c r="I1336">
        <v>56</v>
      </c>
      <c r="J1336">
        <v>0.76190476190476175</v>
      </c>
      <c r="M1336" t="s">
        <v>670</v>
      </c>
      <c r="N1336" t="s">
        <v>3100</v>
      </c>
      <c r="O1336" t="s">
        <v>3101</v>
      </c>
      <c r="P1336">
        <v>0.6</v>
      </c>
    </row>
    <row r="1337" spans="1:16" x14ac:dyDescent="0.3">
      <c r="A1337" t="s">
        <v>29</v>
      </c>
      <c r="B1337" t="s">
        <v>20</v>
      </c>
      <c r="C1337" t="s">
        <v>21</v>
      </c>
      <c r="D1337" t="s">
        <v>54</v>
      </c>
      <c r="E1337" t="s">
        <v>56</v>
      </c>
      <c r="F1337" t="s">
        <v>7</v>
      </c>
      <c r="G1337" t="s">
        <v>135</v>
      </c>
      <c r="H1337" t="s">
        <v>59</v>
      </c>
      <c r="I1337">
        <v>57</v>
      </c>
      <c r="J1337">
        <v>0.73833671399594325</v>
      </c>
      <c r="M1337" t="s">
        <v>670</v>
      </c>
      <c r="N1337" t="s">
        <v>3102</v>
      </c>
      <c r="O1337" t="s">
        <v>3103</v>
      </c>
      <c r="P1337">
        <v>0.6</v>
      </c>
    </row>
    <row r="1338" spans="1:16" x14ac:dyDescent="0.3">
      <c r="A1338" t="s">
        <v>29</v>
      </c>
      <c r="B1338" t="s">
        <v>20</v>
      </c>
      <c r="C1338" t="s">
        <v>21</v>
      </c>
      <c r="D1338" t="s">
        <v>54</v>
      </c>
      <c r="E1338" t="s">
        <v>56</v>
      </c>
      <c r="F1338" t="s">
        <v>7</v>
      </c>
      <c r="G1338" t="s">
        <v>140</v>
      </c>
      <c r="H1338" t="s">
        <v>59</v>
      </c>
      <c r="I1338">
        <v>58</v>
      </c>
      <c r="J1338">
        <v>0.7283702213279678</v>
      </c>
      <c r="M1338" t="s">
        <v>670</v>
      </c>
      <c r="N1338" t="s">
        <v>3104</v>
      </c>
      <c r="O1338" t="s">
        <v>3105</v>
      </c>
      <c r="P1338">
        <v>0.6</v>
      </c>
    </row>
    <row r="1339" spans="1:16" x14ac:dyDescent="0.3">
      <c r="A1339" t="s">
        <v>29</v>
      </c>
      <c r="B1339" t="s">
        <v>20</v>
      </c>
      <c r="C1339" t="s">
        <v>21</v>
      </c>
      <c r="D1339" t="s">
        <v>54</v>
      </c>
      <c r="E1339" t="s">
        <v>56</v>
      </c>
      <c r="F1339" t="s">
        <v>7</v>
      </c>
      <c r="G1339" t="s">
        <v>145</v>
      </c>
      <c r="H1339" t="s">
        <v>59</v>
      </c>
      <c r="I1339">
        <v>59</v>
      </c>
      <c r="J1339">
        <v>0.7361702127659574</v>
      </c>
      <c r="M1339" t="s">
        <v>670</v>
      </c>
      <c r="N1339" t="s">
        <v>3106</v>
      </c>
      <c r="O1339" t="s">
        <v>3107</v>
      </c>
      <c r="P1339">
        <v>0.6</v>
      </c>
    </row>
    <row r="1340" spans="1:16" x14ac:dyDescent="0.3">
      <c r="A1340" t="s">
        <v>29</v>
      </c>
      <c r="B1340" t="s">
        <v>20</v>
      </c>
      <c r="C1340" t="s">
        <v>21</v>
      </c>
      <c r="D1340" t="s">
        <v>54</v>
      </c>
      <c r="E1340" t="s">
        <v>56</v>
      </c>
      <c r="F1340" t="s">
        <v>7</v>
      </c>
      <c r="G1340" t="s">
        <v>150</v>
      </c>
      <c r="H1340" t="s">
        <v>59</v>
      </c>
      <c r="I1340">
        <v>60</v>
      </c>
      <c r="J1340">
        <v>0.80178173719376389</v>
      </c>
      <c r="M1340" t="s">
        <v>670</v>
      </c>
      <c r="N1340" t="s">
        <v>3108</v>
      </c>
      <c r="O1340" t="s">
        <v>3109</v>
      </c>
      <c r="P1340">
        <v>0.6</v>
      </c>
    </row>
    <row r="1341" spans="1:16" x14ac:dyDescent="0.3">
      <c r="A1341" t="s">
        <v>29</v>
      </c>
      <c r="B1341" t="s">
        <v>20</v>
      </c>
      <c r="C1341" t="s">
        <v>21</v>
      </c>
      <c r="D1341" t="s">
        <v>54</v>
      </c>
      <c r="E1341" t="s">
        <v>56</v>
      </c>
      <c r="F1341" t="s">
        <v>7</v>
      </c>
      <c r="G1341" t="s">
        <v>155</v>
      </c>
      <c r="H1341" t="s">
        <v>59</v>
      </c>
      <c r="I1341">
        <v>61</v>
      </c>
      <c r="J1341">
        <v>0.72368421052631582</v>
      </c>
      <c r="M1341" t="s">
        <v>670</v>
      </c>
      <c r="N1341" t="s">
        <v>3110</v>
      </c>
      <c r="O1341" t="s">
        <v>3111</v>
      </c>
      <c r="P1341">
        <v>0.9</v>
      </c>
    </row>
    <row r="1342" spans="1:16" x14ac:dyDescent="0.3">
      <c r="A1342" t="s">
        <v>29</v>
      </c>
      <c r="B1342" t="s">
        <v>20</v>
      </c>
      <c r="C1342" t="s">
        <v>21</v>
      </c>
      <c r="D1342" t="s">
        <v>54</v>
      </c>
      <c r="E1342" t="s">
        <v>160</v>
      </c>
      <c r="F1342" t="s">
        <v>3</v>
      </c>
      <c r="G1342" t="s">
        <v>161</v>
      </c>
      <c r="H1342" t="s">
        <v>163</v>
      </c>
      <c r="I1342">
        <v>42</v>
      </c>
      <c r="J1342">
        <v>0.74863387978142093</v>
      </c>
      <c r="M1342" t="s">
        <v>670</v>
      </c>
      <c r="N1342" t="s">
        <v>3112</v>
      </c>
      <c r="O1342" t="s">
        <v>3113</v>
      </c>
      <c r="P1342">
        <v>0.6</v>
      </c>
    </row>
    <row r="1343" spans="1:16" x14ac:dyDescent="0.3">
      <c r="A1343" t="s">
        <v>29</v>
      </c>
      <c r="B1343" t="s">
        <v>20</v>
      </c>
      <c r="C1343" t="s">
        <v>21</v>
      </c>
      <c r="D1343" t="s">
        <v>54</v>
      </c>
      <c r="E1343" t="s">
        <v>160</v>
      </c>
      <c r="F1343" t="s">
        <v>3</v>
      </c>
      <c r="G1343" t="s">
        <v>167</v>
      </c>
      <c r="H1343" t="s">
        <v>163</v>
      </c>
      <c r="I1343">
        <v>43</v>
      </c>
      <c r="J1343">
        <v>0.75783475783475784</v>
      </c>
      <c r="M1343" t="s">
        <v>670</v>
      </c>
      <c r="N1343" t="s">
        <v>3114</v>
      </c>
      <c r="O1343" t="s">
        <v>3115</v>
      </c>
      <c r="P1343">
        <v>0.6</v>
      </c>
    </row>
    <row r="1344" spans="1:16" x14ac:dyDescent="0.3">
      <c r="A1344" t="s">
        <v>29</v>
      </c>
      <c r="B1344" t="s">
        <v>20</v>
      </c>
      <c r="C1344" t="s">
        <v>21</v>
      </c>
      <c r="D1344" t="s">
        <v>54</v>
      </c>
      <c r="E1344" t="s">
        <v>160</v>
      </c>
      <c r="F1344" t="s">
        <v>3</v>
      </c>
      <c r="G1344" t="s">
        <v>172</v>
      </c>
      <c r="H1344" t="s">
        <v>163</v>
      </c>
      <c r="I1344">
        <v>44</v>
      </c>
      <c r="J1344">
        <v>0.79428571428571437</v>
      </c>
      <c r="M1344" t="s">
        <v>670</v>
      </c>
      <c r="N1344" t="s">
        <v>3116</v>
      </c>
      <c r="O1344" t="s">
        <v>3117</v>
      </c>
      <c r="P1344">
        <v>0.7</v>
      </c>
    </row>
    <row r="1345" spans="1:16" x14ac:dyDescent="0.3">
      <c r="A1345" t="s">
        <v>29</v>
      </c>
      <c r="B1345" t="s">
        <v>20</v>
      </c>
      <c r="C1345" t="s">
        <v>21</v>
      </c>
      <c r="D1345" t="s">
        <v>54</v>
      </c>
      <c r="E1345" t="s">
        <v>160</v>
      </c>
      <c r="F1345" t="s">
        <v>3</v>
      </c>
      <c r="G1345" t="s">
        <v>177</v>
      </c>
      <c r="H1345" t="s">
        <v>163</v>
      </c>
      <c r="I1345">
        <v>45</v>
      </c>
      <c r="J1345">
        <v>0.72727272727272729</v>
      </c>
      <c r="M1345" t="s">
        <v>670</v>
      </c>
      <c r="N1345" t="s">
        <v>3118</v>
      </c>
      <c r="O1345" t="s">
        <v>3119</v>
      </c>
      <c r="P1345">
        <v>0.6</v>
      </c>
    </row>
    <row r="1346" spans="1:16" x14ac:dyDescent="0.3">
      <c r="A1346" t="s">
        <v>29</v>
      </c>
      <c r="B1346" t="s">
        <v>20</v>
      </c>
      <c r="C1346" t="s">
        <v>21</v>
      </c>
      <c r="D1346" t="s">
        <v>54</v>
      </c>
      <c r="E1346" t="s">
        <v>160</v>
      </c>
      <c r="F1346" t="s">
        <v>3</v>
      </c>
      <c r="G1346" t="s">
        <v>182</v>
      </c>
      <c r="H1346" t="s">
        <v>163</v>
      </c>
      <c r="I1346">
        <v>46</v>
      </c>
      <c r="J1346">
        <v>0.74431818181818177</v>
      </c>
      <c r="M1346" t="s">
        <v>670</v>
      </c>
      <c r="N1346" t="s">
        <v>3120</v>
      </c>
      <c r="O1346" t="s">
        <v>3121</v>
      </c>
      <c r="P1346">
        <v>0.6</v>
      </c>
    </row>
    <row r="1347" spans="1:16" x14ac:dyDescent="0.3">
      <c r="A1347" t="s">
        <v>29</v>
      </c>
      <c r="B1347" t="s">
        <v>20</v>
      </c>
      <c r="C1347" t="s">
        <v>21</v>
      </c>
      <c r="D1347" t="s">
        <v>54</v>
      </c>
      <c r="E1347" t="s">
        <v>160</v>
      </c>
      <c r="F1347" t="s">
        <v>3</v>
      </c>
      <c r="G1347" t="s">
        <v>187</v>
      </c>
      <c r="H1347" t="s">
        <v>163</v>
      </c>
      <c r="I1347">
        <v>47</v>
      </c>
      <c r="J1347">
        <v>0.77053824362606227</v>
      </c>
      <c r="M1347" t="s">
        <v>670</v>
      </c>
      <c r="N1347" t="s">
        <v>3122</v>
      </c>
      <c r="O1347" t="s">
        <v>3123</v>
      </c>
      <c r="P1347">
        <v>0.6</v>
      </c>
    </row>
    <row r="1348" spans="1:16" x14ac:dyDescent="0.3">
      <c r="A1348" t="s">
        <v>29</v>
      </c>
      <c r="B1348" t="s">
        <v>20</v>
      </c>
      <c r="C1348" t="s">
        <v>21</v>
      </c>
      <c r="D1348" t="s">
        <v>54</v>
      </c>
      <c r="E1348" t="s">
        <v>160</v>
      </c>
      <c r="F1348" t="s">
        <v>3</v>
      </c>
      <c r="G1348" t="s">
        <v>192</v>
      </c>
      <c r="H1348" t="s">
        <v>163</v>
      </c>
      <c r="I1348">
        <v>48</v>
      </c>
      <c r="J1348">
        <v>0.76300578034682087</v>
      </c>
      <c r="M1348" t="s">
        <v>670</v>
      </c>
      <c r="N1348" t="s">
        <v>3124</v>
      </c>
      <c r="O1348" t="s">
        <v>3125</v>
      </c>
      <c r="P1348">
        <v>0.6</v>
      </c>
    </row>
    <row r="1349" spans="1:16" x14ac:dyDescent="0.3">
      <c r="A1349" t="s">
        <v>29</v>
      </c>
      <c r="B1349" t="s">
        <v>20</v>
      </c>
      <c r="C1349" t="s">
        <v>21</v>
      </c>
      <c r="D1349" t="s">
        <v>54</v>
      </c>
      <c r="E1349" t="s">
        <v>160</v>
      </c>
      <c r="F1349" t="s">
        <v>3</v>
      </c>
      <c r="G1349" t="s">
        <v>197</v>
      </c>
      <c r="H1349" t="s">
        <v>163</v>
      </c>
      <c r="I1349">
        <v>49</v>
      </c>
      <c r="J1349">
        <v>0.75200000000000011</v>
      </c>
      <c r="M1349" t="s">
        <v>670</v>
      </c>
      <c r="N1349" t="s">
        <v>3126</v>
      </c>
      <c r="O1349" t="s">
        <v>3127</v>
      </c>
      <c r="P1349">
        <v>0.6</v>
      </c>
    </row>
    <row r="1350" spans="1:16" x14ac:dyDescent="0.3">
      <c r="A1350" t="s">
        <v>29</v>
      </c>
      <c r="B1350" t="s">
        <v>20</v>
      </c>
      <c r="C1350" t="s">
        <v>21</v>
      </c>
      <c r="D1350" t="s">
        <v>54</v>
      </c>
      <c r="E1350" t="s">
        <v>160</v>
      </c>
      <c r="F1350" t="s">
        <v>3</v>
      </c>
      <c r="G1350" t="s">
        <v>202</v>
      </c>
      <c r="H1350" t="s">
        <v>163</v>
      </c>
      <c r="I1350">
        <v>50</v>
      </c>
      <c r="J1350">
        <v>0.76243093922651939</v>
      </c>
      <c r="M1350" t="s">
        <v>670</v>
      </c>
      <c r="N1350" t="s">
        <v>3128</v>
      </c>
      <c r="O1350" t="s">
        <v>3129</v>
      </c>
      <c r="P1350">
        <v>0.6</v>
      </c>
    </row>
    <row r="1351" spans="1:16" x14ac:dyDescent="0.3">
      <c r="A1351" t="s">
        <v>29</v>
      </c>
      <c r="B1351" t="s">
        <v>20</v>
      </c>
      <c r="C1351" t="s">
        <v>21</v>
      </c>
      <c r="D1351" t="s">
        <v>54</v>
      </c>
      <c r="E1351" t="s">
        <v>160</v>
      </c>
      <c r="F1351" t="s">
        <v>3</v>
      </c>
      <c r="G1351" t="s">
        <v>207</v>
      </c>
      <c r="H1351" t="s">
        <v>163</v>
      </c>
      <c r="I1351">
        <v>51</v>
      </c>
      <c r="J1351">
        <v>0.72521246458923516</v>
      </c>
      <c r="M1351" t="s">
        <v>670</v>
      </c>
      <c r="N1351" t="s">
        <v>3130</v>
      </c>
      <c r="O1351" t="s">
        <v>3131</v>
      </c>
      <c r="P1351">
        <v>0.7</v>
      </c>
    </row>
    <row r="1352" spans="1:16" x14ac:dyDescent="0.3">
      <c r="A1352" t="s">
        <v>29</v>
      </c>
      <c r="B1352" t="s">
        <v>20</v>
      </c>
      <c r="C1352" t="s">
        <v>21</v>
      </c>
      <c r="D1352" t="s">
        <v>54</v>
      </c>
      <c r="E1352" t="s">
        <v>160</v>
      </c>
      <c r="F1352" t="s">
        <v>3</v>
      </c>
      <c r="G1352" t="s">
        <v>212</v>
      </c>
      <c r="H1352" t="s">
        <v>163</v>
      </c>
      <c r="I1352">
        <v>52</v>
      </c>
      <c r="J1352">
        <v>0.75630252100840334</v>
      </c>
      <c r="M1352" t="s">
        <v>670</v>
      </c>
      <c r="N1352" t="s">
        <v>3132</v>
      </c>
      <c r="O1352" t="s">
        <v>3133</v>
      </c>
      <c r="P1352">
        <v>0.7</v>
      </c>
    </row>
    <row r="1353" spans="1:16" x14ac:dyDescent="0.3">
      <c r="A1353" t="s">
        <v>29</v>
      </c>
      <c r="B1353" t="s">
        <v>20</v>
      </c>
      <c r="C1353" t="s">
        <v>21</v>
      </c>
      <c r="D1353" t="s">
        <v>54</v>
      </c>
      <c r="E1353" t="s">
        <v>160</v>
      </c>
      <c r="F1353" t="s">
        <v>3</v>
      </c>
      <c r="G1353" t="s">
        <v>217</v>
      </c>
      <c r="H1353" t="s">
        <v>163</v>
      </c>
      <c r="I1353">
        <v>53</v>
      </c>
      <c r="J1353">
        <v>0.75492957746478873</v>
      </c>
      <c r="M1353" t="s">
        <v>670</v>
      </c>
      <c r="N1353" t="s">
        <v>3134</v>
      </c>
      <c r="O1353" t="s">
        <v>3135</v>
      </c>
      <c r="P1353">
        <v>0.6</v>
      </c>
    </row>
    <row r="1354" spans="1:16" x14ac:dyDescent="0.3">
      <c r="A1354" t="s">
        <v>29</v>
      </c>
      <c r="B1354" t="s">
        <v>20</v>
      </c>
      <c r="C1354" t="s">
        <v>21</v>
      </c>
      <c r="D1354" t="s">
        <v>54</v>
      </c>
      <c r="E1354" t="s">
        <v>160</v>
      </c>
      <c r="F1354" t="s">
        <v>3</v>
      </c>
      <c r="G1354" t="s">
        <v>222</v>
      </c>
      <c r="H1354" t="s">
        <v>163</v>
      </c>
      <c r="I1354">
        <v>54</v>
      </c>
      <c r="J1354">
        <v>0.76033057851239672</v>
      </c>
      <c r="M1354" t="s">
        <v>670</v>
      </c>
      <c r="N1354" t="s">
        <v>3136</v>
      </c>
      <c r="O1354" t="s">
        <v>3137</v>
      </c>
      <c r="P1354">
        <v>0.6</v>
      </c>
    </row>
    <row r="1355" spans="1:16" x14ac:dyDescent="0.3">
      <c r="A1355" t="s">
        <v>29</v>
      </c>
      <c r="B1355" t="s">
        <v>20</v>
      </c>
      <c r="C1355" t="s">
        <v>21</v>
      </c>
      <c r="D1355" t="s">
        <v>54</v>
      </c>
      <c r="E1355" t="s">
        <v>160</v>
      </c>
      <c r="F1355" t="s">
        <v>3</v>
      </c>
      <c r="G1355" t="s">
        <v>227</v>
      </c>
      <c r="H1355" t="s">
        <v>163</v>
      </c>
      <c r="I1355">
        <v>55</v>
      </c>
      <c r="J1355">
        <v>0.77348066298342533</v>
      </c>
      <c r="M1355" t="s">
        <v>670</v>
      </c>
      <c r="N1355" t="s">
        <v>3138</v>
      </c>
      <c r="O1355" t="s">
        <v>3139</v>
      </c>
      <c r="P1355">
        <v>0.6</v>
      </c>
    </row>
    <row r="1356" spans="1:16" x14ac:dyDescent="0.3">
      <c r="A1356" t="s">
        <v>29</v>
      </c>
      <c r="B1356" t="s">
        <v>20</v>
      </c>
      <c r="C1356" t="s">
        <v>21</v>
      </c>
      <c r="D1356" t="s">
        <v>54</v>
      </c>
      <c r="E1356" t="s">
        <v>160</v>
      </c>
      <c r="F1356" t="s">
        <v>3</v>
      </c>
      <c r="G1356" t="s">
        <v>232</v>
      </c>
      <c r="H1356" t="s">
        <v>163</v>
      </c>
      <c r="I1356">
        <v>56</v>
      </c>
      <c r="J1356">
        <v>0.75294117647058834</v>
      </c>
      <c r="M1356" t="s">
        <v>670</v>
      </c>
      <c r="N1356" t="s">
        <v>3140</v>
      </c>
      <c r="O1356" t="s">
        <v>3141</v>
      </c>
      <c r="P1356">
        <v>0.6</v>
      </c>
    </row>
    <row r="1357" spans="1:16" x14ac:dyDescent="0.3">
      <c r="A1357" t="s">
        <v>29</v>
      </c>
      <c r="B1357" t="s">
        <v>20</v>
      </c>
      <c r="C1357" t="s">
        <v>21</v>
      </c>
      <c r="D1357" t="s">
        <v>54</v>
      </c>
      <c r="E1357" t="s">
        <v>160</v>
      </c>
      <c r="F1357" t="s">
        <v>3</v>
      </c>
      <c r="G1357" t="s">
        <v>237</v>
      </c>
      <c r="H1357" t="s">
        <v>163</v>
      </c>
      <c r="I1357">
        <v>57</v>
      </c>
      <c r="J1357">
        <v>0.78260869565217395</v>
      </c>
      <c r="M1357" t="s">
        <v>670</v>
      </c>
      <c r="N1357" t="s">
        <v>3142</v>
      </c>
      <c r="O1357" t="s">
        <v>3143</v>
      </c>
      <c r="P1357">
        <v>0.6</v>
      </c>
    </row>
    <row r="1358" spans="1:16" x14ac:dyDescent="0.3">
      <c r="A1358" t="s">
        <v>29</v>
      </c>
      <c r="B1358" t="s">
        <v>20</v>
      </c>
      <c r="C1358" t="s">
        <v>21</v>
      </c>
      <c r="D1358" t="s">
        <v>54</v>
      </c>
      <c r="E1358" t="s">
        <v>160</v>
      </c>
      <c r="F1358" t="s">
        <v>3</v>
      </c>
      <c r="G1358" t="s">
        <v>242</v>
      </c>
      <c r="H1358" t="s">
        <v>163</v>
      </c>
      <c r="I1358">
        <v>58</v>
      </c>
      <c r="J1358">
        <v>0.73513513513513518</v>
      </c>
      <c r="M1358" t="s">
        <v>670</v>
      </c>
      <c r="N1358" t="s">
        <v>3144</v>
      </c>
      <c r="O1358" t="s">
        <v>3145</v>
      </c>
      <c r="P1358">
        <v>1.3</v>
      </c>
    </row>
    <row r="1359" spans="1:16" x14ac:dyDescent="0.3">
      <c r="A1359" t="s">
        <v>29</v>
      </c>
      <c r="B1359" t="s">
        <v>20</v>
      </c>
      <c r="C1359" t="s">
        <v>21</v>
      </c>
      <c r="D1359" t="s">
        <v>54</v>
      </c>
      <c r="E1359" t="s">
        <v>160</v>
      </c>
      <c r="F1359" t="s">
        <v>3</v>
      </c>
      <c r="G1359" t="s">
        <v>247</v>
      </c>
      <c r="H1359" t="s">
        <v>163</v>
      </c>
      <c r="I1359">
        <v>59</v>
      </c>
      <c r="J1359">
        <v>0.76243093922651939</v>
      </c>
      <c r="M1359" t="s">
        <v>670</v>
      </c>
      <c r="N1359" t="s">
        <v>3146</v>
      </c>
      <c r="O1359" t="s">
        <v>3147</v>
      </c>
      <c r="P1359">
        <v>0.6</v>
      </c>
    </row>
    <row r="1360" spans="1:16" x14ac:dyDescent="0.3">
      <c r="A1360" t="s">
        <v>29</v>
      </c>
      <c r="B1360" t="s">
        <v>20</v>
      </c>
      <c r="C1360" t="s">
        <v>21</v>
      </c>
      <c r="D1360" t="s">
        <v>54</v>
      </c>
      <c r="E1360" t="s">
        <v>160</v>
      </c>
      <c r="F1360" t="s">
        <v>3</v>
      </c>
      <c r="G1360" t="s">
        <v>252</v>
      </c>
      <c r="H1360" t="s">
        <v>163</v>
      </c>
      <c r="I1360">
        <v>60</v>
      </c>
      <c r="J1360">
        <v>0.78409090909090906</v>
      </c>
      <c r="M1360" t="s">
        <v>670</v>
      </c>
      <c r="N1360" t="s">
        <v>3148</v>
      </c>
      <c r="O1360" t="s">
        <v>3149</v>
      </c>
      <c r="P1360">
        <v>0.6</v>
      </c>
    </row>
    <row r="1361" spans="1:16" x14ac:dyDescent="0.3">
      <c r="A1361" t="s">
        <v>29</v>
      </c>
      <c r="B1361" t="s">
        <v>20</v>
      </c>
      <c r="C1361" t="s">
        <v>21</v>
      </c>
      <c r="D1361" t="s">
        <v>54</v>
      </c>
      <c r="E1361" t="s">
        <v>160</v>
      </c>
      <c r="F1361" t="s">
        <v>3</v>
      </c>
      <c r="G1361" t="s">
        <v>257</v>
      </c>
      <c r="H1361" t="s">
        <v>163</v>
      </c>
      <c r="I1361">
        <v>61</v>
      </c>
      <c r="J1361">
        <v>0.77492877492877488</v>
      </c>
      <c r="M1361" t="s">
        <v>670</v>
      </c>
      <c r="N1361" t="s">
        <v>3150</v>
      </c>
      <c r="O1361" t="s">
        <v>3151</v>
      </c>
      <c r="P1361">
        <v>0.8</v>
      </c>
    </row>
    <row r="1362" spans="1:16" x14ac:dyDescent="0.3">
      <c r="A1362" t="s">
        <v>29</v>
      </c>
      <c r="B1362" t="s">
        <v>20</v>
      </c>
      <c r="C1362" t="s">
        <v>21</v>
      </c>
      <c r="D1362" t="s">
        <v>54</v>
      </c>
      <c r="E1362" t="s">
        <v>262</v>
      </c>
      <c r="F1362" t="s">
        <v>5</v>
      </c>
      <c r="G1362" t="s">
        <v>263</v>
      </c>
      <c r="H1362" t="s">
        <v>265</v>
      </c>
      <c r="I1362">
        <v>42</v>
      </c>
      <c r="J1362">
        <v>0.75159235668789803</v>
      </c>
      <c r="M1362" t="s">
        <v>670</v>
      </c>
      <c r="N1362" t="s">
        <v>3152</v>
      </c>
      <c r="O1362" t="s">
        <v>3153</v>
      </c>
      <c r="P1362">
        <v>0.6</v>
      </c>
    </row>
    <row r="1363" spans="1:16" x14ac:dyDescent="0.3">
      <c r="A1363" t="s">
        <v>29</v>
      </c>
      <c r="B1363" t="s">
        <v>20</v>
      </c>
      <c r="C1363" t="s">
        <v>21</v>
      </c>
      <c r="D1363" t="s">
        <v>54</v>
      </c>
      <c r="E1363" t="s">
        <v>262</v>
      </c>
      <c r="F1363" t="s">
        <v>5</v>
      </c>
      <c r="G1363" t="s">
        <v>269</v>
      </c>
      <c r="H1363" t="s">
        <v>265</v>
      </c>
      <c r="I1363">
        <v>43</v>
      </c>
      <c r="J1363">
        <v>0.7531914893617021</v>
      </c>
      <c r="M1363" t="s">
        <v>670</v>
      </c>
      <c r="N1363" t="s">
        <v>3154</v>
      </c>
      <c r="O1363" t="s">
        <v>3155</v>
      </c>
      <c r="P1363">
        <v>0.7</v>
      </c>
    </row>
    <row r="1364" spans="1:16" x14ac:dyDescent="0.3">
      <c r="A1364" t="s">
        <v>29</v>
      </c>
      <c r="B1364" t="s">
        <v>20</v>
      </c>
      <c r="C1364" t="s">
        <v>21</v>
      </c>
      <c r="D1364" t="s">
        <v>54</v>
      </c>
      <c r="E1364" t="s">
        <v>262</v>
      </c>
      <c r="F1364" t="s">
        <v>5</v>
      </c>
      <c r="G1364" t="s">
        <v>274</v>
      </c>
      <c r="H1364" t="s">
        <v>265</v>
      </c>
      <c r="I1364">
        <v>44</v>
      </c>
      <c r="J1364">
        <v>0.74518201284796559</v>
      </c>
      <c r="M1364" t="s">
        <v>670</v>
      </c>
      <c r="N1364" t="s">
        <v>3156</v>
      </c>
      <c r="O1364" t="s">
        <v>3157</v>
      </c>
      <c r="P1364">
        <v>0.6</v>
      </c>
    </row>
    <row r="1365" spans="1:16" x14ac:dyDescent="0.3">
      <c r="A1365" t="s">
        <v>29</v>
      </c>
      <c r="B1365" t="s">
        <v>20</v>
      </c>
      <c r="C1365" t="s">
        <v>21</v>
      </c>
      <c r="D1365" t="s">
        <v>54</v>
      </c>
      <c r="E1365" t="s">
        <v>262</v>
      </c>
      <c r="F1365" t="s">
        <v>5</v>
      </c>
      <c r="G1365" t="s">
        <v>279</v>
      </c>
      <c r="H1365" t="s">
        <v>265</v>
      </c>
      <c r="I1365">
        <v>45</v>
      </c>
      <c r="J1365">
        <v>0.70196078431372555</v>
      </c>
      <c r="M1365" t="s">
        <v>670</v>
      </c>
      <c r="N1365" t="s">
        <v>3158</v>
      </c>
      <c r="O1365" t="s">
        <v>3159</v>
      </c>
      <c r="P1365">
        <v>0.6</v>
      </c>
    </row>
    <row r="1366" spans="1:16" x14ac:dyDescent="0.3">
      <c r="A1366" t="s">
        <v>29</v>
      </c>
      <c r="B1366" t="s">
        <v>20</v>
      </c>
      <c r="C1366" t="s">
        <v>21</v>
      </c>
      <c r="D1366" t="s">
        <v>54</v>
      </c>
      <c r="E1366" t="s">
        <v>262</v>
      </c>
      <c r="F1366" t="s">
        <v>5</v>
      </c>
      <c r="G1366" t="s">
        <v>284</v>
      </c>
      <c r="H1366" t="s">
        <v>265</v>
      </c>
      <c r="I1366">
        <v>46</v>
      </c>
      <c r="J1366">
        <v>0.76271186440677974</v>
      </c>
      <c r="M1366" t="s">
        <v>670</v>
      </c>
      <c r="N1366" t="s">
        <v>3160</v>
      </c>
      <c r="O1366" t="s">
        <v>3161</v>
      </c>
      <c r="P1366">
        <v>0.8</v>
      </c>
    </row>
    <row r="1367" spans="1:16" x14ac:dyDescent="0.3">
      <c r="A1367" t="s">
        <v>29</v>
      </c>
      <c r="B1367" t="s">
        <v>20</v>
      </c>
      <c r="C1367" t="s">
        <v>21</v>
      </c>
      <c r="D1367" t="s">
        <v>54</v>
      </c>
      <c r="E1367" t="s">
        <v>262</v>
      </c>
      <c r="F1367" t="s">
        <v>5</v>
      </c>
      <c r="G1367" t="s">
        <v>289</v>
      </c>
      <c r="H1367" t="s">
        <v>265</v>
      </c>
      <c r="I1367">
        <v>47</v>
      </c>
      <c r="J1367">
        <v>0.77489177489177496</v>
      </c>
      <c r="M1367" t="s">
        <v>670</v>
      </c>
      <c r="N1367" t="s">
        <v>3162</v>
      </c>
      <c r="O1367" t="s">
        <v>3163</v>
      </c>
      <c r="P1367">
        <v>0.6</v>
      </c>
    </row>
    <row r="1368" spans="1:16" x14ac:dyDescent="0.3">
      <c r="A1368" t="s">
        <v>29</v>
      </c>
      <c r="B1368" t="s">
        <v>20</v>
      </c>
      <c r="C1368" t="s">
        <v>21</v>
      </c>
      <c r="D1368" t="s">
        <v>54</v>
      </c>
      <c r="E1368" t="s">
        <v>262</v>
      </c>
      <c r="F1368" t="s">
        <v>5</v>
      </c>
      <c r="G1368" t="s">
        <v>294</v>
      </c>
      <c r="H1368" t="s">
        <v>265</v>
      </c>
      <c r="I1368">
        <v>48</v>
      </c>
      <c r="J1368">
        <v>0.73728813559322037</v>
      </c>
      <c r="M1368" t="s">
        <v>670</v>
      </c>
      <c r="N1368" t="s">
        <v>3164</v>
      </c>
      <c r="O1368" t="s">
        <v>3165</v>
      </c>
      <c r="P1368">
        <v>0.6</v>
      </c>
    </row>
    <row r="1369" spans="1:16" x14ac:dyDescent="0.3">
      <c r="A1369" t="s">
        <v>29</v>
      </c>
      <c r="B1369" t="s">
        <v>20</v>
      </c>
      <c r="C1369" t="s">
        <v>21</v>
      </c>
      <c r="D1369" t="s">
        <v>54</v>
      </c>
      <c r="E1369" t="s">
        <v>262</v>
      </c>
      <c r="F1369" t="s">
        <v>5</v>
      </c>
      <c r="G1369" t="s">
        <v>299</v>
      </c>
      <c r="H1369" t="s">
        <v>265</v>
      </c>
      <c r="I1369">
        <v>49</v>
      </c>
      <c r="J1369">
        <v>0.73029045643153523</v>
      </c>
      <c r="M1369" t="s">
        <v>670</v>
      </c>
      <c r="N1369" t="s">
        <v>3166</v>
      </c>
      <c r="O1369" t="s">
        <v>3167</v>
      </c>
      <c r="P1369">
        <v>0.6</v>
      </c>
    </row>
    <row r="1370" spans="1:16" x14ac:dyDescent="0.3">
      <c r="A1370" t="s">
        <v>29</v>
      </c>
      <c r="B1370" t="s">
        <v>20</v>
      </c>
      <c r="C1370" t="s">
        <v>21</v>
      </c>
      <c r="D1370" t="s">
        <v>54</v>
      </c>
      <c r="E1370" t="s">
        <v>262</v>
      </c>
      <c r="F1370" t="s">
        <v>5</v>
      </c>
      <c r="G1370" t="s">
        <v>304</v>
      </c>
      <c r="H1370" t="s">
        <v>265</v>
      </c>
      <c r="I1370">
        <v>50</v>
      </c>
      <c r="J1370">
        <v>0.72955974842767291</v>
      </c>
      <c r="M1370" t="s">
        <v>670</v>
      </c>
      <c r="N1370" t="s">
        <v>3168</v>
      </c>
      <c r="O1370" t="s">
        <v>3169</v>
      </c>
      <c r="P1370">
        <v>0.6</v>
      </c>
    </row>
    <row r="1371" spans="1:16" x14ac:dyDescent="0.3">
      <c r="A1371" t="s">
        <v>29</v>
      </c>
      <c r="B1371" t="s">
        <v>20</v>
      </c>
      <c r="C1371" t="s">
        <v>21</v>
      </c>
      <c r="D1371" t="s">
        <v>54</v>
      </c>
      <c r="E1371" t="s">
        <v>262</v>
      </c>
      <c r="F1371" t="s">
        <v>5</v>
      </c>
      <c r="G1371" t="s">
        <v>309</v>
      </c>
      <c r="H1371" t="s">
        <v>265</v>
      </c>
      <c r="I1371">
        <v>51</v>
      </c>
      <c r="J1371">
        <v>0.74645030425963488</v>
      </c>
      <c r="M1371" t="s">
        <v>670</v>
      </c>
      <c r="N1371" t="s">
        <v>3170</v>
      </c>
      <c r="O1371" t="s">
        <v>3171</v>
      </c>
      <c r="P1371">
        <v>0.6</v>
      </c>
    </row>
    <row r="1372" spans="1:16" x14ac:dyDescent="0.3">
      <c r="A1372" t="s">
        <v>29</v>
      </c>
      <c r="B1372" t="s">
        <v>20</v>
      </c>
      <c r="C1372" t="s">
        <v>21</v>
      </c>
      <c r="D1372" t="s">
        <v>54</v>
      </c>
      <c r="E1372" t="s">
        <v>262</v>
      </c>
      <c r="F1372" t="s">
        <v>5</v>
      </c>
      <c r="G1372" t="s">
        <v>314</v>
      </c>
      <c r="H1372" t="s">
        <v>265</v>
      </c>
      <c r="I1372">
        <v>52</v>
      </c>
      <c r="J1372">
        <v>0.75906183368869928</v>
      </c>
      <c r="M1372" t="s">
        <v>670</v>
      </c>
      <c r="N1372" t="s">
        <v>3172</v>
      </c>
      <c r="O1372" t="s">
        <v>3173</v>
      </c>
      <c r="P1372">
        <v>0.6</v>
      </c>
    </row>
    <row r="1373" spans="1:16" x14ac:dyDescent="0.3">
      <c r="A1373" t="s">
        <v>29</v>
      </c>
      <c r="B1373" t="s">
        <v>20</v>
      </c>
      <c r="C1373" t="s">
        <v>21</v>
      </c>
      <c r="D1373" t="s">
        <v>54</v>
      </c>
      <c r="E1373" t="s">
        <v>262</v>
      </c>
      <c r="F1373" t="s">
        <v>5</v>
      </c>
      <c r="G1373" t="s">
        <v>319</v>
      </c>
      <c r="H1373" t="s">
        <v>265</v>
      </c>
      <c r="I1373">
        <v>53</v>
      </c>
      <c r="J1373">
        <v>0.78587196467991161</v>
      </c>
      <c r="M1373" t="s">
        <v>670</v>
      </c>
      <c r="N1373" t="s">
        <v>3174</v>
      </c>
      <c r="O1373" t="s">
        <v>3175</v>
      </c>
      <c r="P1373">
        <v>0.9</v>
      </c>
    </row>
    <row r="1374" spans="1:16" x14ac:dyDescent="0.3">
      <c r="A1374" t="s">
        <v>29</v>
      </c>
      <c r="B1374" t="s">
        <v>20</v>
      </c>
      <c r="C1374" t="s">
        <v>21</v>
      </c>
      <c r="D1374" t="s">
        <v>54</v>
      </c>
      <c r="E1374" t="s">
        <v>262</v>
      </c>
      <c r="F1374" t="s">
        <v>5</v>
      </c>
      <c r="G1374" t="s">
        <v>324</v>
      </c>
      <c r="H1374" t="s">
        <v>265</v>
      </c>
      <c r="I1374">
        <v>54</v>
      </c>
      <c r="J1374">
        <v>0.75</v>
      </c>
      <c r="M1374" t="s">
        <v>670</v>
      </c>
      <c r="N1374" t="s">
        <v>3176</v>
      </c>
      <c r="O1374" t="s">
        <v>3177</v>
      </c>
      <c r="P1374">
        <v>0.6</v>
      </c>
    </row>
    <row r="1375" spans="1:16" x14ac:dyDescent="0.3">
      <c r="A1375" t="s">
        <v>29</v>
      </c>
      <c r="B1375" t="s">
        <v>20</v>
      </c>
      <c r="C1375" t="s">
        <v>21</v>
      </c>
      <c r="D1375" t="s">
        <v>54</v>
      </c>
      <c r="E1375" t="s">
        <v>262</v>
      </c>
      <c r="F1375" t="s">
        <v>5</v>
      </c>
      <c r="G1375" t="s">
        <v>329</v>
      </c>
      <c r="H1375" t="s">
        <v>265</v>
      </c>
      <c r="I1375">
        <v>55</v>
      </c>
      <c r="J1375">
        <v>0.79458239277652365</v>
      </c>
      <c r="M1375" t="s">
        <v>670</v>
      </c>
      <c r="N1375" t="s">
        <v>3178</v>
      </c>
      <c r="O1375" t="s">
        <v>3179</v>
      </c>
      <c r="P1375">
        <v>0.6</v>
      </c>
    </row>
    <row r="1376" spans="1:16" x14ac:dyDescent="0.3">
      <c r="A1376" t="s">
        <v>29</v>
      </c>
      <c r="B1376" t="s">
        <v>20</v>
      </c>
      <c r="C1376" t="s">
        <v>21</v>
      </c>
      <c r="D1376" t="s">
        <v>54</v>
      </c>
      <c r="E1376" t="s">
        <v>262</v>
      </c>
      <c r="F1376" t="s">
        <v>5</v>
      </c>
      <c r="G1376" t="s">
        <v>334</v>
      </c>
      <c r="H1376" t="s">
        <v>265</v>
      </c>
      <c r="I1376">
        <v>56</v>
      </c>
      <c r="J1376">
        <v>0.71311475409836067</v>
      </c>
      <c r="M1376" t="s">
        <v>670</v>
      </c>
      <c r="N1376" t="s">
        <v>3180</v>
      </c>
      <c r="O1376" t="s">
        <v>3181</v>
      </c>
      <c r="P1376">
        <v>0.7</v>
      </c>
    </row>
    <row r="1377" spans="1:16" x14ac:dyDescent="0.3">
      <c r="A1377" t="s">
        <v>29</v>
      </c>
      <c r="B1377" t="s">
        <v>20</v>
      </c>
      <c r="C1377" t="s">
        <v>21</v>
      </c>
      <c r="D1377" t="s">
        <v>54</v>
      </c>
      <c r="E1377" t="s">
        <v>262</v>
      </c>
      <c r="F1377" t="s">
        <v>5</v>
      </c>
      <c r="G1377" t="s">
        <v>339</v>
      </c>
      <c r="H1377" t="s">
        <v>265</v>
      </c>
      <c r="I1377">
        <v>57</v>
      </c>
      <c r="J1377">
        <v>0.76659528907922914</v>
      </c>
      <c r="M1377" t="s">
        <v>670</v>
      </c>
      <c r="N1377" t="s">
        <v>3182</v>
      </c>
      <c r="O1377" t="s">
        <v>3183</v>
      </c>
      <c r="P1377">
        <v>0.6</v>
      </c>
    </row>
    <row r="1378" spans="1:16" x14ac:dyDescent="0.3">
      <c r="A1378" t="s">
        <v>29</v>
      </c>
      <c r="B1378" t="s">
        <v>20</v>
      </c>
      <c r="C1378" t="s">
        <v>21</v>
      </c>
      <c r="D1378" t="s">
        <v>54</v>
      </c>
      <c r="E1378" t="s">
        <v>262</v>
      </c>
      <c r="F1378" t="s">
        <v>5</v>
      </c>
      <c r="G1378" t="s">
        <v>344</v>
      </c>
      <c r="H1378" t="s">
        <v>265</v>
      </c>
      <c r="I1378">
        <v>58</v>
      </c>
      <c r="J1378">
        <v>0.743099787685775</v>
      </c>
      <c r="M1378" t="s">
        <v>670</v>
      </c>
      <c r="N1378" t="s">
        <v>3184</v>
      </c>
      <c r="O1378" t="s">
        <v>3185</v>
      </c>
      <c r="P1378">
        <v>0.8</v>
      </c>
    </row>
    <row r="1379" spans="1:16" x14ac:dyDescent="0.3">
      <c r="A1379" t="s">
        <v>29</v>
      </c>
      <c r="B1379" t="s">
        <v>20</v>
      </c>
      <c r="C1379" t="s">
        <v>21</v>
      </c>
      <c r="D1379" t="s">
        <v>54</v>
      </c>
      <c r="E1379" t="s">
        <v>262</v>
      </c>
      <c r="F1379" t="s">
        <v>5</v>
      </c>
      <c r="G1379" t="s">
        <v>349</v>
      </c>
      <c r="H1379" t="s">
        <v>265</v>
      </c>
      <c r="I1379">
        <v>59</v>
      </c>
      <c r="J1379">
        <v>0.72016460905349811</v>
      </c>
      <c r="M1379" t="s">
        <v>670</v>
      </c>
      <c r="N1379" t="s">
        <v>3186</v>
      </c>
      <c r="O1379" t="s">
        <v>3187</v>
      </c>
      <c r="P1379">
        <v>0.6</v>
      </c>
    </row>
    <row r="1380" spans="1:16" x14ac:dyDescent="0.3">
      <c r="A1380" t="s">
        <v>29</v>
      </c>
      <c r="B1380" t="s">
        <v>20</v>
      </c>
      <c r="C1380" t="s">
        <v>21</v>
      </c>
      <c r="D1380" t="s">
        <v>54</v>
      </c>
      <c r="E1380" t="s">
        <v>262</v>
      </c>
      <c r="F1380" t="s">
        <v>5</v>
      </c>
      <c r="G1380" t="s">
        <v>354</v>
      </c>
      <c r="H1380" t="s">
        <v>265</v>
      </c>
      <c r="I1380">
        <v>60</v>
      </c>
      <c r="J1380">
        <v>0.74739039665970775</v>
      </c>
      <c r="M1380" t="s">
        <v>670</v>
      </c>
      <c r="N1380" t="s">
        <v>3188</v>
      </c>
      <c r="O1380" t="s">
        <v>3189</v>
      </c>
      <c r="P1380">
        <v>0.6</v>
      </c>
    </row>
    <row r="1381" spans="1:16" x14ac:dyDescent="0.3">
      <c r="A1381" t="s">
        <v>29</v>
      </c>
      <c r="B1381" t="s">
        <v>20</v>
      </c>
      <c r="C1381" t="s">
        <v>21</v>
      </c>
      <c r="D1381" t="s">
        <v>54</v>
      </c>
      <c r="E1381" t="s">
        <v>262</v>
      </c>
      <c r="F1381" t="s">
        <v>5</v>
      </c>
      <c r="G1381" t="s">
        <v>359</v>
      </c>
      <c r="H1381" t="s">
        <v>265</v>
      </c>
      <c r="I1381">
        <v>61</v>
      </c>
      <c r="J1381">
        <v>0.75555555555555542</v>
      </c>
      <c r="M1381" t="s">
        <v>670</v>
      </c>
      <c r="N1381" t="s">
        <v>3190</v>
      </c>
      <c r="O1381" t="s">
        <v>3191</v>
      </c>
      <c r="P1381">
        <v>0.6</v>
      </c>
    </row>
    <row r="1382" spans="1:16" x14ac:dyDescent="0.3">
      <c r="A1382" t="s">
        <v>29</v>
      </c>
      <c r="B1382" t="s">
        <v>20</v>
      </c>
      <c r="C1382" t="s">
        <v>21</v>
      </c>
      <c r="D1382" t="s">
        <v>363</v>
      </c>
      <c r="E1382" t="s">
        <v>365</v>
      </c>
      <c r="F1382" t="s">
        <v>13</v>
      </c>
      <c r="G1382" t="s">
        <v>366</v>
      </c>
      <c r="H1382" t="s">
        <v>368</v>
      </c>
      <c r="I1382">
        <v>42</v>
      </c>
      <c r="J1382">
        <v>0.79002079002079006</v>
      </c>
      <c r="M1382" t="s">
        <v>670</v>
      </c>
      <c r="N1382" t="s">
        <v>3192</v>
      </c>
      <c r="O1382" t="s">
        <v>3193</v>
      </c>
      <c r="P1382">
        <v>0.6</v>
      </c>
    </row>
    <row r="1383" spans="1:16" x14ac:dyDescent="0.3">
      <c r="A1383" t="s">
        <v>29</v>
      </c>
      <c r="B1383" t="s">
        <v>20</v>
      </c>
      <c r="C1383" t="s">
        <v>21</v>
      </c>
      <c r="D1383" t="s">
        <v>363</v>
      </c>
      <c r="E1383" t="s">
        <v>365</v>
      </c>
      <c r="F1383" t="s">
        <v>13</v>
      </c>
      <c r="G1383" t="s">
        <v>372</v>
      </c>
      <c r="H1383" t="s">
        <v>368</v>
      </c>
      <c r="I1383">
        <v>43</v>
      </c>
      <c r="J1383">
        <v>0.79237288135593231</v>
      </c>
      <c r="M1383" t="s">
        <v>670</v>
      </c>
      <c r="N1383" t="s">
        <v>3194</v>
      </c>
      <c r="O1383" t="s">
        <v>3195</v>
      </c>
      <c r="P1383">
        <v>0.6</v>
      </c>
    </row>
    <row r="1384" spans="1:16" x14ac:dyDescent="0.3">
      <c r="A1384" t="s">
        <v>29</v>
      </c>
      <c r="B1384" t="s">
        <v>20</v>
      </c>
      <c r="C1384" t="s">
        <v>21</v>
      </c>
      <c r="D1384" t="s">
        <v>363</v>
      </c>
      <c r="E1384" t="s">
        <v>365</v>
      </c>
      <c r="F1384" t="s">
        <v>13</v>
      </c>
      <c r="G1384" t="s">
        <v>377</v>
      </c>
      <c r="H1384" t="s">
        <v>368</v>
      </c>
      <c r="I1384">
        <v>44</v>
      </c>
      <c r="J1384">
        <v>0.78099173553719015</v>
      </c>
      <c r="M1384" t="s">
        <v>670</v>
      </c>
      <c r="N1384" t="s">
        <v>3196</v>
      </c>
      <c r="O1384" t="s">
        <v>3197</v>
      </c>
      <c r="P1384">
        <v>0.6</v>
      </c>
    </row>
    <row r="1385" spans="1:16" x14ac:dyDescent="0.3">
      <c r="A1385" t="s">
        <v>29</v>
      </c>
      <c r="B1385" t="s">
        <v>20</v>
      </c>
      <c r="C1385" t="s">
        <v>21</v>
      </c>
      <c r="D1385" t="s">
        <v>363</v>
      </c>
      <c r="E1385" t="s">
        <v>365</v>
      </c>
      <c r="F1385" t="s">
        <v>13</v>
      </c>
      <c r="G1385" t="s">
        <v>382</v>
      </c>
      <c r="H1385" t="s">
        <v>368</v>
      </c>
      <c r="I1385">
        <v>45</v>
      </c>
      <c r="J1385">
        <v>0.78406708595387842</v>
      </c>
      <c r="M1385" t="s">
        <v>670</v>
      </c>
      <c r="N1385" t="s">
        <v>3198</v>
      </c>
      <c r="O1385" t="s">
        <v>3199</v>
      </c>
      <c r="P1385">
        <v>0.6</v>
      </c>
    </row>
    <row r="1386" spans="1:16" x14ac:dyDescent="0.3">
      <c r="A1386" t="s">
        <v>29</v>
      </c>
      <c r="B1386" t="s">
        <v>20</v>
      </c>
      <c r="C1386" t="s">
        <v>21</v>
      </c>
      <c r="D1386" t="s">
        <v>363</v>
      </c>
      <c r="E1386" t="s">
        <v>365</v>
      </c>
      <c r="F1386" t="s">
        <v>13</v>
      </c>
      <c r="G1386" t="s">
        <v>387</v>
      </c>
      <c r="H1386" t="s">
        <v>368</v>
      </c>
      <c r="I1386">
        <v>46</v>
      </c>
      <c r="J1386">
        <v>0.76955602536997891</v>
      </c>
      <c r="M1386" t="s">
        <v>670</v>
      </c>
      <c r="N1386" t="s">
        <v>3200</v>
      </c>
      <c r="O1386" t="s">
        <v>3201</v>
      </c>
      <c r="P1386">
        <v>0.6</v>
      </c>
    </row>
    <row r="1387" spans="1:16" x14ac:dyDescent="0.3">
      <c r="A1387" t="s">
        <v>29</v>
      </c>
      <c r="B1387" t="s">
        <v>20</v>
      </c>
      <c r="C1387" t="s">
        <v>21</v>
      </c>
      <c r="D1387" t="s">
        <v>363</v>
      </c>
      <c r="E1387" t="s">
        <v>365</v>
      </c>
      <c r="F1387" t="s">
        <v>13</v>
      </c>
      <c r="G1387" t="s">
        <v>392</v>
      </c>
      <c r="H1387" t="s">
        <v>368</v>
      </c>
      <c r="I1387">
        <v>47</v>
      </c>
      <c r="J1387">
        <v>0.78260869565217395</v>
      </c>
      <c r="M1387" t="s">
        <v>670</v>
      </c>
      <c r="N1387" t="s">
        <v>3202</v>
      </c>
      <c r="O1387" t="s">
        <v>3203</v>
      </c>
      <c r="P1387">
        <v>0.6</v>
      </c>
    </row>
    <row r="1388" spans="1:16" x14ac:dyDescent="0.3">
      <c r="A1388" t="s">
        <v>29</v>
      </c>
      <c r="B1388" t="s">
        <v>20</v>
      </c>
      <c r="C1388" t="s">
        <v>21</v>
      </c>
      <c r="D1388" t="s">
        <v>363</v>
      </c>
      <c r="E1388" t="s">
        <v>365</v>
      </c>
      <c r="F1388" t="s">
        <v>13</v>
      </c>
      <c r="G1388" t="s">
        <v>397</v>
      </c>
      <c r="H1388" t="s">
        <v>368</v>
      </c>
      <c r="I1388">
        <v>48</v>
      </c>
      <c r="J1388">
        <v>0.80084745762711873</v>
      </c>
      <c r="M1388" t="s">
        <v>670</v>
      </c>
      <c r="N1388" t="s">
        <v>3204</v>
      </c>
      <c r="O1388" t="s">
        <v>3205</v>
      </c>
      <c r="P1388">
        <v>0.6</v>
      </c>
    </row>
    <row r="1389" spans="1:16" x14ac:dyDescent="0.3">
      <c r="A1389" t="s">
        <v>29</v>
      </c>
      <c r="B1389" t="s">
        <v>20</v>
      </c>
      <c r="C1389" t="s">
        <v>21</v>
      </c>
      <c r="D1389" t="s">
        <v>363</v>
      </c>
      <c r="E1389" t="s">
        <v>365</v>
      </c>
      <c r="F1389" t="s">
        <v>13</v>
      </c>
      <c r="G1389" t="s">
        <v>402</v>
      </c>
      <c r="H1389" t="s">
        <v>368</v>
      </c>
      <c r="I1389">
        <v>49</v>
      </c>
      <c r="J1389">
        <v>0.79746835443037989</v>
      </c>
      <c r="M1389" t="s">
        <v>670</v>
      </c>
      <c r="N1389" t="s">
        <v>3206</v>
      </c>
      <c r="O1389" t="s">
        <v>3207</v>
      </c>
      <c r="P1389">
        <v>0.6</v>
      </c>
    </row>
    <row r="1390" spans="1:16" x14ac:dyDescent="0.3">
      <c r="A1390" t="s">
        <v>29</v>
      </c>
      <c r="B1390" t="s">
        <v>20</v>
      </c>
      <c r="C1390" t="s">
        <v>21</v>
      </c>
      <c r="D1390" t="s">
        <v>363</v>
      </c>
      <c r="E1390" t="s">
        <v>365</v>
      </c>
      <c r="F1390" t="s">
        <v>13</v>
      </c>
      <c r="G1390" t="s">
        <v>407</v>
      </c>
      <c r="H1390" t="s">
        <v>368</v>
      </c>
      <c r="I1390">
        <v>50</v>
      </c>
      <c r="J1390">
        <v>0.78980891719745228</v>
      </c>
      <c r="M1390" t="s">
        <v>670</v>
      </c>
      <c r="N1390" t="s">
        <v>3208</v>
      </c>
      <c r="O1390" t="s">
        <v>3209</v>
      </c>
      <c r="P1390">
        <v>0.6</v>
      </c>
    </row>
    <row r="1391" spans="1:16" x14ac:dyDescent="0.3">
      <c r="A1391" t="s">
        <v>29</v>
      </c>
      <c r="B1391" t="s">
        <v>20</v>
      </c>
      <c r="C1391" t="s">
        <v>21</v>
      </c>
      <c r="D1391" t="s">
        <v>363</v>
      </c>
      <c r="E1391" t="s">
        <v>365</v>
      </c>
      <c r="F1391" t="s">
        <v>13</v>
      </c>
      <c r="G1391" t="s">
        <v>412</v>
      </c>
      <c r="H1391" t="s">
        <v>368</v>
      </c>
      <c r="I1391">
        <v>51</v>
      </c>
      <c r="J1391">
        <v>0.80425531914893633</v>
      </c>
      <c r="M1391" t="s">
        <v>670</v>
      </c>
      <c r="N1391" t="s">
        <v>3210</v>
      </c>
      <c r="O1391" t="s">
        <v>3211</v>
      </c>
      <c r="P1391">
        <v>0.6</v>
      </c>
    </row>
    <row r="1392" spans="1:16" x14ac:dyDescent="0.3">
      <c r="A1392" t="s">
        <v>29</v>
      </c>
      <c r="B1392" t="s">
        <v>20</v>
      </c>
      <c r="C1392" t="s">
        <v>21</v>
      </c>
      <c r="D1392" t="s">
        <v>363</v>
      </c>
      <c r="E1392" t="s">
        <v>365</v>
      </c>
      <c r="F1392" t="s">
        <v>13</v>
      </c>
      <c r="G1392" t="s">
        <v>417</v>
      </c>
      <c r="H1392" t="s">
        <v>368</v>
      </c>
      <c r="I1392">
        <v>52</v>
      </c>
      <c r="J1392">
        <v>0.81779661016949157</v>
      </c>
      <c r="M1392" t="s">
        <v>670</v>
      </c>
      <c r="N1392" t="s">
        <v>3212</v>
      </c>
      <c r="O1392" t="s">
        <v>3213</v>
      </c>
      <c r="P1392">
        <v>0.6</v>
      </c>
    </row>
    <row r="1393" spans="1:16" x14ac:dyDescent="0.3">
      <c r="A1393" t="s">
        <v>29</v>
      </c>
      <c r="B1393" t="s">
        <v>20</v>
      </c>
      <c r="C1393" t="s">
        <v>21</v>
      </c>
      <c r="D1393" t="s">
        <v>363</v>
      </c>
      <c r="E1393" t="s">
        <v>365</v>
      </c>
      <c r="F1393" t="s">
        <v>13</v>
      </c>
      <c r="G1393" t="s">
        <v>422</v>
      </c>
      <c r="H1393" t="s">
        <v>368</v>
      </c>
      <c r="I1393">
        <v>53</v>
      </c>
      <c r="J1393">
        <v>0.7773109243697478</v>
      </c>
      <c r="M1393" t="s">
        <v>670</v>
      </c>
      <c r="N1393" t="s">
        <v>3214</v>
      </c>
      <c r="O1393" t="s">
        <v>3215</v>
      </c>
      <c r="P1393">
        <v>0.8</v>
      </c>
    </row>
    <row r="1394" spans="1:16" x14ac:dyDescent="0.3">
      <c r="A1394" t="s">
        <v>29</v>
      </c>
      <c r="B1394" t="s">
        <v>20</v>
      </c>
      <c r="C1394" t="s">
        <v>21</v>
      </c>
      <c r="D1394" t="s">
        <v>363</v>
      </c>
      <c r="E1394" t="s">
        <v>365</v>
      </c>
      <c r="F1394" t="s">
        <v>13</v>
      </c>
      <c r="G1394" t="s">
        <v>427</v>
      </c>
      <c r="H1394" t="s">
        <v>368</v>
      </c>
      <c r="I1394">
        <v>54</v>
      </c>
      <c r="J1394">
        <v>0.78481012658227844</v>
      </c>
      <c r="M1394" t="s">
        <v>670</v>
      </c>
      <c r="N1394" t="s">
        <v>3216</v>
      </c>
      <c r="O1394" t="s">
        <v>3217</v>
      </c>
      <c r="P1394">
        <v>0.6</v>
      </c>
    </row>
    <row r="1395" spans="1:16" x14ac:dyDescent="0.3">
      <c r="A1395" t="s">
        <v>29</v>
      </c>
      <c r="B1395" t="s">
        <v>20</v>
      </c>
      <c r="C1395" t="s">
        <v>21</v>
      </c>
      <c r="D1395" t="s">
        <v>363</v>
      </c>
      <c r="E1395" t="s">
        <v>365</v>
      </c>
      <c r="F1395" t="s">
        <v>13</v>
      </c>
      <c r="G1395" t="s">
        <v>432</v>
      </c>
      <c r="H1395" t="s">
        <v>368</v>
      </c>
      <c r="I1395">
        <v>55</v>
      </c>
      <c r="J1395">
        <v>0.78333333333333344</v>
      </c>
      <c r="M1395" t="s">
        <v>670</v>
      </c>
      <c r="N1395" t="s">
        <v>3218</v>
      </c>
      <c r="O1395" t="s">
        <v>3219</v>
      </c>
      <c r="P1395">
        <v>0.6</v>
      </c>
    </row>
    <row r="1396" spans="1:16" x14ac:dyDescent="0.3">
      <c r="A1396" t="s">
        <v>29</v>
      </c>
      <c r="B1396" t="s">
        <v>20</v>
      </c>
      <c r="C1396" t="s">
        <v>21</v>
      </c>
      <c r="D1396" t="s">
        <v>363</v>
      </c>
      <c r="E1396" t="s">
        <v>365</v>
      </c>
      <c r="F1396" t="s">
        <v>13</v>
      </c>
      <c r="G1396" t="s">
        <v>437</v>
      </c>
      <c r="H1396" t="s">
        <v>368</v>
      </c>
      <c r="I1396">
        <v>56</v>
      </c>
      <c r="J1396">
        <v>0.80170575692963753</v>
      </c>
      <c r="M1396" t="s">
        <v>670</v>
      </c>
      <c r="N1396" t="s">
        <v>3220</v>
      </c>
      <c r="O1396" t="s">
        <v>3221</v>
      </c>
      <c r="P1396">
        <v>0.6</v>
      </c>
    </row>
    <row r="1397" spans="1:16" x14ac:dyDescent="0.3">
      <c r="A1397" t="s">
        <v>29</v>
      </c>
      <c r="B1397" t="s">
        <v>20</v>
      </c>
      <c r="C1397" t="s">
        <v>21</v>
      </c>
      <c r="D1397" t="s">
        <v>363</v>
      </c>
      <c r="E1397" t="s">
        <v>365</v>
      </c>
      <c r="F1397" t="s">
        <v>13</v>
      </c>
      <c r="G1397" t="s">
        <v>442</v>
      </c>
      <c r="H1397" t="s">
        <v>368</v>
      </c>
      <c r="I1397">
        <v>57</v>
      </c>
      <c r="J1397">
        <v>0.79002079002079006</v>
      </c>
      <c r="M1397" t="s">
        <v>670</v>
      </c>
      <c r="N1397" t="s">
        <v>3222</v>
      </c>
      <c r="O1397" t="s">
        <v>3223</v>
      </c>
      <c r="P1397">
        <v>0.7</v>
      </c>
    </row>
    <row r="1398" spans="1:16" x14ac:dyDescent="0.3">
      <c r="A1398" t="s">
        <v>29</v>
      </c>
      <c r="B1398" t="s">
        <v>20</v>
      </c>
      <c r="C1398" t="s">
        <v>21</v>
      </c>
      <c r="D1398" t="s">
        <v>363</v>
      </c>
      <c r="E1398" t="s">
        <v>365</v>
      </c>
      <c r="F1398" t="s">
        <v>13</v>
      </c>
      <c r="G1398" t="s">
        <v>447</v>
      </c>
      <c r="H1398" t="s">
        <v>368</v>
      </c>
      <c r="I1398">
        <v>58</v>
      </c>
      <c r="J1398">
        <v>0.79749478079331937</v>
      </c>
      <c r="M1398" t="s">
        <v>670</v>
      </c>
      <c r="N1398" t="s">
        <v>3224</v>
      </c>
      <c r="O1398" t="s">
        <v>3225</v>
      </c>
      <c r="P1398">
        <v>0.6</v>
      </c>
    </row>
    <row r="1399" spans="1:16" x14ac:dyDescent="0.3">
      <c r="A1399" t="s">
        <v>29</v>
      </c>
      <c r="B1399" t="s">
        <v>20</v>
      </c>
      <c r="C1399" t="s">
        <v>21</v>
      </c>
      <c r="D1399" t="s">
        <v>363</v>
      </c>
      <c r="E1399" t="s">
        <v>365</v>
      </c>
      <c r="F1399" t="s">
        <v>13</v>
      </c>
      <c r="G1399" t="s">
        <v>452</v>
      </c>
      <c r="H1399" t="s">
        <v>368</v>
      </c>
      <c r="I1399">
        <v>59</v>
      </c>
      <c r="J1399">
        <v>0.78695652173913044</v>
      </c>
      <c r="M1399" t="s">
        <v>670</v>
      </c>
      <c r="N1399" t="s">
        <v>3226</v>
      </c>
      <c r="O1399" t="s">
        <v>3227</v>
      </c>
      <c r="P1399">
        <v>0.6</v>
      </c>
    </row>
    <row r="1400" spans="1:16" x14ac:dyDescent="0.3">
      <c r="A1400" t="s">
        <v>29</v>
      </c>
      <c r="B1400" t="s">
        <v>20</v>
      </c>
      <c r="C1400" t="s">
        <v>21</v>
      </c>
      <c r="D1400" t="s">
        <v>363</v>
      </c>
      <c r="E1400" t="s">
        <v>365</v>
      </c>
      <c r="F1400" t="s">
        <v>13</v>
      </c>
      <c r="G1400" t="s">
        <v>457</v>
      </c>
      <c r="H1400" t="s">
        <v>368</v>
      </c>
      <c r="I1400">
        <v>60</v>
      </c>
      <c r="J1400">
        <v>0.77868852459016391</v>
      </c>
      <c r="M1400" t="s">
        <v>670</v>
      </c>
      <c r="N1400" t="s">
        <v>3228</v>
      </c>
      <c r="O1400" t="s">
        <v>3229</v>
      </c>
      <c r="P1400">
        <v>0.6</v>
      </c>
    </row>
    <row r="1401" spans="1:16" x14ac:dyDescent="0.3">
      <c r="A1401" t="s">
        <v>29</v>
      </c>
      <c r="B1401" t="s">
        <v>20</v>
      </c>
      <c r="C1401" t="s">
        <v>21</v>
      </c>
      <c r="D1401" t="s">
        <v>363</v>
      </c>
      <c r="E1401" t="s">
        <v>365</v>
      </c>
      <c r="F1401" t="s">
        <v>13</v>
      </c>
      <c r="G1401" t="s">
        <v>462</v>
      </c>
      <c r="H1401" t="s">
        <v>368</v>
      </c>
      <c r="I1401">
        <v>61</v>
      </c>
      <c r="J1401">
        <v>0.79508196721311475</v>
      </c>
      <c r="M1401" t="s">
        <v>670</v>
      </c>
      <c r="N1401" t="s">
        <v>3230</v>
      </c>
      <c r="O1401" t="s">
        <v>3231</v>
      </c>
      <c r="P1401">
        <v>0.6</v>
      </c>
    </row>
    <row r="1402" spans="1:16" x14ac:dyDescent="0.3">
      <c r="A1402" t="s">
        <v>29</v>
      </c>
      <c r="B1402" t="s">
        <v>20</v>
      </c>
      <c r="C1402" t="s">
        <v>21</v>
      </c>
      <c r="D1402" t="s">
        <v>363</v>
      </c>
      <c r="E1402" t="s">
        <v>467</v>
      </c>
      <c r="F1402" t="s">
        <v>9</v>
      </c>
      <c r="G1402" t="s">
        <v>468</v>
      </c>
      <c r="H1402" t="s">
        <v>470</v>
      </c>
      <c r="I1402">
        <v>42</v>
      </c>
      <c r="J1402">
        <v>0.79538904899135443</v>
      </c>
      <c r="M1402" t="s">
        <v>670</v>
      </c>
      <c r="N1402" t="s">
        <v>3232</v>
      </c>
      <c r="O1402" t="s">
        <v>3233</v>
      </c>
      <c r="P1402">
        <v>0.6</v>
      </c>
    </row>
    <row r="1403" spans="1:16" x14ac:dyDescent="0.3">
      <c r="A1403" t="s">
        <v>29</v>
      </c>
      <c r="B1403" t="s">
        <v>20</v>
      </c>
      <c r="C1403" t="s">
        <v>21</v>
      </c>
      <c r="D1403" t="s">
        <v>363</v>
      </c>
      <c r="E1403" t="s">
        <v>467</v>
      </c>
      <c r="F1403" t="s">
        <v>9</v>
      </c>
      <c r="G1403" t="s">
        <v>474</v>
      </c>
      <c r="H1403" t="s">
        <v>470</v>
      </c>
      <c r="I1403">
        <v>43</v>
      </c>
      <c r="J1403">
        <v>0.77777777777777779</v>
      </c>
      <c r="M1403" t="s">
        <v>670</v>
      </c>
      <c r="N1403" t="s">
        <v>3234</v>
      </c>
      <c r="O1403" t="s">
        <v>3235</v>
      </c>
      <c r="P1403">
        <v>0.6</v>
      </c>
    </row>
    <row r="1404" spans="1:16" x14ac:dyDescent="0.3">
      <c r="A1404" t="s">
        <v>29</v>
      </c>
      <c r="B1404" t="s">
        <v>20</v>
      </c>
      <c r="C1404" t="s">
        <v>21</v>
      </c>
      <c r="D1404" t="s">
        <v>363</v>
      </c>
      <c r="E1404" t="s">
        <v>467</v>
      </c>
      <c r="F1404" t="s">
        <v>9</v>
      </c>
      <c r="G1404" t="s">
        <v>479</v>
      </c>
      <c r="H1404" t="s">
        <v>470</v>
      </c>
      <c r="I1404">
        <v>44</v>
      </c>
      <c r="J1404">
        <v>0.80116959064327486</v>
      </c>
      <c r="M1404" t="s">
        <v>670</v>
      </c>
      <c r="N1404" t="s">
        <v>3236</v>
      </c>
      <c r="O1404" t="s">
        <v>3237</v>
      </c>
      <c r="P1404">
        <v>0.6</v>
      </c>
    </row>
    <row r="1405" spans="1:16" x14ac:dyDescent="0.3">
      <c r="A1405" t="s">
        <v>29</v>
      </c>
      <c r="B1405" t="s">
        <v>20</v>
      </c>
      <c r="C1405" t="s">
        <v>21</v>
      </c>
      <c r="D1405" t="s">
        <v>363</v>
      </c>
      <c r="E1405" t="s">
        <v>467</v>
      </c>
      <c r="F1405" t="s">
        <v>9</v>
      </c>
      <c r="G1405" t="s">
        <v>484</v>
      </c>
      <c r="H1405" t="s">
        <v>470</v>
      </c>
      <c r="I1405">
        <v>45</v>
      </c>
      <c r="J1405">
        <v>0.81632653061224481</v>
      </c>
      <c r="M1405" t="s">
        <v>670</v>
      </c>
      <c r="N1405" t="s">
        <v>3238</v>
      </c>
      <c r="O1405" t="s">
        <v>3239</v>
      </c>
      <c r="P1405">
        <v>0.6</v>
      </c>
    </row>
    <row r="1406" spans="1:16" x14ac:dyDescent="0.3">
      <c r="A1406" t="s">
        <v>29</v>
      </c>
      <c r="B1406" t="s">
        <v>20</v>
      </c>
      <c r="C1406" t="s">
        <v>21</v>
      </c>
      <c r="D1406" t="s">
        <v>363</v>
      </c>
      <c r="E1406" t="s">
        <v>467</v>
      </c>
      <c r="F1406" t="s">
        <v>9</v>
      </c>
      <c r="G1406" t="s">
        <v>489</v>
      </c>
      <c r="H1406" t="s">
        <v>470</v>
      </c>
      <c r="I1406">
        <v>46</v>
      </c>
      <c r="J1406">
        <v>0.77653631284916202</v>
      </c>
      <c r="M1406" t="s">
        <v>670</v>
      </c>
      <c r="N1406" t="s">
        <v>3240</v>
      </c>
      <c r="O1406" t="s">
        <v>3241</v>
      </c>
      <c r="P1406">
        <v>0.6</v>
      </c>
    </row>
    <row r="1407" spans="1:16" x14ac:dyDescent="0.3">
      <c r="A1407" t="s">
        <v>29</v>
      </c>
      <c r="B1407" t="s">
        <v>20</v>
      </c>
      <c r="C1407" t="s">
        <v>21</v>
      </c>
      <c r="D1407" t="s">
        <v>363</v>
      </c>
      <c r="E1407" t="s">
        <v>467</v>
      </c>
      <c r="F1407" t="s">
        <v>9</v>
      </c>
      <c r="G1407" t="s">
        <v>494</v>
      </c>
      <c r="H1407" t="s">
        <v>470</v>
      </c>
      <c r="I1407">
        <v>47</v>
      </c>
      <c r="J1407">
        <v>0.78260869565217395</v>
      </c>
      <c r="M1407" t="s">
        <v>670</v>
      </c>
      <c r="N1407" t="s">
        <v>3242</v>
      </c>
      <c r="O1407" t="s">
        <v>3243</v>
      </c>
      <c r="P1407">
        <v>0.6</v>
      </c>
    </row>
    <row r="1408" spans="1:16" x14ac:dyDescent="0.3">
      <c r="A1408" t="s">
        <v>29</v>
      </c>
      <c r="B1408" t="s">
        <v>20</v>
      </c>
      <c r="C1408" t="s">
        <v>21</v>
      </c>
      <c r="D1408" t="s">
        <v>363</v>
      </c>
      <c r="E1408" t="s">
        <v>467</v>
      </c>
      <c r="F1408" t="s">
        <v>9</v>
      </c>
      <c r="G1408" t="s">
        <v>499</v>
      </c>
      <c r="H1408" t="s">
        <v>470</v>
      </c>
      <c r="I1408">
        <v>48</v>
      </c>
      <c r="J1408">
        <v>0.78089887640449451</v>
      </c>
      <c r="M1408" t="s">
        <v>670</v>
      </c>
      <c r="N1408" t="s">
        <v>3244</v>
      </c>
      <c r="O1408" t="s">
        <v>3245</v>
      </c>
      <c r="P1408">
        <v>0.6</v>
      </c>
    </row>
    <row r="1409" spans="1:16" x14ac:dyDescent="0.3">
      <c r="A1409" t="s">
        <v>29</v>
      </c>
      <c r="B1409" t="s">
        <v>20</v>
      </c>
      <c r="C1409" t="s">
        <v>21</v>
      </c>
      <c r="D1409" t="s">
        <v>363</v>
      </c>
      <c r="E1409" t="s">
        <v>467</v>
      </c>
      <c r="F1409" t="s">
        <v>9</v>
      </c>
      <c r="G1409" t="s">
        <v>504</v>
      </c>
      <c r="H1409" t="s">
        <v>470</v>
      </c>
      <c r="I1409">
        <v>49</v>
      </c>
      <c r="J1409">
        <v>0.79428571428571437</v>
      </c>
      <c r="M1409" t="s">
        <v>670</v>
      </c>
      <c r="N1409" t="s">
        <v>3246</v>
      </c>
      <c r="O1409" t="s">
        <v>3247</v>
      </c>
      <c r="P1409">
        <v>0.6</v>
      </c>
    </row>
    <row r="1410" spans="1:16" x14ac:dyDescent="0.3">
      <c r="A1410" t="s">
        <v>29</v>
      </c>
      <c r="B1410" t="s">
        <v>20</v>
      </c>
      <c r="C1410" t="s">
        <v>21</v>
      </c>
      <c r="D1410" t="s">
        <v>363</v>
      </c>
      <c r="E1410" t="s">
        <v>467</v>
      </c>
      <c r="F1410" t="s">
        <v>9</v>
      </c>
      <c r="G1410" t="s">
        <v>509</v>
      </c>
      <c r="H1410" t="s">
        <v>470</v>
      </c>
      <c r="I1410">
        <v>50</v>
      </c>
      <c r="J1410">
        <v>0.76923076923076927</v>
      </c>
      <c r="M1410" t="s">
        <v>670</v>
      </c>
      <c r="N1410" t="s">
        <v>3248</v>
      </c>
      <c r="O1410" t="s">
        <v>3249</v>
      </c>
      <c r="P1410">
        <v>0.6</v>
      </c>
    </row>
    <row r="1411" spans="1:16" x14ac:dyDescent="0.3">
      <c r="A1411" t="s">
        <v>29</v>
      </c>
      <c r="B1411" t="s">
        <v>20</v>
      </c>
      <c r="C1411" t="s">
        <v>21</v>
      </c>
      <c r="D1411" t="s">
        <v>363</v>
      </c>
      <c r="E1411" t="s">
        <v>467</v>
      </c>
      <c r="F1411" t="s">
        <v>9</v>
      </c>
      <c r="G1411" t="s">
        <v>514</v>
      </c>
      <c r="H1411" t="s">
        <v>470</v>
      </c>
      <c r="I1411">
        <v>51</v>
      </c>
      <c r="J1411">
        <v>0.77272727272727271</v>
      </c>
      <c r="M1411" t="s">
        <v>670</v>
      </c>
      <c r="N1411" t="s">
        <v>3250</v>
      </c>
      <c r="O1411" t="s">
        <v>3251</v>
      </c>
      <c r="P1411">
        <v>0.6</v>
      </c>
    </row>
    <row r="1412" spans="1:16" x14ac:dyDescent="0.3">
      <c r="A1412" t="s">
        <v>29</v>
      </c>
      <c r="B1412" t="s">
        <v>20</v>
      </c>
      <c r="C1412" t="s">
        <v>21</v>
      </c>
      <c r="D1412" t="s">
        <v>363</v>
      </c>
      <c r="E1412" t="s">
        <v>467</v>
      </c>
      <c r="F1412" t="s">
        <v>9</v>
      </c>
      <c r="G1412" t="s">
        <v>519</v>
      </c>
      <c r="H1412" t="s">
        <v>470</v>
      </c>
      <c r="I1412">
        <v>52</v>
      </c>
      <c r="J1412">
        <v>0.7580174927113702</v>
      </c>
      <c r="M1412" t="s">
        <v>670</v>
      </c>
      <c r="N1412" t="s">
        <v>3252</v>
      </c>
      <c r="O1412" t="s">
        <v>3253</v>
      </c>
      <c r="P1412">
        <v>0.6</v>
      </c>
    </row>
    <row r="1413" spans="1:16" x14ac:dyDescent="0.3">
      <c r="A1413" t="s">
        <v>29</v>
      </c>
      <c r="B1413" t="s">
        <v>20</v>
      </c>
      <c r="C1413" t="s">
        <v>21</v>
      </c>
      <c r="D1413" t="s">
        <v>363</v>
      </c>
      <c r="E1413" t="s">
        <v>467</v>
      </c>
      <c r="F1413" t="s">
        <v>9</v>
      </c>
      <c r="G1413" t="s">
        <v>524</v>
      </c>
      <c r="H1413" t="s">
        <v>470</v>
      </c>
      <c r="I1413">
        <v>53</v>
      </c>
      <c r="J1413">
        <v>0.79300291545189505</v>
      </c>
      <c r="M1413" t="s">
        <v>670</v>
      </c>
      <c r="N1413" t="s">
        <v>3254</v>
      </c>
      <c r="O1413" t="s">
        <v>3255</v>
      </c>
      <c r="P1413">
        <v>0.6</v>
      </c>
    </row>
    <row r="1414" spans="1:16" x14ac:dyDescent="0.3">
      <c r="A1414" t="s">
        <v>29</v>
      </c>
      <c r="B1414" t="s">
        <v>20</v>
      </c>
      <c r="C1414" t="s">
        <v>21</v>
      </c>
      <c r="D1414" t="s">
        <v>363</v>
      </c>
      <c r="E1414" t="s">
        <v>467</v>
      </c>
      <c r="F1414" t="s">
        <v>9</v>
      </c>
      <c r="G1414" t="s">
        <v>529</v>
      </c>
      <c r="H1414" t="s">
        <v>470</v>
      </c>
      <c r="I1414">
        <v>54</v>
      </c>
      <c r="J1414">
        <v>0.78753541076487255</v>
      </c>
      <c r="M1414" t="s">
        <v>670</v>
      </c>
      <c r="N1414" t="s">
        <v>3256</v>
      </c>
      <c r="O1414" t="s">
        <v>3257</v>
      </c>
      <c r="P1414">
        <v>0.6</v>
      </c>
    </row>
    <row r="1415" spans="1:16" x14ac:dyDescent="0.3">
      <c r="A1415" t="s">
        <v>29</v>
      </c>
      <c r="B1415" t="s">
        <v>20</v>
      </c>
      <c r="C1415" t="s">
        <v>21</v>
      </c>
      <c r="D1415" t="s">
        <v>363</v>
      </c>
      <c r="E1415" t="s">
        <v>467</v>
      </c>
      <c r="F1415" t="s">
        <v>9</v>
      </c>
      <c r="G1415" t="s">
        <v>534</v>
      </c>
      <c r="H1415" t="s">
        <v>470</v>
      </c>
      <c r="I1415">
        <v>55</v>
      </c>
      <c r="J1415">
        <v>0.81049562682215737</v>
      </c>
      <c r="M1415" t="s">
        <v>670</v>
      </c>
      <c r="N1415" t="s">
        <v>3258</v>
      </c>
      <c r="O1415" t="s">
        <v>3259</v>
      </c>
      <c r="P1415">
        <v>0.7</v>
      </c>
    </row>
    <row r="1416" spans="1:16" x14ac:dyDescent="0.3">
      <c r="A1416" t="s">
        <v>29</v>
      </c>
      <c r="B1416" t="s">
        <v>20</v>
      </c>
      <c r="C1416" t="s">
        <v>21</v>
      </c>
      <c r="D1416" t="s">
        <v>363</v>
      </c>
      <c r="E1416" t="s">
        <v>467</v>
      </c>
      <c r="F1416" t="s">
        <v>9</v>
      </c>
      <c r="G1416" t="s">
        <v>539</v>
      </c>
      <c r="H1416" t="s">
        <v>470</v>
      </c>
      <c r="I1416">
        <v>56</v>
      </c>
      <c r="J1416">
        <v>0.76744186046511631</v>
      </c>
      <c r="M1416" t="s">
        <v>670</v>
      </c>
      <c r="N1416" t="s">
        <v>3260</v>
      </c>
      <c r="O1416" t="s">
        <v>3261</v>
      </c>
      <c r="P1416">
        <v>0.6</v>
      </c>
    </row>
    <row r="1417" spans="1:16" x14ac:dyDescent="0.3">
      <c r="A1417" t="s">
        <v>29</v>
      </c>
      <c r="B1417" t="s">
        <v>20</v>
      </c>
      <c r="C1417" t="s">
        <v>21</v>
      </c>
      <c r="D1417" t="s">
        <v>363</v>
      </c>
      <c r="E1417" t="s">
        <v>467</v>
      </c>
      <c r="F1417" t="s">
        <v>9</v>
      </c>
      <c r="G1417" t="s">
        <v>544</v>
      </c>
      <c r="H1417" t="s">
        <v>470</v>
      </c>
      <c r="I1417">
        <v>57</v>
      </c>
      <c r="J1417">
        <v>0.73684210526315785</v>
      </c>
      <c r="M1417" t="s">
        <v>670</v>
      </c>
      <c r="N1417" t="s">
        <v>3262</v>
      </c>
      <c r="O1417" t="s">
        <v>3263</v>
      </c>
      <c r="P1417">
        <v>0.7</v>
      </c>
    </row>
    <row r="1418" spans="1:16" x14ac:dyDescent="0.3">
      <c r="A1418" t="s">
        <v>29</v>
      </c>
      <c r="B1418" t="s">
        <v>20</v>
      </c>
      <c r="C1418" t="s">
        <v>21</v>
      </c>
      <c r="D1418" t="s">
        <v>363</v>
      </c>
      <c r="E1418" t="s">
        <v>467</v>
      </c>
      <c r="F1418" t="s">
        <v>9</v>
      </c>
      <c r="G1418" t="s">
        <v>549</v>
      </c>
      <c r="H1418" t="s">
        <v>470</v>
      </c>
      <c r="I1418">
        <v>58</v>
      </c>
      <c r="J1418">
        <v>0.78488372093023262</v>
      </c>
      <c r="M1418" t="s">
        <v>670</v>
      </c>
      <c r="N1418" t="s">
        <v>3264</v>
      </c>
      <c r="O1418" t="s">
        <v>3265</v>
      </c>
      <c r="P1418">
        <v>0.6</v>
      </c>
    </row>
    <row r="1419" spans="1:16" x14ac:dyDescent="0.3">
      <c r="A1419" t="s">
        <v>29</v>
      </c>
      <c r="B1419" t="s">
        <v>20</v>
      </c>
      <c r="C1419" t="s">
        <v>21</v>
      </c>
      <c r="D1419" t="s">
        <v>363</v>
      </c>
      <c r="E1419" t="s">
        <v>467</v>
      </c>
      <c r="F1419" t="s">
        <v>9</v>
      </c>
      <c r="G1419" t="s">
        <v>554</v>
      </c>
      <c r="H1419" t="s">
        <v>470</v>
      </c>
      <c r="I1419">
        <v>59</v>
      </c>
      <c r="J1419">
        <v>0.80466472303206993</v>
      </c>
      <c r="M1419" t="s">
        <v>670</v>
      </c>
      <c r="N1419" t="s">
        <v>3266</v>
      </c>
      <c r="O1419" t="s">
        <v>3267</v>
      </c>
      <c r="P1419">
        <v>0.5</v>
      </c>
    </row>
    <row r="1420" spans="1:16" x14ac:dyDescent="0.3">
      <c r="A1420" t="s">
        <v>29</v>
      </c>
      <c r="B1420" t="s">
        <v>20</v>
      </c>
      <c r="C1420" t="s">
        <v>21</v>
      </c>
      <c r="D1420" t="s">
        <v>363</v>
      </c>
      <c r="E1420" t="s">
        <v>467</v>
      </c>
      <c r="F1420" t="s">
        <v>9</v>
      </c>
      <c r="G1420" t="s">
        <v>559</v>
      </c>
      <c r="H1420" t="s">
        <v>470</v>
      </c>
      <c r="I1420">
        <v>60</v>
      </c>
      <c r="J1420">
        <v>0.78717201166180761</v>
      </c>
      <c r="M1420" t="s">
        <v>670</v>
      </c>
      <c r="N1420" t="s">
        <v>3268</v>
      </c>
      <c r="O1420" t="s">
        <v>3269</v>
      </c>
      <c r="P1420">
        <v>0.6</v>
      </c>
    </row>
    <row r="1421" spans="1:16" x14ac:dyDescent="0.3">
      <c r="A1421" t="s">
        <v>29</v>
      </c>
      <c r="B1421" t="s">
        <v>20</v>
      </c>
      <c r="C1421" t="s">
        <v>21</v>
      </c>
      <c r="D1421" t="s">
        <v>363</v>
      </c>
      <c r="E1421" t="s">
        <v>467</v>
      </c>
      <c r="F1421" t="s">
        <v>9</v>
      </c>
      <c r="G1421" t="s">
        <v>564</v>
      </c>
      <c r="H1421" t="s">
        <v>470</v>
      </c>
      <c r="I1421">
        <v>61</v>
      </c>
      <c r="J1421">
        <v>0.78717201166180761</v>
      </c>
      <c r="M1421" t="s">
        <v>670</v>
      </c>
      <c r="N1421" t="s">
        <v>3270</v>
      </c>
      <c r="O1421" t="s">
        <v>3271</v>
      </c>
      <c r="P1421">
        <v>0.6</v>
      </c>
    </row>
    <row r="1422" spans="1:16" x14ac:dyDescent="0.3">
      <c r="A1422" t="s">
        <v>29</v>
      </c>
      <c r="B1422" t="s">
        <v>20</v>
      </c>
      <c r="C1422" t="s">
        <v>21</v>
      </c>
      <c r="D1422" t="s">
        <v>363</v>
      </c>
      <c r="E1422" t="s">
        <v>569</v>
      </c>
      <c r="F1422" t="s">
        <v>11</v>
      </c>
      <c r="G1422" t="s">
        <v>570</v>
      </c>
      <c r="H1422" t="s">
        <v>572</v>
      </c>
      <c r="I1422">
        <v>42</v>
      </c>
      <c r="J1422">
        <v>0.83370288248337032</v>
      </c>
      <c r="M1422" t="s">
        <v>670</v>
      </c>
      <c r="N1422" t="s">
        <v>3272</v>
      </c>
      <c r="O1422" t="s">
        <v>3273</v>
      </c>
      <c r="P1422">
        <v>0.6</v>
      </c>
    </row>
    <row r="1423" spans="1:16" x14ac:dyDescent="0.3">
      <c r="A1423" t="s">
        <v>29</v>
      </c>
      <c r="B1423" t="s">
        <v>20</v>
      </c>
      <c r="C1423" t="s">
        <v>21</v>
      </c>
      <c r="D1423" t="s">
        <v>363</v>
      </c>
      <c r="E1423" t="s">
        <v>569</v>
      </c>
      <c r="F1423" t="s">
        <v>11</v>
      </c>
      <c r="G1423" t="s">
        <v>576</v>
      </c>
      <c r="H1423" t="s">
        <v>572</v>
      </c>
      <c r="I1423">
        <v>43</v>
      </c>
      <c r="J1423">
        <v>0.81917211328976047</v>
      </c>
      <c r="M1423" t="s">
        <v>670</v>
      </c>
      <c r="N1423" t="s">
        <v>3274</v>
      </c>
      <c r="O1423" t="s">
        <v>3275</v>
      </c>
      <c r="P1423">
        <v>0.6</v>
      </c>
    </row>
    <row r="1424" spans="1:16" x14ac:dyDescent="0.3">
      <c r="A1424" t="s">
        <v>29</v>
      </c>
      <c r="B1424" t="s">
        <v>20</v>
      </c>
      <c r="C1424" t="s">
        <v>21</v>
      </c>
      <c r="D1424" t="s">
        <v>363</v>
      </c>
      <c r="E1424" t="s">
        <v>569</v>
      </c>
      <c r="F1424" t="s">
        <v>11</v>
      </c>
      <c r="G1424" t="s">
        <v>581</v>
      </c>
      <c r="H1424" t="s">
        <v>572</v>
      </c>
      <c r="I1424">
        <v>44</v>
      </c>
      <c r="J1424">
        <v>0.79399141630901293</v>
      </c>
      <c r="M1424" t="s">
        <v>670</v>
      </c>
      <c r="N1424" t="s">
        <v>3276</v>
      </c>
      <c r="O1424" t="s">
        <v>3277</v>
      </c>
      <c r="P1424">
        <v>0.6</v>
      </c>
    </row>
    <row r="1425" spans="1:16" x14ac:dyDescent="0.3">
      <c r="A1425" t="s">
        <v>29</v>
      </c>
      <c r="B1425" t="s">
        <v>20</v>
      </c>
      <c r="C1425" t="s">
        <v>21</v>
      </c>
      <c r="D1425" t="s">
        <v>363</v>
      </c>
      <c r="E1425" t="s">
        <v>569</v>
      </c>
      <c r="F1425" t="s">
        <v>11</v>
      </c>
      <c r="G1425" t="s">
        <v>586</v>
      </c>
      <c r="H1425" t="s">
        <v>572</v>
      </c>
      <c r="I1425">
        <v>45</v>
      </c>
      <c r="J1425">
        <v>0.82850779510022277</v>
      </c>
      <c r="M1425" t="s">
        <v>670</v>
      </c>
      <c r="N1425" t="s">
        <v>3278</v>
      </c>
      <c r="O1425" t="s">
        <v>3279</v>
      </c>
      <c r="P1425">
        <v>0.6</v>
      </c>
    </row>
    <row r="1426" spans="1:16" x14ac:dyDescent="0.3">
      <c r="A1426" t="s">
        <v>29</v>
      </c>
      <c r="B1426" t="s">
        <v>20</v>
      </c>
      <c r="C1426" t="s">
        <v>21</v>
      </c>
      <c r="D1426" t="s">
        <v>363</v>
      </c>
      <c r="E1426" t="s">
        <v>569</v>
      </c>
      <c r="F1426" t="s">
        <v>11</v>
      </c>
      <c r="G1426" t="s">
        <v>591</v>
      </c>
      <c r="H1426" t="s">
        <v>572</v>
      </c>
      <c r="I1426">
        <v>46</v>
      </c>
      <c r="J1426">
        <v>0.816593886462882</v>
      </c>
      <c r="M1426" t="s">
        <v>670</v>
      </c>
      <c r="N1426" t="s">
        <v>3280</v>
      </c>
      <c r="O1426" t="s">
        <v>3281</v>
      </c>
      <c r="P1426">
        <v>0.6</v>
      </c>
    </row>
    <row r="1427" spans="1:16" x14ac:dyDescent="0.3">
      <c r="A1427" t="s">
        <v>29</v>
      </c>
      <c r="B1427" t="s">
        <v>20</v>
      </c>
      <c r="C1427" t="s">
        <v>21</v>
      </c>
      <c r="D1427" t="s">
        <v>363</v>
      </c>
      <c r="E1427" t="s">
        <v>569</v>
      </c>
      <c r="F1427" t="s">
        <v>11</v>
      </c>
      <c r="G1427" t="s">
        <v>596</v>
      </c>
      <c r="H1427" t="s">
        <v>572</v>
      </c>
      <c r="I1427">
        <v>47</v>
      </c>
      <c r="J1427">
        <v>0.8</v>
      </c>
      <c r="M1427" t="s">
        <v>670</v>
      </c>
      <c r="N1427" t="s">
        <v>3282</v>
      </c>
      <c r="O1427" t="s">
        <v>3283</v>
      </c>
      <c r="P1427">
        <v>0.6</v>
      </c>
    </row>
    <row r="1428" spans="1:16" x14ac:dyDescent="0.3">
      <c r="A1428" t="s">
        <v>29</v>
      </c>
      <c r="B1428" t="s">
        <v>20</v>
      </c>
      <c r="C1428" t="s">
        <v>21</v>
      </c>
      <c r="D1428" t="s">
        <v>363</v>
      </c>
      <c r="E1428" t="s">
        <v>569</v>
      </c>
      <c r="F1428" t="s">
        <v>11</v>
      </c>
      <c r="G1428" t="s">
        <v>601</v>
      </c>
      <c r="H1428" t="s">
        <v>572</v>
      </c>
      <c r="I1428">
        <v>48</v>
      </c>
      <c r="J1428">
        <v>0.82483370288248348</v>
      </c>
      <c r="M1428" t="s">
        <v>670</v>
      </c>
      <c r="N1428" t="s">
        <v>3284</v>
      </c>
      <c r="O1428" t="s">
        <v>3285</v>
      </c>
      <c r="P1428">
        <v>0.6</v>
      </c>
    </row>
    <row r="1429" spans="1:16" x14ac:dyDescent="0.3">
      <c r="A1429" t="s">
        <v>29</v>
      </c>
      <c r="B1429" t="s">
        <v>20</v>
      </c>
      <c r="C1429" t="s">
        <v>21</v>
      </c>
      <c r="D1429" t="s">
        <v>363</v>
      </c>
      <c r="E1429" t="s">
        <v>569</v>
      </c>
      <c r="F1429" t="s">
        <v>11</v>
      </c>
      <c r="G1429" t="s">
        <v>606</v>
      </c>
      <c r="H1429" t="s">
        <v>572</v>
      </c>
      <c r="I1429">
        <v>49</v>
      </c>
      <c r="J1429">
        <v>0.84563758389261745</v>
      </c>
      <c r="M1429" t="s">
        <v>670</v>
      </c>
      <c r="N1429" t="s">
        <v>3286</v>
      </c>
      <c r="O1429" t="s">
        <v>3287</v>
      </c>
      <c r="P1429">
        <v>0.6</v>
      </c>
    </row>
    <row r="1430" spans="1:16" x14ac:dyDescent="0.3">
      <c r="A1430" t="s">
        <v>29</v>
      </c>
      <c r="B1430" t="s">
        <v>20</v>
      </c>
      <c r="C1430" t="s">
        <v>21</v>
      </c>
      <c r="D1430" t="s">
        <v>363</v>
      </c>
      <c r="E1430" t="s">
        <v>569</v>
      </c>
      <c r="F1430" t="s">
        <v>11</v>
      </c>
      <c r="G1430" t="s">
        <v>611</v>
      </c>
      <c r="H1430" t="s">
        <v>572</v>
      </c>
      <c r="I1430">
        <v>50</v>
      </c>
      <c r="J1430">
        <v>0.83111111111111113</v>
      </c>
      <c r="M1430" t="s">
        <v>670</v>
      </c>
      <c r="N1430" t="s">
        <v>3288</v>
      </c>
      <c r="O1430" t="s">
        <v>3289</v>
      </c>
      <c r="P1430">
        <v>0.5</v>
      </c>
    </row>
    <row r="1431" spans="1:16" x14ac:dyDescent="0.3">
      <c r="A1431" t="s">
        <v>29</v>
      </c>
      <c r="B1431" t="s">
        <v>20</v>
      </c>
      <c r="C1431" t="s">
        <v>21</v>
      </c>
      <c r="D1431" t="s">
        <v>363</v>
      </c>
      <c r="E1431" t="s">
        <v>569</v>
      </c>
      <c r="F1431" t="s">
        <v>11</v>
      </c>
      <c r="G1431" t="s">
        <v>616</v>
      </c>
      <c r="H1431" t="s">
        <v>572</v>
      </c>
      <c r="I1431">
        <v>51</v>
      </c>
      <c r="J1431">
        <v>0.82302771855010659</v>
      </c>
      <c r="M1431" t="s">
        <v>670</v>
      </c>
      <c r="N1431" t="s">
        <v>3290</v>
      </c>
      <c r="O1431" t="s">
        <v>3291</v>
      </c>
      <c r="P1431">
        <v>0.9</v>
      </c>
    </row>
    <row r="1432" spans="1:16" x14ac:dyDescent="0.3">
      <c r="A1432" t="s">
        <v>29</v>
      </c>
      <c r="B1432" t="s">
        <v>20</v>
      </c>
      <c r="C1432" t="s">
        <v>21</v>
      </c>
      <c r="D1432" t="s">
        <v>363</v>
      </c>
      <c r="E1432" t="s">
        <v>569</v>
      </c>
      <c r="F1432" t="s">
        <v>11</v>
      </c>
      <c r="G1432" t="s">
        <v>621</v>
      </c>
      <c r="H1432" t="s">
        <v>572</v>
      </c>
      <c r="I1432">
        <v>52</v>
      </c>
      <c r="J1432">
        <v>0.84000000000000008</v>
      </c>
      <c r="M1432" t="s">
        <v>670</v>
      </c>
      <c r="N1432" t="s">
        <v>3292</v>
      </c>
      <c r="O1432" t="s">
        <v>3293</v>
      </c>
      <c r="P1432">
        <v>0.6</v>
      </c>
    </row>
    <row r="1433" spans="1:16" x14ac:dyDescent="0.3">
      <c r="A1433" t="s">
        <v>29</v>
      </c>
      <c r="B1433" t="s">
        <v>20</v>
      </c>
      <c r="C1433" t="s">
        <v>21</v>
      </c>
      <c r="D1433" t="s">
        <v>363</v>
      </c>
      <c r="E1433" t="s">
        <v>569</v>
      </c>
      <c r="F1433" t="s">
        <v>11</v>
      </c>
      <c r="G1433" t="s">
        <v>626</v>
      </c>
      <c r="H1433" t="s">
        <v>572</v>
      </c>
      <c r="I1433">
        <v>53</v>
      </c>
      <c r="J1433">
        <v>0.81758241758241768</v>
      </c>
      <c r="M1433" t="s">
        <v>670</v>
      </c>
      <c r="N1433" t="s">
        <v>3294</v>
      </c>
      <c r="O1433" t="s">
        <v>3295</v>
      </c>
      <c r="P1433">
        <v>0.6</v>
      </c>
    </row>
    <row r="1434" spans="1:16" x14ac:dyDescent="0.3">
      <c r="A1434" t="s">
        <v>29</v>
      </c>
      <c r="B1434" t="s">
        <v>20</v>
      </c>
      <c r="C1434" t="s">
        <v>21</v>
      </c>
      <c r="D1434" t="s">
        <v>363</v>
      </c>
      <c r="E1434" t="s">
        <v>569</v>
      </c>
      <c r="F1434" t="s">
        <v>11</v>
      </c>
      <c r="G1434" t="s">
        <v>631</v>
      </c>
      <c r="H1434" t="s">
        <v>572</v>
      </c>
      <c r="I1434">
        <v>54</v>
      </c>
      <c r="J1434">
        <v>0.81318681318681318</v>
      </c>
      <c r="M1434" t="s">
        <v>670</v>
      </c>
      <c r="N1434" t="s">
        <v>3296</v>
      </c>
      <c r="O1434" t="s">
        <v>3297</v>
      </c>
      <c r="P1434">
        <v>0.6</v>
      </c>
    </row>
    <row r="1435" spans="1:16" x14ac:dyDescent="0.3">
      <c r="A1435" t="s">
        <v>29</v>
      </c>
      <c r="B1435" t="s">
        <v>20</v>
      </c>
      <c r="C1435" t="s">
        <v>21</v>
      </c>
      <c r="D1435" t="s">
        <v>363</v>
      </c>
      <c r="E1435" t="s">
        <v>569</v>
      </c>
      <c r="F1435" t="s">
        <v>11</v>
      </c>
      <c r="G1435" t="s">
        <v>636</v>
      </c>
      <c r="H1435" t="s">
        <v>572</v>
      </c>
      <c r="I1435">
        <v>55</v>
      </c>
      <c r="J1435">
        <v>0.83668903803132</v>
      </c>
      <c r="M1435" t="s">
        <v>670</v>
      </c>
      <c r="N1435" t="s">
        <v>3298</v>
      </c>
      <c r="O1435" t="s">
        <v>3299</v>
      </c>
      <c r="P1435">
        <v>0.6</v>
      </c>
    </row>
    <row r="1436" spans="1:16" x14ac:dyDescent="0.3">
      <c r="A1436" t="s">
        <v>29</v>
      </c>
      <c r="B1436" t="s">
        <v>20</v>
      </c>
      <c r="C1436" t="s">
        <v>21</v>
      </c>
      <c r="D1436" t="s">
        <v>363</v>
      </c>
      <c r="E1436" t="s">
        <v>569</v>
      </c>
      <c r="F1436" t="s">
        <v>11</v>
      </c>
      <c r="G1436" t="s">
        <v>641</v>
      </c>
      <c r="H1436" t="s">
        <v>572</v>
      </c>
      <c r="I1436">
        <v>56</v>
      </c>
      <c r="J1436">
        <v>0.82039911308203983</v>
      </c>
      <c r="M1436" t="s">
        <v>670</v>
      </c>
      <c r="N1436" t="s">
        <v>3300</v>
      </c>
      <c r="O1436" t="s">
        <v>3301</v>
      </c>
      <c r="P1436">
        <v>0.6</v>
      </c>
    </row>
    <row r="1437" spans="1:16" x14ac:dyDescent="0.3">
      <c r="A1437" t="s">
        <v>29</v>
      </c>
      <c r="B1437" t="s">
        <v>20</v>
      </c>
      <c r="C1437" t="s">
        <v>21</v>
      </c>
      <c r="D1437" t="s">
        <v>363</v>
      </c>
      <c r="E1437" t="s">
        <v>569</v>
      </c>
      <c r="F1437" t="s">
        <v>11</v>
      </c>
      <c r="G1437" t="s">
        <v>646</v>
      </c>
      <c r="H1437" t="s">
        <v>572</v>
      </c>
      <c r="I1437">
        <v>57</v>
      </c>
      <c r="J1437">
        <v>0.81758241758241768</v>
      </c>
      <c r="M1437" t="s">
        <v>670</v>
      </c>
      <c r="N1437" t="s">
        <v>3302</v>
      </c>
      <c r="O1437" t="s">
        <v>3303</v>
      </c>
      <c r="P1437">
        <v>0.6</v>
      </c>
    </row>
    <row r="1438" spans="1:16" x14ac:dyDescent="0.3">
      <c r="A1438" t="s">
        <v>29</v>
      </c>
      <c r="B1438" t="s">
        <v>20</v>
      </c>
      <c r="C1438" t="s">
        <v>21</v>
      </c>
      <c r="D1438" t="s">
        <v>363</v>
      </c>
      <c r="E1438" t="s">
        <v>569</v>
      </c>
      <c r="F1438" t="s">
        <v>11</v>
      </c>
      <c r="G1438" t="s">
        <v>651</v>
      </c>
      <c r="H1438" t="s">
        <v>572</v>
      </c>
      <c r="I1438">
        <v>58</v>
      </c>
      <c r="J1438">
        <v>0.80973451327433632</v>
      </c>
      <c r="M1438" t="s">
        <v>670</v>
      </c>
      <c r="N1438" t="s">
        <v>3304</v>
      </c>
      <c r="O1438" t="s">
        <v>3305</v>
      </c>
      <c r="P1438">
        <v>0.7</v>
      </c>
    </row>
    <row r="1439" spans="1:16" x14ac:dyDescent="0.3">
      <c r="A1439" t="s">
        <v>29</v>
      </c>
      <c r="B1439" t="s">
        <v>20</v>
      </c>
      <c r="C1439" t="s">
        <v>21</v>
      </c>
      <c r="D1439" t="s">
        <v>363</v>
      </c>
      <c r="E1439" t="s">
        <v>569</v>
      </c>
      <c r="F1439" t="s">
        <v>11</v>
      </c>
      <c r="G1439" t="s">
        <v>656</v>
      </c>
      <c r="H1439" t="s">
        <v>572</v>
      </c>
      <c r="I1439">
        <v>59</v>
      </c>
      <c r="J1439">
        <v>0.8318584070796462</v>
      </c>
      <c r="M1439" t="s">
        <v>670</v>
      </c>
      <c r="N1439" t="s">
        <v>3306</v>
      </c>
      <c r="O1439" t="s">
        <v>3307</v>
      </c>
      <c r="P1439">
        <v>0</v>
      </c>
    </row>
    <row r="1440" spans="1:16" x14ac:dyDescent="0.3">
      <c r="A1440" t="s">
        <v>29</v>
      </c>
      <c r="B1440" t="s">
        <v>20</v>
      </c>
      <c r="C1440" t="s">
        <v>21</v>
      </c>
      <c r="D1440" t="s">
        <v>363</v>
      </c>
      <c r="E1440" t="s">
        <v>569</v>
      </c>
      <c r="F1440" t="s">
        <v>11</v>
      </c>
      <c r="G1440" t="s">
        <v>661</v>
      </c>
      <c r="H1440" t="s">
        <v>572</v>
      </c>
      <c r="I1440">
        <v>60</v>
      </c>
      <c r="J1440">
        <v>0.82378854625550657</v>
      </c>
      <c r="M1440" t="s">
        <v>670</v>
      </c>
      <c r="N1440" t="s">
        <v>3308</v>
      </c>
      <c r="O1440" t="s">
        <v>3309</v>
      </c>
      <c r="P1440">
        <v>0</v>
      </c>
    </row>
    <row r="1441" spans="1:16" x14ac:dyDescent="0.3">
      <c r="A1441" t="s">
        <v>29</v>
      </c>
      <c r="B1441" t="s">
        <v>20</v>
      </c>
      <c r="C1441" t="s">
        <v>21</v>
      </c>
      <c r="D1441" t="s">
        <v>363</v>
      </c>
      <c r="E1441" t="s">
        <v>569</v>
      </c>
      <c r="F1441" t="s">
        <v>11</v>
      </c>
      <c r="G1441" t="s">
        <v>666</v>
      </c>
      <c r="H1441" t="s">
        <v>572</v>
      </c>
      <c r="I1441">
        <v>61</v>
      </c>
      <c r="J1441">
        <v>0.8351648351648352</v>
      </c>
      <c r="M1441" t="s">
        <v>670</v>
      </c>
      <c r="N1441" t="s">
        <v>3310</v>
      </c>
      <c r="O1441" t="s">
        <v>3311</v>
      </c>
      <c r="P1441">
        <v>0</v>
      </c>
    </row>
    <row r="1442" spans="1:16" x14ac:dyDescent="0.3">
      <c r="A1442" t="s">
        <v>29</v>
      </c>
      <c r="B1442" t="s">
        <v>22</v>
      </c>
      <c r="C1442" t="s">
        <v>23</v>
      </c>
      <c r="D1442" t="s">
        <v>54</v>
      </c>
      <c r="E1442" t="s">
        <v>56</v>
      </c>
      <c r="F1442" t="s">
        <v>7</v>
      </c>
      <c r="G1442" t="s">
        <v>57</v>
      </c>
      <c r="H1442" t="s">
        <v>59</v>
      </c>
      <c r="I1442">
        <v>42</v>
      </c>
      <c r="J1442">
        <v>0.77801268498942933</v>
      </c>
      <c r="K1442">
        <v>0.75720164609053497</v>
      </c>
      <c r="L1442">
        <v>0.8</v>
      </c>
      <c r="M1442" t="s">
        <v>60</v>
      </c>
      <c r="N1442" t="s">
        <v>3312</v>
      </c>
      <c r="O1442" t="s">
        <v>3313</v>
      </c>
      <c r="P1442">
        <v>6</v>
      </c>
    </row>
    <row r="1443" spans="1:16" x14ac:dyDescent="0.3">
      <c r="A1443" t="s">
        <v>29</v>
      </c>
      <c r="B1443" t="s">
        <v>22</v>
      </c>
      <c r="C1443" t="s">
        <v>23</v>
      </c>
      <c r="D1443" t="s">
        <v>54</v>
      </c>
      <c r="E1443" t="s">
        <v>56</v>
      </c>
      <c r="F1443" t="s">
        <v>7</v>
      </c>
      <c r="G1443" t="s">
        <v>65</v>
      </c>
      <c r="H1443" t="s">
        <v>59</v>
      </c>
      <c r="I1443">
        <v>43</v>
      </c>
      <c r="J1443">
        <v>0.70736842105263165</v>
      </c>
      <c r="K1443">
        <v>0.68571428571428572</v>
      </c>
      <c r="L1443">
        <v>0.73043478260869565</v>
      </c>
      <c r="M1443" t="s">
        <v>60</v>
      </c>
      <c r="N1443" t="s">
        <v>3314</v>
      </c>
      <c r="O1443" t="s">
        <v>3315</v>
      </c>
      <c r="P1443">
        <v>2.8</v>
      </c>
    </row>
    <row r="1444" spans="1:16" x14ac:dyDescent="0.3">
      <c r="A1444" t="s">
        <v>29</v>
      </c>
      <c r="B1444" t="s">
        <v>22</v>
      </c>
      <c r="C1444" t="s">
        <v>23</v>
      </c>
      <c r="D1444" t="s">
        <v>54</v>
      </c>
      <c r="E1444" t="s">
        <v>56</v>
      </c>
      <c r="F1444" t="s">
        <v>7</v>
      </c>
      <c r="G1444" t="s">
        <v>70</v>
      </c>
      <c r="H1444" t="s">
        <v>59</v>
      </c>
      <c r="I1444">
        <v>44</v>
      </c>
      <c r="J1444">
        <v>0.77682403433476388</v>
      </c>
      <c r="K1444">
        <v>0.76694915254237284</v>
      </c>
      <c r="L1444">
        <v>0.78695652173913044</v>
      </c>
      <c r="M1444" t="s">
        <v>60</v>
      </c>
      <c r="N1444" t="s">
        <v>3316</v>
      </c>
      <c r="O1444" t="s">
        <v>3317</v>
      </c>
      <c r="P1444">
        <v>1.4</v>
      </c>
    </row>
    <row r="1445" spans="1:16" x14ac:dyDescent="0.3">
      <c r="A1445" t="s">
        <v>29</v>
      </c>
      <c r="B1445" t="s">
        <v>22</v>
      </c>
      <c r="C1445" t="s">
        <v>23</v>
      </c>
      <c r="D1445" t="s">
        <v>54</v>
      </c>
      <c r="E1445" t="s">
        <v>56</v>
      </c>
      <c r="F1445" t="s">
        <v>7</v>
      </c>
      <c r="G1445" t="s">
        <v>75</v>
      </c>
      <c r="H1445" t="s">
        <v>59</v>
      </c>
      <c r="I1445">
        <v>45</v>
      </c>
      <c r="J1445">
        <v>0.73641851106639833</v>
      </c>
      <c r="K1445">
        <v>0.6853932584269663</v>
      </c>
      <c r="L1445">
        <v>0.79565217391304344</v>
      </c>
      <c r="M1445" t="s">
        <v>60</v>
      </c>
      <c r="N1445" t="s">
        <v>3318</v>
      </c>
      <c r="O1445" t="s">
        <v>3319</v>
      </c>
      <c r="P1445">
        <v>1.8</v>
      </c>
    </row>
    <row r="1446" spans="1:16" x14ac:dyDescent="0.3">
      <c r="A1446" t="s">
        <v>29</v>
      </c>
      <c r="B1446" t="s">
        <v>22</v>
      </c>
      <c r="C1446" t="s">
        <v>23</v>
      </c>
      <c r="D1446" t="s">
        <v>54</v>
      </c>
      <c r="E1446" t="s">
        <v>56</v>
      </c>
      <c r="F1446" t="s">
        <v>7</v>
      </c>
      <c r="G1446" t="s">
        <v>80</v>
      </c>
      <c r="H1446" t="s">
        <v>59</v>
      </c>
      <c r="I1446">
        <v>46</v>
      </c>
      <c r="J1446">
        <v>0.71914893617021292</v>
      </c>
      <c r="K1446">
        <v>0.70416666666666672</v>
      </c>
      <c r="L1446">
        <v>0.73478260869565215</v>
      </c>
      <c r="M1446" t="s">
        <v>60</v>
      </c>
      <c r="N1446" t="s">
        <v>3320</v>
      </c>
      <c r="O1446" t="s">
        <v>3321</v>
      </c>
      <c r="P1446">
        <v>1.4</v>
      </c>
    </row>
    <row r="1447" spans="1:16" x14ac:dyDescent="0.3">
      <c r="A1447" t="s">
        <v>29</v>
      </c>
      <c r="B1447" t="s">
        <v>22</v>
      </c>
      <c r="C1447" t="s">
        <v>23</v>
      </c>
      <c r="D1447" t="s">
        <v>54</v>
      </c>
      <c r="E1447" t="s">
        <v>56</v>
      </c>
      <c r="F1447" t="s">
        <v>7</v>
      </c>
      <c r="G1447" t="s">
        <v>85</v>
      </c>
      <c r="H1447" t="s">
        <v>59</v>
      </c>
      <c r="I1447">
        <v>47</v>
      </c>
      <c r="J1447">
        <v>0.73619631901840499</v>
      </c>
      <c r="K1447">
        <v>0.69498069498069504</v>
      </c>
      <c r="L1447">
        <v>0.78260869565217395</v>
      </c>
      <c r="M1447" t="s">
        <v>60</v>
      </c>
      <c r="N1447" t="s">
        <v>3322</v>
      </c>
      <c r="O1447" t="s">
        <v>3323</v>
      </c>
      <c r="P1447">
        <v>1.6</v>
      </c>
    </row>
    <row r="1448" spans="1:16" x14ac:dyDescent="0.3">
      <c r="A1448" t="s">
        <v>29</v>
      </c>
      <c r="B1448" t="s">
        <v>22</v>
      </c>
      <c r="C1448" t="s">
        <v>23</v>
      </c>
      <c r="D1448" t="s">
        <v>54</v>
      </c>
      <c r="E1448" t="s">
        <v>56</v>
      </c>
      <c r="F1448" t="s">
        <v>7</v>
      </c>
      <c r="G1448" t="s">
        <v>90</v>
      </c>
      <c r="H1448" t="s">
        <v>59</v>
      </c>
      <c r="I1448">
        <v>48</v>
      </c>
      <c r="J1448">
        <v>0.74693877551020416</v>
      </c>
      <c r="K1448">
        <v>0.7038461538461539</v>
      </c>
      <c r="L1448">
        <v>0.79565217391304344</v>
      </c>
      <c r="M1448" t="s">
        <v>60</v>
      </c>
      <c r="N1448" t="s">
        <v>3324</v>
      </c>
      <c r="O1448" t="s">
        <v>3325</v>
      </c>
      <c r="P1448">
        <v>1.4</v>
      </c>
    </row>
    <row r="1449" spans="1:16" x14ac:dyDescent="0.3">
      <c r="A1449" t="s">
        <v>29</v>
      </c>
      <c r="B1449" t="s">
        <v>22</v>
      </c>
      <c r="C1449" t="s">
        <v>23</v>
      </c>
      <c r="D1449" t="s">
        <v>54</v>
      </c>
      <c r="E1449" t="s">
        <v>56</v>
      </c>
      <c r="F1449" t="s">
        <v>7</v>
      </c>
      <c r="G1449" t="s">
        <v>95</v>
      </c>
      <c r="H1449" t="s">
        <v>59</v>
      </c>
      <c r="I1449">
        <v>49</v>
      </c>
      <c r="J1449">
        <v>0.72032193158953728</v>
      </c>
      <c r="K1449">
        <v>0.67041198501872656</v>
      </c>
      <c r="L1449">
        <v>0.77826086956521734</v>
      </c>
      <c r="M1449" t="s">
        <v>60</v>
      </c>
      <c r="N1449" t="s">
        <v>3326</v>
      </c>
      <c r="O1449" t="s">
        <v>3327</v>
      </c>
      <c r="P1449">
        <v>1.4</v>
      </c>
    </row>
    <row r="1450" spans="1:16" x14ac:dyDescent="0.3">
      <c r="A1450" t="s">
        <v>29</v>
      </c>
      <c r="B1450" t="s">
        <v>22</v>
      </c>
      <c r="C1450" t="s">
        <v>23</v>
      </c>
      <c r="D1450" t="s">
        <v>54</v>
      </c>
      <c r="E1450" t="s">
        <v>56</v>
      </c>
      <c r="F1450" t="s">
        <v>7</v>
      </c>
      <c r="G1450" t="s">
        <v>100</v>
      </c>
      <c r="H1450" t="s">
        <v>59</v>
      </c>
      <c r="I1450">
        <v>50</v>
      </c>
      <c r="J1450">
        <v>0.67282809611829952</v>
      </c>
      <c r="K1450">
        <v>0.58520900321543412</v>
      </c>
      <c r="L1450">
        <v>0.79130434782608694</v>
      </c>
      <c r="M1450" t="s">
        <v>60</v>
      </c>
      <c r="N1450" t="s">
        <v>3328</v>
      </c>
      <c r="O1450" t="s">
        <v>3329</v>
      </c>
      <c r="P1450">
        <v>1.4</v>
      </c>
    </row>
    <row r="1451" spans="1:16" x14ac:dyDescent="0.3">
      <c r="A1451" t="s">
        <v>29</v>
      </c>
      <c r="B1451" t="s">
        <v>22</v>
      </c>
      <c r="C1451" t="s">
        <v>23</v>
      </c>
      <c r="D1451" t="s">
        <v>54</v>
      </c>
      <c r="E1451" t="s">
        <v>56</v>
      </c>
      <c r="F1451" t="s">
        <v>7</v>
      </c>
      <c r="G1451" t="s">
        <v>105</v>
      </c>
      <c r="H1451" t="s">
        <v>59</v>
      </c>
      <c r="I1451">
        <v>51</v>
      </c>
      <c r="J1451">
        <v>0.74134419551934827</v>
      </c>
      <c r="K1451">
        <v>0.69731800766283525</v>
      </c>
      <c r="L1451">
        <v>0.79130434782608694</v>
      </c>
      <c r="M1451" t="s">
        <v>60</v>
      </c>
      <c r="N1451" t="s">
        <v>3330</v>
      </c>
      <c r="O1451" t="s">
        <v>3331</v>
      </c>
      <c r="P1451">
        <v>1.8</v>
      </c>
    </row>
    <row r="1452" spans="1:16" x14ac:dyDescent="0.3">
      <c r="A1452" t="s">
        <v>29</v>
      </c>
      <c r="B1452" t="s">
        <v>22</v>
      </c>
      <c r="C1452" t="s">
        <v>23</v>
      </c>
      <c r="D1452" t="s">
        <v>54</v>
      </c>
      <c r="E1452" t="s">
        <v>56</v>
      </c>
      <c r="F1452" t="s">
        <v>7</v>
      </c>
      <c r="G1452" t="s">
        <v>110</v>
      </c>
      <c r="H1452" t="s">
        <v>59</v>
      </c>
      <c r="I1452">
        <v>52</v>
      </c>
      <c r="J1452">
        <v>0.73109243697478987</v>
      </c>
      <c r="K1452">
        <v>0.70731707317073167</v>
      </c>
      <c r="L1452">
        <v>0.75652173913043474</v>
      </c>
      <c r="M1452" t="s">
        <v>60</v>
      </c>
      <c r="N1452" t="s">
        <v>3332</v>
      </c>
      <c r="O1452" t="s">
        <v>3333</v>
      </c>
      <c r="P1452">
        <v>1.4</v>
      </c>
    </row>
    <row r="1453" spans="1:16" x14ac:dyDescent="0.3">
      <c r="A1453" t="s">
        <v>29</v>
      </c>
      <c r="B1453" t="s">
        <v>22</v>
      </c>
      <c r="C1453" t="s">
        <v>23</v>
      </c>
      <c r="D1453" t="s">
        <v>54</v>
      </c>
      <c r="E1453" t="s">
        <v>56</v>
      </c>
      <c r="F1453" t="s">
        <v>7</v>
      </c>
      <c r="G1453" t="s">
        <v>115</v>
      </c>
      <c r="H1453" t="s">
        <v>59</v>
      </c>
      <c r="I1453">
        <v>53</v>
      </c>
      <c r="J1453">
        <v>0.73663366336633662</v>
      </c>
      <c r="K1453">
        <v>0.67636363636363639</v>
      </c>
      <c r="L1453">
        <v>0.80869565217391304</v>
      </c>
      <c r="M1453" t="s">
        <v>60</v>
      </c>
      <c r="N1453" t="s">
        <v>3334</v>
      </c>
      <c r="O1453" t="s">
        <v>3335</v>
      </c>
      <c r="P1453">
        <v>1.4</v>
      </c>
    </row>
    <row r="1454" spans="1:16" x14ac:dyDescent="0.3">
      <c r="A1454" t="s">
        <v>29</v>
      </c>
      <c r="B1454" t="s">
        <v>22</v>
      </c>
      <c r="C1454" t="s">
        <v>23</v>
      </c>
      <c r="D1454" t="s">
        <v>54</v>
      </c>
      <c r="E1454" t="s">
        <v>56</v>
      </c>
      <c r="F1454" t="s">
        <v>7</v>
      </c>
      <c r="G1454" t="s">
        <v>120</v>
      </c>
      <c r="H1454" t="s">
        <v>59</v>
      </c>
      <c r="I1454">
        <v>54</v>
      </c>
      <c r="J1454">
        <v>0.7350427350427351</v>
      </c>
      <c r="K1454">
        <v>0.72268907563025209</v>
      </c>
      <c r="L1454">
        <v>0.74782608695652175</v>
      </c>
      <c r="M1454" t="s">
        <v>60</v>
      </c>
      <c r="N1454" t="s">
        <v>3336</v>
      </c>
      <c r="O1454" t="s">
        <v>3337</v>
      </c>
      <c r="P1454">
        <v>1.4</v>
      </c>
    </row>
    <row r="1455" spans="1:16" x14ac:dyDescent="0.3">
      <c r="A1455" t="s">
        <v>29</v>
      </c>
      <c r="B1455" t="s">
        <v>22</v>
      </c>
      <c r="C1455" t="s">
        <v>23</v>
      </c>
      <c r="D1455" t="s">
        <v>54</v>
      </c>
      <c r="E1455" t="s">
        <v>56</v>
      </c>
      <c r="F1455" t="s">
        <v>7</v>
      </c>
      <c r="G1455" t="s">
        <v>125</v>
      </c>
      <c r="H1455" t="s">
        <v>59</v>
      </c>
      <c r="I1455">
        <v>55</v>
      </c>
      <c r="J1455">
        <v>0.75604395604395591</v>
      </c>
      <c r="K1455">
        <v>0.76444444444444448</v>
      </c>
      <c r="L1455">
        <v>0.74782608695652175</v>
      </c>
      <c r="M1455" t="s">
        <v>60</v>
      </c>
      <c r="N1455" t="s">
        <v>3338</v>
      </c>
      <c r="O1455" t="s">
        <v>3339</v>
      </c>
      <c r="P1455">
        <v>1.3</v>
      </c>
    </row>
    <row r="1456" spans="1:16" x14ac:dyDescent="0.3">
      <c r="A1456" t="s">
        <v>29</v>
      </c>
      <c r="B1456" t="s">
        <v>22</v>
      </c>
      <c r="C1456" t="s">
        <v>23</v>
      </c>
      <c r="D1456" t="s">
        <v>54</v>
      </c>
      <c r="E1456" t="s">
        <v>56</v>
      </c>
      <c r="F1456" t="s">
        <v>7</v>
      </c>
      <c r="G1456" t="s">
        <v>130</v>
      </c>
      <c r="H1456" t="s">
        <v>59</v>
      </c>
      <c r="I1456">
        <v>56</v>
      </c>
      <c r="J1456">
        <v>0.75463917525773194</v>
      </c>
      <c r="K1456">
        <v>0.71764705882352942</v>
      </c>
      <c r="L1456">
        <v>0.79565217391304344</v>
      </c>
      <c r="M1456" t="s">
        <v>60</v>
      </c>
      <c r="N1456" t="s">
        <v>3340</v>
      </c>
      <c r="O1456" t="s">
        <v>3341</v>
      </c>
      <c r="P1456">
        <v>1.4</v>
      </c>
    </row>
    <row r="1457" spans="1:16" x14ac:dyDescent="0.3">
      <c r="A1457" t="s">
        <v>29</v>
      </c>
      <c r="B1457" t="s">
        <v>22</v>
      </c>
      <c r="C1457" t="s">
        <v>23</v>
      </c>
      <c r="D1457" t="s">
        <v>54</v>
      </c>
      <c r="E1457" t="s">
        <v>56</v>
      </c>
      <c r="F1457" t="s">
        <v>7</v>
      </c>
      <c r="G1457" t="s">
        <v>135</v>
      </c>
      <c r="H1457" t="s">
        <v>59</v>
      </c>
      <c r="I1457">
        <v>57</v>
      </c>
      <c r="J1457">
        <v>0.74193548387096775</v>
      </c>
      <c r="K1457">
        <v>0.69172932330827064</v>
      </c>
      <c r="L1457">
        <v>0.8</v>
      </c>
      <c r="M1457" t="s">
        <v>60</v>
      </c>
      <c r="N1457" t="s">
        <v>3342</v>
      </c>
      <c r="O1457" t="s">
        <v>3343</v>
      </c>
      <c r="P1457">
        <v>1.8</v>
      </c>
    </row>
    <row r="1458" spans="1:16" x14ac:dyDescent="0.3">
      <c r="A1458" t="s">
        <v>29</v>
      </c>
      <c r="B1458" t="s">
        <v>22</v>
      </c>
      <c r="C1458" t="s">
        <v>23</v>
      </c>
      <c r="D1458" t="s">
        <v>54</v>
      </c>
      <c r="E1458" t="s">
        <v>56</v>
      </c>
      <c r="F1458" t="s">
        <v>7</v>
      </c>
      <c r="G1458" t="s">
        <v>140</v>
      </c>
      <c r="H1458" t="s">
        <v>59</v>
      </c>
      <c r="I1458">
        <v>58</v>
      </c>
      <c r="J1458">
        <v>0.72255489021956087</v>
      </c>
      <c r="K1458">
        <v>0.66789667896678961</v>
      </c>
      <c r="L1458">
        <v>0.78695652173913044</v>
      </c>
      <c r="M1458" t="s">
        <v>60</v>
      </c>
      <c r="N1458" t="s">
        <v>3344</v>
      </c>
      <c r="O1458" t="s">
        <v>3345</v>
      </c>
      <c r="P1458">
        <v>1.4</v>
      </c>
    </row>
    <row r="1459" spans="1:16" x14ac:dyDescent="0.3">
      <c r="A1459" t="s">
        <v>29</v>
      </c>
      <c r="B1459" t="s">
        <v>22</v>
      </c>
      <c r="C1459" t="s">
        <v>23</v>
      </c>
      <c r="D1459" t="s">
        <v>54</v>
      </c>
      <c r="E1459" t="s">
        <v>56</v>
      </c>
      <c r="F1459" t="s">
        <v>7</v>
      </c>
      <c r="G1459" t="s">
        <v>145</v>
      </c>
      <c r="H1459" t="s">
        <v>59</v>
      </c>
      <c r="I1459">
        <v>59</v>
      </c>
      <c r="J1459">
        <v>0.72573839662447248</v>
      </c>
      <c r="K1459">
        <v>0.70491803278688525</v>
      </c>
      <c r="L1459">
        <v>0.74782608695652175</v>
      </c>
      <c r="M1459" t="s">
        <v>60</v>
      </c>
      <c r="N1459" t="s">
        <v>3346</v>
      </c>
      <c r="O1459" t="s">
        <v>3347</v>
      </c>
      <c r="P1459">
        <v>1.6</v>
      </c>
    </row>
    <row r="1460" spans="1:16" x14ac:dyDescent="0.3">
      <c r="A1460" t="s">
        <v>29</v>
      </c>
      <c r="B1460" t="s">
        <v>22</v>
      </c>
      <c r="C1460" t="s">
        <v>23</v>
      </c>
      <c r="D1460" t="s">
        <v>54</v>
      </c>
      <c r="E1460" t="s">
        <v>56</v>
      </c>
      <c r="F1460" t="s">
        <v>7</v>
      </c>
      <c r="G1460" t="s">
        <v>150</v>
      </c>
      <c r="H1460" t="s">
        <v>59</v>
      </c>
      <c r="I1460">
        <v>60</v>
      </c>
      <c r="J1460">
        <v>0.80888888888888899</v>
      </c>
      <c r="K1460">
        <v>0.82727272727272727</v>
      </c>
      <c r="L1460">
        <v>0.79130434782608694</v>
      </c>
      <c r="M1460" t="s">
        <v>60</v>
      </c>
      <c r="N1460" t="s">
        <v>3348</v>
      </c>
      <c r="O1460" t="s">
        <v>3349</v>
      </c>
      <c r="P1460">
        <v>1.4</v>
      </c>
    </row>
    <row r="1461" spans="1:16" x14ac:dyDescent="0.3">
      <c r="A1461" t="s">
        <v>29</v>
      </c>
      <c r="B1461" t="s">
        <v>22</v>
      </c>
      <c r="C1461" t="s">
        <v>23</v>
      </c>
      <c r="D1461" t="s">
        <v>54</v>
      </c>
      <c r="E1461" t="s">
        <v>56</v>
      </c>
      <c r="F1461" t="s">
        <v>7</v>
      </c>
      <c r="G1461" t="s">
        <v>155</v>
      </c>
      <c r="H1461" t="s">
        <v>59</v>
      </c>
      <c r="I1461">
        <v>61</v>
      </c>
      <c r="J1461">
        <v>0.7264770240700219</v>
      </c>
      <c r="K1461">
        <v>0.7312775330396476</v>
      </c>
      <c r="L1461">
        <v>0.72173913043478266</v>
      </c>
      <c r="M1461" t="s">
        <v>60</v>
      </c>
      <c r="N1461" t="s">
        <v>3350</v>
      </c>
      <c r="O1461" t="s">
        <v>3351</v>
      </c>
      <c r="P1461">
        <v>1.4</v>
      </c>
    </row>
    <row r="1462" spans="1:16" x14ac:dyDescent="0.3">
      <c r="A1462" t="s">
        <v>29</v>
      </c>
      <c r="B1462" t="s">
        <v>22</v>
      </c>
      <c r="C1462" t="s">
        <v>23</v>
      </c>
      <c r="D1462" t="s">
        <v>54</v>
      </c>
      <c r="E1462" t="s">
        <v>160</v>
      </c>
      <c r="F1462" t="s">
        <v>3</v>
      </c>
      <c r="G1462" t="s">
        <v>161</v>
      </c>
      <c r="H1462" t="s">
        <v>163</v>
      </c>
      <c r="I1462">
        <v>42</v>
      </c>
      <c r="J1462">
        <v>0.75543478260869557</v>
      </c>
      <c r="K1462">
        <v>0.69849246231155782</v>
      </c>
      <c r="L1462">
        <v>0.8224852071005917</v>
      </c>
      <c r="M1462" t="s">
        <v>60</v>
      </c>
      <c r="N1462" t="s">
        <v>3352</v>
      </c>
      <c r="O1462" t="s">
        <v>3353</v>
      </c>
      <c r="P1462">
        <v>1.3</v>
      </c>
    </row>
    <row r="1463" spans="1:16" x14ac:dyDescent="0.3">
      <c r="A1463" t="s">
        <v>29</v>
      </c>
      <c r="B1463" t="s">
        <v>22</v>
      </c>
      <c r="C1463" t="s">
        <v>23</v>
      </c>
      <c r="D1463" t="s">
        <v>54</v>
      </c>
      <c r="E1463" t="s">
        <v>160</v>
      </c>
      <c r="F1463" t="s">
        <v>3</v>
      </c>
      <c r="G1463" t="s">
        <v>167</v>
      </c>
      <c r="H1463" t="s">
        <v>163</v>
      </c>
      <c r="I1463">
        <v>43</v>
      </c>
      <c r="J1463">
        <v>0.75920679886685549</v>
      </c>
      <c r="K1463">
        <v>0.72826086956521741</v>
      </c>
      <c r="L1463">
        <v>0.79289940828402372</v>
      </c>
      <c r="M1463" t="s">
        <v>60</v>
      </c>
      <c r="N1463" t="s">
        <v>3354</v>
      </c>
      <c r="O1463" t="s">
        <v>3355</v>
      </c>
      <c r="P1463">
        <v>1.7</v>
      </c>
    </row>
    <row r="1464" spans="1:16" x14ac:dyDescent="0.3">
      <c r="A1464" t="s">
        <v>29</v>
      </c>
      <c r="B1464" t="s">
        <v>22</v>
      </c>
      <c r="C1464" t="s">
        <v>23</v>
      </c>
      <c r="D1464" t="s">
        <v>54</v>
      </c>
      <c r="E1464" t="s">
        <v>160</v>
      </c>
      <c r="F1464" t="s">
        <v>3</v>
      </c>
      <c r="G1464" t="s">
        <v>172</v>
      </c>
      <c r="H1464" t="s">
        <v>163</v>
      </c>
      <c r="I1464">
        <v>44</v>
      </c>
      <c r="J1464">
        <v>0.79545454545454541</v>
      </c>
      <c r="K1464">
        <v>0.76502732240437155</v>
      </c>
      <c r="L1464">
        <v>0.82840236686390534</v>
      </c>
      <c r="M1464" t="s">
        <v>60</v>
      </c>
      <c r="N1464" t="s">
        <v>3356</v>
      </c>
      <c r="O1464" t="s">
        <v>3357</v>
      </c>
      <c r="P1464">
        <v>1.3</v>
      </c>
    </row>
    <row r="1465" spans="1:16" x14ac:dyDescent="0.3">
      <c r="A1465" t="s">
        <v>29</v>
      </c>
      <c r="B1465" t="s">
        <v>22</v>
      </c>
      <c r="C1465" t="s">
        <v>23</v>
      </c>
      <c r="D1465" t="s">
        <v>54</v>
      </c>
      <c r="E1465" t="s">
        <v>160</v>
      </c>
      <c r="F1465" t="s">
        <v>3</v>
      </c>
      <c r="G1465" t="s">
        <v>177</v>
      </c>
      <c r="H1465" t="s">
        <v>163</v>
      </c>
      <c r="I1465">
        <v>45</v>
      </c>
      <c r="J1465">
        <v>0.7231638418079096</v>
      </c>
      <c r="K1465">
        <v>0.69189189189189193</v>
      </c>
      <c r="L1465">
        <v>0.75739644970414199</v>
      </c>
      <c r="M1465" t="s">
        <v>60</v>
      </c>
      <c r="N1465" t="s">
        <v>3358</v>
      </c>
      <c r="O1465" t="s">
        <v>3359</v>
      </c>
      <c r="P1465">
        <v>1.3</v>
      </c>
    </row>
    <row r="1466" spans="1:16" x14ac:dyDescent="0.3">
      <c r="A1466" t="s">
        <v>29</v>
      </c>
      <c r="B1466" t="s">
        <v>22</v>
      </c>
      <c r="C1466" t="s">
        <v>23</v>
      </c>
      <c r="D1466" t="s">
        <v>54</v>
      </c>
      <c r="E1466" t="s">
        <v>160</v>
      </c>
      <c r="F1466" t="s">
        <v>3</v>
      </c>
      <c r="G1466" t="s">
        <v>182</v>
      </c>
      <c r="H1466" t="s">
        <v>163</v>
      </c>
      <c r="I1466">
        <v>46</v>
      </c>
      <c r="J1466">
        <v>0.75141242937853103</v>
      </c>
      <c r="K1466">
        <v>0.7189189189189189</v>
      </c>
      <c r="L1466">
        <v>0.78698224852071008</v>
      </c>
      <c r="M1466" t="s">
        <v>60</v>
      </c>
      <c r="N1466" t="s">
        <v>3360</v>
      </c>
      <c r="O1466" t="s">
        <v>3361</v>
      </c>
      <c r="P1466">
        <v>1.3</v>
      </c>
    </row>
    <row r="1467" spans="1:16" x14ac:dyDescent="0.3">
      <c r="A1467" t="s">
        <v>29</v>
      </c>
      <c r="B1467" t="s">
        <v>22</v>
      </c>
      <c r="C1467" t="s">
        <v>23</v>
      </c>
      <c r="D1467" t="s">
        <v>54</v>
      </c>
      <c r="E1467" t="s">
        <v>160</v>
      </c>
      <c r="F1467" t="s">
        <v>3</v>
      </c>
      <c r="G1467" t="s">
        <v>187</v>
      </c>
      <c r="H1467" t="s">
        <v>163</v>
      </c>
      <c r="I1467">
        <v>47</v>
      </c>
      <c r="J1467">
        <v>0.76619718309859164</v>
      </c>
      <c r="K1467">
        <v>0.73118279569892475</v>
      </c>
      <c r="L1467">
        <v>0.80473372781065089</v>
      </c>
      <c r="M1467" t="s">
        <v>60</v>
      </c>
      <c r="N1467" t="s">
        <v>3362</v>
      </c>
      <c r="O1467" t="s">
        <v>3363</v>
      </c>
      <c r="P1467">
        <v>1.3</v>
      </c>
    </row>
    <row r="1468" spans="1:16" x14ac:dyDescent="0.3">
      <c r="A1468" t="s">
        <v>29</v>
      </c>
      <c r="B1468" t="s">
        <v>22</v>
      </c>
      <c r="C1468" t="s">
        <v>23</v>
      </c>
      <c r="D1468" t="s">
        <v>54</v>
      </c>
      <c r="E1468" t="s">
        <v>160</v>
      </c>
      <c r="F1468" t="s">
        <v>3</v>
      </c>
      <c r="G1468" t="s">
        <v>192</v>
      </c>
      <c r="H1468" t="s">
        <v>163</v>
      </c>
      <c r="I1468">
        <v>48</v>
      </c>
      <c r="J1468">
        <v>0.75862068965517249</v>
      </c>
      <c r="K1468">
        <v>0.73743016759776536</v>
      </c>
      <c r="L1468">
        <v>0.78106508875739644</v>
      </c>
      <c r="M1468" t="s">
        <v>60</v>
      </c>
      <c r="N1468" t="s">
        <v>3364</v>
      </c>
      <c r="O1468" t="s">
        <v>3365</v>
      </c>
      <c r="P1468">
        <v>2.1</v>
      </c>
    </row>
    <row r="1469" spans="1:16" x14ac:dyDescent="0.3">
      <c r="A1469" t="s">
        <v>29</v>
      </c>
      <c r="B1469" t="s">
        <v>22</v>
      </c>
      <c r="C1469" t="s">
        <v>23</v>
      </c>
      <c r="D1469" t="s">
        <v>54</v>
      </c>
      <c r="E1469" t="s">
        <v>160</v>
      </c>
      <c r="F1469" t="s">
        <v>3</v>
      </c>
      <c r="G1469" t="s">
        <v>197</v>
      </c>
      <c r="H1469" t="s">
        <v>163</v>
      </c>
      <c r="I1469">
        <v>49</v>
      </c>
      <c r="J1469">
        <v>0.76392572944297077</v>
      </c>
      <c r="K1469">
        <v>0.69230769230769229</v>
      </c>
      <c r="L1469">
        <v>0.85207100591715978</v>
      </c>
      <c r="M1469" t="s">
        <v>60</v>
      </c>
      <c r="N1469" t="s">
        <v>3366</v>
      </c>
      <c r="O1469" t="s">
        <v>3367</v>
      </c>
      <c r="P1469">
        <v>1.3</v>
      </c>
    </row>
    <row r="1470" spans="1:16" x14ac:dyDescent="0.3">
      <c r="A1470" t="s">
        <v>29</v>
      </c>
      <c r="B1470" t="s">
        <v>22</v>
      </c>
      <c r="C1470" t="s">
        <v>23</v>
      </c>
      <c r="D1470" t="s">
        <v>54</v>
      </c>
      <c r="E1470" t="s">
        <v>160</v>
      </c>
      <c r="F1470" t="s">
        <v>3</v>
      </c>
      <c r="G1470" t="s">
        <v>202</v>
      </c>
      <c r="H1470" t="s">
        <v>163</v>
      </c>
      <c r="I1470">
        <v>50</v>
      </c>
      <c r="J1470">
        <v>0.73770491803278671</v>
      </c>
      <c r="K1470">
        <v>0.68527918781725883</v>
      </c>
      <c r="L1470">
        <v>0.79881656804733725</v>
      </c>
      <c r="M1470" t="s">
        <v>60</v>
      </c>
      <c r="N1470" t="s">
        <v>3368</v>
      </c>
      <c r="O1470" t="s">
        <v>3369</v>
      </c>
      <c r="P1470">
        <v>1.6</v>
      </c>
    </row>
    <row r="1471" spans="1:16" x14ac:dyDescent="0.3">
      <c r="A1471" t="s">
        <v>29</v>
      </c>
      <c r="B1471" t="s">
        <v>22</v>
      </c>
      <c r="C1471" t="s">
        <v>23</v>
      </c>
      <c r="D1471" t="s">
        <v>54</v>
      </c>
      <c r="E1471" t="s">
        <v>160</v>
      </c>
      <c r="F1471" t="s">
        <v>3</v>
      </c>
      <c r="G1471" t="s">
        <v>207</v>
      </c>
      <c r="H1471" t="s">
        <v>163</v>
      </c>
      <c r="I1471">
        <v>51</v>
      </c>
      <c r="J1471">
        <v>0.73239436619718312</v>
      </c>
      <c r="K1471">
        <v>0.69892473118279574</v>
      </c>
      <c r="L1471">
        <v>0.76923076923076927</v>
      </c>
      <c r="M1471" t="s">
        <v>60</v>
      </c>
      <c r="N1471" t="s">
        <v>3370</v>
      </c>
      <c r="O1471" t="s">
        <v>3371</v>
      </c>
      <c r="P1471">
        <v>1.3</v>
      </c>
    </row>
    <row r="1472" spans="1:16" x14ac:dyDescent="0.3">
      <c r="A1472" t="s">
        <v>29</v>
      </c>
      <c r="B1472" t="s">
        <v>22</v>
      </c>
      <c r="C1472" t="s">
        <v>23</v>
      </c>
      <c r="D1472" t="s">
        <v>54</v>
      </c>
      <c r="E1472" t="s">
        <v>160</v>
      </c>
      <c r="F1472" t="s">
        <v>3</v>
      </c>
      <c r="G1472" t="s">
        <v>212</v>
      </c>
      <c r="H1472" t="s">
        <v>163</v>
      </c>
      <c r="I1472">
        <v>52</v>
      </c>
      <c r="J1472">
        <v>0.75766016713091922</v>
      </c>
      <c r="K1472">
        <v>0.71578947368421053</v>
      </c>
      <c r="L1472">
        <v>0.80473372781065089</v>
      </c>
      <c r="M1472" t="s">
        <v>60</v>
      </c>
      <c r="N1472" t="s">
        <v>3372</v>
      </c>
      <c r="O1472" t="s">
        <v>3373</v>
      </c>
      <c r="P1472">
        <v>1.3</v>
      </c>
    </row>
    <row r="1473" spans="1:16" x14ac:dyDescent="0.3">
      <c r="A1473" t="s">
        <v>29</v>
      </c>
      <c r="B1473" t="s">
        <v>22</v>
      </c>
      <c r="C1473" t="s">
        <v>23</v>
      </c>
      <c r="D1473" t="s">
        <v>54</v>
      </c>
      <c r="E1473" t="s">
        <v>160</v>
      </c>
      <c r="F1473" t="s">
        <v>3</v>
      </c>
      <c r="G1473" t="s">
        <v>217</v>
      </c>
      <c r="H1473" t="s">
        <v>163</v>
      </c>
      <c r="I1473">
        <v>53</v>
      </c>
      <c r="J1473">
        <v>0.75070028011204482</v>
      </c>
      <c r="K1473">
        <v>0.71276595744680848</v>
      </c>
      <c r="L1473">
        <v>0.79289940828402372</v>
      </c>
      <c r="M1473" t="s">
        <v>60</v>
      </c>
      <c r="N1473" t="s">
        <v>3374</v>
      </c>
      <c r="O1473" t="s">
        <v>3375</v>
      </c>
      <c r="P1473">
        <v>1.3</v>
      </c>
    </row>
    <row r="1474" spans="1:16" x14ac:dyDescent="0.3">
      <c r="A1474" t="s">
        <v>29</v>
      </c>
      <c r="B1474" t="s">
        <v>22</v>
      </c>
      <c r="C1474" t="s">
        <v>23</v>
      </c>
      <c r="D1474" t="s">
        <v>54</v>
      </c>
      <c r="E1474" t="s">
        <v>160</v>
      </c>
      <c r="F1474" t="s">
        <v>3</v>
      </c>
      <c r="G1474" t="s">
        <v>222</v>
      </c>
      <c r="H1474" t="s">
        <v>163</v>
      </c>
      <c r="I1474">
        <v>54</v>
      </c>
      <c r="J1474">
        <v>0.76712328767123295</v>
      </c>
      <c r="K1474">
        <v>0.7142857142857143</v>
      </c>
      <c r="L1474">
        <v>0.82840236686390534</v>
      </c>
      <c r="M1474" t="s">
        <v>60</v>
      </c>
      <c r="N1474" t="s">
        <v>3376</v>
      </c>
      <c r="O1474" t="s">
        <v>3377</v>
      </c>
      <c r="P1474">
        <v>1.3</v>
      </c>
    </row>
    <row r="1475" spans="1:16" x14ac:dyDescent="0.3">
      <c r="A1475" t="s">
        <v>29</v>
      </c>
      <c r="B1475" t="s">
        <v>22</v>
      </c>
      <c r="C1475" t="s">
        <v>23</v>
      </c>
      <c r="D1475" t="s">
        <v>54</v>
      </c>
      <c r="E1475" t="s">
        <v>160</v>
      </c>
      <c r="F1475" t="s">
        <v>3</v>
      </c>
      <c r="G1475" t="s">
        <v>227</v>
      </c>
      <c r="H1475" t="s">
        <v>163</v>
      </c>
      <c r="I1475">
        <v>55</v>
      </c>
      <c r="J1475">
        <v>0.78021978021978022</v>
      </c>
      <c r="K1475">
        <v>0.72820512820512817</v>
      </c>
      <c r="L1475">
        <v>0.84023668639053251</v>
      </c>
      <c r="M1475" t="s">
        <v>60</v>
      </c>
      <c r="N1475" t="s">
        <v>3378</v>
      </c>
      <c r="O1475" t="s">
        <v>3379</v>
      </c>
      <c r="P1475">
        <v>1.3</v>
      </c>
    </row>
    <row r="1476" spans="1:16" x14ac:dyDescent="0.3">
      <c r="A1476" t="s">
        <v>29</v>
      </c>
      <c r="B1476" t="s">
        <v>22</v>
      </c>
      <c r="C1476" t="s">
        <v>23</v>
      </c>
      <c r="D1476" t="s">
        <v>54</v>
      </c>
      <c r="E1476" t="s">
        <v>160</v>
      </c>
      <c r="F1476" t="s">
        <v>3</v>
      </c>
      <c r="G1476" t="s">
        <v>232</v>
      </c>
      <c r="H1476" t="s">
        <v>163</v>
      </c>
      <c r="I1476">
        <v>56</v>
      </c>
      <c r="J1476">
        <v>0.76023391812865493</v>
      </c>
      <c r="K1476">
        <v>0.75144508670520227</v>
      </c>
      <c r="L1476">
        <v>0.76923076923076927</v>
      </c>
      <c r="M1476" t="s">
        <v>60</v>
      </c>
      <c r="N1476" t="s">
        <v>3380</v>
      </c>
      <c r="O1476" t="s">
        <v>3381</v>
      </c>
      <c r="P1476">
        <v>1.3</v>
      </c>
    </row>
    <row r="1477" spans="1:16" x14ac:dyDescent="0.3">
      <c r="A1477" t="s">
        <v>29</v>
      </c>
      <c r="B1477" t="s">
        <v>22</v>
      </c>
      <c r="C1477" t="s">
        <v>23</v>
      </c>
      <c r="D1477" t="s">
        <v>54</v>
      </c>
      <c r="E1477" t="s">
        <v>160</v>
      </c>
      <c r="F1477" t="s">
        <v>3</v>
      </c>
      <c r="G1477" t="s">
        <v>237</v>
      </c>
      <c r="H1477" t="s">
        <v>163</v>
      </c>
      <c r="I1477">
        <v>57</v>
      </c>
      <c r="J1477">
        <v>0.78386167146974062</v>
      </c>
      <c r="K1477">
        <v>0.7640449438202247</v>
      </c>
      <c r="L1477">
        <v>0.80473372781065089</v>
      </c>
      <c r="M1477" t="s">
        <v>60</v>
      </c>
      <c r="N1477" t="s">
        <v>3382</v>
      </c>
      <c r="O1477" t="s">
        <v>3383</v>
      </c>
      <c r="P1477">
        <v>1.7</v>
      </c>
    </row>
    <row r="1478" spans="1:16" x14ac:dyDescent="0.3">
      <c r="A1478" t="s">
        <v>29</v>
      </c>
      <c r="B1478" t="s">
        <v>22</v>
      </c>
      <c r="C1478" t="s">
        <v>23</v>
      </c>
      <c r="D1478" t="s">
        <v>54</v>
      </c>
      <c r="E1478" t="s">
        <v>160</v>
      </c>
      <c r="F1478" t="s">
        <v>3</v>
      </c>
      <c r="G1478" t="s">
        <v>242</v>
      </c>
      <c r="H1478" t="s">
        <v>163</v>
      </c>
      <c r="I1478">
        <v>58</v>
      </c>
      <c r="J1478">
        <v>0.73655913978494614</v>
      </c>
      <c r="K1478">
        <v>0.67487684729064035</v>
      </c>
      <c r="L1478">
        <v>0.81065088757396453</v>
      </c>
      <c r="M1478" t="s">
        <v>60</v>
      </c>
      <c r="N1478" t="s">
        <v>3384</v>
      </c>
      <c r="O1478" t="s">
        <v>3385</v>
      </c>
      <c r="P1478">
        <v>1.5</v>
      </c>
    </row>
    <row r="1479" spans="1:16" x14ac:dyDescent="0.3">
      <c r="A1479" t="s">
        <v>29</v>
      </c>
      <c r="B1479" t="s">
        <v>22</v>
      </c>
      <c r="C1479" t="s">
        <v>23</v>
      </c>
      <c r="D1479" t="s">
        <v>54</v>
      </c>
      <c r="E1479" t="s">
        <v>160</v>
      </c>
      <c r="F1479" t="s">
        <v>3</v>
      </c>
      <c r="G1479" t="s">
        <v>247</v>
      </c>
      <c r="H1479" t="s">
        <v>163</v>
      </c>
      <c r="I1479">
        <v>59</v>
      </c>
      <c r="J1479">
        <v>0.76373626373626369</v>
      </c>
      <c r="K1479">
        <v>0.71282051282051284</v>
      </c>
      <c r="L1479">
        <v>0.8224852071005917</v>
      </c>
      <c r="M1479" t="s">
        <v>60</v>
      </c>
      <c r="N1479" t="s">
        <v>3386</v>
      </c>
      <c r="O1479" t="s">
        <v>3387</v>
      </c>
      <c r="P1479">
        <v>1.3</v>
      </c>
    </row>
    <row r="1480" spans="1:16" x14ac:dyDescent="0.3">
      <c r="A1480" t="s">
        <v>29</v>
      </c>
      <c r="B1480" t="s">
        <v>22</v>
      </c>
      <c r="C1480" t="s">
        <v>23</v>
      </c>
      <c r="D1480" t="s">
        <v>54</v>
      </c>
      <c r="E1480" t="s">
        <v>160</v>
      </c>
      <c r="F1480" t="s">
        <v>3</v>
      </c>
      <c r="G1480" t="s">
        <v>252</v>
      </c>
      <c r="H1480" t="s">
        <v>163</v>
      </c>
      <c r="I1480">
        <v>60</v>
      </c>
      <c r="J1480">
        <v>0.78531073446327682</v>
      </c>
      <c r="K1480">
        <v>0.75135135135135134</v>
      </c>
      <c r="L1480">
        <v>0.8224852071005917</v>
      </c>
      <c r="M1480" t="s">
        <v>60</v>
      </c>
      <c r="N1480" t="s">
        <v>3388</v>
      </c>
      <c r="O1480" t="s">
        <v>3389</v>
      </c>
      <c r="P1480">
        <v>1.3</v>
      </c>
    </row>
    <row r="1481" spans="1:16" x14ac:dyDescent="0.3">
      <c r="A1481" t="s">
        <v>29</v>
      </c>
      <c r="B1481" t="s">
        <v>22</v>
      </c>
      <c r="C1481" t="s">
        <v>23</v>
      </c>
      <c r="D1481" t="s">
        <v>54</v>
      </c>
      <c r="E1481" t="s">
        <v>160</v>
      </c>
      <c r="F1481" t="s">
        <v>3</v>
      </c>
      <c r="G1481" t="s">
        <v>257</v>
      </c>
      <c r="H1481" t="s">
        <v>163</v>
      </c>
      <c r="I1481">
        <v>61</v>
      </c>
      <c r="J1481">
        <v>0.77620396600566577</v>
      </c>
      <c r="K1481">
        <v>0.74456521739130432</v>
      </c>
      <c r="L1481">
        <v>0.81065088757396453</v>
      </c>
      <c r="M1481" t="s">
        <v>60</v>
      </c>
      <c r="N1481" t="s">
        <v>3390</v>
      </c>
      <c r="O1481" t="s">
        <v>3391</v>
      </c>
      <c r="P1481">
        <v>1.3</v>
      </c>
    </row>
    <row r="1482" spans="1:16" x14ac:dyDescent="0.3">
      <c r="A1482" t="s">
        <v>29</v>
      </c>
      <c r="B1482" t="s">
        <v>22</v>
      </c>
      <c r="C1482" t="s">
        <v>23</v>
      </c>
      <c r="D1482" t="s">
        <v>54</v>
      </c>
      <c r="E1482" t="s">
        <v>262</v>
      </c>
      <c r="F1482" t="s">
        <v>5</v>
      </c>
      <c r="G1482" t="s">
        <v>263</v>
      </c>
      <c r="H1482" t="s">
        <v>265</v>
      </c>
      <c r="I1482">
        <v>42</v>
      </c>
      <c r="J1482">
        <v>0.74841437632135321</v>
      </c>
      <c r="K1482">
        <v>0.70517928286852594</v>
      </c>
      <c r="L1482">
        <v>0.79729729729729726</v>
      </c>
      <c r="M1482" t="s">
        <v>60</v>
      </c>
      <c r="N1482" t="s">
        <v>3392</v>
      </c>
      <c r="O1482" t="s">
        <v>3393</v>
      </c>
      <c r="P1482">
        <v>1.4</v>
      </c>
    </row>
    <row r="1483" spans="1:16" x14ac:dyDescent="0.3">
      <c r="A1483" t="s">
        <v>29</v>
      </c>
      <c r="B1483" t="s">
        <v>22</v>
      </c>
      <c r="C1483" t="s">
        <v>23</v>
      </c>
      <c r="D1483" t="s">
        <v>54</v>
      </c>
      <c r="E1483" t="s">
        <v>262</v>
      </c>
      <c r="F1483" t="s">
        <v>5</v>
      </c>
      <c r="G1483" t="s">
        <v>269</v>
      </c>
      <c r="H1483" t="s">
        <v>265</v>
      </c>
      <c r="I1483">
        <v>43</v>
      </c>
      <c r="J1483">
        <v>0.75159235668789803</v>
      </c>
      <c r="K1483">
        <v>0.71084337349397586</v>
      </c>
      <c r="L1483">
        <v>0.79729729729729726</v>
      </c>
      <c r="M1483" t="s">
        <v>60</v>
      </c>
      <c r="N1483" t="s">
        <v>3394</v>
      </c>
      <c r="O1483" t="s">
        <v>3395</v>
      </c>
      <c r="P1483">
        <v>1.4</v>
      </c>
    </row>
    <row r="1484" spans="1:16" x14ac:dyDescent="0.3">
      <c r="A1484" t="s">
        <v>29</v>
      </c>
      <c r="B1484" t="s">
        <v>22</v>
      </c>
      <c r="C1484" t="s">
        <v>23</v>
      </c>
      <c r="D1484" t="s">
        <v>54</v>
      </c>
      <c r="E1484" t="s">
        <v>262</v>
      </c>
      <c r="F1484" t="s">
        <v>5</v>
      </c>
      <c r="G1484" t="s">
        <v>274</v>
      </c>
      <c r="H1484" t="s">
        <v>265</v>
      </c>
      <c r="I1484">
        <v>44</v>
      </c>
      <c r="J1484">
        <v>0.74518201284796559</v>
      </c>
      <c r="K1484">
        <v>0.71020408163265303</v>
      </c>
      <c r="L1484">
        <v>0.78378378378378377</v>
      </c>
      <c r="M1484" t="s">
        <v>60</v>
      </c>
      <c r="N1484" t="s">
        <v>3396</v>
      </c>
      <c r="O1484" t="s">
        <v>3397</v>
      </c>
      <c r="P1484">
        <v>1.8</v>
      </c>
    </row>
    <row r="1485" spans="1:16" x14ac:dyDescent="0.3">
      <c r="A1485" t="s">
        <v>29</v>
      </c>
      <c r="B1485" t="s">
        <v>22</v>
      </c>
      <c r="C1485" t="s">
        <v>23</v>
      </c>
      <c r="D1485" t="s">
        <v>54</v>
      </c>
      <c r="E1485" t="s">
        <v>262</v>
      </c>
      <c r="F1485" t="s">
        <v>5</v>
      </c>
      <c r="G1485" t="s">
        <v>279</v>
      </c>
      <c r="H1485" t="s">
        <v>265</v>
      </c>
      <c r="I1485">
        <v>45</v>
      </c>
      <c r="J1485">
        <v>0.70841487279843451</v>
      </c>
      <c r="K1485">
        <v>0.62629757785467133</v>
      </c>
      <c r="L1485">
        <v>0.81531531531531531</v>
      </c>
      <c r="M1485" t="s">
        <v>60</v>
      </c>
      <c r="N1485" t="s">
        <v>3398</v>
      </c>
      <c r="O1485" t="s">
        <v>3399</v>
      </c>
      <c r="P1485">
        <v>1.4</v>
      </c>
    </row>
    <row r="1486" spans="1:16" x14ac:dyDescent="0.3">
      <c r="A1486" t="s">
        <v>29</v>
      </c>
      <c r="B1486" t="s">
        <v>22</v>
      </c>
      <c r="C1486" t="s">
        <v>23</v>
      </c>
      <c r="D1486" t="s">
        <v>54</v>
      </c>
      <c r="E1486" t="s">
        <v>262</v>
      </c>
      <c r="F1486" t="s">
        <v>5</v>
      </c>
      <c r="G1486" t="s">
        <v>284</v>
      </c>
      <c r="H1486" t="s">
        <v>265</v>
      </c>
      <c r="I1486">
        <v>46</v>
      </c>
      <c r="J1486">
        <v>0.74683544303797478</v>
      </c>
      <c r="K1486">
        <v>0.70238095238095233</v>
      </c>
      <c r="L1486">
        <v>0.79729729729729726</v>
      </c>
      <c r="M1486" t="s">
        <v>60</v>
      </c>
      <c r="N1486" t="s">
        <v>3400</v>
      </c>
      <c r="O1486" t="s">
        <v>3401</v>
      </c>
      <c r="P1486">
        <v>1.4</v>
      </c>
    </row>
    <row r="1487" spans="1:16" x14ac:dyDescent="0.3">
      <c r="A1487" t="s">
        <v>29</v>
      </c>
      <c r="B1487" t="s">
        <v>22</v>
      </c>
      <c r="C1487" t="s">
        <v>23</v>
      </c>
      <c r="D1487" t="s">
        <v>54</v>
      </c>
      <c r="E1487" t="s">
        <v>262</v>
      </c>
      <c r="F1487" t="s">
        <v>5</v>
      </c>
      <c r="G1487" t="s">
        <v>289</v>
      </c>
      <c r="H1487" t="s">
        <v>265</v>
      </c>
      <c r="I1487">
        <v>47</v>
      </c>
      <c r="J1487">
        <v>0.77489177489177496</v>
      </c>
      <c r="K1487">
        <v>0.74583333333333335</v>
      </c>
      <c r="L1487">
        <v>0.80630630630630629</v>
      </c>
      <c r="M1487" t="s">
        <v>60</v>
      </c>
      <c r="N1487" t="s">
        <v>3402</v>
      </c>
      <c r="O1487" t="s">
        <v>3403</v>
      </c>
      <c r="P1487">
        <v>1.4</v>
      </c>
    </row>
    <row r="1488" spans="1:16" x14ac:dyDescent="0.3">
      <c r="A1488" t="s">
        <v>29</v>
      </c>
      <c r="B1488" t="s">
        <v>22</v>
      </c>
      <c r="C1488" t="s">
        <v>23</v>
      </c>
      <c r="D1488" t="s">
        <v>54</v>
      </c>
      <c r="E1488" t="s">
        <v>262</v>
      </c>
      <c r="F1488" t="s">
        <v>5</v>
      </c>
      <c r="G1488" t="s">
        <v>294</v>
      </c>
      <c r="H1488" t="s">
        <v>265</v>
      </c>
      <c r="I1488">
        <v>48</v>
      </c>
      <c r="J1488">
        <v>0.75000000000000011</v>
      </c>
      <c r="K1488">
        <v>0.70799999999999996</v>
      </c>
      <c r="L1488">
        <v>0.79729729729729726</v>
      </c>
      <c r="M1488" t="s">
        <v>60</v>
      </c>
      <c r="N1488" t="s">
        <v>3404</v>
      </c>
      <c r="O1488" t="s">
        <v>3405</v>
      </c>
      <c r="P1488">
        <v>1.4</v>
      </c>
    </row>
    <row r="1489" spans="1:16" x14ac:dyDescent="0.3">
      <c r="A1489" t="s">
        <v>29</v>
      </c>
      <c r="B1489" t="s">
        <v>22</v>
      </c>
      <c r="C1489" t="s">
        <v>23</v>
      </c>
      <c r="D1489" t="s">
        <v>54</v>
      </c>
      <c r="E1489" t="s">
        <v>262</v>
      </c>
      <c r="F1489" t="s">
        <v>5</v>
      </c>
      <c r="G1489" t="s">
        <v>299</v>
      </c>
      <c r="H1489" t="s">
        <v>265</v>
      </c>
      <c r="I1489">
        <v>49</v>
      </c>
      <c r="J1489">
        <v>0.72877846790890277</v>
      </c>
      <c r="K1489">
        <v>0.67432950191570884</v>
      </c>
      <c r="L1489">
        <v>0.7927927927927928</v>
      </c>
      <c r="M1489" t="s">
        <v>60</v>
      </c>
      <c r="N1489" t="s">
        <v>3406</v>
      </c>
      <c r="O1489" t="s">
        <v>3407</v>
      </c>
      <c r="P1489">
        <v>1.8</v>
      </c>
    </row>
    <row r="1490" spans="1:16" x14ac:dyDescent="0.3">
      <c r="A1490" t="s">
        <v>29</v>
      </c>
      <c r="B1490" t="s">
        <v>22</v>
      </c>
      <c r="C1490" t="s">
        <v>23</v>
      </c>
      <c r="D1490" t="s">
        <v>54</v>
      </c>
      <c r="E1490" t="s">
        <v>262</v>
      </c>
      <c r="F1490" t="s">
        <v>5</v>
      </c>
      <c r="G1490" t="s">
        <v>304</v>
      </c>
      <c r="H1490" t="s">
        <v>265</v>
      </c>
      <c r="I1490">
        <v>50</v>
      </c>
      <c r="J1490">
        <v>0.74213836477987427</v>
      </c>
      <c r="K1490">
        <v>0.69411764705882351</v>
      </c>
      <c r="L1490">
        <v>0.79729729729729726</v>
      </c>
      <c r="M1490" t="s">
        <v>60</v>
      </c>
      <c r="N1490" t="s">
        <v>3408</v>
      </c>
      <c r="O1490" t="s">
        <v>3409</v>
      </c>
      <c r="P1490">
        <v>1.4</v>
      </c>
    </row>
    <row r="1491" spans="1:16" x14ac:dyDescent="0.3">
      <c r="A1491" t="s">
        <v>29</v>
      </c>
      <c r="B1491" t="s">
        <v>22</v>
      </c>
      <c r="C1491" t="s">
        <v>23</v>
      </c>
      <c r="D1491" t="s">
        <v>54</v>
      </c>
      <c r="E1491" t="s">
        <v>262</v>
      </c>
      <c r="F1491" t="s">
        <v>5</v>
      </c>
      <c r="G1491" t="s">
        <v>309</v>
      </c>
      <c r="H1491" t="s">
        <v>265</v>
      </c>
      <c r="I1491">
        <v>51</v>
      </c>
      <c r="J1491">
        <v>0.74089068825910942</v>
      </c>
      <c r="K1491">
        <v>0.67279411764705888</v>
      </c>
      <c r="L1491">
        <v>0.82432432432432434</v>
      </c>
      <c r="M1491" t="s">
        <v>60</v>
      </c>
      <c r="N1491" t="s">
        <v>3410</v>
      </c>
      <c r="O1491" t="s">
        <v>3411</v>
      </c>
      <c r="P1491">
        <v>1.5</v>
      </c>
    </row>
    <row r="1492" spans="1:16" x14ac:dyDescent="0.3">
      <c r="A1492" t="s">
        <v>29</v>
      </c>
      <c r="B1492" t="s">
        <v>22</v>
      </c>
      <c r="C1492" t="s">
        <v>23</v>
      </c>
      <c r="D1492" t="s">
        <v>54</v>
      </c>
      <c r="E1492" t="s">
        <v>262</v>
      </c>
      <c r="F1492" t="s">
        <v>5</v>
      </c>
      <c r="G1492" t="s">
        <v>314</v>
      </c>
      <c r="H1492" t="s">
        <v>265</v>
      </c>
      <c r="I1492">
        <v>52</v>
      </c>
      <c r="J1492">
        <v>0.76332622601279299</v>
      </c>
      <c r="K1492">
        <v>0.7246963562753036</v>
      </c>
      <c r="L1492">
        <v>0.80630630630630629</v>
      </c>
      <c r="M1492" t="s">
        <v>60</v>
      </c>
      <c r="N1492" t="s">
        <v>3412</v>
      </c>
      <c r="O1492" t="s">
        <v>3413</v>
      </c>
      <c r="P1492">
        <v>2.2999999999999998</v>
      </c>
    </row>
    <row r="1493" spans="1:16" x14ac:dyDescent="0.3">
      <c r="A1493" t="s">
        <v>29</v>
      </c>
      <c r="B1493" t="s">
        <v>22</v>
      </c>
      <c r="C1493" t="s">
        <v>23</v>
      </c>
      <c r="D1493" t="s">
        <v>54</v>
      </c>
      <c r="E1493" t="s">
        <v>262</v>
      </c>
      <c r="F1493" t="s">
        <v>5</v>
      </c>
      <c r="G1493" t="s">
        <v>319</v>
      </c>
      <c r="H1493" t="s">
        <v>265</v>
      </c>
      <c r="I1493">
        <v>53</v>
      </c>
      <c r="J1493">
        <v>0.78854625550660784</v>
      </c>
      <c r="K1493">
        <v>0.77155172413793105</v>
      </c>
      <c r="L1493">
        <v>0.80630630630630629</v>
      </c>
      <c r="M1493" t="s">
        <v>60</v>
      </c>
      <c r="N1493" t="s">
        <v>3414</v>
      </c>
      <c r="O1493" t="s">
        <v>3415</v>
      </c>
      <c r="P1493">
        <v>1.4</v>
      </c>
    </row>
    <row r="1494" spans="1:16" x14ac:dyDescent="0.3">
      <c r="A1494" t="s">
        <v>29</v>
      </c>
      <c r="B1494" t="s">
        <v>22</v>
      </c>
      <c r="C1494" t="s">
        <v>23</v>
      </c>
      <c r="D1494" t="s">
        <v>54</v>
      </c>
      <c r="E1494" t="s">
        <v>262</v>
      </c>
      <c r="F1494" t="s">
        <v>5</v>
      </c>
      <c r="G1494" t="s">
        <v>324</v>
      </c>
      <c r="H1494" t="s">
        <v>265</v>
      </c>
      <c r="I1494">
        <v>54</v>
      </c>
      <c r="J1494">
        <v>0.74398249452954035</v>
      </c>
      <c r="K1494">
        <v>0.72340425531914898</v>
      </c>
      <c r="L1494">
        <v>0.76576576576576572</v>
      </c>
      <c r="M1494" t="s">
        <v>60</v>
      </c>
      <c r="N1494" t="s">
        <v>3416</v>
      </c>
      <c r="O1494" t="s">
        <v>3417</v>
      </c>
      <c r="P1494">
        <v>1.4</v>
      </c>
    </row>
    <row r="1495" spans="1:16" x14ac:dyDescent="0.3">
      <c r="A1495" t="s">
        <v>29</v>
      </c>
      <c r="B1495" t="s">
        <v>22</v>
      </c>
      <c r="C1495" t="s">
        <v>23</v>
      </c>
      <c r="D1495" t="s">
        <v>54</v>
      </c>
      <c r="E1495" t="s">
        <v>262</v>
      </c>
      <c r="F1495" t="s">
        <v>5</v>
      </c>
      <c r="G1495" t="s">
        <v>329</v>
      </c>
      <c r="H1495" t="s">
        <v>265</v>
      </c>
      <c r="I1495">
        <v>55</v>
      </c>
      <c r="J1495">
        <v>0.79458239277652365</v>
      </c>
      <c r="K1495">
        <v>0.7963800904977375</v>
      </c>
      <c r="L1495">
        <v>0.7927927927927928</v>
      </c>
      <c r="M1495" t="s">
        <v>60</v>
      </c>
      <c r="N1495" t="s">
        <v>3418</v>
      </c>
      <c r="O1495" t="s">
        <v>3419</v>
      </c>
      <c r="P1495">
        <v>1.4</v>
      </c>
    </row>
    <row r="1496" spans="1:16" x14ac:dyDescent="0.3">
      <c r="A1496" t="s">
        <v>29</v>
      </c>
      <c r="B1496" t="s">
        <v>22</v>
      </c>
      <c r="C1496" t="s">
        <v>23</v>
      </c>
      <c r="D1496" t="s">
        <v>54</v>
      </c>
      <c r="E1496" t="s">
        <v>262</v>
      </c>
      <c r="F1496" t="s">
        <v>5</v>
      </c>
      <c r="G1496" t="s">
        <v>334</v>
      </c>
      <c r="H1496" t="s">
        <v>265</v>
      </c>
      <c r="I1496">
        <v>56</v>
      </c>
      <c r="J1496">
        <v>0.71721311475409832</v>
      </c>
      <c r="K1496">
        <v>0.65789473684210531</v>
      </c>
      <c r="L1496">
        <v>0.78828828828828834</v>
      </c>
      <c r="M1496" t="s">
        <v>60</v>
      </c>
      <c r="N1496" t="s">
        <v>3420</v>
      </c>
      <c r="O1496" t="s">
        <v>3421</v>
      </c>
      <c r="P1496">
        <v>2</v>
      </c>
    </row>
    <row r="1497" spans="1:16" x14ac:dyDescent="0.3">
      <c r="A1497" t="s">
        <v>29</v>
      </c>
      <c r="B1497" t="s">
        <v>22</v>
      </c>
      <c r="C1497" t="s">
        <v>23</v>
      </c>
      <c r="D1497" t="s">
        <v>54</v>
      </c>
      <c r="E1497" t="s">
        <v>262</v>
      </c>
      <c r="F1497" t="s">
        <v>5</v>
      </c>
      <c r="G1497" t="s">
        <v>339</v>
      </c>
      <c r="H1497" t="s">
        <v>265</v>
      </c>
      <c r="I1497">
        <v>57</v>
      </c>
      <c r="J1497">
        <v>0.76923076923076938</v>
      </c>
      <c r="K1497">
        <v>0.73170731707317072</v>
      </c>
      <c r="L1497">
        <v>0.81081081081081086</v>
      </c>
      <c r="M1497" t="s">
        <v>60</v>
      </c>
      <c r="N1497" t="s">
        <v>3422</v>
      </c>
      <c r="O1497" t="s">
        <v>3423</v>
      </c>
      <c r="P1497">
        <v>1.4</v>
      </c>
    </row>
    <row r="1498" spans="1:16" x14ac:dyDescent="0.3">
      <c r="A1498" t="s">
        <v>29</v>
      </c>
      <c r="B1498" t="s">
        <v>22</v>
      </c>
      <c r="C1498" t="s">
        <v>23</v>
      </c>
      <c r="D1498" t="s">
        <v>54</v>
      </c>
      <c r="E1498" t="s">
        <v>262</v>
      </c>
      <c r="F1498" t="s">
        <v>5</v>
      </c>
      <c r="G1498" t="s">
        <v>344</v>
      </c>
      <c r="H1498" t="s">
        <v>265</v>
      </c>
      <c r="I1498">
        <v>58</v>
      </c>
      <c r="J1498">
        <v>0.75159235668789803</v>
      </c>
      <c r="K1498">
        <v>0.71084337349397586</v>
      </c>
      <c r="L1498">
        <v>0.79729729729729726</v>
      </c>
      <c r="M1498" t="s">
        <v>60</v>
      </c>
      <c r="N1498" t="s">
        <v>3424</v>
      </c>
      <c r="O1498" t="s">
        <v>3425</v>
      </c>
      <c r="P1498">
        <v>1.4</v>
      </c>
    </row>
    <row r="1499" spans="1:16" x14ac:dyDescent="0.3">
      <c r="A1499" t="s">
        <v>29</v>
      </c>
      <c r="B1499" t="s">
        <v>22</v>
      </c>
      <c r="C1499" t="s">
        <v>23</v>
      </c>
      <c r="D1499" t="s">
        <v>54</v>
      </c>
      <c r="E1499" t="s">
        <v>262</v>
      </c>
      <c r="F1499" t="s">
        <v>5</v>
      </c>
      <c r="G1499" t="s">
        <v>349</v>
      </c>
      <c r="H1499" t="s">
        <v>265</v>
      </c>
      <c r="I1499">
        <v>59</v>
      </c>
      <c r="J1499">
        <v>0.72839506172839485</v>
      </c>
      <c r="K1499">
        <v>0.67045454545454541</v>
      </c>
      <c r="L1499">
        <v>0.79729729729729726</v>
      </c>
      <c r="M1499" t="s">
        <v>60</v>
      </c>
      <c r="N1499" t="s">
        <v>3426</v>
      </c>
      <c r="O1499" t="s">
        <v>3427</v>
      </c>
      <c r="P1499">
        <v>1.4</v>
      </c>
    </row>
    <row r="1500" spans="1:16" x14ac:dyDescent="0.3">
      <c r="A1500" t="s">
        <v>29</v>
      </c>
      <c r="B1500" t="s">
        <v>22</v>
      </c>
      <c r="C1500" t="s">
        <v>23</v>
      </c>
      <c r="D1500" t="s">
        <v>54</v>
      </c>
      <c r="E1500" t="s">
        <v>262</v>
      </c>
      <c r="F1500" t="s">
        <v>5</v>
      </c>
      <c r="G1500" t="s">
        <v>354</v>
      </c>
      <c r="H1500" t="s">
        <v>265</v>
      </c>
      <c r="I1500">
        <v>60</v>
      </c>
      <c r="J1500">
        <v>0.7416666666666667</v>
      </c>
      <c r="K1500">
        <v>0.68992248062015504</v>
      </c>
      <c r="L1500">
        <v>0.80180180180180183</v>
      </c>
      <c r="M1500" t="s">
        <v>60</v>
      </c>
      <c r="N1500" t="s">
        <v>3428</v>
      </c>
      <c r="O1500" t="s">
        <v>3429</v>
      </c>
      <c r="P1500">
        <v>1.4</v>
      </c>
    </row>
    <row r="1501" spans="1:16" x14ac:dyDescent="0.3">
      <c r="A1501" t="s">
        <v>29</v>
      </c>
      <c r="B1501" t="s">
        <v>22</v>
      </c>
      <c r="C1501" t="s">
        <v>23</v>
      </c>
      <c r="D1501" t="s">
        <v>54</v>
      </c>
      <c r="E1501" t="s">
        <v>262</v>
      </c>
      <c r="F1501" t="s">
        <v>5</v>
      </c>
      <c r="G1501" t="s">
        <v>359</v>
      </c>
      <c r="H1501" t="s">
        <v>265</v>
      </c>
      <c r="I1501">
        <v>61</v>
      </c>
      <c r="J1501">
        <v>0.76888888888888896</v>
      </c>
      <c r="K1501">
        <v>0.75877192982456143</v>
      </c>
      <c r="L1501">
        <v>0.77927927927927931</v>
      </c>
      <c r="M1501" t="s">
        <v>60</v>
      </c>
      <c r="N1501" t="s">
        <v>3430</v>
      </c>
      <c r="O1501" t="s">
        <v>3431</v>
      </c>
      <c r="P1501">
        <v>1.4</v>
      </c>
    </row>
    <row r="1502" spans="1:16" x14ac:dyDescent="0.3">
      <c r="A1502" t="s">
        <v>29</v>
      </c>
      <c r="B1502" t="s">
        <v>22</v>
      </c>
      <c r="C1502" t="s">
        <v>23</v>
      </c>
      <c r="D1502" t="s">
        <v>363</v>
      </c>
      <c r="E1502" t="s">
        <v>365</v>
      </c>
      <c r="F1502" t="s">
        <v>13</v>
      </c>
      <c r="G1502" t="s">
        <v>366</v>
      </c>
      <c r="H1502" t="s">
        <v>368</v>
      </c>
      <c r="I1502">
        <v>42</v>
      </c>
      <c r="J1502">
        <v>0.79668049792531104</v>
      </c>
      <c r="K1502">
        <v>0.76190476190476186</v>
      </c>
      <c r="L1502">
        <v>0.83478260869565213</v>
      </c>
      <c r="M1502" t="s">
        <v>60</v>
      </c>
      <c r="N1502" t="s">
        <v>3432</v>
      </c>
      <c r="O1502" t="s">
        <v>3433</v>
      </c>
      <c r="P1502">
        <v>1.4</v>
      </c>
    </row>
    <row r="1503" spans="1:16" x14ac:dyDescent="0.3">
      <c r="A1503" t="s">
        <v>29</v>
      </c>
      <c r="B1503" t="s">
        <v>22</v>
      </c>
      <c r="C1503" t="s">
        <v>23</v>
      </c>
      <c r="D1503" t="s">
        <v>363</v>
      </c>
      <c r="E1503" t="s">
        <v>365</v>
      </c>
      <c r="F1503" t="s">
        <v>13</v>
      </c>
      <c r="G1503" t="s">
        <v>372</v>
      </c>
      <c r="H1503" t="s">
        <v>368</v>
      </c>
      <c r="I1503">
        <v>43</v>
      </c>
      <c r="J1503">
        <v>0.79915433403805503</v>
      </c>
      <c r="K1503">
        <v>0.77777777777777779</v>
      </c>
      <c r="L1503">
        <v>0.82173913043478264</v>
      </c>
      <c r="M1503" t="s">
        <v>60</v>
      </c>
      <c r="N1503" t="s">
        <v>3434</v>
      </c>
      <c r="O1503" t="s">
        <v>3435</v>
      </c>
      <c r="P1503">
        <v>1.8</v>
      </c>
    </row>
    <row r="1504" spans="1:16" x14ac:dyDescent="0.3">
      <c r="A1504" t="s">
        <v>29</v>
      </c>
      <c r="B1504" t="s">
        <v>22</v>
      </c>
      <c r="C1504" t="s">
        <v>23</v>
      </c>
      <c r="D1504" t="s">
        <v>363</v>
      </c>
      <c r="E1504" t="s">
        <v>365</v>
      </c>
      <c r="F1504" t="s">
        <v>13</v>
      </c>
      <c r="G1504" t="s">
        <v>377</v>
      </c>
      <c r="H1504" t="s">
        <v>368</v>
      </c>
      <c r="I1504">
        <v>44</v>
      </c>
      <c r="J1504">
        <v>0.78762886597938142</v>
      </c>
      <c r="K1504">
        <v>0.74901960784313726</v>
      </c>
      <c r="L1504">
        <v>0.83043478260869563</v>
      </c>
      <c r="M1504" t="s">
        <v>60</v>
      </c>
      <c r="N1504" t="s">
        <v>3436</v>
      </c>
      <c r="O1504" t="s">
        <v>3437</v>
      </c>
      <c r="P1504">
        <v>1.4</v>
      </c>
    </row>
    <row r="1505" spans="1:16" x14ac:dyDescent="0.3">
      <c r="A1505" t="s">
        <v>29</v>
      </c>
      <c r="B1505" t="s">
        <v>22</v>
      </c>
      <c r="C1505" t="s">
        <v>23</v>
      </c>
      <c r="D1505" t="s">
        <v>363</v>
      </c>
      <c r="E1505" t="s">
        <v>365</v>
      </c>
      <c r="F1505" t="s">
        <v>13</v>
      </c>
      <c r="G1505" t="s">
        <v>382</v>
      </c>
      <c r="H1505" t="s">
        <v>368</v>
      </c>
      <c r="I1505">
        <v>45</v>
      </c>
      <c r="J1505">
        <v>0.79079497907949792</v>
      </c>
      <c r="K1505">
        <v>0.76209677419354838</v>
      </c>
      <c r="L1505">
        <v>0.82173913043478264</v>
      </c>
      <c r="M1505" t="s">
        <v>60</v>
      </c>
      <c r="N1505" t="s">
        <v>3438</v>
      </c>
      <c r="O1505" t="s">
        <v>3439</v>
      </c>
      <c r="P1505">
        <v>1.4</v>
      </c>
    </row>
    <row r="1506" spans="1:16" x14ac:dyDescent="0.3">
      <c r="A1506" t="s">
        <v>29</v>
      </c>
      <c r="B1506" t="s">
        <v>22</v>
      </c>
      <c r="C1506" t="s">
        <v>23</v>
      </c>
      <c r="D1506" t="s">
        <v>363</v>
      </c>
      <c r="E1506" t="s">
        <v>365</v>
      </c>
      <c r="F1506" t="s">
        <v>13</v>
      </c>
      <c r="G1506" t="s">
        <v>387</v>
      </c>
      <c r="H1506" t="s">
        <v>368</v>
      </c>
      <c r="I1506">
        <v>46</v>
      </c>
      <c r="J1506">
        <v>0.78481012658227833</v>
      </c>
      <c r="K1506">
        <v>0.76229508196721307</v>
      </c>
      <c r="L1506">
        <v>0.80869565217391304</v>
      </c>
      <c r="M1506" t="s">
        <v>60</v>
      </c>
      <c r="N1506" t="s">
        <v>3440</v>
      </c>
      <c r="O1506" t="s">
        <v>3441</v>
      </c>
      <c r="P1506">
        <v>1.4</v>
      </c>
    </row>
    <row r="1507" spans="1:16" x14ac:dyDescent="0.3">
      <c r="A1507" t="s">
        <v>29</v>
      </c>
      <c r="B1507" t="s">
        <v>22</v>
      </c>
      <c r="C1507" t="s">
        <v>23</v>
      </c>
      <c r="D1507" t="s">
        <v>363</v>
      </c>
      <c r="E1507" t="s">
        <v>365</v>
      </c>
      <c r="F1507" t="s">
        <v>13</v>
      </c>
      <c r="G1507" t="s">
        <v>392</v>
      </c>
      <c r="H1507" t="s">
        <v>368</v>
      </c>
      <c r="I1507">
        <v>47</v>
      </c>
      <c r="J1507">
        <v>0.7851239669421487</v>
      </c>
      <c r="K1507">
        <v>0.74803149606299213</v>
      </c>
      <c r="L1507">
        <v>0.82608695652173914</v>
      </c>
      <c r="M1507" t="s">
        <v>60</v>
      </c>
      <c r="N1507" t="s">
        <v>3442</v>
      </c>
      <c r="O1507" t="s">
        <v>3443</v>
      </c>
      <c r="P1507">
        <v>1.4</v>
      </c>
    </row>
    <row r="1508" spans="1:16" x14ac:dyDescent="0.3">
      <c r="A1508" t="s">
        <v>29</v>
      </c>
      <c r="B1508" t="s">
        <v>22</v>
      </c>
      <c r="C1508" t="s">
        <v>23</v>
      </c>
      <c r="D1508" t="s">
        <v>363</v>
      </c>
      <c r="E1508" t="s">
        <v>365</v>
      </c>
      <c r="F1508" t="s">
        <v>13</v>
      </c>
      <c r="G1508" t="s">
        <v>397</v>
      </c>
      <c r="H1508" t="s">
        <v>368</v>
      </c>
      <c r="I1508">
        <v>48</v>
      </c>
      <c r="J1508">
        <v>0.80338266384778023</v>
      </c>
      <c r="K1508">
        <v>0.78189300411522633</v>
      </c>
      <c r="L1508">
        <v>0.82608695652173914</v>
      </c>
      <c r="M1508" t="s">
        <v>60</v>
      </c>
      <c r="N1508" t="s">
        <v>3444</v>
      </c>
      <c r="O1508" t="s">
        <v>3445</v>
      </c>
      <c r="P1508">
        <v>1.4</v>
      </c>
    </row>
    <row r="1509" spans="1:16" x14ac:dyDescent="0.3">
      <c r="A1509" t="s">
        <v>29</v>
      </c>
      <c r="B1509" t="s">
        <v>22</v>
      </c>
      <c r="C1509" t="s">
        <v>23</v>
      </c>
      <c r="D1509" t="s">
        <v>363</v>
      </c>
      <c r="E1509" t="s">
        <v>365</v>
      </c>
      <c r="F1509" t="s">
        <v>13</v>
      </c>
      <c r="G1509" t="s">
        <v>402</v>
      </c>
      <c r="H1509" t="s">
        <v>368</v>
      </c>
      <c r="I1509">
        <v>49</v>
      </c>
      <c r="J1509">
        <v>0.8042105263157896</v>
      </c>
      <c r="K1509">
        <v>0.7795918367346939</v>
      </c>
      <c r="L1509">
        <v>0.83043478260869563</v>
      </c>
      <c r="M1509" t="s">
        <v>60</v>
      </c>
      <c r="N1509" t="s">
        <v>3446</v>
      </c>
      <c r="O1509" t="s">
        <v>3447</v>
      </c>
      <c r="P1509">
        <v>1.7</v>
      </c>
    </row>
    <row r="1510" spans="1:16" x14ac:dyDescent="0.3">
      <c r="A1510" t="s">
        <v>29</v>
      </c>
      <c r="B1510" t="s">
        <v>22</v>
      </c>
      <c r="C1510" t="s">
        <v>23</v>
      </c>
      <c r="D1510" t="s">
        <v>363</v>
      </c>
      <c r="E1510" t="s">
        <v>365</v>
      </c>
      <c r="F1510" t="s">
        <v>13</v>
      </c>
      <c r="G1510" t="s">
        <v>407</v>
      </c>
      <c r="H1510" t="s">
        <v>368</v>
      </c>
      <c r="I1510">
        <v>50</v>
      </c>
      <c r="J1510">
        <v>0.79237288135593209</v>
      </c>
      <c r="K1510">
        <v>0.77272727272727271</v>
      </c>
      <c r="L1510">
        <v>0.81304347826086953</v>
      </c>
      <c r="M1510" t="s">
        <v>60</v>
      </c>
      <c r="N1510" t="s">
        <v>3448</v>
      </c>
      <c r="O1510" t="s">
        <v>3449</v>
      </c>
      <c r="P1510">
        <v>1.4</v>
      </c>
    </row>
    <row r="1511" spans="1:16" x14ac:dyDescent="0.3">
      <c r="A1511" t="s">
        <v>29</v>
      </c>
      <c r="B1511" t="s">
        <v>22</v>
      </c>
      <c r="C1511" t="s">
        <v>23</v>
      </c>
      <c r="D1511" t="s">
        <v>363</v>
      </c>
      <c r="E1511" t="s">
        <v>365</v>
      </c>
      <c r="F1511" t="s">
        <v>13</v>
      </c>
      <c r="G1511" t="s">
        <v>412</v>
      </c>
      <c r="H1511" t="s">
        <v>368</v>
      </c>
      <c r="I1511">
        <v>51</v>
      </c>
      <c r="J1511">
        <v>0.81104033970276002</v>
      </c>
      <c r="K1511">
        <v>0.79253112033195017</v>
      </c>
      <c r="L1511">
        <v>0.83043478260869563</v>
      </c>
      <c r="M1511" t="s">
        <v>60</v>
      </c>
      <c r="N1511" t="s">
        <v>3450</v>
      </c>
      <c r="O1511" t="s">
        <v>3451</v>
      </c>
      <c r="P1511">
        <v>1.3</v>
      </c>
    </row>
    <row r="1512" spans="1:16" x14ac:dyDescent="0.3">
      <c r="A1512" t="s">
        <v>29</v>
      </c>
      <c r="B1512" t="s">
        <v>22</v>
      </c>
      <c r="C1512" t="s">
        <v>23</v>
      </c>
      <c r="D1512" t="s">
        <v>363</v>
      </c>
      <c r="E1512" t="s">
        <v>365</v>
      </c>
      <c r="F1512" t="s">
        <v>13</v>
      </c>
      <c r="G1512" t="s">
        <v>417</v>
      </c>
      <c r="H1512" t="s">
        <v>368</v>
      </c>
      <c r="I1512">
        <v>52</v>
      </c>
      <c r="J1512">
        <v>0.81856540084388196</v>
      </c>
      <c r="K1512">
        <v>0.79508196721311475</v>
      </c>
      <c r="L1512">
        <v>0.84347826086956523</v>
      </c>
      <c r="M1512" t="s">
        <v>60</v>
      </c>
      <c r="N1512" t="s">
        <v>3452</v>
      </c>
      <c r="O1512" t="s">
        <v>3453</v>
      </c>
      <c r="P1512">
        <v>1.4</v>
      </c>
    </row>
    <row r="1513" spans="1:16" x14ac:dyDescent="0.3">
      <c r="A1513" t="s">
        <v>29</v>
      </c>
      <c r="B1513" t="s">
        <v>22</v>
      </c>
      <c r="C1513" t="s">
        <v>23</v>
      </c>
      <c r="D1513" t="s">
        <v>363</v>
      </c>
      <c r="E1513" t="s">
        <v>365</v>
      </c>
      <c r="F1513" t="s">
        <v>13</v>
      </c>
      <c r="G1513" t="s">
        <v>422</v>
      </c>
      <c r="H1513" t="s">
        <v>368</v>
      </c>
      <c r="I1513">
        <v>53</v>
      </c>
      <c r="J1513">
        <v>0.78825995807127891</v>
      </c>
      <c r="K1513">
        <v>0.76113360323886636</v>
      </c>
      <c r="L1513">
        <v>0.81739130434782614</v>
      </c>
      <c r="M1513" t="s">
        <v>60</v>
      </c>
      <c r="N1513" t="s">
        <v>3454</v>
      </c>
      <c r="O1513" t="s">
        <v>3455</v>
      </c>
      <c r="P1513">
        <v>1.6</v>
      </c>
    </row>
    <row r="1514" spans="1:16" x14ac:dyDescent="0.3">
      <c r="A1514" t="s">
        <v>29</v>
      </c>
      <c r="B1514" t="s">
        <v>22</v>
      </c>
      <c r="C1514" t="s">
        <v>23</v>
      </c>
      <c r="D1514" t="s">
        <v>363</v>
      </c>
      <c r="E1514" t="s">
        <v>365</v>
      </c>
      <c r="F1514" t="s">
        <v>13</v>
      </c>
      <c r="G1514" t="s">
        <v>427</v>
      </c>
      <c r="H1514" t="s">
        <v>368</v>
      </c>
      <c r="I1514">
        <v>54</v>
      </c>
      <c r="J1514">
        <v>0.7957894736842106</v>
      </c>
      <c r="K1514">
        <v>0.77142857142857146</v>
      </c>
      <c r="L1514">
        <v>0.82173913043478264</v>
      </c>
      <c r="M1514" t="s">
        <v>60</v>
      </c>
      <c r="N1514" t="s">
        <v>3456</v>
      </c>
      <c r="O1514" t="s">
        <v>3457</v>
      </c>
      <c r="P1514">
        <v>1.4</v>
      </c>
    </row>
    <row r="1515" spans="1:16" x14ac:dyDescent="0.3">
      <c r="A1515" t="s">
        <v>29</v>
      </c>
      <c r="B1515" t="s">
        <v>22</v>
      </c>
      <c r="C1515" t="s">
        <v>23</v>
      </c>
      <c r="D1515" t="s">
        <v>363</v>
      </c>
      <c r="E1515" t="s">
        <v>365</v>
      </c>
      <c r="F1515" t="s">
        <v>13</v>
      </c>
      <c r="G1515" t="s">
        <v>432</v>
      </c>
      <c r="H1515" t="s">
        <v>368</v>
      </c>
      <c r="I1515">
        <v>55</v>
      </c>
      <c r="J1515">
        <v>0.78586278586278591</v>
      </c>
      <c r="K1515">
        <v>0.75298804780876494</v>
      </c>
      <c r="L1515">
        <v>0.82173913043478264</v>
      </c>
      <c r="M1515" t="s">
        <v>60</v>
      </c>
      <c r="N1515" t="s">
        <v>3458</v>
      </c>
      <c r="O1515" t="s">
        <v>3459</v>
      </c>
      <c r="P1515">
        <v>1.4</v>
      </c>
    </row>
    <row r="1516" spans="1:16" x14ac:dyDescent="0.3">
      <c r="A1516" t="s">
        <v>29</v>
      </c>
      <c r="B1516" t="s">
        <v>22</v>
      </c>
      <c r="C1516" t="s">
        <v>23</v>
      </c>
      <c r="D1516" t="s">
        <v>363</v>
      </c>
      <c r="E1516" t="s">
        <v>365</v>
      </c>
      <c r="F1516" t="s">
        <v>13</v>
      </c>
      <c r="G1516" t="s">
        <v>437</v>
      </c>
      <c r="H1516" t="s">
        <v>368</v>
      </c>
      <c r="I1516">
        <v>56</v>
      </c>
      <c r="J1516">
        <v>0.80425531914893622</v>
      </c>
      <c r="K1516">
        <v>0.78749999999999998</v>
      </c>
      <c r="L1516">
        <v>0.82173913043478264</v>
      </c>
      <c r="M1516" t="s">
        <v>60</v>
      </c>
      <c r="N1516" t="s">
        <v>3460</v>
      </c>
      <c r="O1516" t="s">
        <v>3461</v>
      </c>
      <c r="P1516">
        <v>1.8</v>
      </c>
    </row>
    <row r="1517" spans="1:16" x14ac:dyDescent="0.3">
      <c r="A1517" t="s">
        <v>29</v>
      </c>
      <c r="B1517" t="s">
        <v>22</v>
      </c>
      <c r="C1517" t="s">
        <v>23</v>
      </c>
      <c r="D1517" t="s">
        <v>363</v>
      </c>
      <c r="E1517" t="s">
        <v>365</v>
      </c>
      <c r="F1517" t="s">
        <v>13</v>
      </c>
      <c r="G1517" t="s">
        <v>442</v>
      </c>
      <c r="H1517" t="s">
        <v>368</v>
      </c>
      <c r="I1517">
        <v>57</v>
      </c>
      <c r="J1517">
        <v>0.79668049792531104</v>
      </c>
      <c r="K1517">
        <v>0.76190476190476186</v>
      </c>
      <c r="L1517">
        <v>0.83478260869565213</v>
      </c>
      <c r="M1517" t="s">
        <v>60</v>
      </c>
      <c r="N1517" t="s">
        <v>3462</v>
      </c>
      <c r="O1517" t="s">
        <v>3463</v>
      </c>
      <c r="P1517">
        <v>1.4</v>
      </c>
    </row>
    <row r="1518" spans="1:16" x14ac:dyDescent="0.3">
      <c r="A1518" t="s">
        <v>29</v>
      </c>
      <c r="B1518" t="s">
        <v>22</v>
      </c>
      <c r="C1518" t="s">
        <v>23</v>
      </c>
      <c r="D1518" t="s">
        <v>363</v>
      </c>
      <c r="E1518" t="s">
        <v>365</v>
      </c>
      <c r="F1518" t="s">
        <v>13</v>
      </c>
      <c r="G1518" t="s">
        <v>447</v>
      </c>
      <c r="H1518" t="s">
        <v>368</v>
      </c>
      <c r="I1518">
        <v>58</v>
      </c>
      <c r="J1518">
        <v>0.8</v>
      </c>
      <c r="K1518">
        <v>0.76800000000000002</v>
      </c>
      <c r="L1518">
        <v>0.83478260869565213</v>
      </c>
      <c r="M1518" t="s">
        <v>60</v>
      </c>
      <c r="N1518" t="s">
        <v>3464</v>
      </c>
      <c r="O1518" t="s">
        <v>3465</v>
      </c>
      <c r="P1518">
        <v>1.4</v>
      </c>
    </row>
    <row r="1519" spans="1:16" x14ac:dyDescent="0.3">
      <c r="A1519" t="s">
        <v>29</v>
      </c>
      <c r="B1519" t="s">
        <v>22</v>
      </c>
      <c r="C1519" t="s">
        <v>23</v>
      </c>
      <c r="D1519" t="s">
        <v>363</v>
      </c>
      <c r="E1519" t="s">
        <v>365</v>
      </c>
      <c r="F1519" t="s">
        <v>13</v>
      </c>
      <c r="G1519" t="s">
        <v>452</v>
      </c>
      <c r="H1519" t="s">
        <v>368</v>
      </c>
      <c r="I1519">
        <v>59</v>
      </c>
      <c r="J1519">
        <v>0.79826464208242953</v>
      </c>
      <c r="K1519">
        <v>0.79653679653679654</v>
      </c>
      <c r="L1519">
        <v>0.8</v>
      </c>
      <c r="M1519" t="s">
        <v>60</v>
      </c>
      <c r="N1519" t="s">
        <v>3466</v>
      </c>
      <c r="O1519" t="s">
        <v>3467</v>
      </c>
      <c r="P1519">
        <v>1.4</v>
      </c>
    </row>
    <row r="1520" spans="1:16" x14ac:dyDescent="0.3">
      <c r="A1520" t="s">
        <v>29</v>
      </c>
      <c r="B1520" t="s">
        <v>22</v>
      </c>
      <c r="C1520" t="s">
        <v>23</v>
      </c>
      <c r="D1520" t="s">
        <v>363</v>
      </c>
      <c r="E1520" t="s">
        <v>365</v>
      </c>
      <c r="F1520" t="s">
        <v>13</v>
      </c>
      <c r="G1520" t="s">
        <v>457</v>
      </c>
      <c r="H1520" t="s">
        <v>368</v>
      </c>
      <c r="I1520">
        <v>60</v>
      </c>
      <c r="J1520">
        <v>0.78775510204081645</v>
      </c>
      <c r="K1520">
        <v>0.74230769230769234</v>
      </c>
      <c r="L1520">
        <v>0.83913043478260874</v>
      </c>
      <c r="M1520" t="s">
        <v>60</v>
      </c>
      <c r="N1520" t="s">
        <v>3468</v>
      </c>
      <c r="O1520" t="s">
        <v>3469</v>
      </c>
      <c r="P1520">
        <v>1.6</v>
      </c>
    </row>
    <row r="1521" spans="1:16" x14ac:dyDescent="0.3">
      <c r="A1521" t="s">
        <v>29</v>
      </c>
      <c r="B1521" t="s">
        <v>22</v>
      </c>
      <c r="C1521" t="s">
        <v>23</v>
      </c>
      <c r="D1521" t="s">
        <v>363</v>
      </c>
      <c r="E1521" t="s">
        <v>365</v>
      </c>
      <c r="F1521" t="s">
        <v>13</v>
      </c>
      <c r="G1521" t="s">
        <v>462</v>
      </c>
      <c r="H1521" t="s">
        <v>368</v>
      </c>
      <c r="I1521">
        <v>61</v>
      </c>
      <c r="J1521">
        <v>0.79591836734693888</v>
      </c>
      <c r="K1521">
        <v>0.75</v>
      </c>
      <c r="L1521">
        <v>0.84782608695652173</v>
      </c>
      <c r="M1521" t="s">
        <v>60</v>
      </c>
      <c r="N1521" t="s">
        <v>3470</v>
      </c>
      <c r="O1521" t="s">
        <v>3471</v>
      </c>
      <c r="P1521">
        <v>1.4</v>
      </c>
    </row>
    <row r="1522" spans="1:16" x14ac:dyDescent="0.3">
      <c r="A1522" t="s">
        <v>29</v>
      </c>
      <c r="B1522" t="s">
        <v>22</v>
      </c>
      <c r="C1522" t="s">
        <v>23</v>
      </c>
      <c r="D1522" t="s">
        <v>363</v>
      </c>
      <c r="E1522" t="s">
        <v>467</v>
      </c>
      <c r="F1522" t="s">
        <v>9</v>
      </c>
      <c r="G1522" t="s">
        <v>468</v>
      </c>
      <c r="H1522" t="s">
        <v>470</v>
      </c>
      <c r="I1522">
        <v>42</v>
      </c>
      <c r="J1522">
        <v>0.80229226361031514</v>
      </c>
      <c r="K1522">
        <v>0.77777777777777779</v>
      </c>
      <c r="L1522">
        <v>0.82840236686390534</v>
      </c>
      <c r="M1522" t="s">
        <v>60</v>
      </c>
      <c r="N1522" t="s">
        <v>3472</v>
      </c>
      <c r="O1522" t="s">
        <v>3473</v>
      </c>
      <c r="P1522">
        <v>1.9</v>
      </c>
    </row>
    <row r="1523" spans="1:16" x14ac:dyDescent="0.3">
      <c r="A1523" t="s">
        <v>29</v>
      </c>
      <c r="B1523" t="s">
        <v>22</v>
      </c>
      <c r="C1523" t="s">
        <v>23</v>
      </c>
      <c r="D1523" t="s">
        <v>363</v>
      </c>
      <c r="E1523" t="s">
        <v>467</v>
      </c>
      <c r="F1523" t="s">
        <v>9</v>
      </c>
      <c r="G1523" t="s">
        <v>474</v>
      </c>
      <c r="H1523" t="s">
        <v>470</v>
      </c>
      <c r="I1523">
        <v>43</v>
      </c>
      <c r="J1523">
        <v>0.77906976744186052</v>
      </c>
      <c r="K1523">
        <v>0.76571428571428568</v>
      </c>
      <c r="L1523">
        <v>0.79289940828402372</v>
      </c>
      <c r="M1523" t="s">
        <v>60</v>
      </c>
      <c r="N1523" t="s">
        <v>3474</v>
      </c>
      <c r="O1523" t="s">
        <v>3475</v>
      </c>
      <c r="P1523">
        <v>1.4</v>
      </c>
    </row>
    <row r="1524" spans="1:16" x14ac:dyDescent="0.3">
      <c r="A1524" t="s">
        <v>29</v>
      </c>
      <c r="B1524" t="s">
        <v>22</v>
      </c>
      <c r="C1524" t="s">
        <v>23</v>
      </c>
      <c r="D1524" t="s">
        <v>363</v>
      </c>
      <c r="E1524" t="s">
        <v>467</v>
      </c>
      <c r="F1524" t="s">
        <v>9</v>
      </c>
      <c r="G1524" t="s">
        <v>479</v>
      </c>
      <c r="H1524" t="s">
        <v>470</v>
      </c>
      <c r="I1524">
        <v>44</v>
      </c>
      <c r="J1524">
        <v>0.80232558139534893</v>
      </c>
      <c r="K1524">
        <v>0.78857142857142859</v>
      </c>
      <c r="L1524">
        <v>0.81656804733727806</v>
      </c>
      <c r="M1524" t="s">
        <v>60</v>
      </c>
      <c r="N1524" t="s">
        <v>3476</v>
      </c>
      <c r="O1524" t="s">
        <v>3477</v>
      </c>
      <c r="P1524">
        <v>1.4</v>
      </c>
    </row>
    <row r="1525" spans="1:16" x14ac:dyDescent="0.3">
      <c r="A1525" t="s">
        <v>29</v>
      </c>
      <c r="B1525" t="s">
        <v>22</v>
      </c>
      <c r="C1525" t="s">
        <v>23</v>
      </c>
      <c r="D1525" t="s">
        <v>363</v>
      </c>
      <c r="E1525" t="s">
        <v>467</v>
      </c>
      <c r="F1525" t="s">
        <v>9</v>
      </c>
      <c r="G1525" t="s">
        <v>484</v>
      </c>
      <c r="H1525" t="s">
        <v>470</v>
      </c>
      <c r="I1525">
        <v>45</v>
      </c>
      <c r="J1525">
        <v>0.81159420289855067</v>
      </c>
      <c r="K1525">
        <v>0.79545454545454541</v>
      </c>
      <c r="L1525">
        <v>0.82840236686390534</v>
      </c>
      <c r="M1525" t="s">
        <v>60</v>
      </c>
      <c r="N1525" t="s">
        <v>3478</v>
      </c>
      <c r="O1525" t="s">
        <v>3479</v>
      </c>
      <c r="P1525">
        <v>1.3</v>
      </c>
    </row>
    <row r="1526" spans="1:16" x14ac:dyDescent="0.3">
      <c r="A1526" t="s">
        <v>29</v>
      </c>
      <c r="B1526" t="s">
        <v>22</v>
      </c>
      <c r="C1526" t="s">
        <v>23</v>
      </c>
      <c r="D1526" t="s">
        <v>363</v>
      </c>
      <c r="E1526" t="s">
        <v>467</v>
      </c>
      <c r="F1526" t="s">
        <v>9</v>
      </c>
      <c r="G1526" t="s">
        <v>489</v>
      </c>
      <c r="H1526" t="s">
        <v>470</v>
      </c>
      <c r="I1526">
        <v>46</v>
      </c>
      <c r="J1526">
        <v>0.77222222222222237</v>
      </c>
      <c r="K1526">
        <v>0.72774869109947649</v>
      </c>
      <c r="L1526">
        <v>0.8224852071005917</v>
      </c>
      <c r="M1526" t="s">
        <v>60</v>
      </c>
      <c r="N1526" t="s">
        <v>3480</v>
      </c>
      <c r="O1526" t="s">
        <v>3481</v>
      </c>
      <c r="P1526">
        <v>1.4</v>
      </c>
    </row>
    <row r="1527" spans="1:16" x14ac:dyDescent="0.3">
      <c r="A1527" t="s">
        <v>29</v>
      </c>
      <c r="B1527" t="s">
        <v>22</v>
      </c>
      <c r="C1527" t="s">
        <v>23</v>
      </c>
      <c r="D1527" t="s">
        <v>363</v>
      </c>
      <c r="E1527" t="s">
        <v>467</v>
      </c>
      <c r="F1527" t="s">
        <v>9</v>
      </c>
      <c r="G1527" t="s">
        <v>494</v>
      </c>
      <c r="H1527" t="s">
        <v>470</v>
      </c>
      <c r="I1527">
        <v>47</v>
      </c>
      <c r="J1527">
        <v>0.78962536023054752</v>
      </c>
      <c r="K1527">
        <v>0.7696629213483146</v>
      </c>
      <c r="L1527">
        <v>0.81065088757396453</v>
      </c>
      <c r="M1527" t="s">
        <v>60</v>
      </c>
      <c r="N1527" t="s">
        <v>3482</v>
      </c>
      <c r="O1527" t="s">
        <v>3483</v>
      </c>
      <c r="P1527">
        <v>1.3</v>
      </c>
    </row>
    <row r="1528" spans="1:16" x14ac:dyDescent="0.3">
      <c r="A1528" t="s">
        <v>29</v>
      </c>
      <c r="B1528" t="s">
        <v>22</v>
      </c>
      <c r="C1528" t="s">
        <v>23</v>
      </c>
      <c r="D1528" t="s">
        <v>363</v>
      </c>
      <c r="E1528" t="s">
        <v>467</v>
      </c>
      <c r="F1528" t="s">
        <v>9</v>
      </c>
      <c r="G1528" t="s">
        <v>499</v>
      </c>
      <c r="H1528" t="s">
        <v>470</v>
      </c>
      <c r="I1528">
        <v>48</v>
      </c>
      <c r="J1528">
        <v>0.77653631284916202</v>
      </c>
      <c r="K1528">
        <v>0.73544973544973546</v>
      </c>
      <c r="L1528">
        <v>0.8224852071005917</v>
      </c>
      <c r="M1528" t="s">
        <v>60</v>
      </c>
      <c r="N1528" t="s">
        <v>3484</v>
      </c>
      <c r="O1528" t="s">
        <v>3485</v>
      </c>
      <c r="P1528">
        <v>1.3</v>
      </c>
    </row>
    <row r="1529" spans="1:16" x14ac:dyDescent="0.3">
      <c r="A1529" t="s">
        <v>29</v>
      </c>
      <c r="B1529" t="s">
        <v>22</v>
      </c>
      <c r="C1529" t="s">
        <v>23</v>
      </c>
      <c r="D1529" t="s">
        <v>363</v>
      </c>
      <c r="E1529" t="s">
        <v>467</v>
      </c>
      <c r="F1529" t="s">
        <v>9</v>
      </c>
      <c r="G1529" t="s">
        <v>504</v>
      </c>
      <c r="H1529" t="s">
        <v>470</v>
      </c>
      <c r="I1529">
        <v>49</v>
      </c>
      <c r="J1529">
        <v>0.80113636363636365</v>
      </c>
      <c r="K1529">
        <v>0.77049180327868849</v>
      </c>
      <c r="L1529">
        <v>0.83431952662721898</v>
      </c>
      <c r="M1529" t="s">
        <v>60</v>
      </c>
      <c r="N1529" t="s">
        <v>3486</v>
      </c>
      <c r="O1529" t="s">
        <v>3487</v>
      </c>
      <c r="P1529">
        <v>1.7</v>
      </c>
    </row>
    <row r="1530" spans="1:16" x14ac:dyDescent="0.3">
      <c r="A1530" t="s">
        <v>29</v>
      </c>
      <c r="B1530" t="s">
        <v>22</v>
      </c>
      <c r="C1530" t="s">
        <v>23</v>
      </c>
      <c r="D1530" t="s">
        <v>363</v>
      </c>
      <c r="E1530" t="s">
        <v>467</v>
      </c>
      <c r="F1530" t="s">
        <v>9</v>
      </c>
      <c r="G1530" t="s">
        <v>509</v>
      </c>
      <c r="H1530" t="s">
        <v>470</v>
      </c>
      <c r="I1530">
        <v>50</v>
      </c>
      <c r="J1530">
        <v>0.77620396600566577</v>
      </c>
      <c r="K1530">
        <v>0.74456521739130432</v>
      </c>
      <c r="L1530">
        <v>0.81065088757396453</v>
      </c>
      <c r="M1530" t="s">
        <v>60</v>
      </c>
      <c r="N1530" t="s">
        <v>3488</v>
      </c>
      <c r="O1530" t="s">
        <v>3489</v>
      </c>
      <c r="P1530">
        <v>1.3</v>
      </c>
    </row>
    <row r="1531" spans="1:16" x14ac:dyDescent="0.3">
      <c r="A1531" t="s">
        <v>29</v>
      </c>
      <c r="B1531" t="s">
        <v>22</v>
      </c>
      <c r="C1531" t="s">
        <v>23</v>
      </c>
      <c r="D1531" t="s">
        <v>363</v>
      </c>
      <c r="E1531" t="s">
        <v>467</v>
      </c>
      <c r="F1531" t="s">
        <v>9</v>
      </c>
      <c r="G1531" t="s">
        <v>514</v>
      </c>
      <c r="H1531" t="s">
        <v>470</v>
      </c>
      <c r="I1531">
        <v>51</v>
      </c>
      <c r="J1531">
        <v>0.77966101694915257</v>
      </c>
      <c r="K1531">
        <v>0.74594594594594599</v>
      </c>
      <c r="L1531">
        <v>0.81656804733727806</v>
      </c>
      <c r="M1531" t="s">
        <v>60</v>
      </c>
      <c r="N1531" t="s">
        <v>3490</v>
      </c>
      <c r="O1531" t="s">
        <v>3491</v>
      </c>
      <c r="P1531">
        <v>1.3</v>
      </c>
    </row>
    <row r="1532" spans="1:16" x14ac:dyDescent="0.3">
      <c r="A1532" t="s">
        <v>29</v>
      </c>
      <c r="B1532" t="s">
        <v>22</v>
      </c>
      <c r="C1532" t="s">
        <v>23</v>
      </c>
      <c r="D1532" t="s">
        <v>363</v>
      </c>
      <c r="E1532" t="s">
        <v>467</v>
      </c>
      <c r="F1532" t="s">
        <v>9</v>
      </c>
      <c r="G1532" t="s">
        <v>519</v>
      </c>
      <c r="H1532" t="s">
        <v>470</v>
      </c>
      <c r="I1532">
        <v>52</v>
      </c>
      <c r="J1532">
        <v>0.76521739130434785</v>
      </c>
      <c r="K1532">
        <v>0.75</v>
      </c>
      <c r="L1532">
        <v>0.78106508875739644</v>
      </c>
      <c r="M1532" t="s">
        <v>60</v>
      </c>
      <c r="N1532" t="s">
        <v>3492</v>
      </c>
      <c r="O1532" t="s">
        <v>3493</v>
      </c>
      <c r="P1532">
        <v>1.3</v>
      </c>
    </row>
    <row r="1533" spans="1:16" x14ac:dyDescent="0.3">
      <c r="A1533" t="s">
        <v>29</v>
      </c>
      <c r="B1533" t="s">
        <v>22</v>
      </c>
      <c r="C1533" t="s">
        <v>23</v>
      </c>
      <c r="D1533" t="s">
        <v>363</v>
      </c>
      <c r="E1533" t="s">
        <v>467</v>
      </c>
      <c r="F1533" t="s">
        <v>9</v>
      </c>
      <c r="G1533" t="s">
        <v>524</v>
      </c>
      <c r="H1533" t="s">
        <v>470</v>
      </c>
      <c r="I1533">
        <v>53</v>
      </c>
      <c r="J1533">
        <v>0.78260869565217395</v>
      </c>
      <c r="K1533">
        <v>0.76704545454545459</v>
      </c>
      <c r="L1533">
        <v>0.79881656804733725</v>
      </c>
      <c r="M1533" t="s">
        <v>60</v>
      </c>
      <c r="N1533" t="s">
        <v>3494</v>
      </c>
      <c r="O1533" t="s">
        <v>3495</v>
      </c>
      <c r="P1533">
        <v>1.3</v>
      </c>
    </row>
    <row r="1534" spans="1:16" x14ac:dyDescent="0.3">
      <c r="A1534" t="s">
        <v>29</v>
      </c>
      <c r="B1534" t="s">
        <v>22</v>
      </c>
      <c r="C1534" t="s">
        <v>23</v>
      </c>
      <c r="D1534" t="s">
        <v>363</v>
      </c>
      <c r="E1534" t="s">
        <v>467</v>
      </c>
      <c r="F1534" t="s">
        <v>9</v>
      </c>
      <c r="G1534" t="s">
        <v>529</v>
      </c>
      <c r="H1534" t="s">
        <v>470</v>
      </c>
      <c r="I1534">
        <v>54</v>
      </c>
      <c r="J1534">
        <v>0.78873239436619724</v>
      </c>
      <c r="K1534">
        <v>0.75268817204301075</v>
      </c>
      <c r="L1534">
        <v>0.82840236686390534</v>
      </c>
      <c r="M1534" t="s">
        <v>60</v>
      </c>
      <c r="N1534" t="s">
        <v>3496</v>
      </c>
      <c r="O1534" t="s">
        <v>3497</v>
      </c>
      <c r="P1534">
        <v>1.4</v>
      </c>
    </row>
    <row r="1535" spans="1:16" x14ac:dyDescent="0.3">
      <c r="A1535" t="s">
        <v>29</v>
      </c>
      <c r="B1535" t="s">
        <v>22</v>
      </c>
      <c r="C1535" t="s">
        <v>23</v>
      </c>
      <c r="D1535" t="s">
        <v>363</v>
      </c>
      <c r="E1535" t="s">
        <v>467</v>
      </c>
      <c r="F1535" t="s">
        <v>9</v>
      </c>
      <c r="G1535" t="s">
        <v>534</v>
      </c>
      <c r="H1535" t="s">
        <v>470</v>
      </c>
      <c r="I1535">
        <v>55</v>
      </c>
      <c r="J1535">
        <v>0.8057971014492753</v>
      </c>
      <c r="K1535">
        <v>0.78977272727272729</v>
      </c>
      <c r="L1535">
        <v>0.8224852071005917</v>
      </c>
      <c r="M1535" t="s">
        <v>60</v>
      </c>
      <c r="N1535" t="s">
        <v>3498</v>
      </c>
      <c r="O1535" t="s">
        <v>3499</v>
      </c>
      <c r="P1535">
        <v>1.4</v>
      </c>
    </row>
    <row r="1536" spans="1:16" x14ac:dyDescent="0.3">
      <c r="A1536" t="s">
        <v>29</v>
      </c>
      <c r="B1536" t="s">
        <v>22</v>
      </c>
      <c r="C1536" t="s">
        <v>23</v>
      </c>
      <c r="D1536" t="s">
        <v>363</v>
      </c>
      <c r="E1536" t="s">
        <v>467</v>
      </c>
      <c r="F1536" t="s">
        <v>9</v>
      </c>
      <c r="G1536" t="s">
        <v>539</v>
      </c>
      <c r="H1536" t="s">
        <v>470</v>
      </c>
      <c r="I1536">
        <v>56</v>
      </c>
      <c r="J1536">
        <v>0.76878612716763006</v>
      </c>
      <c r="K1536">
        <v>0.75141242937853103</v>
      </c>
      <c r="L1536">
        <v>0.78698224852071008</v>
      </c>
      <c r="M1536" t="s">
        <v>60</v>
      </c>
      <c r="N1536" t="s">
        <v>3500</v>
      </c>
      <c r="O1536" t="s">
        <v>3501</v>
      </c>
      <c r="P1536">
        <v>1.6</v>
      </c>
    </row>
    <row r="1537" spans="1:16" x14ac:dyDescent="0.3">
      <c r="A1537" t="s">
        <v>29</v>
      </c>
      <c r="B1537" t="s">
        <v>22</v>
      </c>
      <c r="C1537" t="s">
        <v>23</v>
      </c>
      <c r="D1537" t="s">
        <v>363</v>
      </c>
      <c r="E1537" t="s">
        <v>467</v>
      </c>
      <c r="F1537" t="s">
        <v>9</v>
      </c>
      <c r="G1537" t="s">
        <v>544</v>
      </c>
      <c r="H1537" t="s">
        <v>470</v>
      </c>
      <c r="I1537">
        <v>57</v>
      </c>
      <c r="J1537">
        <v>0.74380165289256195</v>
      </c>
      <c r="K1537">
        <v>0.69587628865979378</v>
      </c>
      <c r="L1537">
        <v>0.79881656804733725</v>
      </c>
      <c r="M1537" t="s">
        <v>60</v>
      </c>
      <c r="N1537" t="s">
        <v>3502</v>
      </c>
      <c r="O1537" t="s">
        <v>3503</v>
      </c>
      <c r="P1537">
        <v>1.2</v>
      </c>
    </row>
    <row r="1538" spans="1:16" x14ac:dyDescent="0.3">
      <c r="A1538" t="s">
        <v>29</v>
      </c>
      <c r="B1538" t="s">
        <v>22</v>
      </c>
      <c r="C1538" t="s">
        <v>23</v>
      </c>
      <c r="D1538" t="s">
        <v>363</v>
      </c>
      <c r="E1538" t="s">
        <v>467</v>
      </c>
      <c r="F1538" t="s">
        <v>9</v>
      </c>
      <c r="G1538" t="s">
        <v>549</v>
      </c>
      <c r="H1538" t="s">
        <v>470</v>
      </c>
      <c r="I1538">
        <v>58</v>
      </c>
      <c r="J1538">
        <v>0.78034682080924844</v>
      </c>
      <c r="K1538">
        <v>0.76271186440677963</v>
      </c>
      <c r="L1538">
        <v>0.79881656804733725</v>
      </c>
      <c r="M1538" t="s">
        <v>60</v>
      </c>
      <c r="N1538" t="s">
        <v>3504</v>
      </c>
      <c r="O1538" t="s">
        <v>3505</v>
      </c>
      <c r="P1538">
        <v>1.3</v>
      </c>
    </row>
    <row r="1539" spans="1:16" x14ac:dyDescent="0.3">
      <c r="A1539" t="s">
        <v>29</v>
      </c>
      <c r="B1539" t="s">
        <v>22</v>
      </c>
      <c r="C1539" t="s">
        <v>23</v>
      </c>
      <c r="D1539" t="s">
        <v>363</v>
      </c>
      <c r="E1539" t="s">
        <v>467</v>
      </c>
      <c r="F1539" t="s">
        <v>9</v>
      </c>
      <c r="G1539" t="s">
        <v>554</v>
      </c>
      <c r="H1539" t="s">
        <v>470</v>
      </c>
      <c r="I1539">
        <v>59</v>
      </c>
      <c r="J1539">
        <v>0.8</v>
      </c>
      <c r="K1539">
        <v>0.78409090909090906</v>
      </c>
      <c r="L1539">
        <v>0.81656804733727806</v>
      </c>
      <c r="M1539" t="s">
        <v>60</v>
      </c>
      <c r="N1539" t="s">
        <v>3506</v>
      </c>
      <c r="O1539" t="s">
        <v>3507</v>
      </c>
      <c r="P1539">
        <v>1.3</v>
      </c>
    </row>
    <row r="1540" spans="1:16" x14ac:dyDescent="0.3">
      <c r="A1540" t="s">
        <v>29</v>
      </c>
      <c r="B1540" t="s">
        <v>22</v>
      </c>
      <c r="C1540" t="s">
        <v>23</v>
      </c>
      <c r="D1540" t="s">
        <v>363</v>
      </c>
      <c r="E1540" t="s">
        <v>467</v>
      </c>
      <c r="F1540" t="s">
        <v>9</v>
      </c>
      <c r="G1540" t="s">
        <v>559</v>
      </c>
      <c r="H1540" t="s">
        <v>470</v>
      </c>
      <c r="I1540">
        <v>60</v>
      </c>
      <c r="J1540">
        <v>0.78260869565217395</v>
      </c>
      <c r="K1540">
        <v>0.76704545454545459</v>
      </c>
      <c r="L1540">
        <v>0.79881656804733725</v>
      </c>
      <c r="M1540" t="s">
        <v>60</v>
      </c>
      <c r="N1540" t="s">
        <v>3508</v>
      </c>
      <c r="O1540" t="s">
        <v>3509</v>
      </c>
      <c r="P1540">
        <v>1.3</v>
      </c>
    </row>
    <row r="1541" spans="1:16" x14ac:dyDescent="0.3">
      <c r="A1541" t="s">
        <v>29</v>
      </c>
      <c r="B1541" t="s">
        <v>22</v>
      </c>
      <c r="C1541" t="s">
        <v>23</v>
      </c>
      <c r="D1541" t="s">
        <v>363</v>
      </c>
      <c r="E1541" t="s">
        <v>467</v>
      </c>
      <c r="F1541" t="s">
        <v>9</v>
      </c>
      <c r="G1541" t="s">
        <v>564</v>
      </c>
      <c r="H1541" t="s">
        <v>470</v>
      </c>
      <c r="I1541">
        <v>61</v>
      </c>
      <c r="J1541">
        <v>0.78260869565217395</v>
      </c>
      <c r="K1541">
        <v>0.76704545454545459</v>
      </c>
      <c r="L1541">
        <v>0.79881656804733725</v>
      </c>
      <c r="M1541" t="s">
        <v>60</v>
      </c>
      <c r="N1541" t="s">
        <v>3510</v>
      </c>
      <c r="O1541" t="s">
        <v>3511</v>
      </c>
      <c r="P1541">
        <v>1.3</v>
      </c>
    </row>
    <row r="1542" spans="1:16" x14ac:dyDescent="0.3">
      <c r="A1542" t="s">
        <v>29</v>
      </c>
      <c r="B1542" t="s">
        <v>22</v>
      </c>
      <c r="C1542" t="s">
        <v>23</v>
      </c>
      <c r="D1542" t="s">
        <v>363</v>
      </c>
      <c r="E1542" t="s">
        <v>569</v>
      </c>
      <c r="F1542" t="s">
        <v>11</v>
      </c>
      <c r="G1542" t="s">
        <v>570</v>
      </c>
      <c r="H1542" t="s">
        <v>572</v>
      </c>
      <c r="I1542">
        <v>42</v>
      </c>
      <c r="J1542">
        <v>0.82926829268292679</v>
      </c>
      <c r="K1542">
        <v>0.81659388646288211</v>
      </c>
      <c r="L1542">
        <v>0.84234234234234229</v>
      </c>
      <c r="M1542" t="s">
        <v>60</v>
      </c>
      <c r="N1542" t="s">
        <v>3512</v>
      </c>
      <c r="O1542" t="s">
        <v>3513</v>
      </c>
      <c r="P1542">
        <v>1.8</v>
      </c>
    </row>
    <row r="1543" spans="1:16" x14ac:dyDescent="0.3">
      <c r="A1543" t="s">
        <v>29</v>
      </c>
      <c r="B1543" t="s">
        <v>22</v>
      </c>
      <c r="C1543" t="s">
        <v>23</v>
      </c>
      <c r="D1543" t="s">
        <v>363</v>
      </c>
      <c r="E1543" t="s">
        <v>569</v>
      </c>
      <c r="F1543" t="s">
        <v>11</v>
      </c>
      <c r="G1543" t="s">
        <v>576</v>
      </c>
      <c r="H1543" t="s">
        <v>572</v>
      </c>
      <c r="I1543">
        <v>43</v>
      </c>
      <c r="J1543">
        <v>0.82352941176470584</v>
      </c>
      <c r="K1543">
        <v>0.79746835443037978</v>
      </c>
      <c r="L1543">
        <v>0.85135135135135132</v>
      </c>
      <c r="M1543" t="s">
        <v>60</v>
      </c>
      <c r="N1543" t="s">
        <v>3514</v>
      </c>
      <c r="O1543" t="s">
        <v>3515</v>
      </c>
      <c r="P1543">
        <v>1.4</v>
      </c>
    </row>
    <row r="1544" spans="1:16" x14ac:dyDescent="0.3">
      <c r="A1544" t="s">
        <v>29</v>
      </c>
      <c r="B1544" t="s">
        <v>22</v>
      </c>
      <c r="C1544" t="s">
        <v>23</v>
      </c>
      <c r="D1544" t="s">
        <v>363</v>
      </c>
      <c r="E1544" t="s">
        <v>569</v>
      </c>
      <c r="F1544" t="s">
        <v>11</v>
      </c>
      <c r="G1544" t="s">
        <v>581</v>
      </c>
      <c r="H1544" t="s">
        <v>572</v>
      </c>
      <c r="I1544">
        <v>44</v>
      </c>
      <c r="J1544">
        <v>0.79399141630901293</v>
      </c>
      <c r="K1544">
        <v>0.75819672131147542</v>
      </c>
      <c r="L1544">
        <v>0.83333333333333337</v>
      </c>
      <c r="M1544" t="s">
        <v>60</v>
      </c>
      <c r="N1544" t="s">
        <v>3516</v>
      </c>
      <c r="O1544" t="s">
        <v>3517</v>
      </c>
      <c r="P1544">
        <v>1.4</v>
      </c>
    </row>
    <row r="1545" spans="1:16" x14ac:dyDescent="0.3">
      <c r="A1545" t="s">
        <v>29</v>
      </c>
      <c r="B1545" t="s">
        <v>22</v>
      </c>
      <c r="C1545" t="s">
        <v>23</v>
      </c>
      <c r="D1545" t="s">
        <v>363</v>
      </c>
      <c r="E1545" t="s">
        <v>569</v>
      </c>
      <c r="F1545" t="s">
        <v>11</v>
      </c>
      <c r="G1545" t="s">
        <v>586</v>
      </c>
      <c r="H1545" t="s">
        <v>572</v>
      </c>
      <c r="I1545">
        <v>45</v>
      </c>
      <c r="J1545">
        <v>0.82850779510022277</v>
      </c>
      <c r="K1545">
        <v>0.81938325991189431</v>
      </c>
      <c r="L1545">
        <v>0.83783783783783783</v>
      </c>
      <c r="M1545" t="s">
        <v>60</v>
      </c>
      <c r="N1545" t="s">
        <v>3518</v>
      </c>
      <c r="O1545" t="s">
        <v>3519</v>
      </c>
      <c r="P1545">
        <v>1.4</v>
      </c>
    </row>
    <row r="1546" spans="1:16" x14ac:dyDescent="0.3">
      <c r="A1546" t="s">
        <v>29</v>
      </c>
      <c r="B1546" t="s">
        <v>22</v>
      </c>
      <c r="C1546" t="s">
        <v>23</v>
      </c>
      <c r="D1546" t="s">
        <v>363</v>
      </c>
      <c r="E1546" t="s">
        <v>569</v>
      </c>
      <c r="F1546" t="s">
        <v>11</v>
      </c>
      <c r="G1546" t="s">
        <v>591</v>
      </c>
      <c r="H1546" t="s">
        <v>572</v>
      </c>
      <c r="I1546">
        <v>46</v>
      </c>
      <c r="J1546">
        <v>0.81222707423580787</v>
      </c>
      <c r="K1546">
        <v>0.78813559322033899</v>
      </c>
      <c r="L1546">
        <v>0.83783783783783783</v>
      </c>
      <c r="M1546" t="s">
        <v>60</v>
      </c>
      <c r="N1546" t="s">
        <v>3520</v>
      </c>
      <c r="O1546" t="s">
        <v>3521</v>
      </c>
      <c r="P1546">
        <v>1.4</v>
      </c>
    </row>
    <row r="1547" spans="1:16" x14ac:dyDescent="0.3">
      <c r="A1547" t="s">
        <v>29</v>
      </c>
      <c r="B1547" t="s">
        <v>22</v>
      </c>
      <c r="C1547" t="s">
        <v>23</v>
      </c>
      <c r="D1547" t="s">
        <v>363</v>
      </c>
      <c r="E1547" t="s">
        <v>569</v>
      </c>
      <c r="F1547" t="s">
        <v>11</v>
      </c>
      <c r="G1547" t="s">
        <v>596</v>
      </c>
      <c r="H1547" t="s">
        <v>572</v>
      </c>
      <c r="I1547">
        <v>47</v>
      </c>
      <c r="J1547">
        <v>0.80434782608695654</v>
      </c>
      <c r="K1547">
        <v>0.77731092436974791</v>
      </c>
      <c r="L1547">
        <v>0.83333333333333337</v>
      </c>
      <c r="M1547" t="s">
        <v>60</v>
      </c>
      <c r="N1547" t="s">
        <v>3522</v>
      </c>
      <c r="O1547" t="s">
        <v>3523</v>
      </c>
      <c r="P1547">
        <v>1.4</v>
      </c>
    </row>
    <row r="1548" spans="1:16" x14ac:dyDescent="0.3">
      <c r="A1548" t="s">
        <v>29</v>
      </c>
      <c r="B1548" t="s">
        <v>22</v>
      </c>
      <c r="C1548" t="s">
        <v>23</v>
      </c>
      <c r="D1548" t="s">
        <v>363</v>
      </c>
      <c r="E1548" t="s">
        <v>569</v>
      </c>
      <c r="F1548" t="s">
        <v>11</v>
      </c>
      <c r="G1548" t="s">
        <v>601</v>
      </c>
      <c r="H1548" t="s">
        <v>572</v>
      </c>
      <c r="I1548">
        <v>48</v>
      </c>
      <c r="J1548">
        <v>0.82483370288248348</v>
      </c>
      <c r="K1548">
        <v>0.81222707423580787</v>
      </c>
      <c r="L1548">
        <v>0.83783783783783783</v>
      </c>
      <c r="M1548" t="s">
        <v>60</v>
      </c>
      <c r="N1548" t="s">
        <v>3524</v>
      </c>
      <c r="O1548" t="s">
        <v>3525</v>
      </c>
      <c r="P1548">
        <v>1.8</v>
      </c>
    </row>
    <row r="1549" spans="1:16" x14ac:dyDescent="0.3">
      <c r="A1549" t="s">
        <v>29</v>
      </c>
      <c r="B1549" t="s">
        <v>22</v>
      </c>
      <c r="C1549" t="s">
        <v>23</v>
      </c>
      <c r="D1549" t="s">
        <v>363</v>
      </c>
      <c r="E1549" t="s">
        <v>569</v>
      </c>
      <c r="F1549" t="s">
        <v>11</v>
      </c>
      <c r="G1549" t="s">
        <v>606</v>
      </c>
      <c r="H1549" t="s">
        <v>572</v>
      </c>
      <c r="I1549">
        <v>49</v>
      </c>
      <c r="J1549">
        <v>0.84563758389261745</v>
      </c>
      <c r="K1549">
        <v>0.84</v>
      </c>
      <c r="L1549">
        <v>0.85135135135135132</v>
      </c>
      <c r="M1549" t="s">
        <v>60</v>
      </c>
      <c r="N1549" t="s">
        <v>3526</v>
      </c>
      <c r="O1549" t="s">
        <v>3527</v>
      </c>
      <c r="P1549">
        <v>1.4</v>
      </c>
    </row>
    <row r="1550" spans="1:16" x14ac:dyDescent="0.3">
      <c r="A1550" t="s">
        <v>29</v>
      </c>
      <c r="B1550" t="s">
        <v>22</v>
      </c>
      <c r="C1550" t="s">
        <v>23</v>
      </c>
      <c r="D1550" t="s">
        <v>363</v>
      </c>
      <c r="E1550" t="s">
        <v>569</v>
      </c>
      <c r="F1550" t="s">
        <v>11</v>
      </c>
      <c r="G1550" t="s">
        <v>611</v>
      </c>
      <c r="H1550" t="s">
        <v>572</v>
      </c>
      <c r="I1550">
        <v>50</v>
      </c>
      <c r="J1550">
        <v>0.83111111111111113</v>
      </c>
      <c r="K1550">
        <v>0.82017543859649122</v>
      </c>
      <c r="L1550">
        <v>0.84234234234234229</v>
      </c>
      <c r="M1550" t="s">
        <v>60</v>
      </c>
      <c r="N1550" t="s">
        <v>3528</v>
      </c>
      <c r="O1550" t="s">
        <v>3529</v>
      </c>
      <c r="P1550">
        <v>1.3</v>
      </c>
    </row>
    <row r="1551" spans="1:16" x14ac:dyDescent="0.3">
      <c r="A1551" t="s">
        <v>29</v>
      </c>
      <c r="B1551" t="s">
        <v>22</v>
      </c>
      <c r="C1551" t="s">
        <v>23</v>
      </c>
      <c r="D1551" t="s">
        <v>363</v>
      </c>
      <c r="E1551" t="s">
        <v>569</v>
      </c>
      <c r="F1551" t="s">
        <v>11</v>
      </c>
      <c r="G1551" t="s">
        <v>616</v>
      </c>
      <c r="H1551" t="s">
        <v>572</v>
      </c>
      <c r="I1551">
        <v>51</v>
      </c>
      <c r="J1551">
        <v>0.81876332622601278</v>
      </c>
      <c r="K1551">
        <v>0.77732793522267207</v>
      </c>
      <c r="L1551">
        <v>0.86486486486486491</v>
      </c>
      <c r="M1551" t="s">
        <v>60</v>
      </c>
      <c r="N1551" t="s">
        <v>3530</v>
      </c>
      <c r="O1551" t="s">
        <v>3531</v>
      </c>
      <c r="P1551">
        <v>1.4</v>
      </c>
    </row>
    <row r="1552" spans="1:16" x14ac:dyDescent="0.3">
      <c r="A1552" t="s">
        <v>29</v>
      </c>
      <c r="B1552" t="s">
        <v>22</v>
      </c>
      <c r="C1552" t="s">
        <v>23</v>
      </c>
      <c r="D1552" t="s">
        <v>363</v>
      </c>
      <c r="E1552" t="s">
        <v>569</v>
      </c>
      <c r="F1552" t="s">
        <v>11</v>
      </c>
      <c r="G1552" t="s">
        <v>621</v>
      </c>
      <c r="H1552" t="s">
        <v>572</v>
      </c>
      <c r="I1552">
        <v>52</v>
      </c>
      <c r="J1552">
        <v>0.84444444444444455</v>
      </c>
      <c r="K1552">
        <v>0.83333333333333337</v>
      </c>
      <c r="L1552">
        <v>0.85585585585585588</v>
      </c>
      <c r="M1552" t="s">
        <v>60</v>
      </c>
      <c r="N1552" t="s">
        <v>3532</v>
      </c>
      <c r="O1552" t="s">
        <v>3533</v>
      </c>
      <c r="P1552">
        <v>1.4</v>
      </c>
    </row>
    <row r="1553" spans="1:16" x14ac:dyDescent="0.3">
      <c r="A1553" t="s">
        <v>29</v>
      </c>
      <c r="B1553" t="s">
        <v>22</v>
      </c>
      <c r="C1553" t="s">
        <v>23</v>
      </c>
      <c r="D1553" t="s">
        <v>363</v>
      </c>
      <c r="E1553" t="s">
        <v>569</v>
      </c>
      <c r="F1553" t="s">
        <v>11</v>
      </c>
      <c r="G1553" t="s">
        <v>626</v>
      </c>
      <c r="H1553" t="s">
        <v>572</v>
      </c>
      <c r="I1553">
        <v>53</v>
      </c>
      <c r="J1553">
        <v>0.82197802197802183</v>
      </c>
      <c r="K1553">
        <v>0.80257510729613735</v>
      </c>
      <c r="L1553">
        <v>0.84234234234234229</v>
      </c>
      <c r="M1553" t="s">
        <v>60</v>
      </c>
      <c r="N1553" t="s">
        <v>3534</v>
      </c>
      <c r="O1553" t="s">
        <v>3535</v>
      </c>
      <c r="P1553">
        <v>1.4</v>
      </c>
    </row>
    <row r="1554" spans="1:16" x14ac:dyDescent="0.3">
      <c r="A1554" t="s">
        <v>29</v>
      </c>
      <c r="B1554" t="s">
        <v>22</v>
      </c>
      <c r="C1554" t="s">
        <v>23</v>
      </c>
      <c r="D1554" t="s">
        <v>363</v>
      </c>
      <c r="E1554" t="s">
        <v>569</v>
      </c>
      <c r="F1554" t="s">
        <v>11</v>
      </c>
      <c r="G1554" t="s">
        <v>631</v>
      </c>
      <c r="H1554" t="s">
        <v>572</v>
      </c>
      <c r="I1554">
        <v>54</v>
      </c>
      <c r="J1554">
        <v>0.81758241758241768</v>
      </c>
      <c r="K1554">
        <v>0.79828326180257514</v>
      </c>
      <c r="L1554">
        <v>0.83783783783783783</v>
      </c>
      <c r="M1554" t="s">
        <v>60</v>
      </c>
      <c r="N1554" t="s">
        <v>3536</v>
      </c>
      <c r="O1554" t="s">
        <v>3537</v>
      </c>
      <c r="P1554">
        <v>1.4</v>
      </c>
    </row>
    <row r="1555" spans="1:16" x14ac:dyDescent="0.3">
      <c r="A1555" t="s">
        <v>29</v>
      </c>
      <c r="B1555" t="s">
        <v>22</v>
      </c>
      <c r="C1555" t="s">
        <v>23</v>
      </c>
      <c r="D1555" t="s">
        <v>363</v>
      </c>
      <c r="E1555" t="s">
        <v>569</v>
      </c>
      <c r="F1555" t="s">
        <v>11</v>
      </c>
      <c r="G1555" t="s">
        <v>636</v>
      </c>
      <c r="H1555" t="s">
        <v>572</v>
      </c>
      <c r="I1555">
        <v>55</v>
      </c>
      <c r="J1555">
        <v>0.85011185682326629</v>
      </c>
      <c r="K1555">
        <v>0.84444444444444444</v>
      </c>
      <c r="L1555">
        <v>0.85585585585585588</v>
      </c>
      <c r="M1555" t="s">
        <v>60</v>
      </c>
      <c r="N1555" t="s">
        <v>3538</v>
      </c>
      <c r="O1555" t="s">
        <v>3539</v>
      </c>
      <c r="P1555">
        <v>1.7</v>
      </c>
    </row>
    <row r="1556" spans="1:16" x14ac:dyDescent="0.3">
      <c r="A1556" t="s">
        <v>29</v>
      </c>
      <c r="B1556" t="s">
        <v>22</v>
      </c>
      <c r="C1556" t="s">
        <v>23</v>
      </c>
      <c r="D1556" t="s">
        <v>363</v>
      </c>
      <c r="E1556" t="s">
        <v>569</v>
      </c>
      <c r="F1556" t="s">
        <v>11</v>
      </c>
      <c r="G1556" t="s">
        <v>641</v>
      </c>
      <c r="H1556" t="s">
        <v>572</v>
      </c>
      <c r="I1556">
        <v>56</v>
      </c>
      <c r="J1556">
        <v>0.82483370288248348</v>
      </c>
      <c r="K1556">
        <v>0.81222707423580787</v>
      </c>
      <c r="L1556">
        <v>0.83783783783783783</v>
      </c>
      <c r="M1556" t="s">
        <v>60</v>
      </c>
      <c r="N1556" t="s">
        <v>3540</v>
      </c>
      <c r="O1556" t="s">
        <v>3541</v>
      </c>
      <c r="P1556">
        <v>1.6</v>
      </c>
    </row>
    <row r="1557" spans="1:16" x14ac:dyDescent="0.3">
      <c r="A1557" t="s">
        <v>29</v>
      </c>
      <c r="B1557" t="s">
        <v>22</v>
      </c>
      <c r="C1557" t="s">
        <v>23</v>
      </c>
      <c r="D1557" t="s">
        <v>363</v>
      </c>
      <c r="E1557" t="s">
        <v>569</v>
      </c>
      <c r="F1557" t="s">
        <v>11</v>
      </c>
      <c r="G1557" t="s">
        <v>646</v>
      </c>
      <c r="H1557" t="s">
        <v>572</v>
      </c>
      <c r="I1557">
        <v>57</v>
      </c>
      <c r="J1557">
        <v>0.81758241758241768</v>
      </c>
      <c r="K1557">
        <v>0.79828326180257514</v>
      </c>
      <c r="L1557">
        <v>0.83783783783783783</v>
      </c>
      <c r="M1557" t="s">
        <v>60</v>
      </c>
      <c r="N1557" t="s">
        <v>3542</v>
      </c>
      <c r="O1557" t="s">
        <v>3543</v>
      </c>
      <c r="P1557">
        <v>1.4</v>
      </c>
    </row>
    <row r="1558" spans="1:16" x14ac:dyDescent="0.3">
      <c r="A1558" t="s">
        <v>29</v>
      </c>
      <c r="B1558" t="s">
        <v>22</v>
      </c>
      <c r="C1558" t="s">
        <v>23</v>
      </c>
      <c r="D1558" t="s">
        <v>363</v>
      </c>
      <c r="E1558" t="s">
        <v>569</v>
      </c>
      <c r="F1558" t="s">
        <v>11</v>
      </c>
      <c r="G1558" t="s">
        <v>651</v>
      </c>
      <c r="H1558" t="s">
        <v>572</v>
      </c>
      <c r="I1558">
        <v>58</v>
      </c>
      <c r="J1558">
        <v>0.80973451327433632</v>
      </c>
      <c r="K1558">
        <v>0.79565217391304344</v>
      </c>
      <c r="L1558">
        <v>0.82432432432432434</v>
      </c>
      <c r="M1558" t="s">
        <v>60</v>
      </c>
      <c r="N1558" t="s">
        <v>3544</v>
      </c>
      <c r="O1558" t="s">
        <v>3545</v>
      </c>
      <c r="P1558">
        <v>1.4</v>
      </c>
    </row>
    <row r="1559" spans="1:16" x14ac:dyDescent="0.3">
      <c r="A1559" t="s">
        <v>29</v>
      </c>
      <c r="B1559" t="s">
        <v>22</v>
      </c>
      <c r="C1559" t="s">
        <v>23</v>
      </c>
      <c r="D1559" t="s">
        <v>363</v>
      </c>
      <c r="E1559" t="s">
        <v>569</v>
      </c>
      <c r="F1559" t="s">
        <v>11</v>
      </c>
      <c r="G1559" t="s">
        <v>656</v>
      </c>
      <c r="H1559" t="s">
        <v>572</v>
      </c>
      <c r="I1559">
        <v>59</v>
      </c>
      <c r="J1559">
        <v>0.84070796460176989</v>
      </c>
      <c r="K1559">
        <v>0.82608695652173914</v>
      </c>
      <c r="L1559">
        <v>0.85585585585585588</v>
      </c>
      <c r="M1559" t="s">
        <v>60</v>
      </c>
      <c r="N1559" t="s">
        <v>3546</v>
      </c>
      <c r="O1559" t="s">
        <v>3545</v>
      </c>
      <c r="P1559">
        <v>0.8</v>
      </c>
    </row>
    <row r="1560" spans="1:16" x14ac:dyDescent="0.3">
      <c r="A1560" t="s">
        <v>29</v>
      </c>
      <c r="B1560" t="s">
        <v>22</v>
      </c>
      <c r="C1560" t="s">
        <v>23</v>
      </c>
      <c r="D1560" t="s">
        <v>363</v>
      </c>
      <c r="E1560" t="s">
        <v>569</v>
      </c>
      <c r="F1560" t="s">
        <v>11</v>
      </c>
      <c r="G1560" t="s">
        <v>661</v>
      </c>
      <c r="H1560" t="s">
        <v>572</v>
      </c>
      <c r="I1560">
        <v>60</v>
      </c>
      <c r="J1560">
        <v>0.82819383259911894</v>
      </c>
      <c r="K1560">
        <v>0.81034482758620685</v>
      </c>
      <c r="L1560">
        <v>0.84684684684684686</v>
      </c>
      <c r="M1560" t="s">
        <v>60</v>
      </c>
      <c r="N1560" t="s">
        <v>3547</v>
      </c>
      <c r="O1560" t="s">
        <v>3548</v>
      </c>
      <c r="P1560">
        <v>0.8</v>
      </c>
    </row>
    <row r="1561" spans="1:16" x14ac:dyDescent="0.3">
      <c r="A1561" t="s">
        <v>29</v>
      </c>
      <c r="B1561" t="s">
        <v>22</v>
      </c>
      <c r="C1561" t="s">
        <v>23</v>
      </c>
      <c r="D1561" t="s">
        <v>363</v>
      </c>
      <c r="E1561" t="s">
        <v>569</v>
      </c>
      <c r="F1561" t="s">
        <v>11</v>
      </c>
      <c r="G1561" t="s">
        <v>666</v>
      </c>
      <c r="H1561" t="s">
        <v>572</v>
      </c>
      <c r="I1561">
        <v>61</v>
      </c>
      <c r="J1561">
        <v>0.84210526315789469</v>
      </c>
      <c r="K1561">
        <v>0.82051282051282048</v>
      </c>
      <c r="L1561">
        <v>0.86486486486486491</v>
      </c>
      <c r="M1561" t="s">
        <v>60</v>
      </c>
      <c r="N1561" t="s">
        <v>3549</v>
      </c>
      <c r="O1561" t="s">
        <v>3550</v>
      </c>
      <c r="P1561">
        <v>1.2</v>
      </c>
    </row>
    <row r="1562" spans="1:16" x14ac:dyDescent="0.3">
      <c r="A1562" t="s">
        <v>29</v>
      </c>
      <c r="B1562" t="s">
        <v>24</v>
      </c>
      <c r="C1562" t="s">
        <v>25</v>
      </c>
      <c r="D1562" t="s">
        <v>54</v>
      </c>
      <c r="E1562" t="s">
        <v>56</v>
      </c>
      <c r="F1562" t="s">
        <v>7</v>
      </c>
      <c r="G1562" t="s">
        <v>57</v>
      </c>
      <c r="H1562" t="s">
        <v>59</v>
      </c>
      <c r="I1562">
        <v>42</v>
      </c>
      <c r="J1562">
        <v>0.77542372881355937</v>
      </c>
      <c r="K1562">
        <v>0.75619834710743805</v>
      </c>
      <c r="L1562">
        <v>0.79565217391304344</v>
      </c>
      <c r="M1562" t="s">
        <v>60</v>
      </c>
      <c r="N1562" t="s">
        <v>3551</v>
      </c>
      <c r="O1562" t="s">
        <v>3552</v>
      </c>
      <c r="P1562">
        <v>5.8</v>
      </c>
    </row>
    <row r="1563" spans="1:16" x14ac:dyDescent="0.3">
      <c r="A1563" t="s">
        <v>29</v>
      </c>
      <c r="B1563" t="s">
        <v>24</v>
      </c>
      <c r="C1563" t="s">
        <v>25</v>
      </c>
      <c r="D1563" t="s">
        <v>54</v>
      </c>
      <c r="E1563" t="s">
        <v>56</v>
      </c>
      <c r="F1563" t="s">
        <v>7</v>
      </c>
      <c r="G1563" t="s">
        <v>65</v>
      </c>
      <c r="H1563" t="s">
        <v>59</v>
      </c>
      <c r="I1563">
        <v>43</v>
      </c>
      <c r="J1563">
        <v>0.75368421052631573</v>
      </c>
      <c r="K1563">
        <v>0.73061224489795917</v>
      </c>
      <c r="L1563">
        <v>0.77826086956521734</v>
      </c>
      <c r="M1563" t="s">
        <v>60</v>
      </c>
      <c r="N1563" t="s">
        <v>3553</v>
      </c>
      <c r="O1563" t="s">
        <v>3554</v>
      </c>
      <c r="P1563">
        <v>2.9</v>
      </c>
    </row>
    <row r="1564" spans="1:16" x14ac:dyDescent="0.3">
      <c r="A1564" t="s">
        <v>29</v>
      </c>
      <c r="B1564" t="s">
        <v>24</v>
      </c>
      <c r="C1564" t="s">
        <v>25</v>
      </c>
      <c r="D1564" t="s">
        <v>54</v>
      </c>
      <c r="E1564" t="s">
        <v>56</v>
      </c>
      <c r="F1564" t="s">
        <v>7</v>
      </c>
      <c r="G1564" t="s">
        <v>70</v>
      </c>
      <c r="H1564" t="s">
        <v>59</v>
      </c>
      <c r="I1564">
        <v>44</v>
      </c>
      <c r="J1564">
        <v>0.7526427061310782</v>
      </c>
      <c r="K1564">
        <v>0.73251028806584362</v>
      </c>
      <c r="L1564">
        <v>0.77391304347826084</v>
      </c>
      <c r="M1564" t="s">
        <v>60</v>
      </c>
      <c r="N1564" t="s">
        <v>3555</v>
      </c>
      <c r="O1564" t="s">
        <v>3556</v>
      </c>
      <c r="P1564">
        <v>2.5</v>
      </c>
    </row>
    <row r="1565" spans="1:16" x14ac:dyDescent="0.3">
      <c r="A1565" t="s">
        <v>29</v>
      </c>
      <c r="B1565" t="s">
        <v>24</v>
      </c>
      <c r="C1565" t="s">
        <v>25</v>
      </c>
      <c r="D1565" t="s">
        <v>54</v>
      </c>
      <c r="E1565" t="s">
        <v>56</v>
      </c>
      <c r="F1565" t="s">
        <v>7</v>
      </c>
      <c r="G1565" t="s">
        <v>75</v>
      </c>
      <c r="H1565" t="s">
        <v>59</v>
      </c>
      <c r="I1565">
        <v>45</v>
      </c>
      <c r="J1565">
        <v>0.75675675675675669</v>
      </c>
      <c r="K1565">
        <v>0.72509960159362552</v>
      </c>
      <c r="L1565">
        <v>0.79130434782608694</v>
      </c>
      <c r="M1565" t="s">
        <v>60</v>
      </c>
      <c r="N1565" t="s">
        <v>3557</v>
      </c>
      <c r="O1565" t="s">
        <v>3558</v>
      </c>
      <c r="P1565">
        <v>1.9</v>
      </c>
    </row>
    <row r="1566" spans="1:16" x14ac:dyDescent="0.3">
      <c r="A1566" t="s">
        <v>29</v>
      </c>
      <c r="B1566" t="s">
        <v>24</v>
      </c>
      <c r="C1566" t="s">
        <v>25</v>
      </c>
      <c r="D1566" t="s">
        <v>54</v>
      </c>
      <c r="E1566" t="s">
        <v>56</v>
      </c>
      <c r="F1566" t="s">
        <v>7</v>
      </c>
      <c r="G1566" t="s">
        <v>80</v>
      </c>
      <c r="H1566" t="s">
        <v>59</v>
      </c>
      <c r="I1566">
        <v>46</v>
      </c>
      <c r="J1566">
        <v>0.75630252100840334</v>
      </c>
      <c r="K1566">
        <v>0.73170731707317072</v>
      </c>
      <c r="L1566">
        <v>0.78260869565217395</v>
      </c>
      <c r="M1566" t="s">
        <v>60</v>
      </c>
      <c r="N1566" t="s">
        <v>3559</v>
      </c>
      <c r="O1566" t="s">
        <v>3560</v>
      </c>
      <c r="P1566">
        <v>1.9</v>
      </c>
    </row>
    <row r="1567" spans="1:16" x14ac:dyDescent="0.3">
      <c r="A1567" t="s">
        <v>29</v>
      </c>
      <c r="B1567" t="s">
        <v>24</v>
      </c>
      <c r="C1567" t="s">
        <v>25</v>
      </c>
      <c r="D1567" t="s">
        <v>54</v>
      </c>
      <c r="E1567" t="s">
        <v>56</v>
      </c>
      <c r="F1567" t="s">
        <v>7</v>
      </c>
      <c r="G1567" t="s">
        <v>85</v>
      </c>
      <c r="H1567" t="s">
        <v>59</v>
      </c>
      <c r="I1567">
        <v>47</v>
      </c>
      <c r="J1567">
        <v>0.74526315789473685</v>
      </c>
      <c r="K1567">
        <v>0.72244897959183674</v>
      </c>
      <c r="L1567">
        <v>0.76956521739130435</v>
      </c>
      <c r="M1567" t="s">
        <v>60</v>
      </c>
      <c r="N1567" t="s">
        <v>3561</v>
      </c>
      <c r="O1567" t="s">
        <v>3562</v>
      </c>
      <c r="P1567">
        <v>2.2999999999999998</v>
      </c>
    </row>
    <row r="1568" spans="1:16" x14ac:dyDescent="0.3">
      <c r="A1568" t="s">
        <v>29</v>
      </c>
      <c r="B1568" t="s">
        <v>24</v>
      </c>
      <c r="C1568" t="s">
        <v>25</v>
      </c>
      <c r="D1568" t="s">
        <v>54</v>
      </c>
      <c r="E1568" t="s">
        <v>56</v>
      </c>
      <c r="F1568" t="s">
        <v>7</v>
      </c>
      <c r="G1568" t="s">
        <v>90</v>
      </c>
      <c r="H1568" t="s">
        <v>59</v>
      </c>
      <c r="I1568">
        <v>48</v>
      </c>
      <c r="J1568">
        <v>0.7531380753138075</v>
      </c>
      <c r="K1568">
        <v>0.72580645161290325</v>
      </c>
      <c r="L1568">
        <v>0.78260869565217395</v>
      </c>
      <c r="M1568" t="s">
        <v>60</v>
      </c>
      <c r="N1568" t="s">
        <v>3563</v>
      </c>
      <c r="O1568" t="s">
        <v>3564</v>
      </c>
      <c r="P1568">
        <v>1.9</v>
      </c>
    </row>
    <row r="1569" spans="1:16" x14ac:dyDescent="0.3">
      <c r="A1569" t="s">
        <v>29</v>
      </c>
      <c r="B1569" t="s">
        <v>24</v>
      </c>
      <c r="C1569" t="s">
        <v>25</v>
      </c>
      <c r="D1569" t="s">
        <v>54</v>
      </c>
      <c r="E1569" t="s">
        <v>56</v>
      </c>
      <c r="F1569" t="s">
        <v>7</v>
      </c>
      <c r="G1569" t="s">
        <v>95</v>
      </c>
      <c r="H1569" t="s">
        <v>59</v>
      </c>
      <c r="I1569">
        <v>49</v>
      </c>
      <c r="J1569">
        <v>0.73553719008264451</v>
      </c>
      <c r="K1569">
        <v>0.70078740157480313</v>
      </c>
      <c r="L1569">
        <v>0.77391304347826084</v>
      </c>
      <c r="M1569" t="s">
        <v>60</v>
      </c>
      <c r="N1569" t="s">
        <v>3565</v>
      </c>
      <c r="O1569" t="s">
        <v>3566</v>
      </c>
      <c r="P1569">
        <v>2.1</v>
      </c>
    </row>
    <row r="1570" spans="1:16" x14ac:dyDescent="0.3">
      <c r="A1570" t="s">
        <v>29</v>
      </c>
      <c r="B1570" t="s">
        <v>24</v>
      </c>
      <c r="C1570" t="s">
        <v>25</v>
      </c>
      <c r="D1570" t="s">
        <v>54</v>
      </c>
      <c r="E1570" t="s">
        <v>56</v>
      </c>
      <c r="F1570" t="s">
        <v>7</v>
      </c>
      <c r="G1570" t="s">
        <v>100</v>
      </c>
      <c r="H1570" t="s">
        <v>59</v>
      </c>
      <c r="I1570">
        <v>50</v>
      </c>
      <c r="J1570">
        <v>0.74947368421052629</v>
      </c>
      <c r="K1570">
        <v>0.72653061224489801</v>
      </c>
      <c r="L1570">
        <v>0.77391304347826084</v>
      </c>
      <c r="M1570" t="s">
        <v>60</v>
      </c>
      <c r="N1570" t="s">
        <v>3567</v>
      </c>
      <c r="O1570" t="s">
        <v>3568</v>
      </c>
      <c r="P1570">
        <v>2.2999999999999998</v>
      </c>
    </row>
    <row r="1571" spans="1:16" x14ac:dyDescent="0.3">
      <c r="A1571" t="s">
        <v>29</v>
      </c>
      <c r="B1571" t="s">
        <v>24</v>
      </c>
      <c r="C1571" t="s">
        <v>25</v>
      </c>
      <c r="D1571" t="s">
        <v>54</v>
      </c>
      <c r="E1571" t="s">
        <v>56</v>
      </c>
      <c r="F1571" t="s">
        <v>7</v>
      </c>
      <c r="G1571" t="s">
        <v>105</v>
      </c>
      <c r="H1571" t="s">
        <v>59</v>
      </c>
      <c r="I1571">
        <v>51</v>
      </c>
      <c r="J1571">
        <v>0.7463917525773196</v>
      </c>
      <c r="K1571">
        <v>0.70980392156862748</v>
      </c>
      <c r="L1571">
        <v>0.78695652173913044</v>
      </c>
      <c r="M1571" t="s">
        <v>60</v>
      </c>
      <c r="N1571" t="s">
        <v>3569</v>
      </c>
      <c r="O1571" t="s">
        <v>3570</v>
      </c>
      <c r="P1571">
        <v>2.1</v>
      </c>
    </row>
    <row r="1572" spans="1:16" x14ac:dyDescent="0.3">
      <c r="A1572" t="s">
        <v>29</v>
      </c>
      <c r="B1572" t="s">
        <v>24</v>
      </c>
      <c r="C1572" t="s">
        <v>25</v>
      </c>
      <c r="D1572" t="s">
        <v>54</v>
      </c>
      <c r="E1572" t="s">
        <v>56</v>
      </c>
      <c r="F1572" t="s">
        <v>7</v>
      </c>
      <c r="G1572" t="s">
        <v>110</v>
      </c>
      <c r="H1572" t="s">
        <v>59</v>
      </c>
      <c r="I1572">
        <v>52</v>
      </c>
      <c r="J1572">
        <v>0.76050420168067223</v>
      </c>
      <c r="K1572">
        <v>0.73577235772357719</v>
      </c>
      <c r="L1572">
        <v>0.78695652173913044</v>
      </c>
      <c r="M1572" t="s">
        <v>60</v>
      </c>
      <c r="N1572" t="s">
        <v>3571</v>
      </c>
      <c r="O1572" t="s">
        <v>3572</v>
      </c>
      <c r="P1572">
        <v>1.9</v>
      </c>
    </row>
    <row r="1573" spans="1:16" x14ac:dyDescent="0.3">
      <c r="A1573" t="s">
        <v>29</v>
      </c>
      <c r="B1573" t="s">
        <v>24</v>
      </c>
      <c r="C1573" t="s">
        <v>25</v>
      </c>
      <c r="D1573" t="s">
        <v>54</v>
      </c>
      <c r="E1573" t="s">
        <v>56</v>
      </c>
      <c r="F1573" t="s">
        <v>7</v>
      </c>
      <c r="G1573" t="s">
        <v>115</v>
      </c>
      <c r="H1573" t="s">
        <v>59</v>
      </c>
      <c r="I1573">
        <v>53</v>
      </c>
      <c r="J1573">
        <v>0.77731092436974802</v>
      </c>
      <c r="K1573">
        <v>0.75203252032520329</v>
      </c>
      <c r="L1573">
        <v>0.80434782608695654</v>
      </c>
      <c r="M1573" t="s">
        <v>60</v>
      </c>
      <c r="N1573" t="s">
        <v>3573</v>
      </c>
      <c r="O1573" t="s">
        <v>3574</v>
      </c>
      <c r="P1573">
        <v>1.9</v>
      </c>
    </row>
    <row r="1574" spans="1:16" x14ac:dyDescent="0.3">
      <c r="A1574" t="s">
        <v>29</v>
      </c>
      <c r="B1574" t="s">
        <v>24</v>
      </c>
      <c r="C1574" t="s">
        <v>25</v>
      </c>
      <c r="D1574" t="s">
        <v>54</v>
      </c>
      <c r="E1574" t="s">
        <v>56</v>
      </c>
      <c r="F1574" t="s">
        <v>7</v>
      </c>
      <c r="G1574" t="s">
        <v>120</v>
      </c>
      <c r="H1574" t="s">
        <v>59</v>
      </c>
      <c r="I1574">
        <v>54</v>
      </c>
      <c r="J1574">
        <v>0.7337526205450734</v>
      </c>
      <c r="K1574">
        <v>0.708502024291498</v>
      </c>
      <c r="L1574">
        <v>0.76086956521739135</v>
      </c>
      <c r="M1574" t="s">
        <v>60</v>
      </c>
      <c r="N1574" t="s">
        <v>3575</v>
      </c>
      <c r="O1574" t="s">
        <v>3576</v>
      </c>
      <c r="P1574">
        <v>2.2000000000000002</v>
      </c>
    </row>
    <row r="1575" spans="1:16" x14ac:dyDescent="0.3">
      <c r="A1575" t="s">
        <v>29</v>
      </c>
      <c r="B1575" t="s">
        <v>24</v>
      </c>
      <c r="C1575" t="s">
        <v>25</v>
      </c>
      <c r="D1575" t="s">
        <v>54</v>
      </c>
      <c r="E1575" t="s">
        <v>56</v>
      </c>
      <c r="F1575" t="s">
        <v>7</v>
      </c>
      <c r="G1575" t="s">
        <v>125</v>
      </c>
      <c r="H1575" t="s">
        <v>59</v>
      </c>
      <c r="I1575">
        <v>55</v>
      </c>
      <c r="J1575">
        <v>0.75641025641025639</v>
      </c>
      <c r="K1575">
        <v>0.74369747899159666</v>
      </c>
      <c r="L1575">
        <v>0.76956521739130435</v>
      </c>
      <c r="M1575" t="s">
        <v>60</v>
      </c>
      <c r="N1575" t="s">
        <v>3577</v>
      </c>
      <c r="O1575" t="s">
        <v>3578</v>
      </c>
      <c r="P1575">
        <v>1.9</v>
      </c>
    </row>
    <row r="1576" spans="1:16" x14ac:dyDescent="0.3">
      <c r="A1576" t="s">
        <v>29</v>
      </c>
      <c r="B1576" t="s">
        <v>24</v>
      </c>
      <c r="C1576" t="s">
        <v>25</v>
      </c>
      <c r="D1576" t="s">
        <v>54</v>
      </c>
      <c r="E1576" t="s">
        <v>56</v>
      </c>
      <c r="F1576" t="s">
        <v>7</v>
      </c>
      <c r="G1576" t="s">
        <v>130</v>
      </c>
      <c r="H1576" t="s">
        <v>59</v>
      </c>
      <c r="I1576">
        <v>56</v>
      </c>
      <c r="J1576">
        <v>0.75619834710743794</v>
      </c>
      <c r="K1576">
        <v>0.72047244094488194</v>
      </c>
      <c r="L1576">
        <v>0.79565217391304344</v>
      </c>
      <c r="M1576" t="s">
        <v>60</v>
      </c>
      <c r="N1576" t="s">
        <v>3579</v>
      </c>
      <c r="O1576" t="s">
        <v>3580</v>
      </c>
      <c r="P1576">
        <v>1.9</v>
      </c>
    </row>
    <row r="1577" spans="1:16" x14ac:dyDescent="0.3">
      <c r="A1577" t="s">
        <v>29</v>
      </c>
      <c r="B1577" t="s">
        <v>24</v>
      </c>
      <c r="C1577" t="s">
        <v>25</v>
      </c>
      <c r="D1577" t="s">
        <v>54</v>
      </c>
      <c r="E1577" t="s">
        <v>56</v>
      </c>
      <c r="F1577" t="s">
        <v>7</v>
      </c>
      <c r="G1577" t="s">
        <v>135</v>
      </c>
      <c r="H1577" t="s">
        <v>59</v>
      </c>
      <c r="I1577">
        <v>57</v>
      </c>
      <c r="J1577">
        <v>0.74948240165631463</v>
      </c>
      <c r="K1577">
        <v>0.71541501976284583</v>
      </c>
      <c r="L1577">
        <v>0.78695652173913044</v>
      </c>
      <c r="M1577" t="s">
        <v>60</v>
      </c>
      <c r="N1577" t="s">
        <v>3581</v>
      </c>
      <c r="O1577" t="s">
        <v>3582</v>
      </c>
      <c r="P1577">
        <v>2.2000000000000002</v>
      </c>
    </row>
    <row r="1578" spans="1:16" x14ac:dyDescent="0.3">
      <c r="A1578" t="s">
        <v>29</v>
      </c>
      <c r="B1578" t="s">
        <v>24</v>
      </c>
      <c r="C1578" t="s">
        <v>25</v>
      </c>
      <c r="D1578" t="s">
        <v>54</v>
      </c>
      <c r="E1578" t="s">
        <v>56</v>
      </c>
      <c r="F1578" t="s">
        <v>7</v>
      </c>
      <c r="G1578" t="s">
        <v>140</v>
      </c>
      <c r="H1578" t="s">
        <v>59</v>
      </c>
      <c r="I1578">
        <v>58</v>
      </c>
      <c r="J1578">
        <v>0.74058577405857751</v>
      </c>
      <c r="K1578">
        <v>0.71370967741935487</v>
      </c>
      <c r="L1578">
        <v>0.76956521739130435</v>
      </c>
      <c r="M1578" t="s">
        <v>60</v>
      </c>
      <c r="N1578" t="s">
        <v>3583</v>
      </c>
      <c r="O1578" t="s">
        <v>3584</v>
      </c>
      <c r="P1578">
        <v>1.9</v>
      </c>
    </row>
    <row r="1579" spans="1:16" x14ac:dyDescent="0.3">
      <c r="A1579" t="s">
        <v>29</v>
      </c>
      <c r="B1579" t="s">
        <v>24</v>
      </c>
      <c r="C1579" t="s">
        <v>25</v>
      </c>
      <c r="D1579" t="s">
        <v>54</v>
      </c>
      <c r="E1579" t="s">
        <v>56</v>
      </c>
      <c r="F1579" t="s">
        <v>7</v>
      </c>
      <c r="G1579" t="s">
        <v>145</v>
      </c>
      <c r="H1579" t="s">
        <v>59</v>
      </c>
      <c r="I1579">
        <v>59</v>
      </c>
      <c r="J1579">
        <v>0.73903966597077242</v>
      </c>
      <c r="K1579">
        <v>0.71084337349397586</v>
      </c>
      <c r="L1579">
        <v>0.76956521739130435</v>
      </c>
      <c r="M1579" t="s">
        <v>60</v>
      </c>
      <c r="N1579" t="s">
        <v>3585</v>
      </c>
      <c r="O1579" t="s">
        <v>3586</v>
      </c>
      <c r="P1579">
        <v>1.8</v>
      </c>
    </row>
    <row r="1580" spans="1:16" x14ac:dyDescent="0.3">
      <c r="A1580" t="s">
        <v>29</v>
      </c>
      <c r="B1580" t="s">
        <v>24</v>
      </c>
      <c r="C1580" t="s">
        <v>25</v>
      </c>
      <c r="D1580" t="s">
        <v>54</v>
      </c>
      <c r="E1580" t="s">
        <v>56</v>
      </c>
      <c r="F1580" t="s">
        <v>7</v>
      </c>
      <c r="G1580" t="s">
        <v>150</v>
      </c>
      <c r="H1580" t="s">
        <v>59</v>
      </c>
      <c r="I1580">
        <v>60</v>
      </c>
      <c r="J1580">
        <v>0.76759061833688702</v>
      </c>
      <c r="K1580">
        <v>0.7531380753138075</v>
      </c>
      <c r="L1580">
        <v>0.78260869565217395</v>
      </c>
      <c r="M1580" t="s">
        <v>60</v>
      </c>
      <c r="N1580" t="s">
        <v>3587</v>
      </c>
      <c r="O1580" t="s">
        <v>3588</v>
      </c>
      <c r="P1580">
        <v>2.2999999999999998</v>
      </c>
    </row>
    <row r="1581" spans="1:16" x14ac:dyDescent="0.3">
      <c r="A1581" t="s">
        <v>29</v>
      </c>
      <c r="B1581" t="s">
        <v>24</v>
      </c>
      <c r="C1581" t="s">
        <v>25</v>
      </c>
      <c r="D1581" t="s">
        <v>54</v>
      </c>
      <c r="E1581" t="s">
        <v>56</v>
      </c>
      <c r="F1581" t="s">
        <v>7</v>
      </c>
      <c r="G1581" t="s">
        <v>155</v>
      </c>
      <c r="H1581" t="s">
        <v>59</v>
      </c>
      <c r="I1581">
        <v>61</v>
      </c>
      <c r="J1581">
        <v>0.74678111587982843</v>
      </c>
      <c r="K1581">
        <v>0.73728813559322037</v>
      </c>
      <c r="L1581">
        <v>0.75652173913043474</v>
      </c>
      <c r="M1581" t="s">
        <v>60</v>
      </c>
      <c r="N1581" t="s">
        <v>3589</v>
      </c>
      <c r="O1581" t="s">
        <v>3590</v>
      </c>
      <c r="P1581">
        <v>1.8</v>
      </c>
    </row>
    <row r="1582" spans="1:16" x14ac:dyDescent="0.3">
      <c r="A1582" t="s">
        <v>29</v>
      </c>
      <c r="B1582" t="s">
        <v>24</v>
      </c>
      <c r="C1582" t="s">
        <v>25</v>
      </c>
      <c r="D1582" t="s">
        <v>54</v>
      </c>
      <c r="E1582" t="s">
        <v>160</v>
      </c>
      <c r="F1582" t="s">
        <v>3</v>
      </c>
      <c r="G1582" t="s">
        <v>161</v>
      </c>
      <c r="H1582" t="s">
        <v>163</v>
      </c>
      <c r="I1582">
        <v>42</v>
      </c>
      <c r="J1582">
        <v>0.76323119777158777</v>
      </c>
      <c r="K1582">
        <v>0.72105263157894739</v>
      </c>
      <c r="L1582">
        <v>0.81065088757396453</v>
      </c>
      <c r="M1582" t="s">
        <v>60</v>
      </c>
      <c r="N1582" t="s">
        <v>3591</v>
      </c>
      <c r="O1582" t="s">
        <v>3592</v>
      </c>
      <c r="P1582">
        <v>1.7</v>
      </c>
    </row>
    <row r="1583" spans="1:16" x14ac:dyDescent="0.3">
      <c r="A1583" t="s">
        <v>29</v>
      </c>
      <c r="B1583" t="s">
        <v>24</v>
      </c>
      <c r="C1583" t="s">
        <v>25</v>
      </c>
      <c r="D1583" t="s">
        <v>54</v>
      </c>
      <c r="E1583" t="s">
        <v>160</v>
      </c>
      <c r="F1583" t="s">
        <v>3</v>
      </c>
      <c r="G1583" t="s">
        <v>167</v>
      </c>
      <c r="H1583" t="s">
        <v>163</v>
      </c>
      <c r="I1583">
        <v>43</v>
      </c>
      <c r="J1583">
        <v>0.7584269662921348</v>
      </c>
      <c r="K1583">
        <v>0.72192513368983957</v>
      </c>
      <c r="L1583">
        <v>0.79881656804733725</v>
      </c>
      <c r="M1583" t="s">
        <v>60</v>
      </c>
      <c r="N1583" t="s">
        <v>3593</v>
      </c>
      <c r="O1583" t="s">
        <v>3594</v>
      </c>
      <c r="P1583">
        <v>2.1</v>
      </c>
    </row>
    <row r="1584" spans="1:16" x14ac:dyDescent="0.3">
      <c r="A1584" t="s">
        <v>29</v>
      </c>
      <c r="B1584" t="s">
        <v>24</v>
      </c>
      <c r="C1584" t="s">
        <v>25</v>
      </c>
      <c r="D1584" t="s">
        <v>54</v>
      </c>
      <c r="E1584" t="s">
        <v>160</v>
      </c>
      <c r="F1584" t="s">
        <v>3</v>
      </c>
      <c r="G1584" t="s">
        <v>172</v>
      </c>
      <c r="H1584" t="s">
        <v>163</v>
      </c>
      <c r="I1584">
        <v>44</v>
      </c>
      <c r="J1584">
        <v>0.76056338028169013</v>
      </c>
      <c r="K1584">
        <v>0.72580645161290325</v>
      </c>
      <c r="L1584">
        <v>0.79881656804733725</v>
      </c>
      <c r="M1584" t="s">
        <v>60</v>
      </c>
      <c r="N1584" t="s">
        <v>3595</v>
      </c>
      <c r="O1584" t="s">
        <v>3596</v>
      </c>
      <c r="P1584">
        <v>1.7</v>
      </c>
    </row>
    <row r="1585" spans="1:16" x14ac:dyDescent="0.3">
      <c r="A1585" t="s">
        <v>29</v>
      </c>
      <c r="B1585" t="s">
        <v>24</v>
      </c>
      <c r="C1585" t="s">
        <v>25</v>
      </c>
      <c r="D1585" t="s">
        <v>54</v>
      </c>
      <c r="E1585" t="s">
        <v>160</v>
      </c>
      <c r="F1585" t="s">
        <v>3</v>
      </c>
      <c r="G1585" t="s">
        <v>177</v>
      </c>
      <c r="H1585" t="s">
        <v>163</v>
      </c>
      <c r="I1585">
        <v>45</v>
      </c>
      <c r="J1585">
        <v>0.75070028011204482</v>
      </c>
      <c r="K1585">
        <v>0.71276595744680848</v>
      </c>
      <c r="L1585">
        <v>0.79289940828402372</v>
      </c>
      <c r="M1585" t="s">
        <v>60</v>
      </c>
      <c r="N1585" t="s">
        <v>3597</v>
      </c>
      <c r="O1585" t="s">
        <v>3598</v>
      </c>
      <c r="P1585">
        <v>1.7</v>
      </c>
    </row>
    <row r="1586" spans="1:16" x14ac:dyDescent="0.3">
      <c r="A1586" t="s">
        <v>29</v>
      </c>
      <c r="B1586" t="s">
        <v>24</v>
      </c>
      <c r="C1586" t="s">
        <v>25</v>
      </c>
      <c r="D1586" t="s">
        <v>54</v>
      </c>
      <c r="E1586" t="s">
        <v>160</v>
      </c>
      <c r="F1586" t="s">
        <v>3</v>
      </c>
      <c r="G1586" t="s">
        <v>182</v>
      </c>
      <c r="H1586" t="s">
        <v>163</v>
      </c>
      <c r="I1586">
        <v>46</v>
      </c>
      <c r="J1586">
        <v>0.76217765042979946</v>
      </c>
      <c r="K1586">
        <v>0.73888888888888893</v>
      </c>
      <c r="L1586">
        <v>0.78698224852071008</v>
      </c>
      <c r="M1586" t="s">
        <v>60</v>
      </c>
      <c r="N1586" t="s">
        <v>3599</v>
      </c>
      <c r="O1586" t="s">
        <v>3600</v>
      </c>
      <c r="P1586">
        <v>2.1</v>
      </c>
    </row>
    <row r="1587" spans="1:16" x14ac:dyDescent="0.3">
      <c r="A1587" t="s">
        <v>29</v>
      </c>
      <c r="B1587" t="s">
        <v>24</v>
      </c>
      <c r="C1587" t="s">
        <v>25</v>
      </c>
      <c r="D1587" t="s">
        <v>54</v>
      </c>
      <c r="E1587" t="s">
        <v>160</v>
      </c>
      <c r="F1587" t="s">
        <v>3</v>
      </c>
      <c r="G1587" t="s">
        <v>187</v>
      </c>
      <c r="H1587" t="s">
        <v>163</v>
      </c>
      <c r="I1587">
        <v>47</v>
      </c>
      <c r="J1587">
        <v>0.77310924369747902</v>
      </c>
      <c r="K1587">
        <v>0.73404255319148937</v>
      </c>
      <c r="L1587">
        <v>0.81656804733727806</v>
      </c>
      <c r="M1587" t="s">
        <v>60</v>
      </c>
      <c r="N1587" t="s">
        <v>3601</v>
      </c>
      <c r="O1587" t="s">
        <v>3602</v>
      </c>
      <c r="P1587">
        <v>1.7</v>
      </c>
    </row>
    <row r="1588" spans="1:16" x14ac:dyDescent="0.3">
      <c r="A1588" t="s">
        <v>29</v>
      </c>
      <c r="B1588" t="s">
        <v>24</v>
      </c>
      <c r="C1588" t="s">
        <v>25</v>
      </c>
      <c r="D1588" t="s">
        <v>54</v>
      </c>
      <c r="E1588" t="s">
        <v>160</v>
      </c>
      <c r="F1588" t="s">
        <v>3</v>
      </c>
      <c r="G1588" t="s">
        <v>192</v>
      </c>
      <c r="H1588" t="s">
        <v>163</v>
      </c>
      <c r="I1588">
        <v>48</v>
      </c>
      <c r="J1588">
        <v>0.73949579831932766</v>
      </c>
      <c r="K1588">
        <v>0.7021276595744681</v>
      </c>
      <c r="L1588">
        <v>0.78106508875739644</v>
      </c>
      <c r="M1588" t="s">
        <v>60</v>
      </c>
      <c r="N1588" t="s">
        <v>3603</v>
      </c>
      <c r="O1588" t="s">
        <v>3604</v>
      </c>
      <c r="P1588">
        <v>1.7</v>
      </c>
    </row>
    <row r="1589" spans="1:16" x14ac:dyDescent="0.3">
      <c r="A1589" t="s">
        <v>29</v>
      </c>
      <c r="B1589" t="s">
        <v>24</v>
      </c>
      <c r="C1589" t="s">
        <v>25</v>
      </c>
      <c r="D1589" t="s">
        <v>54</v>
      </c>
      <c r="E1589" t="s">
        <v>160</v>
      </c>
      <c r="F1589" t="s">
        <v>3</v>
      </c>
      <c r="G1589" t="s">
        <v>197</v>
      </c>
      <c r="H1589" t="s">
        <v>163</v>
      </c>
      <c r="I1589">
        <v>49</v>
      </c>
      <c r="J1589">
        <v>0.75274725274725274</v>
      </c>
      <c r="K1589">
        <v>0.70256410256410251</v>
      </c>
      <c r="L1589">
        <v>0.81065088757396453</v>
      </c>
      <c r="M1589" t="s">
        <v>60</v>
      </c>
      <c r="N1589" t="s">
        <v>3605</v>
      </c>
      <c r="O1589" t="s">
        <v>3606</v>
      </c>
      <c r="P1589">
        <v>1.7</v>
      </c>
    </row>
    <row r="1590" spans="1:16" x14ac:dyDescent="0.3">
      <c r="A1590" t="s">
        <v>29</v>
      </c>
      <c r="B1590" t="s">
        <v>24</v>
      </c>
      <c r="C1590" t="s">
        <v>25</v>
      </c>
      <c r="D1590" t="s">
        <v>54</v>
      </c>
      <c r="E1590" t="s">
        <v>160</v>
      </c>
      <c r="F1590" t="s">
        <v>3</v>
      </c>
      <c r="G1590" t="s">
        <v>202</v>
      </c>
      <c r="H1590" t="s">
        <v>163</v>
      </c>
      <c r="I1590">
        <v>50</v>
      </c>
      <c r="J1590">
        <v>0.76666666666666661</v>
      </c>
      <c r="K1590">
        <v>0.72251308900523559</v>
      </c>
      <c r="L1590">
        <v>0.81656804733727806</v>
      </c>
      <c r="M1590" t="s">
        <v>60</v>
      </c>
      <c r="N1590" t="s">
        <v>3607</v>
      </c>
      <c r="O1590" t="s">
        <v>3608</v>
      </c>
      <c r="P1590">
        <v>2.1</v>
      </c>
    </row>
    <row r="1591" spans="1:16" x14ac:dyDescent="0.3">
      <c r="A1591" t="s">
        <v>29</v>
      </c>
      <c r="B1591" t="s">
        <v>24</v>
      </c>
      <c r="C1591" t="s">
        <v>25</v>
      </c>
      <c r="D1591" t="s">
        <v>54</v>
      </c>
      <c r="E1591" t="s">
        <v>160</v>
      </c>
      <c r="F1591" t="s">
        <v>3</v>
      </c>
      <c r="G1591" t="s">
        <v>207</v>
      </c>
      <c r="H1591" t="s">
        <v>163</v>
      </c>
      <c r="I1591">
        <v>51</v>
      </c>
      <c r="J1591">
        <v>0.76536312849162003</v>
      </c>
      <c r="K1591">
        <v>0.72486772486772488</v>
      </c>
      <c r="L1591">
        <v>0.81065088757396453</v>
      </c>
      <c r="M1591" t="s">
        <v>60</v>
      </c>
      <c r="N1591" t="s">
        <v>3609</v>
      </c>
      <c r="O1591" t="s">
        <v>3610</v>
      </c>
      <c r="P1591">
        <v>1.7</v>
      </c>
    </row>
    <row r="1592" spans="1:16" x14ac:dyDescent="0.3">
      <c r="A1592" t="s">
        <v>29</v>
      </c>
      <c r="B1592" t="s">
        <v>24</v>
      </c>
      <c r="C1592" t="s">
        <v>25</v>
      </c>
      <c r="D1592" t="s">
        <v>54</v>
      </c>
      <c r="E1592" t="s">
        <v>160</v>
      </c>
      <c r="F1592" t="s">
        <v>3</v>
      </c>
      <c r="G1592" t="s">
        <v>212</v>
      </c>
      <c r="H1592" t="s">
        <v>163</v>
      </c>
      <c r="I1592">
        <v>52</v>
      </c>
      <c r="J1592">
        <v>0.75766016713091922</v>
      </c>
      <c r="K1592">
        <v>0.71578947368421053</v>
      </c>
      <c r="L1592">
        <v>0.80473372781065089</v>
      </c>
      <c r="M1592" t="s">
        <v>60</v>
      </c>
      <c r="N1592" t="s">
        <v>3611</v>
      </c>
      <c r="O1592" t="s">
        <v>3612</v>
      </c>
      <c r="P1592">
        <v>1.7</v>
      </c>
    </row>
    <row r="1593" spans="1:16" x14ac:dyDescent="0.3">
      <c r="A1593" t="s">
        <v>29</v>
      </c>
      <c r="B1593" t="s">
        <v>24</v>
      </c>
      <c r="C1593" t="s">
        <v>25</v>
      </c>
      <c r="D1593" t="s">
        <v>54</v>
      </c>
      <c r="E1593" t="s">
        <v>160</v>
      </c>
      <c r="F1593" t="s">
        <v>3</v>
      </c>
      <c r="G1593" t="s">
        <v>217</v>
      </c>
      <c r="H1593" t="s">
        <v>163</v>
      </c>
      <c r="I1593">
        <v>53</v>
      </c>
      <c r="J1593">
        <v>0.75280898876404501</v>
      </c>
      <c r="K1593">
        <v>0.71657754010695185</v>
      </c>
      <c r="L1593">
        <v>0.79289940828402372</v>
      </c>
      <c r="M1593" t="s">
        <v>60</v>
      </c>
      <c r="N1593" t="s">
        <v>3613</v>
      </c>
      <c r="O1593" t="s">
        <v>3614</v>
      </c>
      <c r="P1593">
        <v>2.1</v>
      </c>
    </row>
    <row r="1594" spans="1:16" x14ac:dyDescent="0.3">
      <c r="A1594" t="s">
        <v>29</v>
      </c>
      <c r="B1594" t="s">
        <v>24</v>
      </c>
      <c r="C1594" t="s">
        <v>25</v>
      </c>
      <c r="D1594" t="s">
        <v>54</v>
      </c>
      <c r="E1594" t="s">
        <v>160</v>
      </c>
      <c r="F1594" t="s">
        <v>3</v>
      </c>
      <c r="G1594" t="s">
        <v>222</v>
      </c>
      <c r="H1594" t="s">
        <v>163</v>
      </c>
      <c r="I1594">
        <v>54</v>
      </c>
      <c r="J1594">
        <v>0.76323119777158777</v>
      </c>
      <c r="K1594">
        <v>0.72105263157894739</v>
      </c>
      <c r="L1594">
        <v>0.81065088757396453</v>
      </c>
      <c r="M1594" t="s">
        <v>60</v>
      </c>
      <c r="N1594" t="s">
        <v>3615</v>
      </c>
      <c r="O1594" t="s">
        <v>3616</v>
      </c>
      <c r="P1594">
        <v>1.7</v>
      </c>
    </row>
    <row r="1595" spans="1:16" x14ac:dyDescent="0.3">
      <c r="A1595" t="s">
        <v>29</v>
      </c>
      <c r="B1595" t="s">
        <v>24</v>
      </c>
      <c r="C1595" t="s">
        <v>25</v>
      </c>
      <c r="D1595" t="s">
        <v>54</v>
      </c>
      <c r="E1595" t="s">
        <v>160</v>
      </c>
      <c r="F1595" t="s">
        <v>3</v>
      </c>
      <c r="G1595" t="s">
        <v>227</v>
      </c>
      <c r="H1595" t="s">
        <v>163</v>
      </c>
      <c r="I1595">
        <v>55</v>
      </c>
      <c r="J1595">
        <v>0.78431372549019607</v>
      </c>
      <c r="K1595">
        <v>0.74468085106382975</v>
      </c>
      <c r="L1595">
        <v>0.82840236686390534</v>
      </c>
      <c r="M1595" t="s">
        <v>60</v>
      </c>
      <c r="N1595" t="s">
        <v>3617</v>
      </c>
      <c r="O1595" t="s">
        <v>3618</v>
      </c>
      <c r="P1595">
        <v>1.7</v>
      </c>
    </row>
    <row r="1596" spans="1:16" x14ac:dyDescent="0.3">
      <c r="A1596" t="s">
        <v>29</v>
      </c>
      <c r="B1596" t="s">
        <v>24</v>
      </c>
      <c r="C1596" t="s">
        <v>25</v>
      </c>
      <c r="D1596" t="s">
        <v>54</v>
      </c>
      <c r="E1596" t="s">
        <v>160</v>
      </c>
      <c r="F1596" t="s">
        <v>3</v>
      </c>
      <c r="G1596" t="s">
        <v>232</v>
      </c>
      <c r="H1596" t="s">
        <v>163</v>
      </c>
      <c r="I1596">
        <v>56</v>
      </c>
      <c r="J1596">
        <v>0.74301675977653636</v>
      </c>
      <c r="K1596">
        <v>0.70370370370370372</v>
      </c>
      <c r="L1596">
        <v>0.78698224852071008</v>
      </c>
      <c r="M1596" t="s">
        <v>60</v>
      </c>
      <c r="N1596" t="s">
        <v>3619</v>
      </c>
      <c r="O1596" t="s">
        <v>3620</v>
      </c>
      <c r="P1596">
        <v>1.7</v>
      </c>
    </row>
    <row r="1597" spans="1:16" x14ac:dyDescent="0.3">
      <c r="A1597" t="s">
        <v>29</v>
      </c>
      <c r="B1597" t="s">
        <v>24</v>
      </c>
      <c r="C1597" t="s">
        <v>25</v>
      </c>
      <c r="D1597" t="s">
        <v>54</v>
      </c>
      <c r="E1597" t="s">
        <v>160</v>
      </c>
      <c r="F1597" t="s">
        <v>3</v>
      </c>
      <c r="G1597" t="s">
        <v>237</v>
      </c>
      <c r="H1597" t="s">
        <v>163</v>
      </c>
      <c r="I1597">
        <v>57</v>
      </c>
      <c r="J1597">
        <v>0.76619718309859164</v>
      </c>
      <c r="K1597">
        <v>0.73118279569892475</v>
      </c>
      <c r="L1597">
        <v>0.80473372781065089</v>
      </c>
      <c r="M1597" t="s">
        <v>60</v>
      </c>
      <c r="N1597" t="s">
        <v>3621</v>
      </c>
      <c r="O1597" t="s">
        <v>3622</v>
      </c>
      <c r="P1597">
        <v>2.8</v>
      </c>
    </row>
    <row r="1598" spans="1:16" x14ac:dyDescent="0.3">
      <c r="A1598" t="s">
        <v>29</v>
      </c>
      <c r="B1598" t="s">
        <v>24</v>
      </c>
      <c r="C1598" t="s">
        <v>25</v>
      </c>
      <c r="D1598" t="s">
        <v>54</v>
      </c>
      <c r="E1598" t="s">
        <v>160</v>
      </c>
      <c r="F1598" t="s">
        <v>3</v>
      </c>
      <c r="G1598" t="s">
        <v>242</v>
      </c>
      <c r="H1598" t="s">
        <v>163</v>
      </c>
      <c r="I1598">
        <v>58</v>
      </c>
      <c r="J1598">
        <v>0.74651810584958211</v>
      </c>
      <c r="K1598">
        <v>0.70526315789473681</v>
      </c>
      <c r="L1598">
        <v>0.79289940828402372</v>
      </c>
      <c r="M1598" t="s">
        <v>60</v>
      </c>
      <c r="N1598" t="s">
        <v>3623</v>
      </c>
      <c r="O1598" t="s">
        <v>3624</v>
      </c>
      <c r="P1598">
        <v>1.7</v>
      </c>
    </row>
    <row r="1599" spans="1:16" x14ac:dyDescent="0.3">
      <c r="A1599" t="s">
        <v>29</v>
      </c>
      <c r="B1599" t="s">
        <v>24</v>
      </c>
      <c r="C1599" t="s">
        <v>25</v>
      </c>
      <c r="D1599" t="s">
        <v>54</v>
      </c>
      <c r="E1599" t="s">
        <v>160</v>
      </c>
      <c r="F1599" t="s">
        <v>3</v>
      </c>
      <c r="G1599" t="s">
        <v>247</v>
      </c>
      <c r="H1599" t="s">
        <v>163</v>
      </c>
      <c r="I1599">
        <v>59</v>
      </c>
      <c r="J1599">
        <v>0.75418994413407814</v>
      </c>
      <c r="K1599">
        <v>0.7142857142857143</v>
      </c>
      <c r="L1599">
        <v>0.79881656804733725</v>
      </c>
      <c r="M1599" t="s">
        <v>60</v>
      </c>
      <c r="N1599" t="s">
        <v>3625</v>
      </c>
      <c r="O1599" t="s">
        <v>3626</v>
      </c>
      <c r="P1599">
        <v>1.7</v>
      </c>
    </row>
    <row r="1600" spans="1:16" x14ac:dyDescent="0.3">
      <c r="A1600" t="s">
        <v>29</v>
      </c>
      <c r="B1600" t="s">
        <v>24</v>
      </c>
      <c r="C1600" t="s">
        <v>25</v>
      </c>
      <c r="D1600" t="s">
        <v>54</v>
      </c>
      <c r="E1600" t="s">
        <v>160</v>
      </c>
      <c r="F1600" t="s">
        <v>3</v>
      </c>
      <c r="G1600" t="s">
        <v>252</v>
      </c>
      <c r="H1600" t="s">
        <v>163</v>
      </c>
      <c r="I1600">
        <v>60</v>
      </c>
      <c r="J1600">
        <v>0.74860335195530736</v>
      </c>
      <c r="K1600">
        <v>0.70899470899470896</v>
      </c>
      <c r="L1600">
        <v>0.79289940828402372</v>
      </c>
      <c r="M1600" t="s">
        <v>60</v>
      </c>
      <c r="N1600" t="s">
        <v>3627</v>
      </c>
      <c r="O1600" t="s">
        <v>3628</v>
      </c>
      <c r="P1600">
        <v>2.1</v>
      </c>
    </row>
    <row r="1601" spans="1:16" x14ac:dyDescent="0.3">
      <c r="A1601" t="s">
        <v>29</v>
      </c>
      <c r="B1601" t="s">
        <v>24</v>
      </c>
      <c r="C1601" t="s">
        <v>25</v>
      </c>
      <c r="D1601" t="s">
        <v>54</v>
      </c>
      <c r="E1601" t="s">
        <v>160</v>
      </c>
      <c r="F1601" t="s">
        <v>3</v>
      </c>
      <c r="G1601" t="s">
        <v>257</v>
      </c>
      <c r="H1601" t="s">
        <v>163</v>
      </c>
      <c r="I1601">
        <v>61</v>
      </c>
      <c r="J1601">
        <v>0.75208913649025066</v>
      </c>
      <c r="K1601">
        <v>0.71052631578947367</v>
      </c>
      <c r="L1601">
        <v>0.79881656804733725</v>
      </c>
      <c r="M1601" t="s">
        <v>60</v>
      </c>
      <c r="N1601" t="s">
        <v>3629</v>
      </c>
      <c r="O1601" t="s">
        <v>3630</v>
      </c>
      <c r="P1601">
        <v>1.8</v>
      </c>
    </row>
    <row r="1602" spans="1:16" x14ac:dyDescent="0.3">
      <c r="A1602" t="s">
        <v>29</v>
      </c>
      <c r="B1602" t="s">
        <v>24</v>
      </c>
      <c r="C1602" t="s">
        <v>25</v>
      </c>
      <c r="D1602" t="s">
        <v>54</v>
      </c>
      <c r="E1602" t="s">
        <v>262</v>
      </c>
      <c r="F1602" t="s">
        <v>5</v>
      </c>
      <c r="G1602" t="s">
        <v>263</v>
      </c>
      <c r="H1602" t="s">
        <v>265</v>
      </c>
      <c r="I1602">
        <v>42</v>
      </c>
      <c r="J1602">
        <v>0.77333333333333343</v>
      </c>
      <c r="K1602">
        <v>0.76315789473684215</v>
      </c>
      <c r="L1602">
        <v>0.78378378378378377</v>
      </c>
      <c r="M1602" t="s">
        <v>60</v>
      </c>
      <c r="N1602" t="s">
        <v>3631</v>
      </c>
      <c r="O1602" t="s">
        <v>3632</v>
      </c>
      <c r="P1602">
        <v>1.8</v>
      </c>
    </row>
    <row r="1603" spans="1:16" x14ac:dyDescent="0.3">
      <c r="A1603" t="s">
        <v>29</v>
      </c>
      <c r="B1603" t="s">
        <v>24</v>
      </c>
      <c r="C1603" t="s">
        <v>25</v>
      </c>
      <c r="D1603" t="s">
        <v>54</v>
      </c>
      <c r="E1603" t="s">
        <v>262</v>
      </c>
      <c r="F1603" t="s">
        <v>5</v>
      </c>
      <c r="G1603" t="s">
        <v>269</v>
      </c>
      <c r="H1603" t="s">
        <v>265</v>
      </c>
      <c r="I1603">
        <v>43</v>
      </c>
      <c r="J1603">
        <v>0.76483516483516489</v>
      </c>
      <c r="K1603">
        <v>0.74678111587982832</v>
      </c>
      <c r="L1603">
        <v>0.78378378378378377</v>
      </c>
      <c r="M1603" t="s">
        <v>60</v>
      </c>
      <c r="N1603" t="s">
        <v>3633</v>
      </c>
      <c r="O1603" t="s">
        <v>3634</v>
      </c>
      <c r="P1603">
        <v>2.2999999999999998</v>
      </c>
    </row>
    <row r="1604" spans="1:16" x14ac:dyDescent="0.3">
      <c r="A1604" t="s">
        <v>29</v>
      </c>
      <c r="B1604" t="s">
        <v>24</v>
      </c>
      <c r="C1604" t="s">
        <v>25</v>
      </c>
      <c r="D1604" t="s">
        <v>54</v>
      </c>
      <c r="E1604" t="s">
        <v>262</v>
      </c>
      <c r="F1604" t="s">
        <v>5</v>
      </c>
      <c r="G1604" t="s">
        <v>274</v>
      </c>
      <c r="H1604" t="s">
        <v>265</v>
      </c>
      <c r="I1604">
        <v>44</v>
      </c>
      <c r="J1604">
        <v>0.7723214285714286</v>
      </c>
      <c r="K1604">
        <v>0.76548672566371678</v>
      </c>
      <c r="L1604">
        <v>0.77927927927927931</v>
      </c>
      <c r="M1604" t="s">
        <v>60</v>
      </c>
      <c r="N1604" t="s">
        <v>3635</v>
      </c>
      <c r="O1604" t="s">
        <v>3636</v>
      </c>
      <c r="P1604">
        <v>1.9</v>
      </c>
    </row>
    <row r="1605" spans="1:16" x14ac:dyDescent="0.3">
      <c r="A1605" t="s">
        <v>29</v>
      </c>
      <c r="B1605" t="s">
        <v>24</v>
      </c>
      <c r="C1605" t="s">
        <v>25</v>
      </c>
      <c r="D1605" t="s">
        <v>54</v>
      </c>
      <c r="E1605" t="s">
        <v>262</v>
      </c>
      <c r="F1605" t="s">
        <v>5</v>
      </c>
      <c r="G1605" t="s">
        <v>279</v>
      </c>
      <c r="H1605" t="s">
        <v>265</v>
      </c>
      <c r="I1605">
        <v>45</v>
      </c>
      <c r="J1605">
        <v>0.77533039647577084</v>
      </c>
      <c r="K1605">
        <v>0.75862068965517238</v>
      </c>
      <c r="L1605">
        <v>0.7927927927927928</v>
      </c>
      <c r="M1605" t="s">
        <v>60</v>
      </c>
      <c r="N1605" t="s">
        <v>3637</v>
      </c>
      <c r="O1605" t="s">
        <v>3638</v>
      </c>
      <c r="P1605">
        <v>1.9</v>
      </c>
    </row>
    <row r="1606" spans="1:16" x14ac:dyDescent="0.3">
      <c r="A1606" t="s">
        <v>29</v>
      </c>
      <c r="B1606" t="s">
        <v>24</v>
      </c>
      <c r="C1606" t="s">
        <v>25</v>
      </c>
      <c r="D1606" t="s">
        <v>54</v>
      </c>
      <c r="E1606" t="s">
        <v>262</v>
      </c>
      <c r="F1606" t="s">
        <v>5</v>
      </c>
      <c r="G1606" t="s">
        <v>284</v>
      </c>
      <c r="H1606" t="s">
        <v>265</v>
      </c>
      <c r="I1606">
        <v>46</v>
      </c>
      <c r="J1606">
        <v>0.77362637362637365</v>
      </c>
      <c r="K1606">
        <v>0.75536480686695284</v>
      </c>
      <c r="L1606">
        <v>0.7927927927927928</v>
      </c>
      <c r="M1606" t="s">
        <v>60</v>
      </c>
      <c r="N1606" t="s">
        <v>3639</v>
      </c>
      <c r="O1606" t="s">
        <v>3640</v>
      </c>
      <c r="P1606">
        <v>2.2000000000000002</v>
      </c>
    </row>
    <row r="1607" spans="1:16" x14ac:dyDescent="0.3">
      <c r="A1607" t="s">
        <v>29</v>
      </c>
      <c r="B1607" t="s">
        <v>24</v>
      </c>
      <c r="C1607" t="s">
        <v>25</v>
      </c>
      <c r="D1607" t="s">
        <v>54</v>
      </c>
      <c r="E1607" t="s">
        <v>262</v>
      </c>
      <c r="F1607" t="s">
        <v>5</v>
      </c>
      <c r="G1607" t="s">
        <v>289</v>
      </c>
      <c r="H1607" t="s">
        <v>265</v>
      </c>
      <c r="I1607">
        <v>47</v>
      </c>
      <c r="J1607">
        <v>0.7814569536423841</v>
      </c>
      <c r="K1607">
        <v>0.76623376623376627</v>
      </c>
      <c r="L1607">
        <v>0.79729729729729726</v>
      </c>
      <c r="M1607" t="s">
        <v>60</v>
      </c>
      <c r="N1607" t="s">
        <v>3641</v>
      </c>
      <c r="O1607" t="s">
        <v>3642</v>
      </c>
      <c r="P1607">
        <v>1.8</v>
      </c>
    </row>
    <row r="1608" spans="1:16" x14ac:dyDescent="0.3">
      <c r="A1608" t="s">
        <v>29</v>
      </c>
      <c r="B1608" t="s">
        <v>24</v>
      </c>
      <c r="C1608" t="s">
        <v>25</v>
      </c>
      <c r="D1608" t="s">
        <v>54</v>
      </c>
      <c r="E1608" t="s">
        <v>262</v>
      </c>
      <c r="F1608" t="s">
        <v>5</v>
      </c>
      <c r="G1608" t="s">
        <v>294</v>
      </c>
      <c r="H1608" t="s">
        <v>265</v>
      </c>
      <c r="I1608">
        <v>48</v>
      </c>
      <c r="J1608">
        <v>0.77777777777777768</v>
      </c>
      <c r="K1608">
        <v>0.76754385964912286</v>
      </c>
      <c r="L1608">
        <v>0.78828828828828834</v>
      </c>
      <c r="M1608" t="s">
        <v>60</v>
      </c>
      <c r="N1608" t="s">
        <v>3643</v>
      </c>
      <c r="O1608" t="s">
        <v>3644</v>
      </c>
      <c r="P1608">
        <v>1.8</v>
      </c>
    </row>
    <row r="1609" spans="1:16" x14ac:dyDescent="0.3">
      <c r="A1609" t="s">
        <v>29</v>
      </c>
      <c r="B1609" t="s">
        <v>24</v>
      </c>
      <c r="C1609" t="s">
        <v>25</v>
      </c>
      <c r="D1609" t="s">
        <v>54</v>
      </c>
      <c r="E1609" t="s">
        <v>262</v>
      </c>
      <c r="F1609" t="s">
        <v>5</v>
      </c>
      <c r="G1609" t="s">
        <v>299</v>
      </c>
      <c r="H1609" t="s">
        <v>265</v>
      </c>
      <c r="I1609">
        <v>49</v>
      </c>
      <c r="J1609">
        <v>0.77973568281938332</v>
      </c>
      <c r="K1609">
        <v>0.76293103448275867</v>
      </c>
      <c r="L1609">
        <v>0.79729729729729726</v>
      </c>
      <c r="M1609" t="s">
        <v>60</v>
      </c>
      <c r="N1609" t="s">
        <v>3645</v>
      </c>
      <c r="O1609" t="s">
        <v>3646</v>
      </c>
      <c r="P1609">
        <v>2.2999999999999998</v>
      </c>
    </row>
    <row r="1610" spans="1:16" x14ac:dyDescent="0.3">
      <c r="A1610" t="s">
        <v>29</v>
      </c>
      <c r="B1610" t="s">
        <v>24</v>
      </c>
      <c r="C1610" t="s">
        <v>25</v>
      </c>
      <c r="D1610" t="s">
        <v>54</v>
      </c>
      <c r="E1610" t="s">
        <v>262</v>
      </c>
      <c r="F1610" t="s">
        <v>5</v>
      </c>
      <c r="G1610" t="s">
        <v>304</v>
      </c>
      <c r="H1610" t="s">
        <v>265</v>
      </c>
      <c r="I1610">
        <v>50</v>
      </c>
      <c r="J1610">
        <v>0.77876106194690264</v>
      </c>
      <c r="K1610">
        <v>0.76521739130434785</v>
      </c>
      <c r="L1610">
        <v>0.7927927927927928</v>
      </c>
      <c r="M1610" t="s">
        <v>60</v>
      </c>
      <c r="N1610" t="s">
        <v>3647</v>
      </c>
      <c r="O1610" t="s">
        <v>3648</v>
      </c>
      <c r="P1610">
        <v>1.9</v>
      </c>
    </row>
    <row r="1611" spans="1:16" x14ac:dyDescent="0.3">
      <c r="A1611" t="s">
        <v>29</v>
      </c>
      <c r="B1611" t="s">
        <v>24</v>
      </c>
      <c r="C1611" t="s">
        <v>25</v>
      </c>
      <c r="D1611" t="s">
        <v>54</v>
      </c>
      <c r="E1611" t="s">
        <v>262</v>
      </c>
      <c r="F1611" t="s">
        <v>5</v>
      </c>
      <c r="G1611" t="s">
        <v>309</v>
      </c>
      <c r="H1611" t="s">
        <v>265</v>
      </c>
      <c r="I1611">
        <v>51</v>
      </c>
      <c r="J1611">
        <v>0.77362637362637365</v>
      </c>
      <c r="K1611">
        <v>0.75536480686695284</v>
      </c>
      <c r="L1611">
        <v>0.7927927927927928</v>
      </c>
      <c r="M1611" t="s">
        <v>60</v>
      </c>
      <c r="N1611" t="s">
        <v>3649</v>
      </c>
      <c r="O1611" t="s">
        <v>3650</v>
      </c>
      <c r="P1611">
        <v>1.9</v>
      </c>
    </row>
    <row r="1612" spans="1:16" x14ac:dyDescent="0.3">
      <c r="A1612" t="s">
        <v>29</v>
      </c>
      <c r="B1612" t="s">
        <v>24</v>
      </c>
      <c r="C1612" t="s">
        <v>25</v>
      </c>
      <c r="D1612" t="s">
        <v>54</v>
      </c>
      <c r="E1612" t="s">
        <v>262</v>
      </c>
      <c r="F1612" t="s">
        <v>5</v>
      </c>
      <c r="G1612" t="s">
        <v>314</v>
      </c>
      <c r="H1612" t="s">
        <v>265</v>
      </c>
      <c r="I1612">
        <v>52</v>
      </c>
      <c r="J1612">
        <v>0.77876106194690264</v>
      </c>
      <c r="K1612">
        <v>0.76521739130434785</v>
      </c>
      <c r="L1612">
        <v>0.7927927927927928</v>
      </c>
      <c r="M1612" t="s">
        <v>60</v>
      </c>
      <c r="N1612" t="s">
        <v>3651</v>
      </c>
      <c r="O1612" t="s">
        <v>3652</v>
      </c>
      <c r="P1612">
        <v>2.2999999999999998</v>
      </c>
    </row>
    <row r="1613" spans="1:16" x14ac:dyDescent="0.3">
      <c r="A1613" t="s">
        <v>29</v>
      </c>
      <c r="B1613" t="s">
        <v>24</v>
      </c>
      <c r="C1613" t="s">
        <v>25</v>
      </c>
      <c r="D1613" t="s">
        <v>54</v>
      </c>
      <c r="E1613" t="s">
        <v>262</v>
      </c>
      <c r="F1613" t="s">
        <v>5</v>
      </c>
      <c r="G1613" t="s">
        <v>319</v>
      </c>
      <c r="H1613" t="s">
        <v>265</v>
      </c>
      <c r="I1613">
        <v>53</v>
      </c>
      <c r="J1613">
        <v>0.78396436525612467</v>
      </c>
      <c r="K1613">
        <v>0.77533039647577096</v>
      </c>
      <c r="L1613">
        <v>0.7927927927927928</v>
      </c>
      <c r="M1613" t="s">
        <v>60</v>
      </c>
      <c r="N1613" t="s">
        <v>3653</v>
      </c>
      <c r="O1613" t="s">
        <v>3654</v>
      </c>
      <c r="P1613">
        <v>1.8</v>
      </c>
    </row>
    <row r="1614" spans="1:16" x14ac:dyDescent="0.3">
      <c r="A1614" t="s">
        <v>29</v>
      </c>
      <c r="B1614" t="s">
        <v>24</v>
      </c>
      <c r="C1614" t="s">
        <v>25</v>
      </c>
      <c r="D1614" t="s">
        <v>54</v>
      </c>
      <c r="E1614" t="s">
        <v>262</v>
      </c>
      <c r="F1614" t="s">
        <v>5</v>
      </c>
      <c r="G1614" t="s">
        <v>324</v>
      </c>
      <c r="H1614" t="s">
        <v>265</v>
      </c>
      <c r="I1614">
        <v>54</v>
      </c>
      <c r="J1614">
        <v>0.78125</v>
      </c>
      <c r="K1614">
        <v>0.77433628318584069</v>
      </c>
      <c r="L1614">
        <v>0.78828828828828834</v>
      </c>
      <c r="M1614" t="s">
        <v>60</v>
      </c>
      <c r="N1614" t="s">
        <v>3655</v>
      </c>
      <c r="O1614" t="s">
        <v>3656</v>
      </c>
      <c r="P1614">
        <v>1.9</v>
      </c>
    </row>
    <row r="1615" spans="1:16" x14ac:dyDescent="0.3">
      <c r="A1615" t="s">
        <v>29</v>
      </c>
      <c r="B1615" t="s">
        <v>24</v>
      </c>
      <c r="C1615" t="s">
        <v>25</v>
      </c>
      <c r="D1615" t="s">
        <v>54</v>
      </c>
      <c r="E1615" t="s">
        <v>262</v>
      </c>
      <c r="F1615" t="s">
        <v>5</v>
      </c>
      <c r="G1615" t="s">
        <v>329</v>
      </c>
      <c r="H1615" t="s">
        <v>265</v>
      </c>
      <c r="I1615">
        <v>55</v>
      </c>
      <c r="J1615">
        <v>0.78841870824053439</v>
      </c>
      <c r="K1615">
        <v>0.77973568281938321</v>
      </c>
      <c r="L1615">
        <v>0.79729729729729726</v>
      </c>
      <c r="M1615" t="s">
        <v>60</v>
      </c>
      <c r="N1615" t="s">
        <v>3657</v>
      </c>
      <c r="O1615" t="s">
        <v>3658</v>
      </c>
      <c r="P1615">
        <v>1.9</v>
      </c>
    </row>
    <row r="1616" spans="1:16" x14ac:dyDescent="0.3">
      <c r="A1616" t="s">
        <v>29</v>
      </c>
      <c r="B1616" t="s">
        <v>24</v>
      </c>
      <c r="C1616" t="s">
        <v>25</v>
      </c>
      <c r="D1616" t="s">
        <v>54</v>
      </c>
      <c r="E1616" t="s">
        <v>262</v>
      </c>
      <c r="F1616" t="s">
        <v>5</v>
      </c>
      <c r="G1616" t="s">
        <v>334</v>
      </c>
      <c r="H1616" t="s">
        <v>265</v>
      </c>
      <c r="I1616">
        <v>56</v>
      </c>
      <c r="J1616">
        <v>0.77262693156732898</v>
      </c>
      <c r="K1616">
        <v>0.75757575757575757</v>
      </c>
      <c r="L1616">
        <v>0.78828828828828834</v>
      </c>
      <c r="M1616" t="s">
        <v>60</v>
      </c>
      <c r="N1616" t="s">
        <v>3659</v>
      </c>
      <c r="O1616" t="s">
        <v>3660</v>
      </c>
      <c r="P1616">
        <v>2.4</v>
      </c>
    </row>
    <row r="1617" spans="1:16" x14ac:dyDescent="0.3">
      <c r="A1617" t="s">
        <v>29</v>
      </c>
      <c r="B1617" t="s">
        <v>24</v>
      </c>
      <c r="C1617" t="s">
        <v>25</v>
      </c>
      <c r="D1617" t="s">
        <v>54</v>
      </c>
      <c r="E1617" t="s">
        <v>262</v>
      </c>
      <c r="F1617" t="s">
        <v>5</v>
      </c>
      <c r="G1617" t="s">
        <v>339</v>
      </c>
      <c r="H1617" t="s">
        <v>265</v>
      </c>
      <c r="I1617">
        <v>57</v>
      </c>
      <c r="J1617">
        <v>0.78222222222222215</v>
      </c>
      <c r="K1617">
        <v>0.77192982456140347</v>
      </c>
      <c r="L1617">
        <v>0.7927927927927928</v>
      </c>
      <c r="M1617" t="s">
        <v>60</v>
      </c>
      <c r="N1617" t="s">
        <v>3661</v>
      </c>
      <c r="O1617" t="s">
        <v>3662</v>
      </c>
      <c r="P1617">
        <v>1.8</v>
      </c>
    </row>
    <row r="1618" spans="1:16" x14ac:dyDescent="0.3">
      <c r="A1618" t="s">
        <v>29</v>
      </c>
      <c r="B1618" t="s">
        <v>24</v>
      </c>
      <c r="C1618" t="s">
        <v>25</v>
      </c>
      <c r="D1618" t="s">
        <v>54</v>
      </c>
      <c r="E1618" t="s">
        <v>262</v>
      </c>
      <c r="F1618" t="s">
        <v>5</v>
      </c>
      <c r="G1618" t="s">
        <v>344</v>
      </c>
      <c r="H1618" t="s">
        <v>265</v>
      </c>
      <c r="I1618">
        <v>58</v>
      </c>
      <c r="J1618">
        <v>0.7723214285714286</v>
      </c>
      <c r="K1618">
        <v>0.76548672566371678</v>
      </c>
      <c r="L1618">
        <v>0.77927927927927931</v>
      </c>
      <c r="M1618" t="s">
        <v>60</v>
      </c>
      <c r="N1618" t="s">
        <v>3663</v>
      </c>
      <c r="O1618" t="s">
        <v>3664</v>
      </c>
      <c r="P1618">
        <v>1.9</v>
      </c>
    </row>
    <row r="1619" spans="1:16" x14ac:dyDescent="0.3">
      <c r="A1619" t="s">
        <v>29</v>
      </c>
      <c r="B1619" t="s">
        <v>24</v>
      </c>
      <c r="C1619" t="s">
        <v>25</v>
      </c>
      <c r="D1619" t="s">
        <v>54</v>
      </c>
      <c r="E1619" t="s">
        <v>262</v>
      </c>
      <c r="F1619" t="s">
        <v>5</v>
      </c>
      <c r="G1619" t="s">
        <v>349</v>
      </c>
      <c r="H1619" t="s">
        <v>265</v>
      </c>
      <c r="I1619">
        <v>59</v>
      </c>
      <c r="J1619">
        <v>0.77605321507760539</v>
      </c>
      <c r="K1619">
        <v>0.76419213973799127</v>
      </c>
      <c r="L1619">
        <v>0.78828828828828834</v>
      </c>
      <c r="M1619" t="s">
        <v>60</v>
      </c>
      <c r="N1619" t="s">
        <v>3665</v>
      </c>
      <c r="O1619" t="s">
        <v>3666</v>
      </c>
      <c r="P1619">
        <v>2.2999999999999998</v>
      </c>
    </row>
    <row r="1620" spans="1:16" x14ac:dyDescent="0.3">
      <c r="A1620" t="s">
        <v>29</v>
      </c>
      <c r="B1620" t="s">
        <v>24</v>
      </c>
      <c r="C1620" t="s">
        <v>25</v>
      </c>
      <c r="D1620" t="s">
        <v>54</v>
      </c>
      <c r="E1620" t="s">
        <v>262</v>
      </c>
      <c r="F1620" t="s">
        <v>5</v>
      </c>
      <c r="G1620" t="s">
        <v>354</v>
      </c>
      <c r="H1620" t="s">
        <v>265</v>
      </c>
      <c r="I1620">
        <v>60</v>
      </c>
      <c r="J1620">
        <v>0.76888888888888896</v>
      </c>
      <c r="K1620">
        <v>0.75877192982456143</v>
      </c>
      <c r="L1620">
        <v>0.77927927927927931</v>
      </c>
      <c r="M1620" t="s">
        <v>60</v>
      </c>
      <c r="N1620" t="s">
        <v>3667</v>
      </c>
      <c r="O1620" t="s">
        <v>3668</v>
      </c>
      <c r="P1620">
        <v>1.9</v>
      </c>
    </row>
    <row r="1621" spans="1:16" x14ac:dyDescent="0.3">
      <c r="A1621" t="s">
        <v>29</v>
      </c>
      <c r="B1621" t="s">
        <v>24</v>
      </c>
      <c r="C1621" t="s">
        <v>25</v>
      </c>
      <c r="D1621" t="s">
        <v>54</v>
      </c>
      <c r="E1621" t="s">
        <v>262</v>
      </c>
      <c r="F1621" t="s">
        <v>5</v>
      </c>
      <c r="G1621" t="s">
        <v>359</v>
      </c>
      <c r="H1621" t="s">
        <v>265</v>
      </c>
      <c r="I1621">
        <v>61</v>
      </c>
      <c r="J1621">
        <v>0.7743362831858408</v>
      </c>
      <c r="K1621">
        <v>0.76086956521739135</v>
      </c>
      <c r="L1621">
        <v>0.78828828828828834</v>
      </c>
      <c r="M1621" t="s">
        <v>60</v>
      </c>
      <c r="N1621" t="s">
        <v>3669</v>
      </c>
      <c r="O1621" t="s">
        <v>3670</v>
      </c>
      <c r="P1621">
        <v>1.8</v>
      </c>
    </row>
    <row r="1622" spans="1:16" x14ac:dyDescent="0.3">
      <c r="A1622" t="s">
        <v>29</v>
      </c>
      <c r="B1622" t="s">
        <v>24</v>
      </c>
      <c r="C1622" t="s">
        <v>25</v>
      </c>
      <c r="D1622" t="s">
        <v>363</v>
      </c>
      <c r="E1622" t="s">
        <v>365</v>
      </c>
      <c r="F1622" t="s">
        <v>13</v>
      </c>
      <c r="G1622" t="s">
        <v>366</v>
      </c>
      <c r="H1622" t="s">
        <v>368</v>
      </c>
      <c r="I1622">
        <v>42</v>
      </c>
      <c r="J1622">
        <v>0.77754677754677759</v>
      </c>
      <c r="K1622">
        <v>0.7450199203187251</v>
      </c>
      <c r="L1622">
        <v>0.81304347826086953</v>
      </c>
      <c r="M1622" t="s">
        <v>60</v>
      </c>
      <c r="N1622" t="s">
        <v>3671</v>
      </c>
      <c r="O1622" t="s">
        <v>3672</v>
      </c>
      <c r="P1622">
        <v>2.2999999999999998</v>
      </c>
    </row>
    <row r="1623" spans="1:16" x14ac:dyDescent="0.3">
      <c r="A1623" t="s">
        <v>29</v>
      </c>
      <c r="B1623" t="s">
        <v>24</v>
      </c>
      <c r="C1623" t="s">
        <v>25</v>
      </c>
      <c r="D1623" t="s">
        <v>363</v>
      </c>
      <c r="E1623" t="s">
        <v>365</v>
      </c>
      <c r="F1623" t="s">
        <v>13</v>
      </c>
      <c r="G1623" t="s">
        <v>372</v>
      </c>
      <c r="H1623" t="s">
        <v>368</v>
      </c>
      <c r="I1623">
        <v>43</v>
      </c>
      <c r="J1623">
        <v>0.77661795407098111</v>
      </c>
      <c r="K1623">
        <v>0.74698795180722888</v>
      </c>
      <c r="L1623">
        <v>0.80869565217391304</v>
      </c>
      <c r="M1623" t="s">
        <v>60</v>
      </c>
      <c r="N1623" t="s">
        <v>3673</v>
      </c>
      <c r="O1623" t="s">
        <v>3674</v>
      </c>
      <c r="P1623">
        <v>1.9</v>
      </c>
    </row>
    <row r="1624" spans="1:16" x14ac:dyDescent="0.3">
      <c r="A1624" t="s">
        <v>29</v>
      </c>
      <c r="B1624" t="s">
        <v>24</v>
      </c>
      <c r="C1624" t="s">
        <v>25</v>
      </c>
      <c r="D1624" t="s">
        <v>363</v>
      </c>
      <c r="E1624" t="s">
        <v>365</v>
      </c>
      <c r="F1624" t="s">
        <v>13</v>
      </c>
      <c r="G1624" t="s">
        <v>377</v>
      </c>
      <c r="H1624" t="s">
        <v>368</v>
      </c>
      <c r="I1624">
        <v>44</v>
      </c>
      <c r="J1624">
        <v>0.79417879417879422</v>
      </c>
      <c r="K1624">
        <v>0.76095617529880477</v>
      </c>
      <c r="L1624">
        <v>0.83043478260869563</v>
      </c>
      <c r="M1624" t="s">
        <v>60</v>
      </c>
      <c r="N1624" t="s">
        <v>3675</v>
      </c>
      <c r="O1624" t="s">
        <v>3676</v>
      </c>
      <c r="P1624">
        <v>1.9</v>
      </c>
    </row>
    <row r="1625" spans="1:16" x14ac:dyDescent="0.3">
      <c r="A1625" t="s">
        <v>29</v>
      </c>
      <c r="B1625" t="s">
        <v>24</v>
      </c>
      <c r="C1625" t="s">
        <v>25</v>
      </c>
      <c r="D1625" t="s">
        <v>363</v>
      </c>
      <c r="E1625" t="s">
        <v>365</v>
      </c>
      <c r="F1625" t="s">
        <v>13</v>
      </c>
      <c r="G1625" t="s">
        <v>382</v>
      </c>
      <c r="H1625" t="s">
        <v>368</v>
      </c>
      <c r="I1625">
        <v>45</v>
      </c>
      <c r="J1625">
        <v>0.79497907949790791</v>
      </c>
      <c r="K1625">
        <v>0.7661290322580645</v>
      </c>
      <c r="L1625">
        <v>0.82608695652173914</v>
      </c>
      <c r="M1625" t="s">
        <v>60</v>
      </c>
      <c r="N1625" t="s">
        <v>3677</v>
      </c>
      <c r="O1625" t="s">
        <v>3678</v>
      </c>
      <c r="P1625">
        <v>2.2999999999999998</v>
      </c>
    </row>
    <row r="1626" spans="1:16" x14ac:dyDescent="0.3">
      <c r="A1626" t="s">
        <v>29</v>
      </c>
      <c r="B1626" t="s">
        <v>24</v>
      </c>
      <c r="C1626" t="s">
        <v>25</v>
      </c>
      <c r="D1626" t="s">
        <v>363</v>
      </c>
      <c r="E1626" t="s">
        <v>365</v>
      </c>
      <c r="F1626" t="s">
        <v>13</v>
      </c>
      <c r="G1626" t="s">
        <v>387</v>
      </c>
      <c r="H1626" t="s">
        <v>368</v>
      </c>
      <c r="I1626">
        <v>46</v>
      </c>
      <c r="J1626">
        <v>0.78423236514522832</v>
      </c>
      <c r="K1626">
        <v>0.75</v>
      </c>
      <c r="L1626">
        <v>0.82173913043478264</v>
      </c>
      <c r="M1626" t="s">
        <v>60</v>
      </c>
      <c r="N1626" t="s">
        <v>3679</v>
      </c>
      <c r="O1626" t="s">
        <v>3680</v>
      </c>
      <c r="P1626">
        <v>2</v>
      </c>
    </row>
    <row r="1627" spans="1:16" x14ac:dyDescent="0.3">
      <c r="A1627" t="s">
        <v>29</v>
      </c>
      <c r="B1627" t="s">
        <v>24</v>
      </c>
      <c r="C1627" t="s">
        <v>25</v>
      </c>
      <c r="D1627" t="s">
        <v>363</v>
      </c>
      <c r="E1627" t="s">
        <v>365</v>
      </c>
      <c r="F1627" t="s">
        <v>13</v>
      </c>
      <c r="G1627" t="s">
        <v>392</v>
      </c>
      <c r="H1627" t="s">
        <v>368</v>
      </c>
      <c r="I1627">
        <v>47</v>
      </c>
      <c r="J1627">
        <v>0.76422764227642281</v>
      </c>
      <c r="K1627">
        <v>0.71755725190839692</v>
      </c>
      <c r="L1627">
        <v>0.81739130434782614</v>
      </c>
      <c r="M1627" t="s">
        <v>60</v>
      </c>
      <c r="N1627" t="s">
        <v>3681</v>
      </c>
      <c r="O1627" t="s">
        <v>3682</v>
      </c>
      <c r="P1627">
        <v>1.8</v>
      </c>
    </row>
    <row r="1628" spans="1:16" x14ac:dyDescent="0.3">
      <c r="A1628" t="s">
        <v>29</v>
      </c>
      <c r="B1628" t="s">
        <v>24</v>
      </c>
      <c r="C1628" t="s">
        <v>25</v>
      </c>
      <c r="D1628" t="s">
        <v>363</v>
      </c>
      <c r="E1628" t="s">
        <v>365</v>
      </c>
      <c r="F1628" t="s">
        <v>13</v>
      </c>
      <c r="G1628" t="s">
        <v>397</v>
      </c>
      <c r="H1628" t="s">
        <v>368</v>
      </c>
      <c r="I1628">
        <v>48</v>
      </c>
      <c r="J1628">
        <v>0.80084745762711873</v>
      </c>
      <c r="K1628">
        <v>0.78099173553719003</v>
      </c>
      <c r="L1628">
        <v>0.82173913043478264</v>
      </c>
      <c r="M1628" t="s">
        <v>60</v>
      </c>
      <c r="N1628" t="s">
        <v>3683</v>
      </c>
      <c r="O1628" t="s">
        <v>3684</v>
      </c>
      <c r="P1628">
        <v>2.2999999999999998</v>
      </c>
    </row>
    <row r="1629" spans="1:16" x14ac:dyDescent="0.3">
      <c r="A1629" t="s">
        <v>29</v>
      </c>
      <c r="B1629" t="s">
        <v>24</v>
      </c>
      <c r="C1629" t="s">
        <v>25</v>
      </c>
      <c r="D1629" t="s">
        <v>363</v>
      </c>
      <c r="E1629" t="s">
        <v>365</v>
      </c>
      <c r="F1629" t="s">
        <v>13</v>
      </c>
      <c r="G1629" t="s">
        <v>402</v>
      </c>
      <c r="H1629" t="s">
        <v>368</v>
      </c>
      <c r="I1629">
        <v>49</v>
      </c>
      <c r="J1629">
        <v>0.78315789473684205</v>
      </c>
      <c r="K1629">
        <v>0.75918367346938775</v>
      </c>
      <c r="L1629">
        <v>0.80869565217391304</v>
      </c>
      <c r="M1629" t="s">
        <v>60</v>
      </c>
      <c r="N1629" t="s">
        <v>3685</v>
      </c>
      <c r="O1629" t="s">
        <v>3686</v>
      </c>
      <c r="P1629">
        <v>1.8</v>
      </c>
    </row>
    <row r="1630" spans="1:16" x14ac:dyDescent="0.3">
      <c r="A1630" t="s">
        <v>29</v>
      </c>
      <c r="B1630" t="s">
        <v>24</v>
      </c>
      <c r="C1630" t="s">
        <v>25</v>
      </c>
      <c r="D1630" t="s">
        <v>363</v>
      </c>
      <c r="E1630" t="s">
        <v>365</v>
      </c>
      <c r="F1630" t="s">
        <v>13</v>
      </c>
      <c r="G1630" t="s">
        <v>407</v>
      </c>
      <c r="H1630" t="s">
        <v>368</v>
      </c>
      <c r="I1630">
        <v>50</v>
      </c>
      <c r="J1630">
        <v>0.78661087866108792</v>
      </c>
      <c r="K1630">
        <v>0.75806451612903225</v>
      </c>
      <c r="L1630">
        <v>0.81739130434782614</v>
      </c>
      <c r="M1630" t="s">
        <v>60</v>
      </c>
      <c r="N1630" t="s">
        <v>3687</v>
      </c>
      <c r="O1630" t="s">
        <v>3688</v>
      </c>
      <c r="P1630">
        <v>2</v>
      </c>
    </row>
    <row r="1631" spans="1:16" x14ac:dyDescent="0.3">
      <c r="A1631" t="s">
        <v>29</v>
      </c>
      <c r="B1631" t="s">
        <v>24</v>
      </c>
      <c r="C1631" t="s">
        <v>25</v>
      </c>
      <c r="D1631" t="s">
        <v>363</v>
      </c>
      <c r="E1631" t="s">
        <v>365</v>
      </c>
      <c r="F1631" t="s">
        <v>13</v>
      </c>
      <c r="G1631" t="s">
        <v>412</v>
      </c>
      <c r="H1631" t="s">
        <v>368</v>
      </c>
      <c r="I1631">
        <v>51</v>
      </c>
      <c r="J1631">
        <v>0.78825995807127891</v>
      </c>
      <c r="K1631">
        <v>0.76113360323886636</v>
      </c>
      <c r="L1631">
        <v>0.81739130434782614</v>
      </c>
      <c r="M1631" t="s">
        <v>60</v>
      </c>
      <c r="N1631" t="s">
        <v>3689</v>
      </c>
      <c r="O1631" t="s">
        <v>3690</v>
      </c>
      <c r="P1631">
        <v>2.2999999999999998</v>
      </c>
    </row>
    <row r="1632" spans="1:16" x14ac:dyDescent="0.3">
      <c r="A1632" t="s">
        <v>29</v>
      </c>
      <c r="B1632" t="s">
        <v>24</v>
      </c>
      <c r="C1632" t="s">
        <v>25</v>
      </c>
      <c r="D1632" t="s">
        <v>363</v>
      </c>
      <c r="E1632" t="s">
        <v>365</v>
      </c>
      <c r="F1632" t="s">
        <v>13</v>
      </c>
      <c r="G1632" t="s">
        <v>417</v>
      </c>
      <c r="H1632" t="s">
        <v>368</v>
      </c>
      <c r="I1632">
        <v>52</v>
      </c>
      <c r="J1632">
        <v>0.78825995807127891</v>
      </c>
      <c r="K1632">
        <v>0.76113360323886636</v>
      </c>
      <c r="L1632">
        <v>0.81739130434782614</v>
      </c>
      <c r="M1632" t="s">
        <v>60</v>
      </c>
      <c r="N1632" t="s">
        <v>3691</v>
      </c>
      <c r="O1632" t="s">
        <v>3692</v>
      </c>
      <c r="P1632">
        <v>1.9</v>
      </c>
    </row>
    <row r="1633" spans="1:16" x14ac:dyDescent="0.3">
      <c r="A1633" t="s">
        <v>29</v>
      </c>
      <c r="B1633" t="s">
        <v>24</v>
      </c>
      <c r="C1633" t="s">
        <v>25</v>
      </c>
      <c r="D1633" t="s">
        <v>363</v>
      </c>
      <c r="E1633" t="s">
        <v>365</v>
      </c>
      <c r="F1633" t="s">
        <v>13</v>
      </c>
      <c r="G1633" t="s">
        <v>422</v>
      </c>
      <c r="H1633" t="s">
        <v>368</v>
      </c>
      <c r="I1633">
        <v>53</v>
      </c>
      <c r="J1633">
        <v>0.76826722338204589</v>
      </c>
      <c r="K1633">
        <v>0.73895582329317266</v>
      </c>
      <c r="L1633">
        <v>0.8</v>
      </c>
      <c r="M1633" t="s">
        <v>60</v>
      </c>
      <c r="N1633" t="s">
        <v>3693</v>
      </c>
      <c r="O1633" t="s">
        <v>3694</v>
      </c>
      <c r="P1633">
        <v>1.8</v>
      </c>
    </row>
    <row r="1634" spans="1:16" x14ac:dyDescent="0.3">
      <c r="A1634" t="s">
        <v>29</v>
      </c>
      <c r="B1634" t="s">
        <v>24</v>
      </c>
      <c r="C1634" t="s">
        <v>25</v>
      </c>
      <c r="D1634" t="s">
        <v>363</v>
      </c>
      <c r="E1634" t="s">
        <v>365</v>
      </c>
      <c r="F1634" t="s">
        <v>13</v>
      </c>
      <c r="G1634" t="s">
        <v>427</v>
      </c>
      <c r="H1634" t="s">
        <v>368</v>
      </c>
      <c r="I1634">
        <v>54</v>
      </c>
      <c r="J1634">
        <v>0.78170478170478175</v>
      </c>
      <c r="K1634">
        <v>0.74900398406374502</v>
      </c>
      <c r="L1634">
        <v>0.81739130434782614</v>
      </c>
      <c r="M1634" t="s">
        <v>60</v>
      </c>
      <c r="N1634" t="s">
        <v>3695</v>
      </c>
      <c r="O1634" t="s">
        <v>3696</v>
      </c>
      <c r="P1634">
        <v>2.2999999999999998</v>
      </c>
    </row>
    <row r="1635" spans="1:16" x14ac:dyDescent="0.3">
      <c r="A1635" t="s">
        <v>29</v>
      </c>
      <c r="B1635" t="s">
        <v>24</v>
      </c>
      <c r="C1635" t="s">
        <v>25</v>
      </c>
      <c r="D1635" t="s">
        <v>363</v>
      </c>
      <c r="E1635" t="s">
        <v>365</v>
      </c>
      <c r="F1635" t="s">
        <v>13</v>
      </c>
      <c r="G1635" t="s">
        <v>432</v>
      </c>
      <c r="H1635" t="s">
        <v>368</v>
      </c>
      <c r="I1635">
        <v>55</v>
      </c>
      <c r="J1635">
        <v>0.79497907949790791</v>
      </c>
      <c r="K1635">
        <v>0.7661290322580645</v>
      </c>
      <c r="L1635">
        <v>0.82608695652173914</v>
      </c>
      <c r="M1635" t="s">
        <v>60</v>
      </c>
      <c r="N1635" t="s">
        <v>3697</v>
      </c>
      <c r="O1635" t="s">
        <v>3698</v>
      </c>
      <c r="P1635">
        <v>1.9</v>
      </c>
    </row>
    <row r="1636" spans="1:16" x14ac:dyDescent="0.3">
      <c r="A1636" t="s">
        <v>29</v>
      </c>
      <c r="B1636" t="s">
        <v>24</v>
      </c>
      <c r="C1636" t="s">
        <v>25</v>
      </c>
      <c r="D1636" t="s">
        <v>363</v>
      </c>
      <c r="E1636" t="s">
        <v>365</v>
      </c>
      <c r="F1636" t="s">
        <v>13</v>
      </c>
      <c r="G1636" t="s">
        <v>437</v>
      </c>
      <c r="H1636" t="s">
        <v>368</v>
      </c>
      <c r="I1636">
        <v>56</v>
      </c>
      <c r="J1636">
        <v>0.77987421383647793</v>
      </c>
      <c r="K1636">
        <v>0.75303643724696356</v>
      </c>
      <c r="L1636">
        <v>0.80869565217391304</v>
      </c>
      <c r="M1636" t="s">
        <v>60</v>
      </c>
      <c r="N1636" t="s">
        <v>3699</v>
      </c>
      <c r="O1636" t="s">
        <v>3700</v>
      </c>
      <c r="P1636">
        <v>1.8</v>
      </c>
    </row>
    <row r="1637" spans="1:16" x14ac:dyDescent="0.3">
      <c r="A1637" t="s">
        <v>29</v>
      </c>
      <c r="B1637" t="s">
        <v>24</v>
      </c>
      <c r="C1637" t="s">
        <v>25</v>
      </c>
      <c r="D1637" t="s">
        <v>363</v>
      </c>
      <c r="E1637" t="s">
        <v>365</v>
      </c>
      <c r="F1637" t="s">
        <v>13</v>
      </c>
      <c r="G1637" t="s">
        <v>442</v>
      </c>
      <c r="H1637" t="s">
        <v>368</v>
      </c>
      <c r="I1637">
        <v>57</v>
      </c>
      <c r="J1637">
        <v>0.7653276955602536</v>
      </c>
      <c r="K1637">
        <v>0.74485596707818935</v>
      </c>
      <c r="L1637">
        <v>0.78695652173913044</v>
      </c>
      <c r="M1637" t="s">
        <v>60</v>
      </c>
      <c r="N1637" t="s">
        <v>3701</v>
      </c>
      <c r="O1637" t="s">
        <v>3702</v>
      </c>
      <c r="P1637">
        <v>2.2000000000000002</v>
      </c>
    </row>
    <row r="1638" spans="1:16" x14ac:dyDescent="0.3">
      <c r="A1638" t="s">
        <v>29</v>
      </c>
      <c r="B1638" t="s">
        <v>24</v>
      </c>
      <c r="C1638" t="s">
        <v>25</v>
      </c>
      <c r="D1638" t="s">
        <v>363</v>
      </c>
      <c r="E1638" t="s">
        <v>365</v>
      </c>
      <c r="F1638" t="s">
        <v>13</v>
      </c>
      <c r="G1638" t="s">
        <v>447</v>
      </c>
      <c r="H1638" t="s">
        <v>368</v>
      </c>
      <c r="I1638">
        <v>58</v>
      </c>
      <c r="J1638">
        <v>0.80249480249480243</v>
      </c>
      <c r="K1638">
        <v>0.7689243027888446</v>
      </c>
      <c r="L1638">
        <v>0.83913043478260874</v>
      </c>
      <c r="M1638" t="s">
        <v>60</v>
      </c>
      <c r="N1638" t="s">
        <v>3703</v>
      </c>
      <c r="O1638" t="s">
        <v>3704</v>
      </c>
      <c r="P1638">
        <v>1.8</v>
      </c>
    </row>
    <row r="1639" spans="1:16" x14ac:dyDescent="0.3">
      <c r="A1639" t="s">
        <v>29</v>
      </c>
      <c r="B1639" t="s">
        <v>24</v>
      </c>
      <c r="C1639" t="s">
        <v>25</v>
      </c>
      <c r="D1639" t="s">
        <v>363</v>
      </c>
      <c r="E1639" t="s">
        <v>365</v>
      </c>
      <c r="F1639" t="s">
        <v>13</v>
      </c>
      <c r="G1639" t="s">
        <v>452</v>
      </c>
      <c r="H1639" t="s">
        <v>368</v>
      </c>
      <c r="I1639">
        <v>59</v>
      </c>
      <c r="J1639">
        <v>0.76763485477178417</v>
      </c>
      <c r="K1639">
        <v>0.73412698412698407</v>
      </c>
      <c r="L1639">
        <v>0.80434782608695654</v>
      </c>
      <c r="M1639" t="s">
        <v>60</v>
      </c>
      <c r="N1639" t="s">
        <v>3705</v>
      </c>
      <c r="O1639" t="s">
        <v>3706</v>
      </c>
      <c r="P1639">
        <v>1.9</v>
      </c>
    </row>
    <row r="1640" spans="1:16" x14ac:dyDescent="0.3">
      <c r="A1640" t="s">
        <v>29</v>
      </c>
      <c r="B1640" t="s">
        <v>24</v>
      </c>
      <c r="C1640" t="s">
        <v>25</v>
      </c>
      <c r="D1640" t="s">
        <v>363</v>
      </c>
      <c r="E1640" t="s">
        <v>365</v>
      </c>
      <c r="F1640" t="s">
        <v>13</v>
      </c>
      <c r="G1640" t="s">
        <v>457</v>
      </c>
      <c r="H1640" t="s">
        <v>368</v>
      </c>
      <c r="I1640">
        <v>60</v>
      </c>
      <c r="J1640">
        <v>0.8</v>
      </c>
      <c r="K1640">
        <v>0.77551020408163263</v>
      </c>
      <c r="L1640">
        <v>0.82608695652173914</v>
      </c>
      <c r="M1640" t="s">
        <v>60</v>
      </c>
      <c r="N1640" t="s">
        <v>3707</v>
      </c>
      <c r="O1640" t="s">
        <v>3708</v>
      </c>
      <c r="P1640">
        <v>2.2000000000000002</v>
      </c>
    </row>
    <row r="1641" spans="1:16" x14ac:dyDescent="0.3">
      <c r="A1641" t="s">
        <v>29</v>
      </c>
      <c r="B1641" t="s">
        <v>24</v>
      </c>
      <c r="C1641" t="s">
        <v>25</v>
      </c>
      <c r="D1641" t="s">
        <v>363</v>
      </c>
      <c r="E1641" t="s">
        <v>365</v>
      </c>
      <c r="F1641" t="s">
        <v>13</v>
      </c>
      <c r="G1641" t="s">
        <v>462</v>
      </c>
      <c r="H1641" t="s">
        <v>368</v>
      </c>
      <c r="I1641">
        <v>61</v>
      </c>
      <c r="J1641">
        <v>0.79237288135593209</v>
      </c>
      <c r="K1641">
        <v>0.77272727272727271</v>
      </c>
      <c r="L1641">
        <v>0.81304347826086953</v>
      </c>
      <c r="M1641" t="s">
        <v>60</v>
      </c>
      <c r="N1641" t="s">
        <v>3709</v>
      </c>
      <c r="O1641" t="s">
        <v>3710</v>
      </c>
      <c r="P1641">
        <v>1.9</v>
      </c>
    </row>
    <row r="1642" spans="1:16" x14ac:dyDescent="0.3">
      <c r="A1642" t="s">
        <v>29</v>
      </c>
      <c r="B1642" t="s">
        <v>24</v>
      </c>
      <c r="C1642" t="s">
        <v>25</v>
      </c>
      <c r="D1642" t="s">
        <v>363</v>
      </c>
      <c r="E1642" t="s">
        <v>467</v>
      </c>
      <c r="F1642" t="s">
        <v>9</v>
      </c>
      <c r="G1642" t="s">
        <v>468</v>
      </c>
      <c r="H1642" t="s">
        <v>470</v>
      </c>
      <c r="I1642">
        <v>42</v>
      </c>
      <c r="J1642">
        <v>0.77620396600566577</v>
      </c>
      <c r="K1642">
        <v>0.74456521739130432</v>
      </c>
      <c r="L1642">
        <v>0.81065088757396453</v>
      </c>
      <c r="M1642" t="s">
        <v>60</v>
      </c>
      <c r="N1642" t="s">
        <v>3711</v>
      </c>
      <c r="O1642" t="s">
        <v>3712</v>
      </c>
      <c r="P1642">
        <v>1.7</v>
      </c>
    </row>
    <row r="1643" spans="1:16" x14ac:dyDescent="0.3">
      <c r="A1643" t="s">
        <v>29</v>
      </c>
      <c r="B1643" t="s">
        <v>24</v>
      </c>
      <c r="C1643" t="s">
        <v>25</v>
      </c>
      <c r="D1643" t="s">
        <v>363</v>
      </c>
      <c r="E1643" t="s">
        <v>467</v>
      </c>
      <c r="F1643" t="s">
        <v>9</v>
      </c>
      <c r="G1643" t="s">
        <v>474</v>
      </c>
      <c r="H1643" t="s">
        <v>470</v>
      </c>
      <c r="I1643">
        <v>43</v>
      </c>
      <c r="J1643">
        <v>0.80110497237569056</v>
      </c>
      <c r="K1643">
        <v>0.75129533678756477</v>
      </c>
      <c r="L1643">
        <v>0.85798816568047342</v>
      </c>
      <c r="M1643" t="s">
        <v>60</v>
      </c>
      <c r="N1643" t="s">
        <v>3713</v>
      </c>
      <c r="O1643" t="s">
        <v>3714</v>
      </c>
      <c r="P1643">
        <v>2</v>
      </c>
    </row>
    <row r="1644" spans="1:16" x14ac:dyDescent="0.3">
      <c r="A1644" t="s">
        <v>29</v>
      </c>
      <c r="B1644" t="s">
        <v>24</v>
      </c>
      <c r="C1644" t="s">
        <v>25</v>
      </c>
      <c r="D1644" t="s">
        <v>363</v>
      </c>
      <c r="E1644" t="s">
        <v>467</v>
      </c>
      <c r="F1644" t="s">
        <v>9</v>
      </c>
      <c r="G1644" t="s">
        <v>479</v>
      </c>
      <c r="H1644" t="s">
        <v>470</v>
      </c>
      <c r="I1644">
        <v>44</v>
      </c>
      <c r="J1644">
        <v>0.79885057471264365</v>
      </c>
      <c r="K1644">
        <v>0.77653631284916202</v>
      </c>
      <c r="L1644">
        <v>0.8224852071005917</v>
      </c>
      <c r="M1644" t="s">
        <v>60</v>
      </c>
      <c r="N1644" t="s">
        <v>3715</v>
      </c>
      <c r="O1644" t="s">
        <v>3716</v>
      </c>
      <c r="P1644">
        <v>1.7</v>
      </c>
    </row>
    <row r="1645" spans="1:16" x14ac:dyDescent="0.3">
      <c r="A1645" t="s">
        <v>29</v>
      </c>
      <c r="B1645" t="s">
        <v>24</v>
      </c>
      <c r="C1645" t="s">
        <v>25</v>
      </c>
      <c r="D1645" t="s">
        <v>363</v>
      </c>
      <c r="E1645" t="s">
        <v>467</v>
      </c>
      <c r="F1645" t="s">
        <v>9</v>
      </c>
      <c r="G1645" t="s">
        <v>484</v>
      </c>
      <c r="H1645" t="s">
        <v>470</v>
      </c>
      <c r="I1645">
        <v>45</v>
      </c>
      <c r="J1645">
        <v>0.78753541076487243</v>
      </c>
      <c r="K1645">
        <v>0.75543478260869568</v>
      </c>
      <c r="L1645">
        <v>0.8224852071005917</v>
      </c>
      <c r="M1645" t="s">
        <v>60</v>
      </c>
      <c r="N1645" t="s">
        <v>3717</v>
      </c>
      <c r="O1645" t="s">
        <v>3718</v>
      </c>
      <c r="P1645">
        <v>1.9</v>
      </c>
    </row>
    <row r="1646" spans="1:16" x14ac:dyDescent="0.3">
      <c r="A1646" t="s">
        <v>29</v>
      </c>
      <c r="B1646" t="s">
        <v>24</v>
      </c>
      <c r="C1646" t="s">
        <v>25</v>
      </c>
      <c r="D1646" t="s">
        <v>363</v>
      </c>
      <c r="E1646" t="s">
        <v>467</v>
      </c>
      <c r="F1646" t="s">
        <v>9</v>
      </c>
      <c r="G1646" t="s">
        <v>489</v>
      </c>
      <c r="H1646" t="s">
        <v>470</v>
      </c>
      <c r="I1646">
        <v>46</v>
      </c>
      <c r="J1646">
        <v>0.76836158192090398</v>
      </c>
      <c r="K1646">
        <v>0.73513513513513518</v>
      </c>
      <c r="L1646">
        <v>0.80473372781065089</v>
      </c>
      <c r="M1646" t="s">
        <v>60</v>
      </c>
      <c r="N1646" t="s">
        <v>3719</v>
      </c>
      <c r="O1646" t="s">
        <v>3720</v>
      </c>
      <c r="P1646">
        <v>1.7</v>
      </c>
    </row>
    <row r="1647" spans="1:16" x14ac:dyDescent="0.3">
      <c r="A1647" t="s">
        <v>29</v>
      </c>
      <c r="B1647" t="s">
        <v>24</v>
      </c>
      <c r="C1647" t="s">
        <v>25</v>
      </c>
      <c r="D1647" t="s">
        <v>363</v>
      </c>
      <c r="E1647" t="s">
        <v>467</v>
      </c>
      <c r="F1647" t="s">
        <v>9</v>
      </c>
      <c r="G1647" t="s">
        <v>494</v>
      </c>
      <c r="H1647" t="s">
        <v>470</v>
      </c>
      <c r="I1647">
        <v>47</v>
      </c>
      <c r="J1647">
        <v>0.77900552486187857</v>
      </c>
      <c r="K1647">
        <v>0.73056994818652854</v>
      </c>
      <c r="L1647">
        <v>0.83431952662721898</v>
      </c>
      <c r="M1647" t="s">
        <v>60</v>
      </c>
      <c r="N1647" t="s">
        <v>3721</v>
      </c>
      <c r="O1647" t="s">
        <v>3722</v>
      </c>
      <c r="P1647">
        <v>2.1</v>
      </c>
    </row>
    <row r="1648" spans="1:16" x14ac:dyDescent="0.3">
      <c r="A1648" t="s">
        <v>29</v>
      </c>
      <c r="B1648" t="s">
        <v>24</v>
      </c>
      <c r="C1648" t="s">
        <v>25</v>
      </c>
      <c r="D1648" t="s">
        <v>363</v>
      </c>
      <c r="E1648" t="s">
        <v>467</v>
      </c>
      <c r="F1648" t="s">
        <v>9</v>
      </c>
      <c r="G1648" t="s">
        <v>499</v>
      </c>
      <c r="H1648" t="s">
        <v>470</v>
      </c>
      <c r="I1648">
        <v>48</v>
      </c>
      <c r="J1648">
        <v>0.79005524861878451</v>
      </c>
      <c r="K1648">
        <v>0.7409326424870466</v>
      </c>
      <c r="L1648">
        <v>0.84615384615384615</v>
      </c>
      <c r="M1648" t="s">
        <v>60</v>
      </c>
      <c r="N1648" t="s">
        <v>3723</v>
      </c>
      <c r="O1648" t="s">
        <v>3724</v>
      </c>
      <c r="P1648">
        <v>1.7</v>
      </c>
    </row>
    <row r="1649" spans="1:16" x14ac:dyDescent="0.3">
      <c r="A1649" t="s">
        <v>29</v>
      </c>
      <c r="B1649" t="s">
        <v>24</v>
      </c>
      <c r="C1649" t="s">
        <v>25</v>
      </c>
      <c r="D1649" t="s">
        <v>363</v>
      </c>
      <c r="E1649" t="s">
        <v>467</v>
      </c>
      <c r="F1649" t="s">
        <v>9</v>
      </c>
      <c r="G1649" t="s">
        <v>504</v>
      </c>
      <c r="H1649" t="s">
        <v>470</v>
      </c>
      <c r="I1649">
        <v>49</v>
      </c>
      <c r="J1649">
        <v>0.76966292134831449</v>
      </c>
      <c r="K1649">
        <v>0.73262032085561501</v>
      </c>
      <c r="L1649">
        <v>0.81065088757396453</v>
      </c>
      <c r="M1649" t="s">
        <v>60</v>
      </c>
      <c r="N1649" t="s">
        <v>3725</v>
      </c>
      <c r="O1649" t="s">
        <v>3726</v>
      </c>
      <c r="P1649">
        <v>1.7</v>
      </c>
    </row>
    <row r="1650" spans="1:16" x14ac:dyDescent="0.3">
      <c r="A1650" t="s">
        <v>29</v>
      </c>
      <c r="B1650" t="s">
        <v>24</v>
      </c>
      <c r="C1650" t="s">
        <v>25</v>
      </c>
      <c r="D1650" t="s">
        <v>363</v>
      </c>
      <c r="E1650" t="s">
        <v>467</v>
      </c>
      <c r="F1650" t="s">
        <v>9</v>
      </c>
      <c r="G1650" t="s">
        <v>509</v>
      </c>
      <c r="H1650" t="s">
        <v>470</v>
      </c>
      <c r="I1650">
        <v>50</v>
      </c>
      <c r="J1650">
        <v>0.81894150417827294</v>
      </c>
      <c r="K1650">
        <v>0.77368421052631575</v>
      </c>
      <c r="L1650">
        <v>0.86982248520710059</v>
      </c>
      <c r="M1650" t="s">
        <v>60</v>
      </c>
      <c r="N1650" t="s">
        <v>3727</v>
      </c>
      <c r="O1650" t="s">
        <v>3728</v>
      </c>
      <c r="P1650">
        <v>2.1</v>
      </c>
    </row>
    <row r="1651" spans="1:16" x14ac:dyDescent="0.3">
      <c r="A1651" t="s">
        <v>29</v>
      </c>
      <c r="B1651" t="s">
        <v>24</v>
      </c>
      <c r="C1651" t="s">
        <v>25</v>
      </c>
      <c r="D1651" t="s">
        <v>363</v>
      </c>
      <c r="E1651" t="s">
        <v>467</v>
      </c>
      <c r="F1651" t="s">
        <v>9</v>
      </c>
      <c r="G1651" t="s">
        <v>514</v>
      </c>
      <c r="H1651" t="s">
        <v>470</v>
      </c>
      <c r="I1651">
        <v>51</v>
      </c>
      <c r="J1651">
        <v>0.78991596638655459</v>
      </c>
      <c r="K1651">
        <v>0.75</v>
      </c>
      <c r="L1651">
        <v>0.83431952662721898</v>
      </c>
      <c r="M1651" t="s">
        <v>60</v>
      </c>
      <c r="N1651" t="s">
        <v>3729</v>
      </c>
      <c r="O1651" t="s">
        <v>3730</v>
      </c>
      <c r="P1651">
        <v>1.7</v>
      </c>
    </row>
    <row r="1652" spans="1:16" x14ac:dyDescent="0.3">
      <c r="A1652" t="s">
        <v>29</v>
      </c>
      <c r="B1652" t="s">
        <v>24</v>
      </c>
      <c r="C1652" t="s">
        <v>25</v>
      </c>
      <c r="D1652" t="s">
        <v>363</v>
      </c>
      <c r="E1652" t="s">
        <v>467</v>
      </c>
      <c r="F1652" t="s">
        <v>9</v>
      </c>
      <c r="G1652" t="s">
        <v>519</v>
      </c>
      <c r="H1652" t="s">
        <v>470</v>
      </c>
      <c r="I1652">
        <v>52</v>
      </c>
      <c r="J1652">
        <v>0.74380165289256195</v>
      </c>
      <c r="K1652">
        <v>0.69587628865979378</v>
      </c>
      <c r="L1652">
        <v>0.79881656804733725</v>
      </c>
      <c r="M1652" t="s">
        <v>60</v>
      </c>
      <c r="N1652" t="s">
        <v>3731</v>
      </c>
      <c r="O1652" t="s">
        <v>3732</v>
      </c>
      <c r="P1652">
        <v>1.7</v>
      </c>
    </row>
    <row r="1653" spans="1:16" x14ac:dyDescent="0.3">
      <c r="A1653" t="s">
        <v>29</v>
      </c>
      <c r="B1653" t="s">
        <v>24</v>
      </c>
      <c r="C1653" t="s">
        <v>25</v>
      </c>
      <c r="D1653" t="s">
        <v>363</v>
      </c>
      <c r="E1653" t="s">
        <v>467</v>
      </c>
      <c r="F1653" t="s">
        <v>9</v>
      </c>
      <c r="G1653" t="s">
        <v>524</v>
      </c>
      <c r="H1653" t="s">
        <v>470</v>
      </c>
      <c r="I1653">
        <v>53</v>
      </c>
      <c r="J1653">
        <v>0.7921348314606742</v>
      </c>
      <c r="K1653">
        <v>0.75401069518716579</v>
      </c>
      <c r="L1653">
        <v>0.83431952662721898</v>
      </c>
      <c r="M1653" t="s">
        <v>60</v>
      </c>
      <c r="N1653" t="s">
        <v>3733</v>
      </c>
      <c r="O1653" t="s">
        <v>3734</v>
      </c>
      <c r="P1653">
        <v>2.1</v>
      </c>
    </row>
    <row r="1654" spans="1:16" x14ac:dyDescent="0.3">
      <c r="A1654" t="s">
        <v>29</v>
      </c>
      <c r="B1654" t="s">
        <v>24</v>
      </c>
      <c r="C1654" t="s">
        <v>25</v>
      </c>
      <c r="D1654" t="s">
        <v>363</v>
      </c>
      <c r="E1654" t="s">
        <v>467</v>
      </c>
      <c r="F1654" t="s">
        <v>9</v>
      </c>
      <c r="G1654" t="s">
        <v>529</v>
      </c>
      <c r="H1654" t="s">
        <v>470</v>
      </c>
      <c r="I1654">
        <v>54</v>
      </c>
      <c r="J1654">
        <v>0.77134986225895319</v>
      </c>
      <c r="K1654">
        <v>0.72164948453608246</v>
      </c>
      <c r="L1654">
        <v>0.82840236686390534</v>
      </c>
      <c r="M1654" t="s">
        <v>60</v>
      </c>
      <c r="N1654" t="s">
        <v>3735</v>
      </c>
      <c r="O1654" t="s">
        <v>3736</v>
      </c>
      <c r="P1654">
        <v>1.7</v>
      </c>
    </row>
    <row r="1655" spans="1:16" x14ac:dyDescent="0.3">
      <c r="A1655" t="s">
        <v>29</v>
      </c>
      <c r="B1655" t="s">
        <v>24</v>
      </c>
      <c r="C1655" t="s">
        <v>25</v>
      </c>
      <c r="D1655" t="s">
        <v>363</v>
      </c>
      <c r="E1655" t="s">
        <v>467</v>
      </c>
      <c r="F1655" t="s">
        <v>9</v>
      </c>
      <c r="G1655" t="s">
        <v>534</v>
      </c>
      <c r="H1655" t="s">
        <v>470</v>
      </c>
      <c r="I1655">
        <v>55</v>
      </c>
      <c r="J1655">
        <v>0.8192090395480226</v>
      </c>
      <c r="K1655">
        <v>0.78378378378378377</v>
      </c>
      <c r="L1655">
        <v>0.85798816568047342</v>
      </c>
      <c r="M1655" t="s">
        <v>60</v>
      </c>
      <c r="N1655" t="s">
        <v>3737</v>
      </c>
      <c r="O1655" t="s">
        <v>3738</v>
      </c>
      <c r="P1655">
        <v>1.7</v>
      </c>
    </row>
    <row r="1656" spans="1:16" x14ac:dyDescent="0.3">
      <c r="A1656" t="s">
        <v>29</v>
      </c>
      <c r="B1656" t="s">
        <v>24</v>
      </c>
      <c r="C1656" t="s">
        <v>25</v>
      </c>
      <c r="D1656" t="s">
        <v>363</v>
      </c>
      <c r="E1656" t="s">
        <v>467</v>
      </c>
      <c r="F1656" t="s">
        <v>9</v>
      </c>
      <c r="G1656" t="s">
        <v>539</v>
      </c>
      <c r="H1656" t="s">
        <v>470</v>
      </c>
      <c r="I1656">
        <v>56</v>
      </c>
      <c r="J1656">
        <v>0.78651685393258419</v>
      </c>
      <c r="K1656">
        <v>0.74866310160427807</v>
      </c>
      <c r="L1656">
        <v>0.82840236686390534</v>
      </c>
      <c r="M1656" t="s">
        <v>60</v>
      </c>
      <c r="N1656" t="s">
        <v>3739</v>
      </c>
      <c r="O1656" t="s">
        <v>3740</v>
      </c>
      <c r="P1656">
        <v>1.7</v>
      </c>
    </row>
    <row r="1657" spans="1:16" x14ac:dyDescent="0.3">
      <c r="A1657" t="s">
        <v>29</v>
      </c>
      <c r="B1657" t="s">
        <v>24</v>
      </c>
      <c r="C1657" t="s">
        <v>25</v>
      </c>
      <c r="D1657" t="s">
        <v>363</v>
      </c>
      <c r="E1657" t="s">
        <v>467</v>
      </c>
      <c r="F1657" t="s">
        <v>9</v>
      </c>
      <c r="G1657" t="s">
        <v>544</v>
      </c>
      <c r="H1657" t="s">
        <v>470</v>
      </c>
      <c r="I1657">
        <v>57</v>
      </c>
      <c r="J1657">
        <v>0.78062678062678059</v>
      </c>
      <c r="K1657">
        <v>0.75274725274725274</v>
      </c>
      <c r="L1657">
        <v>0.81065088757396453</v>
      </c>
      <c r="M1657" t="s">
        <v>60</v>
      </c>
      <c r="N1657" t="s">
        <v>3741</v>
      </c>
      <c r="O1657" t="s">
        <v>3742</v>
      </c>
      <c r="P1657">
        <v>2.1</v>
      </c>
    </row>
    <row r="1658" spans="1:16" x14ac:dyDescent="0.3">
      <c r="A1658" t="s">
        <v>29</v>
      </c>
      <c r="B1658" t="s">
        <v>24</v>
      </c>
      <c r="C1658" t="s">
        <v>25</v>
      </c>
      <c r="D1658" t="s">
        <v>363</v>
      </c>
      <c r="E1658" t="s">
        <v>467</v>
      </c>
      <c r="F1658" t="s">
        <v>9</v>
      </c>
      <c r="G1658" t="s">
        <v>549</v>
      </c>
      <c r="H1658" t="s">
        <v>470</v>
      </c>
      <c r="I1658">
        <v>58</v>
      </c>
      <c r="J1658">
        <v>0.78904109589041105</v>
      </c>
      <c r="K1658">
        <v>0.73469387755102045</v>
      </c>
      <c r="L1658">
        <v>0.85207100591715978</v>
      </c>
      <c r="M1658" t="s">
        <v>60</v>
      </c>
      <c r="N1658" t="s">
        <v>3743</v>
      </c>
      <c r="O1658" t="s">
        <v>3744</v>
      </c>
      <c r="P1658">
        <v>1.7</v>
      </c>
    </row>
    <row r="1659" spans="1:16" x14ac:dyDescent="0.3">
      <c r="A1659" t="s">
        <v>29</v>
      </c>
      <c r="B1659" t="s">
        <v>24</v>
      </c>
      <c r="C1659" t="s">
        <v>25</v>
      </c>
      <c r="D1659" t="s">
        <v>363</v>
      </c>
      <c r="E1659" t="s">
        <v>467</v>
      </c>
      <c r="F1659" t="s">
        <v>9</v>
      </c>
      <c r="G1659" t="s">
        <v>554</v>
      </c>
      <c r="H1659" t="s">
        <v>470</v>
      </c>
      <c r="I1659">
        <v>59</v>
      </c>
      <c r="J1659">
        <v>0.78453038674033149</v>
      </c>
      <c r="K1659">
        <v>0.73575129533678751</v>
      </c>
      <c r="L1659">
        <v>0.84023668639053251</v>
      </c>
      <c r="M1659" t="s">
        <v>60</v>
      </c>
      <c r="N1659" t="s">
        <v>3745</v>
      </c>
      <c r="O1659" t="s">
        <v>3746</v>
      </c>
      <c r="P1659">
        <v>1.7</v>
      </c>
    </row>
    <row r="1660" spans="1:16" x14ac:dyDescent="0.3">
      <c r="A1660" t="s">
        <v>29</v>
      </c>
      <c r="B1660" t="s">
        <v>24</v>
      </c>
      <c r="C1660" t="s">
        <v>25</v>
      </c>
      <c r="D1660" t="s">
        <v>363</v>
      </c>
      <c r="E1660" t="s">
        <v>467</v>
      </c>
      <c r="F1660" t="s">
        <v>9</v>
      </c>
      <c r="G1660" t="s">
        <v>559</v>
      </c>
      <c r="H1660" t="s">
        <v>470</v>
      </c>
      <c r="I1660">
        <v>60</v>
      </c>
      <c r="J1660">
        <v>0.8044692737430168</v>
      </c>
      <c r="K1660">
        <v>0.76190476190476186</v>
      </c>
      <c r="L1660">
        <v>0.85207100591715978</v>
      </c>
      <c r="M1660" t="s">
        <v>60</v>
      </c>
      <c r="N1660" t="s">
        <v>3747</v>
      </c>
      <c r="O1660" t="s">
        <v>3748</v>
      </c>
      <c r="P1660">
        <v>1.6</v>
      </c>
    </row>
    <row r="1661" spans="1:16" x14ac:dyDescent="0.3">
      <c r="A1661" t="s">
        <v>29</v>
      </c>
      <c r="B1661" t="s">
        <v>24</v>
      </c>
      <c r="C1661" t="s">
        <v>25</v>
      </c>
      <c r="D1661" t="s">
        <v>363</v>
      </c>
      <c r="E1661" t="s">
        <v>467</v>
      </c>
      <c r="F1661" t="s">
        <v>9</v>
      </c>
      <c r="G1661" t="s">
        <v>564</v>
      </c>
      <c r="H1661" t="s">
        <v>470</v>
      </c>
      <c r="I1661">
        <v>61</v>
      </c>
      <c r="J1661">
        <v>0.78888888888888897</v>
      </c>
      <c r="K1661">
        <v>0.74345549738219896</v>
      </c>
      <c r="L1661">
        <v>0.84023668639053251</v>
      </c>
      <c r="M1661" t="s">
        <v>60</v>
      </c>
      <c r="N1661" t="s">
        <v>3749</v>
      </c>
      <c r="O1661" t="s">
        <v>3750</v>
      </c>
      <c r="P1661">
        <v>2.2000000000000002</v>
      </c>
    </row>
    <row r="1662" spans="1:16" x14ac:dyDescent="0.3">
      <c r="A1662" t="s">
        <v>29</v>
      </c>
      <c r="B1662" t="s">
        <v>24</v>
      </c>
      <c r="C1662" t="s">
        <v>25</v>
      </c>
      <c r="D1662" t="s">
        <v>363</v>
      </c>
      <c r="E1662" t="s">
        <v>569</v>
      </c>
      <c r="F1662" t="s">
        <v>11</v>
      </c>
      <c r="G1662" t="s">
        <v>570</v>
      </c>
      <c r="H1662" t="s">
        <v>572</v>
      </c>
      <c r="I1662">
        <v>42</v>
      </c>
      <c r="J1662">
        <v>0.81333333333333346</v>
      </c>
      <c r="K1662">
        <v>0.80263157894736847</v>
      </c>
      <c r="L1662">
        <v>0.82432432432432434</v>
      </c>
      <c r="M1662" t="s">
        <v>60</v>
      </c>
      <c r="N1662" t="s">
        <v>3751</v>
      </c>
      <c r="O1662" t="s">
        <v>3752</v>
      </c>
      <c r="P1662">
        <v>1.9</v>
      </c>
    </row>
    <row r="1663" spans="1:16" x14ac:dyDescent="0.3">
      <c r="A1663" t="s">
        <v>29</v>
      </c>
      <c r="B1663" t="s">
        <v>24</v>
      </c>
      <c r="C1663" t="s">
        <v>25</v>
      </c>
      <c r="D1663" t="s">
        <v>363</v>
      </c>
      <c r="E1663" t="s">
        <v>569</v>
      </c>
      <c r="F1663" t="s">
        <v>11</v>
      </c>
      <c r="G1663" t="s">
        <v>576</v>
      </c>
      <c r="H1663" t="s">
        <v>572</v>
      </c>
      <c r="I1663">
        <v>43</v>
      </c>
      <c r="J1663">
        <v>0.82017543859649134</v>
      </c>
      <c r="K1663">
        <v>0.79914529914529919</v>
      </c>
      <c r="L1663">
        <v>0.84234234234234229</v>
      </c>
      <c r="M1663" t="s">
        <v>60</v>
      </c>
      <c r="N1663" t="s">
        <v>3753</v>
      </c>
      <c r="O1663" t="s">
        <v>3754</v>
      </c>
      <c r="P1663">
        <v>1.9</v>
      </c>
    </row>
    <row r="1664" spans="1:16" x14ac:dyDescent="0.3">
      <c r="A1664" t="s">
        <v>29</v>
      </c>
      <c r="B1664" t="s">
        <v>24</v>
      </c>
      <c r="C1664" t="s">
        <v>25</v>
      </c>
      <c r="D1664" t="s">
        <v>363</v>
      </c>
      <c r="E1664" t="s">
        <v>569</v>
      </c>
      <c r="F1664" t="s">
        <v>11</v>
      </c>
      <c r="G1664" t="s">
        <v>581</v>
      </c>
      <c r="H1664" t="s">
        <v>572</v>
      </c>
      <c r="I1664">
        <v>44</v>
      </c>
      <c r="J1664">
        <v>0.83370288248337032</v>
      </c>
      <c r="K1664">
        <v>0.82096069868995636</v>
      </c>
      <c r="L1664">
        <v>0.84684684684684686</v>
      </c>
      <c r="M1664" t="s">
        <v>60</v>
      </c>
      <c r="N1664" t="s">
        <v>3755</v>
      </c>
      <c r="O1664" t="s">
        <v>3756</v>
      </c>
      <c r="P1664">
        <v>2.2999999999999998</v>
      </c>
    </row>
    <row r="1665" spans="1:16" x14ac:dyDescent="0.3">
      <c r="A1665" t="s">
        <v>29</v>
      </c>
      <c r="B1665" t="s">
        <v>24</v>
      </c>
      <c r="C1665" t="s">
        <v>25</v>
      </c>
      <c r="D1665" t="s">
        <v>363</v>
      </c>
      <c r="E1665" t="s">
        <v>569</v>
      </c>
      <c r="F1665" t="s">
        <v>11</v>
      </c>
      <c r="G1665" t="s">
        <v>586</v>
      </c>
      <c r="H1665" t="s">
        <v>572</v>
      </c>
      <c r="I1665">
        <v>45</v>
      </c>
      <c r="J1665">
        <v>0.81415929203539827</v>
      </c>
      <c r="K1665">
        <v>0.8</v>
      </c>
      <c r="L1665">
        <v>0.8288288288288288</v>
      </c>
      <c r="M1665" t="s">
        <v>60</v>
      </c>
      <c r="N1665" t="s">
        <v>3757</v>
      </c>
      <c r="O1665" t="s">
        <v>3758</v>
      </c>
      <c r="P1665">
        <v>1.8</v>
      </c>
    </row>
    <row r="1666" spans="1:16" x14ac:dyDescent="0.3">
      <c r="A1666" t="s">
        <v>29</v>
      </c>
      <c r="B1666" t="s">
        <v>24</v>
      </c>
      <c r="C1666" t="s">
        <v>25</v>
      </c>
      <c r="D1666" t="s">
        <v>363</v>
      </c>
      <c r="E1666" t="s">
        <v>569</v>
      </c>
      <c r="F1666" t="s">
        <v>11</v>
      </c>
      <c r="G1666" t="s">
        <v>591</v>
      </c>
      <c r="H1666" t="s">
        <v>572</v>
      </c>
      <c r="I1666">
        <v>46</v>
      </c>
      <c r="J1666">
        <v>0.81481481481481477</v>
      </c>
      <c r="K1666">
        <v>0.78902953586497893</v>
      </c>
      <c r="L1666">
        <v>0.84234234234234229</v>
      </c>
      <c r="M1666" t="s">
        <v>60</v>
      </c>
      <c r="N1666" t="s">
        <v>3759</v>
      </c>
      <c r="O1666" t="s">
        <v>3760</v>
      </c>
      <c r="P1666">
        <v>1.9</v>
      </c>
    </row>
    <row r="1667" spans="1:16" x14ac:dyDescent="0.3">
      <c r="A1667" t="s">
        <v>29</v>
      </c>
      <c r="B1667" t="s">
        <v>24</v>
      </c>
      <c r="C1667" t="s">
        <v>25</v>
      </c>
      <c r="D1667" t="s">
        <v>363</v>
      </c>
      <c r="E1667" t="s">
        <v>569</v>
      </c>
      <c r="F1667" t="s">
        <v>11</v>
      </c>
      <c r="G1667" t="s">
        <v>596</v>
      </c>
      <c r="H1667" t="s">
        <v>572</v>
      </c>
      <c r="I1667">
        <v>47</v>
      </c>
      <c r="J1667">
        <v>0.816593886462882</v>
      </c>
      <c r="K1667">
        <v>0.7923728813559322</v>
      </c>
      <c r="L1667">
        <v>0.84234234234234229</v>
      </c>
      <c r="M1667" t="s">
        <v>60</v>
      </c>
      <c r="N1667" t="s">
        <v>3761</v>
      </c>
      <c r="O1667" t="s">
        <v>3762</v>
      </c>
      <c r="P1667">
        <v>2.2999999999999998</v>
      </c>
    </row>
    <row r="1668" spans="1:16" x14ac:dyDescent="0.3">
      <c r="A1668" t="s">
        <v>29</v>
      </c>
      <c r="B1668" t="s">
        <v>24</v>
      </c>
      <c r="C1668" t="s">
        <v>25</v>
      </c>
      <c r="D1668" t="s">
        <v>363</v>
      </c>
      <c r="E1668" t="s">
        <v>569</v>
      </c>
      <c r="F1668" t="s">
        <v>11</v>
      </c>
      <c r="G1668" t="s">
        <v>601</v>
      </c>
      <c r="H1668" t="s">
        <v>572</v>
      </c>
      <c r="I1668">
        <v>48</v>
      </c>
      <c r="J1668">
        <v>0.81938325991189431</v>
      </c>
      <c r="K1668">
        <v>0.80172413793103448</v>
      </c>
      <c r="L1668">
        <v>0.83783783783783783</v>
      </c>
      <c r="M1668" t="s">
        <v>60</v>
      </c>
      <c r="N1668" t="s">
        <v>3763</v>
      </c>
      <c r="O1668" t="s">
        <v>3764</v>
      </c>
      <c r="P1668">
        <v>1.9</v>
      </c>
    </row>
    <row r="1669" spans="1:16" x14ac:dyDescent="0.3">
      <c r="A1669" t="s">
        <v>29</v>
      </c>
      <c r="B1669" t="s">
        <v>24</v>
      </c>
      <c r="C1669" t="s">
        <v>25</v>
      </c>
      <c r="D1669" t="s">
        <v>363</v>
      </c>
      <c r="E1669" t="s">
        <v>569</v>
      </c>
      <c r="F1669" t="s">
        <v>11</v>
      </c>
      <c r="G1669" t="s">
        <v>606</v>
      </c>
      <c r="H1669" t="s">
        <v>572</v>
      </c>
      <c r="I1669">
        <v>49</v>
      </c>
      <c r="J1669">
        <v>0.81677704194260492</v>
      </c>
      <c r="K1669">
        <v>0.80086580086580084</v>
      </c>
      <c r="L1669">
        <v>0.83333333333333337</v>
      </c>
      <c r="M1669" t="s">
        <v>60</v>
      </c>
      <c r="N1669" t="s">
        <v>3765</v>
      </c>
      <c r="O1669" t="s">
        <v>3766</v>
      </c>
      <c r="P1669">
        <v>1.9</v>
      </c>
    </row>
    <row r="1670" spans="1:16" x14ac:dyDescent="0.3">
      <c r="A1670" t="s">
        <v>29</v>
      </c>
      <c r="B1670" t="s">
        <v>24</v>
      </c>
      <c r="C1670" t="s">
        <v>25</v>
      </c>
      <c r="D1670" t="s">
        <v>363</v>
      </c>
      <c r="E1670" t="s">
        <v>569</v>
      </c>
      <c r="F1670" t="s">
        <v>11</v>
      </c>
      <c r="G1670" t="s">
        <v>611</v>
      </c>
      <c r="H1670" t="s">
        <v>572</v>
      </c>
      <c r="I1670">
        <v>50</v>
      </c>
      <c r="J1670">
        <v>0.82300884955752207</v>
      </c>
      <c r="K1670">
        <v>0.80869565217391304</v>
      </c>
      <c r="L1670">
        <v>0.83783783783783783</v>
      </c>
      <c r="M1670" t="s">
        <v>60</v>
      </c>
      <c r="N1670" t="s">
        <v>3767</v>
      </c>
      <c r="O1670" t="s">
        <v>3768</v>
      </c>
      <c r="P1670">
        <v>2.2000000000000002</v>
      </c>
    </row>
    <row r="1671" spans="1:16" x14ac:dyDescent="0.3">
      <c r="A1671" t="s">
        <v>29</v>
      </c>
      <c r="B1671" t="s">
        <v>24</v>
      </c>
      <c r="C1671" t="s">
        <v>25</v>
      </c>
      <c r="D1671" t="s">
        <v>363</v>
      </c>
      <c r="E1671" t="s">
        <v>569</v>
      </c>
      <c r="F1671" t="s">
        <v>11</v>
      </c>
      <c r="G1671" t="s">
        <v>616</v>
      </c>
      <c r="H1671" t="s">
        <v>572</v>
      </c>
      <c r="I1671">
        <v>51</v>
      </c>
      <c r="J1671">
        <v>0.81758241758241768</v>
      </c>
      <c r="K1671">
        <v>0.79828326180257514</v>
      </c>
      <c r="L1671">
        <v>0.83783783783783783</v>
      </c>
      <c r="M1671" t="s">
        <v>60</v>
      </c>
      <c r="N1671" t="s">
        <v>3769</v>
      </c>
      <c r="O1671" t="s">
        <v>3770</v>
      </c>
      <c r="P1671">
        <v>1.9</v>
      </c>
    </row>
    <row r="1672" spans="1:16" x14ac:dyDescent="0.3">
      <c r="A1672" t="s">
        <v>29</v>
      </c>
      <c r="B1672" t="s">
        <v>24</v>
      </c>
      <c r="C1672" t="s">
        <v>25</v>
      </c>
      <c r="D1672" t="s">
        <v>363</v>
      </c>
      <c r="E1672" t="s">
        <v>569</v>
      </c>
      <c r="F1672" t="s">
        <v>11</v>
      </c>
      <c r="G1672" t="s">
        <v>621</v>
      </c>
      <c r="H1672" t="s">
        <v>572</v>
      </c>
      <c r="I1672">
        <v>52</v>
      </c>
      <c r="J1672">
        <v>0.8258928571428571</v>
      </c>
      <c r="K1672">
        <v>0.81858407079646023</v>
      </c>
      <c r="L1672">
        <v>0.83333333333333337</v>
      </c>
      <c r="M1672" t="s">
        <v>60</v>
      </c>
      <c r="N1672" t="s">
        <v>3771</v>
      </c>
      <c r="O1672" t="s">
        <v>3772</v>
      </c>
      <c r="P1672">
        <v>1.8</v>
      </c>
    </row>
    <row r="1673" spans="1:16" x14ac:dyDescent="0.3">
      <c r="A1673" t="s">
        <v>29</v>
      </c>
      <c r="B1673" t="s">
        <v>24</v>
      </c>
      <c r="C1673" t="s">
        <v>25</v>
      </c>
      <c r="D1673" t="s">
        <v>363</v>
      </c>
      <c r="E1673" t="s">
        <v>569</v>
      </c>
      <c r="F1673" t="s">
        <v>11</v>
      </c>
      <c r="G1673" t="s">
        <v>626</v>
      </c>
      <c r="H1673" t="s">
        <v>572</v>
      </c>
      <c r="I1673">
        <v>53</v>
      </c>
      <c r="J1673">
        <v>0.82378854625550657</v>
      </c>
      <c r="K1673">
        <v>0.80603448275862066</v>
      </c>
      <c r="L1673">
        <v>0.84234234234234229</v>
      </c>
      <c r="M1673" t="s">
        <v>60</v>
      </c>
      <c r="N1673" t="s">
        <v>3773</v>
      </c>
      <c r="O1673" t="s">
        <v>3774</v>
      </c>
      <c r="P1673">
        <v>2.2999999999999998</v>
      </c>
    </row>
    <row r="1674" spans="1:16" x14ac:dyDescent="0.3">
      <c r="A1674" t="s">
        <v>29</v>
      </c>
      <c r="B1674" t="s">
        <v>24</v>
      </c>
      <c r="C1674" t="s">
        <v>25</v>
      </c>
      <c r="D1674" t="s">
        <v>363</v>
      </c>
      <c r="E1674" t="s">
        <v>569</v>
      </c>
      <c r="F1674" t="s">
        <v>11</v>
      </c>
      <c r="G1674" t="s">
        <v>631</v>
      </c>
      <c r="H1674" t="s">
        <v>572</v>
      </c>
      <c r="I1674">
        <v>54</v>
      </c>
      <c r="J1674">
        <v>0.8325991189427312</v>
      </c>
      <c r="K1674">
        <v>0.81465517241379315</v>
      </c>
      <c r="L1674">
        <v>0.85135135135135132</v>
      </c>
      <c r="M1674" t="s">
        <v>60</v>
      </c>
      <c r="N1674" t="s">
        <v>3775</v>
      </c>
      <c r="O1674" t="s">
        <v>3776</v>
      </c>
      <c r="P1674">
        <v>1.9</v>
      </c>
    </row>
    <row r="1675" spans="1:16" x14ac:dyDescent="0.3">
      <c r="A1675" t="s">
        <v>29</v>
      </c>
      <c r="B1675" t="s">
        <v>24</v>
      </c>
      <c r="C1675" t="s">
        <v>25</v>
      </c>
      <c r="D1675" t="s">
        <v>363</v>
      </c>
      <c r="E1675" t="s">
        <v>569</v>
      </c>
      <c r="F1675" t="s">
        <v>11</v>
      </c>
      <c r="G1675" t="s">
        <v>636</v>
      </c>
      <c r="H1675" t="s">
        <v>572</v>
      </c>
      <c r="I1675">
        <v>55</v>
      </c>
      <c r="J1675">
        <v>0.84257206208425717</v>
      </c>
      <c r="K1675">
        <v>0.82969432314410485</v>
      </c>
      <c r="L1675">
        <v>0.85585585585585588</v>
      </c>
      <c r="M1675" t="s">
        <v>60</v>
      </c>
      <c r="N1675" t="s">
        <v>3777</v>
      </c>
      <c r="O1675" t="s">
        <v>3778</v>
      </c>
      <c r="P1675">
        <v>1.8</v>
      </c>
    </row>
    <row r="1676" spans="1:16" x14ac:dyDescent="0.3">
      <c r="A1676" t="s">
        <v>29</v>
      </c>
      <c r="B1676" t="s">
        <v>24</v>
      </c>
      <c r="C1676" t="s">
        <v>25</v>
      </c>
      <c r="D1676" t="s">
        <v>363</v>
      </c>
      <c r="E1676" t="s">
        <v>569</v>
      </c>
      <c r="F1676" t="s">
        <v>11</v>
      </c>
      <c r="G1676" t="s">
        <v>641</v>
      </c>
      <c r="H1676" t="s">
        <v>572</v>
      </c>
      <c r="I1676">
        <v>56</v>
      </c>
      <c r="J1676">
        <v>0.81777777777777783</v>
      </c>
      <c r="K1676">
        <v>0.80701754385964908</v>
      </c>
      <c r="L1676">
        <v>0.8288288288288288</v>
      </c>
      <c r="M1676" t="s">
        <v>60</v>
      </c>
      <c r="N1676" t="s">
        <v>3779</v>
      </c>
      <c r="O1676" t="s">
        <v>3780</v>
      </c>
      <c r="P1676">
        <v>2.2999999999999998</v>
      </c>
    </row>
    <row r="1677" spans="1:16" x14ac:dyDescent="0.3">
      <c r="A1677" t="s">
        <v>29</v>
      </c>
      <c r="B1677" t="s">
        <v>24</v>
      </c>
      <c r="C1677" t="s">
        <v>25</v>
      </c>
      <c r="D1677" t="s">
        <v>363</v>
      </c>
      <c r="E1677" t="s">
        <v>569</v>
      </c>
      <c r="F1677" t="s">
        <v>11</v>
      </c>
      <c r="G1677" t="s">
        <v>646</v>
      </c>
      <c r="H1677" t="s">
        <v>572</v>
      </c>
      <c r="I1677">
        <v>57</v>
      </c>
      <c r="J1677">
        <v>0.82300884955752207</v>
      </c>
      <c r="K1677">
        <v>0.80869565217391304</v>
      </c>
      <c r="L1677">
        <v>0.83783783783783783</v>
      </c>
      <c r="M1677" t="s">
        <v>60</v>
      </c>
      <c r="N1677" t="s">
        <v>3781</v>
      </c>
      <c r="O1677" t="s">
        <v>3782</v>
      </c>
      <c r="P1677">
        <v>1.9</v>
      </c>
    </row>
    <row r="1678" spans="1:16" x14ac:dyDescent="0.3">
      <c r="A1678" t="s">
        <v>29</v>
      </c>
      <c r="B1678" t="s">
        <v>24</v>
      </c>
      <c r="C1678" t="s">
        <v>25</v>
      </c>
      <c r="D1678" t="s">
        <v>363</v>
      </c>
      <c r="E1678" t="s">
        <v>569</v>
      </c>
      <c r="F1678" t="s">
        <v>11</v>
      </c>
      <c r="G1678" t="s">
        <v>651</v>
      </c>
      <c r="H1678" t="s">
        <v>572</v>
      </c>
      <c r="I1678">
        <v>58</v>
      </c>
      <c r="J1678">
        <v>0.82483370288248348</v>
      </c>
      <c r="K1678">
        <v>0.81222707423580787</v>
      </c>
      <c r="L1678">
        <v>0.83783783783783783</v>
      </c>
      <c r="M1678" t="s">
        <v>60</v>
      </c>
      <c r="N1678" t="s">
        <v>3783</v>
      </c>
      <c r="O1678" t="s">
        <v>3784</v>
      </c>
      <c r="P1678">
        <v>2</v>
      </c>
    </row>
    <row r="1679" spans="1:16" x14ac:dyDescent="0.3">
      <c r="A1679" t="s">
        <v>29</v>
      </c>
      <c r="B1679" t="s">
        <v>24</v>
      </c>
      <c r="C1679" t="s">
        <v>25</v>
      </c>
      <c r="D1679" t="s">
        <v>363</v>
      </c>
      <c r="E1679" t="s">
        <v>569</v>
      </c>
      <c r="F1679" t="s">
        <v>11</v>
      </c>
      <c r="G1679" t="s">
        <v>656</v>
      </c>
      <c r="H1679" t="s">
        <v>572</v>
      </c>
      <c r="I1679">
        <v>59</v>
      </c>
      <c r="J1679">
        <v>0.81561822125813455</v>
      </c>
      <c r="K1679">
        <v>0.78661087866108792</v>
      </c>
      <c r="L1679">
        <v>0.84684684684684686</v>
      </c>
      <c r="M1679" t="s">
        <v>60</v>
      </c>
      <c r="N1679" t="s">
        <v>3785</v>
      </c>
      <c r="O1679" t="s">
        <v>3786</v>
      </c>
      <c r="P1679">
        <v>1.7</v>
      </c>
    </row>
    <row r="1680" spans="1:16" x14ac:dyDescent="0.3">
      <c r="A1680" t="s">
        <v>29</v>
      </c>
      <c r="B1680" t="s">
        <v>24</v>
      </c>
      <c r="C1680" t="s">
        <v>25</v>
      </c>
      <c r="D1680" t="s">
        <v>363</v>
      </c>
      <c r="E1680" t="s">
        <v>569</v>
      </c>
      <c r="F1680" t="s">
        <v>11</v>
      </c>
      <c r="G1680" t="s">
        <v>661</v>
      </c>
      <c r="H1680" t="s">
        <v>572</v>
      </c>
      <c r="I1680">
        <v>60</v>
      </c>
      <c r="J1680">
        <v>0.82819383259911894</v>
      </c>
      <c r="K1680">
        <v>0.81034482758620685</v>
      </c>
      <c r="L1680">
        <v>0.84684684684684686</v>
      </c>
      <c r="M1680" t="s">
        <v>60</v>
      </c>
      <c r="N1680" t="s">
        <v>3787</v>
      </c>
      <c r="O1680" t="s">
        <v>3788</v>
      </c>
      <c r="P1680">
        <v>1.3</v>
      </c>
    </row>
    <row r="1681" spans="1:16" x14ac:dyDescent="0.3">
      <c r="A1681" t="s">
        <v>29</v>
      </c>
      <c r="B1681" t="s">
        <v>24</v>
      </c>
      <c r="C1681" t="s">
        <v>25</v>
      </c>
      <c r="D1681" t="s">
        <v>363</v>
      </c>
      <c r="E1681" t="s">
        <v>569</v>
      </c>
      <c r="F1681" t="s">
        <v>11</v>
      </c>
      <c r="G1681" t="s">
        <v>666</v>
      </c>
      <c r="H1681" t="s">
        <v>572</v>
      </c>
      <c r="I1681">
        <v>61</v>
      </c>
      <c r="J1681">
        <v>0.84070796460176989</v>
      </c>
      <c r="K1681">
        <v>0.82608695652173914</v>
      </c>
      <c r="L1681">
        <v>0.85585585585585588</v>
      </c>
      <c r="M1681" t="s">
        <v>60</v>
      </c>
      <c r="N1681" t="s">
        <v>3789</v>
      </c>
      <c r="O1681" t="s">
        <v>3790</v>
      </c>
      <c r="P1681">
        <v>1.3</v>
      </c>
    </row>
    <row r="1682" spans="1:16" x14ac:dyDescent="0.3">
      <c r="A1682" t="s">
        <v>29</v>
      </c>
      <c r="B1682" t="s">
        <v>26</v>
      </c>
      <c r="C1682" t="s">
        <v>27</v>
      </c>
      <c r="D1682" t="s">
        <v>54</v>
      </c>
      <c r="E1682" t="s">
        <v>56</v>
      </c>
      <c r="F1682" t="s">
        <v>7</v>
      </c>
      <c r="G1682" t="s">
        <v>57</v>
      </c>
      <c r="H1682" t="s">
        <v>59</v>
      </c>
      <c r="I1682">
        <v>42</v>
      </c>
      <c r="J1682">
        <v>0.81589958158995812</v>
      </c>
      <c r="K1682">
        <v>0.78629032258064513</v>
      </c>
      <c r="L1682">
        <v>0.84782608695652173</v>
      </c>
      <c r="M1682" t="s">
        <v>60</v>
      </c>
      <c r="N1682" t="s">
        <v>3791</v>
      </c>
      <c r="O1682" t="s">
        <v>3792</v>
      </c>
      <c r="P1682">
        <v>4.7</v>
      </c>
    </row>
    <row r="1683" spans="1:16" x14ac:dyDescent="0.3">
      <c r="A1683" t="s">
        <v>29</v>
      </c>
      <c r="B1683" t="s">
        <v>26</v>
      </c>
      <c r="C1683" t="s">
        <v>27</v>
      </c>
      <c r="D1683" t="s">
        <v>54</v>
      </c>
      <c r="E1683" t="s">
        <v>56</v>
      </c>
      <c r="F1683" t="s">
        <v>7</v>
      </c>
      <c r="G1683" t="s">
        <v>65</v>
      </c>
      <c r="H1683" t="s">
        <v>59</v>
      </c>
      <c r="I1683">
        <v>43</v>
      </c>
      <c r="J1683">
        <v>0.78838174273858919</v>
      </c>
      <c r="K1683">
        <v>0.75396825396825395</v>
      </c>
      <c r="L1683">
        <v>0.82608695652173914</v>
      </c>
      <c r="M1683" t="s">
        <v>60</v>
      </c>
      <c r="N1683" t="s">
        <v>3793</v>
      </c>
      <c r="O1683" t="s">
        <v>3794</v>
      </c>
      <c r="P1683">
        <v>1.3</v>
      </c>
    </row>
    <row r="1684" spans="1:16" x14ac:dyDescent="0.3">
      <c r="A1684" t="s">
        <v>29</v>
      </c>
      <c r="B1684" t="s">
        <v>26</v>
      </c>
      <c r="C1684" t="s">
        <v>27</v>
      </c>
      <c r="D1684" t="s">
        <v>54</v>
      </c>
      <c r="E1684" t="s">
        <v>56</v>
      </c>
      <c r="F1684" t="s">
        <v>7</v>
      </c>
      <c r="G1684" t="s">
        <v>70</v>
      </c>
      <c r="H1684" t="s">
        <v>59</v>
      </c>
      <c r="I1684">
        <v>44</v>
      </c>
      <c r="J1684">
        <v>0.7752577319587628</v>
      </c>
      <c r="K1684">
        <v>0.73725490196078436</v>
      </c>
      <c r="L1684">
        <v>0.81739130434782614</v>
      </c>
      <c r="M1684" t="s">
        <v>60</v>
      </c>
      <c r="N1684" t="s">
        <v>3795</v>
      </c>
      <c r="O1684" t="s">
        <v>3796</v>
      </c>
      <c r="P1684">
        <v>1.7</v>
      </c>
    </row>
    <row r="1685" spans="1:16" x14ac:dyDescent="0.3">
      <c r="A1685" t="s">
        <v>29</v>
      </c>
      <c r="B1685" t="s">
        <v>26</v>
      </c>
      <c r="C1685" t="s">
        <v>27</v>
      </c>
      <c r="D1685" t="s">
        <v>54</v>
      </c>
      <c r="E1685" t="s">
        <v>56</v>
      </c>
      <c r="F1685" t="s">
        <v>7</v>
      </c>
      <c r="G1685" t="s">
        <v>75</v>
      </c>
      <c r="H1685" t="s">
        <v>59</v>
      </c>
      <c r="I1685">
        <v>45</v>
      </c>
      <c r="J1685">
        <v>0.80578512396694213</v>
      </c>
      <c r="K1685">
        <v>0.76771653543307083</v>
      </c>
      <c r="L1685">
        <v>0.84782608695652173</v>
      </c>
      <c r="M1685" t="s">
        <v>60</v>
      </c>
      <c r="N1685" t="s">
        <v>3797</v>
      </c>
      <c r="O1685" t="s">
        <v>3798</v>
      </c>
      <c r="P1685">
        <v>1.3</v>
      </c>
    </row>
    <row r="1686" spans="1:16" x14ac:dyDescent="0.3">
      <c r="A1686" t="s">
        <v>29</v>
      </c>
      <c r="B1686" t="s">
        <v>26</v>
      </c>
      <c r="C1686" t="s">
        <v>27</v>
      </c>
      <c r="D1686" t="s">
        <v>54</v>
      </c>
      <c r="E1686" t="s">
        <v>56</v>
      </c>
      <c r="F1686" t="s">
        <v>7</v>
      </c>
      <c r="G1686" t="s">
        <v>80</v>
      </c>
      <c r="H1686" t="s">
        <v>59</v>
      </c>
      <c r="I1686">
        <v>46</v>
      </c>
      <c r="J1686">
        <v>0.77366255144032925</v>
      </c>
      <c r="K1686">
        <v>0.734375</v>
      </c>
      <c r="L1686">
        <v>0.81739130434782614</v>
      </c>
      <c r="M1686" t="s">
        <v>60</v>
      </c>
      <c r="N1686" t="s">
        <v>3799</v>
      </c>
      <c r="O1686" t="s">
        <v>3800</v>
      </c>
      <c r="P1686">
        <v>1.3</v>
      </c>
    </row>
    <row r="1687" spans="1:16" x14ac:dyDescent="0.3">
      <c r="A1687" t="s">
        <v>29</v>
      </c>
      <c r="B1687" t="s">
        <v>26</v>
      </c>
      <c r="C1687" t="s">
        <v>27</v>
      </c>
      <c r="D1687" t="s">
        <v>54</v>
      </c>
      <c r="E1687" t="s">
        <v>56</v>
      </c>
      <c r="F1687" t="s">
        <v>7</v>
      </c>
      <c r="G1687" t="s">
        <v>85</v>
      </c>
      <c r="H1687" t="s">
        <v>59</v>
      </c>
      <c r="I1687">
        <v>47</v>
      </c>
      <c r="J1687">
        <v>0.79089026915113869</v>
      </c>
      <c r="K1687">
        <v>0.75494071146245056</v>
      </c>
      <c r="L1687">
        <v>0.83043478260869563</v>
      </c>
      <c r="M1687" t="s">
        <v>60</v>
      </c>
      <c r="N1687" t="s">
        <v>3801</v>
      </c>
      <c r="O1687" t="s">
        <v>3802</v>
      </c>
      <c r="P1687">
        <v>1.7</v>
      </c>
    </row>
    <row r="1688" spans="1:16" x14ac:dyDescent="0.3">
      <c r="A1688" t="s">
        <v>29</v>
      </c>
      <c r="B1688" t="s">
        <v>26</v>
      </c>
      <c r="C1688" t="s">
        <v>27</v>
      </c>
      <c r="D1688" t="s">
        <v>54</v>
      </c>
      <c r="E1688" t="s">
        <v>56</v>
      </c>
      <c r="F1688" t="s">
        <v>7</v>
      </c>
      <c r="G1688" t="s">
        <v>90</v>
      </c>
      <c r="H1688" t="s">
        <v>59</v>
      </c>
      <c r="I1688">
        <v>48</v>
      </c>
      <c r="J1688">
        <v>0.78423236514522832</v>
      </c>
      <c r="K1688">
        <v>0.75</v>
      </c>
      <c r="L1688">
        <v>0.82173913043478264</v>
      </c>
      <c r="M1688" t="s">
        <v>60</v>
      </c>
      <c r="N1688" t="s">
        <v>3803</v>
      </c>
      <c r="O1688" t="s">
        <v>3804</v>
      </c>
      <c r="P1688">
        <v>1.3</v>
      </c>
    </row>
    <row r="1689" spans="1:16" x14ac:dyDescent="0.3">
      <c r="A1689" t="s">
        <v>29</v>
      </c>
      <c r="B1689" t="s">
        <v>26</v>
      </c>
      <c r="C1689" t="s">
        <v>27</v>
      </c>
      <c r="D1689" t="s">
        <v>54</v>
      </c>
      <c r="E1689" t="s">
        <v>56</v>
      </c>
      <c r="F1689" t="s">
        <v>7</v>
      </c>
      <c r="G1689" t="s">
        <v>95</v>
      </c>
      <c r="H1689" t="s">
        <v>59</v>
      </c>
      <c r="I1689">
        <v>49</v>
      </c>
      <c r="J1689">
        <v>0.80497925311203322</v>
      </c>
      <c r="K1689">
        <v>0.76984126984126988</v>
      </c>
      <c r="L1689">
        <v>0.84347826086956523</v>
      </c>
      <c r="M1689" t="s">
        <v>60</v>
      </c>
      <c r="N1689" t="s">
        <v>3805</v>
      </c>
      <c r="O1689" t="s">
        <v>3806</v>
      </c>
      <c r="P1689">
        <v>1.3</v>
      </c>
    </row>
    <row r="1690" spans="1:16" x14ac:dyDescent="0.3">
      <c r="A1690" t="s">
        <v>29</v>
      </c>
      <c r="B1690" t="s">
        <v>26</v>
      </c>
      <c r="C1690" t="s">
        <v>27</v>
      </c>
      <c r="D1690" t="s">
        <v>54</v>
      </c>
      <c r="E1690" t="s">
        <v>56</v>
      </c>
      <c r="F1690" t="s">
        <v>7</v>
      </c>
      <c r="G1690" t="s">
        <v>100</v>
      </c>
      <c r="H1690" t="s">
        <v>59</v>
      </c>
      <c r="I1690">
        <v>50</v>
      </c>
      <c r="J1690">
        <v>0.79583333333333317</v>
      </c>
      <c r="K1690">
        <v>0.76400000000000001</v>
      </c>
      <c r="L1690">
        <v>0.83043478260869563</v>
      </c>
      <c r="M1690" t="s">
        <v>60</v>
      </c>
      <c r="N1690" t="s">
        <v>3807</v>
      </c>
      <c r="O1690" t="s">
        <v>3808</v>
      </c>
      <c r="P1690">
        <v>1.7</v>
      </c>
    </row>
    <row r="1691" spans="1:16" x14ac:dyDescent="0.3">
      <c r="A1691" t="s">
        <v>29</v>
      </c>
      <c r="B1691" t="s">
        <v>26</v>
      </c>
      <c r="C1691" t="s">
        <v>27</v>
      </c>
      <c r="D1691" t="s">
        <v>54</v>
      </c>
      <c r="E1691" t="s">
        <v>56</v>
      </c>
      <c r="F1691" t="s">
        <v>7</v>
      </c>
      <c r="G1691" t="s">
        <v>105</v>
      </c>
      <c r="H1691" t="s">
        <v>59</v>
      </c>
      <c r="I1691">
        <v>51</v>
      </c>
      <c r="J1691">
        <v>0.80082987551867213</v>
      </c>
      <c r="K1691">
        <v>0.76587301587301593</v>
      </c>
      <c r="L1691">
        <v>0.83913043478260874</v>
      </c>
      <c r="M1691" t="s">
        <v>60</v>
      </c>
      <c r="N1691" t="s">
        <v>3809</v>
      </c>
      <c r="O1691" t="s">
        <v>3810</v>
      </c>
      <c r="P1691">
        <v>1.3</v>
      </c>
    </row>
    <row r="1692" spans="1:16" x14ac:dyDescent="0.3">
      <c r="A1692" t="s">
        <v>29</v>
      </c>
      <c r="B1692" t="s">
        <v>26</v>
      </c>
      <c r="C1692" t="s">
        <v>27</v>
      </c>
      <c r="D1692" t="s">
        <v>54</v>
      </c>
      <c r="E1692" t="s">
        <v>56</v>
      </c>
      <c r="F1692" t="s">
        <v>7</v>
      </c>
      <c r="G1692" t="s">
        <v>110</v>
      </c>
      <c r="H1692" t="s">
        <v>59</v>
      </c>
      <c r="I1692">
        <v>52</v>
      </c>
      <c r="J1692">
        <v>0.78749999999999998</v>
      </c>
      <c r="K1692">
        <v>0.75600000000000001</v>
      </c>
      <c r="L1692">
        <v>0.82173913043478264</v>
      </c>
      <c r="M1692" t="s">
        <v>60</v>
      </c>
      <c r="N1692" t="s">
        <v>3811</v>
      </c>
      <c r="O1692" t="s">
        <v>3812</v>
      </c>
      <c r="P1692">
        <v>1.3</v>
      </c>
    </row>
    <row r="1693" spans="1:16" x14ac:dyDescent="0.3">
      <c r="A1693" t="s">
        <v>29</v>
      </c>
      <c r="B1693" t="s">
        <v>26</v>
      </c>
      <c r="C1693" t="s">
        <v>27</v>
      </c>
      <c r="D1693" t="s">
        <v>54</v>
      </c>
      <c r="E1693" t="s">
        <v>56</v>
      </c>
      <c r="F1693" t="s">
        <v>7</v>
      </c>
      <c r="G1693" t="s">
        <v>115</v>
      </c>
      <c r="H1693" t="s">
        <v>59</v>
      </c>
      <c r="I1693">
        <v>53</v>
      </c>
      <c r="J1693">
        <v>0.81912681912681917</v>
      </c>
      <c r="K1693">
        <v>0.78486055776892427</v>
      </c>
      <c r="L1693">
        <v>0.85652173913043483</v>
      </c>
      <c r="M1693" t="s">
        <v>60</v>
      </c>
      <c r="N1693" t="s">
        <v>3813</v>
      </c>
      <c r="O1693" t="s">
        <v>3814</v>
      </c>
      <c r="P1693">
        <v>1.7</v>
      </c>
    </row>
    <row r="1694" spans="1:16" x14ac:dyDescent="0.3">
      <c r="A1694" t="s">
        <v>29</v>
      </c>
      <c r="B1694" t="s">
        <v>26</v>
      </c>
      <c r="C1694" t="s">
        <v>27</v>
      </c>
      <c r="D1694" t="s">
        <v>54</v>
      </c>
      <c r="E1694" t="s">
        <v>56</v>
      </c>
      <c r="F1694" t="s">
        <v>7</v>
      </c>
      <c r="G1694" t="s">
        <v>120</v>
      </c>
      <c r="H1694" t="s">
        <v>59</v>
      </c>
      <c r="I1694">
        <v>54</v>
      </c>
      <c r="J1694">
        <v>0.78762886597938142</v>
      </c>
      <c r="K1694">
        <v>0.74901960784313726</v>
      </c>
      <c r="L1694">
        <v>0.83043478260869563</v>
      </c>
      <c r="M1694" t="s">
        <v>60</v>
      </c>
      <c r="N1694" t="s">
        <v>3815</v>
      </c>
      <c r="O1694" t="s">
        <v>3816</v>
      </c>
      <c r="P1694">
        <v>1.3</v>
      </c>
    </row>
    <row r="1695" spans="1:16" x14ac:dyDescent="0.3">
      <c r="A1695" t="s">
        <v>29</v>
      </c>
      <c r="B1695" t="s">
        <v>26</v>
      </c>
      <c r="C1695" t="s">
        <v>27</v>
      </c>
      <c r="D1695" t="s">
        <v>54</v>
      </c>
      <c r="E1695" t="s">
        <v>56</v>
      </c>
      <c r="F1695" t="s">
        <v>7</v>
      </c>
      <c r="G1695" t="s">
        <v>125</v>
      </c>
      <c r="H1695" t="s">
        <v>59</v>
      </c>
      <c r="I1695">
        <v>55</v>
      </c>
      <c r="J1695">
        <v>0.77338877338877343</v>
      </c>
      <c r="K1695">
        <v>0.74103585657370519</v>
      </c>
      <c r="L1695">
        <v>0.80869565217391304</v>
      </c>
      <c r="M1695" t="s">
        <v>60</v>
      </c>
      <c r="N1695" t="s">
        <v>3817</v>
      </c>
      <c r="O1695" t="s">
        <v>3818</v>
      </c>
      <c r="P1695">
        <v>1.7</v>
      </c>
    </row>
    <row r="1696" spans="1:16" x14ac:dyDescent="0.3">
      <c r="A1696" t="s">
        <v>29</v>
      </c>
      <c r="B1696" t="s">
        <v>26</v>
      </c>
      <c r="C1696" t="s">
        <v>27</v>
      </c>
      <c r="D1696" t="s">
        <v>54</v>
      </c>
      <c r="E1696" t="s">
        <v>56</v>
      </c>
      <c r="F1696" t="s">
        <v>7</v>
      </c>
      <c r="G1696" t="s">
        <v>130</v>
      </c>
      <c r="H1696" t="s">
        <v>59</v>
      </c>
      <c r="I1696">
        <v>56</v>
      </c>
      <c r="J1696">
        <v>0.79183673469387761</v>
      </c>
      <c r="K1696">
        <v>0.74615384615384617</v>
      </c>
      <c r="L1696">
        <v>0.84347826086956523</v>
      </c>
      <c r="M1696" t="s">
        <v>60</v>
      </c>
      <c r="N1696" t="s">
        <v>3819</v>
      </c>
      <c r="O1696" t="s">
        <v>3820</v>
      </c>
      <c r="P1696">
        <v>1.3</v>
      </c>
    </row>
    <row r="1697" spans="1:16" x14ac:dyDescent="0.3">
      <c r="A1697" t="s">
        <v>29</v>
      </c>
      <c r="B1697" t="s">
        <v>26</v>
      </c>
      <c r="C1697" t="s">
        <v>27</v>
      </c>
      <c r="D1697" t="s">
        <v>54</v>
      </c>
      <c r="E1697" t="s">
        <v>56</v>
      </c>
      <c r="F1697" t="s">
        <v>7</v>
      </c>
      <c r="G1697" t="s">
        <v>135</v>
      </c>
      <c r="H1697" t="s">
        <v>59</v>
      </c>
      <c r="I1697">
        <v>57</v>
      </c>
      <c r="J1697">
        <v>0.8091286307053942</v>
      </c>
      <c r="K1697">
        <v>0.77380952380952384</v>
      </c>
      <c r="L1697">
        <v>0.84782608695652173</v>
      </c>
      <c r="M1697" t="s">
        <v>60</v>
      </c>
      <c r="N1697" t="s">
        <v>3821</v>
      </c>
      <c r="O1697" t="s">
        <v>3822</v>
      </c>
      <c r="P1697">
        <v>1.3</v>
      </c>
    </row>
    <row r="1698" spans="1:16" x14ac:dyDescent="0.3">
      <c r="A1698" t="s">
        <v>29</v>
      </c>
      <c r="B1698" t="s">
        <v>26</v>
      </c>
      <c r="C1698" t="s">
        <v>27</v>
      </c>
      <c r="D1698" t="s">
        <v>54</v>
      </c>
      <c r="E1698" t="s">
        <v>56</v>
      </c>
      <c r="F1698" t="s">
        <v>7</v>
      </c>
      <c r="G1698" t="s">
        <v>140</v>
      </c>
      <c r="H1698" t="s">
        <v>59</v>
      </c>
      <c r="I1698">
        <v>58</v>
      </c>
      <c r="J1698">
        <v>0.80246913580246915</v>
      </c>
      <c r="K1698">
        <v>0.76171875</v>
      </c>
      <c r="L1698">
        <v>0.84782608695652173</v>
      </c>
      <c r="M1698" t="s">
        <v>60</v>
      </c>
      <c r="N1698" t="s">
        <v>3823</v>
      </c>
      <c r="O1698" t="s">
        <v>3824</v>
      </c>
      <c r="P1698">
        <v>1.7</v>
      </c>
    </row>
    <row r="1699" spans="1:16" x14ac:dyDescent="0.3">
      <c r="A1699" t="s">
        <v>29</v>
      </c>
      <c r="B1699" t="s">
        <v>26</v>
      </c>
      <c r="C1699" t="s">
        <v>27</v>
      </c>
      <c r="D1699" t="s">
        <v>54</v>
      </c>
      <c r="E1699" t="s">
        <v>56</v>
      </c>
      <c r="F1699" t="s">
        <v>7</v>
      </c>
      <c r="G1699" t="s">
        <v>145</v>
      </c>
      <c r="H1699" t="s">
        <v>59</v>
      </c>
      <c r="I1699">
        <v>59</v>
      </c>
      <c r="J1699">
        <v>0.79668049792531104</v>
      </c>
      <c r="K1699">
        <v>0.76190476190476186</v>
      </c>
      <c r="L1699">
        <v>0.83478260869565213</v>
      </c>
      <c r="M1699" t="s">
        <v>60</v>
      </c>
      <c r="N1699" t="s">
        <v>3825</v>
      </c>
      <c r="O1699" t="s">
        <v>3826</v>
      </c>
      <c r="P1699">
        <v>1.3</v>
      </c>
    </row>
    <row r="1700" spans="1:16" x14ac:dyDescent="0.3">
      <c r="A1700" t="s">
        <v>29</v>
      </c>
      <c r="B1700" t="s">
        <v>26</v>
      </c>
      <c r="C1700" t="s">
        <v>27</v>
      </c>
      <c r="D1700" t="s">
        <v>54</v>
      </c>
      <c r="E1700" t="s">
        <v>56</v>
      </c>
      <c r="F1700" t="s">
        <v>7</v>
      </c>
      <c r="G1700" t="s">
        <v>150</v>
      </c>
      <c r="H1700" t="s">
        <v>59</v>
      </c>
      <c r="I1700">
        <v>60</v>
      </c>
      <c r="J1700">
        <v>0.80334728033472802</v>
      </c>
      <c r="K1700">
        <v>0.77419354838709675</v>
      </c>
      <c r="L1700">
        <v>0.83478260869565213</v>
      </c>
      <c r="M1700" t="s">
        <v>60</v>
      </c>
      <c r="N1700" t="s">
        <v>3827</v>
      </c>
      <c r="O1700" t="s">
        <v>3828</v>
      </c>
      <c r="P1700">
        <v>1.3</v>
      </c>
    </row>
    <row r="1701" spans="1:16" x14ac:dyDescent="0.3">
      <c r="A1701" t="s">
        <v>29</v>
      </c>
      <c r="B1701" t="s">
        <v>26</v>
      </c>
      <c r="C1701" t="s">
        <v>27</v>
      </c>
      <c r="D1701" t="s">
        <v>54</v>
      </c>
      <c r="E1701" t="s">
        <v>56</v>
      </c>
      <c r="F1701" t="s">
        <v>7</v>
      </c>
      <c r="G1701" t="s">
        <v>155</v>
      </c>
      <c r="H1701" t="s">
        <v>59</v>
      </c>
      <c r="I1701">
        <v>61</v>
      </c>
      <c r="J1701">
        <v>0.78389830508474589</v>
      </c>
      <c r="K1701">
        <v>0.76446280991735538</v>
      </c>
      <c r="L1701">
        <v>0.80434782608695654</v>
      </c>
      <c r="M1701" t="s">
        <v>60</v>
      </c>
      <c r="N1701" t="s">
        <v>3829</v>
      </c>
      <c r="O1701" t="s">
        <v>3830</v>
      </c>
      <c r="P1701">
        <v>1.7</v>
      </c>
    </row>
    <row r="1702" spans="1:16" x14ac:dyDescent="0.3">
      <c r="A1702" t="s">
        <v>29</v>
      </c>
      <c r="B1702" t="s">
        <v>26</v>
      </c>
      <c r="C1702" t="s">
        <v>27</v>
      </c>
      <c r="D1702" t="s">
        <v>54</v>
      </c>
      <c r="E1702" t="s">
        <v>160</v>
      </c>
      <c r="F1702" t="s">
        <v>3</v>
      </c>
      <c r="G1702" t="s">
        <v>161</v>
      </c>
      <c r="H1702" t="s">
        <v>163</v>
      </c>
      <c r="I1702">
        <v>42</v>
      </c>
      <c r="J1702">
        <v>0.79665738161559885</v>
      </c>
      <c r="K1702">
        <v>0.75263157894736843</v>
      </c>
      <c r="L1702">
        <v>0.84615384615384615</v>
      </c>
      <c r="M1702" t="s">
        <v>60</v>
      </c>
      <c r="N1702" t="s">
        <v>3831</v>
      </c>
      <c r="O1702" t="s">
        <v>3832</v>
      </c>
      <c r="P1702">
        <v>1.2</v>
      </c>
    </row>
    <row r="1703" spans="1:16" x14ac:dyDescent="0.3">
      <c r="A1703" t="s">
        <v>29</v>
      </c>
      <c r="B1703" t="s">
        <v>26</v>
      </c>
      <c r="C1703" t="s">
        <v>27</v>
      </c>
      <c r="D1703" t="s">
        <v>54</v>
      </c>
      <c r="E1703" t="s">
        <v>160</v>
      </c>
      <c r="F1703" t="s">
        <v>3</v>
      </c>
      <c r="G1703" t="s">
        <v>167</v>
      </c>
      <c r="H1703" t="s">
        <v>163</v>
      </c>
      <c r="I1703">
        <v>43</v>
      </c>
      <c r="J1703">
        <v>0.7932960893854748</v>
      </c>
      <c r="K1703">
        <v>0.75132275132275128</v>
      </c>
      <c r="L1703">
        <v>0.84023668639053251</v>
      </c>
      <c r="M1703" t="s">
        <v>60</v>
      </c>
      <c r="N1703" t="s">
        <v>3833</v>
      </c>
      <c r="O1703" t="s">
        <v>3834</v>
      </c>
      <c r="P1703">
        <v>1.1000000000000001</v>
      </c>
    </row>
    <row r="1704" spans="1:16" x14ac:dyDescent="0.3">
      <c r="A1704" t="s">
        <v>29</v>
      </c>
      <c r="B1704" t="s">
        <v>26</v>
      </c>
      <c r="C1704" t="s">
        <v>27</v>
      </c>
      <c r="D1704" t="s">
        <v>54</v>
      </c>
      <c r="E1704" t="s">
        <v>160</v>
      </c>
      <c r="F1704" t="s">
        <v>3</v>
      </c>
      <c r="G1704" t="s">
        <v>172</v>
      </c>
      <c r="H1704" t="s">
        <v>163</v>
      </c>
      <c r="I1704">
        <v>44</v>
      </c>
      <c r="J1704">
        <v>0.82022471910112349</v>
      </c>
      <c r="K1704">
        <v>0.78074866310160429</v>
      </c>
      <c r="L1704">
        <v>0.86390532544378695</v>
      </c>
      <c r="M1704" t="s">
        <v>60</v>
      </c>
      <c r="N1704" t="s">
        <v>3835</v>
      </c>
      <c r="O1704" t="s">
        <v>3836</v>
      </c>
      <c r="P1704">
        <v>1.6</v>
      </c>
    </row>
    <row r="1705" spans="1:16" x14ac:dyDescent="0.3">
      <c r="A1705" t="s">
        <v>29</v>
      </c>
      <c r="B1705" t="s">
        <v>26</v>
      </c>
      <c r="C1705" t="s">
        <v>27</v>
      </c>
      <c r="D1705" t="s">
        <v>54</v>
      </c>
      <c r="E1705" t="s">
        <v>160</v>
      </c>
      <c r="F1705" t="s">
        <v>3</v>
      </c>
      <c r="G1705" t="s">
        <v>177</v>
      </c>
      <c r="H1705" t="s">
        <v>163</v>
      </c>
      <c r="I1705">
        <v>45</v>
      </c>
      <c r="J1705">
        <v>0.79436619718309853</v>
      </c>
      <c r="K1705">
        <v>0.75806451612903225</v>
      </c>
      <c r="L1705">
        <v>0.83431952662721898</v>
      </c>
      <c r="M1705" t="s">
        <v>60</v>
      </c>
      <c r="N1705" t="s">
        <v>3837</v>
      </c>
      <c r="O1705" t="s">
        <v>3838</v>
      </c>
      <c r="P1705">
        <v>1.1000000000000001</v>
      </c>
    </row>
    <row r="1706" spans="1:16" x14ac:dyDescent="0.3">
      <c r="A1706" t="s">
        <v>29</v>
      </c>
      <c r="B1706" t="s">
        <v>26</v>
      </c>
      <c r="C1706" t="s">
        <v>27</v>
      </c>
      <c r="D1706" t="s">
        <v>54</v>
      </c>
      <c r="E1706" t="s">
        <v>160</v>
      </c>
      <c r="F1706" t="s">
        <v>3</v>
      </c>
      <c r="G1706" t="s">
        <v>182</v>
      </c>
      <c r="H1706" t="s">
        <v>163</v>
      </c>
      <c r="I1706">
        <v>46</v>
      </c>
      <c r="J1706">
        <v>0.80115273775216145</v>
      </c>
      <c r="K1706">
        <v>0.7808988764044944</v>
      </c>
      <c r="L1706">
        <v>0.8224852071005917</v>
      </c>
      <c r="M1706" t="s">
        <v>60</v>
      </c>
      <c r="N1706" t="s">
        <v>3839</v>
      </c>
      <c r="O1706" t="s">
        <v>3840</v>
      </c>
      <c r="P1706">
        <v>1.1000000000000001</v>
      </c>
    </row>
    <row r="1707" spans="1:16" x14ac:dyDescent="0.3">
      <c r="A1707" t="s">
        <v>29</v>
      </c>
      <c r="B1707" t="s">
        <v>26</v>
      </c>
      <c r="C1707" t="s">
        <v>27</v>
      </c>
      <c r="D1707" t="s">
        <v>54</v>
      </c>
      <c r="E1707" t="s">
        <v>160</v>
      </c>
      <c r="F1707" t="s">
        <v>3</v>
      </c>
      <c r="G1707" t="s">
        <v>187</v>
      </c>
      <c r="H1707" t="s">
        <v>163</v>
      </c>
      <c r="I1707">
        <v>47</v>
      </c>
      <c r="J1707">
        <v>0.79661016949152552</v>
      </c>
      <c r="K1707">
        <v>0.76216216216216215</v>
      </c>
      <c r="L1707">
        <v>0.83431952662721898</v>
      </c>
      <c r="M1707" t="s">
        <v>60</v>
      </c>
      <c r="N1707" t="s">
        <v>3841</v>
      </c>
      <c r="O1707" t="s">
        <v>3842</v>
      </c>
      <c r="P1707">
        <v>1.1000000000000001</v>
      </c>
    </row>
    <row r="1708" spans="1:16" x14ac:dyDescent="0.3">
      <c r="A1708" t="s">
        <v>29</v>
      </c>
      <c r="B1708" t="s">
        <v>26</v>
      </c>
      <c r="C1708" t="s">
        <v>27</v>
      </c>
      <c r="D1708" t="s">
        <v>54</v>
      </c>
      <c r="E1708" t="s">
        <v>160</v>
      </c>
      <c r="F1708" t="s">
        <v>3</v>
      </c>
      <c r="G1708" t="s">
        <v>192</v>
      </c>
      <c r="H1708" t="s">
        <v>163</v>
      </c>
      <c r="I1708">
        <v>48</v>
      </c>
      <c r="J1708">
        <v>0.78309859154929573</v>
      </c>
      <c r="K1708">
        <v>0.74731182795698925</v>
      </c>
      <c r="L1708">
        <v>0.8224852071005917</v>
      </c>
      <c r="M1708" t="s">
        <v>60</v>
      </c>
      <c r="N1708" t="s">
        <v>3843</v>
      </c>
      <c r="O1708" t="s">
        <v>3844</v>
      </c>
      <c r="P1708">
        <v>1.6</v>
      </c>
    </row>
    <row r="1709" spans="1:16" x14ac:dyDescent="0.3">
      <c r="A1709" t="s">
        <v>29</v>
      </c>
      <c r="B1709" t="s">
        <v>26</v>
      </c>
      <c r="C1709" t="s">
        <v>27</v>
      </c>
      <c r="D1709" t="s">
        <v>54</v>
      </c>
      <c r="E1709" t="s">
        <v>160</v>
      </c>
      <c r="F1709" t="s">
        <v>3</v>
      </c>
      <c r="G1709" t="s">
        <v>197</v>
      </c>
      <c r="H1709" t="s">
        <v>163</v>
      </c>
      <c r="I1709">
        <v>49</v>
      </c>
      <c r="J1709">
        <v>0.80779944289693595</v>
      </c>
      <c r="K1709">
        <v>0.76315789473684215</v>
      </c>
      <c r="L1709">
        <v>0.85798816568047342</v>
      </c>
      <c r="M1709" t="s">
        <v>60</v>
      </c>
      <c r="N1709" t="s">
        <v>3845</v>
      </c>
      <c r="O1709" t="s">
        <v>3846</v>
      </c>
      <c r="P1709">
        <v>1.1000000000000001</v>
      </c>
    </row>
    <row r="1710" spans="1:16" x14ac:dyDescent="0.3">
      <c r="A1710" t="s">
        <v>29</v>
      </c>
      <c r="B1710" t="s">
        <v>26</v>
      </c>
      <c r="C1710" t="s">
        <v>27</v>
      </c>
      <c r="D1710" t="s">
        <v>54</v>
      </c>
      <c r="E1710" t="s">
        <v>160</v>
      </c>
      <c r="F1710" t="s">
        <v>3</v>
      </c>
      <c r="G1710" t="s">
        <v>202</v>
      </c>
      <c r="H1710" t="s">
        <v>163</v>
      </c>
      <c r="I1710">
        <v>50</v>
      </c>
      <c r="J1710">
        <v>0.82285714285714284</v>
      </c>
      <c r="K1710">
        <v>0.79558011049723754</v>
      </c>
      <c r="L1710">
        <v>0.85207100591715978</v>
      </c>
      <c r="M1710" t="s">
        <v>60</v>
      </c>
      <c r="N1710" t="s">
        <v>3847</v>
      </c>
      <c r="O1710" t="s">
        <v>3848</v>
      </c>
      <c r="P1710">
        <v>1.2</v>
      </c>
    </row>
    <row r="1711" spans="1:16" x14ac:dyDescent="0.3">
      <c r="A1711" t="s">
        <v>29</v>
      </c>
      <c r="B1711" t="s">
        <v>26</v>
      </c>
      <c r="C1711" t="s">
        <v>27</v>
      </c>
      <c r="D1711" t="s">
        <v>54</v>
      </c>
      <c r="E1711" t="s">
        <v>160</v>
      </c>
      <c r="F1711" t="s">
        <v>3</v>
      </c>
      <c r="G1711" t="s">
        <v>207</v>
      </c>
      <c r="H1711" t="s">
        <v>163</v>
      </c>
      <c r="I1711">
        <v>51</v>
      </c>
      <c r="J1711">
        <v>0.77777777777777779</v>
      </c>
      <c r="K1711">
        <v>0.73298429319371727</v>
      </c>
      <c r="L1711">
        <v>0.82840236686390534</v>
      </c>
      <c r="M1711" t="s">
        <v>60</v>
      </c>
      <c r="N1711" t="s">
        <v>3849</v>
      </c>
      <c r="O1711" t="s">
        <v>3850</v>
      </c>
      <c r="P1711">
        <v>1.1000000000000001</v>
      </c>
    </row>
    <row r="1712" spans="1:16" x14ac:dyDescent="0.3">
      <c r="A1712" t="s">
        <v>29</v>
      </c>
      <c r="B1712" t="s">
        <v>26</v>
      </c>
      <c r="C1712" t="s">
        <v>27</v>
      </c>
      <c r="D1712" t="s">
        <v>54</v>
      </c>
      <c r="E1712" t="s">
        <v>160</v>
      </c>
      <c r="F1712" t="s">
        <v>3</v>
      </c>
      <c r="G1712" t="s">
        <v>212</v>
      </c>
      <c r="H1712" t="s">
        <v>163</v>
      </c>
      <c r="I1712">
        <v>52</v>
      </c>
      <c r="J1712">
        <v>0.7921348314606742</v>
      </c>
      <c r="K1712">
        <v>0.75401069518716579</v>
      </c>
      <c r="L1712">
        <v>0.83431952662721898</v>
      </c>
      <c r="M1712" t="s">
        <v>60</v>
      </c>
      <c r="N1712" t="s">
        <v>3851</v>
      </c>
      <c r="O1712" t="s">
        <v>3852</v>
      </c>
      <c r="P1712">
        <v>1.5</v>
      </c>
    </row>
    <row r="1713" spans="1:16" x14ac:dyDescent="0.3">
      <c r="A1713" t="s">
        <v>29</v>
      </c>
      <c r="B1713" t="s">
        <v>26</v>
      </c>
      <c r="C1713" t="s">
        <v>27</v>
      </c>
      <c r="D1713" t="s">
        <v>54</v>
      </c>
      <c r="E1713" t="s">
        <v>160</v>
      </c>
      <c r="F1713" t="s">
        <v>3</v>
      </c>
      <c r="G1713" t="s">
        <v>217</v>
      </c>
      <c r="H1713" t="s">
        <v>163</v>
      </c>
      <c r="I1713">
        <v>53</v>
      </c>
      <c r="J1713">
        <v>0.80225988700564976</v>
      </c>
      <c r="K1713">
        <v>0.76756756756756761</v>
      </c>
      <c r="L1713">
        <v>0.84023668639053251</v>
      </c>
      <c r="M1713" t="s">
        <v>60</v>
      </c>
      <c r="N1713" t="s">
        <v>3853</v>
      </c>
      <c r="O1713" t="s">
        <v>3854</v>
      </c>
      <c r="P1713">
        <v>1.1000000000000001</v>
      </c>
    </row>
    <row r="1714" spans="1:16" x14ac:dyDescent="0.3">
      <c r="A1714" t="s">
        <v>29</v>
      </c>
      <c r="B1714" t="s">
        <v>26</v>
      </c>
      <c r="C1714" t="s">
        <v>27</v>
      </c>
      <c r="D1714" t="s">
        <v>54</v>
      </c>
      <c r="E1714" t="s">
        <v>160</v>
      </c>
      <c r="F1714" t="s">
        <v>3</v>
      </c>
      <c r="G1714" t="s">
        <v>222</v>
      </c>
      <c r="H1714" t="s">
        <v>163</v>
      </c>
      <c r="I1714">
        <v>54</v>
      </c>
      <c r="J1714">
        <v>0.78651685393258419</v>
      </c>
      <c r="K1714">
        <v>0.74866310160427807</v>
      </c>
      <c r="L1714">
        <v>0.82840236686390534</v>
      </c>
      <c r="M1714" t="s">
        <v>60</v>
      </c>
      <c r="N1714" t="s">
        <v>3855</v>
      </c>
      <c r="O1714" t="s">
        <v>3856</v>
      </c>
      <c r="P1714">
        <v>1.1000000000000001</v>
      </c>
    </row>
    <row r="1715" spans="1:16" x14ac:dyDescent="0.3">
      <c r="A1715" t="s">
        <v>29</v>
      </c>
      <c r="B1715" t="s">
        <v>26</v>
      </c>
      <c r="C1715" t="s">
        <v>27</v>
      </c>
      <c r="D1715" t="s">
        <v>54</v>
      </c>
      <c r="E1715" t="s">
        <v>160</v>
      </c>
      <c r="F1715" t="s">
        <v>3</v>
      </c>
      <c r="G1715" t="s">
        <v>227</v>
      </c>
      <c r="H1715" t="s">
        <v>163</v>
      </c>
      <c r="I1715">
        <v>55</v>
      </c>
      <c r="J1715">
        <v>0.82485875706214684</v>
      </c>
      <c r="K1715">
        <v>0.78918918918918923</v>
      </c>
      <c r="L1715">
        <v>0.86390532544378695</v>
      </c>
      <c r="M1715" t="s">
        <v>60</v>
      </c>
      <c r="N1715" t="s">
        <v>3857</v>
      </c>
      <c r="O1715" t="s">
        <v>3858</v>
      </c>
      <c r="P1715">
        <v>1.5</v>
      </c>
    </row>
    <row r="1716" spans="1:16" x14ac:dyDescent="0.3">
      <c r="A1716" t="s">
        <v>29</v>
      </c>
      <c r="B1716" t="s">
        <v>26</v>
      </c>
      <c r="C1716" t="s">
        <v>27</v>
      </c>
      <c r="D1716" t="s">
        <v>54</v>
      </c>
      <c r="E1716" t="s">
        <v>160</v>
      </c>
      <c r="F1716" t="s">
        <v>3</v>
      </c>
      <c r="G1716" t="s">
        <v>232</v>
      </c>
      <c r="H1716" t="s">
        <v>163</v>
      </c>
      <c r="I1716">
        <v>56</v>
      </c>
      <c r="J1716">
        <v>0.80341880341880345</v>
      </c>
      <c r="K1716">
        <v>0.77472527472527475</v>
      </c>
      <c r="L1716">
        <v>0.83431952662721898</v>
      </c>
      <c r="M1716" t="s">
        <v>60</v>
      </c>
      <c r="N1716" t="s">
        <v>3859</v>
      </c>
      <c r="O1716" t="s">
        <v>3860</v>
      </c>
      <c r="P1716">
        <v>1.2</v>
      </c>
    </row>
    <row r="1717" spans="1:16" x14ac:dyDescent="0.3">
      <c r="A1717" t="s">
        <v>29</v>
      </c>
      <c r="B1717" t="s">
        <v>26</v>
      </c>
      <c r="C1717" t="s">
        <v>27</v>
      </c>
      <c r="D1717" t="s">
        <v>54</v>
      </c>
      <c r="E1717" t="s">
        <v>160</v>
      </c>
      <c r="F1717" t="s">
        <v>3</v>
      </c>
      <c r="G1717" t="s">
        <v>237</v>
      </c>
      <c r="H1717" t="s">
        <v>163</v>
      </c>
      <c r="I1717">
        <v>57</v>
      </c>
      <c r="J1717">
        <v>0.79428571428571437</v>
      </c>
      <c r="K1717">
        <v>0.76795580110497241</v>
      </c>
      <c r="L1717">
        <v>0.8224852071005917</v>
      </c>
      <c r="M1717" t="s">
        <v>60</v>
      </c>
      <c r="N1717" t="s">
        <v>3861</v>
      </c>
      <c r="O1717" t="s">
        <v>3862</v>
      </c>
      <c r="P1717">
        <v>1.1000000000000001</v>
      </c>
    </row>
    <row r="1718" spans="1:16" x14ac:dyDescent="0.3">
      <c r="A1718" t="s">
        <v>29</v>
      </c>
      <c r="B1718" t="s">
        <v>26</v>
      </c>
      <c r="C1718" t="s">
        <v>27</v>
      </c>
      <c r="D1718" t="s">
        <v>54</v>
      </c>
      <c r="E1718" t="s">
        <v>160</v>
      </c>
      <c r="F1718" t="s">
        <v>3</v>
      </c>
      <c r="G1718" t="s">
        <v>242</v>
      </c>
      <c r="H1718" t="s">
        <v>163</v>
      </c>
      <c r="I1718">
        <v>58</v>
      </c>
      <c r="J1718">
        <v>0.79320113314447593</v>
      </c>
      <c r="K1718">
        <v>0.76086956521739135</v>
      </c>
      <c r="L1718">
        <v>0.82840236686390534</v>
      </c>
      <c r="M1718" t="s">
        <v>60</v>
      </c>
      <c r="N1718" t="s">
        <v>3863</v>
      </c>
      <c r="O1718" t="s">
        <v>3864</v>
      </c>
      <c r="P1718">
        <v>1.1000000000000001</v>
      </c>
    </row>
    <row r="1719" spans="1:16" x14ac:dyDescent="0.3">
      <c r="A1719" t="s">
        <v>29</v>
      </c>
      <c r="B1719" t="s">
        <v>26</v>
      </c>
      <c r="C1719" t="s">
        <v>27</v>
      </c>
      <c r="D1719" t="s">
        <v>54</v>
      </c>
      <c r="E1719" t="s">
        <v>160</v>
      </c>
      <c r="F1719" t="s">
        <v>3</v>
      </c>
      <c r="G1719" t="s">
        <v>247</v>
      </c>
      <c r="H1719" t="s">
        <v>163</v>
      </c>
      <c r="I1719">
        <v>59</v>
      </c>
      <c r="J1719">
        <v>0.79775280898876411</v>
      </c>
      <c r="K1719">
        <v>0.75935828877005351</v>
      </c>
      <c r="L1719">
        <v>0.84023668639053251</v>
      </c>
      <c r="M1719" t="s">
        <v>60</v>
      </c>
      <c r="N1719" t="s">
        <v>3865</v>
      </c>
      <c r="O1719" t="s">
        <v>3866</v>
      </c>
      <c r="P1719">
        <v>1.5</v>
      </c>
    </row>
    <row r="1720" spans="1:16" x14ac:dyDescent="0.3">
      <c r="A1720" t="s">
        <v>29</v>
      </c>
      <c r="B1720" t="s">
        <v>26</v>
      </c>
      <c r="C1720" t="s">
        <v>27</v>
      </c>
      <c r="D1720" t="s">
        <v>54</v>
      </c>
      <c r="E1720" t="s">
        <v>160</v>
      </c>
      <c r="F1720" t="s">
        <v>3</v>
      </c>
      <c r="G1720" t="s">
        <v>252</v>
      </c>
      <c r="H1720" t="s">
        <v>163</v>
      </c>
      <c r="I1720">
        <v>60</v>
      </c>
      <c r="J1720">
        <v>0.7932960893854748</v>
      </c>
      <c r="K1720">
        <v>0.75132275132275128</v>
      </c>
      <c r="L1720">
        <v>0.84023668639053251</v>
      </c>
      <c r="M1720" t="s">
        <v>60</v>
      </c>
      <c r="N1720" t="s">
        <v>3867</v>
      </c>
      <c r="O1720" t="s">
        <v>3868</v>
      </c>
      <c r="P1720">
        <v>1.2</v>
      </c>
    </row>
    <row r="1721" spans="1:16" x14ac:dyDescent="0.3">
      <c r="A1721" t="s">
        <v>29</v>
      </c>
      <c r="B1721" t="s">
        <v>26</v>
      </c>
      <c r="C1721" t="s">
        <v>27</v>
      </c>
      <c r="D1721" t="s">
        <v>54</v>
      </c>
      <c r="E1721" t="s">
        <v>160</v>
      </c>
      <c r="F1721" t="s">
        <v>3</v>
      </c>
      <c r="G1721" t="s">
        <v>257</v>
      </c>
      <c r="H1721" t="s">
        <v>163</v>
      </c>
      <c r="I1721">
        <v>61</v>
      </c>
      <c r="J1721">
        <v>0.79999999999999982</v>
      </c>
      <c r="K1721">
        <v>0.76344086021505375</v>
      </c>
      <c r="L1721">
        <v>0.84023668639053251</v>
      </c>
      <c r="M1721" t="s">
        <v>60</v>
      </c>
      <c r="N1721" t="s">
        <v>3869</v>
      </c>
      <c r="O1721" t="s">
        <v>3870</v>
      </c>
      <c r="P1721">
        <v>1.1000000000000001</v>
      </c>
    </row>
    <row r="1722" spans="1:16" x14ac:dyDescent="0.3">
      <c r="A1722" t="s">
        <v>29</v>
      </c>
      <c r="B1722" t="s">
        <v>26</v>
      </c>
      <c r="C1722" t="s">
        <v>27</v>
      </c>
      <c r="D1722" t="s">
        <v>54</v>
      </c>
      <c r="E1722" t="s">
        <v>262</v>
      </c>
      <c r="F1722" t="s">
        <v>5</v>
      </c>
      <c r="G1722" t="s">
        <v>263</v>
      </c>
      <c r="H1722" t="s">
        <v>265</v>
      </c>
      <c r="I1722">
        <v>42</v>
      </c>
      <c r="J1722">
        <v>0.81959910913140299</v>
      </c>
      <c r="K1722">
        <v>0.81057268722466957</v>
      </c>
      <c r="L1722">
        <v>0.8288288288288288</v>
      </c>
      <c r="M1722" t="s">
        <v>60</v>
      </c>
      <c r="N1722" t="s">
        <v>3871</v>
      </c>
      <c r="O1722" t="s">
        <v>3872</v>
      </c>
      <c r="P1722">
        <v>1.7</v>
      </c>
    </row>
    <row r="1723" spans="1:16" x14ac:dyDescent="0.3">
      <c r="A1723" t="s">
        <v>29</v>
      </c>
      <c r="B1723" t="s">
        <v>26</v>
      </c>
      <c r="C1723" t="s">
        <v>27</v>
      </c>
      <c r="D1723" t="s">
        <v>54</v>
      </c>
      <c r="E1723" t="s">
        <v>262</v>
      </c>
      <c r="F1723" t="s">
        <v>5</v>
      </c>
      <c r="G1723" t="s">
        <v>269</v>
      </c>
      <c r="H1723" t="s">
        <v>265</v>
      </c>
      <c r="I1723">
        <v>43</v>
      </c>
      <c r="J1723">
        <v>0.79385964912280704</v>
      </c>
      <c r="K1723">
        <v>0.77350427350427353</v>
      </c>
      <c r="L1723">
        <v>0.81531531531531531</v>
      </c>
      <c r="M1723" t="s">
        <v>60</v>
      </c>
      <c r="N1723" t="s">
        <v>3873</v>
      </c>
      <c r="O1723" t="s">
        <v>3874</v>
      </c>
      <c r="P1723">
        <v>1.3</v>
      </c>
    </row>
    <row r="1724" spans="1:16" x14ac:dyDescent="0.3">
      <c r="A1724" t="s">
        <v>29</v>
      </c>
      <c r="B1724" t="s">
        <v>26</v>
      </c>
      <c r="C1724" t="s">
        <v>27</v>
      </c>
      <c r="D1724" t="s">
        <v>54</v>
      </c>
      <c r="E1724" t="s">
        <v>262</v>
      </c>
      <c r="F1724" t="s">
        <v>5</v>
      </c>
      <c r="G1724" t="s">
        <v>274</v>
      </c>
      <c r="H1724" t="s">
        <v>265</v>
      </c>
      <c r="I1724">
        <v>44</v>
      </c>
      <c r="J1724">
        <v>0.79212253829321666</v>
      </c>
      <c r="K1724">
        <v>0.77021276595744681</v>
      </c>
      <c r="L1724">
        <v>0.81531531531531531</v>
      </c>
      <c r="M1724" t="s">
        <v>60</v>
      </c>
      <c r="N1724" t="s">
        <v>3875</v>
      </c>
      <c r="O1724" t="s">
        <v>3876</v>
      </c>
      <c r="P1724">
        <v>1.3</v>
      </c>
    </row>
    <row r="1725" spans="1:16" x14ac:dyDescent="0.3">
      <c r="A1725" t="s">
        <v>29</v>
      </c>
      <c r="B1725" t="s">
        <v>26</v>
      </c>
      <c r="C1725" t="s">
        <v>27</v>
      </c>
      <c r="D1725" t="s">
        <v>54</v>
      </c>
      <c r="E1725" t="s">
        <v>262</v>
      </c>
      <c r="F1725" t="s">
        <v>5</v>
      </c>
      <c r="G1725" t="s">
        <v>279</v>
      </c>
      <c r="H1725" t="s">
        <v>265</v>
      </c>
      <c r="I1725">
        <v>45</v>
      </c>
      <c r="J1725">
        <v>0.80616740088105721</v>
      </c>
      <c r="K1725">
        <v>0.78879310344827591</v>
      </c>
      <c r="L1725">
        <v>0.82432432432432434</v>
      </c>
      <c r="M1725" t="s">
        <v>60</v>
      </c>
      <c r="N1725" t="s">
        <v>3877</v>
      </c>
      <c r="O1725" t="s">
        <v>3878</v>
      </c>
      <c r="P1725">
        <v>1.7</v>
      </c>
    </row>
    <row r="1726" spans="1:16" x14ac:dyDescent="0.3">
      <c r="A1726" t="s">
        <v>29</v>
      </c>
      <c r="B1726" t="s">
        <v>26</v>
      </c>
      <c r="C1726" t="s">
        <v>27</v>
      </c>
      <c r="D1726" t="s">
        <v>54</v>
      </c>
      <c r="E1726" t="s">
        <v>262</v>
      </c>
      <c r="F1726" t="s">
        <v>5</v>
      </c>
      <c r="G1726" t="s">
        <v>284</v>
      </c>
      <c r="H1726" t="s">
        <v>265</v>
      </c>
      <c r="I1726">
        <v>46</v>
      </c>
      <c r="J1726">
        <v>0.82456140350877194</v>
      </c>
      <c r="K1726">
        <v>0.80341880341880345</v>
      </c>
      <c r="L1726">
        <v>0.84684684684684686</v>
      </c>
      <c r="M1726" t="s">
        <v>60</v>
      </c>
      <c r="N1726" t="s">
        <v>3879</v>
      </c>
      <c r="O1726" t="s">
        <v>3880</v>
      </c>
      <c r="P1726">
        <v>1.3</v>
      </c>
    </row>
    <row r="1727" spans="1:16" x14ac:dyDescent="0.3">
      <c r="A1727" t="s">
        <v>29</v>
      </c>
      <c r="B1727" t="s">
        <v>26</v>
      </c>
      <c r="C1727" t="s">
        <v>27</v>
      </c>
      <c r="D1727" t="s">
        <v>54</v>
      </c>
      <c r="E1727" t="s">
        <v>262</v>
      </c>
      <c r="F1727" t="s">
        <v>5</v>
      </c>
      <c r="G1727" t="s">
        <v>289</v>
      </c>
      <c r="H1727" t="s">
        <v>265</v>
      </c>
      <c r="I1727">
        <v>47</v>
      </c>
      <c r="J1727">
        <v>0.80176211453744495</v>
      </c>
      <c r="K1727">
        <v>0.78448275862068961</v>
      </c>
      <c r="L1727">
        <v>0.81981981981981977</v>
      </c>
      <c r="M1727" t="s">
        <v>60</v>
      </c>
      <c r="N1727" t="s">
        <v>3881</v>
      </c>
      <c r="O1727" t="s">
        <v>3882</v>
      </c>
      <c r="P1727">
        <v>1.3</v>
      </c>
    </row>
    <row r="1728" spans="1:16" x14ac:dyDescent="0.3">
      <c r="A1728" t="s">
        <v>29</v>
      </c>
      <c r="B1728" t="s">
        <v>26</v>
      </c>
      <c r="C1728" t="s">
        <v>27</v>
      </c>
      <c r="D1728" t="s">
        <v>54</v>
      </c>
      <c r="E1728" t="s">
        <v>262</v>
      </c>
      <c r="F1728" t="s">
        <v>5</v>
      </c>
      <c r="G1728" t="s">
        <v>294</v>
      </c>
      <c r="H1728" t="s">
        <v>265</v>
      </c>
      <c r="I1728">
        <v>48</v>
      </c>
      <c r="J1728">
        <v>0.79560439560439566</v>
      </c>
      <c r="K1728">
        <v>0.77682403433476399</v>
      </c>
      <c r="L1728">
        <v>0.81531531531531531</v>
      </c>
      <c r="M1728" t="s">
        <v>60</v>
      </c>
      <c r="N1728" t="s">
        <v>3883</v>
      </c>
      <c r="O1728" t="s">
        <v>3884</v>
      </c>
      <c r="P1728">
        <v>1.7</v>
      </c>
    </row>
    <row r="1729" spans="1:16" x14ac:dyDescent="0.3">
      <c r="A1729" t="s">
        <v>29</v>
      </c>
      <c r="B1729" t="s">
        <v>26</v>
      </c>
      <c r="C1729" t="s">
        <v>27</v>
      </c>
      <c r="D1729" t="s">
        <v>54</v>
      </c>
      <c r="E1729" t="s">
        <v>262</v>
      </c>
      <c r="F1729" t="s">
        <v>5</v>
      </c>
      <c r="G1729" t="s">
        <v>299</v>
      </c>
      <c r="H1729" t="s">
        <v>265</v>
      </c>
      <c r="I1729">
        <v>49</v>
      </c>
      <c r="J1729">
        <v>0.80530973451327426</v>
      </c>
      <c r="K1729">
        <v>0.79130434782608694</v>
      </c>
      <c r="L1729">
        <v>0.81981981981981977</v>
      </c>
      <c r="M1729" t="s">
        <v>60</v>
      </c>
      <c r="N1729" t="s">
        <v>3885</v>
      </c>
      <c r="O1729" t="s">
        <v>3886</v>
      </c>
      <c r="P1729">
        <v>1.3</v>
      </c>
    </row>
    <row r="1730" spans="1:16" x14ac:dyDescent="0.3">
      <c r="A1730" t="s">
        <v>29</v>
      </c>
      <c r="B1730" t="s">
        <v>26</v>
      </c>
      <c r="C1730" t="s">
        <v>27</v>
      </c>
      <c r="D1730" t="s">
        <v>54</v>
      </c>
      <c r="E1730" t="s">
        <v>262</v>
      </c>
      <c r="F1730" t="s">
        <v>5</v>
      </c>
      <c r="G1730" t="s">
        <v>304</v>
      </c>
      <c r="H1730" t="s">
        <v>265</v>
      </c>
      <c r="I1730">
        <v>50</v>
      </c>
      <c r="J1730">
        <v>0.79120879120879117</v>
      </c>
      <c r="K1730">
        <v>0.77253218884120167</v>
      </c>
      <c r="L1730">
        <v>0.81081081081081086</v>
      </c>
      <c r="M1730" t="s">
        <v>60</v>
      </c>
      <c r="N1730" t="s">
        <v>3887</v>
      </c>
      <c r="O1730" t="s">
        <v>3888</v>
      </c>
      <c r="P1730">
        <v>1.7</v>
      </c>
    </row>
    <row r="1731" spans="1:16" x14ac:dyDescent="0.3">
      <c r="A1731" t="s">
        <v>29</v>
      </c>
      <c r="B1731" t="s">
        <v>26</v>
      </c>
      <c r="C1731" t="s">
        <v>27</v>
      </c>
      <c r="D1731" t="s">
        <v>54</v>
      </c>
      <c r="E1731" t="s">
        <v>262</v>
      </c>
      <c r="F1731" t="s">
        <v>5</v>
      </c>
      <c r="G1731" t="s">
        <v>309</v>
      </c>
      <c r="H1731" t="s">
        <v>265</v>
      </c>
      <c r="I1731">
        <v>51</v>
      </c>
      <c r="J1731">
        <v>0.82819383259911894</v>
      </c>
      <c r="K1731">
        <v>0.81034482758620685</v>
      </c>
      <c r="L1731">
        <v>0.84684684684684686</v>
      </c>
      <c r="M1731" t="s">
        <v>60</v>
      </c>
      <c r="N1731" t="s">
        <v>3889</v>
      </c>
      <c r="O1731" t="s">
        <v>3890</v>
      </c>
      <c r="P1731">
        <v>1.4</v>
      </c>
    </row>
    <row r="1732" spans="1:16" x14ac:dyDescent="0.3">
      <c r="A1732" t="s">
        <v>29</v>
      </c>
      <c r="B1732" t="s">
        <v>26</v>
      </c>
      <c r="C1732" t="s">
        <v>27</v>
      </c>
      <c r="D1732" t="s">
        <v>54</v>
      </c>
      <c r="E1732" t="s">
        <v>262</v>
      </c>
      <c r="F1732" t="s">
        <v>5</v>
      </c>
      <c r="G1732" t="s">
        <v>314</v>
      </c>
      <c r="H1732" t="s">
        <v>265</v>
      </c>
      <c r="I1732">
        <v>52</v>
      </c>
      <c r="J1732">
        <v>0.81152993348115299</v>
      </c>
      <c r="K1732">
        <v>0.79912663755458513</v>
      </c>
      <c r="L1732">
        <v>0.82432432432432434</v>
      </c>
      <c r="M1732" t="s">
        <v>60</v>
      </c>
      <c r="N1732" t="s">
        <v>3891</v>
      </c>
      <c r="O1732" t="s">
        <v>3892</v>
      </c>
      <c r="P1732">
        <v>1.3</v>
      </c>
    </row>
    <row r="1733" spans="1:16" x14ac:dyDescent="0.3">
      <c r="A1733" t="s">
        <v>29</v>
      </c>
      <c r="B1733" t="s">
        <v>26</v>
      </c>
      <c r="C1733" t="s">
        <v>27</v>
      </c>
      <c r="D1733" t="s">
        <v>54</v>
      </c>
      <c r="E1733" t="s">
        <v>262</v>
      </c>
      <c r="F1733" t="s">
        <v>5</v>
      </c>
      <c r="G1733" t="s">
        <v>319</v>
      </c>
      <c r="H1733" t="s">
        <v>265</v>
      </c>
      <c r="I1733">
        <v>53</v>
      </c>
      <c r="J1733">
        <v>0.79911699779249445</v>
      </c>
      <c r="K1733">
        <v>0.78354978354978355</v>
      </c>
      <c r="L1733">
        <v>0.81531531531531531</v>
      </c>
      <c r="M1733" t="s">
        <v>60</v>
      </c>
      <c r="N1733" t="s">
        <v>3893</v>
      </c>
      <c r="O1733" t="s">
        <v>3894</v>
      </c>
      <c r="P1733">
        <v>1.7</v>
      </c>
    </row>
    <row r="1734" spans="1:16" x14ac:dyDescent="0.3">
      <c r="A1734" t="s">
        <v>29</v>
      </c>
      <c r="B1734" t="s">
        <v>26</v>
      </c>
      <c r="C1734" t="s">
        <v>27</v>
      </c>
      <c r="D1734" t="s">
        <v>54</v>
      </c>
      <c r="E1734" t="s">
        <v>262</v>
      </c>
      <c r="F1734" t="s">
        <v>5</v>
      </c>
      <c r="G1734" t="s">
        <v>324</v>
      </c>
      <c r="H1734" t="s">
        <v>265</v>
      </c>
      <c r="I1734">
        <v>54</v>
      </c>
      <c r="J1734">
        <v>0.80266075388026614</v>
      </c>
      <c r="K1734">
        <v>0.79039301310043664</v>
      </c>
      <c r="L1734">
        <v>0.81531531531531531</v>
      </c>
      <c r="M1734" t="s">
        <v>60</v>
      </c>
      <c r="N1734" t="s">
        <v>3895</v>
      </c>
      <c r="O1734" t="s">
        <v>3896</v>
      </c>
      <c r="P1734">
        <v>1.3</v>
      </c>
    </row>
    <row r="1735" spans="1:16" x14ac:dyDescent="0.3">
      <c r="A1735" t="s">
        <v>29</v>
      </c>
      <c r="B1735" t="s">
        <v>26</v>
      </c>
      <c r="C1735" t="s">
        <v>27</v>
      </c>
      <c r="D1735" t="s">
        <v>54</v>
      </c>
      <c r="E1735" t="s">
        <v>262</v>
      </c>
      <c r="F1735" t="s">
        <v>5</v>
      </c>
      <c r="G1735" t="s">
        <v>329</v>
      </c>
      <c r="H1735" t="s">
        <v>265</v>
      </c>
      <c r="I1735">
        <v>55</v>
      </c>
      <c r="J1735">
        <v>0.80623608017817361</v>
      </c>
      <c r="K1735">
        <v>0.79735682819383258</v>
      </c>
      <c r="L1735">
        <v>0.81531531531531531</v>
      </c>
      <c r="M1735" t="s">
        <v>60</v>
      </c>
      <c r="N1735" t="s">
        <v>3897</v>
      </c>
      <c r="O1735" t="s">
        <v>3898</v>
      </c>
      <c r="P1735">
        <v>1.3</v>
      </c>
    </row>
    <row r="1736" spans="1:16" x14ac:dyDescent="0.3">
      <c r="A1736" t="s">
        <v>29</v>
      </c>
      <c r="B1736" t="s">
        <v>26</v>
      </c>
      <c r="C1736" t="s">
        <v>27</v>
      </c>
      <c r="D1736" t="s">
        <v>54</v>
      </c>
      <c r="E1736" t="s">
        <v>262</v>
      </c>
      <c r="F1736" t="s">
        <v>5</v>
      </c>
      <c r="G1736" t="s">
        <v>334</v>
      </c>
      <c r="H1736" t="s">
        <v>265</v>
      </c>
      <c r="I1736">
        <v>56</v>
      </c>
      <c r="J1736">
        <v>0.79302832244008714</v>
      </c>
      <c r="K1736">
        <v>0.76793248945147674</v>
      </c>
      <c r="L1736">
        <v>0.81981981981981977</v>
      </c>
      <c r="M1736" t="s">
        <v>60</v>
      </c>
      <c r="N1736" t="s">
        <v>3899</v>
      </c>
      <c r="O1736" t="s">
        <v>3900</v>
      </c>
      <c r="P1736">
        <v>1.8</v>
      </c>
    </row>
    <row r="1737" spans="1:16" x14ac:dyDescent="0.3">
      <c r="A1737" t="s">
        <v>29</v>
      </c>
      <c r="B1737" t="s">
        <v>26</v>
      </c>
      <c r="C1737" t="s">
        <v>27</v>
      </c>
      <c r="D1737" t="s">
        <v>54</v>
      </c>
      <c r="E1737" t="s">
        <v>262</v>
      </c>
      <c r="F1737" t="s">
        <v>5</v>
      </c>
      <c r="G1737" t="s">
        <v>339</v>
      </c>
      <c r="H1737" t="s">
        <v>265</v>
      </c>
      <c r="I1737">
        <v>57</v>
      </c>
      <c r="J1737">
        <v>0.81400437636761491</v>
      </c>
      <c r="K1737">
        <v>0.79148936170212769</v>
      </c>
      <c r="L1737">
        <v>0.83783783783783783</v>
      </c>
      <c r="M1737" t="s">
        <v>60</v>
      </c>
      <c r="N1737" t="s">
        <v>3901</v>
      </c>
      <c r="O1737" t="s">
        <v>3902</v>
      </c>
      <c r="P1737">
        <v>1.3</v>
      </c>
    </row>
    <row r="1738" spans="1:16" x14ac:dyDescent="0.3">
      <c r="A1738" t="s">
        <v>29</v>
      </c>
      <c r="B1738" t="s">
        <v>26</v>
      </c>
      <c r="C1738" t="s">
        <v>27</v>
      </c>
      <c r="D1738" t="s">
        <v>54</v>
      </c>
      <c r="E1738" t="s">
        <v>262</v>
      </c>
      <c r="F1738" t="s">
        <v>5</v>
      </c>
      <c r="G1738" t="s">
        <v>344</v>
      </c>
      <c r="H1738" t="s">
        <v>265</v>
      </c>
      <c r="I1738">
        <v>58</v>
      </c>
      <c r="J1738">
        <v>0.81140350877192979</v>
      </c>
      <c r="K1738">
        <v>0.79059829059829057</v>
      </c>
      <c r="L1738">
        <v>0.83333333333333337</v>
      </c>
      <c r="M1738" t="s">
        <v>60</v>
      </c>
      <c r="N1738" t="s">
        <v>3903</v>
      </c>
      <c r="O1738" t="s">
        <v>3904</v>
      </c>
      <c r="P1738">
        <v>1.3</v>
      </c>
    </row>
    <row r="1739" spans="1:16" x14ac:dyDescent="0.3">
      <c r="A1739" t="s">
        <v>29</v>
      </c>
      <c r="B1739" t="s">
        <v>26</v>
      </c>
      <c r="C1739" t="s">
        <v>27</v>
      </c>
      <c r="D1739" t="s">
        <v>54</v>
      </c>
      <c r="E1739" t="s">
        <v>262</v>
      </c>
      <c r="F1739" t="s">
        <v>5</v>
      </c>
      <c r="G1739" t="s">
        <v>349</v>
      </c>
      <c r="H1739" t="s">
        <v>265</v>
      </c>
      <c r="I1739">
        <v>59</v>
      </c>
      <c r="J1739">
        <v>0.79912663755458513</v>
      </c>
      <c r="K1739">
        <v>0.77542372881355937</v>
      </c>
      <c r="L1739">
        <v>0.82432432432432434</v>
      </c>
      <c r="M1739" t="s">
        <v>60</v>
      </c>
      <c r="N1739" t="s">
        <v>3905</v>
      </c>
      <c r="O1739" t="s">
        <v>3906</v>
      </c>
      <c r="P1739">
        <v>1.8</v>
      </c>
    </row>
    <row r="1740" spans="1:16" x14ac:dyDescent="0.3">
      <c r="A1740" t="s">
        <v>29</v>
      </c>
      <c r="B1740" t="s">
        <v>26</v>
      </c>
      <c r="C1740" t="s">
        <v>27</v>
      </c>
      <c r="D1740" t="s">
        <v>54</v>
      </c>
      <c r="E1740" t="s">
        <v>262</v>
      </c>
      <c r="F1740" t="s">
        <v>5</v>
      </c>
      <c r="G1740" t="s">
        <v>354</v>
      </c>
      <c r="H1740" t="s">
        <v>265</v>
      </c>
      <c r="I1740">
        <v>60</v>
      </c>
      <c r="J1740">
        <v>0.80087527352297594</v>
      </c>
      <c r="K1740">
        <v>0.77872340425531916</v>
      </c>
      <c r="L1740">
        <v>0.82432432432432434</v>
      </c>
      <c r="M1740" t="s">
        <v>60</v>
      </c>
      <c r="N1740" t="s">
        <v>3907</v>
      </c>
      <c r="O1740" t="s">
        <v>3908</v>
      </c>
      <c r="P1740">
        <v>1.4</v>
      </c>
    </row>
    <row r="1741" spans="1:16" x14ac:dyDescent="0.3">
      <c r="A1741" t="s">
        <v>29</v>
      </c>
      <c r="B1741" t="s">
        <v>26</v>
      </c>
      <c r="C1741" t="s">
        <v>27</v>
      </c>
      <c r="D1741" t="s">
        <v>54</v>
      </c>
      <c r="E1741" t="s">
        <v>262</v>
      </c>
      <c r="F1741" t="s">
        <v>5</v>
      </c>
      <c r="G1741" t="s">
        <v>359</v>
      </c>
      <c r="H1741" t="s">
        <v>265</v>
      </c>
      <c r="I1741">
        <v>61</v>
      </c>
      <c r="J1741">
        <v>0.79379157427937908</v>
      </c>
      <c r="K1741">
        <v>0.78165938864628826</v>
      </c>
      <c r="L1741">
        <v>0.80630630630630629</v>
      </c>
      <c r="M1741" t="s">
        <v>60</v>
      </c>
      <c r="N1741" t="s">
        <v>3909</v>
      </c>
      <c r="O1741" t="s">
        <v>3910</v>
      </c>
      <c r="P1741">
        <v>1.7</v>
      </c>
    </row>
    <row r="1742" spans="1:16" x14ac:dyDescent="0.3">
      <c r="A1742" t="s">
        <v>29</v>
      </c>
      <c r="B1742" t="s">
        <v>26</v>
      </c>
      <c r="C1742" t="s">
        <v>27</v>
      </c>
      <c r="D1742" t="s">
        <v>363</v>
      </c>
      <c r="E1742" t="s">
        <v>365</v>
      </c>
      <c r="F1742" t="s">
        <v>13</v>
      </c>
      <c r="G1742" t="s">
        <v>366</v>
      </c>
      <c r="H1742" t="s">
        <v>368</v>
      </c>
      <c r="I1742">
        <v>42</v>
      </c>
      <c r="J1742">
        <v>0.79166666666666674</v>
      </c>
      <c r="K1742">
        <v>0.76</v>
      </c>
      <c r="L1742">
        <v>0.82608695652173914</v>
      </c>
      <c r="M1742" t="s">
        <v>60</v>
      </c>
      <c r="N1742" t="s">
        <v>3911</v>
      </c>
      <c r="O1742" t="s">
        <v>3912</v>
      </c>
      <c r="P1742">
        <v>1.3</v>
      </c>
    </row>
    <row r="1743" spans="1:16" x14ac:dyDescent="0.3">
      <c r="A1743" t="s">
        <v>29</v>
      </c>
      <c r="B1743" t="s">
        <v>26</v>
      </c>
      <c r="C1743" t="s">
        <v>27</v>
      </c>
      <c r="D1743" t="s">
        <v>363</v>
      </c>
      <c r="E1743" t="s">
        <v>365</v>
      </c>
      <c r="F1743" t="s">
        <v>13</v>
      </c>
      <c r="G1743" t="s">
        <v>372</v>
      </c>
      <c r="H1743" t="s">
        <v>368</v>
      </c>
      <c r="I1743">
        <v>43</v>
      </c>
      <c r="J1743">
        <v>0.8270042194092827</v>
      </c>
      <c r="K1743">
        <v>0.80327868852459017</v>
      </c>
      <c r="L1743">
        <v>0.85217391304347823</v>
      </c>
      <c r="M1743" t="s">
        <v>60</v>
      </c>
      <c r="N1743" t="s">
        <v>3913</v>
      </c>
      <c r="O1743" t="s">
        <v>3914</v>
      </c>
      <c r="P1743">
        <v>1.3</v>
      </c>
    </row>
    <row r="1744" spans="1:16" x14ac:dyDescent="0.3">
      <c r="A1744" t="s">
        <v>29</v>
      </c>
      <c r="B1744" t="s">
        <v>26</v>
      </c>
      <c r="C1744" t="s">
        <v>27</v>
      </c>
      <c r="D1744" t="s">
        <v>363</v>
      </c>
      <c r="E1744" t="s">
        <v>365</v>
      </c>
      <c r="F1744" t="s">
        <v>13</v>
      </c>
      <c r="G1744" t="s">
        <v>377</v>
      </c>
      <c r="H1744" t="s">
        <v>368</v>
      </c>
      <c r="I1744">
        <v>44</v>
      </c>
      <c r="J1744">
        <v>0.83613445378151263</v>
      </c>
      <c r="K1744">
        <v>0.80894308943089432</v>
      </c>
      <c r="L1744">
        <v>0.86521739130434783</v>
      </c>
      <c r="M1744" t="s">
        <v>60</v>
      </c>
      <c r="N1744" t="s">
        <v>3915</v>
      </c>
      <c r="O1744" t="s">
        <v>3916</v>
      </c>
      <c r="P1744">
        <v>1.7</v>
      </c>
    </row>
    <row r="1745" spans="1:16" x14ac:dyDescent="0.3">
      <c r="A1745" t="s">
        <v>29</v>
      </c>
      <c r="B1745" t="s">
        <v>26</v>
      </c>
      <c r="C1745" t="s">
        <v>27</v>
      </c>
      <c r="D1745" t="s">
        <v>363</v>
      </c>
      <c r="E1745" t="s">
        <v>365</v>
      </c>
      <c r="F1745" t="s">
        <v>13</v>
      </c>
      <c r="G1745" t="s">
        <v>382</v>
      </c>
      <c r="H1745" t="s">
        <v>368</v>
      </c>
      <c r="I1745">
        <v>45</v>
      </c>
      <c r="J1745">
        <v>0.82352941176470573</v>
      </c>
      <c r="K1745">
        <v>0.7967479674796748</v>
      </c>
      <c r="L1745">
        <v>0.85217391304347823</v>
      </c>
      <c r="M1745" t="s">
        <v>60</v>
      </c>
      <c r="N1745" t="s">
        <v>3917</v>
      </c>
      <c r="O1745" t="s">
        <v>3918</v>
      </c>
      <c r="P1745">
        <v>1.3</v>
      </c>
    </row>
    <row r="1746" spans="1:16" x14ac:dyDescent="0.3">
      <c r="A1746" t="s">
        <v>29</v>
      </c>
      <c r="B1746" t="s">
        <v>26</v>
      </c>
      <c r="C1746" t="s">
        <v>27</v>
      </c>
      <c r="D1746" t="s">
        <v>363</v>
      </c>
      <c r="E1746" t="s">
        <v>365</v>
      </c>
      <c r="F1746" t="s">
        <v>13</v>
      </c>
      <c r="G1746" t="s">
        <v>387</v>
      </c>
      <c r="H1746" t="s">
        <v>368</v>
      </c>
      <c r="I1746">
        <v>46</v>
      </c>
      <c r="J1746">
        <v>0.81092436974789917</v>
      </c>
      <c r="K1746">
        <v>0.78455284552845528</v>
      </c>
      <c r="L1746">
        <v>0.83913043478260874</v>
      </c>
      <c r="M1746" t="s">
        <v>60</v>
      </c>
      <c r="N1746" t="s">
        <v>3919</v>
      </c>
      <c r="O1746" t="s">
        <v>3920</v>
      </c>
      <c r="P1746">
        <v>1.3</v>
      </c>
    </row>
    <row r="1747" spans="1:16" x14ac:dyDescent="0.3">
      <c r="A1747" t="s">
        <v>29</v>
      </c>
      <c r="B1747" t="s">
        <v>26</v>
      </c>
      <c r="C1747" t="s">
        <v>27</v>
      </c>
      <c r="D1747" t="s">
        <v>363</v>
      </c>
      <c r="E1747" t="s">
        <v>365</v>
      </c>
      <c r="F1747" t="s">
        <v>13</v>
      </c>
      <c r="G1747" t="s">
        <v>392</v>
      </c>
      <c r="H1747" t="s">
        <v>368</v>
      </c>
      <c r="I1747">
        <v>47</v>
      </c>
      <c r="J1747">
        <v>0.83193277310924374</v>
      </c>
      <c r="K1747">
        <v>0.80487804878048785</v>
      </c>
      <c r="L1747">
        <v>0.86086956521739133</v>
      </c>
      <c r="M1747" t="s">
        <v>60</v>
      </c>
      <c r="N1747" t="s">
        <v>3921</v>
      </c>
      <c r="O1747" t="s">
        <v>3922</v>
      </c>
      <c r="P1747">
        <v>1.7</v>
      </c>
    </row>
    <row r="1748" spans="1:16" x14ac:dyDescent="0.3">
      <c r="A1748" t="s">
        <v>29</v>
      </c>
      <c r="B1748" t="s">
        <v>26</v>
      </c>
      <c r="C1748" t="s">
        <v>27</v>
      </c>
      <c r="D1748" t="s">
        <v>363</v>
      </c>
      <c r="E1748" t="s">
        <v>365</v>
      </c>
      <c r="F1748" t="s">
        <v>13</v>
      </c>
      <c r="G1748" t="s">
        <v>397</v>
      </c>
      <c r="H1748" t="s">
        <v>368</v>
      </c>
      <c r="I1748">
        <v>48</v>
      </c>
      <c r="J1748">
        <v>0.81355932203389825</v>
      </c>
      <c r="K1748">
        <v>0.79338842975206614</v>
      </c>
      <c r="L1748">
        <v>0.83478260869565213</v>
      </c>
      <c r="M1748" t="s">
        <v>60</v>
      </c>
      <c r="N1748" t="s">
        <v>3923</v>
      </c>
      <c r="O1748" t="s">
        <v>3924</v>
      </c>
      <c r="P1748">
        <v>1.3</v>
      </c>
    </row>
    <row r="1749" spans="1:16" x14ac:dyDescent="0.3">
      <c r="A1749" t="s">
        <v>29</v>
      </c>
      <c r="B1749" t="s">
        <v>26</v>
      </c>
      <c r="C1749" t="s">
        <v>27</v>
      </c>
      <c r="D1749" t="s">
        <v>363</v>
      </c>
      <c r="E1749" t="s">
        <v>365</v>
      </c>
      <c r="F1749" t="s">
        <v>13</v>
      </c>
      <c r="G1749" t="s">
        <v>402</v>
      </c>
      <c r="H1749" t="s">
        <v>368</v>
      </c>
      <c r="I1749">
        <v>49</v>
      </c>
      <c r="J1749">
        <v>0.82875264270613114</v>
      </c>
      <c r="K1749">
        <v>0.80658436213991769</v>
      </c>
      <c r="L1749">
        <v>0.85217391304347823</v>
      </c>
      <c r="M1749" t="s">
        <v>60</v>
      </c>
      <c r="N1749" t="s">
        <v>3925</v>
      </c>
      <c r="O1749" t="s">
        <v>3926</v>
      </c>
      <c r="P1749">
        <v>1.7</v>
      </c>
    </row>
    <row r="1750" spans="1:16" x14ac:dyDescent="0.3">
      <c r="A1750" t="s">
        <v>29</v>
      </c>
      <c r="B1750" t="s">
        <v>26</v>
      </c>
      <c r="C1750" t="s">
        <v>27</v>
      </c>
      <c r="D1750" t="s">
        <v>363</v>
      </c>
      <c r="E1750" t="s">
        <v>365</v>
      </c>
      <c r="F1750" t="s">
        <v>13</v>
      </c>
      <c r="G1750" t="s">
        <v>407</v>
      </c>
      <c r="H1750" t="s">
        <v>368</v>
      </c>
      <c r="I1750">
        <v>50</v>
      </c>
      <c r="J1750">
        <v>0.83122362869198319</v>
      </c>
      <c r="K1750">
        <v>0.80737704918032782</v>
      </c>
      <c r="L1750">
        <v>0.85652173913043483</v>
      </c>
      <c r="M1750" t="s">
        <v>60</v>
      </c>
      <c r="N1750" t="s">
        <v>3927</v>
      </c>
      <c r="O1750" t="s">
        <v>3928</v>
      </c>
      <c r="P1750">
        <v>1.3</v>
      </c>
    </row>
    <row r="1751" spans="1:16" x14ac:dyDescent="0.3">
      <c r="A1751" t="s">
        <v>29</v>
      </c>
      <c r="B1751" t="s">
        <v>26</v>
      </c>
      <c r="C1751" t="s">
        <v>27</v>
      </c>
      <c r="D1751" t="s">
        <v>363</v>
      </c>
      <c r="E1751" t="s">
        <v>365</v>
      </c>
      <c r="F1751" t="s">
        <v>13</v>
      </c>
      <c r="G1751" t="s">
        <v>412</v>
      </c>
      <c r="H1751" t="s">
        <v>368</v>
      </c>
      <c r="I1751">
        <v>51</v>
      </c>
      <c r="J1751">
        <v>0.84680851063829787</v>
      </c>
      <c r="K1751">
        <v>0.82916666666666672</v>
      </c>
      <c r="L1751">
        <v>0.86521739130434783</v>
      </c>
      <c r="M1751" t="s">
        <v>60</v>
      </c>
      <c r="N1751" t="s">
        <v>3929</v>
      </c>
      <c r="O1751" t="s">
        <v>3930</v>
      </c>
      <c r="P1751">
        <v>1.3</v>
      </c>
    </row>
    <row r="1752" spans="1:16" x14ac:dyDescent="0.3">
      <c r="A1752" t="s">
        <v>29</v>
      </c>
      <c r="B1752" t="s">
        <v>26</v>
      </c>
      <c r="C1752" t="s">
        <v>27</v>
      </c>
      <c r="D1752" t="s">
        <v>363</v>
      </c>
      <c r="E1752" t="s">
        <v>365</v>
      </c>
      <c r="F1752" t="s">
        <v>13</v>
      </c>
      <c r="G1752" t="s">
        <v>417</v>
      </c>
      <c r="H1752" t="s">
        <v>368</v>
      </c>
      <c r="I1752">
        <v>52</v>
      </c>
      <c r="J1752">
        <v>0.82452431289640593</v>
      </c>
      <c r="K1752">
        <v>0.80246913580246915</v>
      </c>
      <c r="L1752">
        <v>0.84782608695652173</v>
      </c>
      <c r="M1752" t="s">
        <v>60</v>
      </c>
      <c r="N1752" t="s">
        <v>3931</v>
      </c>
      <c r="O1752" t="s">
        <v>3932</v>
      </c>
      <c r="P1752">
        <v>1.7</v>
      </c>
    </row>
    <row r="1753" spans="1:16" x14ac:dyDescent="0.3">
      <c r="A1753" t="s">
        <v>29</v>
      </c>
      <c r="B1753" t="s">
        <v>26</v>
      </c>
      <c r="C1753" t="s">
        <v>27</v>
      </c>
      <c r="D1753" t="s">
        <v>363</v>
      </c>
      <c r="E1753" t="s">
        <v>365</v>
      </c>
      <c r="F1753" t="s">
        <v>13</v>
      </c>
      <c r="G1753" t="s">
        <v>422</v>
      </c>
      <c r="H1753" t="s">
        <v>368</v>
      </c>
      <c r="I1753">
        <v>53</v>
      </c>
      <c r="J1753">
        <v>0.81837160751565763</v>
      </c>
      <c r="K1753">
        <v>0.78714859437751006</v>
      </c>
      <c r="L1753">
        <v>0.85217391304347823</v>
      </c>
      <c r="M1753" t="s">
        <v>60</v>
      </c>
      <c r="N1753" t="s">
        <v>3933</v>
      </c>
      <c r="O1753" t="s">
        <v>3934</v>
      </c>
      <c r="P1753">
        <v>1.3</v>
      </c>
    </row>
    <row r="1754" spans="1:16" x14ac:dyDescent="0.3">
      <c r="A1754" t="s">
        <v>29</v>
      </c>
      <c r="B1754" t="s">
        <v>26</v>
      </c>
      <c r="C1754" t="s">
        <v>27</v>
      </c>
      <c r="D1754" t="s">
        <v>363</v>
      </c>
      <c r="E1754" t="s">
        <v>365</v>
      </c>
      <c r="F1754" t="s">
        <v>13</v>
      </c>
      <c r="G1754" t="s">
        <v>427</v>
      </c>
      <c r="H1754" t="s">
        <v>368</v>
      </c>
      <c r="I1754">
        <v>54</v>
      </c>
      <c r="J1754">
        <v>0.81434599156118137</v>
      </c>
      <c r="K1754">
        <v>0.79098360655737709</v>
      </c>
      <c r="L1754">
        <v>0.83913043478260874</v>
      </c>
      <c r="M1754" t="s">
        <v>60</v>
      </c>
      <c r="N1754" t="s">
        <v>3935</v>
      </c>
      <c r="O1754" t="s">
        <v>3936</v>
      </c>
      <c r="P1754">
        <v>1.7</v>
      </c>
    </row>
    <row r="1755" spans="1:16" x14ac:dyDescent="0.3">
      <c r="A1755" t="s">
        <v>29</v>
      </c>
      <c r="B1755" t="s">
        <v>26</v>
      </c>
      <c r="C1755" t="s">
        <v>27</v>
      </c>
      <c r="D1755" t="s">
        <v>363</v>
      </c>
      <c r="E1755" t="s">
        <v>365</v>
      </c>
      <c r="F1755" t="s">
        <v>13</v>
      </c>
      <c r="G1755" t="s">
        <v>432</v>
      </c>
      <c r="H1755" t="s">
        <v>368</v>
      </c>
      <c r="I1755">
        <v>55</v>
      </c>
      <c r="J1755">
        <v>0.85169491525423724</v>
      </c>
      <c r="K1755">
        <v>0.83057851239669422</v>
      </c>
      <c r="L1755">
        <v>0.87391304347826082</v>
      </c>
      <c r="M1755" t="s">
        <v>60</v>
      </c>
      <c r="N1755" t="s">
        <v>3937</v>
      </c>
      <c r="O1755" t="s">
        <v>3938</v>
      </c>
      <c r="P1755">
        <v>1.3</v>
      </c>
    </row>
    <row r="1756" spans="1:16" x14ac:dyDescent="0.3">
      <c r="A1756" t="s">
        <v>29</v>
      </c>
      <c r="B1756" t="s">
        <v>26</v>
      </c>
      <c r="C1756" t="s">
        <v>27</v>
      </c>
      <c r="D1756" t="s">
        <v>363</v>
      </c>
      <c r="E1756" t="s">
        <v>365</v>
      </c>
      <c r="F1756" t="s">
        <v>13</v>
      </c>
      <c r="G1756" t="s">
        <v>437</v>
      </c>
      <c r="H1756" t="s">
        <v>368</v>
      </c>
      <c r="I1756">
        <v>56</v>
      </c>
      <c r="J1756">
        <v>0.810126582278481</v>
      </c>
      <c r="K1756">
        <v>0.78688524590163933</v>
      </c>
      <c r="L1756">
        <v>0.83478260869565213</v>
      </c>
      <c r="M1756" t="s">
        <v>60</v>
      </c>
      <c r="N1756" t="s">
        <v>3939</v>
      </c>
      <c r="O1756" t="s">
        <v>3940</v>
      </c>
      <c r="P1756">
        <v>1.3</v>
      </c>
    </row>
    <row r="1757" spans="1:16" x14ac:dyDescent="0.3">
      <c r="A1757" t="s">
        <v>29</v>
      </c>
      <c r="B1757" t="s">
        <v>26</v>
      </c>
      <c r="C1757" t="s">
        <v>27</v>
      </c>
      <c r="D1757" t="s">
        <v>363</v>
      </c>
      <c r="E1757" t="s">
        <v>365</v>
      </c>
      <c r="F1757" t="s">
        <v>13</v>
      </c>
      <c r="G1757" t="s">
        <v>442</v>
      </c>
      <c r="H1757" t="s">
        <v>368</v>
      </c>
      <c r="I1757">
        <v>57</v>
      </c>
      <c r="J1757">
        <v>0.83720930232558144</v>
      </c>
      <c r="K1757">
        <v>0.81481481481481477</v>
      </c>
      <c r="L1757">
        <v>0.86086956521739133</v>
      </c>
      <c r="M1757" t="s">
        <v>60</v>
      </c>
      <c r="N1757" t="s">
        <v>3941</v>
      </c>
      <c r="O1757" t="s">
        <v>3942</v>
      </c>
      <c r="P1757">
        <v>1.7</v>
      </c>
    </row>
    <row r="1758" spans="1:16" x14ac:dyDescent="0.3">
      <c r="A1758" t="s">
        <v>29</v>
      </c>
      <c r="B1758" t="s">
        <v>26</v>
      </c>
      <c r="C1758" t="s">
        <v>27</v>
      </c>
      <c r="D1758" t="s">
        <v>363</v>
      </c>
      <c r="E1758" t="s">
        <v>365</v>
      </c>
      <c r="F1758" t="s">
        <v>13</v>
      </c>
      <c r="G1758" t="s">
        <v>447</v>
      </c>
      <c r="H1758" t="s">
        <v>368</v>
      </c>
      <c r="I1758">
        <v>58</v>
      </c>
      <c r="J1758">
        <v>0.84100418410041844</v>
      </c>
      <c r="K1758">
        <v>0.81048387096774188</v>
      </c>
      <c r="L1758">
        <v>0.87391304347826082</v>
      </c>
      <c r="M1758" t="s">
        <v>60</v>
      </c>
      <c r="N1758" t="s">
        <v>3943</v>
      </c>
      <c r="O1758" t="s">
        <v>3944</v>
      </c>
      <c r="P1758">
        <v>1.3</v>
      </c>
    </row>
    <row r="1759" spans="1:16" x14ac:dyDescent="0.3">
      <c r="A1759" t="s">
        <v>29</v>
      </c>
      <c r="B1759" t="s">
        <v>26</v>
      </c>
      <c r="C1759" t="s">
        <v>27</v>
      </c>
      <c r="D1759" t="s">
        <v>363</v>
      </c>
      <c r="E1759" t="s">
        <v>365</v>
      </c>
      <c r="F1759" t="s">
        <v>13</v>
      </c>
      <c r="G1759" t="s">
        <v>452</v>
      </c>
      <c r="H1759" t="s">
        <v>368</v>
      </c>
      <c r="I1759">
        <v>59</v>
      </c>
      <c r="J1759">
        <v>0.7957894736842106</v>
      </c>
      <c r="K1759">
        <v>0.77142857142857146</v>
      </c>
      <c r="L1759">
        <v>0.82173913043478264</v>
      </c>
      <c r="M1759" t="s">
        <v>60</v>
      </c>
      <c r="N1759" t="s">
        <v>3945</v>
      </c>
      <c r="O1759" t="s">
        <v>3946</v>
      </c>
      <c r="P1759">
        <v>1.3</v>
      </c>
    </row>
    <row r="1760" spans="1:16" x14ac:dyDescent="0.3">
      <c r="A1760" t="s">
        <v>29</v>
      </c>
      <c r="B1760" t="s">
        <v>26</v>
      </c>
      <c r="C1760" t="s">
        <v>27</v>
      </c>
      <c r="D1760" t="s">
        <v>363</v>
      </c>
      <c r="E1760" t="s">
        <v>365</v>
      </c>
      <c r="F1760" t="s">
        <v>13</v>
      </c>
      <c r="G1760" t="s">
        <v>457</v>
      </c>
      <c r="H1760" t="s">
        <v>368</v>
      </c>
      <c r="I1760">
        <v>60</v>
      </c>
      <c r="J1760">
        <v>0.82572614107883813</v>
      </c>
      <c r="K1760">
        <v>0.78968253968253965</v>
      </c>
      <c r="L1760">
        <v>0.86521739130434783</v>
      </c>
      <c r="M1760" t="s">
        <v>60</v>
      </c>
      <c r="N1760" t="s">
        <v>3947</v>
      </c>
      <c r="O1760" t="s">
        <v>3948</v>
      </c>
      <c r="P1760">
        <v>1.7</v>
      </c>
    </row>
    <row r="1761" spans="1:16" x14ac:dyDescent="0.3">
      <c r="A1761" t="s">
        <v>29</v>
      </c>
      <c r="B1761" t="s">
        <v>26</v>
      </c>
      <c r="C1761" t="s">
        <v>27</v>
      </c>
      <c r="D1761" t="s">
        <v>363</v>
      </c>
      <c r="E1761" t="s">
        <v>365</v>
      </c>
      <c r="F1761" t="s">
        <v>13</v>
      </c>
      <c r="G1761" t="s">
        <v>462</v>
      </c>
      <c r="H1761" t="s">
        <v>368</v>
      </c>
      <c r="I1761">
        <v>61</v>
      </c>
      <c r="J1761">
        <v>0.83333333333333326</v>
      </c>
      <c r="K1761">
        <v>0.8</v>
      </c>
      <c r="L1761">
        <v>0.86956521739130432</v>
      </c>
      <c r="M1761" t="s">
        <v>60</v>
      </c>
      <c r="N1761" t="s">
        <v>3949</v>
      </c>
      <c r="O1761" t="s">
        <v>3950</v>
      </c>
      <c r="P1761">
        <v>1.3</v>
      </c>
    </row>
    <row r="1762" spans="1:16" x14ac:dyDescent="0.3">
      <c r="A1762" t="s">
        <v>29</v>
      </c>
      <c r="B1762" t="s">
        <v>26</v>
      </c>
      <c r="C1762" t="s">
        <v>27</v>
      </c>
      <c r="D1762" t="s">
        <v>363</v>
      </c>
      <c r="E1762" t="s">
        <v>467</v>
      </c>
      <c r="F1762" t="s">
        <v>9</v>
      </c>
      <c r="G1762" t="s">
        <v>468</v>
      </c>
      <c r="H1762" t="s">
        <v>470</v>
      </c>
      <c r="I1762">
        <v>42</v>
      </c>
      <c r="J1762">
        <v>0.82954545454545447</v>
      </c>
      <c r="K1762">
        <v>0.79781420765027322</v>
      </c>
      <c r="L1762">
        <v>0.86390532544378695</v>
      </c>
      <c r="M1762" t="s">
        <v>60</v>
      </c>
      <c r="N1762" t="s">
        <v>3951</v>
      </c>
      <c r="O1762" t="s">
        <v>3952</v>
      </c>
      <c r="P1762">
        <v>1.1000000000000001</v>
      </c>
    </row>
    <row r="1763" spans="1:16" x14ac:dyDescent="0.3">
      <c r="A1763" t="s">
        <v>29</v>
      </c>
      <c r="B1763" t="s">
        <v>26</v>
      </c>
      <c r="C1763" t="s">
        <v>27</v>
      </c>
      <c r="D1763" t="s">
        <v>363</v>
      </c>
      <c r="E1763" t="s">
        <v>467</v>
      </c>
      <c r="F1763" t="s">
        <v>9</v>
      </c>
      <c r="G1763" t="s">
        <v>474</v>
      </c>
      <c r="H1763" t="s">
        <v>470</v>
      </c>
      <c r="I1763">
        <v>43</v>
      </c>
      <c r="J1763">
        <v>0.83094555873925513</v>
      </c>
      <c r="K1763">
        <v>0.80555555555555558</v>
      </c>
      <c r="L1763">
        <v>0.85798816568047342</v>
      </c>
      <c r="M1763" t="s">
        <v>60</v>
      </c>
      <c r="N1763" t="s">
        <v>3953</v>
      </c>
      <c r="O1763" t="s">
        <v>3954</v>
      </c>
      <c r="P1763">
        <v>1.1000000000000001</v>
      </c>
    </row>
    <row r="1764" spans="1:16" x14ac:dyDescent="0.3">
      <c r="A1764" t="s">
        <v>29</v>
      </c>
      <c r="B1764" t="s">
        <v>26</v>
      </c>
      <c r="C1764" t="s">
        <v>27</v>
      </c>
      <c r="D1764" t="s">
        <v>363</v>
      </c>
      <c r="E1764" t="s">
        <v>467</v>
      </c>
      <c r="F1764" t="s">
        <v>9</v>
      </c>
      <c r="G1764" t="s">
        <v>479</v>
      </c>
      <c r="H1764" t="s">
        <v>470</v>
      </c>
      <c r="I1764">
        <v>44</v>
      </c>
      <c r="J1764">
        <v>0.81844380403458217</v>
      </c>
      <c r="K1764">
        <v>0.797752808988764</v>
      </c>
      <c r="L1764">
        <v>0.84023668639053251</v>
      </c>
      <c r="M1764" t="s">
        <v>60</v>
      </c>
      <c r="N1764" t="s">
        <v>3955</v>
      </c>
      <c r="O1764" t="s">
        <v>3956</v>
      </c>
      <c r="P1764">
        <v>1.6</v>
      </c>
    </row>
    <row r="1765" spans="1:16" x14ac:dyDescent="0.3">
      <c r="A1765" t="s">
        <v>29</v>
      </c>
      <c r="B1765" t="s">
        <v>26</v>
      </c>
      <c r="C1765" t="s">
        <v>27</v>
      </c>
      <c r="D1765" t="s">
        <v>363</v>
      </c>
      <c r="E1765" t="s">
        <v>467</v>
      </c>
      <c r="F1765" t="s">
        <v>9</v>
      </c>
      <c r="G1765" t="s">
        <v>484</v>
      </c>
      <c r="H1765" t="s">
        <v>470</v>
      </c>
      <c r="I1765">
        <v>45</v>
      </c>
      <c r="J1765">
        <v>0.83908045977011492</v>
      </c>
      <c r="K1765">
        <v>0.81564245810055869</v>
      </c>
      <c r="L1765">
        <v>0.86390532544378695</v>
      </c>
      <c r="M1765" t="s">
        <v>60</v>
      </c>
      <c r="N1765" t="s">
        <v>3957</v>
      </c>
      <c r="O1765" t="s">
        <v>3958</v>
      </c>
      <c r="P1765">
        <v>1.2</v>
      </c>
    </row>
    <row r="1766" spans="1:16" x14ac:dyDescent="0.3">
      <c r="A1766" t="s">
        <v>29</v>
      </c>
      <c r="B1766" t="s">
        <v>26</v>
      </c>
      <c r="C1766" t="s">
        <v>27</v>
      </c>
      <c r="D1766" t="s">
        <v>363</v>
      </c>
      <c r="E1766" t="s">
        <v>467</v>
      </c>
      <c r="F1766" t="s">
        <v>9</v>
      </c>
      <c r="G1766" t="s">
        <v>489</v>
      </c>
      <c r="H1766" t="s">
        <v>470</v>
      </c>
      <c r="I1766">
        <v>46</v>
      </c>
      <c r="J1766">
        <v>0.8319088319088318</v>
      </c>
      <c r="K1766">
        <v>0.80219780219780223</v>
      </c>
      <c r="L1766">
        <v>0.86390532544378695</v>
      </c>
      <c r="M1766" t="s">
        <v>60</v>
      </c>
      <c r="N1766" t="s">
        <v>3959</v>
      </c>
      <c r="O1766" t="s">
        <v>3960</v>
      </c>
      <c r="P1766">
        <v>1.2</v>
      </c>
    </row>
    <row r="1767" spans="1:16" x14ac:dyDescent="0.3">
      <c r="A1767" t="s">
        <v>29</v>
      </c>
      <c r="B1767" t="s">
        <v>26</v>
      </c>
      <c r="C1767" t="s">
        <v>27</v>
      </c>
      <c r="D1767" t="s">
        <v>363</v>
      </c>
      <c r="E1767" t="s">
        <v>467</v>
      </c>
      <c r="F1767" t="s">
        <v>9</v>
      </c>
      <c r="G1767" t="s">
        <v>494</v>
      </c>
      <c r="H1767" t="s">
        <v>470</v>
      </c>
      <c r="I1767">
        <v>47</v>
      </c>
      <c r="J1767">
        <v>0.82719546742209626</v>
      </c>
      <c r="K1767">
        <v>0.79347826086956519</v>
      </c>
      <c r="L1767">
        <v>0.86390532544378695</v>
      </c>
      <c r="M1767" t="s">
        <v>60</v>
      </c>
      <c r="N1767" t="s">
        <v>3961</v>
      </c>
      <c r="O1767" t="s">
        <v>3962</v>
      </c>
      <c r="P1767">
        <v>1.5</v>
      </c>
    </row>
    <row r="1768" spans="1:16" x14ac:dyDescent="0.3">
      <c r="A1768" t="s">
        <v>29</v>
      </c>
      <c r="B1768" t="s">
        <v>26</v>
      </c>
      <c r="C1768" t="s">
        <v>27</v>
      </c>
      <c r="D1768" t="s">
        <v>363</v>
      </c>
      <c r="E1768" t="s">
        <v>467</v>
      </c>
      <c r="F1768" t="s">
        <v>9</v>
      </c>
      <c r="G1768" t="s">
        <v>499</v>
      </c>
      <c r="H1768" t="s">
        <v>470</v>
      </c>
      <c r="I1768">
        <v>48</v>
      </c>
      <c r="J1768">
        <v>0.82222222222222219</v>
      </c>
      <c r="K1768">
        <v>0.77486910994764402</v>
      </c>
      <c r="L1768">
        <v>0.87573964497041423</v>
      </c>
      <c r="M1768" t="s">
        <v>60</v>
      </c>
      <c r="N1768" t="s">
        <v>3963</v>
      </c>
      <c r="O1768" t="s">
        <v>3964</v>
      </c>
      <c r="P1768">
        <v>1.2</v>
      </c>
    </row>
    <row r="1769" spans="1:16" x14ac:dyDescent="0.3">
      <c r="A1769" t="s">
        <v>29</v>
      </c>
      <c r="B1769" t="s">
        <v>26</v>
      </c>
      <c r="C1769" t="s">
        <v>27</v>
      </c>
      <c r="D1769" t="s">
        <v>363</v>
      </c>
      <c r="E1769" t="s">
        <v>467</v>
      </c>
      <c r="F1769" t="s">
        <v>9</v>
      </c>
      <c r="G1769" t="s">
        <v>504</v>
      </c>
      <c r="H1769" t="s">
        <v>470</v>
      </c>
      <c r="I1769">
        <v>49</v>
      </c>
      <c r="J1769">
        <v>0.83286118980169965</v>
      </c>
      <c r="K1769">
        <v>0.79891304347826086</v>
      </c>
      <c r="L1769">
        <v>0.86982248520710059</v>
      </c>
      <c r="M1769" t="s">
        <v>60</v>
      </c>
      <c r="N1769" t="s">
        <v>3965</v>
      </c>
      <c r="O1769" t="s">
        <v>3966</v>
      </c>
      <c r="P1769">
        <v>1.1000000000000001</v>
      </c>
    </row>
    <row r="1770" spans="1:16" x14ac:dyDescent="0.3">
      <c r="A1770" t="s">
        <v>29</v>
      </c>
      <c r="B1770" t="s">
        <v>26</v>
      </c>
      <c r="C1770" t="s">
        <v>27</v>
      </c>
      <c r="D1770" t="s">
        <v>363</v>
      </c>
      <c r="E1770" t="s">
        <v>467</v>
      </c>
      <c r="F1770" t="s">
        <v>9</v>
      </c>
      <c r="G1770" t="s">
        <v>509</v>
      </c>
      <c r="H1770" t="s">
        <v>470</v>
      </c>
      <c r="I1770">
        <v>50</v>
      </c>
      <c r="J1770">
        <v>0.81481481481481477</v>
      </c>
      <c r="K1770">
        <v>0.7857142857142857</v>
      </c>
      <c r="L1770">
        <v>0.84615384615384615</v>
      </c>
      <c r="M1770" t="s">
        <v>60</v>
      </c>
      <c r="N1770" t="s">
        <v>3967</v>
      </c>
      <c r="O1770" t="s">
        <v>3968</v>
      </c>
      <c r="P1770">
        <v>1.1000000000000001</v>
      </c>
    </row>
    <row r="1771" spans="1:16" x14ac:dyDescent="0.3">
      <c r="A1771" t="s">
        <v>29</v>
      </c>
      <c r="B1771" t="s">
        <v>26</v>
      </c>
      <c r="C1771" t="s">
        <v>27</v>
      </c>
      <c r="D1771" t="s">
        <v>363</v>
      </c>
      <c r="E1771" t="s">
        <v>467</v>
      </c>
      <c r="F1771" t="s">
        <v>9</v>
      </c>
      <c r="G1771" t="s">
        <v>514</v>
      </c>
      <c r="H1771" t="s">
        <v>470</v>
      </c>
      <c r="I1771">
        <v>51</v>
      </c>
      <c r="J1771">
        <v>0.83286118980169965</v>
      </c>
      <c r="K1771">
        <v>0.79891304347826086</v>
      </c>
      <c r="L1771">
        <v>0.86982248520710059</v>
      </c>
      <c r="M1771" t="s">
        <v>60</v>
      </c>
      <c r="N1771" t="s">
        <v>3969</v>
      </c>
      <c r="O1771" t="s">
        <v>3970</v>
      </c>
      <c r="P1771">
        <v>1.5</v>
      </c>
    </row>
    <row r="1772" spans="1:16" x14ac:dyDescent="0.3">
      <c r="A1772" t="s">
        <v>29</v>
      </c>
      <c r="B1772" t="s">
        <v>26</v>
      </c>
      <c r="C1772" t="s">
        <v>27</v>
      </c>
      <c r="D1772" t="s">
        <v>363</v>
      </c>
      <c r="E1772" t="s">
        <v>467</v>
      </c>
      <c r="F1772" t="s">
        <v>9</v>
      </c>
      <c r="G1772" t="s">
        <v>519</v>
      </c>
      <c r="H1772" t="s">
        <v>470</v>
      </c>
      <c r="I1772">
        <v>52</v>
      </c>
      <c r="J1772">
        <v>0.80691642651296835</v>
      </c>
      <c r="K1772">
        <v>0.7865168539325843</v>
      </c>
      <c r="L1772">
        <v>0.82840236686390534</v>
      </c>
      <c r="M1772" t="s">
        <v>60</v>
      </c>
      <c r="N1772" t="s">
        <v>3971</v>
      </c>
      <c r="O1772" t="s">
        <v>3972</v>
      </c>
      <c r="P1772">
        <v>1.2</v>
      </c>
    </row>
    <row r="1773" spans="1:16" x14ac:dyDescent="0.3">
      <c r="A1773" t="s">
        <v>29</v>
      </c>
      <c r="B1773" t="s">
        <v>26</v>
      </c>
      <c r="C1773" t="s">
        <v>27</v>
      </c>
      <c r="D1773" t="s">
        <v>363</v>
      </c>
      <c r="E1773" t="s">
        <v>467</v>
      </c>
      <c r="F1773" t="s">
        <v>9</v>
      </c>
      <c r="G1773" t="s">
        <v>524</v>
      </c>
      <c r="H1773" t="s">
        <v>470</v>
      </c>
      <c r="I1773">
        <v>53</v>
      </c>
      <c r="J1773">
        <v>0.8472622478386167</v>
      </c>
      <c r="K1773">
        <v>0.8258426966292135</v>
      </c>
      <c r="L1773">
        <v>0.86982248520710059</v>
      </c>
      <c r="M1773" t="s">
        <v>60</v>
      </c>
      <c r="N1773" t="s">
        <v>3973</v>
      </c>
      <c r="O1773" t="s">
        <v>3974</v>
      </c>
      <c r="P1773">
        <v>1.1000000000000001</v>
      </c>
    </row>
    <row r="1774" spans="1:16" x14ac:dyDescent="0.3">
      <c r="A1774" t="s">
        <v>29</v>
      </c>
      <c r="B1774" t="s">
        <v>26</v>
      </c>
      <c r="C1774" t="s">
        <v>27</v>
      </c>
      <c r="D1774" t="s">
        <v>363</v>
      </c>
      <c r="E1774" t="s">
        <v>467</v>
      </c>
      <c r="F1774" t="s">
        <v>9</v>
      </c>
      <c r="G1774" t="s">
        <v>529</v>
      </c>
      <c r="H1774" t="s">
        <v>470</v>
      </c>
      <c r="I1774">
        <v>54</v>
      </c>
      <c r="J1774">
        <v>0.8314606741573034</v>
      </c>
      <c r="K1774">
        <v>0.79144385026737973</v>
      </c>
      <c r="L1774">
        <v>0.87573964497041423</v>
      </c>
      <c r="M1774" t="s">
        <v>60</v>
      </c>
      <c r="N1774" t="s">
        <v>3975</v>
      </c>
      <c r="O1774" t="s">
        <v>3976</v>
      </c>
      <c r="P1774">
        <v>1.2</v>
      </c>
    </row>
    <row r="1775" spans="1:16" x14ac:dyDescent="0.3">
      <c r="A1775" t="s">
        <v>29</v>
      </c>
      <c r="B1775" t="s">
        <v>26</v>
      </c>
      <c r="C1775" t="s">
        <v>27</v>
      </c>
      <c r="D1775" t="s">
        <v>363</v>
      </c>
      <c r="E1775" t="s">
        <v>467</v>
      </c>
      <c r="F1775" t="s">
        <v>9</v>
      </c>
      <c r="G1775" t="s">
        <v>534</v>
      </c>
      <c r="H1775" t="s">
        <v>470</v>
      </c>
      <c r="I1775">
        <v>55</v>
      </c>
      <c r="J1775">
        <v>0.86956521739130432</v>
      </c>
      <c r="K1775">
        <v>0.85227272727272729</v>
      </c>
      <c r="L1775">
        <v>0.8875739644970414</v>
      </c>
      <c r="M1775" t="s">
        <v>60</v>
      </c>
      <c r="N1775" t="s">
        <v>3977</v>
      </c>
      <c r="O1775" t="s">
        <v>3978</v>
      </c>
      <c r="P1775">
        <v>1.6</v>
      </c>
    </row>
    <row r="1776" spans="1:16" x14ac:dyDescent="0.3">
      <c r="A1776" t="s">
        <v>29</v>
      </c>
      <c r="B1776" t="s">
        <v>26</v>
      </c>
      <c r="C1776" t="s">
        <v>27</v>
      </c>
      <c r="D1776" t="s">
        <v>363</v>
      </c>
      <c r="E1776" t="s">
        <v>467</v>
      </c>
      <c r="F1776" t="s">
        <v>9</v>
      </c>
      <c r="G1776" t="s">
        <v>539</v>
      </c>
      <c r="H1776" t="s">
        <v>470</v>
      </c>
      <c r="I1776">
        <v>56</v>
      </c>
      <c r="J1776">
        <v>0.83573487031700289</v>
      </c>
      <c r="K1776">
        <v>0.8146067415730337</v>
      </c>
      <c r="L1776">
        <v>0.85798816568047342</v>
      </c>
      <c r="M1776" t="s">
        <v>60</v>
      </c>
      <c r="N1776" t="s">
        <v>3979</v>
      </c>
      <c r="O1776" t="s">
        <v>3980</v>
      </c>
      <c r="P1776">
        <v>1.2</v>
      </c>
    </row>
    <row r="1777" spans="1:16" x14ac:dyDescent="0.3">
      <c r="A1777" t="s">
        <v>29</v>
      </c>
      <c r="B1777" t="s">
        <v>26</v>
      </c>
      <c r="C1777" t="s">
        <v>27</v>
      </c>
      <c r="D1777" t="s">
        <v>363</v>
      </c>
      <c r="E1777" t="s">
        <v>467</v>
      </c>
      <c r="F1777" t="s">
        <v>9</v>
      </c>
      <c r="G1777" t="s">
        <v>544</v>
      </c>
      <c r="H1777" t="s">
        <v>470</v>
      </c>
      <c r="I1777">
        <v>57</v>
      </c>
      <c r="J1777">
        <v>0.82152974504249288</v>
      </c>
      <c r="K1777">
        <v>0.78804347826086951</v>
      </c>
      <c r="L1777">
        <v>0.85798816568047342</v>
      </c>
      <c r="M1777" t="s">
        <v>60</v>
      </c>
      <c r="N1777" t="s">
        <v>3981</v>
      </c>
      <c r="O1777" t="s">
        <v>3982</v>
      </c>
      <c r="P1777">
        <v>1.1000000000000001</v>
      </c>
    </row>
    <row r="1778" spans="1:16" x14ac:dyDescent="0.3">
      <c r="A1778" t="s">
        <v>29</v>
      </c>
      <c r="B1778" t="s">
        <v>26</v>
      </c>
      <c r="C1778" t="s">
        <v>27</v>
      </c>
      <c r="D1778" t="s">
        <v>363</v>
      </c>
      <c r="E1778" t="s">
        <v>467</v>
      </c>
      <c r="F1778" t="s">
        <v>9</v>
      </c>
      <c r="G1778" t="s">
        <v>549</v>
      </c>
      <c r="H1778" t="s">
        <v>470</v>
      </c>
      <c r="I1778">
        <v>58</v>
      </c>
      <c r="J1778">
        <v>0.82758620689655182</v>
      </c>
      <c r="K1778">
        <v>0.8044692737430168</v>
      </c>
      <c r="L1778">
        <v>0.85207100591715978</v>
      </c>
      <c r="M1778" t="s">
        <v>60</v>
      </c>
      <c r="N1778" t="s">
        <v>3983</v>
      </c>
      <c r="O1778" t="s">
        <v>3984</v>
      </c>
      <c r="P1778">
        <v>1.5</v>
      </c>
    </row>
    <row r="1779" spans="1:16" x14ac:dyDescent="0.3">
      <c r="A1779" t="s">
        <v>29</v>
      </c>
      <c r="B1779" t="s">
        <v>26</v>
      </c>
      <c r="C1779" t="s">
        <v>27</v>
      </c>
      <c r="D1779" t="s">
        <v>363</v>
      </c>
      <c r="E1779" t="s">
        <v>467</v>
      </c>
      <c r="F1779" t="s">
        <v>9</v>
      </c>
      <c r="G1779" t="s">
        <v>554</v>
      </c>
      <c r="H1779" t="s">
        <v>470</v>
      </c>
      <c r="I1779">
        <v>59</v>
      </c>
      <c r="J1779">
        <v>0.83381924198250723</v>
      </c>
      <c r="K1779">
        <v>0.82183908045977017</v>
      </c>
      <c r="L1779">
        <v>0.84615384615384615</v>
      </c>
      <c r="M1779" t="s">
        <v>60</v>
      </c>
      <c r="N1779" t="s">
        <v>3985</v>
      </c>
      <c r="O1779" t="s">
        <v>3986</v>
      </c>
      <c r="P1779">
        <v>1.2</v>
      </c>
    </row>
    <row r="1780" spans="1:16" x14ac:dyDescent="0.3">
      <c r="A1780" t="s">
        <v>29</v>
      </c>
      <c r="B1780" t="s">
        <v>26</v>
      </c>
      <c r="C1780" t="s">
        <v>27</v>
      </c>
      <c r="D1780" t="s">
        <v>363</v>
      </c>
      <c r="E1780" t="s">
        <v>467</v>
      </c>
      <c r="F1780" t="s">
        <v>9</v>
      </c>
      <c r="G1780" t="s">
        <v>559</v>
      </c>
      <c r="H1780" t="s">
        <v>470</v>
      </c>
      <c r="I1780">
        <v>60</v>
      </c>
      <c r="J1780">
        <v>0.82183908045977005</v>
      </c>
      <c r="K1780">
        <v>0.7988826815642458</v>
      </c>
      <c r="L1780">
        <v>0.84615384615384615</v>
      </c>
      <c r="M1780" t="s">
        <v>60</v>
      </c>
      <c r="N1780" t="s">
        <v>3987</v>
      </c>
      <c r="O1780" t="s">
        <v>3988</v>
      </c>
      <c r="P1780">
        <v>1.1000000000000001</v>
      </c>
    </row>
    <row r="1781" spans="1:16" x14ac:dyDescent="0.3">
      <c r="A1781" t="s">
        <v>29</v>
      </c>
      <c r="B1781" t="s">
        <v>26</v>
      </c>
      <c r="C1781" t="s">
        <v>27</v>
      </c>
      <c r="D1781" t="s">
        <v>363</v>
      </c>
      <c r="E1781" t="s">
        <v>467</v>
      </c>
      <c r="F1781" t="s">
        <v>9</v>
      </c>
      <c r="G1781" t="s">
        <v>564</v>
      </c>
      <c r="H1781" t="s">
        <v>470</v>
      </c>
      <c r="I1781">
        <v>61</v>
      </c>
      <c r="J1781">
        <v>0.84482758620689657</v>
      </c>
      <c r="K1781">
        <v>0.82122905027932958</v>
      </c>
      <c r="L1781">
        <v>0.86982248520710059</v>
      </c>
      <c r="M1781" t="s">
        <v>60</v>
      </c>
      <c r="N1781" t="s">
        <v>3989</v>
      </c>
      <c r="O1781" t="s">
        <v>3990</v>
      </c>
      <c r="P1781">
        <v>1.6</v>
      </c>
    </row>
    <row r="1782" spans="1:16" x14ac:dyDescent="0.3">
      <c r="A1782" t="s">
        <v>29</v>
      </c>
      <c r="B1782" t="s">
        <v>26</v>
      </c>
      <c r="C1782" t="s">
        <v>27</v>
      </c>
      <c r="D1782" t="s">
        <v>363</v>
      </c>
      <c r="E1782" t="s">
        <v>569</v>
      </c>
      <c r="F1782" t="s">
        <v>11</v>
      </c>
      <c r="G1782" t="s">
        <v>570</v>
      </c>
      <c r="H1782" t="s">
        <v>572</v>
      </c>
      <c r="I1782">
        <v>42</v>
      </c>
      <c r="J1782">
        <v>0.84070796460176989</v>
      </c>
      <c r="K1782">
        <v>0.82608695652173914</v>
      </c>
      <c r="L1782">
        <v>0.85585585585585588</v>
      </c>
      <c r="M1782" t="s">
        <v>60</v>
      </c>
      <c r="N1782" t="s">
        <v>3991</v>
      </c>
      <c r="O1782" t="s">
        <v>3992</v>
      </c>
      <c r="P1782">
        <v>1.3</v>
      </c>
    </row>
    <row r="1783" spans="1:16" x14ac:dyDescent="0.3">
      <c r="A1783" t="s">
        <v>29</v>
      </c>
      <c r="B1783" t="s">
        <v>26</v>
      </c>
      <c r="C1783" t="s">
        <v>27</v>
      </c>
      <c r="D1783" t="s">
        <v>363</v>
      </c>
      <c r="E1783" t="s">
        <v>569</v>
      </c>
      <c r="F1783" t="s">
        <v>11</v>
      </c>
      <c r="G1783" t="s">
        <v>576</v>
      </c>
      <c r="H1783" t="s">
        <v>572</v>
      </c>
      <c r="I1783">
        <v>43</v>
      </c>
      <c r="J1783">
        <v>0.82819383259911894</v>
      </c>
      <c r="K1783">
        <v>0.81034482758620685</v>
      </c>
      <c r="L1783">
        <v>0.84684684684684686</v>
      </c>
      <c r="M1783" t="s">
        <v>60</v>
      </c>
      <c r="N1783" t="s">
        <v>3993</v>
      </c>
      <c r="O1783" t="s">
        <v>3994</v>
      </c>
      <c r="P1783">
        <v>1.3</v>
      </c>
    </row>
    <row r="1784" spans="1:16" x14ac:dyDescent="0.3">
      <c r="A1784" t="s">
        <v>29</v>
      </c>
      <c r="B1784" t="s">
        <v>26</v>
      </c>
      <c r="C1784" t="s">
        <v>27</v>
      </c>
      <c r="D1784" t="s">
        <v>363</v>
      </c>
      <c r="E1784" t="s">
        <v>569</v>
      </c>
      <c r="F1784" t="s">
        <v>11</v>
      </c>
      <c r="G1784" t="s">
        <v>581</v>
      </c>
      <c r="H1784" t="s">
        <v>572</v>
      </c>
      <c r="I1784">
        <v>44</v>
      </c>
      <c r="J1784">
        <v>0.85209713024282552</v>
      </c>
      <c r="K1784">
        <v>0.83549783549783552</v>
      </c>
      <c r="L1784">
        <v>0.86936936936936937</v>
      </c>
      <c r="M1784" t="s">
        <v>60</v>
      </c>
      <c r="N1784" t="s">
        <v>3995</v>
      </c>
      <c r="O1784" t="s">
        <v>3996</v>
      </c>
      <c r="P1784">
        <v>1.7</v>
      </c>
    </row>
    <row r="1785" spans="1:16" x14ac:dyDescent="0.3">
      <c r="A1785" t="s">
        <v>29</v>
      </c>
      <c r="B1785" t="s">
        <v>26</v>
      </c>
      <c r="C1785" t="s">
        <v>27</v>
      </c>
      <c r="D1785" t="s">
        <v>363</v>
      </c>
      <c r="E1785" t="s">
        <v>569</v>
      </c>
      <c r="F1785" t="s">
        <v>11</v>
      </c>
      <c r="G1785" t="s">
        <v>586</v>
      </c>
      <c r="H1785" t="s">
        <v>572</v>
      </c>
      <c r="I1785">
        <v>45</v>
      </c>
      <c r="J1785">
        <v>0.85011185682326629</v>
      </c>
      <c r="K1785">
        <v>0.84444444444444444</v>
      </c>
      <c r="L1785">
        <v>0.85585585585585588</v>
      </c>
      <c r="M1785" t="s">
        <v>60</v>
      </c>
      <c r="N1785" t="s">
        <v>3997</v>
      </c>
      <c r="O1785" t="s">
        <v>3998</v>
      </c>
      <c r="P1785">
        <v>1.3</v>
      </c>
    </row>
    <row r="1786" spans="1:16" x14ac:dyDescent="0.3">
      <c r="A1786" t="s">
        <v>29</v>
      </c>
      <c r="B1786" t="s">
        <v>26</v>
      </c>
      <c r="C1786" t="s">
        <v>27</v>
      </c>
      <c r="D1786" t="s">
        <v>363</v>
      </c>
      <c r="E1786" t="s">
        <v>569</v>
      </c>
      <c r="F1786" t="s">
        <v>11</v>
      </c>
      <c r="G1786" t="s">
        <v>591</v>
      </c>
      <c r="H1786" t="s">
        <v>572</v>
      </c>
      <c r="I1786">
        <v>46</v>
      </c>
      <c r="J1786">
        <v>0.83842794759825334</v>
      </c>
      <c r="K1786">
        <v>0.81355932203389836</v>
      </c>
      <c r="L1786">
        <v>0.86486486486486491</v>
      </c>
      <c r="M1786" t="s">
        <v>60</v>
      </c>
      <c r="N1786" t="s">
        <v>3999</v>
      </c>
      <c r="O1786" t="s">
        <v>4000</v>
      </c>
      <c r="P1786">
        <v>1.3</v>
      </c>
    </row>
    <row r="1787" spans="1:16" x14ac:dyDescent="0.3">
      <c r="A1787" t="s">
        <v>29</v>
      </c>
      <c r="B1787" t="s">
        <v>26</v>
      </c>
      <c r="C1787" t="s">
        <v>27</v>
      </c>
      <c r="D1787" t="s">
        <v>363</v>
      </c>
      <c r="E1787" t="s">
        <v>569</v>
      </c>
      <c r="F1787" t="s">
        <v>11</v>
      </c>
      <c r="G1787" t="s">
        <v>596</v>
      </c>
      <c r="H1787" t="s">
        <v>572</v>
      </c>
      <c r="I1787">
        <v>47</v>
      </c>
      <c r="J1787">
        <v>0.83885209713024289</v>
      </c>
      <c r="K1787">
        <v>0.82251082251082253</v>
      </c>
      <c r="L1787">
        <v>0.85585585585585588</v>
      </c>
      <c r="M1787" t="s">
        <v>60</v>
      </c>
      <c r="N1787" t="s">
        <v>4001</v>
      </c>
      <c r="O1787" t="s">
        <v>4002</v>
      </c>
      <c r="P1787">
        <v>1.7</v>
      </c>
    </row>
    <row r="1788" spans="1:16" x14ac:dyDescent="0.3">
      <c r="A1788" t="s">
        <v>29</v>
      </c>
      <c r="B1788" t="s">
        <v>26</v>
      </c>
      <c r="C1788" t="s">
        <v>27</v>
      </c>
      <c r="D1788" t="s">
        <v>363</v>
      </c>
      <c r="E1788" t="s">
        <v>569</v>
      </c>
      <c r="F1788" t="s">
        <v>11</v>
      </c>
      <c r="G1788" t="s">
        <v>601</v>
      </c>
      <c r="H1788" t="s">
        <v>572</v>
      </c>
      <c r="I1788">
        <v>48</v>
      </c>
      <c r="J1788">
        <v>0.83956043956043958</v>
      </c>
      <c r="K1788">
        <v>0.81974248927038629</v>
      </c>
      <c r="L1788">
        <v>0.86036036036036034</v>
      </c>
      <c r="M1788" t="s">
        <v>60</v>
      </c>
      <c r="N1788" t="s">
        <v>4003</v>
      </c>
      <c r="O1788" t="s">
        <v>4004</v>
      </c>
      <c r="P1788">
        <v>1.3</v>
      </c>
    </row>
    <row r="1789" spans="1:16" x14ac:dyDescent="0.3">
      <c r="A1789" t="s">
        <v>29</v>
      </c>
      <c r="B1789" t="s">
        <v>26</v>
      </c>
      <c r="C1789" t="s">
        <v>27</v>
      </c>
      <c r="D1789" t="s">
        <v>363</v>
      </c>
      <c r="E1789" t="s">
        <v>569</v>
      </c>
      <c r="F1789" t="s">
        <v>11</v>
      </c>
      <c r="G1789" t="s">
        <v>606</v>
      </c>
      <c r="H1789" t="s">
        <v>572</v>
      </c>
      <c r="I1789">
        <v>49</v>
      </c>
      <c r="J1789">
        <v>0.8392857142857143</v>
      </c>
      <c r="K1789">
        <v>0.83185840707964598</v>
      </c>
      <c r="L1789">
        <v>0.84684684684684686</v>
      </c>
      <c r="M1789" t="s">
        <v>60</v>
      </c>
      <c r="N1789" t="s">
        <v>4005</v>
      </c>
      <c r="O1789" t="s">
        <v>4006</v>
      </c>
      <c r="P1789">
        <v>1.3</v>
      </c>
    </row>
    <row r="1790" spans="1:16" x14ac:dyDescent="0.3">
      <c r="A1790" t="s">
        <v>29</v>
      </c>
      <c r="B1790" t="s">
        <v>26</v>
      </c>
      <c r="C1790" t="s">
        <v>27</v>
      </c>
      <c r="D1790" t="s">
        <v>363</v>
      </c>
      <c r="E1790" t="s">
        <v>569</v>
      </c>
      <c r="F1790" t="s">
        <v>11</v>
      </c>
      <c r="G1790" t="s">
        <v>611</v>
      </c>
      <c r="H1790" t="s">
        <v>572</v>
      </c>
      <c r="I1790">
        <v>50</v>
      </c>
      <c r="J1790">
        <v>0.83813747228381374</v>
      </c>
      <c r="K1790">
        <v>0.8253275109170306</v>
      </c>
      <c r="L1790">
        <v>0.85135135135135132</v>
      </c>
      <c r="M1790" t="s">
        <v>60</v>
      </c>
      <c r="N1790" t="s">
        <v>4007</v>
      </c>
      <c r="O1790" t="s">
        <v>4008</v>
      </c>
      <c r="P1790">
        <v>1.7</v>
      </c>
    </row>
    <row r="1791" spans="1:16" x14ac:dyDescent="0.3">
      <c r="A1791" t="s">
        <v>29</v>
      </c>
      <c r="B1791" t="s">
        <v>26</v>
      </c>
      <c r="C1791" t="s">
        <v>27</v>
      </c>
      <c r="D1791" t="s">
        <v>363</v>
      </c>
      <c r="E1791" t="s">
        <v>569</v>
      </c>
      <c r="F1791" t="s">
        <v>11</v>
      </c>
      <c r="G1791" t="s">
        <v>616</v>
      </c>
      <c r="H1791" t="s">
        <v>572</v>
      </c>
      <c r="I1791">
        <v>51</v>
      </c>
      <c r="J1791">
        <v>0.82352941176470584</v>
      </c>
      <c r="K1791">
        <v>0.79746835443037978</v>
      </c>
      <c r="L1791">
        <v>0.85135135135135132</v>
      </c>
      <c r="M1791" t="s">
        <v>60</v>
      </c>
      <c r="N1791" t="s">
        <v>4009</v>
      </c>
      <c r="O1791" t="s">
        <v>4010</v>
      </c>
      <c r="P1791">
        <v>1.3</v>
      </c>
    </row>
    <row r="1792" spans="1:16" x14ac:dyDescent="0.3">
      <c r="A1792" t="s">
        <v>29</v>
      </c>
      <c r="B1792" t="s">
        <v>26</v>
      </c>
      <c r="C1792" t="s">
        <v>27</v>
      </c>
      <c r="D1792" t="s">
        <v>363</v>
      </c>
      <c r="E1792" t="s">
        <v>569</v>
      </c>
      <c r="F1792" t="s">
        <v>11</v>
      </c>
      <c r="G1792" t="s">
        <v>621</v>
      </c>
      <c r="H1792" t="s">
        <v>572</v>
      </c>
      <c r="I1792">
        <v>52</v>
      </c>
      <c r="J1792">
        <v>0.84000000000000008</v>
      </c>
      <c r="K1792">
        <v>0.82894736842105265</v>
      </c>
      <c r="L1792">
        <v>0.85135135135135132</v>
      </c>
      <c r="M1792" t="s">
        <v>60</v>
      </c>
      <c r="N1792" t="s">
        <v>4011</v>
      </c>
      <c r="O1792" t="s">
        <v>4012</v>
      </c>
      <c r="P1792">
        <v>1.3</v>
      </c>
    </row>
    <row r="1793" spans="1:16" x14ac:dyDescent="0.3">
      <c r="A1793" t="s">
        <v>29</v>
      </c>
      <c r="B1793" t="s">
        <v>26</v>
      </c>
      <c r="C1793" t="s">
        <v>27</v>
      </c>
      <c r="D1793" t="s">
        <v>363</v>
      </c>
      <c r="E1793" t="s">
        <v>569</v>
      </c>
      <c r="F1793" t="s">
        <v>11</v>
      </c>
      <c r="G1793" t="s">
        <v>626</v>
      </c>
      <c r="H1793" t="s">
        <v>572</v>
      </c>
      <c r="I1793">
        <v>53</v>
      </c>
      <c r="J1793">
        <v>0.85209713024282552</v>
      </c>
      <c r="K1793">
        <v>0.83549783549783552</v>
      </c>
      <c r="L1793">
        <v>0.86936936936936937</v>
      </c>
      <c r="M1793" t="s">
        <v>60</v>
      </c>
      <c r="N1793" t="s">
        <v>4013</v>
      </c>
      <c r="O1793" t="s">
        <v>4014</v>
      </c>
      <c r="P1793">
        <v>1.7</v>
      </c>
    </row>
    <row r="1794" spans="1:16" x14ac:dyDescent="0.3">
      <c r="A1794" t="s">
        <v>29</v>
      </c>
      <c r="B1794" t="s">
        <v>26</v>
      </c>
      <c r="C1794" t="s">
        <v>27</v>
      </c>
      <c r="D1794" t="s">
        <v>363</v>
      </c>
      <c r="E1794" t="s">
        <v>569</v>
      </c>
      <c r="F1794" t="s">
        <v>11</v>
      </c>
      <c r="G1794" t="s">
        <v>631</v>
      </c>
      <c r="H1794" t="s">
        <v>572</v>
      </c>
      <c r="I1794">
        <v>54</v>
      </c>
      <c r="J1794">
        <v>0.83408071748878931</v>
      </c>
      <c r="K1794">
        <v>0.8303571428571429</v>
      </c>
      <c r="L1794">
        <v>0.83783783783783783</v>
      </c>
      <c r="M1794" t="s">
        <v>60</v>
      </c>
      <c r="N1794" t="s">
        <v>4015</v>
      </c>
      <c r="O1794" t="s">
        <v>4016</v>
      </c>
      <c r="P1794">
        <v>1.3</v>
      </c>
    </row>
    <row r="1795" spans="1:16" x14ac:dyDescent="0.3">
      <c r="A1795" t="s">
        <v>29</v>
      </c>
      <c r="B1795" t="s">
        <v>26</v>
      </c>
      <c r="C1795" t="s">
        <v>27</v>
      </c>
      <c r="D1795" t="s">
        <v>363</v>
      </c>
      <c r="E1795" t="s">
        <v>569</v>
      </c>
      <c r="F1795" t="s">
        <v>11</v>
      </c>
      <c r="G1795" t="s">
        <v>636</v>
      </c>
      <c r="H1795" t="s">
        <v>572</v>
      </c>
      <c r="I1795">
        <v>55</v>
      </c>
      <c r="J1795">
        <v>0.86222222222222211</v>
      </c>
      <c r="K1795">
        <v>0.85087719298245612</v>
      </c>
      <c r="L1795">
        <v>0.87387387387387383</v>
      </c>
      <c r="M1795" t="s">
        <v>60</v>
      </c>
      <c r="N1795" t="s">
        <v>4017</v>
      </c>
      <c r="O1795" t="s">
        <v>4018</v>
      </c>
      <c r="P1795">
        <v>1.3</v>
      </c>
    </row>
    <row r="1796" spans="1:16" x14ac:dyDescent="0.3">
      <c r="A1796" t="s">
        <v>29</v>
      </c>
      <c r="B1796" t="s">
        <v>26</v>
      </c>
      <c r="C1796" t="s">
        <v>27</v>
      </c>
      <c r="D1796" t="s">
        <v>363</v>
      </c>
      <c r="E1796" t="s">
        <v>569</v>
      </c>
      <c r="F1796" t="s">
        <v>11</v>
      </c>
      <c r="G1796" t="s">
        <v>641</v>
      </c>
      <c r="H1796" t="s">
        <v>572</v>
      </c>
      <c r="I1796">
        <v>56</v>
      </c>
      <c r="J1796">
        <v>0.8318584070796462</v>
      </c>
      <c r="K1796">
        <v>0.81739130434782614</v>
      </c>
      <c r="L1796">
        <v>0.84684684684684686</v>
      </c>
      <c r="M1796" t="s">
        <v>60</v>
      </c>
      <c r="N1796" t="s">
        <v>4019</v>
      </c>
      <c r="O1796" t="s">
        <v>4020</v>
      </c>
      <c r="P1796">
        <v>1.7</v>
      </c>
    </row>
    <row r="1797" spans="1:16" x14ac:dyDescent="0.3">
      <c r="A1797" t="s">
        <v>29</v>
      </c>
      <c r="B1797" t="s">
        <v>26</v>
      </c>
      <c r="C1797" t="s">
        <v>27</v>
      </c>
      <c r="D1797" t="s">
        <v>363</v>
      </c>
      <c r="E1797" t="s">
        <v>569</v>
      </c>
      <c r="F1797" t="s">
        <v>11</v>
      </c>
      <c r="G1797" t="s">
        <v>646</v>
      </c>
      <c r="H1797" t="s">
        <v>572</v>
      </c>
      <c r="I1797">
        <v>57</v>
      </c>
      <c r="J1797">
        <v>0.85972850678733026</v>
      </c>
      <c r="K1797">
        <v>0.86363636363636365</v>
      </c>
      <c r="L1797">
        <v>0.85585585585585588</v>
      </c>
      <c r="M1797" t="s">
        <v>60</v>
      </c>
      <c r="N1797" t="s">
        <v>4021</v>
      </c>
      <c r="O1797" t="s">
        <v>4022</v>
      </c>
      <c r="P1797">
        <v>1.3</v>
      </c>
    </row>
    <row r="1798" spans="1:16" x14ac:dyDescent="0.3">
      <c r="A1798" t="s">
        <v>29</v>
      </c>
      <c r="B1798" t="s">
        <v>26</v>
      </c>
      <c r="C1798" t="s">
        <v>27</v>
      </c>
      <c r="D1798" t="s">
        <v>363</v>
      </c>
      <c r="E1798" t="s">
        <v>569</v>
      </c>
      <c r="F1798" t="s">
        <v>11</v>
      </c>
      <c r="G1798" t="s">
        <v>651</v>
      </c>
      <c r="H1798" t="s">
        <v>572</v>
      </c>
      <c r="I1798">
        <v>58</v>
      </c>
      <c r="J1798">
        <v>0.84070796460176989</v>
      </c>
      <c r="K1798">
        <v>0.82608695652173914</v>
      </c>
      <c r="L1798">
        <v>0.85585585585585588</v>
      </c>
      <c r="M1798" t="s">
        <v>60</v>
      </c>
      <c r="N1798" t="s">
        <v>4023</v>
      </c>
      <c r="O1798" t="s">
        <v>4024</v>
      </c>
      <c r="P1798">
        <v>1.3</v>
      </c>
    </row>
    <row r="1799" spans="1:16" x14ac:dyDescent="0.3">
      <c r="A1799" t="s">
        <v>29</v>
      </c>
      <c r="B1799" t="s">
        <v>26</v>
      </c>
      <c r="C1799" t="s">
        <v>27</v>
      </c>
      <c r="D1799" t="s">
        <v>363</v>
      </c>
      <c r="E1799" t="s">
        <v>569</v>
      </c>
      <c r="F1799" t="s">
        <v>11</v>
      </c>
      <c r="G1799" t="s">
        <v>656</v>
      </c>
      <c r="H1799" t="s">
        <v>572</v>
      </c>
      <c r="I1799">
        <v>59</v>
      </c>
      <c r="J1799">
        <v>0.82743362831858391</v>
      </c>
      <c r="K1799">
        <v>0.81304347826086953</v>
      </c>
      <c r="L1799">
        <v>0.84234234234234229</v>
      </c>
      <c r="M1799" t="s">
        <v>60</v>
      </c>
      <c r="N1799" t="s">
        <v>4025</v>
      </c>
      <c r="O1799" t="s">
        <v>4026</v>
      </c>
      <c r="P1799">
        <v>1.7</v>
      </c>
    </row>
    <row r="1800" spans="1:16" x14ac:dyDescent="0.3">
      <c r="A1800" t="s">
        <v>29</v>
      </c>
      <c r="B1800" t="s">
        <v>26</v>
      </c>
      <c r="C1800" t="s">
        <v>27</v>
      </c>
      <c r="D1800" t="s">
        <v>363</v>
      </c>
      <c r="E1800" t="s">
        <v>569</v>
      </c>
      <c r="F1800" t="s">
        <v>11</v>
      </c>
      <c r="G1800" t="s">
        <v>661</v>
      </c>
      <c r="H1800" t="s">
        <v>572</v>
      </c>
      <c r="I1800">
        <v>60</v>
      </c>
      <c r="J1800">
        <v>0.84257206208425717</v>
      </c>
      <c r="K1800">
        <v>0.82969432314410485</v>
      </c>
      <c r="L1800">
        <v>0.85585585585585588</v>
      </c>
      <c r="M1800" t="s">
        <v>60</v>
      </c>
      <c r="N1800" t="s">
        <v>4027</v>
      </c>
      <c r="O1800" t="s">
        <v>4028</v>
      </c>
      <c r="P1800">
        <v>1.3</v>
      </c>
    </row>
    <row r="1801" spans="1:16" x14ac:dyDescent="0.3">
      <c r="A1801" t="s">
        <v>29</v>
      </c>
      <c r="B1801" t="s">
        <v>26</v>
      </c>
      <c r="C1801" t="s">
        <v>27</v>
      </c>
      <c r="D1801" t="s">
        <v>363</v>
      </c>
      <c r="E1801" t="s">
        <v>569</v>
      </c>
      <c r="F1801" t="s">
        <v>11</v>
      </c>
      <c r="G1801" t="s">
        <v>666</v>
      </c>
      <c r="H1801" t="s">
        <v>572</v>
      </c>
      <c r="I1801">
        <v>61</v>
      </c>
      <c r="J1801">
        <v>0.84513274336283184</v>
      </c>
      <c r="K1801">
        <v>0.83043478260869563</v>
      </c>
      <c r="L1801">
        <v>0.86036036036036034</v>
      </c>
      <c r="M1801" t="s">
        <v>60</v>
      </c>
      <c r="N1801" t="s">
        <v>4029</v>
      </c>
      <c r="O1801" t="s">
        <v>4030</v>
      </c>
      <c r="P1801">
        <v>1.3</v>
      </c>
    </row>
    <row r="1802" spans="1:16" x14ac:dyDescent="0.3">
      <c r="A1802" t="s">
        <v>30</v>
      </c>
      <c r="B1802" t="s">
        <v>18</v>
      </c>
      <c r="C1802" t="s">
        <v>19</v>
      </c>
      <c r="D1802" t="s">
        <v>54</v>
      </c>
      <c r="E1802" t="s">
        <v>56</v>
      </c>
      <c r="F1802" t="s">
        <v>7</v>
      </c>
      <c r="G1802" t="s">
        <v>57</v>
      </c>
      <c r="H1802" t="s">
        <v>59</v>
      </c>
      <c r="I1802">
        <v>42</v>
      </c>
      <c r="J1802">
        <v>0.66807610993657518</v>
      </c>
      <c r="K1802">
        <v>0.65020576131687247</v>
      </c>
      <c r="L1802">
        <v>0.68695652173913047</v>
      </c>
      <c r="M1802" t="s">
        <v>60</v>
      </c>
      <c r="N1802" t="s">
        <v>4033</v>
      </c>
      <c r="O1802" t="s">
        <v>4034</v>
      </c>
      <c r="P1802">
        <v>76.400000000000006</v>
      </c>
    </row>
    <row r="1803" spans="1:16" x14ac:dyDescent="0.3">
      <c r="A1803" t="s">
        <v>30</v>
      </c>
      <c r="B1803" t="s">
        <v>18</v>
      </c>
      <c r="C1803" t="s">
        <v>19</v>
      </c>
      <c r="D1803" t="s">
        <v>54</v>
      </c>
      <c r="E1803" t="s">
        <v>56</v>
      </c>
      <c r="F1803" t="s">
        <v>7</v>
      </c>
      <c r="G1803" t="s">
        <v>65</v>
      </c>
      <c r="H1803" t="s">
        <v>59</v>
      </c>
      <c r="I1803">
        <v>43</v>
      </c>
      <c r="J1803">
        <v>0.66386554621848737</v>
      </c>
      <c r="K1803">
        <v>0.64227642276422769</v>
      </c>
      <c r="L1803">
        <v>0.68695652173913047</v>
      </c>
      <c r="M1803" t="s">
        <v>60</v>
      </c>
      <c r="N1803" t="s">
        <v>4035</v>
      </c>
      <c r="O1803" t="s">
        <v>4036</v>
      </c>
      <c r="P1803">
        <v>59</v>
      </c>
    </row>
    <row r="1804" spans="1:16" x14ac:dyDescent="0.3">
      <c r="A1804" t="s">
        <v>30</v>
      </c>
      <c r="B1804" t="s">
        <v>18</v>
      </c>
      <c r="C1804" t="s">
        <v>19</v>
      </c>
      <c r="D1804" t="s">
        <v>54</v>
      </c>
      <c r="E1804" t="s">
        <v>56</v>
      </c>
      <c r="F1804" t="s">
        <v>7</v>
      </c>
      <c r="G1804" t="s">
        <v>70</v>
      </c>
      <c r="H1804" t="s">
        <v>59</v>
      </c>
      <c r="I1804">
        <v>44</v>
      </c>
      <c r="J1804">
        <v>0.66386554621848737</v>
      </c>
      <c r="K1804">
        <v>0.64227642276422769</v>
      </c>
      <c r="L1804">
        <v>0.68695652173913047</v>
      </c>
      <c r="M1804" t="s">
        <v>60</v>
      </c>
      <c r="N1804" t="s">
        <v>4037</v>
      </c>
      <c r="O1804" t="s">
        <v>4038</v>
      </c>
      <c r="P1804">
        <v>59</v>
      </c>
    </row>
    <row r="1805" spans="1:16" x14ac:dyDescent="0.3">
      <c r="A1805" t="s">
        <v>30</v>
      </c>
      <c r="B1805" t="s">
        <v>18</v>
      </c>
      <c r="C1805" t="s">
        <v>19</v>
      </c>
      <c r="D1805" t="s">
        <v>54</v>
      </c>
      <c r="E1805" t="s">
        <v>56</v>
      </c>
      <c r="F1805" t="s">
        <v>7</v>
      </c>
      <c r="G1805" t="s">
        <v>75</v>
      </c>
      <c r="H1805" t="s">
        <v>59</v>
      </c>
      <c r="I1805">
        <v>45</v>
      </c>
      <c r="J1805">
        <v>0.66386554621848737</v>
      </c>
      <c r="K1805">
        <v>0.64227642276422769</v>
      </c>
      <c r="L1805">
        <v>0.68695652173913047</v>
      </c>
      <c r="M1805" t="s">
        <v>60</v>
      </c>
      <c r="N1805" t="s">
        <v>4039</v>
      </c>
      <c r="O1805" t="s">
        <v>4040</v>
      </c>
      <c r="P1805">
        <v>58.7</v>
      </c>
    </row>
    <row r="1806" spans="1:16" x14ac:dyDescent="0.3">
      <c r="A1806" t="s">
        <v>30</v>
      </c>
      <c r="B1806" t="s">
        <v>18</v>
      </c>
      <c r="C1806" t="s">
        <v>19</v>
      </c>
      <c r="D1806" t="s">
        <v>54</v>
      </c>
      <c r="E1806" t="s">
        <v>56</v>
      </c>
      <c r="F1806" t="s">
        <v>7</v>
      </c>
      <c r="G1806" t="s">
        <v>80</v>
      </c>
      <c r="H1806" t="s">
        <v>59</v>
      </c>
      <c r="I1806">
        <v>46</v>
      </c>
      <c r="J1806">
        <v>0.66386554621848737</v>
      </c>
      <c r="K1806">
        <v>0.64227642276422769</v>
      </c>
      <c r="L1806">
        <v>0.68695652173913047</v>
      </c>
      <c r="M1806" t="s">
        <v>60</v>
      </c>
      <c r="N1806" t="s">
        <v>4041</v>
      </c>
      <c r="O1806" t="s">
        <v>4042</v>
      </c>
      <c r="P1806">
        <v>59.1</v>
      </c>
    </row>
    <row r="1807" spans="1:16" x14ac:dyDescent="0.3">
      <c r="A1807" t="s">
        <v>30</v>
      </c>
      <c r="B1807" t="s">
        <v>18</v>
      </c>
      <c r="C1807" t="s">
        <v>19</v>
      </c>
      <c r="D1807" t="s">
        <v>54</v>
      </c>
      <c r="E1807" t="s">
        <v>56</v>
      </c>
      <c r="F1807" t="s">
        <v>7</v>
      </c>
      <c r="G1807" t="s">
        <v>85</v>
      </c>
      <c r="H1807" t="s">
        <v>59</v>
      </c>
      <c r="I1807">
        <v>47</v>
      </c>
      <c r="J1807">
        <v>0.66386554621848737</v>
      </c>
      <c r="K1807">
        <v>0.64227642276422769</v>
      </c>
      <c r="L1807">
        <v>0.68695652173913047</v>
      </c>
      <c r="M1807" t="s">
        <v>60</v>
      </c>
      <c r="N1807" t="s">
        <v>4043</v>
      </c>
      <c r="O1807" t="s">
        <v>4044</v>
      </c>
      <c r="P1807">
        <v>59.6</v>
      </c>
    </row>
    <row r="1808" spans="1:16" x14ac:dyDescent="0.3">
      <c r="A1808" t="s">
        <v>30</v>
      </c>
      <c r="B1808" t="s">
        <v>18</v>
      </c>
      <c r="C1808" t="s">
        <v>19</v>
      </c>
      <c r="D1808" t="s">
        <v>54</v>
      </c>
      <c r="E1808" t="s">
        <v>56</v>
      </c>
      <c r="F1808" t="s">
        <v>7</v>
      </c>
      <c r="G1808" t="s">
        <v>90</v>
      </c>
      <c r="H1808" t="s">
        <v>59</v>
      </c>
      <c r="I1808">
        <v>48</v>
      </c>
      <c r="J1808">
        <v>0.66386554621848737</v>
      </c>
      <c r="K1808">
        <v>0.64227642276422769</v>
      </c>
      <c r="L1808">
        <v>0.68695652173913047</v>
      </c>
      <c r="M1808" t="s">
        <v>60</v>
      </c>
      <c r="N1808" t="s">
        <v>4045</v>
      </c>
      <c r="O1808" t="s">
        <v>4046</v>
      </c>
      <c r="P1808">
        <v>59.4</v>
      </c>
    </row>
    <row r="1809" spans="1:16" x14ac:dyDescent="0.3">
      <c r="A1809" t="s">
        <v>30</v>
      </c>
      <c r="B1809" t="s">
        <v>18</v>
      </c>
      <c r="C1809" t="s">
        <v>19</v>
      </c>
      <c r="D1809" t="s">
        <v>54</v>
      </c>
      <c r="E1809" t="s">
        <v>56</v>
      </c>
      <c r="F1809" t="s">
        <v>7</v>
      </c>
      <c r="G1809" t="s">
        <v>95</v>
      </c>
      <c r="H1809" t="s">
        <v>59</v>
      </c>
      <c r="I1809">
        <v>49</v>
      </c>
      <c r="J1809">
        <v>0.66386554621848737</v>
      </c>
      <c r="K1809">
        <v>0.64227642276422769</v>
      </c>
      <c r="L1809">
        <v>0.68695652173913047</v>
      </c>
      <c r="M1809" t="s">
        <v>60</v>
      </c>
      <c r="N1809" t="s">
        <v>4047</v>
      </c>
      <c r="O1809" t="s">
        <v>4048</v>
      </c>
      <c r="P1809">
        <v>59.8</v>
      </c>
    </row>
    <row r="1810" spans="1:16" x14ac:dyDescent="0.3">
      <c r="A1810" t="s">
        <v>30</v>
      </c>
      <c r="B1810" t="s">
        <v>18</v>
      </c>
      <c r="C1810" t="s">
        <v>19</v>
      </c>
      <c r="D1810" t="s">
        <v>54</v>
      </c>
      <c r="E1810" t="s">
        <v>56</v>
      </c>
      <c r="F1810" t="s">
        <v>7</v>
      </c>
      <c r="G1810" t="s">
        <v>100</v>
      </c>
      <c r="H1810" t="s">
        <v>59</v>
      </c>
      <c r="I1810">
        <v>50</v>
      </c>
      <c r="J1810">
        <v>0.66386554621848737</v>
      </c>
      <c r="K1810">
        <v>0.64227642276422769</v>
      </c>
      <c r="L1810">
        <v>0.68695652173913047</v>
      </c>
      <c r="M1810" t="s">
        <v>60</v>
      </c>
      <c r="N1810" t="s">
        <v>4049</v>
      </c>
      <c r="O1810" t="s">
        <v>4050</v>
      </c>
      <c r="P1810">
        <v>58.7</v>
      </c>
    </row>
    <row r="1811" spans="1:16" x14ac:dyDescent="0.3">
      <c r="A1811" t="s">
        <v>30</v>
      </c>
      <c r="B1811" t="s">
        <v>18</v>
      </c>
      <c r="C1811" t="s">
        <v>19</v>
      </c>
      <c r="D1811" t="s">
        <v>54</v>
      </c>
      <c r="E1811" t="s">
        <v>56</v>
      </c>
      <c r="F1811" t="s">
        <v>7</v>
      </c>
      <c r="G1811" t="s">
        <v>105</v>
      </c>
      <c r="H1811" t="s">
        <v>59</v>
      </c>
      <c r="I1811">
        <v>51</v>
      </c>
      <c r="J1811">
        <v>0.66386554621848737</v>
      </c>
      <c r="K1811">
        <v>0.64227642276422769</v>
      </c>
      <c r="L1811">
        <v>0.68695652173913047</v>
      </c>
      <c r="M1811" t="s">
        <v>60</v>
      </c>
      <c r="N1811" t="s">
        <v>4051</v>
      </c>
      <c r="O1811" t="s">
        <v>4052</v>
      </c>
      <c r="P1811">
        <v>59</v>
      </c>
    </row>
    <row r="1812" spans="1:16" x14ac:dyDescent="0.3">
      <c r="A1812" t="s">
        <v>30</v>
      </c>
      <c r="B1812" t="s">
        <v>18</v>
      </c>
      <c r="C1812" t="s">
        <v>19</v>
      </c>
      <c r="D1812" t="s">
        <v>54</v>
      </c>
      <c r="E1812" t="s">
        <v>56</v>
      </c>
      <c r="F1812" t="s">
        <v>7</v>
      </c>
      <c r="G1812" t="s">
        <v>110</v>
      </c>
      <c r="H1812" t="s">
        <v>59</v>
      </c>
      <c r="I1812">
        <v>52</v>
      </c>
      <c r="J1812">
        <v>0.66386554621848737</v>
      </c>
      <c r="K1812">
        <v>0.64227642276422769</v>
      </c>
      <c r="L1812">
        <v>0.68695652173913047</v>
      </c>
      <c r="M1812" t="s">
        <v>60</v>
      </c>
      <c r="N1812" t="s">
        <v>4053</v>
      </c>
      <c r="O1812" t="s">
        <v>4054</v>
      </c>
      <c r="P1812">
        <v>58.8</v>
      </c>
    </row>
    <row r="1813" spans="1:16" x14ac:dyDescent="0.3">
      <c r="A1813" t="s">
        <v>30</v>
      </c>
      <c r="B1813" t="s">
        <v>18</v>
      </c>
      <c r="C1813" t="s">
        <v>19</v>
      </c>
      <c r="D1813" t="s">
        <v>54</v>
      </c>
      <c r="E1813" t="s">
        <v>56</v>
      </c>
      <c r="F1813" t="s">
        <v>7</v>
      </c>
      <c r="G1813" t="s">
        <v>115</v>
      </c>
      <c r="H1813" t="s">
        <v>59</v>
      </c>
      <c r="I1813">
        <v>53</v>
      </c>
      <c r="J1813">
        <v>0.66386554621848737</v>
      </c>
      <c r="K1813">
        <v>0.64227642276422769</v>
      </c>
      <c r="L1813">
        <v>0.68695652173913047</v>
      </c>
      <c r="M1813" t="s">
        <v>60</v>
      </c>
      <c r="N1813" t="s">
        <v>4055</v>
      </c>
      <c r="O1813" t="s">
        <v>4056</v>
      </c>
      <c r="P1813">
        <v>59.6</v>
      </c>
    </row>
    <row r="1814" spans="1:16" x14ac:dyDescent="0.3">
      <c r="A1814" t="s">
        <v>30</v>
      </c>
      <c r="B1814" t="s">
        <v>18</v>
      </c>
      <c r="C1814" t="s">
        <v>19</v>
      </c>
      <c r="D1814" t="s">
        <v>54</v>
      </c>
      <c r="E1814" t="s">
        <v>56</v>
      </c>
      <c r="F1814" t="s">
        <v>7</v>
      </c>
      <c r="G1814" t="s">
        <v>120</v>
      </c>
      <c r="H1814" t="s">
        <v>59</v>
      </c>
      <c r="I1814">
        <v>54</v>
      </c>
      <c r="J1814">
        <v>0.66386554621848737</v>
      </c>
      <c r="K1814">
        <v>0.64227642276422769</v>
      </c>
      <c r="L1814">
        <v>0.68695652173913047</v>
      </c>
      <c r="M1814" t="s">
        <v>60</v>
      </c>
      <c r="N1814" t="s">
        <v>4057</v>
      </c>
      <c r="O1814" t="s">
        <v>4058</v>
      </c>
      <c r="P1814">
        <v>59.3</v>
      </c>
    </row>
    <row r="1815" spans="1:16" x14ac:dyDescent="0.3">
      <c r="A1815" t="s">
        <v>30</v>
      </c>
      <c r="B1815" t="s">
        <v>18</v>
      </c>
      <c r="C1815" t="s">
        <v>19</v>
      </c>
      <c r="D1815" t="s">
        <v>54</v>
      </c>
      <c r="E1815" t="s">
        <v>56</v>
      </c>
      <c r="F1815" t="s">
        <v>7</v>
      </c>
      <c r="G1815" t="s">
        <v>125</v>
      </c>
      <c r="H1815" t="s">
        <v>59</v>
      </c>
      <c r="I1815">
        <v>55</v>
      </c>
      <c r="J1815">
        <v>0.66386554621848737</v>
      </c>
      <c r="K1815">
        <v>0.64227642276422769</v>
      </c>
      <c r="L1815">
        <v>0.68695652173913047</v>
      </c>
      <c r="M1815" t="s">
        <v>60</v>
      </c>
      <c r="N1815" t="s">
        <v>4059</v>
      </c>
      <c r="O1815" t="s">
        <v>4060</v>
      </c>
      <c r="P1815">
        <v>59.3</v>
      </c>
    </row>
    <row r="1816" spans="1:16" x14ac:dyDescent="0.3">
      <c r="A1816" t="s">
        <v>30</v>
      </c>
      <c r="B1816" t="s">
        <v>18</v>
      </c>
      <c r="C1816" t="s">
        <v>19</v>
      </c>
      <c r="D1816" t="s">
        <v>54</v>
      </c>
      <c r="E1816" t="s">
        <v>56</v>
      </c>
      <c r="F1816" t="s">
        <v>7</v>
      </c>
      <c r="G1816" t="s">
        <v>130</v>
      </c>
      <c r="H1816" t="s">
        <v>59</v>
      </c>
      <c r="I1816">
        <v>56</v>
      </c>
      <c r="J1816">
        <v>0.66386554621848737</v>
      </c>
      <c r="K1816">
        <v>0.64227642276422769</v>
      </c>
      <c r="L1816">
        <v>0.68695652173913047</v>
      </c>
      <c r="M1816" t="s">
        <v>60</v>
      </c>
      <c r="N1816" t="s">
        <v>4061</v>
      </c>
      <c r="O1816" t="s">
        <v>4062</v>
      </c>
      <c r="P1816">
        <v>59.2</v>
      </c>
    </row>
    <row r="1817" spans="1:16" x14ac:dyDescent="0.3">
      <c r="A1817" t="s">
        <v>30</v>
      </c>
      <c r="B1817" t="s">
        <v>18</v>
      </c>
      <c r="C1817" t="s">
        <v>19</v>
      </c>
      <c r="D1817" t="s">
        <v>54</v>
      </c>
      <c r="E1817" t="s">
        <v>56</v>
      </c>
      <c r="F1817" t="s">
        <v>7</v>
      </c>
      <c r="G1817" t="s">
        <v>135</v>
      </c>
      <c r="H1817" t="s">
        <v>59</v>
      </c>
      <c r="I1817">
        <v>57</v>
      </c>
      <c r="J1817">
        <v>0.66386554621848737</v>
      </c>
      <c r="K1817">
        <v>0.64227642276422769</v>
      </c>
      <c r="L1817">
        <v>0.68695652173913047</v>
      </c>
      <c r="M1817" t="s">
        <v>60</v>
      </c>
      <c r="N1817" t="s">
        <v>4063</v>
      </c>
      <c r="O1817" t="s">
        <v>4064</v>
      </c>
      <c r="P1817">
        <v>58.7</v>
      </c>
    </row>
    <row r="1818" spans="1:16" x14ac:dyDescent="0.3">
      <c r="A1818" t="s">
        <v>30</v>
      </c>
      <c r="B1818" t="s">
        <v>18</v>
      </c>
      <c r="C1818" t="s">
        <v>19</v>
      </c>
      <c r="D1818" t="s">
        <v>54</v>
      </c>
      <c r="E1818" t="s">
        <v>56</v>
      </c>
      <c r="F1818" t="s">
        <v>7</v>
      </c>
      <c r="G1818" t="s">
        <v>140</v>
      </c>
      <c r="H1818" t="s">
        <v>59</v>
      </c>
      <c r="I1818">
        <v>58</v>
      </c>
      <c r="J1818">
        <v>0.66386554621848737</v>
      </c>
      <c r="K1818">
        <v>0.64227642276422769</v>
      </c>
      <c r="L1818">
        <v>0.68695652173913047</v>
      </c>
      <c r="M1818" t="s">
        <v>60</v>
      </c>
      <c r="N1818" t="s">
        <v>4065</v>
      </c>
      <c r="O1818" t="s">
        <v>4066</v>
      </c>
      <c r="P1818">
        <v>59.8</v>
      </c>
    </row>
    <row r="1819" spans="1:16" x14ac:dyDescent="0.3">
      <c r="A1819" t="s">
        <v>30</v>
      </c>
      <c r="B1819" t="s">
        <v>18</v>
      </c>
      <c r="C1819" t="s">
        <v>19</v>
      </c>
      <c r="D1819" t="s">
        <v>54</v>
      </c>
      <c r="E1819" t="s">
        <v>56</v>
      </c>
      <c r="F1819" t="s">
        <v>7</v>
      </c>
      <c r="G1819" t="s">
        <v>145</v>
      </c>
      <c r="H1819" t="s">
        <v>59</v>
      </c>
      <c r="I1819">
        <v>59</v>
      </c>
      <c r="J1819">
        <v>0.66386554621848737</v>
      </c>
      <c r="K1819">
        <v>0.64227642276422769</v>
      </c>
      <c r="L1819">
        <v>0.68695652173913047</v>
      </c>
      <c r="M1819" t="s">
        <v>60</v>
      </c>
      <c r="N1819" t="s">
        <v>4067</v>
      </c>
      <c r="O1819" t="s">
        <v>4068</v>
      </c>
      <c r="P1819">
        <v>59.2</v>
      </c>
    </row>
    <row r="1820" spans="1:16" x14ac:dyDescent="0.3">
      <c r="A1820" t="s">
        <v>30</v>
      </c>
      <c r="B1820" t="s">
        <v>18</v>
      </c>
      <c r="C1820" t="s">
        <v>19</v>
      </c>
      <c r="D1820" t="s">
        <v>54</v>
      </c>
      <c r="E1820" t="s">
        <v>56</v>
      </c>
      <c r="F1820" t="s">
        <v>7</v>
      </c>
      <c r="G1820" t="s">
        <v>150</v>
      </c>
      <c r="H1820" t="s">
        <v>59</v>
      </c>
      <c r="I1820">
        <v>60</v>
      </c>
      <c r="J1820">
        <v>0.66386554621848737</v>
      </c>
      <c r="K1820">
        <v>0.64227642276422769</v>
      </c>
      <c r="L1820">
        <v>0.68695652173913047</v>
      </c>
      <c r="M1820" t="s">
        <v>60</v>
      </c>
      <c r="N1820" t="s">
        <v>4069</v>
      </c>
      <c r="O1820" t="s">
        <v>4070</v>
      </c>
      <c r="P1820">
        <v>58.3</v>
      </c>
    </row>
    <row r="1821" spans="1:16" x14ac:dyDescent="0.3">
      <c r="A1821" t="s">
        <v>30</v>
      </c>
      <c r="B1821" t="s">
        <v>18</v>
      </c>
      <c r="C1821" t="s">
        <v>19</v>
      </c>
      <c r="D1821" t="s">
        <v>54</v>
      </c>
      <c r="E1821" t="s">
        <v>56</v>
      </c>
      <c r="F1821" t="s">
        <v>7</v>
      </c>
      <c r="G1821" t="s">
        <v>155</v>
      </c>
      <c r="H1821" t="s">
        <v>59</v>
      </c>
      <c r="I1821">
        <v>61</v>
      </c>
      <c r="J1821">
        <v>0.66386554621848737</v>
      </c>
      <c r="K1821">
        <v>0.64227642276422769</v>
      </c>
      <c r="L1821">
        <v>0.68695652173913047</v>
      </c>
      <c r="M1821" t="s">
        <v>60</v>
      </c>
      <c r="N1821" t="s">
        <v>4071</v>
      </c>
      <c r="O1821" t="s">
        <v>4072</v>
      </c>
      <c r="P1821">
        <v>59.7</v>
      </c>
    </row>
    <row r="1822" spans="1:16" x14ac:dyDescent="0.3">
      <c r="A1822" t="s">
        <v>30</v>
      </c>
      <c r="B1822" t="s">
        <v>18</v>
      </c>
      <c r="C1822" t="s">
        <v>19</v>
      </c>
      <c r="D1822" t="s">
        <v>54</v>
      </c>
      <c r="E1822" t="s">
        <v>160</v>
      </c>
      <c r="F1822" t="s">
        <v>3</v>
      </c>
      <c r="G1822" t="s">
        <v>161</v>
      </c>
      <c r="H1822" t="s">
        <v>163</v>
      </c>
      <c r="I1822">
        <v>42</v>
      </c>
      <c r="J1822">
        <v>0.65753424657534254</v>
      </c>
      <c r="K1822">
        <v>0.61224489795918369</v>
      </c>
      <c r="L1822">
        <v>0.7100591715976331</v>
      </c>
      <c r="M1822" t="s">
        <v>60</v>
      </c>
      <c r="N1822" t="s">
        <v>4073</v>
      </c>
      <c r="O1822" t="s">
        <v>4074</v>
      </c>
      <c r="P1822">
        <v>58.2</v>
      </c>
    </row>
    <row r="1823" spans="1:16" x14ac:dyDescent="0.3">
      <c r="A1823" t="s">
        <v>30</v>
      </c>
      <c r="B1823" t="s">
        <v>18</v>
      </c>
      <c r="C1823" t="s">
        <v>19</v>
      </c>
      <c r="D1823" t="s">
        <v>54</v>
      </c>
      <c r="E1823" t="s">
        <v>160</v>
      </c>
      <c r="F1823" t="s">
        <v>3</v>
      </c>
      <c r="G1823" t="s">
        <v>167</v>
      </c>
      <c r="H1823" t="s">
        <v>163</v>
      </c>
      <c r="I1823">
        <v>43</v>
      </c>
      <c r="J1823">
        <v>0.65753424657534254</v>
      </c>
      <c r="K1823">
        <v>0.61224489795918369</v>
      </c>
      <c r="L1823">
        <v>0.7100591715976331</v>
      </c>
      <c r="M1823" t="s">
        <v>60</v>
      </c>
      <c r="N1823" t="s">
        <v>4075</v>
      </c>
      <c r="O1823" t="s">
        <v>4076</v>
      </c>
      <c r="P1823">
        <v>57.7</v>
      </c>
    </row>
    <row r="1824" spans="1:16" x14ac:dyDescent="0.3">
      <c r="A1824" t="s">
        <v>30</v>
      </c>
      <c r="B1824" t="s">
        <v>18</v>
      </c>
      <c r="C1824" t="s">
        <v>19</v>
      </c>
      <c r="D1824" t="s">
        <v>54</v>
      </c>
      <c r="E1824" t="s">
        <v>160</v>
      </c>
      <c r="F1824" t="s">
        <v>3</v>
      </c>
      <c r="G1824" t="s">
        <v>172</v>
      </c>
      <c r="H1824" t="s">
        <v>163</v>
      </c>
      <c r="I1824">
        <v>44</v>
      </c>
      <c r="J1824">
        <v>0.65753424657534254</v>
      </c>
      <c r="K1824">
        <v>0.61224489795918369</v>
      </c>
      <c r="L1824">
        <v>0.7100591715976331</v>
      </c>
      <c r="M1824" t="s">
        <v>60</v>
      </c>
      <c r="N1824" t="s">
        <v>4077</v>
      </c>
      <c r="O1824" t="s">
        <v>4078</v>
      </c>
      <c r="P1824">
        <v>57.7</v>
      </c>
    </row>
    <row r="1825" spans="1:16" x14ac:dyDescent="0.3">
      <c r="A1825" t="s">
        <v>30</v>
      </c>
      <c r="B1825" t="s">
        <v>18</v>
      </c>
      <c r="C1825" t="s">
        <v>19</v>
      </c>
      <c r="D1825" t="s">
        <v>54</v>
      </c>
      <c r="E1825" t="s">
        <v>160</v>
      </c>
      <c r="F1825" t="s">
        <v>3</v>
      </c>
      <c r="G1825" t="s">
        <v>177</v>
      </c>
      <c r="H1825" t="s">
        <v>163</v>
      </c>
      <c r="I1825">
        <v>45</v>
      </c>
      <c r="J1825">
        <v>0.65753424657534254</v>
      </c>
      <c r="K1825">
        <v>0.61224489795918369</v>
      </c>
      <c r="L1825">
        <v>0.7100591715976331</v>
      </c>
      <c r="M1825" t="s">
        <v>60</v>
      </c>
      <c r="N1825" t="s">
        <v>4079</v>
      </c>
      <c r="O1825" t="s">
        <v>4080</v>
      </c>
      <c r="P1825">
        <v>57.1</v>
      </c>
    </row>
    <row r="1826" spans="1:16" x14ac:dyDescent="0.3">
      <c r="A1826" t="s">
        <v>30</v>
      </c>
      <c r="B1826" t="s">
        <v>18</v>
      </c>
      <c r="C1826" t="s">
        <v>19</v>
      </c>
      <c r="D1826" t="s">
        <v>54</v>
      </c>
      <c r="E1826" t="s">
        <v>160</v>
      </c>
      <c r="F1826" t="s">
        <v>3</v>
      </c>
      <c r="G1826" t="s">
        <v>182</v>
      </c>
      <c r="H1826" t="s">
        <v>163</v>
      </c>
      <c r="I1826">
        <v>46</v>
      </c>
      <c r="J1826">
        <v>0.65753424657534254</v>
      </c>
      <c r="K1826">
        <v>0.61224489795918369</v>
      </c>
      <c r="L1826">
        <v>0.7100591715976331</v>
      </c>
      <c r="M1826" t="s">
        <v>60</v>
      </c>
      <c r="N1826" t="s">
        <v>4081</v>
      </c>
      <c r="O1826" t="s">
        <v>4082</v>
      </c>
      <c r="P1826">
        <v>57.9</v>
      </c>
    </row>
    <row r="1827" spans="1:16" x14ac:dyDescent="0.3">
      <c r="A1827" t="s">
        <v>30</v>
      </c>
      <c r="B1827" t="s">
        <v>18</v>
      </c>
      <c r="C1827" t="s">
        <v>19</v>
      </c>
      <c r="D1827" t="s">
        <v>54</v>
      </c>
      <c r="E1827" t="s">
        <v>160</v>
      </c>
      <c r="F1827" t="s">
        <v>3</v>
      </c>
      <c r="G1827" t="s">
        <v>187</v>
      </c>
      <c r="H1827" t="s">
        <v>163</v>
      </c>
      <c r="I1827">
        <v>47</v>
      </c>
      <c r="J1827">
        <v>0.65753424657534254</v>
      </c>
      <c r="K1827">
        <v>0.61224489795918369</v>
      </c>
      <c r="L1827">
        <v>0.7100591715976331</v>
      </c>
      <c r="M1827" t="s">
        <v>60</v>
      </c>
      <c r="N1827" t="s">
        <v>4083</v>
      </c>
      <c r="O1827" t="s">
        <v>4084</v>
      </c>
      <c r="P1827">
        <v>56.6</v>
      </c>
    </row>
    <row r="1828" spans="1:16" x14ac:dyDescent="0.3">
      <c r="A1828" t="s">
        <v>30</v>
      </c>
      <c r="B1828" t="s">
        <v>18</v>
      </c>
      <c r="C1828" t="s">
        <v>19</v>
      </c>
      <c r="D1828" t="s">
        <v>54</v>
      </c>
      <c r="E1828" t="s">
        <v>160</v>
      </c>
      <c r="F1828" t="s">
        <v>3</v>
      </c>
      <c r="G1828" t="s">
        <v>192</v>
      </c>
      <c r="H1828" t="s">
        <v>163</v>
      </c>
      <c r="I1828">
        <v>48</v>
      </c>
      <c r="J1828">
        <v>0.65753424657534254</v>
      </c>
      <c r="K1828">
        <v>0.61224489795918369</v>
      </c>
      <c r="L1828">
        <v>0.7100591715976331</v>
      </c>
      <c r="M1828" t="s">
        <v>60</v>
      </c>
      <c r="N1828" t="s">
        <v>4085</v>
      </c>
      <c r="O1828" t="s">
        <v>4086</v>
      </c>
      <c r="P1828">
        <v>57</v>
      </c>
    </row>
    <row r="1829" spans="1:16" x14ac:dyDescent="0.3">
      <c r="A1829" t="s">
        <v>30</v>
      </c>
      <c r="B1829" t="s">
        <v>18</v>
      </c>
      <c r="C1829" t="s">
        <v>19</v>
      </c>
      <c r="D1829" t="s">
        <v>54</v>
      </c>
      <c r="E1829" t="s">
        <v>160</v>
      </c>
      <c r="F1829" t="s">
        <v>3</v>
      </c>
      <c r="G1829" t="s">
        <v>197</v>
      </c>
      <c r="H1829" t="s">
        <v>163</v>
      </c>
      <c r="I1829">
        <v>49</v>
      </c>
      <c r="J1829">
        <v>0.65753424657534254</v>
      </c>
      <c r="K1829">
        <v>0.61224489795918369</v>
      </c>
      <c r="L1829">
        <v>0.7100591715976331</v>
      </c>
      <c r="M1829" t="s">
        <v>60</v>
      </c>
      <c r="N1829" t="s">
        <v>4087</v>
      </c>
      <c r="O1829" t="s">
        <v>4088</v>
      </c>
      <c r="P1829">
        <v>56.7</v>
      </c>
    </row>
    <row r="1830" spans="1:16" x14ac:dyDescent="0.3">
      <c r="A1830" t="s">
        <v>30</v>
      </c>
      <c r="B1830" t="s">
        <v>18</v>
      </c>
      <c r="C1830" t="s">
        <v>19</v>
      </c>
      <c r="D1830" t="s">
        <v>54</v>
      </c>
      <c r="E1830" t="s">
        <v>160</v>
      </c>
      <c r="F1830" t="s">
        <v>3</v>
      </c>
      <c r="G1830" t="s">
        <v>202</v>
      </c>
      <c r="H1830" t="s">
        <v>163</v>
      </c>
      <c r="I1830">
        <v>50</v>
      </c>
      <c r="J1830">
        <v>0.65753424657534254</v>
      </c>
      <c r="K1830">
        <v>0.61224489795918369</v>
      </c>
      <c r="L1830">
        <v>0.7100591715976331</v>
      </c>
      <c r="M1830" t="s">
        <v>60</v>
      </c>
      <c r="N1830" t="s">
        <v>4089</v>
      </c>
      <c r="O1830" t="s">
        <v>4090</v>
      </c>
      <c r="P1830">
        <v>57.6</v>
      </c>
    </row>
    <row r="1831" spans="1:16" x14ac:dyDescent="0.3">
      <c r="A1831" t="s">
        <v>30</v>
      </c>
      <c r="B1831" t="s">
        <v>18</v>
      </c>
      <c r="C1831" t="s">
        <v>19</v>
      </c>
      <c r="D1831" t="s">
        <v>54</v>
      </c>
      <c r="E1831" t="s">
        <v>160</v>
      </c>
      <c r="F1831" t="s">
        <v>3</v>
      </c>
      <c r="G1831" t="s">
        <v>207</v>
      </c>
      <c r="H1831" t="s">
        <v>163</v>
      </c>
      <c r="I1831">
        <v>51</v>
      </c>
      <c r="J1831">
        <v>0.65753424657534254</v>
      </c>
      <c r="K1831">
        <v>0.61224489795918369</v>
      </c>
      <c r="L1831">
        <v>0.7100591715976331</v>
      </c>
      <c r="M1831" t="s">
        <v>60</v>
      </c>
      <c r="N1831" t="s">
        <v>4091</v>
      </c>
      <c r="O1831" t="s">
        <v>4092</v>
      </c>
      <c r="P1831">
        <v>58.2</v>
      </c>
    </row>
    <row r="1832" spans="1:16" x14ac:dyDescent="0.3">
      <c r="A1832" t="s">
        <v>30</v>
      </c>
      <c r="B1832" t="s">
        <v>18</v>
      </c>
      <c r="C1832" t="s">
        <v>19</v>
      </c>
      <c r="D1832" t="s">
        <v>54</v>
      </c>
      <c r="E1832" t="s">
        <v>160</v>
      </c>
      <c r="F1832" t="s">
        <v>3</v>
      </c>
      <c r="G1832" t="s">
        <v>212</v>
      </c>
      <c r="H1832" t="s">
        <v>163</v>
      </c>
      <c r="I1832">
        <v>52</v>
      </c>
      <c r="J1832">
        <v>0.65753424657534254</v>
      </c>
      <c r="K1832">
        <v>0.61224489795918369</v>
      </c>
      <c r="L1832">
        <v>0.7100591715976331</v>
      </c>
      <c r="M1832" t="s">
        <v>60</v>
      </c>
      <c r="N1832" t="s">
        <v>4093</v>
      </c>
      <c r="O1832" t="s">
        <v>4094</v>
      </c>
      <c r="P1832">
        <v>57.8</v>
      </c>
    </row>
    <row r="1833" spans="1:16" x14ac:dyDescent="0.3">
      <c r="A1833" t="s">
        <v>30</v>
      </c>
      <c r="B1833" t="s">
        <v>18</v>
      </c>
      <c r="C1833" t="s">
        <v>19</v>
      </c>
      <c r="D1833" t="s">
        <v>54</v>
      </c>
      <c r="E1833" t="s">
        <v>160</v>
      </c>
      <c r="F1833" t="s">
        <v>3</v>
      </c>
      <c r="G1833" t="s">
        <v>217</v>
      </c>
      <c r="H1833" t="s">
        <v>163</v>
      </c>
      <c r="I1833">
        <v>53</v>
      </c>
      <c r="J1833">
        <v>0.65753424657534254</v>
      </c>
      <c r="K1833">
        <v>0.61224489795918369</v>
      </c>
      <c r="L1833">
        <v>0.7100591715976331</v>
      </c>
      <c r="M1833" t="s">
        <v>60</v>
      </c>
      <c r="N1833" t="s">
        <v>4095</v>
      </c>
      <c r="O1833" t="s">
        <v>4096</v>
      </c>
      <c r="P1833">
        <v>57.9</v>
      </c>
    </row>
    <row r="1834" spans="1:16" x14ac:dyDescent="0.3">
      <c r="A1834" t="s">
        <v>30</v>
      </c>
      <c r="B1834" t="s">
        <v>18</v>
      </c>
      <c r="C1834" t="s">
        <v>19</v>
      </c>
      <c r="D1834" t="s">
        <v>54</v>
      </c>
      <c r="E1834" t="s">
        <v>160</v>
      </c>
      <c r="F1834" t="s">
        <v>3</v>
      </c>
      <c r="G1834" t="s">
        <v>222</v>
      </c>
      <c r="H1834" t="s">
        <v>163</v>
      </c>
      <c r="I1834">
        <v>54</v>
      </c>
      <c r="J1834">
        <v>0.65753424657534254</v>
      </c>
      <c r="K1834">
        <v>0.61224489795918369</v>
      </c>
      <c r="L1834">
        <v>0.7100591715976331</v>
      </c>
      <c r="M1834" t="s">
        <v>60</v>
      </c>
      <c r="N1834" t="s">
        <v>4097</v>
      </c>
      <c r="O1834" t="s">
        <v>4098</v>
      </c>
      <c r="P1834">
        <v>57.6</v>
      </c>
    </row>
    <row r="1835" spans="1:16" x14ac:dyDescent="0.3">
      <c r="A1835" t="s">
        <v>30</v>
      </c>
      <c r="B1835" t="s">
        <v>18</v>
      </c>
      <c r="C1835" t="s">
        <v>19</v>
      </c>
      <c r="D1835" t="s">
        <v>54</v>
      </c>
      <c r="E1835" t="s">
        <v>160</v>
      </c>
      <c r="F1835" t="s">
        <v>3</v>
      </c>
      <c r="G1835" t="s">
        <v>227</v>
      </c>
      <c r="H1835" t="s">
        <v>163</v>
      </c>
      <c r="I1835">
        <v>55</v>
      </c>
      <c r="J1835">
        <v>0.65753424657534254</v>
      </c>
      <c r="K1835">
        <v>0.61224489795918369</v>
      </c>
      <c r="L1835">
        <v>0.7100591715976331</v>
      </c>
      <c r="M1835" t="s">
        <v>60</v>
      </c>
      <c r="N1835" t="s">
        <v>4099</v>
      </c>
      <c r="O1835" t="s">
        <v>4100</v>
      </c>
      <c r="P1835">
        <v>57.5</v>
      </c>
    </row>
    <row r="1836" spans="1:16" x14ac:dyDescent="0.3">
      <c r="A1836" t="s">
        <v>30</v>
      </c>
      <c r="B1836" t="s">
        <v>18</v>
      </c>
      <c r="C1836" t="s">
        <v>19</v>
      </c>
      <c r="D1836" t="s">
        <v>54</v>
      </c>
      <c r="E1836" t="s">
        <v>160</v>
      </c>
      <c r="F1836" t="s">
        <v>3</v>
      </c>
      <c r="G1836" t="s">
        <v>232</v>
      </c>
      <c r="H1836" t="s">
        <v>163</v>
      </c>
      <c r="I1836">
        <v>56</v>
      </c>
      <c r="J1836">
        <v>0.65753424657534254</v>
      </c>
      <c r="K1836">
        <v>0.61224489795918369</v>
      </c>
      <c r="L1836">
        <v>0.7100591715976331</v>
      </c>
      <c r="M1836" t="s">
        <v>60</v>
      </c>
      <c r="N1836" t="s">
        <v>4101</v>
      </c>
      <c r="O1836" t="s">
        <v>4102</v>
      </c>
      <c r="P1836">
        <v>57.5</v>
      </c>
    </row>
    <row r="1837" spans="1:16" x14ac:dyDescent="0.3">
      <c r="A1837" t="s">
        <v>30</v>
      </c>
      <c r="B1837" t="s">
        <v>18</v>
      </c>
      <c r="C1837" t="s">
        <v>19</v>
      </c>
      <c r="D1837" t="s">
        <v>54</v>
      </c>
      <c r="E1837" t="s">
        <v>160</v>
      </c>
      <c r="F1837" t="s">
        <v>3</v>
      </c>
      <c r="G1837" t="s">
        <v>237</v>
      </c>
      <c r="H1837" t="s">
        <v>163</v>
      </c>
      <c r="I1837">
        <v>57</v>
      </c>
      <c r="J1837">
        <v>0.65753424657534254</v>
      </c>
      <c r="K1837">
        <v>0.61224489795918369</v>
      </c>
      <c r="L1837">
        <v>0.7100591715976331</v>
      </c>
      <c r="M1837" t="s">
        <v>60</v>
      </c>
      <c r="N1837" t="s">
        <v>4103</v>
      </c>
      <c r="O1837" t="s">
        <v>4104</v>
      </c>
      <c r="P1837">
        <v>57.4</v>
      </c>
    </row>
    <row r="1838" spans="1:16" x14ac:dyDescent="0.3">
      <c r="A1838" t="s">
        <v>30</v>
      </c>
      <c r="B1838" t="s">
        <v>18</v>
      </c>
      <c r="C1838" t="s">
        <v>19</v>
      </c>
      <c r="D1838" t="s">
        <v>54</v>
      </c>
      <c r="E1838" t="s">
        <v>160</v>
      </c>
      <c r="F1838" t="s">
        <v>3</v>
      </c>
      <c r="G1838" t="s">
        <v>242</v>
      </c>
      <c r="H1838" t="s">
        <v>163</v>
      </c>
      <c r="I1838">
        <v>58</v>
      </c>
      <c r="J1838">
        <v>0.65753424657534254</v>
      </c>
      <c r="K1838">
        <v>0.61224489795918369</v>
      </c>
      <c r="L1838">
        <v>0.7100591715976331</v>
      </c>
      <c r="M1838" t="s">
        <v>60</v>
      </c>
      <c r="N1838" t="s">
        <v>4105</v>
      </c>
      <c r="O1838" t="s">
        <v>4106</v>
      </c>
      <c r="P1838">
        <v>57.7</v>
      </c>
    </row>
    <row r="1839" spans="1:16" x14ac:dyDescent="0.3">
      <c r="A1839" t="s">
        <v>30</v>
      </c>
      <c r="B1839" t="s">
        <v>18</v>
      </c>
      <c r="C1839" t="s">
        <v>19</v>
      </c>
      <c r="D1839" t="s">
        <v>54</v>
      </c>
      <c r="E1839" t="s">
        <v>160</v>
      </c>
      <c r="F1839" t="s">
        <v>3</v>
      </c>
      <c r="G1839" t="s">
        <v>247</v>
      </c>
      <c r="H1839" t="s">
        <v>163</v>
      </c>
      <c r="I1839">
        <v>59</v>
      </c>
      <c r="J1839">
        <v>0.65753424657534254</v>
      </c>
      <c r="K1839">
        <v>0.61224489795918369</v>
      </c>
      <c r="L1839">
        <v>0.7100591715976331</v>
      </c>
      <c r="M1839" t="s">
        <v>60</v>
      </c>
      <c r="N1839" t="s">
        <v>4107</v>
      </c>
      <c r="O1839" t="s">
        <v>4108</v>
      </c>
      <c r="P1839">
        <v>56.8</v>
      </c>
    </row>
    <row r="1840" spans="1:16" x14ac:dyDescent="0.3">
      <c r="A1840" t="s">
        <v>30</v>
      </c>
      <c r="B1840" t="s">
        <v>18</v>
      </c>
      <c r="C1840" t="s">
        <v>19</v>
      </c>
      <c r="D1840" t="s">
        <v>54</v>
      </c>
      <c r="E1840" t="s">
        <v>160</v>
      </c>
      <c r="F1840" t="s">
        <v>3</v>
      </c>
      <c r="G1840" t="s">
        <v>252</v>
      </c>
      <c r="H1840" t="s">
        <v>163</v>
      </c>
      <c r="I1840">
        <v>60</v>
      </c>
      <c r="J1840">
        <v>0.65753424657534254</v>
      </c>
      <c r="K1840">
        <v>0.61224489795918369</v>
      </c>
      <c r="L1840">
        <v>0.7100591715976331</v>
      </c>
      <c r="M1840" t="s">
        <v>60</v>
      </c>
      <c r="N1840" t="s">
        <v>4109</v>
      </c>
      <c r="O1840" t="s">
        <v>4110</v>
      </c>
      <c r="P1840">
        <v>57.9</v>
      </c>
    </row>
    <row r="1841" spans="1:16" x14ac:dyDescent="0.3">
      <c r="A1841" t="s">
        <v>30</v>
      </c>
      <c r="B1841" t="s">
        <v>18</v>
      </c>
      <c r="C1841" t="s">
        <v>19</v>
      </c>
      <c r="D1841" t="s">
        <v>54</v>
      </c>
      <c r="E1841" t="s">
        <v>160</v>
      </c>
      <c r="F1841" t="s">
        <v>3</v>
      </c>
      <c r="G1841" t="s">
        <v>257</v>
      </c>
      <c r="H1841" t="s">
        <v>163</v>
      </c>
      <c r="I1841">
        <v>61</v>
      </c>
      <c r="J1841">
        <v>0.65753424657534254</v>
      </c>
      <c r="K1841">
        <v>0.61224489795918369</v>
      </c>
      <c r="L1841">
        <v>0.7100591715976331</v>
      </c>
      <c r="M1841" t="s">
        <v>60</v>
      </c>
      <c r="N1841" t="s">
        <v>4111</v>
      </c>
      <c r="O1841" t="s">
        <v>4112</v>
      </c>
      <c r="P1841">
        <v>140</v>
      </c>
    </row>
    <row r="1842" spans="1:16" x14ac:dyDescent="0.3">
      <c r="A1842" t="s">
        <v>30</v>
      </c>
      <c r="B1842" t="s">
        <v>18</v>
      </c>
      <c r="C1842" t="s">
        <v>19</v>
      </c>
      <c r="D1842" t="s">
        <v>54</v>
      </c>
      <c r="E1842" t="s">
        <v>262</v>
      </c>
      <c r="F1842" t="s">
        <v>5</v>
      </c>
      <c r="G1842" t="s">
        <v>263</v>
      </c>
      <c r="H1842" t="s">
        <v>265</v>
      </c>
      <c r="I1842">
        <v>42</v>
      </c>
      <c r="J1842">
        <v>0.6464208242950108</v>
      </c>
      <c r="K1842">
        <v>0.62343096234309625</v>
      </c>
      <c r="L1842">
        <v>0.6711711711711712</v>
      </c>
      <c r="M1842" t="s">
        <v>60</v>
      </c>
      <c r="N1842" t="s">
        <v>4113</v>
      </c>
      <c r="O1842" t="s">
        <v>4114</v>
      </c>
      <c r="P1842">
        <v>60.4</v>
      </c>
    </row>
    <row r="1843" spans="1:16" x14ac:dyDescent="0.3">
      <c r="A1843" t="s">
        <v>30</v>
      </c>
      <c r="B1843" t="s">
        <v>18</v>
      </c>
      <c r="C1843" t="s">
        <v>19</v>
      </c>
      <c r="D1843" t="s">
        <v>54</v>
      </c>
      <c r="E1843" t="s">
        <v>262</v>
      </c>
      <c r="F1843" t="s">
        <v>5</v>
      </c>
      <c r="G1843" t="s">
        <v>269</v>
      </c>
      <c r="H1843" t="s">
        <v>265</v>
      </c>
      <c r="I1843">
        <v>43</v>
      </c>
      <c r="J1843">
        <v>0.62634989200863933</v>
      </c>
      <c r="K1843">
        <v>0.60165975103734437</v>
      </c>
      <c r="L1843">
        <v>0.65315315315315314</v>
      </c>
      <c r="M1843" t="s">
        <v>60</v>
      </c>
      <c r="N1843" t="s">
        <v>4115</v>
      </c>
      <c r="O1843" t="s">
        <v>4116</v>
      </c>
      <c r="P1843">
        <v>59.9</v>
      </c>
    </row>
    <row r="1844" spans="1:16" x14ac:dyDescent="0.3">
      <c r="A1844" t="s">
        <v>30</v>
      </c>
      <c r="B1844" t="s">
        <v>18</v>
      </c>
      <c r="C1844" t="s">
        <v>19</v>
      </c>
      <c r="D1844" t="s">
        <v>54</v>
      </c>
      <c r="E1844" t="s">
        <v>262</v>
      </c>
      <c r="F1844" t="s">
        <v>5</v>
      </c>
      <c r="G1844" t="s">
        <v>274</v>
      </c>
      <c r="H1844" t="s">
        <v>265</v>
      </c>
      <c r="I1844">
        <v>44</v>
      </c>
      <c r="J1844">
        <v>0.62634989200863933</v>
      </c>
      <c r="K1844">
        <v>0.60165975103734437</v>
      </c>
      <c r="L1844">
        <v>0.65315315315315314</v>
      </c>
      <c r="M1844" t="s">
        <v>60</v>
      </c>
      <c r="N1844" t="s">
        <v>4117</v>
      </c>
      <c r="O1844" t="s">
        <v>4118</v>
      </c>
      <c r="P1844">
        <v>59.2</v>
      </c>
    </row>
    <row r="1845" spans="1:16" x14ac:dyDescent="0.3">
      <c r="A1845" t="s">
        <v>30</v>
      </c>
      <c r="B1845" t="s">
        <v>18</v>
      </c>
      <c r="C1845" t="s">
        <v>19</v>
      </c>
      <c r="D1845" t="s">
        <v>54</v>
      </c>
      <c r="E1845" t="s">
        <v>262</v>
      </c>
      <c r="F1845" t="s">
        <v>5</v>
      </c>
      <c r="G1845" t="s">
        <v>279</v>
      </c>
      <c r="H1845" t="s">
        <v>265</v>
      </c>
      <c r="I1845">
        <v>45</v>
      </c>
      <c r="J1845">
        <v>0.62634989200863933</v>
      </c>
      <c r="K1845">
        <v>0.60165975103734437</v>
      </c>
      <c r="L1845">
        <v>0.65315315315315314</v>
      </c>
      <c r="M1845" t="s">
        <v>60</v>
      </c>
      <c r="N1845" t="s">
        <v>4119</v>
      </c>
      <c r="O1845" t="s">
        <v>4120</v>
      </c>
      <c r="P1845">
        <v>59.5</v>
      </c>
    </row>
    <row r="1846" spans="1:16" x14ac:dyDescent="0.3">
      <c r="A1846" t="s">
        <v>30</v>
      </c>
      <c r="B1846" t="s">
        <v>18</v>
      </c>
      <c r="C1846" t="s">
        <v>19</v>
      </c>
      <c r="D1846" t="s">
        <v>54</v>
      </c>
      <c r="E1846" t="s">
        <v>262</v>
      </c>
      <c r="F1846" t="s">
        <v>5</v>
      </c>
      <c r="G1846" t="s">
        <v>284</v>
      </c>
      <c r="H1846" t="s">
        <v>265</v>
      </c>
      <c r="I1846">
        <v>46</v>
      </c>
      <c r="J1846">
        <v>0.62634989200863933</v>
      </c>
      <c r="K1846">
        <v>0.60165975103734437</v>
      </c>
      <c r="L1846">
        <v>0.65315315315315314</v>
      </c>
      <c r="M1846" t="s">
        <v>60</v>
      </c>
      <c r="N1846" t="s">
        <v>4121</v>
      </c>
      <c r="O1846" t="s">
        <v>4122</v>
      </c>
      <c r="P1846">
        <v>59.2</v>
      </c>
    </row>
    <row r="1847" spans="1:16" x14ac:dyDescent="0.3">
      <c r="A1847" t="s">
        <v>30</v>
      </c>
      <c r="B1847" t="s">
        <v>18</v>
      </c>
      <c r="C1847" t="s">
        <v>19</v>
      </c>
      <c r="D1847" t="s">
        <v>54</v>
      </c>
      <c r="E1847" t="s">
        <v>262</v>
      </c>
      <c r="F1847" t="s">
        <v>5</v>
      </c>
      <c r="G1847" t="s">
        <v>289</v>
      </c>
      <c r="H1847" t="s">
        <v>265</v>
      </c>
      <c r="I1847">
        <v>47</v>
      </c>
      <c r="J1847">
        <v>0.62634989200863933</v>
      </c>
      <c r="K1847">
        <v>0.60165975103734437</v>
      </c>
      <c r="L1847">
        <v>0.65315315315315314</v>
      </c>
      <c r="M1847" t="s">
        <v>60</v>
      </c>
      <c r="N1847" t="s">
        <v>4123</v>
      </c>
      <c r="O1847" t="s">
        <v>4124</v>
      </c>
      <c r="P1847">
        <v>58.4</v>
      </c>
    </row>
    <row r="1848" spans="1:16" x14ac:dyDescent="0.3">
      <c r="A1848" t="s">
        <v>30</v>
      </c>
      <c r="B1848" t="s">
        <v>18</v>
      </c>
      <c r="C1848" t="s">
        <v>19</v>
      </c>
      <c r="D1848" t="s">
        <v>54</v>
      </c>
      <c r="E1848" t="s">
        <v>262</v>
      </c>
      <c r="F1848" t="s">
        <v>5</v>
      </c>
      <c r="G1848" t="s">
        <v>294</v>
      </c>
      <c r="H1848" t="s">
        <v>265</v>
      </c>
      <c r="I1848">
        <v>48</v>
      </c>
      <c r="J1848">
        <v>0.62634989200863933</v>
      </c>
      <c r="K1848">
        <v>0.60165975103734437</v>
      </c>
      <c r="L1848">
        <v>0.65315315315315314</v>
      </c>
      <c r="M1848" t="s">
        <v>60</v>
      </c>
      <c r="N1848" t="s">
        <v>4125</v>
      </c>
      <c r="O1848" t="s">
        <v>4126</v>
      </c>
      <c r="P1848">
        <v>59.5</v>
      </c>
    </row>
    <row r="1849" spans="1:16" x14ac:dyDescent="0.3">
      <c r="A1849" t="s">
        <v>30</v>
      </c>
      <c r="B1849" t="s">
        <v>18</v>
      </c>
      <c r="C1849" t="s">
        <v>19</v>
      </c>
      <c r="D1849" t="s">
        <v>54</v>
      </c>
      <c r="E1849" t="s">
        <v>262</v>
      </c>
      <c r="F1849" t="s">
        <v>5</v>
      </c>
      <c r="G1849" t="s">
        <v>299</v>
      </c>
      <c r="H1849" t="s">
        <v>265</v>
      </c>
      <c r="I1849">
        <v>49</v>
      </c>
      <c r="J1849">
        <v>0.62634989200863933</v>
      </c>
      <c r="K1849">
        <v>0.60165975103734437</v>
      </c>
      <c r="L1849">
        <v>0.65315315315315314</v>
      </c>
      <c r="M1849" t="s">
        <v>60</v>
      </c>
      <c r="N1849" t="s">
        <v>4127</v>
      </c>
      <c r="O1849" t="s">
        <v>4128</v>
      </c>
      <c r="P1849">
        <v>59</v>
      </c>
    </row>
    <row r="1850" spans="1:16" x14ac:dyDescent="0.3">
      <c r="A1850" t="s">
        <v>30</v>
      </c>
      <c r="B1850" t="s">
        <v>18</v>
      </c>
      <c r="C1850" t="s">
        <v>19</v>
      </c>
      <c r="D1850" t="s">
        <v>54</v>
      </c>
      <c r="E1850" t="s">
        <v>262</v>
      </c>
      <c r="F1850" t="s">
        <v>5</v>
      </c>
      <c r="G1850" t="s">
        <v>304</v>
      </c>
      <c r="H1850" t="s">
        <v>265</v>
      </c>
      <c r="I1850">
        <v>50</v>
      </c>
      <c r="J1850">
        <v>0.62634989200863933</v>
      </c>
      <c r="K1850">
        <v>0.60165975103734437</v>
      </c>
      <c r="L1850">
        <v>0.65315315315315314</v>
      </c>
      <c r="M1850" t="s">
        <v>60</v>
      </c>
      <c r="N1850" t="s">
        <v>4129</v>
      </c>
      <c r="O1850" t="s">
        <v>4130</v>
      </c>
      <c r="P1850">
        <v>59.2</v>
      </c>
    </row>
    <row r="1851" spans="1:16" x14ac:dyDescent="0.3">
      <c r="A1851" t="s">
        <v>30</v>
      </c>
      <c r="B1851" t="s">
        <v>18</v>
      </c>
      <c r="C1851" t="s">
        <v>19</v>
      </c>
      <c r="D1851" t="s">
        <v>54</v>
      </c>
      <c r="E1851" t="s">
        <v>262</v>
      </c>
      <c r="F1851" t="s">
        <v>5</v>
      </c>
      <c r="G1851" t="s">
        <v>309</v>
      </c>
      <c r="H1851" t="s">
        <v>265</v>
      </c>
      <c r="I1851">
        <v>51</v>
      </c>
      <c r="J1851">
        <v>0.62634989200863933</v>
      </c>
      <c r="K1851">
        <v>0.60165975103734437</v>
      </c>
      <c r="L1851">
        <v>0.65315315315315314</v>
      </c>
      <c r="M1851" t="s">
        <v>60</v>
      </c>
      <c r="N1851" t="s">
        <v>4131</v>
      </c>
      <c r="O1851" t="s">
        <v>4132</v>
      </c>
      <c r="P1851">
        <v>59.5</v>
      </c>
    </row>
    <row r="1852" spans="1:16" x14ac:dyDescent="0.3">
      <c r="A1852" t="s">
        <v>30</v>
      </c>
      <c r="B1852" t="s">
        <v>18</v>
      </c>
      <c r="C1852" t="s">
        <v>19</v>
      </c>
      <c r="D1852" t="s">
        <v>54</v>
      </c>
      <c r="E1852" t="s">
        <v>262</v>
      </c>
      <c r="F1852" t="s">
        <v>5</v>
      </c>
      <c r="G1852" t="s">
        <v>314</v>
      </c>
      <c r="H1852" t="s">
        <v>265</v>
      </c>
      <c r="I1852">
        <v>52</v>
      </c>
      <c r="J1852">
        <v>0.62634989200863933</v>
      </c>
      <c r="K1852">
        <v>0.60165975103734437</v>
      </c>
      <c r="L1852">
        <v>0.65315315315315314</v>
      </c>
      <c r="M1852" t="s">
        <v>60</v>
      </c>
      <c r="N1852" t="s">
        <v>4133</v>
      </c>
      <c r="O1852" t="s">
        <v>4134</v>
      </c>
      <c r="P1852">
        <v>59.2</v>
      </c>
    </row>
    <row r="1853" spans="1:16" x14ac:dyDescent="0.3">
      <c r="A1853" t="s">
        <v>30</v>
      </c>
      <c r="B1853" t="s">
        <v>18</v>
      </c>
      <c r="C1853" t="s">
        <v>19</v>
      </c>
      <c r="D1853" t="s">
        <v>54</v>
      </c>
      <c r="E1853" t="s">
        <v>262</v>
      </c>
      <c r="F1853" t="s">
        <v>5</v>
      </c>
      <c r="G1853" t="s">
        <v>319</v>
      </c>
      <c r="H1853" t="s">
        <v>265</v>
      </c>
      <c r="I1853">
        <v>53</v>
      </c>
      <c r="J1853">
        <v>0.62634989200863933</v>
      </c>
      <c r="K1853">
        <v>0.60165975103734437</v>
      </c>
      <c r="L1853">
        <v>0.65315315315315314</v>
      </c>
      <c r="M1853" t="s">
        <v>60</v>
      </c>
      <c r="N1853" t="s">
        <v>4135</v>
      </c>
      <c r="O1853" t="s">
        <v>4136</v>
      </c>
      <c r="P1853">
        <v>58.8</v>
      </c>
    </row>
    <row r="1854" spans="1:16" x14ac:dyDescent="0.3">
      <c r="A1854" t="s">
        <v>30</v>
      </c>
      <c r="B1854" t="s">
        <v>18</v>
      </c>
      <c r="C1854" t="s">
        <v>19</v>
      </c>
      <c r="D1854" t="s">
        <v>54</v>
      </c>
      <c r="E1854" t="s">
        <v>262</v>
      </c>
      <c r="F1854" t="s">
        <v>5</v>
      </c>
      <c r="G1854" t="s">
        <v>324</v>
      </c>
      <c r="H1854" t="s">
        <v>265</v>
      </c>
      <c r="I1854">
        <v>54</v>
      </c>
      <c r="J1854">
        <v>0.62634989200863933</v>
      </c>
      <c r="K1854">
        <v>0.60165975103734437</v>
      </c>
      <c r="L1854">
        <v>0.65315315315315314</v>
      </c>
      <c r="M1854" t="s">
        <v>60</v>
      </c>
      <c r="N1854" t="s">
        <v>4137</v>
      </c>
      <c r="O1854" t="s">
        <v>4138</v>
      </c>
      <c r="P1854">
        <v>60.3</v>
      </c>
    </row>
    <row r="1855" spans="1:16" x14ac:dyDescent="0.3">
      <c r="A1855" t="s">
        <v>30</v>
      </c>
      <c r="B1855" t="s">
        <v>18</v>
      </c>
      <c r="C1855" t="s">
        <v>19</v>
      </c>
      <c r="D1855" t="s">
        <v>54</v>
      </c>
      <c r="E1855" t="s">
        <v>262</v>
      </c>
      <c r="F1855" t="s">
        <v>5</v>
      </c>
      <c r="G1855" t="s">
        <v>329</v>
      </c>
      <c r="H1855" t="s">
        <v>265</v>
      </c>
      <c r="I1855">
        <v>55</v>
      </c>
      <c r="J1855">
        <v>0.62634989200863933</v>
      </c>
      <c r="K1855">
        <v>0.60165975103734437</v>
      </c>
      <c r="L1855">
        <v>0.65315315315315314</v>
      </c>
      <c r="M1855" t="s">
        <v>60</v>
      </c>
      <c r="N1855" t="s">
        <v>4139</v>
      </c>
      <c r="O1855" t="s">
        <v>4140</v>
      </c>
      <c r="P1855">
        <v>59.2</v>
      </c>
    </row>
    <row r="1856" spans="1:16" x14ac:dyDescent="0.3">
      <c r="A1856" t="s">
        <v>30</v>
      </c>
      <c r="B1856" t="s">
        <v>18</v>
      </c>
      <c r="C1856" t="s">
        <v>19</v>
      </c>
      <c r="D1856" t="s">
        <v>54</v>
      </c>
      <c r="E1856" t="s">
        <v>262</v>
      </c>
      <c r="F1856" t="s">
        <v>5</v>
      </c>
      <c r="G1856" t="s">
        <v>334</v>
      </c>
      <c r="H1856" t="s">
        <v>265</v>
      </c>
      <c r="I1856">
        <v>56</v>
      </c>
      <c r="J1856">
        <v>0.62634989200863933</v>
      </c>
      <c r="K1856">
        <v>0.60165975103734437</v>
      </c>
      <c r="L1856">
        <v>0.65315315315315314</v>
      </c>
      <c r="M1856" t="s">
        <v>60</v>
      </c>
      <c r="N1856" t="s">
        <v>4141</v>
      </c>
      <c r="O1856" t="s">
        <v>4142</v>
      </c>
      <c r="P1856">
        <v>58.7</v>
      </c>
    </row>
    <row r="1857" spans="1:16" x14ac:dyDescent="0.3">
      <c r="A1857" t="s">
        <v>30</v>
      </c>
      <c r="B1857" t="s">
        <v>18</v>
      </c>
      <c r="C1857" t="s">
        <v>19</v>
      </c>
      <c r="D1857" t="s">
        <v>54</v>
      </c>
      <c r="E1857" t="s">
        <v>262</v>
      </c>
      <c r="F1857" t="s">
        <v>5</v>
      </c>
      <c r="G1857" t="s">
        <v>339</v>
      </c>
      <c r="H1857" t="s">
        <v>265</v>
      </c>
      <c r="I1857">
        <v>57</v>
      </c>
      <c r="J1857">
        <v>0.62634989200863933</v>
      </c>
      <c r="K1857">
        <v>0.60165975103734437</v>
      </c>
      <c r="L1857">
        <v>0.65315315315315314</v>
      </c>
      <c r="M1857" t="s">
        <v>60</v>
      </c>
      <c r="N1857" t="s">
        <v>4143</v>
      </c>
      <c r="O1857" t="s">
        <v>4144</v>
      </c>
      <c r="P1857">
        <v>60.4</v>
      </c>
    </row>
    <row r="1858" spans="1:16" x14ac:dyDescent="0.3">
      <c r="A1858" t="s">
        <v>30</v>
      </c>
      <c r="B1858" t="s">
        <v>18</v>
      </c>
      <c r="C1858" t="s">
        <v>19</v>
      </c>
      <c r="D1858" t="s">
        <v>54</v>
      </c>
      <c r="E1858" t="s">
        <v>262</v>
      </c>
      <c r="F1858" t="s">
        <v>5</v>
      </c>
      <c r="G1858" t="s">
        <v>344</v>
      </c>
      <c r="H1858" t="s">
        <v>265</v>
      </c>
      <c r="I1858">
        <v>58</v>
      </c>
      <c r="J1858">
        <v>0.62634989200863933</v>
      </c>
      <c r="K1858">
        <v>0.60165975103734437</v>
      </c>
      <c r="L1858">
        <v>0.65315315315315314</v>
      </c>
      <c r="M1858" t="s">
        <v>60</v>
      </c>
      <c r="N1858" t="s">
        <v>4145</v>
      </c>
      <c r="O1858" t="s">
        <v>4146</v>
      </c>
      <c r="P1858">
        <v>58.6</v>
      </c>
    </row>
    <row r="1859" spans="1:16" x14ac:dyDescent="0.3">
      <c r="A1859" t="s">
        <v>30</v>
      </c>
      <c r="B1859" t="s">
        <v>18</v>
      </c>
      <c r="C1859" t="s">
        <v>19</v>
      </c>
      <c r="D1859" t="s">
        <v>54</v>
      </c>
      <c r="E1859" t="s">
        <v>262</v>
      </c>
      <c r="F1859" t="s">
        <v>5</v>
      </c>
      <c r="G1859" t="s">
        <v>349</v>
      </c>
      <c r="H1859" t="s">
        <v>265</v>
      </c>
      <c r="I1859">
        <v>59</v>
      </c>
      <c r="J1859">
        <v>0.62634989200863933</v>
      </c>
      <c r="K1859">
        <v>0.60165975103734437</v>
      </c>
      <c r="L1859">
        <v>0.65315315315315314</v>
      </c>
      <c r="M1859" t="s">
        <v>60</v>
      </c>
      <c r="N1859" t="s">
        <v>4147</v>
      </c>
      <c r="O1859" t="s">
        <v>4148</v>
      </c>
      <c r="P1859">
        <v>59.6</v>
      </c>
    </row>
    <row r="1860" spans="1:16" x14ac:dyDescent="0.3">
      <c r="A1860" t="s">
        <v>30</v>
      </c>
      <c r="B1860" t="s">
        <v>18</v>
      </c>
      <c r="C1860" t="s">
        <v>19</v>
      </c>
      <c r="D1860" t="s">
        <v>54</v>
      </c>
      <c r="E1860" t="s">
        <v>262</v>
      </c>
      <c r="F1860" t="s">
        <v>5</v>
      </c>
      <c r="G1860" t="s">
        <v>354</v>
      </c>
      <c r="H1860" t="s">
        <v>265</v>
      </c>
      <c r="I1860">
        <v>60</v>
      </c>
      <c r="J1860">
        <v>0.62634989200863933</v>
      </c>
      <c r="K1860">
        <v>0.60165975103734437</v>
      </c>
      <c r="L1860">
        <v>0.65315315315315314</v>
      </c>
      <c r="M1860" t="s">
        <v>60</v>
      </c>
      <c r="N1860" t="s">
        <v>4149</v>
      </c>
      <c r="O1860" t="s">
        <v>4150</v>
      </c>
      <c r="P1860">
        <v>58.9</v>
      </c>
    </row>
    <row r="1861" spans="1:16" x14ac:dyDescent="0.3">
      <c r="A1861" t="s">
        <v>30</v>
      </c>
      <c r="B1861" t="s">
        <v>18</v>
      </c>
      <c r="C1861" t="s">
        <v>19</v>
      </c>
      <c r="D1861" t="s">
        <v>54</v>
      </c>
      <c r="E1861" t="s">
        <v>262</v>
      </c>
      <c r="F1861" t="s">
        <v>5</v>
      </c>
      <c r="G1861" t="s">
        <v>359</v>
      </c>
      <c r="H1861" t="s">
        <v>265</v>
      </c>
      <c r="I1861">
        <v>61</v>
      </c>
      <c r="J1861">
        <v>0.62634989200863933</v>
      </c>
      <c r="K1861">
        <v>0.60165975103734437</v>
      </c>
      <c r="L1861">
        <v>0.65315315315315314</v>
      </c>
      <c r="M1861" t="s">
        <v>60</v>
      </c>
      <c r="N1861" t="s">
        <v>4151</v>
      </c>
      <c r="O1861" t="s">
        <v>4152</v>
      </c>
      <c r="P1861">
        <v>59.6</v>
      </c>
    </row>
    <row r="1862" spans="1:16" x14ac:dyDescent="0.3">
      <c r="A1862" t="s">
        <v>30</v>
      </c>
      <c r="B1862" t="s">
        <v>18</v>
      </c>
      <c r="C1862" t="s">
        <v>19</v>
      </c>
      <c r="D1862" t="s">
        <v>363</v>
      </c>
      <c r="E1862" t="s">
        <v>365</v>
      </c>
      <c r="F1862" t="s">
        <v>13</v>
      </c>
      <c r="G1862" t="s">
        <v>366</v>
      </c>
      <c r="H1862" t="s">
        <v>368</v>
      </c>
      <c r="I1862">
        <v>42</v>
      </c>
      <c r="J1862">
        <v>0.79497907949790791</v>
      </c>
      <c r="K1862">
        <v>0.7661290322580645</v>
      </c>
      <c r="L1862">
        <v>0.82608695652173914</v>
      </c>
      <c r="M1862" t="s">
        <v>60</v>
      </c>
      <c r="N1862" t="s">
        <v>4153</v>
      </c>
      <c r="O1862" t="s">
        <v>4154</v>
      </c>
      <c r="P1862">
        <v>205</v>
      </c>
    </row>
    <row r="1863" spans="1:16" x14ac:dyDescent="0.3">
      <c r="A1863" t="s">
        <v>30</v>
      </c>
      <c r="B1863" t="s">
        <v>18</v>
      </c>
      <c r="C1863" t="s">
        <v>19</v>
      </c>
      <c r="D1863" t="s">
        <v>363</v>
      </c>
      <c r="E1863" t="s">
        <v>365</v>
      </c>
      <c r="F1863" t="s">
        <v>13</v>
      </c>
      <c r="G1863" t="s">
        <v>372</v>
      </c>
      <c r="H1863" t="s">
        <v>368</v>
      </c>
      <c r="I1863">
        <v>43</v>
      </c>
      <c r="J1863">
        <v>0.77473684210526328</v>
      </c>
      <c r="K1863">
        <v>0.75102040816326532</v>
      </c>
      <c r="L1863">
        <v>0.8</v>
      </c>
      <c r="M1863" t="s">
        <v>60</v>
      </c>
      <c r="N1863" t="s">
        <v>4155</v>
      </c>
      <c r="O1863" t="s">
        <v>4156</v>
      </c>
      <c r="P1863">
        <v>203</v>
      </c>
    </row>
    <row r="1864" spans="1:16" x14ac:dyDescent="0.3">
      <c r="A1864" t="s">
        <v>30</v>
      </c>
      <c r="B1864" t="s">
        <v>18</v>
      </c>
      <c r="C1864" t="s">
        <v>19</v>
      </c>
      <c r="D1864" t="s">
        <v>363</v>
      </c>
      <c r="E1864" t="s">
        <v>365</v>
      </c>
      <c r="F1864" t="s">
        <v>13</v>
      </c>
      <c r="G1864" t="s">
        <v>377</v>
      </c>
      <c r="H1864" t="s">
        <v>368</v>
      </c>
      <c r="I1864">
        <v>44</v>
      </c>
      <c r="J1864">
        <v>0.7777777777777779</v>
      </c>
      <c r="K1864">
        <v>0.73828125</v>
      </c>
      <c r="L1864">
        <v>0.82173913043478264</v>
      </c>
      <c r="M1864" t="s">
        <v>60</v>
      </c>
      <c r="N1864" t="s">
        <v>4157</v>
      </c>
      <c r="O1864" t="s">
        <v>4158</v>
      </c>
      <c r="P1864">
        <v>277.39999999999998</v>
      </c>
    </row>
    <row r="1865" spans="1:16" x14ac:dyDescent="0.3">
      <c r="A1865" t="s">
        <v>30</v>
      </c>
      <c r="B1865" t="s">
        <v>18</v>
      </c>
      <c r="C1865" t="s">
        <v>19</v>
      </c>
      <c r="D1865" t="s">
        <v>363</v>
      </c>
      <c r="E1865" t="s">
        <v>365</v>
      </c>
      <c r="F1865" t="s">
        <v>13</v>
      </c>
      <c r="G1865" t="s">
        <v>382</v>
      </c>
      <c r="H1865" t="s">
        <v>368</v>
      </c>
      <c r="I1865">
        <v>45</v>
      </c>
      <c r="J1865">
        <v>0.77405857740585771</v>
      </c>
      <c r="K1865">
        <v>0.74596774193548387</v>
      </c>
      <c r="L1865">
        <v>0.80434782608695654</v>
      </c>
      <c r="M1865" t="s">
        <v>60</v>
      </c>
      <c r="N1865" t="s">
        <v>4159</v>
      </c>
      <c r="O1865" t="s">
        <v>4160</v>
      </c>
      <c r="P1865">
        <v>204.7</v>
      </c>
    </row>
    <row r="1866" spans="1:16" x14ac:dyDescent="0.3">
      <c r="A1866" t="s">
        <v>30</v>
      </c>
      <c r="B1866" t="s">
        <v>18</v>
      </c>
      <c r="C1866" t="s">
        <v>19</v>
      </c>
      <c r="D1866" t="s">
        <v>363</v>
      </c>
      <c r="E1866" t="s">
        <v>365</v>
      </c>
      <c r="F1866" t="s">
        <v>13</v>
      </c>
      <c r="G1866" t="s">
        <v>387</v>
      </c>
      <c r="H1866" t="s">
        <v>368</v>
      </c>
      <c r="I1866">
        <v>46</v>
      </c>
      <c r="J1866">
        <v>0.78586278586278591</v>
      </c>
      <c r="K1866">
        <v>0.75298804780876494</v>
      </c>
      <c r="L1866">
        <v>0.82173913043478264</v>
      </c>
      <c r="M1866" t="s">
        <v>60</v>
      </c>
      <c r="N1866" t="s">
        <v>4161</v>
      </c>
      <c r="O1866" t="s">
        <v>4162</v>
      </c>
      <c r="P1866">
        <v>261.7</v>
      </c>
    </row>
    <row r="1867" spans="1:16" x14ac:dyDescent="0.3">
      <c r="A1867" t="s">
        <v>30</v>
      </c>
      <c r="B1867" t="s">
        <v>18</v>
      </c>
      <c r="C1867" t="s">
        <v>19</v>
      </c>
      <c r="D1867" t="s">
        <v>363</v>
      </c>
      <c r="E1867" t="s">
        <v>365</v>
      </c>
      <c r="F1867" t="s">
        <v>13</v>
      </c>
      <c r="G1867" t="s">
        <v>392</v>
      </c>
      <c r="H1867" t="s">
        <v>368</v>
      </c>
      <c r="I1867">
        <v>47</v>
      </c>
      <c r="J1867">
        <v>0.77432712215320909</v>
      </c>
      <c r="K1867">
        <v>0.73913043478260865</v>
      </c>
      <c r="L1867">
        <v>0.81304347826086953</v>
      </c>
      <c r="M1867" t="s">
        <v>60</v>
      </c>
      <c r="N1867" t="s">
        <v>4163</v>
      </c>
      <c r="O1867" t="s">
        <v>4164</v>
      </c>
      <c r="P1867">
        <v>247.7</v>
      </c>
    </row>
    <row r="1868" spans="1:16" x14ac:dyDescent="0.3">
      <c r="A1868" t="s">
        <v>30</v>
      </c>
      <c r="B1868" t="s">
        <v>18</v>
      </c>
      <c r="C1868" t="s">
        <v>19</v>
      </c>
      <c r="D1868" t="s">
        <v>363</v>
      </c>
      <c r="E1868" t="s">
        <v>365</v>
      </c>
      <c r="F1868" t="s">
        <v>13</v>
      </c>
      <c r="G1868" t="s">
        <v>397</v>
      </c>
      <c r="H1868" t="s">
        <v>368</v>
      </c>
      <c r="I1868">
        <v>48</v>
      </c>
      <c r="J1868">
        <v>0.78260869565217395</v>
      </c>
      <c r="K1868">
        <v>0.74703557312252966</v>
      </c>
      <c r="L1868">
        <v>0.82173913043478264</v>
      </c>
      <c r="M1868" t="s">
        <v>60</v>
      </c>
      <c r="N1868" t="s">
        <v>4165</v>
      </c>
      <c r="O1868" t="s">
        <v>4166</v>
      </c>
      <c r="P1868">
        <v>220.9</v>
      </c>
    </row>
    <row r="1869" spans="1:16" x14ac:dyDescent="0.3">
      <c r="A1869" t="s">
        <v>30</v>
      </c>
      <c r="B1869" t="s">
        <v>18</v>
      </c>
      <c r="C1869" t="s">
        <v>19</v>
      </c>
      <c r="D1869" t="s">
        <v>363</v>
      </c>
      <c r="E1869" t="s">
        <v>365</v>
      </c>
      <c r="F1869" t="s">
        <v>13</v>
      </c>
      <c r="G1869" t="s">
        <v>402</v>
      </c>
      <c r="H1869" t="s">
        <v>368</v>
      </c>
      <c r="I1869">
        <v>49</v>
      </c>
      <c r="J1869">
        <v>0.78556263269639071</v>
      </c>
      <c r="K1869">
        <v>0.76763485477178428</v>
      </c>
      <c r="L1869">
        <v>0.80434782608695654</v>
      </c>
      <c r="M1869" t="s">
        <v>60</v>
      </c>
      <c r="N1869" t="s">
        <v>4167</v>
      </c>
      <c r="O1869" t="s">
        <v>4168</v>
      </c>
      <c r="P1869">
        <v>198.4</v>
      </c>
    </row>
    <row r="1870" spans="1:16" x14ac:dyDescent="0.3">
      <c r="A1870" t="s">
        <v>30</v>
      </c>
      <c r="B1870" t="s">
        <v>18</v>
      </c>
      <c r="C1870" t="s">
        <v>19</v>
      </c>
      <c r="D1870" t="s">
        <v>363</v>
      </c>
      <c r="E1870" t="s">
        <v>365</v>
      </c>
      <c r="F1870" t="s">
        <v>13</v>
      </c>
      <c r="G1870" t="s">
        <v>407</v>
      </c>
      <c r="H1870" t="s">
        <v>368</v>
      </c>
      <c r="I1870">
        <v>50</v>
      </c>
      <c r="J1870">
        <v>0.78242677824267781</v>
      </c>
      <c r="K1870">
        <v>0.75403225806451613</v>
      </c>
      <c r="L1870">
        <v>0.81304347826086953</v>
      </c>
      <c r="M1870" t="s">
        <v>60</v>
      </c>
      <c r="N1870" t="s">
        <v>4169</v>
      </c>
      <c r="O1870" t="s">
        <v>4170</v>
      </c>
      <c r="P1870">
        <v>196</v>
      </c>
    </row>
    <row r="1871" spans="1:16" x14ac:dyDescent="0.3">
      <c r="A1871" t="s">
        <v>30</v>
      </c>
      <c r="B1871" t="s">
        <v>18</v>
      </c>
      <c r="C1871" t="s">
        <v>19</v>
      </c>
      <c r="D1871" t="s">
        <v>363</v>
      </c>
      <c r="E1871" t="s">
        <v>365</v>
      </c>
      <c r="F1871" t="s">
        <v>13</v>
      </c>
      <c r="G1871" t="s">
        <v>412</v>
      </c>
      <c r="H1871" t="s">
        <v>368</v>
      </c>
      <c r="I1871">
        <v>51</v>
      </c>
      <c r="J1871">
        <v>0.78224101479915431</v>
      </c>
      <c r="K1871">
        <v>0.76131687242798352</v>
      </c>
      <c r="L1871">
        <v>0.80434782608695654</v>
      </c>
      <c r="M1871" t="s">
        <v>60</v>
      </c>
      <c r="N1871" t="s">
        <v>4171</v>
      </c>
      <c r="O1871" t="s">
        <v>4172</v>
      </c>
      <c r="P1871">
        <v>242.4</v>
      </c>
    </row>
    <row r="1872" spans="1:16" x14ac:dyDescent="0.3">
      <c r="A1872" t="s">
        <v>30</v>
      </c>
      <c r="B1872" t="s">
        <v>18</v>
      </c>
      <c r="C1872" t="s">
        <v>19</v>
      </c>
      <c r="D1872" t="s">
        <v>363</v>
      </c>
      <c r="E1872" t="s">
        <v>365</v>
      </c>
      <c r="F1872" t="s">
        <v>13</v>
      </c>
      <c r="G1872" t="s">
        <v>417</v>
      </c>
      <c r="H1872" t="s">
        <v>368</v>
      </c>
      <c r="I1872">
        <v>52</v>
      </c>
      <c r="J1872">
        <v>0.77938144329896908</v>
      </c>
      <c r="K1872">
        <v>0.74117647058823533</v>
      </c>
      <c r="L1872">
        <v>0.82173913043478264</v>
      </c>
      <c r="M1872" t="s">
        <v>60</v>
      </c>
      <c r="N1872" t="s">
        <v>4173</v>
      </c>
      <c r="O1872" t="s">
        <v>4174</v>
      </c>
      <c r="P1872">
        <v>241.4</v>
      </c>
    </row>
    <row r="1873" spans="1:16" x14ac:dyDescent="0.3">
      <c r="A1873" t="s">
        <v>30</v>
      </c>
      <c r="B1873" t="s">
        <v>18</v>
      </c>
      <c r="C1873" t="s">
        <v>19</v>
      </c>
      <c r="D1873" t="s">
        <v>363</v>
      </c>
      <c r="E1873" t="s">
        <v>365</v>
      </c>
      <c r="F1873" t="s">
        <v>13</v>
      </c>
      <c r="G1873" t="s">
        <v>422</v>
      </c>
      <c r="H1873" t="s">
        <v>368</v>
      </c>
      <c r="I1873">
        <v>53</v>
      </c>
      <c r="J1873">
        <v>0.76008492569002117</v>
      </c>
      <c r="K1873">
        <v>0.74273858921161828</v>
      </c>
      <c r="L1873">
        <v>0.77826086956521734</v>
      </c>
      <c r="M1873" t="s">
        <v>60</v>
      </c>
      <c r="N1873" t="s">
        <v>4175</v>
      </c>
      <c r="O1873" t="s">
        <v>4176</v>
      </c>
      <c r="P1873">
        <v>211.3</v>
      </c>
    </row>
    <row r="1874" spans="1:16" x14ac:dyDescent="0.3">
      <c r="A1874" t="s">
        <v>30</v>
      </c>
      <c r="B1874" t="s">
        <v>18</v>
      </c>
      <c r="C1874" t="s">
        <v>19</v>
      </c>
      <c r="D1874" t="s">
        <v>363</v>
      </c>
      <c r="E1874" t="s">
        <v>365</v>
      </c>
      <c r="F1874" t="s">
        <v>13</v>
      </c>
      <c r="G1874" t="s">
        <v>427</v>
      </c>
      <c r="H1874" t="s">
        <v>368</v>
      </c>
      <c r="I1874">
        <v>54</v>
      </c>
      <c r="J1874">
        <v>0.78586278586278591</v>
      </c>
      <c r="K1874">
        <v>0.75298804780876494</v>
      </c>
      <c r="L1874">
        <v>0.82173913043478264</v>
      </c>
      <c r="M1874" t="s">
        <v>60</v>
      </c>
      <c r="N1874" t="s">
        <v>4177</v>
      </c>
      <c r="O1874" t="s">
        <v>4178</v>
      </c>
      <c r="P1874">
        <v>256.2</v>
      </c>
    </row>
    <row r="1875" spans="1:16" x14ac:dyDescent="0.3">
      <c r="A1875" t="s">
        <v>30</v>
      </c>
      <c r="B1875" t="s">
        <v>18</v>
      </c>
      <c r="C1875" t="s">
        <v>19</v>
      </c>
      <c r="D1875" t="s">
        <v>363</v>
      </c>
      <c r="E1875" t="s">
        <v>365</v>
      </c>
      <c r="F1875" t="s">
        <v>13</v>
      </c>
      <c r="G1875" t="s">
        <v>432</v>
      </c>
      <c r="H1875" t="s">
        <v>368</v>
      </c>
      <c r="I1875">
        <v>55</v>
      </c>
      <c r="J1875">
        <v>0.7873684210526315</v>
      </c>
      <c r="K1875">
        <v>0.76326530612244903</v>
      </c>
      <c r="L1875">
        <v>0.81304347826086953</v>
      </c>
      <c r="M1875" t="s">
        <v>60</v>
      </c>
      <c r="N1875" t="s">
        <v>4179</v>
      </c>
      <c r="O1875" t="s">
        <v>4180</v>
      </c>
      <c r="P1875">
        <v>214.8</v>
      </c>
    </row>
    <row r="1876" spans="1:16" x14ac:dyDescent="0.3">
      <c r="A1876" t="s">
        <v>30</v>
      </c>
      <c r="B1876" t="s">
        <v>18</v>
      </c>
      <c r="C1876" t="s">
        <v>19</v>
      </c>
      <c r="D1876" t="s">
        <v>363</v>
      </c>
      <c r="E1876" t="s">
        <v>365</v>
      </c>
      <c r="F1876" t="s">
        <v>13</v>
      </c>
      <c r="G1876" t="s">
        <v>437</v>
      </c>
      <c r="H1876" t="s">
        <v>368</v>
      </c>
      <c r="I1876">
        <v>56</v>
      </c>
      <c r="J1876">
        <v>0.78661087866108792</v>
      </c>
      <c r="K1876">
        <v>0.75806451612903225</v>
      </c>
      <c r="L1876">
        <v>0.81739130434782614</v>
      </c>
      <c r="M1876" t="s">
        <v>60</v>
      </c>
      <c r="N1876" t="s">
        <v>4181</v>
      </c>
      <c r="O1876" t="s">
        <v>4182</v>
      </c>
      <c r="P1876">
        <v>272.60000000000002</v>
      </c>
    </row>
    <row r="1877" spans="1:16" x14ac:dyDescent="0.3">
      <c r="A1877" t="s">
        <v>30</v>
      </c>
      <c r="B1877" t="s">
        <v>18</v>
      </c>
      <c r="C1877" t="s">
        <v>19</v>
      </c>
      <c r="D1877" t="s">
        <v>363</v>
      </c>
      <c r="E1877" t="s">
        <v>365</v>
      </c>
      <c r="F1877" t="s">
        <v>13</v>
      </c>
      <c r="G1877" t="s">
        <v>442</v>
      </c>
      <c r="H1877" t="s">
        <v>368</v>
      </c>
      <c r="I1877">
        <v>57</v>
      </c>
      <c r="J1877">
        <v>0.78406708595387842</v>
      </c>
      <c r="K1877">
        <v>0.75708502024291502</v>
      </c>
      <c r="L1877">
        <v>0.81304347826086953</v>
      </c>
      <c r="M1877" t="s">
        <v>60</v>
      </c>
      <c r="N1877" t="s">
        <v>4183</v>
      </c>
      <c r="O1877" t="s">
        <v>4184</v>
      </c>
      <c r="P1877">
        <v>256.60000000000002</v>
      </c>
    </row>
    <row r="1878" spans="1:16" x14ac:dyDescent="0.3">
      <c r="A1878" t="s">
        <v>30</v>
      </c>
      <c r="B1878" t="s">
        <v>18</v>
      </c>
      <c r="C1878" t="s">
        <v>19</v>
      </c>
      <c r="D1878" t="s">
        <v>363</v>
      </c>
      <c r="E1878" t="s">
        <v>365</v>
      </c>
      <c r="F1878" t="s">
        <v>13</v>
      </c>
      <c r="G1878" t="s">
        <v>447</v>
      </c>
      <c r="H1878" t="s">
        <v>368</v>
      </c>
      <c r="I1878">
        <v>58</v>
      </c>
      <c r="J1878">
        <v>0.7899159663865547</v>
      </c>
      <c r="K1878">
        <v>0.76422764227642281</v>
      </c>
      <c r="L1878">
        <v>0.81739130434782614</v>
      </c>
      <c r="M1878" t="s">
        <v>60</v>
      </c>
      <c r="N1878" t="s">
        <v>4185</v>
      </c>
      <c r="O1878" t="s">
        <v>4186</v>
      </c>
      <c r="P1878">
        <v>271.89999999999998</v>
      </c>
    </row>
    <row r="1879" spans="1:16" x14ac:dyDescent="0.3">
      <c r="A1879" t="s">
        <v>30</v>
      </c>
      <c r="B1879" t="s">
        <v>18</v>
      </c>
      <c r="C1879" t="s">
        <v>19</v>
      </c>
      <c r="D1879" t="s">
        <v>363</v>
      </c>
      <c r="E1879" t="s">
        <v>365</v>
      </c>
      <c r="F1879" t="s">
        <v>13</v>
      </c>
      <c r="G1879" t="s">
        <v>452</v>
      </c>
      <c r="H1879" t="s">
        <v>368</v>
      </c>
      <c r="I1879">
        <v>59</v>
      </c>
      <c r="J1879">
        <v>0.76826722338204589</v>
      </c>
      <c r="K1879">
        <v>0.73895582329317266</v>
      </c>
      <c r="L1879">
        <v>0.8</v>
      </c>
      <c r="M1879" t="s">
        <v>60</v>
      </c>
      <c r="N1879" t="s">
        <v>4187</v>
      </c>
      <c r="O1879" t="s">
        <v>4188</v>
      </c>
      <c r="P1879">
        <v>279.5</v>
      </c>
    </row>
    <row r="1880" spans="1:16" x14ac:dyDescent="0.3">
      <c r="A1880" t="s">
        <v>30</v>
      </c>
      <c r="B1880" t="s">
        <v>18</v>
      </c>
      <c r="C1880" t="s">
        <v>19</v>
      </c>
      <c r="D1880" t="s">
        <v>363</v>
      </c>
      <c r="E1880" t="s">
        <v>365</v>
      </c>
      <c r="F1880" t="s">
        <v>13</v>
      </c>
      <c r="G1880" t="s">
        <v>457</v>
      </c>
      <c r="H1880" t="s">
        <v>368</v>
      </c>
      <c r="I1880">
        <v>60</v>
      </c>
      <c r="J1880">
        <v>0.78556263269639071</v>
      </c>
      <c r="K1880">
        <v>0.76763485477178428</v>
      </c>
      <c r="L1880">
        <v>0.80434782608695654</v>
      </c>
      <c r="M1880" t="s">
        <v>60</v>
      </c>
      <c r="N1880" t="s">
        <v>4189</v>
      </c>
      <c r="O1880" t="s">
        <v>4190</v>
      </c>
      <c r="P1880">
        <v>232.6</v>
      </c>
    </row>
    <row r="1881" spans="1:16" x14ac:dyDescent="0.3">
      <c r="A1881" t="s">
        <v>30</v>
      </c>
      <c r="B1881" t="s">
        <v>18</v>
      </c>
      <c r="C1881" t="s">
        <v>19</v>
      </c>
      <c r="D1881" t="s">
        <v>363</v>
      </c>
      <c r="E1881" t="s">
        <v>365</v>
      </c>
      <c r="F1881" t="s">
        <v>13</v>
      </c>
      <c r="G1881" t="s">
        <v>462</v>
      </c>
      <c r="H1881" t="s">
        <v>368</v>
      </c>
      <c r="I1881">
        <v>61</v>
      </c>
      <c r="J1881">
        <v>0.78028747433264889</v>
      </c>
      <c r="K1881">
        <v>0.73929961089494167</v>
      </c>
      <c r="L1881">
        <v>0.82608695652173914</v>
      </c>
      <c r="M1881" t="s">
        <v>60</v>
      </c>
      <c r="N1881" t="s">
        <v>4191</v>
      </c>
      <c r="O1881" t="s">
        <v>4192</v>
      </c>
      <c r="P1881">
        <v>216.1</v>
      </c>
    </row>
    <row r="1882" spans="1:16" x14ac:dyDescent="0.3">
      <c r="A1882" t="s">
        <v>30</v>
      </c>
      <c r="B1882" t="s">
        <v>18</v>
      </c>
      <c r="C1882" t="s">
        <v>19</v>
      </c>
      <c r="D1882" t="s">
        <v>363</v>
      </c>
      <c r="E1882" t="s">
        <v>467</v>
      </c>
      <c r="F1882" t="s">
        <v>9</v>
      </c>
      <c r="G1882" t="s">
        <v>468</v>
      </c>
      <c r="H1882" t="s">
        <v>470</v>
      </c>
      <c r="I1882">
        <v>42</v>
      </c>
      <c r="J1882">
        <v>0.79019073569482301</v>
      </c>
      <c r="K1882">
        <v>0.73232323232323238</v>
      </c>
      <c r="L1882">
        <v>0.85798816568047342</v>
      </c>
      <c r="M1882" t="s">
        <v>60</v>
      </c>
      <c r="N1882" t="s">
        <v>4193</v>
      </c>
      <c r="O1882" t="s">
        <v>4194</v>
      </c>
      <c r="P1882">
        <v>229.7</v>
      </c>
    </row>
    <row r="1883" spans="1:16" x14ac:dyDescent="0.3">
      <c r="A1883" t="s">
        <v>30</v>
      </c>
      <c r="B1883" t="s">
        <v>18</v>
      </c>
      <c r="C1883" t="s">
        <v>19</v>
      </c>
      <c r="D1883" t="s">
        <v>363</v>
      </c>
      <c r="E1883" t="s">
        <v>467</v>
      </c>
      <c r="F1883" t="s">
        <v>9</v>
      </c>
      <c r="G1883" t="s">
        <v>474</v>
      </c>
      <c r="H1883" t="s">
        <v>470</v>
      </c>
      <c r="I1883">
        <v>43</v>
      </c>
      <c r="J1883">
        <v>0.80779944289693595</v>
      </c>
      <c r="K1883">
        <v>0.76315789473684215</v>
      </c>
      <c r="L1883">
        <v>0.85798816568047342</v>
      </c>
      <c r="M1883" t="s">
        <v>60</v>
      </c>
      <c r="N1883" t="s">
        <v>4195</v>
      </c>
      <c r="O1883" t="s">
        <v>4196</v>
      </c>
      <c r="P1883">
        <v>273.8</v>
      </c>
    </row>
    <row r="1884" spans="1:16" x14ac:dyDescent="0.3">
      <c r="A1884" t="s">
        <v>30</v>
      </c>
      <c r="B1884" t="s">
        <v>18</v>
      </c>
      <c r="C1884" t="s">
        <v>19</v>
      </c>
      <c r="D1884" t="s">
        <v>363</v>
      </c>
      <c r="E1884" t="s">
        <v>467</v>
      </c>
      <c r="F1884" t="s">
        <v>9</v>
      </c>
      <c r="G1884" t="s">
        <v>479</v>
      </c>
      <c r="H1884" t="s">
        <v>470</v>
      </c>
      <c r="I1884">
        <v>44</v>
      </c>
      <c r="J1884">
        <v>0.80332409972299168</v>
      </c>
      <c r="K1884">
        <v>0.75520833333333337</v>
      </c>
      <c r="L1884">
        <v>0.85798816568047342</v>
      </c>
      <c r="M1884" t="s">
        <v>60</v>
      </c>
      <c r="N1884" t="s">
        <v>4197</v>
      </c>
      <c r="O1884" t="s">
        <v>4198</v>
      </c>
      <c r="P1884">
        <v>184.9</v>
      </c>
    </row>
    <row r="1885" spans="1:16" x14ac:dyDescent="0.3">
      <c r="A1885" t="s">
        <v>30</v>
      </c>
      <c r="B1885" t="s">
        <v>18</v>
      </c>
      <c r="C1885" t="s">
        <v>19</v>
      </c>
      <c r="D1885" t="s">
        <v>363</v>
      </c>
      <c r="E1885" t="s">
        <v>467</v>
      </c>
      <c r="F1885" t="s">
        <v>9</v>
      </c>
      <c r="G1885" t="s">
        <v>484</v>
      </c>
      <c r="H1885" t="s">
        <v>470</v>
      </c>
      <c r="I1885">
        <v>45</v>
      </c>
      <c r="J1885">
        <v>0.79558011049723765</v>
      </c>
      <c r="K1885">
        <v>0.74611398963730569</v>
      </c>
      <c r="L1885">
        <v>0.85207100591715978</v>
      </c>
      <c r="M1885" t="s">
        <v>60</v>
      </c>
      <c r="N1885" t="s">
        <v>4199</v>
      </c>
      <c r="O1885" t="s">
        <v>4200</v>
      </c>
      <c r="P1885">
        <v>216.1</v>
      </c>
    </row>
    <row r="1886" spans="1:16" x14ac:dyDescent="0.3">
      <c r="A1886" t="s">
        <v>30</v>
      </c>
      <c r="B1886" t="s">
        <v>18</v>
      </c>
      <c r="C1886" t="s">
        <v>19</v>
      </c>
      <c r="D1886" t="s">
        <v>363</v>
      </c>
      <c r="E1886" t="s">
        <v>467</v>
      </c>
      <c r="F1886" t="s">
        <v>9</v>
      </c>
      <c r="G1886" t="s">
        <v>489</v>
      </c>
      <c r="H1886" t="s">
        <v>470</v>
      </c>
      <c r="I1886">
        <v>46</v>
      </c>
      <c r="J1886">
        <v>0.81019830028328621</v>
      </c>
      <c r="K1886">
        <v>0.77717391304347827</v>
      </c>
      <c r="L1886">
        <v>0.84615384615384615</v>
      </c>
      <c r="M1886" t="s">
        <v>60</v>
      </c>
      <c r="N1886" t="s">
        <v>4201</v>
      </c>
      <c r="O1886" t="s">
        <v>4202</v>
      </c>
      <c r="P1886">
        <v>264.89999999999998</v>
      </c>
    </row>
    <row r="1887" spans="1:16" x14ac:dyDescent="0.3">
      <c r="A1887" t="s">
        <v>30</v>
      </c>
      <c r="B1887" t="s">
        <v>18</v>
      </c>
      <c r="C1887" t="s">
        <v>19</v>
      </c>
      <c r="D1887" t="s">
        <v>363</v>
      </c>
      <c r="E1887" t="s">
        <v>467</v>
      </c>
      <c r="F1887" t="s">
        <v>9</v>
      </c>
      <c r="G1887" t="s">
        <v>494</v>
      </c>
      <c r="H1887" t="s">
        <v>470</v>
      </c>
      <c r="I1887">
        <v>47</v>
      </c>
      <c r="J1887">
        <v>0.8089887640449438</v>
      </c>
      <c r="K1887">
        <v>0.77005347593582885</v>
      </c>
      <c r="L1887">
        <v>0.85207100591715978</v>
      </c>
      <c r="M1887" t="s">
        <v>60</v>
      </c>
      <c r="N1887" t="s">
        <v>4203</v>
      </c>
      <c r="O1887" t="s">
        <v>4204</v>
      </c>
      <c r="P1887">
        <v>226.4</v>
      </c>
    </row>
    <row r="1888" spans="1:16" x14ac:dyDescent="0.3">
      <c r="A1888" t="s">
        <v>30</v>
      </c>
      <c r="B1888" t="s">
        <v>18</v>
      </c>
      <c r="C1888" t="s">
        <v>19</v>
      </c>
      <c r="D1888" t="s">
        <v>363</v>
      </c>
      <c r="E1888" t="s">
        <v>467</v>
      </c>
      <c r="F1888" t="s">
        <v>9</v>
      </c>
      <c r="G1888" t="s">
        <v>499</v>
      </c>
      <c r="H1888" t="s">
        <v>470</v>
      </c>
      <c r="I1888">
        <v>48</v>
      </c>
      <c r="J1888">
        <v>0.80991735537190079</v>
      </c>
      <c r="K1888">
        <v>0.75773195876288657</v>
      </c>
      <c r="L1888">
        <v>0.86982248520710059</v>
      </c>
      <c r="M1888" t="s">
        <v>60</v>
      </c>
      <c r="N1888" t="s">
        <v>4205</v>
      </c>
      <c r="O1888" t="s">
        <v>4206</v>
      </c>
      <c r="P1888">
        <v>211.8</v>
      </c>
    </row>
    <row r="1889" spans="1:16" x14ac:dyDescent="0.3">
      <c r="A1889" t="s">
        <v>30</v>
      </c>
      <c r="B1889" t="s">
        <v>18</v>
      </c>
      <c r="C1889" t="s">
        <v>19</v>
      </c>
      <c r="D1889" t="s">
        <v>363</v>
      </c>
      <c r="E1889" t="s">
        <v>467</v>
      </c>
      <c r="F1889" t="s">
        <v>9</v>
      </c>
      <c r="G1889" t="s">
        <v>504</v>
      </c>
      <c r="H1889" t="s">
        <v>470</v>
      </c>
      <c r="I1889">
        <v>49</v>
      </c>
      <c r="J1889">
        <v>0.81111111111111112</v>
      </c>
      <c r="K1889">
        <v>0.76439790575916233</v>
      </c>
      <c r="L1889">
        <v>0.86390532544378695</v>
      </c>
      <c r="M1889" t="s">
        <v>60</v>
      </c>
      <c r="N1889" t="s">
        <v>4207</v>
      </c>
      <c r="O1889" t="s">
        <v>4208</v>
      </c>
      <c r="P1889">
        <v>196.6</v>
      </c>
    </row>
    <row r="1890" spans="1:16" x14ac:dyDescent="0.3">
      <c r="A1890" t="s">
        <v>30</v>
      </c>
      <c r="B1890" t="s">
        <v>18</v>
      </c>
      <c r="C1890" t="s">
        <v>19</v>
      </c>
      <c r="D1890" t="s">
        <v>363</v>
      </c>
      <c r="E1890" t="s">
        <v>467</v>
      </c>
      <c r="F1890" t="s">
        <v>9</v>
      </c>
      <c r="G1890" t="s">
        <v>509</v>
      </c>
      <c r="H1890" t="s">
        <v>470</v>
      </c>
      <c r="I1890">
        <v>50</v>
      </c>
      <c r="J1890">
        <v>0.82022471910112349</v>
      </c>
      <c r="K1890">
        <v>0.78074866310160429</v>
      </c>
      <c r="L1890">
        <v>0.86390532544378695</v>
      </c>
      <c r="M1890" t="s">
        <v>60</v>
      </c>
      <c r="N1890" t="s">
        <v>4209</v>
      </c>
      <c r="O1890" t="s">
        <v>4210</v>
      </c>
      <c r="P1890">
        <v>196.1</v>
      </c>
    </row>
    <row r="1891" spans="1:16" x14ac:dyDescent="0.3">
      <c r="A1891" t="s">
        <v>30</v>
      </c>
      <c r="B1891" t="s">
        <v>18</v>
      </c>
      <c r="C1891" t="s">
        <v>19</v>
      </c>
      <c r="D1891" t="s">
        <v>363</v>
      </c>
      <c r="E1891" t="s">
        <v>467</v>
      </c>
      <c r="F1891" t="s">
        <v>9</v>
      </c>
      <c r="G1891" t="s">
        <v>514</v>
      </c>
      <c r="H1891" t="s">
        <v>470</v>
      </c>
      <c r="I1891">
        <v>51</v>
      </c>
      <c r="J1891">
        <v>0.82122905027932958</v>
      </c>
      <c r="K1891">
        <v>0.77777777777777779</v>
      </c>
      <c r="L1891">
        <v>0.86982248520710059</v>
      </c>
      <c r="M1891" t="s">
        <v>60</v>
      </c>
      <c r="N1891" t="s">
        <v>4211</v>
      </c>
      <c r="O1891" t="s">
        <v>4212</v>
      </c>
      <c r="P1891">
        <v>241.7</v>
      </c>
    </row>
    <row r="1892" spans="1:16" x14ac:dyDescent="0.3">
      <c r="A1892" t="s">
        <v>30</v>
      </c>
      <c r="B1892" t="s">
        <v>18</v>
      </c>
      <c r="C1892" t="s">
        <v>19</v>
      </c>
      <c r="D1892" t="s">
        <v>363</v>
      </c>
      <c r="E1892" t="s">
        <v>467</v>
      </c>
      <c r="F1892" t="s">
        <v>9</v>
      </c>
      <c r="G1892" t="s">
        <v>519</v>
      </c>
      <c r="H1892" t="s">
        <v>470</v>
      </c>
      <c r="I1892">
        <v>52</v>
      </c>
      <c r="J1892">
        <v>0.82451253481894149</v>
      </c>
      <c r="K1892">
        <v>0.77894736842105261</v>
      </c>
      <c r="L1892">
        <v>0.87573964497041423</v>
      </c>
      <c r="M1892" t="s">
        <v>60</v>
      </c>
      <c r="N1892" t="s">
        <v>4213</v>
      </c>
      <c r="O1892" t="s">
        <v>4214</v>
      </c>
      <c r="P1892">
        <v>211.7</v>
      </c>
    </row>
    <row r="1893" spans="1:16" x14ac:dyDescent="0.3">
      <c r="A1893" t="s">
        <v>30</v>
      </c>
      <c r="B1893" t="s">
        <v>18</v>
      </c>
      <c r="C1893" t="s">
        <v>19</v>
      </c>
      <c r="D1893" t="s">
        <v>363</v>
      </c>
      <c r="E1893" t="s">
        <v>467</v>
      </c>
      <c r="F1893" t="s">
        <v>9</v>
      </c>
      <c r="G1893" t="s">
        <v>524</v>
      </c>
      <c r="H1893" t="s">
        <v>470</v>
      </c>
      <c r="I1893">
        <v>53</v>
      </c>
      <c r="J1893">
        <v>0.82872928176795579</v>
      </c>
      <c r="K1893">
        <v>0.77720207253886009</v>
      </c>
      <c r="L1893">
        <v>0.8875739644970414</v>
      </c>
      <c r="M1893" t="s">
        <v>60</v>
      </c>
      <c r="N1893" t="s">
        <v>4215</v>
      </c>
      <c r="O1893" t="s">
        <v>4216</v>
      </c>
      <c r="P1893">
        <v>255.9</v>
      </c>
    </row>
    <row r="1894" spans="1:16" x14ac:dyDescent="0.3">
      <c r="A1894" t="s">
        <v>30</v>
      </c>
      <c r="B1894" t="s">
        <v>18</v>
      </c>
      <c r="C1894" t="s">
        <v>19</v>
      </c>
      <c r="D1894" t="s">
        <v>363</v>
      </c>
      <c r="E1894" t="s">
        <v>467</v>
      </c>
      <c r="F1894" t="s">
        <v>9</v>
      </c>
      <c r="G1894" t="s">
        <v>529</v>
      </c>
      <c r="H1894" t="s">
        <v>470</v>
      </c>
      <c r="I1894">
        <v>54</v>
      </c>
      <c r="J1894">
        <v>0.82681564245810057</v>
      </c>
      <c r="K1894">
        <v>0.78306878306878303</v>
      </c>
      <c r="L1894">
        <v>0.87573964497041423</v>
      </c>
      <c r="M1894" t="s">
        <v>60</v>
      </c>
      <c r="N1894" t="s">
        <v>4217</v>
      </c>
      <c r="O1894" t="s">
        <v>4218</v>
      </c>
      <c r="P1894">
        <v>210.6</v>
      </c>
    </row>
    <row r="1895" spans="1:16" x14ac:dyDescent="0.3">
      <c r="A1895" t="s">
        <v>30</v>
      </c>
      <c r="B1895" t="s">
        <v>18</v>
      </c>
      <c r="C1895" t="s">
        <v>19</v>
      </c>
      <c r="D1895" t="s">
        <v>363</v>
      </c>
      <c r="E1895" t="s">
        <v>467</v>
      </c>
      <c r="F1895" t="s">
        <v>9</v>
      </c>
      <c r="G1895" t="s">
        <v>534</v>
      </c>
      <c r="H1895" t="s">
        <v>470</v>
      </c>
      <c r="I1895">
        <v>55</v>
      </c>
      <c r="J1895">
        <v>0.82719546742209626</v>
      </c>
      <c r="K1895">
        <v>0.79347826086956519</v>
      </c>
      <c r="L1895">
        <v>0.86390532544378695</v>
      </c>
      <c r="M1895" t="s">
        <v>60</v>
      </c>
      <c r="N1895" t="s">
        <v>4219</v>
      </c>
      <c r="O1895" t="s">
        <v>4220</v>
      </c>
      <c r="P1895">
        <v>256.7</v>
      </c>
    </row>
    <row r="1896" spans="1:16" x14ac:dyDescent="0.3">
      <c r="A1896" t="s">
        <v>30</v>
      </c>
      <c r="B1896" t="s">
        <v>18</v>
      </c>
      <c r="C1896" t="s">
        <v>19</v>
      </c>
      <c r="D1896" t="s">
        <v>363</v>
      </c>
      <c r="E1896" t="s">
        <v>467</v>
      </c>
      <c r="F1896" t="s">
        <v>9</v>
      </c>
      <c r="G1896" t="s">
        <v>539</v>
      </c>
      <c r="H1896" t="s">
        <v>470</v>
      </c>
      <c r="I1896">
        <v>56</v>
      </c>
      <c r="J1896">
        <v>0.8100558659217878</v>
      </c>
      <c r="K1896">
        <v>0.76719576719576721</v>
      </c>
      <c r="L1896">
        <v>0.85798816568047342</v>
      </c>
      <c r="M1896" t="s">
        <v>60</v>
      </c>
      <c r="N1896" t="s">
        <v>4221</v>
      </c>
      <c r="O1896" t="s">
        <v>4222</v>
      </c>
      <c r="P1896">
        <v>211.3</v>
      </c>
    </row>
    <row r="1897" spans="1:16" x14ac:dyDescent="0.3">
      <c r="A1897" t="s">
        <v>30</v>
      </c>
      <c r="B1897" t="s">
        <v>18</v>
      </c>
      <c r="C1897" t="s">
        <v>19</v>
      </c>
      <c r="D1897" t="s">
        <v>363</v>
      </c>
      <c r="E1897" t="s">
        <v>467</v>
      </c>
      <c r="F1897" t="s">
        <v>9</v>
      </c>
      <c r="G1897" t="s">
        <v>544</v>
      </c>
      <c r="H1897" t="s">
        <v>470</v>
      </c>
      <c r="I1897">
        <v>57</v>
      </c>
      <c r="J1897">
        <v>0.80108991825613074</v>
      </c>
      <c r="K1897">
        <v>0.74242424242424243</v>
      </c>
      <c r="L1897">
        <v>0.86982248520710059</v>
      </c>
      <c r="M1897" t="s">
        <v>60</v>
      </c>
      <c r="N1897" t="s">
        <v>4223</v>
      </c>
      <c r="O1897" t="s">
        <v>4224</v>
      </c>
      <c r="P1897">
        <v>270.60000000000002</v>
      </c>
    </row>
    <row r="1898" spans="1:16" x14ac:dyDescent="0.3">
      <c r="A1898" t="s">
        <v>30</v>
      </c>
      <c r="B1898" t="s">
        <v>18</v>
      </c>
      <c r="C1898" t="s">
        <v>19</v>
      </c>
      <c r="D1898" t="s">
        <v>363</v>
      </c>
      <c r="E1898" t="s">
        <v>467</v>
      </c>
      <c r="F1898" t="s">
        <v>9</v>
      </c>
      <c r="G1898" t="s">
        <v>549</v>
      </c>
      <c r="H1898" t="s">
        <v>470</v>
      </c>
      <c r="I1898">
        <v>58</v>
      </c>
      <c r="J1898">
        <v>0.81994459833795008</v>
      </c>
      <c r="K1898">
        <v>0.77083333333333337</v>
      </c>
      <c r="L1898">
        <v>0.87573964497041423</v>
      </c>
      <c r="M1898" t="s">
        <v>60</v>
      </c>
      <c r="N1898" t="s">
        <v>4225</v>
      </c>
      <c r="O1898" t="s">
        <v>4226</v>
      </c>
      <c r="P1898">
        <v>196.8</v>
      </c>
    </row>
    <row r="1899" spans="1:16" x14ac:dyDescent="0.3">
      <c r="A1899" t="s">
        <v>30</v>
      </c>
      <c r="B1899" t="s">
        <v>18</v>
      </c>
      <c r="C1899" t="s">
        <v>19</v>
      </c>
      <c r="D1899" t="s">
        <v>363</v>
      </c>
      <c r="E1899" t="s">
        <v>467</v>
      </c>
      <c r="F1899" t="s">
        <v>9</v>
      </c>
      <c r="G1899" t="s">
        <v>554</v>
      </c>
      <c r="H1899" t="s">
        <v>470</v>
      </c>
      <c r="I1899">
        <v>59</v>
      </c>
      <c r="J1899">
        <v>0.81111111111111112</v>
      </c>
      <c r="K1899">
        <v>0.76439790575916233</v>
      </c>
      <c r="L1899">
        <v>0.86390532544378695</v>
      </c>
      <c r="M1899" t="s">
        <v>60</v>
      </c>
      <c r="N1899" t="s">
        <v>4227</v>
      </c>
      <c r="O1899" t="s">
        <v>4228</v>
      </c>
      <c r="P1899">
        <v>228.3</v>
      </c>
    </row>
    <row r="1900" spans="1:16" x14ac:dyDescent="0.3">
      <c r="A1900" t="s">
        <v>30</v>
      </c>
      <c r="B1900" t="s">
        <v>18</v>
      </c>
      <c r="C1900" t="s">
        <v>19</v>
      </c>
      <c r="D1900" t="s">
        <v>363</v>
      </c>
      <c r="E1900" t="s">
        <v>467</v>
      </c>
      <c r="F1900" t="s">
        <v>9</v>
      </c>
      <c r="G1900" t="s">
        <v>559</v>
      </c>
      <c r="H1900" t="s">
        <v>470</v>
      </c>
      <c r="I1900">
        <v>60</v>
      </c>
      <c r="J1900">
        <v>0.81666666666666665</v>
      </c>
      <c r="K1900">
        <v>0.76963350785340312</v>
      </c>
      <c r="L1900">
        <v>0.86982248520710059</v>
      </c>
      <c r="M1900" t="s">
        <v>60</v>
      </c>
      <c r="N1900" t="s">
        <v>4229</v>
      </c>
      <c r="O1900" t="s">
        <v>4230</v>
      </c>
      <c r="P1900">
        <v>211.9</v>
      </c>
    </row>
    <row r="1901" spans="1:16" x14ac:dyDescent="0.3">
      <c r="A1901" t="s">
        <v>30</v>
      </c>
      <c r="B1901" t="s">
        <v>18</v>
      </c>
      <c r="C1901" t="s">
        <v>19</v>
      </c>
      <c r="D1901" t="s">
        <v>363</v>
      </c>
      <c r="E1901" t="s">
        <v>467</v>
      </c>
      <c r="F1901" t="s">
        <v>9</v>
      </c>
      <c r="G1901" t="s">
        <v>564</v>
      </c>
      <c r="H1901" t="s">
        <v>470</v>
      </c>
      <c r="I1901">
        <v>61</v>
      </c>
      <c r="J1901">
        <v>0.81111111111111112</v>
      </c>
      <c r="K1901">
        <v>0.76439790575916233</v>
      </c>
      <c r="L1901">
        <v>0.86390532544378695</v>
      </c>
      <c r="M1901" t="s">
        <v>60</v>
      </c>
      <c r="N1901" t="s">
        <v>4231</v>
      </c>
      <c r="O1901" t="s">
        <v>4232</v>
      </c>
      <c r="P1901">
        <v>226.7</v>
      </c>
    </row>
    <row r="1902" spans="1:16" x14ac:dyDescent="0.3">
      <c r="A1902" t="s">
        <v>30</v>
      </c>
      <c r="B1902" t="s">
        <v>18</v>
      </c>
      <c r="C1902" t="s">
        <v>19</v>
      </c>
      <c r="D1902" t="s">
        <v>363</v>
      </c>
      <c r="E1902" t="s">
        <v>569</v>
      </c>
      <c r="F1902" t="s">
        <v>11</v>
      </c>
      <c r="G1902" t="s">
        <v>570</v>
      </c>
      <c r="H1902" t="s">
        <v>572</v>
      </c>
      <c r="I1902">
        <v>42</v>
      </c>
      <c r="J1902">
        <v>0.82637362637362632</v>
      </c>
      <c r="K1902">
        <v>0.80686695278969955</v>
      </c>
      <c r="L1902">
        <v>0.84684684684684686</v>
      </c>
      <c r="M1902" t="s">
        <v>60</v>
      </c>
      <c r="N1902" t="s">
        <v>4233</v>
      </c>
      <c r="O1902" t="s">
        <v>4234</v>
      </c>
      <c r="P1902">
        <v>264.39999999999998</v>
      </c>
    </row>
    <row r="1903" spans="1:16" x14ac:dyDescent="0.3">
      <c r="A1903" t="s">
        <v>30</v>
      </c>
      <c r="B1903" t="s">
        <v>18</v>
      </c>
      <c r="C1903" t="s">
        <v>19</v>
      </c>
      <c r="D1903" t="s">
        <v>363</v>
      </c>
      <c r="E1903" t="s">
        <v>569</v>
      </c>
      <c r="F1903" t="s">
        <v>11</v>
      </c>
      <c r="G1903" t="s">
        <v>576</v>
      </c>
      <c r="H1903" t="s">
        <v>572</v>
      </c>
      <c r="I1903">
        <v>43</v>
      </c>
      <c r="J1903">
        <v>0.83443708609271516</v>
      </c>
      <c r="K1903">
        <v>0.81818181818181823</v>
      </c>
      <c r="L1903">
        <v>0.85135135135135132</v>
      </c>
      <c r="M1903" t="s">
        <v>60</v>
      </c>
      <c r="N1903" t="s">
        <v>4235</v>
      </c>
      <c r="O1903" t="s">
        <v>4236</v>
      </c>
      <c r="P1903">
        <v>209.5</v>
      </c>
    </row>
    <row r="1904" spans="1:16" x14ac:dyDescent="0.3">
      <c r="A1904" t="s">
        <v>30</v>
      </c>
      <c r="B1904" t="s">
        <v>18</v>
      </c>
      <c r="C1904" t="s">
        <v>19</v>
      </c>
      <c r="D1904" t="s">
        <v>363</v>
      </c>
      <c r="E1904" t="s">
        <v>569</v>
      </c>
      <c r="F1904" t="s">
        <v>11</v>
      </c>
      <c r="G1904" t="s">
        <v>581</v>
      </c>
      <c r="H1904" t="s">
        <v>572</v>
      </c>
      <c r="I1904">
        <v>44</v>
      </c>
      <c r="J1904">
        <v>0.8325991189427312</v>
      </c>
      <c r="K1904">
        <v>0.81465517241379315</v>
      </c>
      <c r="L1904">
        <v>0.85135135135135132</v>
      </c>
      <c r="M1904" t="s">
        <v>60</v>
      </c>
      <c r="N1904" t="s">
        <v>4237</v>
      </c>
      <c r="O1904" t="s">
        <v>4238</v>
      </c>
      <c r="P1904">
        <v>223.7</v>
      </c>
    </row>
    <row r="1905" spans="1:16" x14ac:dyDescent="0.3">
      <c r="A1905" t="s">
        <v>30</v>
      </c>
      <c r="B1905" t="s">
        <v>18</v>
      </c>
      <c r="C1905" t="s">
        <v>19</v>
      </c>
      <c r="D1905" t="s">
        <v>363</v>
      </c>
      <c r="E1905" t="s">
        <v>569</v>
      </c>
      <c r="F1905" t="s">
        <v>11</v>
      </c>
      <c r="G1905" t="s">
        <v>586</v>
      </c>
      <c r="H1905" t="s">
        <v>572</v>
      </c>
      <c r="I1905">
        <v>45</v>
      </c>
      <c r="J1905">
        <v>0.81938325991189431</v>
      </c>
      <c r="K1905">
        <v>0.80172413793103448</v>
      </c>
      <c r="L1905">
        <v>0.83783783783783783</v>
      </c>
      <c r="M1905" t="s">
        <v>60</v>
      </c>
      <c r="N1905" t="s">
        <v>4239</v>
      </c>
      <c r="O1905" t="s">
        <v>4240</v>
      </c>
      <c r="P1905">
        <v>266.5</v>
      </c>
    </row>
    <row r="1906" spans="1:16" x14ac:dyDescent="0.3">
      <c r="A1906" t="s">
        <v>30</v>
      </c>
      <c r="B1906" t="s">
        <v>18</v>
      </c>
      <c r="C1906" t="s">
        <v>19</v>
      </c>
      <c r="D1906" t="s">
        <v>363</v>
      </c>
      <c r="E1906" t="s">
        <v>569</v>
      </c>
      <c r="F1906" t="s">
        <v>11</v>
      </c>
      <c r="G1906" t="s">
        <v>591</v>
      </c>
      <c r="H1906" t="s">
        <v>572</v>
      </c>
      <c r="I1906">
        <v>46</v>
      </c>
      <c r="J1906">
        <v>0.82894736842105265</v>
      </c>
      <c r="K1906">
        <v>0.80769230769230771</v>
      </c>
      <c r="L1906">
        <v>0.85135135135135132</v>
      </c>
      <c r="M1906" t="s">
        <v>60</v>
      </c>
      <c r="N1906" t="s">
        <v>4241</v>
      </c>
      <c r="O1906" t="s">
        <v>4242</v>
      </c>
      <c r="P1906">
        <v>234.8</v>
      </c>
    </row>
    <row r="1907" spans="1:16" x14ac:dyDescent="0.3">
      <c r="A1907" t="s">
        <v>30</v>
      </c>
      <c r="B1907" t="s">
        <v>18</v>
      </c>
      <c r="C1907" t="s">
        <v>19</v>
      </c>
      <c r="D1907" t="s">
        <v>363</v>
      </c>
      <c r="E1907" t="s">
        <v>569</v>
      </c>
      <c r="F1907" t="s">
        <v>11</v>
      </c>
      <c r="G1907" t="s">
        <v>596</v>
      </c>
      <c r="H1907" t="s">
        <v>572</v>
      </c>
      <c r="I1907">
        <v>47</v>
      </c>
      <c r="J1907">
        <v>0.8325991189427312</v>
      </c>
      <c r="K1907">
        <v>0.81465517241379315</v>
      </c>
      <c r="L1907">
        <v>0.85135135135135132</v>
      </c>
      <c r="M1907" t="s">
        <v>60</v>
      </c>
      <c r="N1907" t="s">
        <v>4243</v>
      </c>
      <c r="O1907" t="s">
        <v>4244</v>
      </c>
      <c r="P1907">
        <v>223.8</v>
      </c>
    </row>
    <row r="1908" spans="1:16" x14ac:dyDescent="0.3">
      <c r="A1908" t="s">
        <v>30</v>
      </c>
      <c r="B1908" t="s">
        <v>18</v>
      </c>
      <c r="C1908" t="s">
        <v>19</v>
      </c>
      <c r="D1908" t="s">
        <v>363</v>
      </c>
      <c r="E1908" t="s">
        <v>569</v>
      </c>
      <c r="F1908" t="s">
        <v>11</v>
      </c>
      <c r="G1908" t="s">
        <v>601</v>
      </c>
      <c r="H1908" t="s">
        <v>572</v>
      </c>
      <c r="I1908">
        <v>48</v>
      </c>
      <c r="J1908">
        <v>0.82637362637362632</v>
      </c>
      <c r="K1908">
        <v>0.80686695278969955</v>
      </c>
      <c r="L1908">
        <v>0.84684684684684686</v>
      </c>
      <c r="M1908" t="s">
        <v>60</v>
      </c>
      <c r="N1908" t="s">
        <v>4245</v>
      </c>
      <c r="O1908" t="s">
        <v>4246</v>
      </c>
      <c r="P1908">
        <v>263.89999999999998</v>
      </c>
    </row>
    <row r="1909" spans="1:16" x14ac:dyDescent="0.3">
      <c r="A1909" t="s">
        <v>30</v>
      </c>
      <c r="B1909" t="s">
        <v>18</v>
      </c>
      <c r="C1909" t="s">
        <v>19</v>
      </c>
      <c r="D1909" t="s">
        <v>363</v>
      </c>
      <c r="E1909" t="s">
        <v>569</v>
      </c>
      <c r="F1909" t="s">
        <v>11</v>
      </c>
      <c r="G1909" t="s">
        <v>606</v>
      </c>
      <c r="H1909" t="s">
        <v>572</v>
      </c>
      <c r="I1909">
        <v>49</v>
      </c>
      <c r="J1909">
        <v>0.82819383259911894</v>
      </c>
      <c r="K1909">
        <v>0.81034482758620685</v>
      </c>
      <c r="L1909">
        <v>0.84684684684684686</v>
      </c>
      <c r="M1909" t="s">
        <v>60</v>
      </c>
      <c r="N1909" t="s">
        <v>4247</v>
      </c>
      <c r="O1909" t="s">
        <v>4248</v>
      </c>
      <c r="P1909">
        <v>251.6</v>
      </c>
    </row>
    <row r="1910" spans="1:16" x14ac:dyDescent="0.3">
      <c r="A1910" t="s">
        <v>30</v>
      </c>
      <c r="B1910" t="s">
        <v>18</v>
      </c>
      <c r="C1910" t="s">
        <v>19</v>
      </c>
      <c r="D1910" t="s">
        <v>363</v>
      </c>
      <c r="E1910" t="s">
        <v>569</v>
      </c>
      <c r="F1910" t="s">
        <v>11</v>
      </c>
      <c r="G1910" t="s">
        <v>611</v>
      </c>
      <c r="H1910" t="s">
        <v>572</v>
      </c>
      <c r="I1910">
        <v>50</v>
      </c>
      <c r="J1910">
        <v>0.84116331096196872</v>
      </c>
      <c r="K1910">
        <v>0.83555555555555561</v>
      </c>
      <c r="L1910">
        <v>0.84684684684684686</v>
      </c>
      <c r="M1910" t="s">
        <v>60</v>
      </c>
      <c r="N1910" t="s">
        <v>4249</v>
      </c>
      <c r="O1910" t="s">
        <v>4250</v>
      </c>
      <c r="P1910">
        <v>235.6</v>
      </c>
    </row>
    <row r="1911" spans="1:16" x14ac:dyDescent="0.3">
      <c r="A1911" t="s">
        <v>30</v>
      </c>
      <c r="B1911" t="s">
        <v>18</v>
      </c>
      <c r="C1911" t="s">
        <v>19</v>
      </c>
      <c r="D1911" t="s">
        <v>363</v>
      </c>
      <c r="E1911" t="s">
        <v>569</v>
      </c>
      <c r="F1911" t="s">
        <v>11</v>
      </c>
      <c r="G1911" t="s">
        <v>616</v>
      </c>
      <c r="H1911" t="s">
        <v>572</v>
      </c>
      <c r="I1911">
        <v>51</v>
      </c>
      <c r="J1911">
        <v>0.83700440528634368</v>
      </c>
      <c r="K1911">
        <v>0.81896551724137934</v>
      </c>
      <c r="L1911">
        <v>0.85585585585585588</v>
      </c>
      <c r="M1911" t="s">
        <v>60</v>
      </c>
      <c r="N1911" t="s">
        <v>4251</v>
      </c>
      <c r="O1911" t="s">
        <v>4252</v>
      </c>
      <c r="P1911">
        <v>209.8</v>
      </c>
    </row>
    <row r="1912" spans="1:16" x14ac:dyDescent="0.3">
      <c r="A1912" t="s">
        <v>30</v>
      </c>
      <c r="B1912" t="s">
        <v>18</v>
      </c>
      <c r="C1912" t="s">
        <v>19</v>
      </c>
      <c r="D1912" t="s">
        <v>363</v>
      </c>
      <c r="E1912" t="s">
        <v>569</v>
      </c>
      <c r="F1912" t="s">
        <v>11</v>
      </c>
      <c r="G1912" t="s">
        <v>621</v>
      </c>
      <c r="H1912" t="s">
        <v>572</v>
      </c>
      <c r="I1912">
        <v>52</v>
      </c>
      <c r="J1912">
        <v>0.83150984682713347</v>
      </c>
      <c r="K1912">
        <v>0.80851063829787229</v>
      </c>
      <c r="L1912">
        <v>0.85585585585585588</v>
      </c>
      <c r="M1912" t="s">
        <v>60</v>
      </c>
      <c r="N1912" t="s">
        <v>4253</v>
      </c>
      <c r="O1912" t="s">
        <v>4254</v>
      </c>
      <c r="P1912">
        <v>267</v>
      </c>
    </row>
    <row r="1913" spans="1:16" x14ac:dyDescent="0.3">
      <c r="A1913" t="s">
        <v>30</v>
      </c>
      <c r="B1913" t="s">
        <v>18</v>
      </c>
      <c r="C1913" t="s">
        <v>19</v>
      </c>
      <c r="D1913" t="s">
        <v>363</v>
      </c>
      <c r="E1913" t="s">
        <v>569</v>
      </c>
      <c r="F1913" t="s">
        <v>11</v>
      </c>
      <c r="G1913" t="s">
        <v>626</v>
      </c>
      <c r="H1913" t="s">
        <v>572</v>
      </c>
      <c r="I1913">
        <v>53</v>
      </c>
      <c r="J1913">
        <v>0.84513274336283184</v>
      </c>
      <c r="K1913">
        <v>0.83043478260869563</v>
      </c>
      <c r="L1913">
        <v>0.86036036036036034</v>
      </c>
      <c r="M1913" t="s">
        <v>60</v>
      </c>
      <c r="N1913" t="s">
        <v>4255</v>
      </c>
      <c r="O1913" t="s">
        <v>4256</v>
      </c>
      <c r="P1913">
        <v>237.3</v>
      </c>
    </row>
    <row r="1914" spans="1:16" x14ac:dyDescent="0.3">
      <c r="A1914" t="s">
        <v>30</v>
      </c>
      <c r="B1914" t="s">
        <v>18</v>
      </c>
      <c r="C1914" t="s">
        <v>19</v>
      </c>
      <c r="D1914" t="s">
        <v>363</v>
      </c>
      <c r="E1914" t="s">
        <v>569</v>
      </c>
      <c r="F1914" t="s">
        <v>11</v>
      </c>
      <c r="G1914" t="s">
        <v>631</v>
      </c>
      <c r="H1914" t="s">
        <v>572</v>
      </c>
      <c r="I1914">
        <v>54</v>
      </c>
      <c r="J1914">
        <v>0.84257206208425717</v>
      </c>
      <c r="K1914">
        <v>0.82969432314410485</v>
      </c>
      <c r="L1914">
        <v>0.85585585585585588</v>
      </c>
      <c r="M1914" t="s">
        <v>60</v>
      </c>
      <c r="N1914" t="s">
        <v>4257</v>
      </c>
      <c r="O1914" t="s">
        <v>4258</v>
      </c>
      <c r="P1914">
        <v>265.10000000000002</v>
      </c>
    </row>
    <row r="1915" spans="1:16" x14ac:dyDescent="0.3">
      <c r="A1915" t="s">
        <v>30</v>
      </c>
      <c r="B1915" t="s">
        <v>18</v>
      </c>
      <c r="C1915" t="s">
        <v>19</v>
      </c>
      <c r="D1915" t="s">
        <v>363</v>
      </c>
      <c r="E1915" t="s">
        <v>569</v>
      </c>
      <c r="F1915" t="s">
        <v>11</v>
      </c>
      <c r="G1915" t="s">
        <v>636</v>
      </c>
      <c r="H1915" t="s">
        <v>572</v>
      </c>
      <c r="I1915">
        <v>55</v>
      </c>
      <c r="J1915">
        <v>0.83443708609271516</v>
      </c>
      <c r="K1915">
        <v>0.81818181818181823</v>
      </c>
      <c r="L1915">
        <v>0.85135135135135132</v>
      </c>
      <c r="M1915" t="s">
        <v>60</v>
      </c>
      <c r="N1915" t="s">
        <v>4259</v>
      </c>
      <c r="O1915" t="s">
        <v>4260</v>
      </c>
      <c r="P1915">
        <v>236.6</v>
      </c>
    </row>
    <row r="1916" spans="1:16" x14ac:dyDescent="0.3">
      <c r="A1916" t="s">
        <v>30</v>
      </c>
      <c r="B1916" t="s">
        <v>18</v>
      </c>
      <c r="C1916" t="s">
        <v>19</v>
      </c>
      <c r="D1916" t="s">
        <v>363</v>
      </c>
      <c r="E1916" t="s">
        <v>569</v>
      </c>
      <c r="F1916" t="s">
        <v>11</v>
      </c>
      <c r="G1916" t="s">
        <v>641</v>
      </c>
      <c r="H1916" t="s">
        <v>572</v>
      </c>
      <c r="I1916">
        <v>56</v>
      </c>
      <c r="J1916">
        <v>0.83111111111111113</v>
      </c>
      <c r="K1916">
        <v>0.82017543859649122</v>
      </c>
      <c r="L1916">
        <v>0.84234234234234229</v>
      </c>
      <c r="M1916" t="s">
        <v>60</v>
      </c>
      <c r="N1916" t="s">
        <v>4261</v>
      </c>
      <c r="O1916" t="s">
        <v>4262</v>
      </c>
      <c r="P1916">
        <v>224.6</v>
      </c>
    </row>
    <row r="1917" spans="1:16" x14ac:dyDescent="0.3">
      <c r="A1917" t="s">
        <v>30</v>
      </c>
      <c r="B1917" t="s">
        <v>18</v>
      </c>
      <c r="C1917" t="s">
        <v>19</v>
      </c>
      <c r="D1917" t="s">
        <v>363</v>
      </c>
      <c r="E1917" t="s">
        <v>569</v>
      </c>
      <c r="F1917" t="s">
        <v>11</v>
      </c>
      <c r="G1917" t="s">
        <v>646</v>
      </c>
      <c r="H1917" t="s">
        <v>572</v>
      </c>
      <c r="I1917">
        <v>57</v>
      </c>
      <c r="J1917">
        <v>0.8318584070796462</v>
      </c>
      <c r="K1917">
        <v>0.81739130434782614</v>
      </c>
      <c r="L1917">
        <v>0.84684684684684686</v>
      </c>
      <c r="M1917" t="s">
        <v>60</v>
      </c>
      <c r="N1917" t="s">
        <v>4263</v>
      </c>
      <c r="O1917" t="s">
        <v>4264</v>
      </c>
      <c r="P1917">
        <v>264.7</v>
      </c>
    </row>
    <row r="1918" spans="1:16" x14ac:dyDescent="0.3">
      <c r="A1918" t="s">
        <v>30</v>
      </c>
      <c r="B1918" t="s">
        <v>18</v>
      </c>
      <c r="C1918" t="s">
        <v>19</v>
      </c>
      <c r="D1918" t="s">
        <v>363</v>
      </c>
      <c r="E1918" t="s">
        <v>569</v>
      </c>
      <c r="F1918" t="s">
        <v>11</v>
      </c>
      <c r="G1918" t="s">
        <v>651</v>
      </c>
      <c r="H1918" t="s">
        <v>572</v>
      </c>
      <c r="I1918">
        <v>58</v>
      </c>
      <c r="J1918">
        <v>0.84000000000000008</v>
      </c>
      <c r="K1918">
        <v>0.82894736842105265</v>
      </c>
      <c r="L1918">
        <v>0.85135135135135132</v>
      </c>
      <c r="M1918" t="s">
        <v>60</v>
      </c>
      <c r="N1918" t="s">
        <v>4265</v>
      </c>
      <c r="O1918" t="s">
        <v>4266</v>
      </c>
      <c r="P1918">
        <v>237</v>
      </c>
    </row>
    <row r="1919" spans="1:16" x14ac:dyDescent="0.3">
      <c r="A1919" t="s">
        <v>30</v>
      </c>
      <c r="B1919" t="s">
        <v>18</v>
      </c>
      <c r="C1919" t="s">
        <v>19</v>
      </c>
      <c r="D1919" t="s">
        <v>363</v>
      </c>
      <c r="E1919" t="s">
        <v>569</v>
      </c>
      <c r="F1919" t="s">
        <v>11</v>
      </c>
      <c r="G1919" t="s">
        <v>656</v>
      </c>
      <c r="H1919" t="s">
        <v>572</v>
      </c>
      <c r="I1919">
        <v>59</v>
      </c>
      <c r="J1919">
        <v>0.83700440528634368</v>
      </c>
      <c r="K1919">
        <v>0.81896551724137934</v>
      </c>
      <c r="L1919">
        <v>0.85585585585585588</v>
      </c>
      <c r="M1919" t="s">
        <v>60</v>
      </c>
      <c r="N1919" t="s">
        <v>4267</v>
      </c>
      <c r="O1919" t="s">
        <v>4268</v>
      </c>
      <c r="P1919">
        <v>250.7</v>
      </c>
    </row>
    <row r="1920" spans="1:16" x14ac:dyDescent="0.3">
      <c r="A1920" t="s">
        <v>30</v>
      </c>
      <c r="B1920" t="s">
        <v>18</v>
      </c>
      <c r="C1920" t="s">
        <v>19</v>
      </c>
      <c r="D1920" t="s">
        <v>363</v>
      </c>
      <c r="E1920" t="s">
        <v>569</v>
      </c>
      <c r="F1920" t="s">
        <v>11</v>
      </c>
      <c r="G1920" t="s">
        <v>661</v>
      </c>
      <c r="H1920" t="s">
        <v>572</v>
      </c>
      <c r="I1920">
        <v>60</v>
      </c>
      <c r="J1920">
        <v>0.83885209713024289</v>
      </c>
      <c r="K1920">
        <v>0.82251082251082253</v>
      </c>
      <c r="L1920">
        <v>0.85585585585585588</v>
      </c>
      <c r="M1920" t="s">
        <v>60</v>
      </c>
      <c r="N1920" t="s">
        <v>4269</v>
      </c>
      <c r="O1920" t="s">
        <v>4270</v>
      </c>
      <c r="P1920">
        <v>263.7</v>
      </c>
    </row>
    <row r="1921" spans="1:16" x14ac:dyDescent="0.3">
      <c r="A1921" t="s">
        <v>30</v>
      </c>
      <c r="B1921" t="s">
        <v>18</v>
      </c>
      <c r="C1921" t="s">
        <v>19</v>
      </c>
      <c r="D1921" t="s">
        <v>363</v>
      </c>
      <c r="E1921" t="s">
        <v>569</v>
      </c>
      <c r="F1921" t="s">
        <v>11</v>
      </c>
      <c r="G1921" t="s">
        <v>666</v>
      </c>
      <c r="H1921" t="s">
        <v>572</v>
      </c>
      <c r="I1921">
        <v>61</v>
      </c>
      <c r="J1921">
        <v>0.83296213808463249</v>
      </c>
      <c r="K1921">
        <v>0.82378854625550657</v>
      </c>
      <c r="L1921">
        <v>0.84234234234234229</v>
      </c>
      <c r="M1921" t="s">
        <v>60</v>
      </c>
      <c r="N1921" t="s">
        <v>4271</v>
      </c>
      <c r="O1921" t="s">
        <v>4272</v>
      </c>
      <c r="P1921">
        <v>239</v>
      </c>
    </row>
    <row r="1922" spans="1:16" x14ac:dyDescent="0.3">
      <c r="A1922" t="s">
        <v>30</v>
      </c>
      <c r="B1922" t="s">
        <v>20</v>
      </c>
      <c r="C1922" t="s">
        <v>21</v>
      </c>
      <c r="D1922" t="s">
        <v>54</v>
      </c>
      <c r="E1922" t="s">
        <v>56</v>
      </c>
      <c r="F1922" t="s">
        <v>7</v>
      </c>
      <c r="G1922" t="s">
        <v>57</v>
      </c>
      <c r="H1922" t="s">
        <v>59</v>
      </c>
      <c r="I1922">
        <v>42</v>
      </c>
      <c r="J1922">
        <v>0.70258620689655171</v>
      </c>
      <c r="M1922" t="s">
        <v>670</v>
      </c>
      <c r="N1922" t="s">
        <v>4273</v>
      </c>
      <c r="O1922" t="s">
        <v>4274</v>
      </c>
      <c r="P1922">
        <v>0.8</v>
      </c>
    </row>
    <row r="1923" spans="1:16" x14ac:dyDescent="0.3">
      <c r="A1923" t="s">
        <v>30</v>
      </c>
      <c r="B1923" t="s">
        <v>20</v>
      </c>
      <c r="C1923" t="s">
        <v>21</v>
      </c>
      <c r="D1923" t="s">
        <v>54</v>
      </c>
      <c r="E1923" t="s">
        <v>56</v>
      </c>
      <c r="F1923" t="s">
        <v>7</v>
      </c>
      <c r="G1923" t="s">
        <v>65</v>
      </c>
      <c r="H1923" t="s">
        <v>59</v>
      </c>
      <c r="I1923">
        <v>43</v>
      </c>
      <c r="J1923">
        <v>0.6845360824742267</v>
      </c>
      <c r="M1923" t="s">
        <v>670</v>
      </c>
      <c r="N1923" t="s">
        <v>4275</v>
      </c>
      <c r="O1923" t="s">
        <v>4276</v>
      </c>
      <c r="P1923">
        <v>0.9</v>
      </c>
    </row>
    <row r="1924" spans="1:16" x14ac:dyDescent="0.3">
      <c r="A1924" t="s">
        <v>30</v>
      </c>
      <c r="B1924" t="s">
        <v>20</v>
      </c>
      <c r="C1924" t="s">
        <v>21</v>
      </c>
      <c r="D1924" t="s">
        <v>54</v>
      </c>
      <c r="E1924" t="s">
        <v>56</v>
      </c>
      <c r="F1924" t="s">
        <v>7</v>
      </c>
      <c r="G1924" t="s">
        <v>70</v>
      </c>
      <c r="H1924" t="s">
        <v>59</v>
      </c>
      <c r="I1924">
        <v>44</v>
      </c>
      <c r="J1924">
        <v>0.71900826446280985</v>
      </c>
      <c r="M1924" t="s">
        <v>670</v>
      </c>
      <c r="N1924" t="s">
        <v>4277</v>
      </c>
      <c r="O1924" t="s">
        <v>4278</v>
      </c>
      <c r="P1924">
        <v>0.7</v>
      </c>
    </row>
    <row r="1925" spans="1:16" x14ac:dyDescent="0.3">
      <c r="A1925" t="s">
        <v>30</v>
      </c>
      <c r="B1925" t="s">
        <v>20</v>
      </c>
      <c r="C1925" t="s">
        <v>21</v>
      </c>
      <c r="D1925" t="s">
        <v>54</v>
      </c>
      <c r="E1925" t="s">
        <v>56</v>
      </c>
      <c r="F1925" t="s">
        <v>7</v>
      </c>
      <c r="G1925" t="s">
        <v>75</v>
      </c>
      <c r="H1925" t="s">
        <v>59</v>
      </c>
      <c r="I1925">
        <v>45</v>
      </c>
      <c r="J1925">
        <v>0.71635610766045543</v>
      </c>
      <c r="M1925" t="s">
        <v>670</v>
      </c>
      <c r="N1925" t="s">
        <v>4279</v>
      </c>
      <c r="O1925" t="s">
        <v>4280</v>
      </c>
      <c r="P1925">
        <v>0.9</v>
      </c>
    </row>
    <row r="1926" spans="1:16" x14ac:dyDescent="0.3">
      <c r="A1926" t="s">
        <v>30</v>
      </c>
      <c r="B1926" t="s">
        <v>20</v>
      </c>
      <c r="C1926" t="s">
        <v>21</v>
      </c>
      <c r="D1926" t="s">
        <v>54</v>
      </c>
      <c r="E1926" t="s">
        <v>56</v>
      </c>
      <c r="F1926" t="s">
        <v>7</v>
      </c>
      <c r="G1926" t="s">
        <v>80</v>
      </c>
      <c r="H1926" t="s">
        <v>59</v>
      </c>
      <c r="I1926">
        <v>46</v>
      </c>
      <c r="J1926">
        <v>0.65432098765432101</v>
      </c>
      <c r="M1926" t="s">
        <v>670</v>
      </c>
      <c r="N1926" t="s">
        <v>4281</v>
      </c>
      <c r="O1926" t="s">
        <v>4282</v>
      </c>
      <c r="P1926">
        <v>0.6</v>
      </c>
    </row>
    <row r="1927" spans="1:16" x14ac:dyDescent="0.3">
      <c r="A1927" t="s">
        <v>30</v>
      </c>
      <c r="B1927" t="s">
        <v>20</v>
      </c>
      <c r="C1927" t="s">
        <v>21</v>
      </c>
      <c r="D1927" t="s">
        <v>54</v>
      </c>
      <c r="E1927" t="s">
        <v>56</v>
      </c>
      <c r="F1927" t="s">
        <v>7</v>
      </c>
      <c r="G1927" t="s">
        <v>85</v>
      </c>
      <c r="H1927" t="s">
        <v>59</v>
      </c>
      <c r="I1927">
        <v>47</v>
      </c>
      <c r="J1927">
        <v>0.69938650306748462</v>
      </c>
      <c r="M1927" t="s">
        <v>670</v>
      </c>
      <c r="N1927" t="s">
        <v>4283</v>
      </c>
      <c r="O1927" t="s">
        <v>4284</v>
      </c>
      <c r="P1927">
        <v>0.9</v>
      </c>
    </row>
    <row r="1928" spans="1:16" x14ac:dyDescent="0.3">
      <c r="A1928" t="s">
        <v>30</v>
      </c>
      <c r="B1928" t="s">
        <v>20</v>
      </c>
      <c r="C1928" t="s">
        <v>21</v>
      </c>
      <c r="D1928" t="s">
        <v>54</v>
      </c>
      <c r="E1928" t="s">
        <v>56</v>
      </c>
      <c r="F1928" t="s">
        <v>7</v>
      </c>
      <c r="G1928" t="s">
        <v>90</v>
      </c>
      <c r="H1928" t="s">
        <v>59</v>
      </c>
      <c r="I1928">
        <v>48</v>
      </c>
      <c r="J1928">
        <v>0.61181434599156115</v>
      </c>
      <c r="M1928" t="s">
        <v>670</v>
      </c>
      <c r="N1928" t="s">
        <v>4285</v>
      </c>
      <c r="O1928" t="s">
        <v>4286</v>
      </c>
      <c r="P1928">
        <v>1</v>
      </c>
    </row>
    <row r="1929" spans="1:16" x14ac:dyDescent="0.3">
      <c r="A1929" t="s">
        <v>30</v>
      </c>
      <c r="B1929" t="s">
        <v>20</v>
      </c>
      <c r="C1929" t="s">
        <v>21</v>
      </c>
      <c r="D1929" t="s">
        <v>54</v>
      </c>
      <c r="E1929" t="s">
        <v>56</v>
      </c>
      <c r="F1929" t="s">
        <v>7</v>
      </c>
      <c r="G1929" t="s">
        <v>95</v>
      </c>
      <c r="H1929" t="s">
        <v>59</v>
      </c>
      <c r="I1929">
        <v>49</v>
      </c>
      <c r="J1929">
        <v>0.71274298056155505</v>
      </c>
      <c r="M1929" t="s">
        <v>670</v>
      </c>
      <c r="N1929" t="s">
        <v>4287</v>
      </c>
      <c r="O1929" t="s">
        <v>4288</v>
      </c>
      <c r="P1929">
        <v>0.7</v>
      </c>
    </row>
    <row r="1930" spans="1:16" x14ac:dyDescent="0.3">
      <c r="A1930" t="s">
        <v>30</v>
      </c>
      <c r="B1930" t="s">
        <v>20</v>
      </c>
      <c r="C1930" t="s">
        <v>21</v>
      </c>
      <c r="D1930" t="s">
        <v>54</v>
      </c>
      <c r="E1930" t="s">
        <v>56</v>
      </c>
      <c r="F1930" t="s">
        <v>7</v>
      </c>
      <c r="G1930" t="s">
        <v>100</v>
      </c>
      <c r="H1930" t="s">
        <v>59</v>
      </c>
      <c r="I1930">
        <v>50</v>
      </c>
      <c r="J1930">
        <v>0.66808510638297869</v>
      </c>
      <c r="M1930" t="s">
        <v>670</v>
      </c>
      <c r="N1930" t="s">
        <v>4289</v>
      </c>
      <c r="O1930" t="s">
        <v>4290</v>
      </c>
      <c r="P1930">
        <v>0.8</v>
      </c>
    </row>
    <row r="1931" spans="1:16" x14ac:dyDescent="0.3">
      <c r="A1931" t="s">
        <v>30</v>
      </c>
      <c r="B1931" t="s">
        <v>20</v>
      </c>
      <c r="C1931" t="s">
        <v>21</v>
      </c>
      <c r="D1931" t="s">
        <v>54</v>
      </c>
      <c r="E1931" t="s">
        <v>56</v>
      </c>
      <c r="F1931" t="s">
        <v>7</v>
      </c>
      <c r="G1931" t="s">
        <v>105</v>
      </c>
      <c r="H1931" t="s">
        <v>59</v>
      </c>
      <c r="I1931">
        <v>51</v>
      </c>
      <c r="J1931">
        <v>0.71982758620689669</v>
      </c>
      <c r="M1931" t="s">
        <v>670</v>
      </c>
      <c r="N1931" t="s">
        <v>4291</v>
      </c>
      <c r="O1931" t="s">
        <v>4292</v>
      </c>
      <c r="P1931">
        <v>0.7</v>
      </c>
    </row>
    <row r="1932" spans="1:16" x14ac:dyDescent="0.3">
      <c r="A1932" t="s">
        <v>30</v>
      </c>
      <c r="B1932" t="s">
        <v>20</v>
      </c>
      <c r="C1932" t="s">
        <v>21</v>
      </c>
      <c r="D1932" t="s">
        <v>54</v>
      </c>
      <c r="E1932" t="s">
        <v>56</v>
      </c>
      <c r="F1932" t="s">
        <v>7</v>
      </c>
      <c r="G1932" t="s">
        <v>110</v>
      </c>
      <c r="H1932" t="s">
        <v>59</v>
      </c>
      <c r="I1932">
        <v>52</v>
      </c>
      <c r="J1932">
        <v>0.58158995815899572</v>
      </c>
      <c r="M1932" t="s">
        <v>670</v>
      </c>
      <c r="N1932" t="s">
        <v>4293</v>
      </c>
      <c r="O1932" t="s">
        <v>4294</v>
      </c>
      <c r="P1932">
        <v>0.7</v>
      </c>
    </row>
    <row r="1933" spans="1:16" x14ac:dyDescent="0.3">
      <c r="A1933" t="s">
        <v>30</v>
      </c>
      <c r="B1933" t="s">
        <v>20</v>
      </c>
      <c r="C1933" t="s">
        <v>21</v>
      </c>
      <c r="D1933" t="s">
        <v>54</v>
      </c>
      <c r="E1933" t="s">
        <v>56</v>
      </c>
      <c r="F1933" t="s">
        <v>7</v>
      </c>
      <c r="G1933" t="s">
        <v>115</v>
      </c>
      <c r="H1933" t="s">
        <v>59</v>
      </c>
      <c r="I1933">
        <v>53</v>
      </c>
      <c r="J1933">
        <v>0.70638297872340439</v>
      </c>
      <c r="M1933" t="s">
        <v>670</v>
      </c>
      <c r="N1933" t="s">
        <v>4295</v>
      </c>
      <c r="O1933" t="s">
        <v>4296</v>
      </c>
      <c r="P1933">
        <v>0.7</v>
      </c>
    </row>
    <row r="1934" spans="1:16" x14ac:dyDescent="0.3">
      <c r="A1934" t="s">
        <v>30</v>
      </c>
      <c r="B1934" t="s">
        <v>20</v>
      </c>
      <c r="C1934" t="s">
        <v>21</v>
      </c>
      <c r="D1934" t="s">
        <v>54</v>
      </c>
      <c r="E1934" t="s">
        <v>56</v>
      </c>
      <c r="F1934" t="s">
        <v>7</v>
      </c>
      <c r="G1934" t="s">
        <v>120</v>
      </c>
      <c r="H1934" t="s">
        <v>59</v>
      </c>
      <c r="I1934">
        <v>54</v>
      </c>
      <c r="J1934">
        <v>0.71397849462365592</v>
      </c>
      <c r="M1934" t="s">
        <v>670</v>
      </c>
      <c r="N1934" t="s">
        <v>4297</v>
      </c>
      <c r="O1934" t="s">
        <v>4298</v>
      </c>
      <c r="P1934">
        <v>0.6</v>
      </c>
    </row>
    <row r="1935" spans="1:16" x14ac:dyDescent="0.3">
      <c r="A1935" t="s">
        <v>30</v>
      </c>
      <c r="B1935" t="s">
        <v>20</v>
      </c>
      <c r="C1935" t="s">
        <v>21</v>
      </c>
      <c r="D1935" t="s">
        <v>54</v>
      </c>
      <c r="E1935" t="s">
        <v>56</v>
      </c>
      <c r="F1935" t="s">
        <v>7</v>
      </c>
      <c r="G1935" t="s">
        <v>125</v>
      </c>
      <c r="H1935" t="s">
        <v>59</v>
      </c>
      <c r="I1935">
        <v>55</v>
      </c>
      <c r="J1935">
        <v>0.69151138716356109</v>
      </c>
      <c r="M1935" t="s">
        <v>670</v>
      </c>
      <c r="N1935" t="s">
        <v>4299</v>
      </c>
      <c r="O1935" t="s">
        <v>4300</v>
      </c>
      <c r="P1935">
        <v>1</v>
      </c>
    </row>
    <row r="1936" spans="1:16" x14ac:dyDescent="0.3">
      <c r="A1936" t="s">
        <v>30</v>
      </c>
      <c r="B1936" t="s">
        <v>20</v>
      </c>
      <c r="C1936" t="s">
        <v>21</v>
      </c>
      <c r="D1936" t="s">
        <v>54</v>
      </c>
      <c r="E1936" t="s">
        <v>56</v>
      </c>
      <c r="F1936" t="s">
        <v>7</v>
      </c>
      <c r="G1936" t="s">
        <v>130</v>
      </c>
      <c r="H1936" t="s">
        <v>59</v>
      </c>
      <c r="I1936">
        <v>56</v>
      </c>
      <c r="J1936">
        <v>0.7116564417177913</v>
      </c>
      <c r="M1936" t="s">
        <v>670</v>
      </c>
      <c r="N1936" t="s">
        <v>4301</v>
      </c>
      <c r="O1936" t="s">
        <v>4302</v>
      </c>
      <c r="P1936">
        <v>0.8</v>
      </c>
    </row>
    <row r="1937" spans="1:16" x14ac:dyDescent="0.3">
      <c r="A1937" t="s">
        <v>30</v>
      </c>
      <c r="B1937" t="s">
        <v>20</v>
      </c>
      <c r="C1937" t="s">
        <v>21</v>
      </c>
      <c r="D1937" t="s">
        <v>54</v>
      </c>
      <c r="E1937" t="s">
        <v>56</v>
      </c>
      <c r="F1937" t="s">
        <v>7</v>
      </c>
      <c r="G1937" t="s">
        <v>135</v>
      </c>
      <c r="H1937" t="s">
        <v>59</v>
      </c>
      <c r="I1937">
        <v>57</v>
      </c>
      <c r="J1937">
        <v>0.67761806981519501</v>
      </c>
      <c r="M1937" t="s">
        <v>670</v>
      </c>
      <c r="N1937" t="s">
        <v>4303</v>
      </c>
      <c r="O1937" t="s">
        <v>4304</v>
      </c>
      <c r="P1937">
        <v>0.6</v>
      </c>
    </row>
    <row r="1938" spans="1:16" x14ac:dyDescent="0.3">
      <c r="A1938" t="s">
        <v>30</v>
      </c>
      <c r="B1938" t="s">
        <v>20</v>
      </c>
      <c r="C1938" t="s">
        <v>21</v>
      </c>
      <c r="D1938" t="s">
        <v>54</v>
      </c>
      <c r="E1938" t="s">
        <v>56</v>
      </c>
      <c r="F1938" t="s">
        <v>7</v>
      </c>
      <c r="G1938" t="s">
        <v>140</v>
      </c>
      <c r="H1938" t="s">
        <v>59</v>
      </c>
      <c r="I1938">
        <v>58</v>
      </c>
      <c r="J1938">
        <v>0.69547325102880653</v>
      </c>
      <c r="M1938" t="s">
        <v>670</v>
      </c>
      <c r="N1938" t="s">
        <v>4305</v>
      </c>
      <c r="O1938" t="s">
        <v>4306</v>
      </c>
      <c r="P1938">
        <v>2.2999999999999998</v>
      </c>
    </row>
    <row r="1939" spans="1:16" x14ac:dyDescent="0.3">
      <c r="A1939" t="s">
        <v>30</v>
      </c>
      <c r="B1939" t="s">
        <v>20</v>
      </c>
      <c r="C1939" t="s">
        <v>21</v>
      </c>
      <c r="D1939" t="s">
        <v>54</v>
      </c>
      <c r="E1939" t="s">
        <v>56</v>
      </c>
      <c r="F1939" t="s">
        <v>7</v>
      </c>
      <c r="G1939" t="s">
        <v>145</v>
      </c>
      <c r="H1939" t="s">
        <v>59</v>
      </c>
      <c r="I1939">
        <v>59</v>
      </c>
      <c r="J1939">
        <v>0.69512195121951215</v>
      </c>
      <c r="M1939" t="s">
        <v>670</v>
      </c>
      <c r="N1939" t="s">
        <v>4307</v>
      </c>
      <c r="O1939" t="s">
        <v>4308</v>
      </c>
      <c r="P1939">
        <v>0.7</v>
      </c>
    </row>
    <row r="1940" spans="1:16" x14ac:dyDescent="0.3">
      <c r="A1940" t="s">
        <v>30</v>
      </c>
      <c r="B1940" t="s">
        <v>20</v>
      </c>
      <c r="C1940" t="s">
        <v>21</v>
      </c>
      <c r="D1940" t="s">
        <v>54</v>
      </c>
      <c r="E1940" t="s">
        <v>56</v>
      </c>
      <c r="F1940" t="s">
        <v>7</v>
      </c>
      <c r="G1940" t="s">
        <v>150</v>
      </c>
      <c r="H1940" t="s">
        <v>59</v>
      </c>
      <c r="I1940">
        <v>60</v>
      </c>
      <c r="J1940">
        <v>0.70731707317073178</v>
      </c>
      <c r="M1940" t="s">
        <v>670</v>
      </c>
      <c r="N1940" t="s">
        <v>4309</v>
      </c>
      <c r="O1940" t="s">
        <v>4310</v>
      </c>
      <c r="P1940">
        <v>0.6</v>
      </c>
    </row>
    <row r="1941" spans="1:16" x14ac:dyDescent="0.3">
      <c r="A1941" t="s">
        <v>30</v>
      </c>
      <c r="B1941" t="s">
        <v>20</v>
      </c>
      <c r="C1941" t="s">
        <v>21</v>
      </c>
      <c r="D1941" t="s">
        <v>54</v>
      </c>
      <c r="E1941" t="s">
        <v>56</v>
      </c>
      <c r="F1941" t="s">
        <v>7</v>
      </c>
      <c r="G1941" t="s">
        <v>155</v>
      </c>
      <c r="H1941" t="s">
        <v>59</v>
      </c>
      <c r="I1941">
        <v>61</v>
      </c>
      <c r="J1941">
        <v>0.71269487750556793</v>
      </c>
      <c r="M1941" t="s">
        <v>670</v>
      </c>
      <c r="N1941" t="s">
        <v>4311</v>
      </c>
      <c r="O1941" t="s">
        <v>4312</v>
      </c>
      <c r="P1941">
        <v>0.6</v>
      </c>
    </row>
    <row r="1942" spans="1:16" x14ac:dyDescent="0.3">
      <c r="A1942" t="s">
        <v>30</v>
      </c>
      <c r="B1942" t="s">
        <v>20</v>
      </c>
      <c r="C1942" t="s">
        <v>21</v>
      </c>
      <c r="D1942" t="s">
        <v>54</v>
      </c>
      <c r="E1942" t="s">
        <v>160</v>
      </c>
      <c r="F1942" t="s">
        <v>3</v>
      </c>
      <c r="G1942" t="s">
        <v>161</v>
      </c>
      <c r="H1942" t="s">
        <v>163</v>
      </c>
      <c r="I1942">
        <v>42</v>
      </c>
      <c r="J1942">
        <v>0.69041095890410953</v>
      </c>
      <c r="M1942" t="s">
        <v>670</v>
      </c>
      <c r="N1942" t="s">
        <v>4313</v>
      </c>
      <c r="O1942" t="s">
        <v>4314</v>
      </c>
      <c r="P1942">
        <v>0.7</v>
      </c>
    </row>
    <row r="1943" spans="1:16" x14ac:dyDescent="0.3">
      <c r="A1943" t="s">
        <v>30</v>
      </c>
      <c r="B1943" t="s">
        <v>20</v>
      </c>
      <c r="C1943" t="s">
        <v>21</v>
      </c>
      <c r="D1943" t="s">
        <v>54</v>
      </c>
      <c r="E1943" t="s">
        <v>160</v>
      </c>
      <c r="F1943" t="s">
        <v>3</v>
      </c>
      <c r="G1943" t="s">
        <v>167</v>
      </c>
      <c r="H1943" t="s">
        <v>163</v>
      </c>
      <c r="I1943">
        <v>43</v>
      </c>
      <c r="J1943">
        <v>0.70184696569920846</v>
      </c>
      <c r="M1943" t="s">
        <v>670</v>
      </c>
      <c r="N1943" t="s">
        <v>4315</v>
      </c>
      <c r="O1943" t="s">
        <v>4316</v>
      </c>
      <c r="P1943">
        <v>0.6</v>
      </c>
    </row>
    <row r="1944" spans="1:16" x14ac:dyDescent="0.3">
      <c r="A1944" t="s">
        <v>30</v>
      </c>
      <c r="B1944" t="s">
        <v>20</v>
      </c>
      <c r="C1944" t="s">
        <v>21</v>
      </c>
      <c r="D1944" t="s">
        <v>54</v>
      </c>
      <c r="E1944" t="s">
        <v>160</v>
      </c>
      <c r="F1944" t="s">
        <v>3</v>
      </c>
      <c r="G1944" t="s">
        <v>172</v>
      </c>
      <c r="H1944" t="s">
        <v>163</v>
      </c>
      <c r="I1944">
        <v>44</v>
      </c>
      <c r="J1944">
        <v>0.71505376344086025</v>
      </c>
      <c r="M1944" t="s">
        <v>670</v>
      </c>
      <c r="N1944" t="s">
        <v>4317</v>
      </c>
      <c r="O1944" t="s">
        <v>4318</v>
      </c>
      <c r="P1944">
        <v>1</v>
      </c>
    </row>
    <row r="1945" spans="1:16" x14ac:dyDescent="0.3">
      <c r="A1945" t="s">
        <v>30</v>
      </c>
      <c r="B1945" t="s">
        <v>20</v>
      </c>
      <c r="C1945" t="s">
        <v>21</v>
      </c>
      <c r="D1945" t="s">
        <v>54</v>
      </c>
      <c r="E1945" t="s">
        <v>160</v>
      </c>
      <c r="F1945" t="s">
        <v>3</v>
      </c>
      <c r="G1945" t="s">
        <v>177</v>
      </c>
      <c r="H1945" t="s">
        <v>163</v>
      </c>
      <c r="I1945">
        <v>45</v>
      </c>
      <c r="J1945">
        <v>0.72777777777777786</v>
      </c>
      <c r="M1945" t="s">
        <v>670</v>
      </c>
      <c r="N1945" t="s">
        <v>4319</v>
      </c>
      <c r="O1945" t="s">
        <v>4320</v>
      </c>
      <c r="P1945">
        <v>0.6</v>
      </c>
    </row>
    <row r="1946" spans="1:16" x14ac:dyDescent="0.3">
      <c r="A1946" t="s">
        <v>30</v>
      </c>
      <c r="B1946" t="s">
        <v>20</v>
      </c>
      <c r="C1946" t="s">
        <v>21</v>
      </c>
      <c r="D1946" t="s">
        <v>54</v>
      </c>
      <c r="E1946" t="s">
        <v>160</v>
      </c>
      <c r="F1946" t="s">
        <v>3</v>
      </c>
      <c r="G1946" t="s">
        <v>182</v>
      </c>
      <c r="H1946" t="s">
        <v>163</v>
      </c>
      <c r="I1946">
        <v>46</v>
      </c>
      <c r="J1946">
        <v>0.6937669376693768</v>
      </c>
      <c r="M1946" t="s">
        <v>670</v>
      </c>
      <c r="N1946" t="s">
        <v>4321</v>
      </c>
      <c r="O1946" t="s">
        <v>4322</v>
      </c>
      <c r="P1946">
        <v>0.7</v>
      </c>
    </row>
    <row r="1947" spans="1:16" x14ac:dyDescent="0.3">
      <c r="A1947" t="s">
        <v>30</v>
      </c>
      <c r="B1947" t="s">
        <v>20</v>
      </c>
      <c r="C1947" t="s">
        <v>21</v>
      </c>
      <c r="D1947" t="s">
        <v>54</v>
      </c>
      <c r="E1947" t="s">
        <v>160</v>
      </c>
      <c r="F1947" t="s">
        <v>3</v>
      </c>
      <c r="G1947" t="s">
        <v>187</v>
      </c>
      <c r="H1947" t="s">
        <v>163</v>
      </c>
      <c r="I1947">
        <v>47</v>
      </c>
      <c r="J1947">
        <v>0.69914040114613174</v>
      </c>
      <c r="M1947" t="s">
        <v>670</v>
      </c>
      <c r="N1947" t="s">
        <v>4323</v>
      </c>
      <c r="O1947" t="s">
        <v>4324</v>
      </c>
      <c r="P1947">
        <v>0.6</v>
      </c>
    </row>
    <row r="1948" spans="1:16" x14ac:dyDescent="0.3">
      <c r="A1948" t="s">
        <v>30</v>
      </c>
      <c r="B1948" t="s">
        <v>20</v>
      </c>
      <c r="C1948" t="s">
        <v>21</v>
      </c>
      <c r="D1948" t="s">
        <v>54</v>
      </c>
      <c r="E1948" t="s">
        <v>160</v>
      </c>
      <c r="F1948" t="s">
        <v>3</v>
      </c>
      <c r="G1948" t="s">
        <v>192</v>
      </c>
      <c r="H1948" t="s">
        <v>163</v>
      </c>
      <c r="I1948">
        <v>48</v>
      </c>
      <c r="J1948">
        <v>0.73278236914600559</v>
      </c>
      <c r="M1948" t="s">
        <v>670</v>
      </c>
      <c r="N1948" t="s">
        <v>4325</v>
      </c>
      <c r="O1948" t="s">
        <v>4326</v>
      </c>
      <c r="P1948">
        <v>0.8</v>
      </c>
    </row>
    <row r="1949" spans="1:16" x14ac:dyDescent="0.3">
      <c r="A1949" t="s">
        <v>30</v>
      </c>
      <c r="B1949" t="s">
        <v>20</v>
      </c>
      <c r="C1949" t="s">
        <v>21</v>
      </c>
      <c r="D1949" t="s">
        <v>54</v>
      </c>
      <c r="E1949" t="s">
        <v>160</v>
      </c>
      <c r="F1949" t="s">
        <v>3</v>
      </c>
      <c r="G1949" t="s">
        <v>197</v>
      </c>
      <c r="H1949" t="s">
        <v>163</v>
      </c>
      <c r="I1949">
        <v>49</v>
      </c>
      <c r="J1949">
        <v>0.74712643678160928</v>
      </c>
      <c r="M1949" t="s">
        <v>670</v>
      </c>
      <c r="N1949" t="s">
        <v>4327</v>
      </c>
      <c r="O1949" t="s">
        <v>4328</v>
      </c>
      <c r="P1949">
        <v>0.8</v>
      </c>
    </row>
    <row r="1950" spans="1:16" x14ac:dyDescent="0.3">
      <c r="A1950" t="s">
        <v>30</v>
      </c>
      <c r="B1950" t="s">
        <v>20</v>
      </c>
      <c r="C1950" t="s">
        <v>21</v>
      </c>
      <c r="D1950" t="s">
        <v>54</v>
      </c>
      <c r="E1950" t="s">
        <v>160</v>
      </c>
      <c r="F1950" t="s">
        <v>3</v>
      </c>
      <c r="G1950" t="s">
        <v>202</v>
      </c>
      <c r="H1950" t="s">
        <v>163</v>
      </c>
      <c r="I1950">
        <v>50</v>
      </c>
      <c r="J1950">
        <v>0.74074074074074081</v>
      </c>
      <c r="M1950" t="s">
        <v>670</v>
      </c>
      <c r="N1950" t="s">
        <v>4329</v>
      </c>
      <c r="O1950" t="s">
        <v>4330</v>
      </c>
      <c r="P1950">
        <v>0.6</v>
      </c>
    </row>
    <row r="1951" spans="1:16" x14ac:dyDescent="0.3">
      <c r="A1951" t="s">
        <v>30</v>
      </c>
      <c r="B1951" t="s">
        <v>20</v>
      </c>
      <c r="C1951" t="s">
        <v>21</v>
      </c>
      <c r="D1951" t="s">
        <v>54</v>
      </c>
      <c r="E1951" t="s">
        <v>160</v>
      </c>
      <c r="F1951" t="s">
        <v>3</v>
      </c>
      <c r="G1951" t="s">
        <v>207</v>
      </c>
      <c r="H1951" t="s">
        <v>163</v>
      </c>
      <c r="I1951">
        <v>51</v>
      </c>
      <c r="J1951">
        <v>0.70930232558139539</v>
      </c>
      <c r="M1951" t="s">
        <v>670</v>
      </c>
      <c r="N1951" t="s">
        <v>4331</v>
      </c>
      <c r="O1951" t="s">
        <v>4332</v>
      </c>
      <c r="P1951">
        <v>0.8</v>
      </c>
    </row>
    <row r="1952" spans="1:16" x14ac:dyDescent="0.3">
      <c r="A1952" t="s">
        <v>30</v>
      </c>
      <c r="B1952" t="s">
        <v>20</v>
      </c>
      <c r="C1952" t="s">
        <v>21</v>
      </c>
      <c r="D1952" t="s">
        <v>54</v>
      </c>
      <c r="E1952" t="s">
        <v>160</v>
      </c>
      <c r="F1952" t="s">
        <v>3</v>
      </c>
      <c r="G1952" t="s">
        <v>212</v>
      </c>
      <c r="H1952" t="s">
        <v>163</v>
      </c>
      <c r="I1952">
        <v>52</v>
      </c>
      <c r="J1952">
        <v>0.74336283185840701</v>
      </c>
      <c r="M1952" t="s">
        <v>670</v>
      </c>
      <c r="N1952" t="s">
        <v>4333</v>
      </c>
      <c r="O1952" t="s">
        <v>4334</v>
      </c>
      <c r="P1952">
        <v>0.8</v>
      </c>
    </row>
    <row r="1953" spans="1:16" x14ac:dyDescent="0.3">
      <c r="A1953" t="s">
        <v>30</v>
      </c>
      <c r="B1953" t="s">
        <v>20</v>
      </c>
      <c r="C1953" t="s">
        <v>21</v>
      </c>
      <c r="D1953" t="s">
        <v>54</v>
      </c>
      <c r="E1953" t="s">
        <v>160</v>
      </c>
      <c r="F1953" t="s">
        <v>3</v>
      </c>
      <c r="G1953" t="s">
        <v>217</v>
      </c>
      <c r="H1953" t="s">
        <v>163</v>
      </c>
      <c r="I1953">
        <v>53</v>
      </c>
      <c r="J1953">
        <v>0.72237196765498657</v>
      </c>
      <c r="M1953" t="s">
        <v>670</v>
      </c>
      <c r="N1953" t="s">
        <v>4335</v>
      </c>
      <c r="O1953" t="s">
        <v>4336</v>
      </c>
      <c r="P1953">
        <v>0.6</v>
      </c>
    </row>
    <row r="1954" spans="1:16" x14ac:dyDescent="0.3">
      <c r="A1954" t="s">
        <v>30</v>
      </c>
      <c r="B1954" t="s">
        <v>20</v>
      </c>
      <c r="C1954" t="s">
        <v>21</v>
      </c>
      <c r="D1954" t="s">
        <v>54</v>
      </c>
      <c r="E1954" t="s">
        <v>160</v>
      </c>
      <c r="F1954" t="s">
        <v>3</v>
      </c>
      <c r="G1954" t="s">
        <v>222</v>
      </c>
      <c r="H1954" t="s">
        <v>163</v>
      </c>
      <c r="I1954">
        <v>54</v>
      </c>
      <c r="J1954">
        <v>0.73424657534246585</v>
      </c>
      <c r="M1954" t="s">
        <v>670</v>
      </c>
      <c r="N1954" t="s">
        <v>4337</v>
      </c>
      <c r="O1954" t="s">
        <v>4338</v>
      </c>
      <c r="P1954">
        <v>0.6</v>
      </c>
    </row>
    <row r="1955" spans="1:16" x14ac:dyDescent="0.3">
      <c r="A1955" t="s">
        <v>30</v>
      </c>
      <c r="B1955" t="s">
        <v>20</v>
      </c>
      <c r="C1955" t="s">
        <v>21</v>
      </c>
      <c r="D1955" t="s">
        <v>54</v>
      </c>
      <c r="E1955" t="s">
        <v>160</v>
      </c>
      <c r="F1955" t="s">
        <v>3</v>
      </c>
      <c r="G1955" t="s">
        <v>227</v>
      </c>
      <c r="H1955" t="s">
        <v>163</v>
      </c>
      <c r="I1955">
        <v>55</v>
      </c>
      <c r="J1955">
        <v>0.72022160664819945</v>
      </c>
      <c r="M1955" t="s">
        <v>670</v>
      </c>
      <c r="N1955" t="s">
        <v>4339</v>
      </c>
      <c r="O1955" t="s">
        <v>4340</v>
      </c>
      <c r="P1955">
        <v>0.7</v>
      </c>
    </row>
    <row r="1956" spans="1:16" x14ac:dyDescent="0.3">
      <c r="A1956" t="s">
        <v>30</v>
      </c>
      <c r="B1956" t="s">
        <v>20</v>
      </c>
      <c r="C1956" t="s">
        <v>21</v>
      </c>
      <c r="D1956" t="s">
        <v>54</v>
      </c>
      <c r="E1956" t="s">
        <v>160</v>
      </c>
      <c r="F1956" t="s">
        <v>3</v>
      </c>
      <c r="G1956" t="s">
        <v>232</v>
      </c>
      <c r="H1956" t="s">
        <v>163</v>
      </c>
      <c r="I1956">
        <v>56</v>
      </c>
      <c r="J1956">
        <v>0.74269005847953218</v>
      </c>
      <c r="M1956" t="s">
        <v>670</v>
      </c>
      <c r="N1956" t="s">
        <v>4341</v>
      </c>
      <c r="O1956" t="s">
        <v>4342</v>
      </c>
      <c r="P1956">
        <v>0.6</v>
      </c>
    </row>
    <row r="1957" spans="1:16" x14ac:dyDescent="0.3">
      <c r="A1957" t="s">
        <v>30</v>
      </c>
      <c r="B1957" t="s">
        <v>20</v>
      </c>
      <c r="C1957" t="s">
        <v>21</v>
      </c>
      <c r="D1957" t="s">
        <v>54</v>
      </c>
      <c r="E1957" t="s">
        <v>160</v>
      </c>
      <c r="F1957" t="s">
        <v>3</v>
      </c>
      <c r="G1957" t="s">
        <v>237</v>
      </c>
      <c r="H1957" t="s">
        <v>163</v>
      </c>
      <c r="I1957">
        <v>57</v>
      </c>
      <c r="J1957">
        <v>0.69938650306748462</v>
      </c>
      <c r="M1957" t="s">
        <v>670</v>
      </c>
      <c r="N1957" t="s">
        <v>4343</v>
      </c>
      <c r="O1957" t="s">
        <v>4344</v>
      </c>
      <c r="P1957">
        <v>0.9</v>
      </c>
    </row>
    <row r="1958" spans="1:16" x14ac:dyDescent="0.3">
      <c r="A1958" t="s">
        <v>30</v>
      </c>
      <c r="B1958" t="s">
        <v>20</v>
      </c>
      <c r="C1958" t="s">
        <v>21</v>
      </c>
      <c r="D1958" t="s">
        <v>54</v>
      </c>
      <c r="E1958" t="s">
        <v>160</v>
      </c>
      <c r="F1958" t="s">
        <v>3</v>
      </c>
      <c r="G1958" t="s">
        <v>242</v>
      </c>
      <c r="H1958" t="s">
        <v>163</v>
      </c>
      <c r="I1958">
        <v>58</v>
      </c>
      <c r="J1958">
        <v>0.67204301075268813</v>
      </c>
      <c r="M1958" t="s">
        <v>670</v>
      </c>
      <c r="N1958" t="s">
        <v>4345</v>
      </c>
      <c r="O1958" t="s">
        <v>4346</v>
      </c>
      <c r="P1958">
        <v>1.3</v>
      </c>
    </row>
    <row r="1959" spans="1:16" x14ac:dyDescent="0.3">
      <c r="A1959" t="s">
        <v>30</v>
      </c>
      <c r="B1959" t="s">
        <v>20</v>
      </c>
      <c r="C1959" t="s">
        <v>21</v>
      </c>
      <c r="D1959" t="s">
        <v>54</v>
      </c>
      <c r="E1959" t="s">
        <v>160</v>
      </c>
      <c r="F1959" t="s">
        <v>3</v>
      </c>
      <c r="G1959" t="s">
        <v>247</v>
      </c>
      <c r="H1959" t="s">
        <v>163</v>
      </c>
      <c r="I1959">
        <v>59</v>
      </c>
      <c r="J1959">
        <v>0.74556213017751471</v>
      </c>
      <c r="M1959" t="s">
        <v>670</v>
      </c>
      <c r="N1959" t="s">
        <v>4347</v>
      </c>
      <c r="O1959" t="s">
        <v>4348</v>
      </c>
      <c r="P1959">
        <v>0.7</v>
      </c>
    </row>
    <row r="1960" spans="1:16" x14ac:dyDescent="0.3">
      <c r="A1960" t="s">
        <v>30</v>
      </c>
      <c r="B1960" t="s">
        <v>20</v>
      </c>
      <c r="C1960" t="s">
        <v>21</v>
      </c>
      <c r="D1960" t="s">
        <v>54</v>
      </c>
      <c r="E1960" t="s">
        <v>160</v>
      </c>
      <c r="F1960" t="s">
        <v>3</v>
      </c>
      <c r="G1960" t="s">
        <v>252</v>
      </c>
      <c r="H1960" t="s">
        <v>163</v>
      </c>
      <c r="I1960">
        <v>60</v>
      </c>
      <c r="J1960">
        <v>0.68279569892473113</v>
      </c>
      <c r="M1960" t="s">
        <v>670</v>
      </c>
      <c r="N1960" t="s">
        <v>4349</v>
      </c>
      <c r="O1960" t="s">
        <v>4350</v>
      </c>
      <c r="P1960">
        <v>0.7</v>
      </c>
    </row>
    <row r="1961" spans="1:16" x14ac:dyDescent="0.3">
      <c r="A1961" t="s">
        <v>30</v>
      </c>
      <c r="B1961" t="s">
        <v>20</v>
      </c>
      <c r="C1961" t="s">
        <v>21</v>
      </c>
      <c r="D1961" t="s">
        <v>54</v>
      </c>
      <c r="E1961" t="s">
        <v>160</v>
      </c>
      <c r="F1961" t="s">
        <v>3</v>
      </c>
      <c r="G1961" t="s">
        <v>257</v>
      </c>
      <c r="H1961" t="s">
        <v>163</v>
      </c>
      <c r="I1961">
        <v>61</v>
      </c>
      <c r="J1961">
        <v>0.74857142857142855</v>
      </c>
      <c r="M1961" t="s">
        <v>670</v>
      </c>
      <c r="N1961" t="s">
        <v>4351</v>
      </c>
      <c r="O1961" t="s">
        <v>4352</v>
      </c>
      <c r="P1961">
        <v>0.7</v>
      </c>
    </row>
    <row r="1962" spans="1:16" x14ac:dyDescent="0.3">
      <c r="A1962" t="s">
        <v>30</v>
      </c>
      <c r="B1962" t="s">
        <v>20</v>
      </c>
      <c r="C1962" t="s">
        <v>21</v>
      </c>
      <c r="D1962" t="s">
        <v>54</v>
      </c>
      <c r="E1962" t="s">
        <v>262</v>
      </c>
      <c r="F1962" t="s">
        <v>5</v>
      </c>
      <c r="G1962" t="s">
        <v>263</v>
      </c>
      <c r="H1962" t="s">
        <v>265</v>
      </c>
      <c r="I1962">
        <v>42</v>
      </c>
      <c r="J1962">
        <v>0.69739478957915835</v>
      </c>
      <c r="M1962" t="s">
        <v>670</v>
      </c>
      <c r="N1962" t="s">
        <v>4353</v>
      </c>
      <c r="O1962" t="s">
        <v>4354</v>
      </c>
      <c r="P1962">
        <v>0.7</v>
      </c>
    </row>
    <row r="1963" spans="1:16" x14ac:dyDescent="0.3">
      <c r="A1963" t="s">
        <v>30</v>
      </c>
      <c r="B1963" t="s">
        <v>20</v>
      </c>
      <c r="C1963" t="s">
        <v>21</v>
      </c>
      <c r="D1963" t="s">
        <v>54</v>
      </c>
      <c r="E1963" t="s">
        <v>262</v>
      </c>
      <c r="F1963" t="s">
        <v>5</v>
      </c>
      <c r="G1963" t="s">
        <v>269</v>
      </c>
      <c r="H1963" t="s">
        <v>265</v>
      </c>
      <c r="I1963">
        <v>43</v>
      </c>
      <c r="J1963">
        <v>0.66960352422907488</v>
      </c>
      <c r="M1963" t="s">
        <v>670</v>
      </c>
      <c r="N1963" t="s">
        <v>4355</v>
      </c>
      <c r="O1963" t="s">
        <v>4356</v>
      </c>
      <c r="P1963">
        <v>0.8</v>
      </c>
    </row>
    <row r="1964" spans="1:16" x14ac:dyDescent="0.3">
      <c r="A1964" t="s">
        <v>30</v>
      </c>
      <c r="B1964" t="s">
        <v>20</v>
      </c>
      <c r="C1964" t="s">
        <v>21</v>
      </c>
      <c r="D1964" t="s">
        <v>54</v>
      </c>
      <c r="E1964" t="s">
        <v>262</v>
      </c>
      <c r="F1964" t="s">
        <v>5</v>
      </c>
      <c r="G1964" t="s">
        <v>274</v>
      </c>
      <c r="H1964" t="s">
        <v>265</v>
      </c>
      <c r="I1964">
        <v>44</v>
      </c>
      <c r="J1964">
        <v>0.72197309417040367</v>
      </c>
      <c r="M1964" t="s">
        <v>670</v>
      </c>
      <c r="N1964" t="s">
        <v>4357</v>
      </c>
      <c r="O1964" t="s">
        <v>4358</v>
      </c>
      <c r="P1964">
        <v>0.8</v>
      </c>
    </row>
    <row r="1965" spans="1:16" x14ac:dyDescent="0.3">
      <c r="A1965" t="s">
        <v>30</v>
      </c>
      <c r="B1965" t="s">
        <v>20</v>
      </c>
      <c r="C1965" t="s">
        <v>21</v>
      </c>
      <c r="D1965" t="s">
        <v>54</v>
      </c>
      <c r="E1965" t="s">
        <v>262</v>
      </c>
      <c r="F1965" t="s">
        <v>5</v>
      </c>
      <c r="G1965" t="s">
        <v>279</v>
      </c>
      <c r="H1965" t="s">
        <v>265</v>
      </c>
      <c r="I1965">
        <v>45</v>
      </c>
      <c r="J1965">
        <v>0.78082191780821919</v>
      </c>
      <c r="M1965" t="s">
        <v>670</v>
      </c>
      <c r="N1965" t="s">
        <v>4359</v>
      </c>
      <c r="O1965" t="s">
        <v>4360</v>
      </c>
      <c r="P1965">
        <v>0.6</v>
      </c>
    </row>
    <row r="1966" spans="1:16" x14ac:dyDescent="0.3">
      <c r="A1966" t="s">
        <v>30</v>
      </c>
      <c r="B1966" t="s">
        <v>20</v>
      </c>
      <c r="C1966" t="s">
        <v>21</v>
      </c>
      <c r="D1966" t="s">
        <v>54</v>
      </c>
      <c r="E1966" t="s">
        <v>262</v>
      </c>
      <c r="F1966" t="s">
        <v>5</v>
      </c>
      <c r="G1966" t="s">
        <v>284</v>
      </c>
      <c r="H1966" t="s">
        <v>265</v>
      </c>
      <c r="I1966">
        <v>46</v>
      </c>
      <c r="J1966">
        <v>0.76483516483516489</v>
      </c>
      <c r="M1966" t="s">
        <v>670</v>
      </c>
      <c r="N1966" t="s">
        <v>4361</v>
      </c>
      <c r="O1966" t="s">
        <v>4362</v>
      </c>
      <c r="P1966">
        <v>0.6</v>
      </c>
    </row>
    <row r="1967" spans="1:16" x14ac:dyDescent="0.3">
      <c r="A1967" t="s">
        <v>30</v>
      </c>
      <c r="B1967" t="s">
        <v>20</v>
      </c>
      <c r="C1967" t="s">
        <v>21</v>
      </c>
      <c r="D1967" t="s">
        <v>54</v>
      </c>
      <c r="E1967" t="s">
        <v>262</v>
      </c>
      <c r="F1967" t="s">
        <v>5</v>
      </c>
      <c r="G1967" t="s">
        <v>289</v>
      </c>
      <c r="H1967" t="s">
        <v>265</v>
      </c>
      <c r="I1967">
        <v>47</v>
      </c>
      <c r="J1967">
        <v>0.76169265033407574</v>
      </c>
      <c r="M1967" t="s">
        <v>670</v>
      </c>
      <c r="N1967" t="s">
        <v>4363</v>
      </c>
      <c r="O1967" t="s">
        <v>4364</v>
      </c>
      <c r="P1967">
        <v>0.6</v>
      </c>
    </row>
    <row r="1968" spans="1:16" x14ac:dyDescent="0.3">
      <c r="A1968" t="s">
        <v>30</v>
      </c>
      <c r="B1968" t="s">
        <v>20</v>
      </c>
      <c r="C1968" t="s">
        <v>21</v>
      </c>
      <c r="D1968" t="s">
        <v>54</v>
      </c>
      <c r="E1968" t="s">
        <v>262</v>
      </c>
      <c r="F1968" t="s">
        <v>5</v>
      </c>
      <c r="G1968" t="s">
        <v>294</v>
      </c>
      <c r="H1968" t="s">
        <v>265</v>
      </c>
      <c r="I1968">
        <v>48</v>
      </c>
      <c r="J1968">
        <v>0.68505747126436778</v>
      </c>
      <c r="M1968" t="s">
        <v>670</v>
      </c>
      <c r="N1968" t="s">
        <v>4365</v>
      </c>
      <c r="O1968" t="s">
        <v>4366</v>
      </c>
      <c r="P1968">
        <v>0.6</v>
      </c>
    </row>
    <row r="1969" spans="1:16" x14ac:dyDescent="0.3">
      <c r="A1969" t="s">
        <v>30</v>
      </c>
      <c r="B1969" t="s">
        <v>20</v>
      </c>
      <c r="C1969" t="s">
        <v>21</v>
      </c>
      <c r="D1969" t="s">
        <v>54</v>
      </c>
      <c r="E1969" t="s">
        <v>262</v>
      </c>
      <c r="F1969" t="s">
        <v>5</v>
      </c>
      <c r="G1969" t="s">
        <v>299</v>
      </c>
      <c r="H1969" t="s">
        <v>265</v>
      </c>
      <c r="I1969">
        <v>49</v>
      </c>
      <c r="J1969">
        <v>0.74782608695652164</v>
      </c>
      <c r="M1969" t="s">
        <v>670</v>
      </c>
      <c r="N1969" t="s">
        <v>4367</v>
      </c>
      <c r="O1969" t="s">
        <v>4368</v>
      </c>
      <c r="P1969">
        <v>0.7</v>
      </c>
    </row>
    <row r="1970" spans="1:16" x14ac:dyDescent="0.3">
      <c r="A1970" t="s">
        <v>30</v>
      </c>
      <c r="B1970" t="s">
        <v>20</v>
      </c>
      <c r="C1970" t="s">
        <v>21</v>
      </c>
      <c r="D1970" t="s">
        <v>54</v>
      </c>
      <c r="E1970" t="s">
        <v>262</v>
      </c>
      <c r="F1970" t="s">
        <v>5</v>
      </c>
      <c r="G1970" t="s">
        <v>304</v>
      </c>
      <c r="H1970" t="s">
        <v>265</v>
      </c>
      <c r="I1970">
        <v>50</v>
      </c>
      <c r="J1970">
        <v>0.7544642857142857</v>
      </c>
      <c r="M1970" t="s">
        <v>670</v>
      </c>
      <c r="N1970" t="s">
        <v>4369</v>
      </c>
      <c r="O1970" t="s">
        <v>4370</v>
      </c>
      <c r="P1970">
        <v>0.8</v>
      </c>
    </row>
    <row r="1971" spans="1:16" x14ac:dyDescent="0.3">
      <c r="A1971" t="s">
        <v>30</v>
      </c>
      <c r="B1971" t="s">
        <v>20</v>
      </c>
      <c r="C1971" t="s">
        <v>21</v>
      </c>
      <c r="D1971" t="s">
        <v>54</v>
      </c>
      <c r="E1971" t="s">
        <v>262</v>
      </c>
      <c r="F1971" t="s">
        <v>5</v>
      </c>
      <c r="G1971" t="s">
        <v>309</v>
      </c>
      <c r="H1971" t="s">
        <v>265</v>
      </c>
      <c r="I1971">
        <v>51</v>
      </c>
      <c r="J1971">
        <v>0.75229357798165142</v>
      </c>
      <c r="M1971" t="s">
        <v>670</v>
      </c>
      <c r="N1971" t="s">
        <v>4371</v>
      </c>
      <c r="O1971" t="s">
        <v>4372</v>
      </c>
      <c r="P1971">
        <v>0.8</v>
      </c>
    </row>
    <row r="1972" spans="1:16" x14ac:dyDescent="0.3">
      <c r="A1972" t="s">
        <v>30</v>
      </c>
      <c r="B1972" t="s">
        <v>20</v>
      </c>
      <c r="C1972" t="s">
        <v>21</v>
      </c>
      <c r="D1972" t="s">
        <v>54</v>
      </c>
      <c r="E1972" t="s">
        <v>262</v>
      </c>
      <c r="F1972" t="s">
        <v>5</v>
      </c>
      <c r="G1972" t="s">
        <v>314</v>
      </c>
      <c r="H1972" t="s">
        <v>265</v>
      </c>
      <c r="I1972">
        <v>52</v>
      </c>
      <c r="J1972">
        <v>0.73036093418259018</v>
      </c>
      <c r="M1972" t="s">
        <v>670</v>
      </c>
      <c r="N1972" t="s">
        <v>4373</v>
      </c>
      <c r="O1972" t="s">
        <v>4374</v>
      </c>
      <c r="P1972">
        <v>0.7</v>
      </c>
    </row>
    <row r="1973" spans="1:16" x14ac:dyDescent="0.3">
      <c r="A1973" t="s">
        <v>30</v>
      </c>
      <c r="B1973" t="s">
        <v>20</v>
      </c>
      <c r="C1973" t="s">
        <v>21</v>
      </c>
      <c r="D1973" t="s">
        <v>54</v>
      </c>
      <c r="E1973" t="s">
        <v>262</v>
      </c>
      <c r="F1973" t="s">
        <v>5</v>
      </c>
      <c r="G1973" t="s">
        <v>319</v>
      </c>
      <c r="H1973" t="s">
        <v>265</v>
      </c>
      <c r="I1973">
        <v>53</v>
      </c>
      <c r="J1973">
        <v>0.72921108742004259</v>
      </c>
      <c r="M1973" t="s">
        <v>670</v>
      </c>
      <c r="N1973" t="s">
        <v>4375</v>
      </c>
      <c r="O1973" t="s">
        <v>4376</v>
      </c>
      <c r="P1973">
        <v>0.6</v>
      </c>
    </row>
    <row r="1974" spans="1:16" x14ac:dyDescent="0.3">
      <c r="A1974" t="s">
        <v>30</v>
      </c>
      <c r="B1974" t="s">
        <v>20</v>
      </c>
      <c r="C1974" t="s">
        <v>21</v>
      </c>
      <c r="D1974" t="s">
        <v>54</v>
      </c>
      <c r="E1974" t="s">
        <v>262</v>
      </c>
      <c r="F1974" t="s">
        <v>5</v>
      </c>
      <c r="G1974" t="s">
        <v>324</v>
      </c>
      <c r="H1974" t="s">
        <v>265</v>
      </c>
      <c r="I1974">
        <v>54</v>
      </c>
      <c r="J1974">
        <v>0.70897155361050324</v>
      </c>
      <c r="M1974" t="s">
        <v>670</v>
      </c>
      <c r="N1974" t="s">
        <v>4377</v>
      </c>
      <c r="O1974" t="s">
        <v>4378</v>
      </c>
      <c r="P1974">
        <v>0.8</v>
      </c>
    </row>
    <row r="1975" spans="1:16" x14ac:dyDescent="0.3">
      <c r="A1975" t="s">
        <v>30</v>
      </c>
      <c r="B1975" t="s">
        <v>20</v>
      </c>
      <c r="C1975" t="s">
        <v>21</v>
      </c>
      <c r="D1975" t="s">
        <v>54</v>
      </c>
      <c r="E1975" t="s">
        <v>262</v>
      </c>
      <c r="F1975" t="s">
        <v>5</v>
      </c>
      <c r="G1975" t="s">
        <v>329</v>
      </c>
      <c r="H1975" t="s">
        <v>265</v>
      </c>
      <c r="I1975">
        <v>55</v>
      </c>
      <c r="J1975">
        <v>0.75374732334047101</v>
      </c>
      <c r="M1975" t="s">
        <v>670</v>
      </c>
      <c r="N1975" t="s">
        <v>4379</v>
      </c>
      <c r="O1975" t="s">
        <v>4380</v>
      </c>
      <c r="P1975">
        <v>0.6</v>
      </c>
    </row>
    <row r="1976" spans="1:16" x14ac:dyDescent="0.3">
      <c r="A1976" t="s">
        <v>30</v>
      </c>
      <c r="B1976" t="s">
        <v>20</v>
      </c>
      <c r="C1976" t="s">
        <v>21</v>
      </c>
      <c r="D1976" t="s">
        <v>54</v>
      </c>
      <c r="E1976" t="s">
        <v>262</v>
      </c>
      <c r="F1976" t="s">
        <v>5</v>
      </c>
      <c r="G1976" t="s">
        <v>334</v>
      </c>
      <c r="H1976" t="s">
        <v>265</v>
      </c>
      <c r="I1976">
        <v>56</v>
      </c>
      <c r="J1976">
        <v>0.7394209354120268</v>
      </c>
      <c r="M1976" t="s">
        <v>670</v>
      </c>
      <c r="N1976" t="s">
        <v>4381</v>
      </c>
      <c r="O1976" t="s">
        <v>4382</v>
      </c>
      <c r="P1976">
        <v>0.6</v>
      </c>
    </row>
    <row r="1977" spans="1:16" x14ac:dyDescent="0.3">
      <c r="A1977" t="s">
        <v>30</v>
      </c>
      <c r="B1977" t="s">
        <v>20</v>
      </c>
      <c r="C1977" t="s">
        <v>21</v>
      </c>
      <c r="D1977" t="s">
        <v>54</v>
      </c>
      <c r="E1977" t="s">
        <v>262</v>
      </c>
      <c r="F1977" t="s">
        <v>5</v>
      </c>
      <c r="G1977" t="s">
        <v>339</v>
      </c>
      <c r="H1977" t="s">
        <v>265</v>
      </c>
      <c r="I1977">
        <v>57</v>
      </c>
      <c r="J1977">
        <v>0.70488322717622076</v>
      </c>
      <c r="M1977" t="s">
        <v>670</v>
      </c>
      <c r="N1977" t="s">
        <v>4383</v>
      </c>
      <c r="O1977" t="s">
        <v>4384</v>
      </c>
      <c r="P1977">
        <v>0.6</v>
      </c>
    </row>
    <row r="1978" spans="1:16" x14ac:dyDescent="0.3">
      <c r="A1978" t="s">
        <v>30</v>
      </c>
      <c r="B1978" t="s">
        <v>20</v>
      </c>
      <c r="C1978" t="s">
        <v>21</v>
      </c>
      <c r="D1978" t="s">
        <v>54</v>
      </c>
      <c r="E1978" t="s">
        <v>262</v>
      </c>
      <c r="F1978" t="s">
        <v>5</v>
      </c>
      <c r="G1978" t="s">
        <v>344</v>
      </c>
      <c r="H1978" t="s">
        <v>265</v>
      </c>
      <c r="I1978">
        <v>58</v>
      </c>
      <c r="J1978">
        <v>0.69298245614035081</v>
      </c>
      <c r="M1978" t="s">
        <v>670</v>
      </c>
      <c r="N1978" t="s">
        <v>4385</v>
      </c>
      <c r="O1978" t="s">
        <v>4386</v>
      </c>
      <c r="P1978">
        <v>1.5</v>
      </c>
    </row>
    <row r="1979" spans="1:16" x14ac:dyDescent="0.3">
      <c r="A1979" t="s">
        <v>30</v>
      </c>
      <c r="B1979" t="s">
        <v>20</v>
      </c>
      <c r="C1979" t="s">
        <v>21</v>
      </c>
      <c r="D1979" t="s">
        <v>54</v>
      </c>
      <c r="E1979" t="s">
        <v>262</v>
      </c>
      <c r="F1979" t="s">
        <v>5</v>
      </c>
      <c r="G1979" t="s">
        <v>349</v>
      </c>
      <c r="H1979" t="s">
        <v>265</v>
      </c>
      <c r="I1979">
        <v>59</v>
      </c>
      <c r="J1979">
        <v>0.68965517241379304</v>
      </c>
      <c r="M1979" t="s">
        <v>670</v>
      </c>
      <c r="N1979" t="s">
        <v>4387</v>
      </c>
      <c r="O1979" t="s">
        <v>4388</v>
      </c>
      <c r="P1979">
        <v>0.6</v>
      </c>
    </row>
    <row r="1980" spans="1:16" x14ac:dyDescent="0.3">
      <c r="A1980" t="s">
        <v>30</v>
      </c>
      <c r="B1980" t="s">
        <v>20</v>
      </c>
      <c r="C1980" t="s">
        <v>21</v>
      </c>
      <c r="D1980" t="s">
        <v>54</v>
      </c>
      <c r="E1980" t="s">
        <v>262</v>
      </c>
      <c r="F1980" t="s">
        <v>5</v>
      </c>
      <c r="G1980" t="s">
        <v>354</v>
      </c>
      <c r="H1980" t="s">
        <v>265</v>
      </c>
      <c r="I1980">
        <v>60</v>
      </c>
      <c r="J1980">
        <v>0.7466666666666667</v>
      </c>
      <c r="M1980" t="s">
        <v>670</v>
      </c>
      <c r="N1980" t="s">
        <v>4389</v>
      </c>
      <c r="O1980" t="s">
        <v>4390</v>
      </c>
      <c r="P1980">
        <v>0.7</v>
      </c>
    </row>
    <row r="1981" spans="1:16" x14ac:dyDescent="0.3">
      <c r="A1981" t="s">
        <v>30</v>
      </c>
      <c r="B1981" t="s">
        <v>20</v>
      </c>
      <c r="C1981" t="s">
        <v>21</v>
      </c>
      <c r="D1981" t="s">
        <v>54</v>
      </c>
      <c r="E1981" t="s">
        <v>262</v>
      </c>
      <c r="F1981" t="s">
        <v>5</v>
      </c>
      <c r="G1981" t="s">
        <v>359</v>
      </c>
      <c r="H1981" t="s">
        <v>265</v>
      </c>
      <c r="I1981">
        <v>61</v>
      </c>
      <c r="J1981">
        <v>0.73127753303964771</v>
      </c>
      <c r="M1981" t="s">
        <v>670</v>
      </c>
      <c r="N1981" t="s">
        <v>4391</v>
      </c>
      <c r="O1981" t="s">
        <v>4392</v>
      </c>
      <c r="P1981">
        <v>0.9</v>
      </c>
    </row>
    <row r="1982" spans="1:16" x14ac:dyDescent="0.3">
      <c r="A1982" t="s">
        <v>30</v>
      </c>
      <c r="B1982" t="s">
        <v>20</v>
      </c>
      <c r="C1982" t="s">
        <v>21</v>
      </c>
      <c r="D1982" t="s">
        <v>363</v>
      </c>
      <c r="E1982" t="s">
        <v>365</v>
      </c>
      <c r="F1982" t="s">
        <v>13</v>
      </c>
      <c r="G1982" t="s">
        <v>366</v>
      </c>
      <c r="H1982" t="s">
        <v>368</v>
      </c>
      <c r="I1982">
        <v>42</v>
      </c>
      <c r="J1982">
        <v>0.79405520169851374</v>
      </c>
      <c r="M1982" t="s">
        <v>670</v>
      </c>
      <c r="N1982" t="s">
        <v>4393</v>
      </c>
      <c r="O1982" t="s">
        <v>4394</v>
      </c>
      <c r="P1982">
        <v>0.9</v>
      </c>
    </row>
    <row r="1983" spans="1:16" x14ac:dyDescent="0.3">
      <c r="A1983" t="s">
        <v>30</v>
      </c>
      <c r="B1983" t="s">
        <v>20</v>
      </c>
      <c r="C1983" t="s">
        <v>21</v>
      </c>
      <c r="D1983" t="s">
        <v>363</v>
      </c>
      <c r="E1983" t="s">
        <v>365</v>
      </c>
      <c r="F1983" t="s">
        <v>13</v>
      </c>
      <c r="G1983" t="s">
        <v>372</v>
      </c>
      <c r="H1983" t="s">
        <v>368</v>
      </c>
      <c r="I1983">
        <v>43</v>
      </c>
      <c r="J1983">
        <v>0.80842105263157893</v>
      </c>
      <c r="M1983" t="s">
        <v>670</v>
      </c>
      <c r="N1983" t="s">
        <v>4395</v>
      </c>
      <c r="O1983" t="s">
        <v>4396</v>
      </c>
      <c r="P1983">
        <v>0.6</v>
      </c>
    </row>
    <row r="1984" spans="1:16" x14ac:dyDescent="0.3">
      <c r="A1984" t="s">
        <v>30</v>
      </c>
      <c r="B1984" t="s">
        <v>20</v>
      </c>
      <c r="C1984" t="s">
        <v>21</v>
      </c>
      <c r="D1984" t="s">
        <v>363</v>
      </c>
      <c r="E1984" t="s">
        <v>365</v>
      </c>
      <c r="F1984" t="s">
        <v>13</v>
      </c>
      <c r="G1984" t="s">
        <v>377</v>
      </c>
      <c r="H1984" t="s">
        <v>368</v>
      </c>
      <c r="I1984">
        <v>44</v>
      </c>
      <c r="J1984">
        <v>0.78556263269639071</v>
      </c>
      <c r="M1984" t="s">
        <v>670</v>
      </c>
      <c r="N1984" t="s">
        <v>4397</v>
      </c>
      <c r="O1984" t="s">
        <v>4398</v>
      </c>
      <c r="P1984">
        <v>0.6</v>
      </c>
    </row>
    <row r="1985" spans="1:16" x14ac:dyDescent="0.3">
      <c r="A1985" t="s">
        <v>30</v>
      </c>
      <c r="B1985" t="s">
        <v>20</v>
      </c>
      <c r="C1985" t="s">
        <v>21</v>
      </c>
      <c r="D1985" t="s">
        <v>363</v>
      </c>
      <c r="E1985" t="s">
        <v>365</v>
      </c>
      <c r="F1985" t="s">
        <v>13</v>
      </c>
      <c r="G1985" t="s">
        <v>382</v>
      </c>
      <c r="H1985" t="s">
        <v>368</v>
      </c>
      <c r="I1985">
        <v>45</v>
      </c>
      <c r="J1985">
        <v>0.77894736842105261</v>
      </c>
      <c r="M1985" t="s">
        <v>670</v>
      </c>
      <c r="N1985" t="s">
        <v>4399</v>
      </c>
      <c r="O1985" t="s">
        <v>4400</v>
      </c>
      <c r="P1985">
        <v>0.6</v>
      </c>
    </row>
    <row r="1986" spans="1:16" x14ac:dyDescent="0.3">
      <c r="A1986" t="s">
        <v>30</v>
      </c>
      <c r="B1986" t="s">
        <v>20</v>
      </c>
      <c r="C1986" t="s">
        <v>21</v>
      </c>
      <c r="D1986" t="s">
        <v>363</v>
      </c>
      <c r="E1986" t="s">
        <v>365</v>
      </c>
      <c r="F1986" t="s">
        <v>13</v>
      </c>
      <c r="G1986" t="s">
        <v>387</v>
      </c>
      <c r="H1986" t="s">
        <v>368</v>
      </c>
      <c r="I1986">
        <v>46</v>
      </c>
      <c r="J1986">
        <v>0.78170478170478164</v>
      </c>
      <c r="M1986" t="s">
        <v>670</v>
      </c>
      <c r="N1986" t="s">
        <v>4401</v>
      </c>
      <c r="O1986" t="s">
        <v>4402</v>
      </c>
      <c r="P1986">
        <v>2</v>
      </c>
    </row>
    <row r="1987" spans="1:16" x14ac:dyDescent="0.3">
      <c r="A1987" t="s">
        <v>30</v>
      </c>
      <c r="B1987" t="s">
        <v>20</v>
      </c>
      <c r="C1987" t="s">
        <v>21</v>
      </c>
      <c r="D1987" t="s">
        <v>363</v>
      </c>
      <c r="E1987" t="s">
        <v>365</v>
      </c>
      <c r="F1987" t="s">
        <v>13</v>
      </c>
      <c r="G1987" t="s">
        <v>392</v>
      </c>
      <c r="H1987" t="s">
        <v>368</v>
      </c>
      <c r="I1987">
        <v>47</v>
      </c>
      <c r="J1987">
        <v>0.78059071729957807</v>
      </c>
      <c r="M1987" t="s">
        <v>670</v>
      </c>
      <c r="N1987" t="s">
        <v>4403</v>
      </c>
      <c r="O1987" t="s">
        <v>4404</v>
      </c>
      <c r="P1987">
        <v>0.6</v>
      </c>
    </row>
    <row r="1988" spans="1:16" x14ac:dyDescent="0.3">
      <c r="A1988" t="s">
        <v>30</v>
      </c>
      <c r="B1988" t="s">
        <v>20</v>
      </c>
      <c r="C1988" t="s">
        <v>21</v>
      </c>
      <c r="D1988" t="s">
        <v>363</v>
      </c>
      <c r="E1988" t="s">
        <v>365</v>
      </c>
      <c r="F1988" t="s">
        <v>13</v>
      </c>
      <c r="G1988" t="s">
        <v>397</v>
      </c>
      <c r="H1988" t="s">
        <v>368</v>
      </c>
      <c r="I1988">
        <v>48</v>
      </c>
      <c r="J1988">
        <v>0.77916666666666667</v>
      </c>
      <c r="M1988" t="s">
        <v>670</v>
      </c>
      <c r="N1988" t="s">
        <v>4405</v>
      </c>
      <c r="O1988" t="s">
        <v>4406</v>
      </c>
      <c r="P1988">
        <v>0.6</v>
      </c>
    </row>
    <row r="1989" spans="1:16" x14ac:dyDescent="0.3">
      <c r="A1989" t="s">
        <v>30</v>
      </c>
      <c r="B1989" t="s">
        <v>20</v>
      </c>
      <c r="C1989" t="s">
        <v>21</v>
      </c>
      <c r="D1989" t="s">
        <v>363</v>
      </c>
      <c r="E1989" t="s">
        <v>365</v>
      </c>
      <c r="F1989" t="s">
        <v>13</v>
      </c>
      <c r="G1989" t="s">
        <v>402</v>
      </c>
      <c r="H1989" t="s">
        <v>368</v>
      </c>
      <c r="I1989">
        <v>49</v>
      </c>
      <c r="J1989">
        <v>0.77966101694915246</v>
      </c>
      <c r="M1989" t="s">
        <v>670</v>
      </c>
      <c r="N1989" t="s">
        <v>4407</v>
      </c>
      <c r="O1989" t="s">
        <v>4408</v>
      </c>
      <c r="P1989">
        <v>0.7</v>
      </c>
    </row>
    <row r="1990" spans="1:16" x14ac:dyDescent="0.3">
      <c r="A1990" t="s">
        <v>30</v>
      </c>
      <c r="B1990" t="s">
        <v>20</v>
      </c>
      <c r="C1990" t="s">
        <v>21</v>
      </c>
      <c r="D1990" t="s">
        <v>363</v>
      </c>
      <c r="E1990" t="s">
        <v>365</v>
      </c>
      <c r="F1990" t="s">
        <v>13</v>
      </c>
      <c r="G1990" t="s">
        <v>407</v>
      </c>
      <c r="H1990" t="s">
        <v>368</v>
      </c>
      <c r="I1990">
        <v>50</v>
      </c>
      <c r="J1990">
        <v>0.7610993657505285</v>
      </c>
      <c r="M1990" t="s">
        <v>670</v>
      </c>
      <c r="N1990" t="s">
        <v>4409</v>
      </c>
      <c r="O1990" t="s">
        <v>4410</v>
      </c>
      <c r="P1990">
        <v>0.6</v>
      </c>
    </row>
    <row r="1991" spans="1:16" x14ac:dyDescent="0.3">
      <c r="A1991" t="s">
        <v>30</v>
      </c>
      <c r="B1991" t="s">
        <v>20</v>
      </c>
      <c r="C1991" t="s">
        <v>21</v>
      </c>
      <c r="D1991" t="s">
        <v>363</v>
      </c>
      <c r="E1991" t="s">
        <v>365</v>
      </c>
      <c r="F1991" t="s">
        <v>13</v>
      </c>
      <c r="G1991" t="s">
        <v>412</v>
      </c>
      <c r="H1991" t="s">
        <v>368</v>
      </c>
      <c r="I1991">
        <v>51</v>
      </c>
      <c r="J1991">
        <v>0.7763713080168777</v>
      </c>
      <c r="M1991" t="s">
        <v>670</v>
      </c>
      <c r="N1991" t="s">
        <v>4411</v>
      </c>
      <c r="O1991" t="s">
        <v>4412</v>
      </c>
      <c r="P1991">
        <v>0.7</v>
      </c>
    </row>
    <row r="1992" spans="1:16" x14ac:dyDescent="0.3">
      <c r="A1992" t="s">
        <v>30</v>
      </c>
      <c r="B1992" t="s">
        <v>20</v>
      </c>
      <c r="C1992" t="s">
        <v>21</v>
      </c>
      <c r="D1992" t="s">
        <v>363</v>
      </c>
      <c r="E1992" t="s">
        <v>365</v>
      </c>
      <c r="F1992" t="s">
        <v>13</v>
      </c>
      <c r="G1992" t="s">
        <v>417</v>
      </c>
      <c r="H1992" t="s">
        <v>368</v>
      </c>
      <c r="I1992">
        <v>52</v>
      </c>
      <c r="J1992">
        <v>0.7610993657505285</v>
      </c>
      <c r="M1992" t="s">
        <v>670</v>
      </c>
      <c r="N1992" t="s">
        <v>4413</v>
      </c>
      <c r="O1992" t="s">
        <v>4414</v>
      </c>
      <c r="P1992">
        <v>1.6</v>
      </c>
    </row>
    <row r="1993" spans="1:16" x14ac:dyDescent="0.3">
      <c r="A1993" t="s">
        <v>30</v>
      </c>
      <c r="B1993" t="s">
        <v>20</v>
      </c>
      <c r="C1993" t="s">
        <v>21</v>
      </c>
      <c r="D1993" t="s">
        <v>363</v>
      </c>
      <c r="E1993" t="s">
        <v>365</v>
      </c>
      <c r="F1993" t="s">
        <v>13</v>
      </c>
      <c r="G1993" t="s">
        <v>422</v>
      </c>
      <c r="H1993" t="s">
        <v>368</v>
      </c>
      <c r="I1993">
        <v>53</v>
      </c>
      <c r="J1993">
        <v>0.76170212765957457</v>
      </c>
      <c r="M1993" t="s">
        <v>670</v>
      </c>
      <c r="N1993" t="s">
        <v>4415</v>
      </c>
      <c r="O1993" t="s">
        <v>4416</v>
      </c>
      <c r="P1993">
        <v>0.7</v>
      </c>
    </row>
    <row r="1994" spans="1:16" x14ac:dyDescent="0.3">
      <c r="A1994" t="s">
        <v>30</v>
      </c>
      <c r="B1994" t="s">
        <v>20</v>
      </c>
      <c r="C1994" t="s">
        <v>21</v>
      </c>
      <c r="D1994" t="s">
        <v>363</v>
      </c>
      <c r="E1994" t="s">
        <v>365</v>
      </c>
      <c r="F1994" t="s">
        <v>13</v>
      </c>
      <c r="G1994" t="s">
        <v>427</v>
      </c>
      <c r="H1994" t="s">
        <v>368</v>
      </c>
      <c r="I1994">
        <v>54</v>
      </c>
      <c r="J1994">
        <v>0.79587628865979365</v>
      </c>
      <c r="M1994" t="s">
        <v>670</v>
      </c>
      <c r="N1994" t="s">
        <v>4417</v>
      </c>
      <c r="O1994" t="s">
        <v>4418</v>
      </c>
      <c r="P1994">
        <v>0.6</v>
      </c>
    </row>
    <row r="1995" spans="1:16" x14ac:dyDescent="0.3">
      <c r="A1995" t="s">
        <v>30</v>
      </c>
      <c r="B1995" t="s">
        <v>20</v>
      </c>
      <c r="C1995" t="s">
        <v>21</v>
      </c>
      <c r="D1995" t="s">
        <v>363</v>
      </c>
      <c r="E1995" t="s">
        <v>365</v>
      </c>
      <c r="F1995" t="s">
        <v>13</v>
      </c>
      <c r="G1995" t="s">
        <v>432</v>
      </c>
      <c r="H1995" t="s">
        <v>368</v>
      </c>
      <c r="I1995">
        <v>55</v>
      </c>
      <c r="J1995">
        <v>0.78736842105263172</v>
      </c>
      <c r="M1995" t="s">
        <v>670</v>
      </c>
      <c r="N1995" t="s">
        <v>4419</v>
      </c>
      <c r="O1995" t="s">
        <v>4420</v>
      </c>
      <c r="P1995">
        <v>0.6</v>
      </c>
    </row>
    <row r="1996" spans="1:16" x14ac:dyDescent="0.3">
      <c r="A1996" t="s">
        <v>30</v>
      </c>
      <c r="B1996" t="s">
        <v>20</v>
      </c>
      <c r="C1996" t="s">
        <v>21</v>
      </c>
      <c r="D1996" t="s">
        <v>363</v>
      </c>
      <c r="E1996" t="s">
        <v>365</v>
      </c>
      <c r="F1996" t="s">
        <v>13</v>
      </c>
      <c r="G1996" t="s">
        <v>437</v>
      </c>
      <c r="H1996" t="s">
        <v>368</v>
      </c>
      <c r="I1996">
        <v>56</v>
      </c>
      <c r="J1996">
        <v>0.7656903765690376</v>
      </c>
      <c r="M1996" t="s">
        <v>670</v>
      </c>
      <c r="N1996" t="s">
        <v>4421</v>
      </c>
      <c r="O1996" t="s">
        <v>4422</v>
      </c>
      <c r="P1996">
        <v>0.6</v>
      </c>
    </row>
    <row r="1997" spans="1:16" x14ac:dyDescent="0.3">
      <c r="A1997" t="s">
        <v>30</v>
      </c>
      <c r="B1997" t="s">
        <v>20</v>
      </c>
      <c r="C1997" t="s">
        <v>21</v>
      </c>
      <c r="D1997" t="s">
        <v>363</v>
      </c>
      <c r="E1997" t="s">
        <v>365</v>
      </c>
      <c r="F1997" t="s">
        <v>13</v>
      </c>
      <c r="G1997" t="s">
        <v>442</v>
      </c>
      <c r="H1997" t="s">
        <v>368</v>
      </c>
      <c r="I1997">
        <v>57</v>
      </c>
      <c r="J1997">
        <v>0.78205128205128216</v>
      </c>
      <c r="M1997" t="s">
        <v>670</v>
      </c>
      <c r="N1997" t="s">
        <v>4423</v>
      </c>
      <c r="O1997" t="s">
        <v>4424</v>
      </c>
      <c r="P1997">
        <v>0.9</v>
      </c>
    </row>
    <row r="1998" spans="1:16" x14ac:dyDescent="0.3">
      <c r="A1998" t="s">
        <v>30</v>
      </c>
      <c r="B1998" t="s">
        <v>20</v>
      </c>
      <c r="C1998" t="s">
        <v>21</v>
      </c>
      <c r="D1998" t="s">
        <v>363</v>
      </c>
      <c r="E1998" t="s">
        <v>365</v>
      </c>
      <c r="F1998" t="s">
        <v>13</v>
      </c>
      <c r="G1998" t="s">
        <v>447</v>
      </c>
      <c r="H1998" t="s">
        <v>368</v>
      </c>
      <c r="I1998">
        <v>58</v>
      </c>
      <c r="J1998">
        <v>0.77178423236514515</v>
      </c>
      <c r="M1998" t="s">
        <v>670</v>
      </c>
      <c r="N1998" t="s">
        <v>4425</v>
      </c>
      <c r="O1998" t="s">
        <v>4426</v>
      </c>
      <c r="P1998">
        <v>0.6</v>
      </c>
    </row>
    <row r="1999" spans="1:16" x14ac:dyDescent="0.3">
      <c r="A1999" t="s">
        <v>30</v>
      </c>
      <c r="B1999" t="s">
        <v>20</v>
      </c>
      <c r="C1999" t="s">
        <v>21</v>
      </c>
      <c r="D1999" t="s">
        <v>363</v>
      </c>
      <c r="E1999" t="s">
        <v>365</v>
      </c>
      <c r="F1999" t="s">
        <v>13</v>
      </c>
      <c r="G1999" t="s">
        <v>452</v>
      </c>
      <c r="H1999" t="s">
        <v>368</v>
      </c>
      <c r="I1999">
        <v>59</v>
      </c>
      <c r="J1999">
        <v>0.78111587982832609</v>
      </c>
      <c r="M1999" t="s">
        <v>670</v>
      </c>
      <c r="N1999" t="s">
        <v>4427</v>
      </c>
      <c r="O1999" t="s">
        <v>4428</v>
      </c>
      <c r="P1999">
        <v>0.8</v>
      </c>
    </row>
    <row r="2000" spans="1:16" x14ac:dyDescent="0.3">
      <c r="A2000" t="s">
        <v>30</v>
      </c>
      <c r="B2000" t="s">
        <v>20</v>
      </c>
      <c r="C2000" t="s">
        <v>21</v>
      </c>
      <c r="D2000" t="s">
        <v>363</v>
      </c>
      <c r="E2000" t="s">
        <v>365</v>
      </c>
      <c r="F2000" t="s">
        <v>13</v>
      </c>
      <c r="G2000" t="s">
        <v>457</v>
      </c>
      <c r="H2000" t="s">
        <v>368</v>
      </c>
      <c r="I2000">
        <v>60</v>
      </c>
      <c r="J2000">
        <v>0.77473684210526306</v>
      </c>
      <c r="M2000" t="s">
        <v>670</v>
      </c>
      <c r="N2000" t="s">
        <v>4429</v>
      </c>
      <c r="O2000" t="s">
        <v>4430</v>
      </c>
      <c r="P2000">
        <v>0.6</v>
      </c>
    </row>
    <row r="2001" spans="1:16" x14ac:dyDescent="0.3">
      <c r="A2001" t="s">
        <v>30</v>
      </c>
      <c r="B2001" t="s">
        <v>20</v>
      </c>
      <c r="C2001" t="s">
        <v>21</v>
      </c>
      <c r="D2001" t="s">
        <v>363</v>
      </c>
      <c r="E2001" t="s">
        <v>365</v>
      </c>
      <c r="F2001" t="s">
        <v>13</v>
      </c>
      <c r="G2001" t="s">
        <v>462</v>
      </c>
      <c r="H2001" t="s">
        <v>368</v>
      </c>
      <c r="I2001">
        <v>61</v>
      </c>
      <c r="J2001">
        <v>0.79002079002079006</v>
      </c>
      <c r="M2001" t="s">
        <v>670</v>
      </c>
      <c r="N2001" t="s">
        <v>4431</v>
      </c>
      <c r="O2001" t="s">
        <v>4432</v>
      </c>
      <c r="P2001">
        <v>0.6</v>
      </c>
    </row>
    <row r="2002" spans="1:16" x14ac:dyDescent="0.3">
      <c r="A2002" t="s">
        <v>30</v>
      </c>
      <c r="B2002" t="s">
        <v>20</v>
      </c>
      <c r="C2002" t="s">
        <v>21</v>
      </c>
      <c r="D2002" t="s">
        <v>363</v>
      </c>
      <c r="E2002" t="s">
        <v>467</v>
      </c>
      <c r="F2002" t="s">
        <v>9</v>
      </c>
      <c r="G2002" t="s">
        <v>468</v>
      </c>
      <c r="H2002" t="s">
        <v>470</v>
      </c>
      <c r="I2002">
        <v>42</v>
      </c>
      <c r="J2002">
        <v>0.8</v>
      </c>
      <c r="M2002" t="s">
        <v>670</v>
      </c>
      <c r="N2002" t="s">
        <v>4433</v>
      </c>
      <c r="O2002" t="s">
        <v>4434</v>
      </c>
      <c r="P2002">
        <v>0.6</v>
      </c>
    </row>
    <row r="2003" spans="1:16" x14ac:dyDescent="0.3">
      <c r="A2003" t="s">
        <v>30</v>
      </c>
      <c r="B2003" t="s">
        <v>20</v>
      </c>
      <c r="C2003" t="s">
        <v>21</v>
      </c>
      <c r="D2003" t="s">
        <v>363</v>
      </c>
      <c r="E2003" t="s">
        <v>467</v>
      </c>
      <c r="F2003" t="s">
        <v>9</v>
      </c>
      <c r="G2003" t="s">
        <v>474</v>
      </c>
      <c r="H2003" t="s">
        <v>470</v>
      </c>
      <c r="I2003">
        <v>43</v>
      </c>
      <c r="J2003">
        <v>0.8</v>
      </c>
      <c r="M2003" t="s">
        <v>670</v>
      </c>
      <c r="N2003" t="s">
        <v>4435</v>
      </c>
      <c r="O2003" t="s">
        <v>4436</v>
      </c>
      <c r="P2003">
        <v>0.7</v>
      </c>
    </row>
    <row r="2004" spans="1:16" x14ac:dyDescent="0.3">
      <c r="A2004" t="s">
        <v>30</v>
      </c>
      <c r="B2004" t="s">
        <v>20</v>
      </c>
      <c r="C2004" t="s">
        <v>21</v>
      </c>
      <c r="D2004" t="s">
        <v>363</v>
      </c>
      <c r="E2004" t="s">
        <v>467</v>
      </c>
      <c r="F2004" t="s">
        <v>9</v>
      </c>
      <c r="G2004" t="s">
        <v>479</v>
      </c>
      <c r="H2004" t="s">
        <v>470</v>
      </c>
      <c r="I2004">
        <v>44</v>
      </c>
      <c r="J2004">
        <v>0.79420289855072468</v>
      </c>
      <c r="M2004" t="s">
        <v>670</v>
      </c>
      <c r="N2004" t="s">
        <v>4437</v>
      </c>
      <c r="O2004" t="s">
        <v>4438</v>
      </c>
      <c r="P2004">
        <v>0.7</v>
      </c>
    </row>
    <row r="2005" spans="1:16" x14ac:dyDescent="0.3">
      <c r="A2005" t="s">
        <v>30</v>
      </c>
      <c r="B2005" t="s">
        <v>20</v>
      </c>
      <c r="C2005" t="s">
        <v>21</v>
      </c>
      <c r="D2005" t="s">
        <v>363</v>
      </c>
      <c r="E2005" t="s">
        <v>467</v>
      </c>
      <c r="F2005" t="s">
        <v>9</v>
      </c>
      <c r="G2005" t="s">
        <v>484</v>
      </c>
      <c r="H2005" t="s">
        <v>470</v>
      </c>
      <c r="I2005">
        <v>45</v>
      </c>
      <c r="J2005">
        <v>0.81395348837209314</v>
      </c>
      <c r="M2005" t="s">
        <v>670</v>
      </c>
      <c r="N2005" t="s">
        <v>4439</v>
      </c>
      <c r="O2005" t="s">
        <v>4440</v>
      </c>
      <c r="P2005">
        <v>0.6</v>
      </c>
    </row>
    <row r="2006" spans="1:16" x14ac:dyDescent="0.3">
      <c r="A2006" t="s">
        <v>30</v>
      </c>
      <c r="B2006" t="s">
        <v>20</v>
      </c>
      <c r="C2006" t="s">
        <v>21</v>
      </c>
      <c r="D2006" t="s">
        <v>363</v>
      </c>
      <c r="E2006" t="s">
        <v>467</v>
      </c>
      <c r="F2006" t="s">
        <v>9</v>
      </c>
      <c r="G2006" t="s">
        <v>489</v>
      </c>
      <c r="H2006" t="s">
        <v>470</v>
      </c>
      <c r="I2006">
        <v>46</v>
      </c>
      <c r="J2006">
        <v>0.80466472303206993</v>
      </c>
      <c r="M2006" t="s">
        <v>670</v>
      </c>
      <c r="N2006" t="s">
        <v>4441</v>
      </c>
      <c r="O2006" t="s">
        <v>4442</v>
      </c>
      <c r="P2006">
        <v>0.6</v>
      </c>
    </row>
    <row r="2007" spans="1:16" x14ac:dyDescent="0.3">
      <c r="A2007" t="s">
        <v>30</v>
      </c>
      <c r="B2007" t="s">
        <v>20</v>
      </c>
      <c r="C2007" t="s">
        <v>21</v>
      </c>
      <c r="D2007" t="s">
        <v>363</v>
      </c>
      <c r="E2007" t="s">
        <v>467</v>
      </c>
      <c r="F2007" t="s">
        <v>9</v>
      </c>
      <c r="G2007" t="s">
        <v>494</v>
      </c>
      <c r="H2007" t="s">
        <v>470</v>
      </c>
      <c r="I2007">
        <v>47</v>
      </c>
      <c r="J2007">
        <v>0.79656160458452729</v>
      </c>
      <c r="M2007" t="s">
        <v>670</v>
      </c>
      <c r="N2007" t="s">
        <v>4443</v>
      </c>
      <c r="O2007" t="s">
        <v>4444</v>
      </c>
      <c r="P2007">
        <v>0.7</v>
      </c>
    </row>
    <row r="2008" spans="1:16" x14ac:dyDescent="0.3">
      <c r="A2008" t="s">
        <v>30</v>
      </c>
      <c r="B2008" t="s">
        <v>20</v>
      </c>
      <c r="C2008" t="s">
        <v>21</v>
      </c>
      <c r="D2008" t="s">
        <v>363</v>
      </c>
      <c r="E2008" t="s">
        <v>467</v>
      </c>
      <c r="F2008" t="s">
        <v>9</v>
      </c>
      <c r="G2008" t="s">
        <v>499</v>
      </c>
      <c r="H2008" t="s">
        <v>470</v>
      </c>
      <c r="I2008">
        <v>48</v>
      </c>
      <c r="J2008">
        <v>0.78962536023054752</v>
      </c>
      <c r="M2008" t="s">
        <v>670</v>
      </c>
      <c r="N2008" t="s">
        <v>4445</v>
      </c>
      <c r="O2008" t="s">
        <v>4446</v>
      </c>
      <c r="P2008">
        <v>0.6</v>
      </c>
    </row>
    <row r="2009" spans="1:16" x14ac:dyDescent="0.3">
      <c r="A2009" t="s">
        <v>30</v>
      </c>
      <c r="B2009" t="s">
        <v>20</v>
      </c>
      <c r="C2009" t="s">
        <v>21</v>
      </c>
      <c r="D2009" t="s">
        <v>363</v>
      </c>
      <c r="E2009" t="s">
        <v>467</v>
      </c>
      <c r="F2009" t="s">
        <v>9</v>
      </c>
      <c r="G2009" t="s">
        <v>504</v>
      </c>
      <c r="H2009" t="s">
        <v>470</v>
      </c>
      <c r="I2009">
        <v>49</v>
      </c>
      <c r="J2009">
        <v>0.80113636363636365</v>
      </c>
      <c r="M2009" t="s">
        <v>670</v>
      </c>
      <c r="N2009" t="s">
        <v>4447</v>
      </c>
      <c r="O2009" t="s">
        <v>4448</v>
      </c>
      <c r="P2009">
        <v>0.6</v>
      </c>
    </row>
    <row r="2010" spans="1:16" x14ac:dyDescent="0.3">
      <c r="A2010" t="s">
        <v>30</v>
      </c>
      <c r="B2010" t="s">
        <v>20</v>
      </c>
      <c r="C2010" t="s">
        <v>21</v>
      </c>
      <c r="D2010" t="s">
        <v>363</v>
      </c>
      <c r="E2010" t="s">
        <v>467</v>
      </c>
      <c r="F2010" t="s">
        <v>9</v>
      </c>
      <c r="G2010" t="s">
        <v>509</v>
      </c>
      <c r="H2010" t="s">
        <v>470</v>
      </c>
      <c r="I2010">
        <v>50</v>
      </c>
      <c r="J2010">
        <v>0.78857142857142848</v>
      </c>
      <c r="M2010" t="s">
        <v>670</v>
      </c>
      <c r="N2010" t="s">
        <v>4449</v>
      </c>
      <c r="O2010" t="s">
        <v>4450</v>
      </c>
      <c r="P2010">
        <v>0.6</v>
      </c>
    </row>
    <row r="2011" spans="1:16" x14ac:dyDescent="0.3">
      <c r="A2011" t="s">
        <v>30</v>
      </c>
      <c r="B2011" t="s">
        <v>20</v>
      </c>
      <c r="C2011" t="s">
        <v>21</v>
      </c>
      <c r="D2011" t="s">
        <v>363</v>
      </c>
      <c r="E2011" t="s">
        <v>467</v>
      </c>
      <c r="F2011" t="s">
        <v>9</v>
      </c>
      <c r="G2011" t="s">
        <v>514</v>
      </c>
      <c r="H2011" t="s">
        <v>470</v>
      </c>
      <c r="I2011">
        <v>51</v>
      </c>
      <c r="J2011">
        <v>0.78840579710144931</v>
      </c>
      <c r="M2011" t="s">
        <v>670</v>
      </c>
      <c r="N2011" t="s">
        <v>4451</v>
      </c>
      <c r="O2011" t="s">
        <v>4452</v>
      </c>
      <c r="P2011">
        <v>0.6</v>
      </c>
    </row>
    <row r="2012" spans="1:16" x14ac:dyDescent="0.3">
      <c r="A2012" t="s">
        <v>30</v>
      </c>
      <c r="B2012" t="s">
        <v>20</v>
      </c>
      <c r="C2012" t="s">
        <v>21</v>
      </c>
      <c r="D2012" t="s">
        <v>363</v>
      </c>
      <c r="E2012" t="s">
        <v>467</v>
      </c>
      <c r="F2012" t="s">
        <v>9</v>
      </c>
      <c r="G2012" t="s">
        <v>519</v>
      </c>
      <c r="H2012" t="s">
        <v>470</v>
      </c>
      <c r="I2012">
        <v>52</v>
      </c>
      <c r="J2012">
        <v>0.82595870206489674</v>
      </c>
      <c r="M2012" t="s">
        <v>670</v>
      </c>
      <c r="N2012" t="s">
        <v>4453</v>
      </c>
      <c r="O2012" t="s">
        <v>4454</v>
      </c>
      <c r="P2012">
        <v>0.7</v>
      </c>
    </row>
    <row r="2013" spans="1:16" x14ac:dyDescent="0.3">
      <c r="A2013" t="s">
        <v>30</v>
      </c>
      <c r="B2013" t="s">
        <v>20</v>
      </c>
      <c r="C2013" t="s">
        <v>21</v>
      </c>
      <c r="D2013" t="s">
        <v>363</v>
      </c>
      <c r="E2013" t="s">
        <v>467</v>
      </c>
      <c r="F2013" t="s">
        <v>9</v>
      </c>
      <c r="G2013" t="s">
        <v>524</v>
      </c>
      <c r="H2013" t="s">
        <v>470</v>
      </c>
      <c r="I2013">
        <v>53</v>
      </c>
      <c r="J2013">
        <v>0.79768786127167635</v>
      </c>
      <c r="M2013" t="s">
        <v>670</v>
      </c>
      <c r="N2013" t="s">
        <v>4455</v>
      </c>
      <c r="O2013" t="s">
        <v>4456</v>
      </c>
      <c r="P2013">
        <v>0.7</v>
      </c>
    </row>
    <row r="2014" spans="1:16" x14ac:dyDescent="0.3">
      <c r="A2014" t="s">
        <v>30</v>
      </c>
      <c r="B2014" t="s">
        <v>20</v>
      </c>
      <c r="C2014" t="s">
        <v>21</v>
      </c>
      <c r="D2014" t="s">
        <v>363</v>
      </c>
      <c r="E2014" t="s">
        <v>467</v>
      </c>
      <c r="F2014" t="s">
        <v>9</v>
      </c>
      <c r="G2014" t="s">
        <v>529</v>
      </c>
      <c r="H2014" t="s">
        <v>470</v>
      </c>
      <c r="I2014">
        <v>54</v>
      </c>
      <c r="J2014">
        <v>0.82798833819241979</v>
      </c>
      <c r="M2014" t="s">
        <v>670</v>
      </c>
      <c r="N2014" t="s">
        <v>4457</v>
      </c>
      <c r="O2014" t="s">
        <v>4458</v>
      </c>
      <c r="P2014">
        <v>0.7</v>
      </c>
    </row>
    <row r="2015" spans="1:16" x14ac:dyDescent="0.3">
      <c r="A2015" t="s">
        <v>30</v>
      </c>
      <c r="B2015" t="s">
        <v>20</v>
      </c>
      <c r="C2015" t="s">
        <v>21</v>
      </c>
      <c r="D2015" t="s">
        <v>363</v>
      </c>
      <c r="E2015" t="s">
        <v>467</v>
      </c>
      <c r="F2015" t="s">
        <v>9</v>
      </c>
      <c r="G2015" t="s">
        <v>534</v>
      </c>
      <c r="H2015" t="s">
        <v>470</v>
      </c>
      <c r="I2015">
        <v>55</v>
      </c>
      <c r="J2015">
        <v>0.8057971014492753</v>
      </c>
      <c r="M2015" t="s">
        <v>670</v>
      </c>
      <c r="N2015" t="s">
        <v>4459</v>
      </c>
      <c r="O2015" t="s">
        <v>4460</v>
      </c>
      <c r="P2015">
        <v>0.6</v>
      </c>
    </row>
    <row r="2016" spans="1:16" x14ac:dyDescent="0.3">
      <c r="A2016" t="s">
        <v>30</v>
      </c>
      <c r="B2016" t="s">
        <v>20</v>
      </c>
      <c r="C2016" t="s">
        <v>21</v>
      </c>
      <c r="D2016" t="s">
        <v>363</v>
      </c>
      <c r="E2016" t="s">
        <v>467</v>
      </c>
      <c r="F2016" t="s">
        <v>9</v>
      </c>
      <c r="G2016" t="s">
        <v>539</v>
      </c>
      <c r="H2016" t="s">
        <v>470</v>
      </c>
      <c r="I2016">
        <v>56</v>
      </c>
      <c r="J2016">
        <v>0.78549848942598199</v>
      </c>
      <c r="M2016" t="s">
        <v>670</v>
      </c>
      <c r="N2016" t="s">
        <v>4461</v>
      </c>
      <c r="O2016" t="s">
        <v>4462</v>
      </c>
      <c r="P2016">
        <v>0.6</v>
      </c>
    </row>
    <row r="2017" spans="1:16" x14ac:dyDescent="0.3">
      <c r="A2017" t="s">
        <v>30</v>
      </c>
      <c r="B2017" t="s">
        <v>20</v>
      </c>
      <c r="C2017" t="s">
        <v>21</v>
      </c>
      <c r="D2017" t="s">
        <v>363</v>
      </c>
      <c r="E2017" t="s">
        <v>467</v>
      </c>
      <c r="F2017" t="s">
        <v>9</v>
      </c>
      <c r="G2017" t="s">
        <v>544</v>
      </c>
      <c r="H2017" t="s">
        <v>470</v>
      </c>
      <c r="I2017">
        <v>57</v>
      </c>
      <c r="J2017">
        <v>0.78857142857142848</v>
      </c>
      <c r="M2017" t="s">
        <v>670</v>
      </c>
      <c r="N2017" t="s">
        <v>4463</v>
      </c>
      <c r="O2017" t="s">
        <v>4464</v>
      </c>
      <c r="P2017">
        <v>0.6</v>
      </c>
    </row>
    <row r="2018" spans="1:16" x14ac:dyDescent="0.3">
      <c r="A2018" t="s">
        <v>30</v>
      </c>
      <c r="B2018" t="s">
        <v>20</v>
      </c>
      <c r="C2018" t="s">
        <v>21</v>
      </c>
      <c r="D2018" t="s">
        <v>363</v>
      </c>
      <c r="E2018" t="s">
        <v>467</v>
      </c>
      <c r="F2018" t="s">
        <v>9</v>
      </c>
      <c r="G2018" t="s">
        <v>549</v>
      </c>
      <c r="H2018" t="s">
        <v>470</v>
      </c>
      <c r="I2018">
        <v>58</v>
      </c>
      <c r="J2018">
        <v>0.79411764705882348</v>
      </c>
      <c r="M2018" t="s">
        <v>670</v>
      </c>
      <c r="N2018" t="s">
        <v>4465</v>
      </c>
      <c r="O2018" t="s">
        <v>4466</v>
      </c>
      <c r="P2018">
        <v>0.6</v>
      </c>
    </row>
    <row r="2019" spans="1:16" x14ac:dyDescent="0.3">
      <c r="A2019" t="s">
        <v>30</v>
      </c>
      <c r="B2019" t="s">
        <v>20</v>
      </c>
      <c r="C2019" t="s">
        <v>21</v>
      </c>
      <c r="D2019" t="s">
        <v>363</v>
      </c>
      <c r="E2019" t="s">
        <v>467</v>
      </c>
      <c r="F2019" t="s">
        <v>9</v>
      </c>
      <c r="G2019" t="s">
        <v>554</v>
      </c>
      <c r="H2019" t="s">
        <v>470</v>
      </c>
      <c r="I2019">
        <v>59</v>
      </c>
      <c r="J2019">
        <v>0.81049562682215737</v>
      </c>
      <c r="M2019" t="s">
        <v>670</v>
      </c>
      <c r="N2019" t="s">
        <v>4467</v>
      </c>
      <c r="O2019" t="s">
        <v>4468</v>
      </c>
      <c r="P2019">
        <v>0.8</v>
      </c>
    </row>
    <row r="2020" spans="1:16" x14ac:dyDescent="0.3">
      <c r="A2020" t="s">
        <v>30</v>
      </c>
      <c r="B2020" t="s">
        <v>20</v>
      </c>
      <c r="C2020" t="s">
        <v>21</v>
      </c>
      <c r="D2020" t="s">
        <v>363</v>
      </c>
      <c r="E2020" t="s">
        <v>467</v>
      </c>
      <c r="F2020" t="s">
        <v>9</v>
      </c>
      <c r="G2020" t="s">
        <v>559</v>
      </c>
      <c r="H2020" t="s">
        <v>470</v>
      </c>
      <c r="I2020">
        <v>60</v>
      </c>
      <c r="J2020">
        <v>0.77653631284916202</v>
      </c>
      <c r="M2020" t="s">
        <v>670</v>
      </c>
      <c r="N2020" t="s">
        <v>4469</v>
      </c>
      <c r="O2020" t="s">
        <v>4470</v>
      </c>
      <c r="P2020">
        <v>0.7</v>
      </c>
    </row>
    <row r="2021" spans="1:16" x14ac:dyDescent="0.3">
      <c r="A2021" t="s">
        <v>30</v>
      </c>
      <c r="B2021" t="s">
        <v>20</v>
      </c>
      <c r="C2021" t="s">
        <v>21</v>
      </c>
      <c r="D2021" t="s">
        <v>363</v>
      </c>
      <c r="E2021" t="s">
        <v>467</v>
      </c>
      <c r="F2021" t="s">
        <v>9</v>
      </c>
      <c r="G2021" t="s">
        <v>564</v>
      </c>
      <c r="H2021" t="s">
        <v>470</v>
      </c>
      <c r="I2021">
        <v>61</v>
      </c>
      <c r="J2021">
        <v>0.8</v>
      </c>
      <c r="M2021" t="s">
        <v>670</v>
      </c>
      <c r="N2021" t="s">
        <v>4471</v>
      </c>
      <c r="O2021" t="s">
        <v>4472</v>
      </c>
      <c r="P2021">
        <v>0.6</v>
      </c>
    </row>
    <row r="2022" spans="1:16" x14ac:dyDescent="0.3">
      <c r="A2022" t="s">
        <v>30</v>
      </c>
      <c r="B2022" t="s">
        <v>20</v>
      </c>
      <c r="C2022" t="s">
        <v>21</v>
      </c>
      <c r="D2022" t="s">
        <v>363</v>
      </c>
      <c r="E2022" t="s">
        <v>569</v>
      </c>
      <c r="F2022" t="s">
        <v>11</v>
      </c>
      <c r="G2022" t="s">
        <v>570</v>
      </c>
      <c r="H2022" t="s">
        <v>572</v>
      </c>
      <c r="I2022">
        <v>42</v>
      </c>
      <c r="J2022">
        <v>0.84684684684684686</v>
      </c>
      <c r="M2022" t="s">
        <v>670</v>
      </c>
      <c r="N2022" t="s">
        <v>4473</v>
      </c>
      <c r="O2022" t="s">
        <v>4474</v>
      </c>
      <c r="P2022">
        <v>0.8</v>
      </c>
    </row>
    <row r="2023" spans="1:16" x14ac:dyDescent="0.3">
      <c r="A2023" t="s">
        <v>30</v>
      </c>
      <c r="B2023" t="s">
        <v>20</v>
      </c>
      <c r="C2023" t="s">
        <v>21</v>
      </c>
      <c r="D2023" t="s">
        <v>363</v>
      </c>
      <c r="E2023" t="s">
        <v>569</v>
      </c>
      <c r="F2023" t="s">
        <v>11</v>
      </c>
      <c r="G2023" t="s">
        <v>576</v>
      </c>
      <c r="H2023" t="s">
        <v>572</v>
      </c>
      <c r="I2023">
        <v>43</v>
      </c>
      <c r="J2023">
        <v>0.83972911963882613</v>
      </c>
      <c r="M2023" t="s">
        <v>670</v>
      </c>
      <c r="N2023" t="s">
        <v>4475</v>
      </c>
      <c r="O2023" t="s">
        <v>4476</v>
      </c>
      <c r="P2023">
        <v>0.6</v>
      </c>
    </row>
    <row r="2024" spans="1:16" x14ac:dyDescent="0.3">
      <c r="A2024" t="s">
        <v>30</v>
      </c>
      <c r="B2024" t="s">
        <v>20</v>
      </c>
      <c r="C2024" t="s">
        <v>21</v>
      </c>
      <c r="D2024" t="s">
        <v>363</v>
      </c>
      <c r="E2024" t="s">
        <v>569</v>
      </c>
      <c r="F2024" t="s">
        <v>11</v>
      </c>
      <c r="G2024" t="s">
        <v>581</v>
      </c>
      <c r="H2024" t="s">
        <v>572</v>
      </c>
      <c r="I2024">
        <v>44</v>
      </c>
      <c r="J2024">
        <v>0.85458612975391501</v>
      </c>
      <c r="M2024" t="s">
        <v>670</v>
      </c>
      <c r="N2024" t="s">
        <v>4477</v>
      </c>
      <c r="O2024" t="s">
        <v>4478</v>
      </c>
      <c r="P2024">
        <v>0.8</v>
      </c>
    </row>
    <row r="2025" spans="1:16" x14ac:dyDescent="0.3">
      <c r="A2025" t="s">
        <v>30</v>
      </c>
      <c r="B2025" t="s">
        <v>20</v>
      </c>
      <c r="C2025" t="s">
        <v>21</v>
      </c>
      <c r="D2025" t="s">
        <v>363</v>
      </c>
      <c r="E2025" t="s">
        <v>569</v>
      </c>
      <c r="F2025" t="s">
        <v>11</v>
      </c>
      <c r="G2025" t="s">
        <v>586</v>
      </c>
      <c r="H2025" t="s">
        <v>572</v>
      </c>
      <c r="I2025">
        <v>45</v>
      </c>
      <c r="J2025">
        <v>0.8392857142857143</v>
      </c>
      <c r="M2025" t="s">
        <v>670</v>
      </c>
      <c r="N2025" t="s">
        <v>4479</v>
      </c>
      <c r="O2025" t="s">
        <v>4480</v>
      </c>
      <c r="P2025">
        <v>0.9</v>
      </c>
    </row>
    <row r="2026" spans="1:16" x14ac:dyDescent="0.3">
      <c r="A2026" t="s">
        <v>30</v>
      </c>
      <c r="B2026" t="s">
        <v>20</v>
      </c>
      <c r="C2026" t="s">
        <v>21</v>
      </c>
      <c r="D2026" t="s">
        <v>363</v>
      </c>
      <c r="E2026" t="s">
        <v>569</v>
      </c>
      <c r="F2026" t="s">
        <v>11</v>
      </c>
      <c r="G2026" t="s">
        <v>591</v>
      </c>
      <c r="H2026" t="s">
        <v>572</v>
      </c>
      <c r="I2026">
        <v>46</v>
      </c>
      <c r="J2026">
        <v>0.83408071748878931</v>
      </c>
      <c r="M2026" t="s">
        <v>670</v>
      </c>
      <c r="N2026" t="s">
        <v>4481</v>
      </c>
      <c r="O2026" t="s">
        <v>4482</v>
      </c>
      <c r="P2026">
        <v>0.6</v>
      </c>
    </row>
    <row r="2027" spans="1:16" x14ac:dyDescent="0.3">
      <c r="A2027" t="s">
        <v>30</v>
      </c>
      <c r="B2027" t="s">
        <v>20</v>
      </c>
      <c r="C2027" t="s">
        <v>21</v>
      </c>
      <c r="D2027" t="s">
        <v>363</v>
      </c>
      <c r="E2027" t="s">
        <v>569</v>
      </c>
      <c r="F2027" t="s">
        <v>11</v>
      </c>
      <c r="G2027" t="s">
        <v>596</v>
      </c>
      <c r="H2027" t="s">
        <v>572</v>
      </c>
      <c r="I2027">
        <v>47</v>
      </c>
      <c r="J2027">
        <v>0.83710407239819007</v>
      </c>
      <c r="M2027" t="s">
        <v>670</v>
      </c>
      <c r="N2027" t="s">
        <v>4483</v>
      </c>
      <c r="O2027" t="s">
        <v>4484</v>
      </c>
      <c r="P2027">
        <v>0.7</v>
      </c>
    </row>
    <row r="2028" spans="1:16" x14ac:dyDescent="0.3">
      <c r="A2028" t="s">
        <v>30</v>
      </c>
      <c r="B2028" t="s">
        <v>20</v>
      </c>
      <c r="C2028" t="s">
        <v>21</v>
      </c>
      <c r="D2028" t="s">
        <v>363</v>
      </c>
      <c r="E2028" t="s">
        <v>569</v>
      </c>
      <c r="F2028" t="s">
        <v>11</v>
      </c>
      <c r="G2028" t="s">
        <v>601</v>
      </c>
      <c r="H2028" t="s">
        <v>572</v>
      </c>
      <c r="I2028">
        <v>48</v>
      </c>
      <c r="J2028">
        <v>0.83813747228381374</v>
      </c>
      <c r="M2028" t="s">
        <v>670</v>
      </c>
      <c r="N2028" t="s">
        <v>4485</v>
      </c>
      <c r="O2028" t="s">
        <v>4486</v>
      </c>
      <c r="P2028">
        <v>0.6</v>
      </c>
    </row>
    <row r="2029" spans="1:16" x14ac:dyDescent="0.3">
      <c r="A2029" t="s">
        <v>30</v>
      </c>
      <c r="B2029" t="s">
        <v>20</v>
      </c>
      <c r="C2029" t="s">
        <v>21</v>
      </c>
      <c r="D2029" t="s">
        <v>363</v>
      </c>
      <c r="E2029" t="s">
        <v>569</v>
      </c>
      <c r="F2029" t="s">
        <v>11</v>
      </c>
      <c r="G2029" t="s">
        <v>606</v>
      </c>
      <c r="H2029" t="s">
        <v>572</v>
      </c>
      <c r="I2029">
        <v>49</v>
      </c>
      <c r="J2029">
        <v>0.82648401826484019</v>
      </c>
      <c r="M2029" t="s">
        <v>670</v>
      </c>
      <c r="N2029" t="s">
        <v>4487</v>
      </c>
      <c r="O2029" t="s">
        <v>4488</v>
      </c>
      <c r="P2029">
        <v>0.7</v>
      </c>
    </row>
    <row r="2030" spans="1:16" x14ac:dyDescent="0.3">
      <c r="A2030" t="s">
        <v>30</v>
      </c>
      <c r="B2030" t="s">
        <v>20</v>
      </c>
      <c r="C2030" t="s">
        <v>21</v>
      </c>
      <c r="D2030" t="s">
        <v>363</v>
      </c>
      <c r="E2030" t="s">
        <v>569</v>
      </c>
      <c r="F2030" t="s">
        <v>11</v>
      </c>
      <c r="G2030" t="s">
        <v>611</v>
      </c>
      <c r="H2030" t="s">
        <v>572</v>
      </c>
      <c r="I2030">
        <v>50</v>
      </c>
      <c r="J2030">
        <v>0.82142857142857151</v>
      </c>
      <c r="M2030" t="s">
        <v>670</v>
      </c>
      <c r="N2030" t="s">
        <v>4489</v>
      </c>
      <c r="O2030" t="s">
        <v>4490</v>
      </c>
      <c r="P2030">
        <v>0.8</v>
      </c>
    </row>
    <row r="2031" spans="1:16" x14ac:dyDescent="0.3">
      <c r="A2031" t="s">
        <v>30</v>
      </c>
      <c r="B2031" t="s">
        <v>20</v>
      </c>
      <c r="C2031" t="s">
        <v>21</v>
      </c>
      <c r="D2031" t="s">
        <v>363</v>
      </c>
      <c r="E2031" t="s">
        <v>569</v>
      </c>
      <c r="F2031" t="s">
        <v>11</v>
      </c>
      <c r="G2031" t="s">
        <v>616</v>
      </c>
      <c r="H2031" t="s">
        <v>572</v>
      </c>
      <c r="I2031">
        <v>51</v>
      </c>
      <c r="J2031">
        <v>0.8355555555555555</v>
      </c>
      <c r="M2031" t="s">
        <v>670</v>
      </c>
      <c r="N2031" t="s">
        <v>4491</v>
      </c>
      <c r="O2031" t="s">
        <v>4492</v>
      </c>
      <c r="P2031">
        <v>0.6</v>
      </c>
    </row>
    <row r="2032" spans="1:16" x14ac:dyDescent="0.3">
      <c r="A2032" t="s">
        <v>30</v>
      </c>
      <c r="B2032" t="s">
        <v>20</v>
      </c>
      <c r="C2032" t="s">
        <v>21</v>
      </c>
      <c r="D2032" t="s">
        <v>363</v>
      </c>
      <c r="E2032" t="s">
        <v>569</v>
      </c>
      <c r="F2032" t="s">
        <v>11</v>
      </c>
      <c r="G2032" t="s">
        <v>621</v>
      </c>
      <c r="H2032" t="s">
        <v>572</v>
      </c>
      <c r="I2032">
        <v>52</v>
      </c>
      <c r="J2032">
        <v>0.85011185682326629</v>
      </c>
      <c r="M2032" t="s">
        <v>670</v>
      </c>
      <c r="N2032" t="s">
        <v>4493</v>
      </c>
      <c r="O2032" t="s">
        <v>4494</v>
      </c>
      <c r="P2032">
        <v>0.9</v>
      </c>
    </row>
    <row r="2033" spans="1:16" x14ac:dyDescent="0.3">
      <c r="A2033" t="s">
        <v>30</v>
      </c>
      <c r="B2033" t="s">
        <v>20</v>
      </c>
      <c r="C2033" t="s">
        <v>21</v>
      </c>
      <c r="D2033" t="s">
        <v>363</v>
      </c>
      <c r="E2033" t="s">
        <v>569</v>
      </c>
      <c r="F2033" t="s">
        <v>11</v>
      </c>
      <c r="G2033" t="s">
        <v>626</v>
      </c>
      <c r="H2033" t="s">
        <v>572</v>
      </c>
      <c r="I2033">
        <v>53</v>
      </c>
      <c r="J2033">
        <v>0.82683982683982682</v>
      </c>
      <c r="M2033" t="s">
        <v>670</v>
      </c>
      <c r="N2033" t="s">
        <v>4495</v>
      </c>
      <c r="O2033" t="s">
        <v>4496</v>
      </c>
      <c r="P2033">
        <v>0.6</v>
      </c>
    </row>
    <row r="2034" spans="1:16" x14ac:dyDescent="0.3">
      <c r="A2034" t="s">
        <v>30</v>
      </c>
      <c r="B2034" t="s">
        <v>20</v>
      </c>
      <c r="C2034" t="s">
        <v>21</v>
      </c>
      <c r="D2034" t="s">
        <v>363</v>
      </c>
      <c r="E2034" t="s">
        <v>569</v>
      </c>
      <c r="F2034" t="s">
        <v>11</v>
      </c>
      <c r="G2034" t="s">
        <v>631</v>
      </c>
      <c r="H2034" t="s">
        <v>572</v>
      </c>
      <c r="I2034">
        <v>54</v>
      </c>
      <c r="J2034">
        <v>0.8409586056644881</v>
      </c>
      <c r="M2034" t="s">
        <v>670</v>
      </c>
      <c r="N2034" t="s">
        <v>4497</v>
      </c>
      <c r="O2034" t="s">
        <v>4498</v>
      </c>
      <c r="P2034">
        <v>0.6</v>
      </c>
    </row>
    <row r="2035" spans="1:16" x14ac:dyDescent="0.3">
      <c r="A2035" t="s">
        <v>30</v>
      </c>
      <c r="B2035" t="s">
        <v>20</v>
      </c>
      <c r="C2035" t="s">
        <v>21</v>
      </c>
      <c r="D2035" t="s">
        <v>363</v>
      </c>
      <c r="E2035" t="s">
        <v>569</v>
      </c>
      <c r="F2035" t="s">
        <v>11</v>
      </c>
      <c r="G2035" t="s">
        <v>636</v>
      </c>
      <c r="H2035" t="s">
        <v>572</v>
      </c>
      <c r="I2035">
        <v>55</v>
      </c>
      <c r="J2035">
        <v>0.8355555555555555</v>
      </c>
      <c r="M2035" t="s">
        <v>670</v>
      </c>
      <c r="N2035" t="s">
        <v>4499</v>
      </c>
      <c r="O2035" t="s">
        <v>4500</v>
      </c>
      <c r="P2035">
        <v>0.6</v>
      </c>
    </row>
    <row r="2036" spans="1:16" x14ac:dyDescent="0.3">
      <c r="A2036" t="s">
        <v>30</v>
      </c>
      <c r="B2036" t="s">
        <v>20</v>
      </c>
      <c r="C2036" t="s">
        <v>21</v>
      </c>
      <c r="D2036" t="s">
        <v>363</v>
      </c>
      <c r="E2036" t="s">
        <v>569</v>
      </c>
      <c r="F2036" t="s">
        <v>11</v>
      </c>
      <c r="G2036" t="s">
        <v>641</v>
      </c>
      <c r="H2036" t="s">
        <v>572</v>
      </c>
      <c r="I2036">
        <v>56</v>
      </c>
      <c r="J2036">
        <v>0.83069977426636565</v>
      </c>
      <c r="M2036" t="s">
        <v>670</v>
      </c>
      <c r="N2036" t="s">
        <v>4501</v>
      </c>
      <c r="O2036" t="s">
        <v>4502</v>
      </c>
      <c r="P2036">
        <v>0</v>
      </c>
    </row>
    <row r="2037" spans="1:16" x14ac:dyDescent="0.3">
      <c r="A2037" t="s">
        <v>30</v>
      </c>
      <c r="B2037" t="s">
        <v>20</v>
      </c>
      <c r="C2037" t="s">
        <v>21</v>
      </c>
      <c r="D2037" t="s">
        <v>363</v>
      </c>
      <c r="E2037" t="s">
        <v>569</v>
      </c>
      <c r="F2037" t="s">
        <v>11</v>
      </c>
      <c r="G2037" t="s">
        <v>646</v>
      </c>
      <c r="H2037" t="s">
        <v>572</v>
      </c>
      <c r="I2037">
        <v>57</v>
      </c>
      <c r="J2037">
        <v>0.8482142857142857</v>
      </c>
      <c r="M2037" t="s">
        <v>670</v>
      </c>
      <c r="N2037" t="s">
        <v>4503</v>
      </c>
      <c r="O2037" t="s">
        <v>4504</v>
      </c>
      <c r="P2037">
        <v>0</v>
      </c>
    </row>
    <row r="2038" spans="1:16" x14ac:dyDescent="0.3">
      <c r="A2038" t="s">
        <v>30</v>
      </c>
      <c r="B2038" t="s">
        <v>20</v>
      </c>
      <c r="C2038" t="s">
        <v>21</v>
      </c>
      <c r="D2038" t="s">
        <v>363</v>
      </c>
      <c r="E2038" t="s">
        <v>569</v>
      </c>
      <c r="F2038" t="s">
        <v>11</v>
      </c>
      <c r="G2038" t="s">
        <v>651</v>
      </c>
      <c r="H2038" t="s">
        <v>572</v>
      </c>
      <c r="I2038">
        <v>58</v>
      </c>
      <c r="J2038">
        <v>0.82247191011235954</v>
      </c>
      <c r="M2038" t="s">
        <v>670</v>
      </c>
      <c r="N2038" t="s">
        <v>4505</v>
      </c>
      <c r="O2038" t="s">
        <v>4506</v>
      </c>
      <c r="P2038">
        <v>0</v>
      </c>
    </row>
    <row r="2039" spans="1:16" x14ac:dyDescent="0.3">
      <c r="A2039" t="s">
        <v>30</v>
      </c>
      <c r="B2039" t="s">
        <v>20</v>
      </c>
      <c r="C2039" t="s">
        <v>21</v>
      </c>
      <c r="D2039" t="s">
        <v>363</v>
      </c>
      <c r="E2039" t="s">
        <v>569</v>
      </c>
      <c r="F2039" t="s">
        <v>11</v>
      </c>
      <c r="G2039" t="s">
        <v>656</v>
      </c>
      <c r="H2039" t="s">
        <v>572</v>
      </c>
      <c r="I2039">
        <v>59</v>
      </c>
      <c r="J2039">
        <v>0.84187082405345204</v>
      </c>
      <c r="M2039" t="s">
        <v>670</v>
      </c>
      <c r="N2039" t="s">
        <v>4507</v>
      </c>
      <c r="O2039" t="s">
        <v>4508</v>
      </c>
      <c r="P2039">
        <v>0</v>
      </c>
    </row>
    <row r="2040" spans="1:16" x14ac:dyDescent="0.3">
      <c r="A2040" t="s">
        <v>30</v>
      </c>
      <c r="B2040" t="s">
        <v>20</v>
      </c>
      <c r="C2040" t="s">
        <v>21</v>
      </c>
      <c r="D2040" t="s">
        <v>363</v>
      </c>
      <c r="E2040" t="s">
        <v>569</v>
      </c>
      <c r="F2040" t="s">
        <v>11</v>
      </c>
      <c r="G2040" t="s">
        <v>661</v>
      </c>
      <c r="H2040" t="s">
        <v>572</v>
      </c>
      <c r="I2040">
        <v>60</v>
      </c>
      <c r="J2040">
        <v>0.83521444695259595</v>
      </c>
      <c r="M2040" t="s">
        <v>670</v>
      </c>
      <c r="N2040" t="s">
        <v>4509</v>
      </c>
      <c r="O2040" t="s">
        <v>4510</v>
      </c>
      <c r="P2040">
        <v>0</v>
      </c>
    </row>
    <row r="2041" spans="1:16" x14ac:dyDescent="0.3">
      <c r="A2041" t="s">
        <v>30</v>
      </c>
      <c r="B2041" t="s">
        <v>20</v>
      </c>
      <c r="C2041" t="s">
        <v>21</v>
      </c>
      <c r="D2041" t="s">
        <v>363</v>
      </c>
      <c r="E2041" t="s">
        <v>569</v>
      </c>
      <c r="F2041" t="s">
        <v>11</v>
      </c>
      <c r="G2041" t="s">
        <v>666</v>
      </c>
      <c r="H2041" t="s">
        <v>572</v>
      </c>
      <c r="I2041">
        <v>61</v>
      </c>
      <c r="J2041">
        <v>0.84563758389261745</v>
      </c>
      <c r="M2041" t="s">
        <v>670</v>
      </c>
      <c r="N2041" t="s">
        <v>4511</v>
      </c>
      <c r="O2041" t="s">
        <v>4512</v>
      </c>
      <c r="P2041">
        <v>0</v>
      </c>
    </row>
    <row r="2042" spans="1:16" x14ac:dyDescent="0.3">
      <c r="A2042" t="s">
        <v>30</v>
      </c>
      <c r="B2042" t="s">
        <v>22</v>
      </c>
      <c r="C2042" t="s">
        <v>23</v>
      </c>
      <c r="D2042" t="s">
        <v>54</v>
      </c>
      <c r="E2042" t="s">
        <v>56</v>
      </c>
      <c r="F2042" t="s">
        <v>7</v>
      </c>
      <c r="G2042" t="s">
        <v>57</v>
      </c>
      <c r="H2042" t="s">
        <v>59</v>
      </c>
      <c r="I2042">
        <v>42</v>
      </c>
      <c r="J2042">
        <v>0.71397849462365581</v>
      </c>
      <c r="K2042">
        <v>0.70638297872340428</v>
      </c>
      <c r="L2042">
        <v>0.72173913043478266</v>
      </c>
      <c r="M2042" t="s">
        <v>60</v>
      </c>
      <c r="N2042" t="s">
        <v>4513</v>
      </c>
      <c r="O2042" t="s">
        <v>4514</v>
      </c>
      <c r="P2042">
        <v>8.4</v>
      </c>
    </row>
    <row r="2043" spans="1:16" x14ac:dyDescent="0.3">
      <c r="A2043" t="s">
        <v>30</v>
      </c>
      <c r="B2043" t="s">
        <v>22</v>
      </c>
      <c r="C2043" t="s">
        <v>23</v>
      </c>
      <c r="D2043" t="s">
        <v>54</v>
      </c>
      <c r="E2043" t="s">
        <v>56</v>
      </c>
      <c r="F2043" t="s">
        <v>7</v>
      </c>
      <c r="G2043" t="s">
        <v>65</v>
      </c>
      <c r="H2043" t="s">
        <v>59</v>
      </c>
      <c r="I2043">
        <v>43</v>
      </c>
      <c r="J2043">
        <v>0.68993839835728954</v>
      </c>
      <c r="K2043">
        <v>0.65369649805447472</v>
      </c>
      <c r="L2043">
        <v>0.73043478260869565</v>
      </c>
      <c r="M2043" t="s">
        <v>60</v>
      </c>
      <c r="N2043" t="s">
        <v>4515</v>
      </c>
      <c r="O2043" t="s">
        <v>4516</v>
      </c>
      <c r="P2043">
        <v>2.4</v>
      </c>
    </row>
    <row r="2044" spans="1:16" x14ac:dyDescent="0.3">
      <c r="A2044" t="s">
        <v>30</v>
      </c>
      <c r="B2044" t="s">
        <v>22</v>
      </c>
      <c r="C2044" t="s">
        <v>23</v>
      </c>
      <c r="D2044" t="s">
        <v>54</v>
      </c>
      <c r="E2044" t="s">
        <v>56</v>
      </c>
      <c r="F2044" t="s">
        <v>7</v>
      </c>
      <c r="G2044" t="s">
        <v>70</v>
      </c>
      <c r="H2044" t="s">
        <v>59</v>
      </c>
      <c r="I2044">
        <v>44</v>
      </c>
      <c r="J2044">
        <v>0.71457905544147859</v>
      </c>
      <c r="K2044">
        <v>0.67704280155642027</v>
      </c>
      <c r="L2044">
        <v>0.75652173913043474</v>
      </c>
      <c r="M2044" t="s">
        <v>60</v>
      </c>
      <c r="N2044" t="s">
        <v>4517</v>
      </c>
      <c r="O2044" t="s">
        <v>4518</v>
      </c>
      <c r="P2044">
        <v>1.5</v>
      </c>
    </row>
    <row r="2045" spans="1:16" x14ac:dyDescent="0.3">
      <c r="A2045" t="s">
        <v>30</v>
      </c>
      <c r="B2045" t="s">
        <v>22</v>
      </c>
      <c r="C2045" t="s">
        <v>23</v>
      </c>
      <c r="D2045" t="s">
        <v>54</v>
      </c>
      <c r="E2045" t="s">
        <v>56</v>
      </c>
      <c r="F2045" t="s">
        <v>7</v>
      </c>
      <c r="G2045" t="s">
        <v>75</v>
      </c>
      <c r="H2045" t="s">
        <v>59</v>
      </c>
      <c r="I2045">
        <v>45</v>
      </c>
      <c r="J2045">
        <v>0.71487603305785119</v>
      </c>
      <c r="K2045">
        <v>0.68110236220472442</v>
      </c>
      <c r="L2045">
        <v>0.75217391304347825</v>
      </c>
      <c r="M2045" t="s">
        <v>60</v>
      </c>
      <c r="N2045" t="s">
        <v>4519</v>
      </c>
      <c r="O2045" t="s">
        <v>4520</v>
      </c>
      <c r="P2045">
        <v>1.9</v>
      </c>
    </row>
    <row r="2046" spans="1:16" x14ac:dyDescent="0.3">
      <c r="A2046" t="s">
        <v>30</v>
      </c>
      <c r="B2046" t="s">
        <v>22</v>
      </c>
      <c r="C2046" t="s">
        <v>23</v>
      </c>
      <c r="D2046" t="s">
        <v>54</v>
      </c>
      <c r="E2046" t="s">
        <v>56</v>
      </c>
      <c r="F2046" t="s">
        <v>7</v>
      </c>
      <c r="G2046" t="s">
        <v>80</v>
      </c>
      <c r="H2046" t="s">
        <v>59</v>
      </c>
      <c r="I2046">
        <v>46</v>
      </c>
      <c r="J2046">
        <v>0.65439672801635984</v>
      </c>
      <c r="K2046">
        <v>0.61776061776061775</v>
      </c>
      <c r="L2046">
        <v>0.69565217391304346</v>
      </c>
      <c r="M2046" t="s">
        <v>60</v>
      </c>
      <c r="N2046" t="s">
        <v>4521</v>
      </c>
      <c r="O2046" t="s">
        <v>4522</v>
      </c>
      <c r="P2046">
        <v>1.5</v>
      </c>
    </row>
    <row r="2047" spans="1:16" x14ac:dyDescent="0.3">
      <c r="A2047" t="s">
        <v>30</v>
      </c>
      <c r="B2047" t="s">
        <v>22</v>
      </c>
      <c r="C2047" t="s">
        <v>23</v>
      </c>
      <c r="D2047" t="s">
        <v>54</v>
      </c>
      <c r="E2047" t="s">
        <v>56</v>
      </c>
      <c r="F2047" t="s">
        <v>7</v>
      </c>
      <c r="G2047" t="s">
        <v>85</v>
      </c>
      <c r="H2047" t="s">
        <v>59</v>
      </c>
      <c r="I2047">
        <v>47</v>
      </c>
      <c r="J2047">
        <v>0.69653767820773926</v>
      </c>
      <c r="K2047">
        <v>0.65517241379310343</v>
      </c>
      <c r="L2047">
        <v>0.74347826086956526</v>
      </c>
      <c r="M2047" t="s">
        <v>60</v>
      </c>
      <c r="N2047" t="s">
        <v>4523</v>
      </c>
      <c r="O2047" t="s">
        <v>4524</v>
      </c>
      <c r="P2047">
        <v>1.4</v>
      </c>
    </row>
    <row r="2048" spans="1:16" x14ac:dyDescent="0.3">
      <c r="A2048" t="s">
        <v>30</v>
      </c>
      <c r="B2048" t="s">
        <v>22</v>
      </c>
      <c r="C2048" t="s">
        <v>23</v>
      </c>
      <c r="D2048" t="s">
        <v>54</v>
      </c>
      <c r="E2048" t="s">
        <v>56</v>
      </c>
      <c r="F2048" t="s">
        <v>7</v>
      </c>
      <c r="G2048" t="s">
        <v>90</v>
      </c>
      <c r="H2048" t="s">
        <v>59</v>
      </c>
      <c r="I2048">
        <v>48</v>
      </c>
      <c r="J2048">
        <v>0.61344537815126043</v>
      </c>
      <c r="K2048">
        <v>0.5934959349593496</v>
      </c>
      <c r="L2048">
        <v>0.63478260869565217</v>
      </c>
      <c r="M2048" t="s">
        <v>60</v>
      </c>
      <c r="N2048" t="s">
        <v>4525</v>
      </c>
      <c r="O2048" t="s">
        <v>4526</v>
      </c>
      <c r="P2048">
        <v>1.3</v>
      </c>
    </row>
    <row r="2049" spans="1:16" x14ac:dyDescent="0.3">
      <c r="A2049" t="s">
        <v>30</v>
      </c>
      <c r="B2049" t="s">
        <v>22</v>
      </c>
      <c r="C2049" t="s">
        <v>23</v>
      </c>
      <c r="D2049" t="s">
        <v>54</v>
      </c>
      <c r="E2049" t="s">
        <v>56</v>
      </c>
      <c r="F2049" t="s">
        <v>7</v>
      </c>
      <c r="G2049" t="s">
        <v>95</v>
      </c>
      <c r="H2049" t="s">
        <v>59</v>
      </c>
      <c r="I2049">
        <v>49</v>
      </c>
      <c r="J2049">
        <v>0.71982758620689657</v>
      </c>
      <c r="K2049">
        <v>0.71367521367521369</v>
      </c>
      <c r="L2049">
        <v>0.72608695652173916</v>
      </c>
      <c r="M2049" t="s">
        <v>60</v>
      </c>
      <c r="N2049" t="s">
        <v>4527</v>
      </c>
      <c r="O2049" t="s">
        <v>4528</v>
      </c>
      <c r="P2049">
        <v>1.4</v>
      </c>
    </row>
    <row r="2050" spans="1:16" x14ac:dyDescent="0.3">
      <c r="A2050" t="s">
        <v>30</v>
      </c>
      <c r="B2050" t="s">
        <v>22</v>
      </c>
      <c r="C2050" t="s">
        <v>23</v>
      </c>
      <c r="D2050" t="s">
        <v>54</v>
      </c>
      <c r="E2050" t="s">
        <v>56</v>
      </c>
      <c r="F2050" t="s">
        <v>7</v>
      </c>
      <c r="G2050" t="s">
        <v>100</v>
      </c>
      <c r="H2050" t="s">
        <v>59</v>
      </c>
      <c r="I2050">
        <v>50</v>
      </c>
      <c r="J2050">
        <v>0.6750524109014675</v>
      </c>
      <c r="K2050">
        <v>0.65182186234817818</v>
      </c>
      <c r="L2050">
        <v>0.7</v>
      </c>
      <c r="M2050" t="s">
        <v>60</v>
      </c>
      <c r="N2050" t="s">
        <v>4529</v>
      </c>
      <c r="O2050" t="s">
        <v>4530</v>
      </c>
      <c r="P2050">
        <v>1.6</v>
      </c>
    </row>
    <row r="2051" spans="1:16" x14ac:dyDescent="0.3">
      <c r="A2051" t="s">
        <v>30</v>
      </c>
      <c r="B2051" t="s">
        <v>22</v>
      </c>
      <c r="C2051" t="s">
        <v>23</v>
      </c>
      <c r="D2051" t="s">
        <v>54</v>
      </c>
      <c r="E2051" t="s">
        <v>56</v>
      </c>
      <c r="F2051" t="s">
        <v>7</v>
      </c>
      <c r="G2051" t="s">
        <v>105</v>
      </c>
      <c r="H2051" t="s">
        <v>59</v>
      </c>
      <c r="I2051">
        <v>51</v>
      </c>
      <c r="J2051">
        <v>0.72688172043010757</v>
      </c>
      <c r="K2051">
        <v>0.7191489361702128</v>
      </c>
      <c r="L2051">
        <v>0.73478260869565215</v>
      </c>
      <c r="M2051" t="s">
        <v>60</v>
      </c>
      <c r="N2051" t="s">
        <v>4531</v>
      </c>
      <c r="O2051" t="s">
        <v>4532</v>
      </c>
      <c r="P2051">
        <v>1.7</v>
      </c>
    </row>
    <row r="2052" spans="1:16" x14ac:dyDescent="0.3">
      <c r="A2052" t="s">
        <v>30</v>
      </c>
      <c r="B2052" t="s">
        <v>22</v>
      </c>
      <c r="C2052" t="s">
        <v>23</v>
      </c>
      <c r="D2052" t="s">
        <v>54</v>
      </c>
      <c r="E2052" t="s">
        <v>56</v>
      </c>
      <c r="F2052" t="s">
        <v>7</v>
      </c>
      <c r="G2052" t="s">
        <v>110</v>
      </c>
      <c r="H2052" t="s">
        <v>59</v>
      </c>
      <c r="I2052">
        <v>52</v>
      </c>
      <c r="J2052">
        <v>0.58872651356993733</v>
      </c>
      <c r="K2052">
        <v>0.5662650602409639</v>
      </c>
      <c r="L2052">
        <v>0.61304347826086958</v>
      </c>
      <c r="M2052" t="s">
        <v>60</v>
      </c>
      <c r="N2052" t="s">
        <v>4533</v>
      </c>
      <c r="O2052" t="s">
        <v>4534</v>
      </c>
      <c r="P2052">
        <v>1.9</v>
      </c>
    </row>
    <row r="2053" spans="1:16" x14ac:dyDescent="0.3">
      <c r="A2053" t="s">
        <v>30</v>
      </c>
      <c r="B2053" t="s">
        <v>22</v>
      </c>
      <c r="C2053" t="s">
        <v>23</v>
      </c>
      <c r="D2053" t="s">
        <v>54</v>
      </c>
      <c r="E2053" t="s">
        <v>56</v>
      </c>
      <c r="F2053" t="s">
        <v>7</v>
      </c>
      <c r="G2053" t="s">
        <v>115</v>
      </c>
      <c r="H2053" t="s">
        <v>59</v>
      </c>
      <c r="I2053">
        <v>53</v>
      </c>
      <c r="J2053">
        <v>0.70315789473684209</v>
      </c>
      <c r="K2053">
        <v>0.68163265306122445</v>
      </c>
      <c r="L2053">
        <v>0.72608695652173916</v>
      </c>
      <c r="M2053" t="s">
        <v>60</v>
      </c>
      <c r="N2053" t="s">
        <v>4535</v>
      </c>
      <c r="O2053" t="s">
        <v>4536</v>
      </c>
      <c r="P2053">
        <v>1.5</v>
      </c>
    </row>
    <row r="2054" spans="1:16" x14ac:dyDescent="0.3">
      <c r="A2054" t="s">
        <v>30</v>
      </c>
      <c r="B2054" t="s">
        <v>22</v>
      </c>
      <c r="C2054" t="s">
        <v>23</v>
      </c>
      <c r="D2054" t="s">
        <v>54</v>
      </c>
      <c r="E2054" t="s">
        <v>56</v>
      </c>
      <c r="F2054" t="s">
        <v>7</v>
      </c>
      <c r="G2054" t="s">
        <v>120</v>
      </c>
      <c r="H2054" t="s">
        <v>59</v>
      </c>
      <c r="I2054">
        <v>54</v>
      </c>
      <c r="J2054">
        <v>0.70940170940170943</v>
      </c>
      <c r="K2054">
        <v>0.69747899159663862</v>
      </c>
      <c r="L2054">
        <v>0.72173913043478266</v>
      </c>
      <c r="M2054" t="s">
        <v>60</v>
      </c>
      <c r="N2054" t="s">
        <v>4537</v>
      </c>
      <c r="O2054" t="s">
        <v>4538</v>
      </c>
      <c r="P2054">
        <v>1.5</v>
      </c>
    </row>
    <row r="2055" spans="1:16" x14ac:dyDescent="0.3">
      <c r="A2055" t="s">
        <v>30</v>
      </c>
      <c r="B2055" t="s">
        <v>22</v>
      </c>
      <c r="C2055" t="s">
        <v>23</v>
      </c>
      <c r="D2055" t="s">
        <v>54</v>
      </c>
      <c r="E2055" t="s">
        <v>56</v>
      </c>
      <c r="F2055" t="s">
        <v>7</v>
      </c>
      <c r="G2055" t="s">
        <v>125</v>
      </c>
      <c r="H2055" t="s">
        <v>59</v>
      </c>
      <c r="I2055">
        <v>55</v>
      </c>
      <c r="J2055">
        <v>0.69278350515463916</v>
      </c>
      <c r="K2055">
        <v>0.6588235294117647</v>
      </c>
      <c r="L2055">
        <v>0.73043478260869565</v>
      </c>
      <c r="M2055" t="s">
        <v>60</v>
      </c>
      <c r="N2055" t="s">
        <v>4539</v>
      </c>
      <c r="O2055" t="s">
        <v>4540</v>
      </c>
      <c r="P2055">
        <v>1.4</v>
      </c>
    </row>
    <row r="2056" spans="1:16" x14ac:dyDescent="0.3">
      <c r="A2056" t="s">
        <v>30</v>
      </c>
      <c r="B2056" t="s">
        <v>22</v>
      </c>
      <c r="C2056" t="s">
        <v>23</v>
      </c>
      <c r="D2056" t="s">
        <v>54</v>
      </c>
      <c r="E2056" t="s">
        <v>56</v>
      </c>
      <c r="F2056" t="s">
        <v>7</v>
      </c>
      <c r="G2056" t="s">
        <v>130</v>
      </c>
      <c r="H2056" t="s">
        <v>59</v>
      </c>
      <c r="I2056">
        <v>56</v>
      </c>
      <c r="J2056">
        <v>0.70564516129032262</v>
      </c>
      <c r="K2056">
        <v>0.65789473684210531</v>
      </c>
      <c r="L2056">
        <v>0.76086956521739135</v>
      </c>
      <c r="M2056" t="s">
        <v>60</v>
      </c>
      <c r="N2056" t="s">
        <v>4541</v>
      </c>
      <c r="O2056" t="s">
        <v>4542</v>
      </c>
      <c r="P2056">
        <v>1.4</v>
      </c>
    </row>
    <row r="2057" spans="1:16" x14ac:dyDescent="0.3">
      <c r="A2057" t="s">
        <v>30</v>
      </c>
      <c r="B2057" t="s">
        <v>22</v>
      </c>
      <c r="C2057" t="s">
        <v>23</v>
      </c>
      <c r="D2057" t="s">
        <v>54</v>
      </c>
      <c r="E2057" t="s">
        <v>56</v>
      </c>
      <c r="F2057" t="s">
        <v>7</v>
      </c>
      <c r="G2057" t="s">
        <v>135</v>
      </c>
      <c r="H2057" t="s">
        <v>59</v>
      </c>
      <c r="I2057">
        <v>57</v>
      </c>
      <c r="J2057">
        <v>0.68442622950819676</v>
      </c>
      <c r="K2057">
        <v>0.6472868217054264</v>
      </c>
      <c r="L2057">
        <v>0.72608695652173916</v>
      </c>
      <c r="M2057" t="s">
        <v>60</v>
      </c>
      <c r="N2057" t="s">
        <v>4543</v>
      </c>
      <c r="O2057" t="s">
        <v>4544</v>
      </c>
      <c r="P2057">
        <v>1.8</v>
      </c>
    </row>
    <row r="2058" spans="1:16" x14ac:dyDescent="0.3">
      <c r="A2058" t="s">
        <v>30</v>
      </c>
      <c r="B2058" t="s">
        <v>22</v>
      </c>
      <c r="C2058" t="s">
        <v>23</v>
      </c>
      <c r="D2058" t="s">
        <v>54</v>
      </c>
      <c r="E2058" t="s">
        <v>56</v>
      </c>
      <c r="F2058" t="s">
        <v>7</v>
      </c>
      <c r="G2058" t="s">
        <v>140</v>
      </c>
      <c r="H2058" t="s">
        <v>59</v>
      </c>
      <c r="I2058">
        <v>58</v>
      </c>
      <c r="J2058">
        <v>0.67209775967413443</v>
      </c>
      <c r="K2058">
        <v>0.63218390804597702</v>
      </c>
      <c r="L2058">
        <v>0.71739130434782605</v>
      </c>
      <c r="M2058" t="s">
        <v>60</v>
      </c>
      <c r="N2058" t="s">
        <v>4545</v>
      </c>
      <c r="O2058" t="s">
        <v>4546</v>
      </c>
      <c r="P2058">
        <v>1.4</v>
      </c>
    </row>
    <row r="2059" spans="1:16" x14ac:dyDescent="0.3">
      <c r="A2059" t="s">
        <v>30</v>
      </c>
      <c r="B2059" t="s">
        <v>22</v>
      </c>
      <c r="C2059" t="s">
        <v>23</v>
      </c>
      <c r="D2059" t="s">
        <v>54</v>
      </c>
      <c r="E2059" t="s">
        <v>56</v>
      </c>
      <c r="F2059" t="s">
        <v>7</v>
      </c>
      <c r="G2059" t="s">
        <v>145</v>
      </c>
      <c r="H2059" t="s">
        <v>59</v>
      </c>
      <c r="I2059">
        <v>59</v>
      </c>
      <c r="J2059">
        <v>0.69230769230769229</v>
      </c>
      <c r="K2059">
        <v>0.64772727272727271</v>
      </c>
      <c r="L2059">
        <v>0.74347826086956526</v>
      </c>
      <c r="M2059" t="s">
        <v>60</v>
      </c>
      <c r="N2059" t="s">
        <v>4547</v>
      </c>
      <c r="O2059" t="s">
        <v>4548</v>
      </c>
      <c r="P2059">
        <v>1.4</v>
      </c>
    </row>
    <row r="2060" spans="1:16" x14ac:dyDescent="0.3">
      <c r="A2060" t="s">
        <v>30</v>
      </c>
      <c r="B2060" t="s">
        <v>22</v>
      </c>
      <c r="C2060" t="s">
        <v>23</v>
      </c>
      <c r="D2060" t="s">
        <v>54</v>
      </c>
      <c r="E2060" t="s">
        <v>56</v>
      </c>
      <c r="F2060" t="s">
        <v>7</v>
      </c>
      <c r="G2060" t="s">
        <v>150</v>
      </c>
      <c r="H2060" t="s">
        <v>59</v>
      </c>
      <c r="I2060">
        <v>60</v>
      </c>
      <c r="J2060">
        <v>0.70303030303030301</v>
      </c>
      <c r="K2060">
        <v>0.65660377358490563</v>
      </c>
      <c r="L2060">
        <v>0.75652173913043474</v>
      </c>
      <c r="M2060" t="s">
        <v>60</v>
      </c>
      <c r="N2060" t="s">
        <v>4549</v>
      </c>
      <c r="O2060" t="s">
        <v>4550</v>
      </c>
      <c r="P2060">
        <v>1.6</v>
      </c>
    </row>
    <row r="2061" spans="1:16" x14ac:dyDescent="0.3">
      <c r="A2061" t="s">
        <v>30</v>
      </c>
      <c r="B2061" t="s">
        <v>22</v>
      </c>
      <c r="C2061" t="s">
        <v>23</v>
      </c>
      <c r="D2061" t="s">
        <v>54</v>
      </c>
      <c r="E2061" t="s">
        <v>56</v>
      </c>
      <c r="F2061" t="s">
        <v>7</v>
      </c>
      <c r="G2061" t="s">
        <v>155</v>
      </c>
      <c r="H2061" t="s">
        <v>59</v>
      </c>
      <c r="I2061">
        <v>61</v>
      </c>
      <c r="J2061">
        <v>0.71929824561403499</v>
      </c>
      <c r="K2061">
        <v>0.72566371681415931</v>
      </c>
      <c r="L2061">
        <v>0.71304347826086956</v>
      </c>
      <c r="M2061" t="s">
        <v>60</v>
      </c>
      <c r="N2061" t="s">
        <v>4551</v>
      </c>
      <c r="O2061" t="s">
        <v>4552</v>
      </c>
      <c r="P2061">
        <v>1.4</v>
      </c>
    </row>
    <row r="2062" spans="1:16" x14ac:dyDescent="0.3">
      <c r="A2062" t="s">
        <v>30</v>
      </c>
      <c r="B2062" t="s">
        <v>22</v>
      </c>
      <c r="C2062" t="s">
        <v>23</v>
      </c>
      <c r="D2062" t="s">
        <v>54</v>
      </c>
      <c r="E2062" t="s">
        <v>160</v>
      </c>
      <c r="F2062" t="s">
        <v>3</v>
      </c>
      <c r="G2062" t="s">
        <v>161</v>
      </c>
      <c r="H2062" t="s">
        <v>163</v>
      </c>
      <c r="I2062">
        <v>42</v>
      </c>
      <c r="J2062">
        <v>0.69209809264305178</v>
      </c>
      <c r="K2062">
        <v>0.64141414141414144</v>
      </c>
      <c r="L2062">
        <v>0.75147928994082835</v>
      </c>
      <c r="M2062" t="s">
        <v>60</v>
      </c>
      <c r="N2062" t="s">
        <v>4553</v>
      </c>
      <c r="O2062" t="s">
        <v>4554</v>
      </c>
      <c r="P2062">
        <v>1.3</v>
      </c>
    </row>
    <row r="2063" spans="1:16" x14ac:dyDescent="0.3">
      <c r="A2063" t="s">
        <v>30</v>
      </c>
      <c r="B2063" t="s">
        <v>22</v>
      </c>
      <c r="C2063" t="s">
        <v>23</v>
      </c>
      <c r="D2063" t="s">
        <v>54</v>
      </c>
      <c r="E2063" t="s">
        <v>160</v>
      </c>
      <c r="F2063" t="s">
        <v>3</v>
      </c>
      <c r="G2063" t="s">
        <v>167</v>
      </c>
      <c r="H2063" t="s">
        <v>163</v>
      </c>
      <c r="I2063">
        <v>43</v>
      </c>
      <c r="J2063">
        <v>0.70680628272251322</v>
      </c>
      <c r="K2063">
        <v>0.63380281690140849</v>
      </c>
      <c r="L2063">
        <v>0.79881656804733725</v>
      </c>
      <c r="M2063" t="s">
        <v>60</v>
      </c>
      <c r="N2063" t="s">
        <v>4555</v>
      </c>
      <c r="O2063" t="s">
        <v>4556</v>
      </c>
      <c r="P2063">
        <v>1.7</v>
      </c>
    </row>
    <row r="2064" spans="1:16" x14ac:dyDescent="0.3">
      <c r="A2064" t="s">
        <v>30</v>
      </c>
      <c r="B2064" t="s">
        <v>22</v>
      </c>
      <c r="C2064" t="s">
        <v>23</v>
      </c>
      <c r="D2064" t="s">
        <v>54</v>
      </c>
      <c r="E2064" t="s">
        <v>160</v>
      </c>
      <c r="F2064" t="s">
        <v>3</v>
      </c>
      <c r="G2064" t="s">
        <v>172</v>
      </c>
      <c r="H2064" t="s">
        <v>163</v>
      </c>
      <c r="I2064">
        <v>44</v>
      </c>
      <c r="J2064">
        <v>0.70933333333333337</v>
      </c>
      <c r="K2064">
        <v>0.64563106796116509</v>
      </c>
      <c r="L2064">
        <v>0.78698224852071008</v>
      </c>
      <c r="M2064" t="s">
        <v>60</v>
      </c>
      <c r="N2064" t="s">
        <v>4557</v>
      </c>
      <c r="O2064" t="s">
        <v>4558</v>
      </c>
      <c r="P2064">
        <v>1.3</v>
      </c>
    </row>
    <row r="2065" spans="1:16" x14ac:dyDescent="0.3">
      <c r="A2065" t="s">
        <v>30</v>
      </c>
      <c r="B2065" t="s">
        <v>22</v>
      </c>
      <c r="C2065" t="s">
        <v>23</v>
      </c>
      <c r="D2065" t="s">
        <v>54</v>
      </c>
      <c r="E2065" t="s">
        <v>160</v>
      </c>
      <c r="F2065" t="s">
        <v>3</v>
      </c>
      <c r="G2065" t="s">
        <v>177</v>
      </c>
      <c r="H2065" t="s">
        <v>163</v>
      </c>
      <c r="I2065">
        <v>45</v>
      </c>
      <c r="J2065">
        <v>0.72928176795580113</v>
      </c>
      <c r="K2065">
        <v>0.68393782383419688</v>
      </c>
      <c r="L2065">
        <v>0.78106508875739644</v>
      </c>
      <c r="M2065" t="s">
        <v>60</v>
      </c>
      <c r="N2065" t="s">
        <v>4559</v>
      </c>
      <c r="O2065" t="s">
        <v>4560</v>
      </c>
      <c r="P2065">
        <v>1.5</v>
      </c>
    </row>
    <row r="2066" spans="1:16" x14ac:dyDescent="0.3">
      <c r="A2066" t="s">
        <v>30</v>
      </c>
      <c r="B2066" t="s">
        <v>22</v>
      </c>
      <c r="C2066" t="s">
        <v>23</v>
      </c>
      <c r="D2066" t="s">
        <v>54</v>
      </c>
      <c r="E2066" t="s">
        <v>160</v>
      </c>
      <c r="F2066" t="s">
        <v>3</v>
      </c>
      <c r="G2066" t="s">
        <v>182</v>
      </c>
      <c r="H2066" t="s">
        <v>163</v>
      </c>
      <c r="I2066">
        <v>46</v>
      </c>
      <c r="J2066">
        <v>0.70430107526881713</v>
      </c>
      <c r="K2066">
        <v>0.64532019704433496</v>
      </c>
      <c r="L2066">
        <v>0.7751479289940828</v>
      </c>
      <c r="M2066" t="s">
        <v>60</v>
      </c>
      <c r="N2066" t="s">
        <v>4561</v>
      </c>
      <c r="O2066" t="s">
        <v>4562</v>
      </c>
      <c r="P2066">
        <v>1.5</v>
      </c>
    </row>
    <row r="2067" spans="1:16" x14ac:dyDescent="0.3">
      <c r="A2067" t="s">
        <v>30</v>
      </c>
      <c r="B2067" t="s">
        <v>22</v>
      </c>
      <c r="C2067" t="s">
        <v>23</v>
      </c>
      <c r="D2067" t="s">
        <v>54</v>
      </c>
      <c r="E2067" t="s">
        <v>160</v>
      </c>
      <c r="F2067" t="s">
        <v>3</v>
      </c>
      <c r="G2067" t="s">
        <v>187</v>
      </c>
      <c r="H2067" t="s">
        <v>163</v>
      </c>
      <c r="I2067">
        <v>47</v>
      </c>
      <c r="J2067">
        <v>0.70085470085470081</v>
      </c>
      <c r="K2067">
        <v>0.67582417582417587</v>
      </c>
      <c r="L2067">
        <v>0.72781065088757402</v>
      </c>
      <c r="M2067" t="s">
        <v>60</v>
      </c>
      <c r="N2067" t="s">
        <v>4563</v>
      </c>
      <c r="O2067" t="s">
        <v>4564</v>
      </c>
      <c r="P2067">
        <v>1.3</v>
      </c>
    </row>
    <row r="2068" spans="1:16" x14ac:dyDescent="0.3">
      <c r="A2068" t="s">
        <v>30</v>
      </c>
      <c r="B2068" t="s">
        <v>22</v>
      </c>
      <c r="C2068" t="s">
        <v>23</v>
      </c>
      <c r="D2068" t="s">
        <v>54</v>
      </c>
      <c r="E2068" t="s">
        <v>160</v>
      </c>
      <c r="F2068" t="s">
        <v>3</v>
      </c>
      <c r="G2068" t="s">
        <v>192</v>
      </c>
      <c r="H2068" t="s">
        <v>163</v>
      </c>
      <c r="I2068">
        <v>48</v>
      </c>
      <c r="J2068">
        <v>0.73224043715846998</v>
      </c>
      <c r="K2068">
        <v>0.68020304568527923</v>
      </c>
      <c r="L2068">
        <v>0.79289940828402372</v>
      </c>
      <c r="M2068" t="s">
        <v>60</v>
      </c>
      <c r="N2068" t="s">
        <v>4565</v>
      </c>
      <c r="O2068" t="s">
        <v>4566</v>
      </c>
      <c r="P2068">
        <v>1.3</v>
      </c>
    </row>
    <row r="2069" spans="1:16" x14ac:dyDescent="0.3">
      <c r="A2069" t="s">
        <v>30</v>
      </c>
      <c r="B2069" t="s">
        <v>22</v>
      </c>
      <c r="C2069" t="s">
        <v>23</v>
      </c>
      <c r="D2069" t="s">
        <v>54</v>
      </c>
      <c r="E2069" t="s">
        <v>160</v>
      </c>
      <c r="F2069" t="s">
        <v>3</v>
      </c>
      <c r="G2069" t="s">
        <v>197</v>
      </c>
      <c r="H2069" t="s">
        <v>163</v>
      </c>
      <c r="I2069">
        <v>49</v>
      </c>
      <c r="J2069">
        <v>0.75428571428571434</v>
      </c>
      <c r="K2069">
        <v>0.72928176795580113</v>
      </c>
      <c r="L2069">
        <v>0.78106508875739644</v>
      </c>
      <c r="M2069" t="s">
        <v>60</v>
      </c>
      <c r="N2069" t="s">
        <v>4567</v>
      </c>
      <c r="O2069" t="s">
        <v>4568</v>
      </c>
      <c r="P2069">
        <v>1.3</v>
      </c>
    </row>
    <row r="2070" spans="1:16" x14ac:dyDescent="0.3">
      <c r="A2070" t="s">
        <v>30</v>
      </c>
      <c r="B2070" t="s">
        <v>22</v>
      </c>
      <c r="C2070" t="s">
        <v>23</v>
      </c>
      <c r="D2070" t="s">
        <v>54</v>
      </c>
      <c r="E2070" t="s">
        <v>160</v>
      </c>
      <c r="F2070" t="s">
        <v>3</v>
      </c>
      <c r="G2070" t="s">
        <v>202</v>
      </c>
      <c r="H2070" t="s">
        <v>163</v>
      </c>
      <c r="I2070">
        <v>50</v>
      </c>
      <c r="J2070">
        <v>0.74220963172804533</v>
      </c>
      <c r="K2070">
        <v>0.71195652173913049</v>
      </c>
      <c r="L2070">
        <v>0.7751479289940828</v>
      </c>
      <c r="M2070" t="s">
        <v>60</v>
      </c>
      <c r="N2070" t="s">
        <v>4569</v>
      </c>
      <c r="O2070" t="s">
        <v>4570</v>
      </c>
      <c r="P2070">
        <v>1.2</v>
      </c>
    </row>
    <row r="2071" spans="1:16" x14ac:dyDescent="0.3">
      <c r="A2071" t="s">
        <v>30</v>
      </c>
      <c r="B2071" t="s">
        <v>22</v>
      </c>
      <c r="C2071" t="s">
        <v>23</v>
      </c>
      <c r="D2071" t="s">
        <v>54</v>
      </c>
      <c r="E2071" t="s">
        <v>160</v>
      </c>
      <c r="F2071" t="s">
        <v>3</v>
      </c>
      <c r="G2071" t="s">
        <v>207</v>
      </c>
      <c r="H2071" t="s">
        <v>163</v>
      </c>
      <c r="I2071">
        <v>51</v>
      </c>
      <c r="J2071">
        <v>0.71098265895953761</v>
      </c>
      <c r="K2071">
        <v>0.69491525423728817</v>
      </c>
      <c r="L2071">
        <v>0.72781065088757402</v>
      </c>
      <c r="M2071" t="s">
        <v>60</v>
      </c>
      <c r="N2071" t="s">
        <v>4571</v>
      </c>
      <c r="O2071" t="s">
        <v>4572</v>
      </c>
      <c r="P2071">
        <v>1.7</v>
      </c>
    </row>
    <row r="2072" spans="1:16" x14ac:dyDescent="0.3">
      <c r="A2072" t="s">
        <v>30</v>
      </c>
      <c r="B2072" t="s">
        <v>22</v>
      </c>
      <c r="C2072" t="s">
        <v>23</v>
      </c>
      <c r="D2072" t="s">
        <v>54</v>
      </c>
      <c r="E2072" t="s">
        <v>160</v>
      </c>
      <c r="F2072" t="s">
        <v>3</v>
      </c>
      <c r="G2072" t="s">
        <v>212</v>
      </c>
      <c r="H2072" t="s">
        <v>163</v>
      </c>
      <c r="I2072">
        <v>52</v>
      </c>
      <c r="J2072">
        <v>0.74486803519061573</v>
      </c>
      <c r="K2072">
        <v>0.73837209302325579</v>
      </c>
      <c r="L2072">
        <v>0.75147928994082835</v>
      </c>
      <c r="M2072" t="s">
        <v>60</v>
      </c>
      <c r="N2072" t="s">
        <v>4573</v>
      </c>
      <c r="O2072" t="s">
        <v>4574</v>
      </c>
      <c r="P2072">
        <v>1.5</v>
      </c>
    </row>
    <row r="2073" spans="1:16" x14ac:dyDescent="0.3">
      <c r="A2073" t="s">
        <v>30</v>
      </c>
      <c r="B2073" t="s">
        <v>22</v>
      </c>
      <c r="C2073" t="s">
        <v>23</v>
      </c>
      <c r="D2073" t="s">
        <v>54</v>
      </c>
      <c r="E2073" t="s">
        <v>160</v>
      </c>
      <c r="F2073" t="s">
        <v>3</v>
      </c>
      <c r="G2073" t="s">
        <v>217</v>
      </c>
      <c r="H2073" t="s">
        <v>163</v>
      </c>
      <c r="I2073">
        <v>53</v>
      </c>
      <c r="J2073">
        <v>0.72386058981233237</v>
      </c>
      <c r="K2073">
        <v>0.66176470588235292</v>
      </c>
      <c r="L2073">
        <v>0.79881656804733725</v>
      </c>
      <c r="M2073" t="s">
        <v>60</v>
      </c>
      <c r="N2073" t="s">
        <v>4575</v>
      </c>
      <c r="O2073" t="s">
        <v>4576</v>
      </c>
      <c r="P2073">
        <v>1.5</v>
      </c>
    </row>
    <row r="2074" spans="1:16" x14ac:dyDescent="0.3">
      <c r="A2074" t="s">
        <v>30</v>
      </c>
      <c r="B2074" t="s">
        <v>22</v>
      </c>
      <c r="C2074" t="s">
        <v>23</v>
      </c>
      <c r="D2074" t="s">
        <v>54</v>
      </c>
      <c r="E2074" t="s">
        <v>160</v>
      </c>
      <c r="F2074" t="s">
        <v>3</v>
      </c>
      <c r="G2074" t="s">
        <v>222</v>
      </c>
      <c r="H2074" t="s">
        <v>163</v>
      </c>
      <c r="I2074">
        <v>54</v>
      </c>
      <c r="J2074">
        <v>0.74114441416893728</v>
      </c>
      <c r="K2074">
        <v>0.68686868686868685</v>
      </c>
      <c r="L2074">
        <v>0.80473372781065089</v>
      </c>
      <c r="M2074" t="s">
        <v>60</v>
      </c>
      <c r="N2074" t="s">
        <v>4577</v>
      </c>
      <c r="O2074" t="s">
        <v>4578</v>
      </c>
      <c r="P2074">
        <v>1.3</v>
      </c>
    </row>
    <row r="2075" spans="1:16" x14ac:dyDescent="0.3">
      <c r="A2075" t="s">
        <v>30</v>
      </c>
      <c r="B2075" t="s">
        <v>22</v>
      </c>
      <c r="C2075" t="s">
        <v>23</v>
      </c>
      <c r="D2075" t="s">
        <v>54</v>
      </c>
      <c r="E2075" t="s">
        <v>160</v>
      </c>
      <c r="F2075" t="s">
        <v>3</v>
      </c>
      <c r="G2075" t="s">
        <v>227</v>
      </c>
      <c r="H2075" t="s">
        <v>163</v>
      </c>
      <c r="I2075">
        <v>55</v>
      </c>
      <c r="J2075">
        <v>0.72677595628415292</v>
      </c>
      <c r="K2075">
        <v>0.67512690355329952</v>
      </c>
      <c r="L2075">
        <v>0.78698224852071008</v>
      </c>
      <c r="M2075" t="s">
        <v>60</v>
      </c>
      <c r="N2075" t="s">
        <v>4579</v>
      </c>
      <c r="O2075" t="s">
        <v>4580</v>
      </c>
      <c r="P2075">
        <v>1.5</v>
      </c>
    </row>
    <row r="2076" spans="1:16" x14ac:dyDescent="0.3">
      <c r="A2076" t="s">
        <v>30</v>
      </c>
      <c r="B2076" t="s">
        <v>22</v>
      </c>
      <c r="C2076" t="s">
        <v>23</v>
      </c>
      <c r="D2076" t="s">
        <v>54</v>
      </c>
      <c r="E2076" t="s">
        <v>160</v>
      </c>
      <c r="F2076" t="s">
        <v>3</v>
      </c>
      <c r="G2076" t="s">
        <v>232</v>
      </c>
      <c r="H2076" t="s">
        <v>163</v>
      </c>
      <c r="I2076">
        <v>56</v>
      </c>
      <c r="J2076">
        <v>0.76878612716763006</v>
      </c>
      <c r="K2076">
        <v>0.75141242937853103</v>
      </c>
      <c r="L2076">
        <v>0.78698224852071008</v>
      </c>
      <c r="M2076" t="s">
        <v>60</v>
      </c>
      <c r="N2076" t="s">
        <v>4581</v>
      </c>
      <c r="O2076" t="s">
        <v>4582</v>
      </c>
      <c r="P2076">
        <v>1.5</v>
      </c>
    </row>
    <row r="2077" spans="1:16" x14ac:dyDescent="0.3">
      <c r="A2077" t="s">
        <v>30</v>
      </c>
      <c r="B2077" t="s">
        <v>22</v>
      </c>
      <c r="C2077" t="s">
        <v>23</v>
      </c>
      <c r="D2077" t="s">
        <v>54</v>
      </c>
      <c r="E2077" t="s">
        <v>160</v>
      </c>
      <c r="F2077" t="s">
        <v>3</v>
      </c>
      <c r="G2077" t="s">
        <v>237</v>
      </c>
      <c r="H2077" t="s">
        <v>163</v>
      </c>
      <c r="I2077">
        <v>57</v>
      </c>
      <c r="J2077">
        <v>0.70731707317073167</v>
      </c>
      <c r="K2077">
        <v>0.72955974842767291</v>
      </c>
      <c r="L2077">
        <v>0.68639053254437865</v>
      </c>
      <c r="M2077" t="s">
        <v>60</v>
      </c>
      <c r="N2077" t="s">
        <v>4583</v>
      </c>
      <c r="O2077" t="s">
        <v>4584</v>
      </c>
      <c r="P2077">
        <v>1.3</v>
      </c>
    </row>
    <row r="2078" spans="1:16" x14ac:dyDescent="0.3">
      <c r="A2078" t="s">
        <v>30</v>
      </c>
      <c r="B2078" t="s">
        <v>22</v>
      </c>
      <c r="C2078" t="s">
        <v>23</v>
      </c>
      <c r="D2078" t="s">
        <v>54</v>
      </c>
      <c r="E2078" t="s">
        <v>160</v>
      </c>
      <c r="F2078" t="s">
        <v>3</v>
      </c>
      <c r="G2078" t="s">
        <v>242</v>
      </c>
      <c r="H2078" t="s">
        <v>163</v>
      </c>
      <c r="I2078">
        <v>58</v>
      </c>
      <c r="J2078">
        <v>0.67379679144385041</v>
      </c>
      <c r="K2078">
        <v>0.61463414634146341</v>
      </c>
      <c r="L2078">
        <v>0.74556213017751483</v>
      </c>
      <c r="M2078" t="s">
        <v>60</v>
      </c>
      <c r="N2078" t="s">
        <v>4585</v>
      </c>
      <c r="O2078" t="s">
        <v>4586</v>
      </c>
      <c r="P2078">
        <v>1.7</v>
      </c>
    </row>
    <row r="2079" spans="1:16" x14ac:dyDescent="0.3">
      <c r="A2079" t="s">
        <v>30</v>
      </c>
      <c r="B2079" t="s">
        <v>22</v>
      </c>
      <c r="C2079" t="s">
        <v>23</v>
      </c>
      <c r="D2079" t="s">
        <v>54</v>
      </c>
      <c r="E2079" t="s">
        <v>160</v>
      </c>
      <c r="F2079" t="s">
        <v>3</v>
      </c>
      <c r="G2079" t="s">
        <v>247</v>
      </c>
      <c r="H2079" t="s">
        <v>163</v>
      </c>
      <c r="I2079">
        <v>59</v>
      </c>
      <c r="J2079">
        <v>0.75294117647058834</v>
      </c>
      <c r="K2079">
        <v>0.74853801169590639</v>
      </c>
      <c r="L2079">
        <v>0.75739644970414199</v>
      </c>
      <c r="M2079" t="s">
        <v>60</v>
      </c>
      <c r="N2079" t="s">
        <v>4587</v>
      </c>
      <c r="O2079" t="s">
        <v>4588</v>
      </c>
      <c r="P2079">
        <v>1.3</v>
      </c>
    </row>
    <row r="2080" spans="1:16" x14ac:dyDescent="0.3">
      <c r="A2080" t="s">
        <v>30</v>
      </c>
      <c r="B2080" t="s">
        <v>22</v>
      </c>
      <c r="C2080" t="s">
        <v>23</v>
      </c>
      <c r="D2080" t="s">
        <v>54</v>
      </c>
      <c r="E2080" t="s">
        <v>160</v>
      </c>
      <c r="F2080" t="s">
        <v>3</v>
      </c>
      <c r="G2080" t="s">
        <v>252</v>
      </c>
      <c r="H2080" t="s">
        <v>163</v>
      </c>
      <c r="I2080">
        <v>60</v>
      </c>
      <c r="J2080">
        <v>0.69333333333333336</v>
      </c>
      <c r="K2080">
        <v>0.6310679611650486</v>
      </c>
      <c r="L2080">
        <v>0.76923076923076927</v>
      </c>
      <c r="M2080" t="s">
        <v>60</v>
      </c>
      <c r="N2080" t="s">
        <v>4589</v>
      </c>
      <c r="O2080" t="s">
        <v>4590</v>
      </c>
      <c r="P2080">
        <v>1.2</v>
      </c>
    </row>
    <row r="2081" spans="1:16" x14ac:dyDescent="0.3">
      <c r="A2081" t="s">
        <v>30</v>
      </c>
      <c r="B2081" t="s">
        <v>22</v>
      </c>
      <c r="C2081" t="s">
        <v>23</v>
      </c>
      <c r="D2081" t="s">
        <v>54</v>
      </c>
      <c r="E2081" t="s">
        <v>160</v>
      </c>
      <c r="F2081" t="s">
        <v>3</v>
      </c>
      <c r="G2081" t="s">
        <v>257</v>
      </c>
      <c r="H2081" t="s">
        <v>163</v>
      </c>
      <c r="I2081">
        <v>61</v>
      </c>
      <c r="J2081">
        <v>0.7478753541076486</v>
      </c>
      <c r="K2081">
        <v>0.71739130434782605</v>
      </c>
      <c r="L2081">
        <v>0.78106508875739644</v>
      </c>
      <c r="M2081" t="s">
        <v>60</v>
      </c>
      <c r="N2081" t="s">
        <v>4591</v>
      </c>
      <c r="O2081" t="s">
        <v>4592</v>
      </c>
      <c r="P2081">
        <v>1.3</v>
      </c>
    </row>
    <row r="2082" spans="1:16" x14ac:dyDescent="0.3">
      <c r="A2082" t="s">
        <v>30</v>
      </c>
      <c r="B2082" t="s">
        <v>22</v>
      </c>
      <c r="C2082" t="s">
        <v>23</v>
      </c>
      <c r="D2082" t="s">
        <v>54</v>
      </c>
      <c r="E2082" t="s">
        <v>262</v>
      </c>
      <c r="F2082" t="s">
        <v>5</v>
      </c>
      <c r="G2082" t="s">
        <v>263</v>
      </c>
      <c r="H2082" t="s">
        <v>265</v>
      </c>
      <c r="I2082">
        <v>42</v>
      </c>
      <c r="J2082">
        <v>0.70941883767535074</v>
      </c>
      <c r="K2082">
        <v>0.63898916967509023</v>
      </c>
      <c r="L2082">
        <v>0.79729729729729726</v>
      </c>
      <c r="M2082" t="s">
        <v>60</v>
      </c>
      <c r="N2082" t="s">
        <v>4593</v>
      </c>
      <c r="O2082" t="s">
        <v>4594</v>
      </c>
      <c r="P2082">
        <v>1.5</v>
      </c>
    </row>
    <row r="2083" spans="1:16" x14ac:dyDescent="0.3">
      <c r="A2083" t="s">
        <v>30</v>
      </c>
      <c r="B2083" t="s">
        <v>22</v>
      </c>
      <c r="C2083" t="s">
        <v>23</v>
      </c>
      <c r="D2083" t="s">
        <v>54</v>
      </c>
      <c r="E2083" t="s">
        <v>262</v>
      </c>
      <c r="F2083" t="s">
        <v>5</v>
      </c>
      <c r="G2083" t="s">
        <v>269</v>
      </c>
      <c r="H2083" t="s">
        <v>265</v>
      </c>
      <c r="I2083">
        <v>43</v>
      </c>
      <c r="J2083">
        <v>0.66666666666666663</v>
      </c>
      <c r="K2083">
        <v>0.6495726495726496</v>
      </c>
      <c r="L2083">
        <v>0.68468468468468469</v>
      </c>
      <c r="M2083" t="s">
        <v>60</v>
      </c>
      <c r="N2083" t="s">
        <v>4595</v>
      </c>
      <c r="O2083" t="s">
        <v>4596</v>
      </c>
      <c r="P2083">
        <v>1.4</v>
      </c>
    </row>
    <row r="2084" spans="1:16" x14ac:dyDescent="0.3">
      <c r="A2084" t="s">
        <v>30</v>
      </c>
      <c r="B2084" t="s">
        <v>22</v>
      </c>
      <c r="C2084" t="s">
        <v>23</v>
      </c>
      <c r="D2084" t="s">
        <v>54</v>
      </c>
      <c r="E2084" t="s">
        <v>262</v>
      </c>
      <c r="F2084" t="s">
        <v>5</v>
      </c>
      <c r="G2084" t="s">
        <v>274</v>
      </c>
      <c r="H2084" t="s">
        <v>265</v>
      </c>
      <c r="I2084">
        <v>44</v>
      </c>
      <c r="J2084">
        <v>0.71875</v>
      </c>
      <c r="K2084">
        <v>0.71238938053097345</v>
      </c>
      <c r="L2084">
        <v>0.72522522522522526</v>
      </c>
      <c r="M2084" t="s">
        <v>60</v>
      </c>
      <c r="N2084" t="s">
        <v>4597</v>
      </c>
      <c r="O2084" t="s">
        <v>4598</v>
      </c>
      <c r="P2084">
        <v>1.4</v>
      </c>
    </row>
    <row r="2085" spans="1:16" x14ac:dyDescent="0.3">
      <c r="A2085" t="s">
        <v>30</v>
      </c>
      <c r="B2085" t="s">
        <v>22</v>
      </c>
      <c r="C2085" t="s">
        <v>23</v>
      </c>
      <c r="D2085" t="s">
        <v>54</v>
      </c>
      <c r="E2085" t="s">
        <v>262</v>
      </c>
      <c r="F2085" t="s">
        <v>5</v>
      </c>
      <c r="G2085" t="s">
        <v>279</v>
      </c>
      <c r="H2085" t="s">
        <v>265</v>
      </c>
      <c r="I2085">
        <v>45</v>
      </c>
      <c r="J2085">
        <v>0.77904328018223234</v>
      </c>
      <c r="K2085">
        <v>0.78801843317972353</v>
      </c>
      <c r="L2085">
        <v>0.77027027027027029</v>
      </c>
      <c r="M2085" t="s">
        <v>60</v>
      </c>
      <c r="N2085" t="s">
        <v>4599</v>
      </c>
      <c r="O2085" t="s">
        <v>4600</v>
      </c>
      <c r="P2085">
        <v>1.7</v>
      </c>
    </row>
    <row r="2086" spans="1:16" x14ac:dyDescent="0.3">
      <c r="A2086" t="s">
        <v>30</v>
      </c>
      <c r="B2086" t="s">
        <v>22</v>
      </c>
      <c r="C2086" t="s">
        <v>23</v>
      </c>
      <c r="D2086" t="s">
        <v>54</v>
      </c>
      <c r="E2086" t="s">
        <v>262</v>
      </c>
      <c r="F2086" t="s">
        <v>5</v>
      </c>
      <c r="G2086" t="s">
        <v>284</v>
      </c>
      <c r="H2086" t="s">
        <v>265</v>
      </c>
      <c r="I2086">
        <v>46</v>
      </c>
      <c r="J2086">
        <v>0.76923076923076927</v>
      </c>
      <c r="K2086">
        <v>0.75107296137339052</v>
      </c>
      <c r="L2086">
        <v>0.78828828828828834</v>
      </c>
      <c r="M2086" t="s">
        <v>60</v>
      </c>
      <c r="N2086" t="s">
        <v>4601</v>
      </c>
      <c r="O2086" t="s">
        <v>4602</v>
      </c>
      <c r="P2086">
        <v>1.6</v>
      </c>
    </row>
    <row r="2087" spans="1:16" x14ac:dyDescent="0.3">
      <c r="A2087" t="s">
        <v>30</v>
      </c>
      <c r="B2087" t="s">
        <v>22</v>
      </c>
      <c r="C2087" t="s">
        <v>23</v>
      </c>
      <c r="D2087" t="s">
        <v>54</v>
      </c>
      <c r="E2087" t="s">
        <v>262</v>
      </c>
      <c r="F2087" t="s">
        <v>5</v>
      </c>
      <c r="G2087" t="s">
        <v>289</v>
      </c>
      <c r="H2087" t="s">
        <v>265</v>
      </c>
      <c r="I2087">
        <v>47</v>
      </c>
      <c r="J2087">
        <v>0.75723830734966602</v>
      </c>
      <c r="K2087">
        <v>0.74889867841409696</v>
      </c>
      <c r="L2087">
        <v>0.76576576576576572</v>
      </c>
      <c r="M2087" t="s">
        <v>60</v>
      </c>
      <c r="N2087" t="s">
        <v>4603</v>
      </c>
      <c r="O2087" t="s">
        <v>4604</v>
      </c>
      <c r="P2087">
        <v>1.4</v>
      </c>
    </row>
    <row r="2088" spans="1:16" x14ac:dyDescent="0.3">
      <c r="A2088" t="s">
        <v>30</v>
      </c>
      <c r="B2088" t="s">
        <v>22</v>
      </c>
      <c r="C2088" t="s">
        <v>23</v>
      </c>
      <c r="D2088" t="s">
        <v>54</v>
      </c>
      <c r="E2088" t="s">
        <v>262</v>
      </c>
      <c r="F2088" t="s">
        <v>5</v>
      </c>
      <c r="G2088" t="s">
        <v>294</v>
      </c>
      <c r="H2088" t="s">
        <v>265</v>
      </c>
      <c r="I2088">
        <v>48</v>
      </c>
      <c r="J2088">
        <v>0.68045977011494252</v>
      </c>
      <c r="K2088">
        <v>0.69483568075117375</v>
      </c>
      <c r="L2088">
        <v>0.66666666666666663</v>
      </c>
      <c r="M2088" t="s">
        <v>60</v>
      </c>
      <c r="N2088" t="s">
        <v>4605</v>
      </c>
      <c r="O2088" t="s">
        <v>4606</v>
      </c>
      <c r="P2088">
        <v>1.4</v>
      </c>
    </row>
    <row r="2089" spans="1:16" x14ac:dyDescent="0.3">
      <c r="A2089" t="s">
        <v>30</v>
      </c>
      <c r="B2089" t="s">
        <v>22</v>
      </c>
      <c r="C2089" t="s">
        <v>23</v>
      </c>
      <c r="D2089" t="s">
        <v>54</v>
      </c>
      <c r="E2089" t="s">
        <v>262</v>
      </c>
      <c r="F2089" t="s">
        <v>5</v>
      </c>
      <c r="G2089" t="s">
        <v>299</v>
      </c>
      <c r="H2089" t="s">
        <v>265</v>
      </c>
      <c r="I2089">
        <v>49</v>
      </c>
      <c r="J2089">
        <v>0.74620390455531449</v>
      </c>
      <c r="K2089">
        <v>0.71966527196652719</v>
      </c>
      <c r="L2089">
        <v>0.77477477477477474</v>
      </c>
      <c r="M2089" t="s">
        <v>60</v>
      </c>
      <c r="N2089" t="s">
        <v>4607</v>
      </c>
      <c r="O2089" t="s">
        <v>4608</v>
      </c>
      <c r="P2089">
        <v>1.3</v>
      </c>
    </row>
    <row r="2090" spans="1:16" x14ac:dyDescent="0.3">
      <c r="A2090" t="s">
        <v>30</v>
      </c>
      <c r="B2090" t="s">
        <v>22</v>
      </c>
      <c r="C2090" t="s">
        <v>23</v>
      </c>
      <c r="D2090" t="s">
        <v>54</v>
      </c>
      <c r="E2090" t="s">
        <v>262</v>
      </c>
      <c r="F2090" t="s">
        <v>5</v>
      </c>
      <c r="G2090" t="s">
        <v>304</v>
      </c>
      <c r="H2090" t="s">
        <v>265</v>
      </c>
      <c r="I2090">
        <v>50</v>
      </c>
      <c r="J2090">
        <v>0.7544642857142857</v>
      </c>
      <c r="K2090">
        <v>0.74778761061946908</v>
      </c>
      <c r="L2090">
        <v>0.76126126126126126</v>
      </c>
      <c r="M2090" t="s">
        <v>60</v>
      </c>
      <c r="N2090" t="s">
        <v>4609</v>
      </c>
      <c r="O2090" t="s">
        <v>4610</v>
      </c>
      <c r="P2090">
        <v>1.4</v>
      </c>
    </row>
    <row r="2091" spans="1:16" x14ac:dyDescent="0.3">
      <c r="A2091" t="s">
        <v>30</v>
      </c>
      <c r="B2091" t="s">
        <v>22</v>
      </c>
      <c r="C2091" t="s">
        <v>23</v>
      </c>
      <c r="D2091" t="s">
        <v>54</v>
      </c>
      <c r="E2091" t="s">
        <v>262</v>
      </c>
      <c r="F2091" t="s">
        <v>5</v>
      </c>
      <c r="G2091" t="s">
        <v>309</v>
      </c>
      <c r="H2091" t="s">
        <v>265</v>
      </c>
      <c r="I2091">
        <v>51</v>
      </c>
      <c r="J2091">
        <v>0.75229357798165142</v>
      </c>
      <c r="K2091">
        <v>0.76635514018691586</v>
      </c>
      <c r="L2091">
        <v>0.73873873873873874</v>
      </c>
      <c r="M2091" t="s">
        <v>60</v>
      </c>
      <c r="N2091" t="s">
        <v>4611</v>
      </c>
      <c r="O2091" t="s">
        <v>4612</v>
      </c>
      <c r="P2091">
        <v>2.8</v>
      </c>
    </row>
    <row r="2092" spans="1:16" x14ac:dyDescent="0.3">
      <c r="A2092" t="s">
        <v>30</v>
      </c>
      <c r="B2092" t="s">
        <v>22</v>
      </c>
      <c r="C2092" t="s">
        <v>23</v>
      </c>
      <c r="D2092" t="s">
        <v>54</v>
      </c>
      <c r="E2092" t="s">
        <v>262</v>
      </c>
      <c r="F2092" t="s">
        <v>5</v>
      </c>
      <c r="G2092" t="s">
        <v>314</v>
      </c>
      <c r="H2092" t="s">
        <v>265</v>
      </c>
      <c r="I2092">
        <v>52</v>
      </c>
      <c r="J2092">
        <v>0.74152542372881369</v>
      </c>
      <c r="K2092">
        <v>0.7</v>
      </c>
      <c r="L2092">
        <v>0.78828828828828834</v>
      </c>
      <c r="M2092" t="s">
        <v>60</v>
      </c>
      <c r="N2092" t="s">
        <v>4613</v>
      </c>
      <c r="O2092" t="s">
        <v>4614</v>
      </c>
      <c r="P2092">
        <v>1.4</v>
      </c>
    </row>
    <row r="2093" spans="1:16" x14ac:dyDescent="0.3">
      <c r="A2093" t="s">
        <v>30</v>
      </c>
      <c r="B2093" t="s">
        <v>22</v>
      </c>
      <c r="C2093" t="s">
        <v>23</v>
      </c>
      <c r="D2093" t="s">
        <v>54</v>
      </c>
      <c r="E2093" t="s">
        <v>262</v>
      </c>
      <c r="F2093" t="s">
        <v>5</v>
      </c>
      <c r="G2093" t="s">
        <v>319</v>
      </c>
      <c r="H2093" t="s">
        <v>265</v>
      </c>
      <c r="I2093">
        <v>53</v>
      </c>
      <c r="J2093">
        <v>0.73305084745762716</v>
      </c>
      <c r="K2093">
        <v>0.69199999999999995</v>
      </c>
      <c r="L2093">
        <v>0.77927927927927931</v>
      </c>
      <c r="M2093" t="s">
        <v>60</v>
      </c>
      <c r="N2093" t="s">
        <v>4615</v>
      </c>
      <c r="O2093" t="s">
        <v>4616</v>
      </c>
      <c r="P2093">
        <v>1.3</v>
      </c>
    </row>
    <row r="2094" spans="1:16" x14ac:dyDescent="0.3">
      <c r="A2094" t="s">
        <v>30</v>
      </c>
      <c r="B2094" t="s">
        <v>22</v>
      </c>
      <c r="C2094" t="s">
        <v>23</v>
      </c>
      <c r="D2094" t="s">
        <v>54</v>
      </c>
      <c r="E2094" t="s">
        <v>262</v>
      </c>
      <c r="F2094" t="s">
        <v>5</v>
      </c>
      <c r="G2094" t="s">
        <v>324</v>
      </c>
      <c r="H2094" t="s">
        <v>265</v>
      </c>
      <c r="I2094">
        <v>54</v>
      </c>
      <c r="J2094">
        <v>0.70897155361050324</v>
      </c>
      <c r="K2094">
        <v>0.68936170212765957</v>
      </c>
      <c r="L2094">
        <v>0.72972972972972971</v>
      </c>
      <c r="M2094" t="s">
        <v>60</v>
      </c>
      <c r="N2094" t="s">
        <v>4617</v>
      </c>
      <c r="O2094" t="s">
        <v>4618</v>
      </c>
      <c r="P2094">
        <v>1.7</v>
      </c>
    </row>
    <row r="2095" spans="1:16" x14ac:dyDescent="0.3">
      <c r="A2095" t="s">
        <v>30</v>
      </c>
      <c r="B2095" t="s">
        <v>22</v>
      </c>
      <c r="C2095" t="s">
        <v>23</v>
      </c>
      <c r="D2095" t="s">
        <v>54</v>
      </c>
      <c r="E2095" t="s">
        <v>262</v>
      </c>
      <c r="F2095" t="s">
        <v>5</v>
      </c>
      <c r="G2095" t="s">
        <v>329</v>
      </c>
      <c r="H2095" t="s">
        <v>265</v>
      </c>
      <c r="I2095">
        <v>55</v>
      </c>
      <c r="J2095">
        <v>0.74734607218683646</v>
      </c>
      <c r="K2095">
        <v>0.70682730923694781</v>
      </c>
      <c r="L2095">
        <v>0.7927927927927928</v>
      </c>
      <c r="M2095" t="s">
        <v>60</v>
      </c>
      <c r="N2095" t="s">
        <v>4619</v>
      </c>
      <c r="O2095" t="s">
        <v>4620</v>
      </c>
      <c r="P2095">
        <v>1.5</v>
      </c>
    </row>
    <row r="2096" spans="1:16" x14ac:dyDescent="0.3">
      <c r="A2096" t="s">
        <v>30</v>
      </c>
      <c r="B2096" t="s">
        <v>22</v>
      </c>
      <c r="C2096" t="s">
        <v>23</v>
      </c>
      <c r="D2096" t="s">
        <v>54</v>
      </c>
      <c r="E2096" t="s">
        <v>262</v>
      </c>
      <c r="F2096" t="s">
        <v>5</v>
      </c>
      <c r="G2096" t="s">
        <v>334</v>
      </c>
      <c r="H2096" t="s">
        <v>265</v>
      </c>
      <c r="I2096">
        <v>56</v>
      </c>
      <c r="J2096">
        <v>0.73496659242761697</v>
      </c>
      <c r="K2096">
        <v>0.72687224669603523</v>
      </c>
      <c r="L2096">
        <v>0.7432432432432432</v>
      </c>
      <c r="M2096" t="s">
        <v>60</v>
      </c>
      <c r="N2096" t="s">
        <v>4621</v>
      </c>
      <c r="O2096" t="s">
        <v>4622</v>
      </c>
      <c r="P2096">
        <v>1.4</v>
      </c>
    </row>
    <row r="2097" spans="1:16" x14ac:dyDescent="0.3">
      <c r="A2097" t="s">
        <v>30</v>
      </c>
      <c r="B2097" t="s">
        <v>22</v>
      </c>
      <c r="C2097" t="s">
        <v>23</v>
      </c>
      <c r="D2097" t="s">
        <v>54</v>
      </c>
      <c r="E2097" t="s">
        <v>262</v>
      </c>
      <c r="F2097" t="s">
        <v>5</v>
      </c>
      <c r="G2097" t="s">
        <v>339</v>
      </c>
      <c r="H2097" t="s">
        <v>265</v>
      </c>
      <c r="I2097">
        <v>57</v>
      </c>
      <c r="J2097">
        <v>0.70488322717622076</v>
      </c>
      <c r="K2097">
        <v>0.66666666666666663</v>
      </c>
      <c r="L2097">
        <v>0.74774774774774777</v>
      </c>
      <c r="M2097" t="s">
        <v>60</v>
      </c>
      <c r="N2097" t="s">
        <v>4623</v>
      </c>
      <c r="O2097" t="s">
        <v>4624</v>
      </c>
      <c r="P2097">
        <v>1.4</v>
      </c>
    </row>
    <row r="2098" spans="1:16" x14ac:dyDescent="0.3">
      <c r="A2098" t="s">
        <v>30</v>
      </c>
      <c r="B2098" t="s">
        <v>22</v>
      </c>
      <c r="C2098" t="s">
        <v>23</v>
      </c>
      <c r="D2098" t="s">
        <v>54</v>
      </c>
      <c r="E2098" t="s">
        <v>262</v>
      </c>
      <c r="F2098" t="s">
        <v>5</v>
      </c>
      <c r="G2098" t="s">
        <v>344</v>
      </c>
      <c r="H2098" t="s">
        <v>265</v>
      </c>
      <c r="I2098">
        <v>58</v>
      </c>
      <c r="J2098">
        <v>0.69298245614035081</v>
      </c>
      <c r="K2098">
        <v>0.67521367521367526</v>
      </c>
      <c r="L2098">
        <v>0.71171171171171166</v>
      </c>
      <c r="M2098" t="s">
        <v>60</v>
      </c>
      <c r="N2098" t="s">
        <v>4625</v>
      </c>
      <c r="O2098" t="s">
        <v>4626</v>
      </c>
      <c r="P2098">
        <v>2</v>
      </c>
    </row>
    <row r="2099" spans="1:16" x14ac:dyDescent="0.3">
      <c r="A2099" t="s">
        <v>30</v>
      </c>
      <c r="B2099" t="s">
        <v>22</v>
      </c>
      <c r="C2099" t="s">
        <v>23</v>
      </c>
      <c r="D2099" t="s">
        <v>54</v>
      </c>
      <c r="E2099" t="s">
        <v>262</v>
      </c>
      <c r="F2099" t="s">
        <v>5</v>
      </c>
      <c r="G2099" t="s">
        <v>349</v>
      </c>
      <c r="H2099" t="s">
        <v>265</v>
      </c>
      <c r="I2099">
        <v>59</v>
      </c>
      <c r="J2099">
        <v>0.68559837728194728</v>
      </c>
      <c r="K2099">
        <v>0.62361623616236161</v>
      </c>
      <c r="L2099">
        <v>0.76126126126126126</v>
      </c>
      <c r="M2099" t="s">
        <v>60</v>
      </c>
      <c r="N2099" t="s">
        <v>4627</v>
      </c>
      <c r="O2099" t="s">
        <v>4628</v>
      </c>
      <c r="P2099">
        <v>1.4</v>
      </c>
    </row>
    <row r="2100" spans="1:16" x14ac:dyDescent="0.3">
      <c r="A2100" t="s">
        <v>30</v>
      </c>
      <c r="B2100" t="s">
        <v>22</v>
      </c>
      <c r="C2100" t="s">
        <v>23</v>
      </c>
      <c r="D2100" t="s">
        <v>54</v>
      </c>
      <c r="E2100" t="s">
        <v>262</v>
      </c>
      <c r="F2100" t="s">
        <v>5</v>
      </c>
      <c r="G2100" t="s">
        <v>354</v>
      </c>
      <c r="H2100" t="s">
        <v>265</v>
      </c>
      <c r="I2100">
        <v>60</v>
      </c>
      <c r="J2100">
        <v>0.74944567627494463</v>
      </c>
      <c r="K2100">
        <v>0.73799126637554591</v>
      </c>
      <c r="L2100">
        <v>0.76126126126126126</v>
      </c>
      <c r="M2100" t="s">
        <v>60</v>
      </c>
      <c r="N2100" t="s">
        <v>4629</v>
      </c>
      <c r="O2100" t="s">
        <v>4630</v>
      </c>
      <c r="P2100">
        <v>1.4</v>
      </c>
    </row>
    <row r="2101" spans="1:16" x14ac:dyDescent="0.3">
      <c r="A2101" t="s">
        <v>30</v>
      </c>
      <c r="B2101" t="s">
        <v>22</v>
      </c>
      <c r="C2101" t="s">
        <v>23</v>
      </c>
      <c r="D2101" t="s">
        <v>54</v>
      </c>
      <c r="E2101" t="s">
        <v>262</v>
      </c>
      <c r="F2101" t="s">
        <v>5</v>
      </c>
      <c r="G2101" t="s">
        <v>359</v>
      </c>
      <c r="H2101" t="s">
        <v>265</v>
      </c>
      <c r="I2101">
        <v>61</v>
      </c>
      <c r="J2101">
        <v>0.73127753303964771</v>
      </c>
      <c r="K2101">
        <v>0.71551724137931039</v>
      </c>
      <c r="L2101">
        <v>0.74774774774774777</v>
      </c>
      <c r="M2101" t="s">
        <v>60</v>
      </c>
      <c r="N2101" t="s">
        <v>4631</v>
      </c>
      <c r="O2101" t="s">
        <v>4632</v>
      </c>
      <c r="P2101">
        <v>1.3</v>
      </c>
    </row>
    <row r="2102" spans="1:16" x14ac:dyDescent="0.3">
      <c r="A2102" t="s">
        <v>30</v>
      </c>
      <c r="B2102" t="s">
        <v>22</v>
      </c>
      <c r="C2102" t="s">
        <v>23</v>
      </c>
      <c r="D2102" t="s">
        <v>363</v>
      </c>
      <c r="E2102" t="s">
        <v>365</v>
      </c>
      <c r="F2102" t="s">
        <v>13</v>
      </c>
      <c r="G2102" t="s">
        <v>366</v>
      </c>
      <c r="H2102" t="s">
        <v>368</v>
      </c>
      <c r="I2102">
        <v>42</v>
      </c>
      <c r="J2102">
        <v>0.80084745762711873</v>
      </c>
      <c r="K2102">
        <v>0.78099173553719003</v>
      </c>
      <c r="L2102">
        <v>0.82173913043478264</v>
      </c>
      <c r="M2102" t="s">
        <v>60</v>
      </c>
      <c r="N2102" t="s">
        <v>4633</v>
      </c>
      <c r="O2102" t="s">
        <v>4634</v>
      </c>
      <c r="P2102">
        <v>1.4</v>
      </c>
    </row>
    <row r="2103" spans="1:16" x14ac:dyDescent="0.3">
      <c r="A2103" t="s">
        <v>30</v>
      </c>
      <c r="B2103" t="s">
        <v>22</v>
      </c>
      <c r="C2103" t="s">
        <v>23</v>
      </c>
      <c r="D2103" t="s">
        <v>363</v>
      </c>
      <c r="E2103" t="s">
        <v>365</v>
      </c>
      <c r="F2103" t="s">
        <v>13</v>
      </c>
      <c r="G2103" t="s">
        <v>372</v>
      </c>
      <c r="H2103" t="s">
        <v>368</v>
      </c>
      <c r="I2103">
        <v>43</v>
      </c>
      <c r="J2103">
        <v>0.79749478079331937</v>
      </c>
      <c r="K2103">
        <v>0.76706827309236947</v>
      </c>
      <c r="L2103">
        <v>0.83043478260869563</v>
      </c>
      <c r="M2103" t="s">
        <v>60</v>
      </c>
      <c r="N2103" t="s">
        <v>4635</v>
      </c>
      <c r="O2103" t="s">
        <v>4636</v>
      </c>
      <c r="P2103">
        <v>1.4</v>
      </c>
    </row>
    <row r="2104" spans="1:16" x14ac:dyDescent="0.3">
      <c r="A2104" t="s">
        <v>30</v>
      </c>
      <c r="B2104" t="s">
        <v>22</v>
      </c>
      <c r="C2104" t="s">
        <v>23</v>
      </c>
      <c r="D2104" t="s">
        <v>363</v>
      </c>
      <c r="E2104" t="s">
        <v>365</v>
      </c>
      <c r="F2104" t="s">
        <v>13</v>
      </c>
      <c r="G2104" t="s">
        <v>377</v>
      </c>
      <c r="H2104" t="s">
        <v>368</v>
      </c>
      <c r="I2104">
        <v>44</v>
      </c>
      <c r="J2104">
        <v>0.78315789473684205</v>
      </c>
      <c r="K2104">
        <v>0.75918367346938775</v>
      </c>
      <c r="L2104">
        <v>0.80869565217391304</v>
      </c>
      <c r="M2104" t="s">
        <v>60</v>
      </c>
      <c r="N2104" t="s">
        <v>4637</v>
      </c>
      <c r="O2104" t="s">
        <v>4638</v>
      </c>
      <c r="P2104">
        <v>1.8</v>
      </c>
    </row>
    <row r="2105" spans="1:16" x14ac:dyDescent="0.3">
      <c r="A2105" t="s">
        <v>30</v>
      </c>
      <c r="B2105" t="s">
        <v>22</v>
      </c>
      <c r="C2105" t="s">
        <v>23</v>
      </c>
      <c r="D2105" t="s">
        <v>363</v>
      </c>
      <c r="E2105" t="s">
        <v>365</v>
      </c>
      <c r="F2105" t="s">
        <v>13</v>
      </c>
      <c r="G2105" t="s">
        <v>382</v>
      </c>
      <c r="H2105" t="s">
        <v>368</v>
      </c>
      <c r="I2105">
        <v>45</v>
      </c>
      <c r="J2105">
        <v>0.7782426778242677</v>
      </c>
      <c r="K2105">
        <v>0.75</v>
      </c>
      <c r="L2105">
        <v>0.80869565217391304</v>
      </c>
      <c r="M2105" t="s">
        <v>60</v>
      </c>
      <c r="N2105" t="s">
        <v>4639</v>
      </c>
      <c r="O2105" t="s">
        <v>4640</v>
      </c>
      <c r="P2105">
        <v>1.4</v>
      </c>
    </row>
    <row r="2106" spans="1:16" x14ac:dyDescent="0.3">
      <c r="A2106" t="s">
        <v>30</v>
      </c>
      <c r="B2106" t="s">
        <v>22</v>
      </c>
      <c r="C2106" t="s">
        <v>23</v>
      </c>
      <c r="D2106" t="s">
        <v>363</v>
      </c>
      <c r="E2106" t="s">
        <v>365</v>
      </c>
      <c r="F2106" t="s">
        <v>13</v>
      </c>
      <c r="G2106" t="s">
        <v>387</v>
      </c>
      <c r="H2106" t="s">
        <v>368</v>
      </c>
      <c r="I2106">
        <v>46</v>
      </c>
      <c r="J2106">
        <v>0.79668049792531104</v>
      </c>
      <c r="K2106">
        <v>0.76190476190476186</v>
      </c>
      <c r="L2106">
        <v>0.83478260869565213</v>
      </c>
      <c r="M2106" t="s">
        <v>60</v>
      </c>
      <c r="N2106" t="s">
        <v>4641</v>
      </c>
      <c r="O2106" t="s">
        <v>4642</v>
      </c>
      <c r="P2106">
        <v>1.4</v>
      </c>
    </row>
    <row r="2107" spans="1:16" x14ac:dyDescent="0.3">
      <c r="A2107" t="s">
        <v>30</v>
      </c>
      <c r="B2107" t="s">
        <v>22</v>
      </c>
      <c r="C2107" t="s">
        <v>23</v>
      </c>
      <c r="D2107" t="s">
        <v>363</v>
      </c>
      <c r="E2107" t="s">
        <v>365</v>
      </c>
      <c r="F2107" t="s">
        <v>13</v>
      </c>
      <c r="G2107" t="s">
        <v>392</v>
      </c>
      <c r="H2107" t="s">
        <v>368</v>
      </c>
      <c r="I2107">
        <v>47</v>
      </c>
      <c r="J2107">
        <v>0.78406708595387842</v>
      </c>
      <c r="K2107">
        <v>0.75708502024291502</v>
      </c>
      <c r="L2107">
        <v>0.81304347826086953</v>
      </c>
      <c r="M2107" t="s">
        <v>60</v>
      </c>
      <c r="N2107" t="s">
        <v>4643</v>
      </c>
      <c r="O2107" t="s">
        <v>4644</v>
      </c>
      <c r="P2107">
        <v>1.4</v>
      </c>
    </row>
    <row r="2108" spans="1:16" x14ac:dyDescent="0.3">
      <c r="A2108" t="s">
        <v>30</v>
      </c>
      <c r="B2108" t="s">
        <v>22</v>
      </c>
      <c r="C2108" t="s">
        <v>23</v>
      </c>
      <c r="D2108" t="s">
        <v>363</v>
      </c>
      <c r="E2108" t="s">
        <v>365</v>
      </c>
      <c r="F2108" t="s">
        <v>13</v>
      </c>
      <c r="G2108" t="s">
        <v>397</v>
      </c>
      <c r="H2108" t="s">
        <v>368</v>
      </c>
      <c r="I2108">
        <v>48</v>
      </c>
      <c r="J2108">
        <v>0.78170478170478175</v>
      </c>
      <c r="K2108">
        <v>0.74900398406374502</v>
      </c>
      <c r="L2108">
        <v>0.81739130434782614</v>
      </c>
      <c r="M2108" t="s">
        <v>60</v>
      </c>
      <c r="N2108" t="s">
        <v>4645</v>
      </c>
      <c r="O2108" t="s">
        <v>4646</v>
      </c>
      <c r="P2108">
        <v>1.4</v>
      </c>
    </row>
    <row r="2109" spans="1:16" x14ac:dyDescent="0.3">
      <c r="A2109" t="s">
        <v>30</v>
      </c>
      <c r="B2109" t="s">
        <v>22</v>
      </c>
      <c r="C2109" t="s">
        <v>23</v>
      </c>
      <c r="D2109" t="s">
        <v>363</v>
      </c>
      <c r="E2109" t="s">
        <v>365</v>
      </c>
      <c r="F2109" t="s">
        <v>13</v>
      </c>
      <c r="G2109" t="s">
        <v>402</v>
      </c>
      <c r="H2109" t="s">
        <v>368</v>
      </c>
      <c r="I2109">
        <v>49</v>
      </c>
      <c r="J2109">
        <v>0.78646934460887941</v>
      </c>
      <c r="K2109">
        <v>0.76543209876543206</v>
      </c>
      <c r="L2109">
        <v>0.80869565217391304</v>
      </c>
      <c r="M2109" t="s">
        <v>60</v>
      </c>
      <c r="N2109" t="s">
        <v>4647</v>
      </c>
      <c r="O2109" t="s">
        <v>4648</v>
      </c>
      <c r="P2109">
        <v>1.4</v>
      </c>
    </row>
    <row r="2110" spans="1:16" x14ac:dyDescent="0.3">
      <c r="A2110" t="s">
        <v>30</v>
      </c>
      <c r="B2110" t="s">
        <v>22</v>
      </c>
      <c r="C2110" t="s">
        <v>23</v>
      </c>
      <c r="D2110" t="s">
        <v>363</v>
      </c>
      <c r="E2110" t="s">
        <v>365</v>
      </c>
      <c r="F2110" t="s">
        <v>13</v>
      </c>
      <c r="G2110" t="s">
        <v>407</v>
      </c>
      <c r="H2110" t="s">
        <v>368</v>
      </c>
      <c r="I2110">
        <v>50</v>
      </c>
      <c r="J2110">
        <v>0.76050420168067223</v>
      </c>
      <c r="K2110">
        <v>0.73577235772357719</v>
      </c>
      <c r="L2110">
        <v>0.78695652173913044</v>
      </c>
      <c r="M2110" t="s">
        <v>60</v>
      </c>
      <c r="N2110" t="s">
        <v>4649</v>
      </c>
      <c r="O2110" t="s">
        <v>4650</v>
      </c>
      <c r="P2110">
        <v>1.9</v>
      </c>
    </row>
    <row r="2111" spans="1:16" x14ac:dyDescent="0.3">
      <c r="A2111" t="s">
        <v>30</v>
      </c>
      <c r="B2111" t="s">
        <v>22</v>
      </c>
      <c r="C2111" t="s">
        <v>23</v>
      </c>
      <c r="D2111" t="s">
        <v>363</v>
      </c>
      <c r="E2111" t="s">
        <v>365</v>
      </c>
      <c r="F2111" t="s">
        <v>13</v>
      </c>
      <c r="G2111" t="s">
        <v>412</v>
      </c>
      <c r="H2111" t="s">
        <v>368</v>
      </c>
      <c r="I2111">
        <v>51</v>
      </c>
      <c r="J2111">
        <v>0.7857142857142857</v>
      </c>
      <c r="K2111">
        <v>0.76016260162601623</v>
      </c>
      <c r="L2111">
        <v>0.81304347826086953</v>
      </c>
      <c r="M2111" t="s">
        <v>60</v>
      </c>
      <c r="N2111" t="s">
        <v>4651</v>
      </c>
      <c r="O2111" t="s">
        <v>4652</v>
      </c>
      <c r="P2111">
        <v>1.5</v>
      </c>
    </row>
    <row r="2112" spans="1:16" x14ac:dyDescent="0.3">
      <c r="A2112" t="s">
        <v>30</v>
      </c>
      <c r="B2112" t="s">
        <v>22</v>
      </c>
      <c r="C2112" t="s">
        <v>23</v>
      </c>
      <c r="D2112" t="s">
        <v>363</v>
      </c>
      <c r="E2112" t="s">
        <v>365</v>
      </c>
      <c r="F2112" t="s">
        <v>13</v>
      </c>
      <c r="G2112" t="s">
        <v>417</v>
      </c>
      <c r="H2112" t="s">
        <v>368</v>
      </c>
      <c r="I2112">
        <v>52</v>
      </c>
      <c r="J2112">
        <v>0.76793248945147685</v>
      </c>
      <c r="K2112">
        <v>0.74590163934426235</v>
      </c>
      <c r="L2112">
        <v>0.79130434782608694</v>
      </c>
      <c r="M2112" t="s">
        <v>60</v>
      </c>
      <c r="N2112" t="s">
        <v>4653</v>
      </c>
      <c r="O2112" t="s">
        <v>4654</v>
      </c>
      <c r="P2112">
        <v>1.7</v>
      </c>
    </row>
    <row r="2113" spans="1:16" x14ac:dyDescent="0.3">
      <c r="A2113" t="s">
        <v>30</v>
      </c>
      <c r="B2113" t="s">
        <v>22</v>
      </c>
      <c r="C2113" t="s">
        <v>23</v>
      </c>
      <c r="D2113" t="s">
        <v>363</v>
      </c>
      <c r="E2113" t="s">
        <v>365</v>
      </c>
      <c r="F2113" t="s">
        <v>13</v>
      </c>
      <c r="G2113" t="s">
        <v>422</v>
      </c>
      <c r="H2113" t="s">
        <v>368</v>
      </c>
      <c r="I2113">
        <v>53</v>
      </c>
      <c r="J2113">
        <v>0.76857749469214431</v>
      </c>
      <c r="K2113">
        <v>0.75103734439834025</v>
      </c>
      <c r="L2113">
        <v>0.78695652173913044</v>
      </c>
      <c r="M2113" t="s">
        <v>60</v>
      </c>
      <c r="N2113" t="s">
        <v>4655</v>
      </c>
      <c r="O2113" t="s">
        <v>4656</v>
      </c>
      <c r="P2113">
        <v>7.2</v>
      </c>
    </row>
    <row r="2114" spans="1:16" x14ac:dyDescent="0.3">
      <c r="A2114" t="s">
        <v>30</v>
      </c>
      <c r="B2114" t="s">
        <v>22</v>
      </c>
      <c r="C2114" t="s">
        <v>23</v>
      </c>
      <c r="D2114" t="s">
        <v>363</v>
      </c>
      <c r="E2114" t="s">
        <v>365</v>
      </c>
      <c r="F2114" t="s">
        <v>13</v>
      </c>
      <c r="G2114" t="s">
        <v>427</v>
      </c>
      <c r="H2114" t="s">
        <v>368</v>
      </c>
      <c r="I2114">
        <v>54</v>
      </c>
      <c r="J2114">
        <v>0.79671457905544152</v>
      </c>
      <c r="K2114">
        <v>0.75486381322957197</v>
      </c>
      <c r="L2114">
        <v>0.84347826086956523</v>
      </c>
      <c r="M2114" t="s">
        <v>60</v>
      </c>
      <c r="N2114" t="s">
        <v>4657</v>
      </c>
      <c r="O2114" t="s">
        <v>4658</v>
      </c>
      <c r="P2114">
        <v>2.4</v>
      </c>
    </row>
    <row r="2115" spans="1:16" x14ac:dyDescent="0.3">
      <c r="A2115" t="s">
        <v>30</v>
      </c>
      <c r="B2115" t="s">
        <v>22</v>
      </c>
      <c r="C2115" t="s">
        <v>23</v>
      </c>
      <c r="D2115" t="s">
        <v>363</v>
      </c>
      <c r="E2115" t="s">
        <v>365</v>
      </c>
      <c r="F2115" t="s">
        <v>13</v>
      </c>
      <c r="G2115" t="s">
        <v>432</v>
      </c>
      <c r="H2115" t="s">
        <v>368</v>
      </c>
      <c r="I2115">
        <v>55</v>
      </c>
      <c r="J2115">
        <v>0.79411764705882348</v>
      </c>
      <c r="K2115">
        <v>0.76829268292682928</v>
      </c>
      <c r="L2115">
        <v>0.82173913043478264</v>
      </c>
      <c r="M2115" t="s">
        <v>60</v>
      </c>
      <c r="N2115" t="s">
        <v>4659</v>
      </c>
      <c r="O2115" t="s">
        <v>4660</v>
      </c>
      <c r="P2115">
        <v>1.4</v>
      </c>
    </row>
    <row r="2116" spans="1:16" x14ac:dyDescent="0.3">
      <c r="A2116" t="s">
        <v>30</v>
      </c>
      <c r="B2116" t="s">
        <v>22</v>
      </c>
      <c r="C2116" t="s">
        <v>23</v>
      </c>
      <c r="D2116" t="s">
        <v>363</v>
      </c>
      <c r="E2116" t="s">
        <v>365</v>
      </c>
      <c r="F2116" t="s">
        <v>13</v>
      </c>
      <c r="G2116" t="s">
        <v>437</v>
      </c>
      <c r="H2116" t="s">
        <v>368</v>
      </c>
      <c r="I2116">
        <v>56</v>
      </c>
      <c r="J2116">
        <v>0.76826722338204589</v>
      </c>
      <c r="K2116">
        <v>0.73895582329317266</v>
      </c>
      <c r="L2116">
        <v>0.8</v>
      </c>
      <c r="M2116" t="s">
        <v>60</v>
      </c>
      <c r="N2116" t="s">
        <v>4661</v>
      </c>
      <c r="O2116" t="s">
        <v>4662</v>
      </c>
      <c r="P2116">
        <v>1.9</v>
      </c>
    </row>
    <row r="2117" spans="1:16" x14ac:dyDescent="0.3">
      <c r="A2117" t="s">
        <v>30</v>
      </c>
      <c r="B2117" t="s">
        <v>22</v>
      </c>
      <c r="C2117" t="s">
        <v>23</v>
      </c>
      <c r="D2117" t="s">
        <v>363</v>
      </c>
      <c r="E2117" t="s">
        <v>365</v>
      </c>
      <c r="F2117" t="s">
        <v>13</v>
      </c>
      <c r="G2117" t="s">
        <v>442</v>
      </c>
      <c r="H2117" t="s">
        <v>368</v>
      </c>
      <c r="I2117">
        <v>57</v>
      </c>
      <c r="J2117">
        <v>0.78389830508474589</v>
      </c>
      <c r="K2117">
        <v>0.76446280991735538</v>
      </c>
      <c r="L2117">
        <v>0.80434782608695654</v>
      </c>
      <c r="M2117" t="s">
        <v>60</v>
      </c>
      <c r="N2117" t="s">
        <v>4663</v>
      </c>
      <c r="O2117" t="s">
        <v>4664</v>
      </c>
      <c r="P2117">
        <v>1.4</v>
      </c>
    </row>
    <row r="2118" spans="1:16" x14ac:dyDescent="0.3">
      <c r="A2118" t="s">
        <v>30</v>
      </c>
      <c r="B2118" t="s">
        <v>22</v>
      </c>
      <c r="C2118" t="s">
        <v>23</v>
      </c>
      <c r="D2118" t="s">
        <v>363</v>
      </c>
      <c r="E2118" t="s">
        <v>365</v>
      </c>
      <c r="F2118" t="s">
        <v>13</v>
      </c>
      <c r="G2118" t="s">
        <v>447</v>
      </c>
      <c r="H2118" t="s">
        <v>368</v>
      </c>
      <c r="I2118">
        <v>58</v>
      </c>
      <c r="J2118">
        <v>0.78925619834710736</v>
      </c>
      <c r="K2118">
        <v>0.75196850393700787</v>
      </c>
      <c r="L2118">
        <v>0.83043478260869563</v>
      </c>
      <c r="M2118" t="s">
        <v>60</v>
      </c>
      <c r="N2118" t="s">
        <v>4665</v>
      </c>
      <c r="O2118" t="s">
        <v>4666</v>
      </c>
      <c r="P2118">
        <v>1.4</v>
      </c>
    </row>
    <row r="2119" spans="1:16" x14ac:dyDescent="0.3">
      <c r="A2119" t="s">
        <v>30</v>
      </c>
      <c r="B2119" t="s">
        <v>22</v>
      </c>
      <c r="C2119" t="s">
        <v>23</v>
      </c>
      <c r="D2119" t="s">
        <v>363</v>
      </c>
      <c r="E2119" t="s">
        <v>365</v>
      </c>
      <c r="F2119" t="s">
        <v>13</v>
      </c>
      <c r="G2119" t="s">
        <v>452</v>
      </c>
      <c r="H2119" t="s">
        <v>368</v>
      </c>
      <c r="I2119">
        <v>59</v>
      </c>
      <c r="J2119">
        <v>0.78205128205128205</v>
      </c>
      <c r="K2119">
        <v>0.76890756302521013</v>
      </c>
      <c r="L2119">
        <v>0.79565217391304344</v>
      </c>
      <c r="M2119" t="s">
        <v>60</v>
      </c>
      <c r="N2119" t="s">
        <v>4667</v>
      </c>
      <c r="O2119" t="s">
        <v>4668</v>
      </c>
      <c r="P2119">
        <v>1.4</v>
      </c>
    </row>
    <row r="2120" spans="1:16" x14ac:dyDescent="0.3">
      <c r="A2120" t="s">
        <v>30</v>
      </c>
      <c r="B2120" t="s">
        <v>22</v>
      </c>
      <c r="C2120" t="s">
        <v>23</v>
      </c>
      <c r="D2120" t="s">
        <v>363</v>
      </c>
      <c r="E2120" t="s">
        <v>365</v>
      </c>
      <c r="F2120" t="s">
        <v>13</v>
      </c>
      <c r="G2120" t="s">
        <v>457</v>
      </c>
      <c r="H2120" t="s">
        <v>368</v>
      </c>
      <c r="I2120">
        <v>60</v>
      </c>
      <c r="J2120">
        <v>0.78151260504201681</v>
      </c>
      <c r="K2120">
        <v>0.75609756097560976</v>
      </c>
      <c r="L2120">
        <v>0.80869565217391304</v>
      </c>
      <c r="M2120" t="s">
        <v>60</v>
      </c>
      <c r="N2120" t="s">
        <v>4669</v>
      </c>
      <c r="O2120" t="s">
        <v>4670</v>
      </c>
      <c r="P2120">
        <v>1.4</v>
      </c>
    </row>
    <row r="2121" spans="1:16" x14ac:dyDescent="0.3">
      <c r="A2121" t="s">
        <v>30</v>
      </c>
      <c r="B2121" t="s">
        <v>22</v>
      </c>
      <c r="C2121" t="s">
        <v>23</v>
      </c>
      <c r="D2121" t="s">
        <v>363</v>
      </c>
      <c r="E2121" t="s">
        <v>365</v>
      </c>
      <c r="F2121" t="s">
        <v>13</v>
      </c>
      <c r="G2121" t="s">
        <v>462</v>
      </c>
      <c r="H2121" t="s">
        <v>368</v>
      </c>
      <c r="I2121">
        <v>61</v>
      </c>
      <c r="J2121">
        <v>0.79089026915113869</v>
      </c>
      <c r="K2121">
        <v>0.75494071146245056</v>
      </c>
      <c r="L2121">
        <v>0.83043478260869563</v>
      </c>
      <c r="M2121" t="s">
        <v>60</v>
      </c>
      <c r="N2121" t="s">
        <v>4671</v>
      </c>
      <c r="O2121" t="s">
        <v>4672</v>
      </c>
      <c r="P2121">
        <v>1.3</v>
      </c>
    </row>
    <row r="2122" spans="1:16" x14ac:dyDescent="0.3">
      <c r="A2122" t="s">
        <v>30</v>
      </c>
      <c r="B2122" t="s">
        <v>22</v>
      </c>
      <c r="C2122" t="s">
        <v>23</v>
      </c>
      <c r="D2122" t="s">
        <v>363</v>
      </c>
      <c r="E2122" t="s">
        <v>467</v>
      </c>
      <c r="F2122" t="s">
        <v>9</v>
      </c>
      <c r="G2122" t="s">
        <v>468</v>
      </c>
      <c r="H2122" t="s">
        <v>470</v>
      </c>
      <c r="I2122">
        <v>42</v>
      </c>
      <c r="J2122">
        <v>0.80459770114942519</v>
      </c>
      <c r="K2122">
        <v>0.78212290502793291</v>
      </c>
      <c r="L2122">
        <v>0.82840236686390534</v>
      </c>
      <c r="M2122" t="s">
        <v>60</v>
      </c>
      <c r="N2122" t="s">
        <v>4673</v>
      </c>
      <c r="O2122" t="s">
        <v>4674</v>
      </c>
      <c r="P2122">
        <v>1.3</v>
      </c>
    </row>
    <row r="2123" spans="1:16" x14ac:dyDescent="0.3">
      <c r="A2123" t="s">
        <v>30</v>
      </c>
      <c r="B2123" t="s">
        <v>22</v>
      </c>
      <c r="C2123" t="s">
        <v>23</v>
      </c>
      <c r="D2123" t="s">
        <v>363</v>
      </c>
      <c r="E2123" t="s">
        <v>467</v>
      </c>
      <c r="F2123" t="s">
        <v>9</v>
      </c>
      <c r="G2123" t="s">
        <v>474</v>
      </c>
      <c r="H2123" t="s">
        <v>470</v>
      </c>
      <c r="I2123">
        <v>43</v>
      </c>
      <c r="J2123">
        <v>0.79300291545189505</v>
      </c>
      <c r="K2123">
        <v>0.7816091954022989</v>
      </c>
      <c r="L2123">
        <v>0.80473372781065089</v>
      </c>
      <c r="M2123" t="s">
        <v>60</v>
      </c>
      <c r="N2123" t="s">
        <v>4675</v>
      </c>
      <c r="O2123" t="s">
        <v>4676</v>
      </c>
      <c r="P2123">
        <v>1.7</v>
      </c>
    </row>
    <row r="2124" spans="1:16" x14ac:dyDescent="0.3">
      <c r="A2124" t="s">
        <v>30</v>
      </c>
      <c r="B2124" t="s">
        <v>22</v>
      </c>
      <c r="C2124" t="s">
        <v>23</v>
      </c>
      <c r="D2124" t="s">
        <v>363</v>
      </c>
      <c r="E2124" t="s">
        <v>467</v>
      </c>
      <c r="F2124" t="s">
        <v>9</v>
      </c>
      <c r="G2124" t="s">
        <v>479</v>
      </c>
      <c r="H2124" t="s">
        <v>470</v>
      </c>
      <c r="I2124">
        <v>44</v>
      </c>
      <c r="J2124">
        <v>0.79538904899135432</v>
      </c>
      <c r="K2124">
        <v>0.7752808988764045</v>
      </c>
      <c r="L2124">
        <v>0.81656804733727806</v>
      </c>
      <c r="M2124" t="s">
        <v>60</v>
      </c>
      <c r="N2124" t="s">
        <v>4677</v>
      </c>
      <c r="O2124" t="s">
        <v>4678</v>
      </c>
      <c r="P2124">
        <v>1.3</v>
      </c>
    </row>
    <row r="2125" spans="1:16" x14ac:dyDescent="0.3">
      <c r="A2125" t="s">
        <v>30</v>
      </c>
      <c r="B2125" t="s">
        <v>22</v>
      </c>
      <c r="C2125" t="s">
        <v>23</v>
      </c>
      <c r="D2125" t="s">
        <v>363</v>
      </c>
      <c r="E2125" t="s">
        <v>467</v>
      </c>
      <c r="F2125" t="s">
        <v>9</v>
      </c>
      <c r="G2125" t="s">
        <v>484</v>
      </c>
      <c r="H2125" t="s">
        <v>470</v>
      </c>
      <c r="I2125">
        <v>45</v>
      </c>
      <c r="J2125">
        <v>0.80459770114942519</v>
      </c>
      <c r="K2125">
        <v>0.78212290502793291</v>
      </c>
      <c r="L2125">
        <v>0.82840236686390534</v>
      </c>
      <c r="M2125" t="s">
        <v>60</v>
      </c>
      <c r="N2125" t="s">
        <v>4679</v>
      </c>
      <c r="O2125" t="s">
        <v>4680</v>
      </c>
      <c r="P2125">
        <v>1.3</v>
      </c>
    </row>
    <row r="2126" spans="1:16" x14ac:dyDescent="0.3">
      <c r="A2126" t="s">
        <v>30</v>
      </c>
      <c r="B2126" t="s">
        <v>22</v>
      </c>
      <c r="C2126" t="s">
        <v>23</v>
      </c>
      <c r="D2126" t="s">
        <v>363</v>
      </c>
      <c r="E2126" t="s">
        <v>467</v>
      </c>
      <c r="F2126" t="s">
        <v>9</v>
      </c>
      <c r="G2126" t="s">
        <v>489</v>
      </c>
      <c r="H2126" t="s">
        <v>470</v>
      </c>
      <c r="I2126">
        <v>46</v>
      </c>
      <c r="J2126">
        <v>0.81502890173410403</v>
      </c>
      <c r="K2126">
        <v>0.79661016949152541</v>
      </c>
      <c r="L2126">
        <v>0.83431952662721898</v>
      </c>
      <c r="M2126" t="s">
        <v>60</v>
      </c>
      <c r="N2126" t="s">
        <v>4681</v>
      </c>
      <c r="O2126" t="s">
        <v>4682</v>
      </c>
      <c r="P2126">
        <v>1.4</v>
      </c>
    </row>
    <row r="2127" spans="1:16" x14ac:dyDescent="0.3">
      <c r="A2127" t="s">
        <v>30</v>
      </c>
      <c r="B2127" t="s">
        <v>22</v>
      </c>
      <c r="C2127" t="s">
        <v>23</v>
      </c>
      <c r="D2127" t="s">
        <v>363</v>
      </c>
      <c r="E2127" t="s">
        <v>467</v>
      </c>
      <c r="F2127" t="s">
        <v>9</v>
      </c>
      <c r="G2127" t="s">
        <v>494</v>
      </c>
      <c r="H2127" t="s">
        <v>470</v>
      </c>
      <c r="I2127">
        <v>47</v>
      </c>
      <c r="J2127">
        <v>0.79545454545454541</v>
      </c>
      <c r="K2127">
        <v>0.76502732240437155</v>
      </c>
      <c r="L2127">
        <v>0.82840236686390534</v>
      </c>
      <c r="M2127" t="s">
        <v>60</v>
      </c>
      <c r="N2127" t="s">
        <v>4683</v>
      </c>
      <c r="O2127" t="s">
        <v>4684</v>
      </c>
      <c r="P2127">
        <v>1.3</v>
      </c>
    </row>
    <row r="2128" spans="1:16" x14ac:dyDescent="0.3">
      <c r="A2128" t="s">
        <v>30</v>
      </c>
      <c r="B2128" t="s">
        <v>22</v>
      </c>
      <c r="C2128" t="s">
        <v>23</v>
      </c>
      <c r="D2128" t="s">
        <v>363</v>
      </c>
      <c r="E2128" t="s">
        <v>467</v>
      </c>
      <c r="F2128" t="s">
        <v>9</v>
      </c>
      <c r="G2128" t="s">
        <v>499</v>
      </c>
      <c r="H2128" t="s">
        <v>470</v>
      </c>
      <c r="I2128">
        <v>48</v>
      </c>
      <c r="J2128">
        <v>0.8</v>
      </c>
      <c r="K2128">
        <v>0.77348066298342544</v>
      </c>
      <c r="L2128">
        <v>0.82840236686390534</v>
      </c>
      <c r="M2128" t="s">
        <v>60</v>
      </c>
      <c r="N2128" t="s">
        <v>4685</v>
      </c>
      <c r="O2128" t="s">
        <v>4686</v>
      </c>
      <c r="P2128">
        <v>1.3</v>
      </c>
    </row>
    <row r="2129" spans="1:16" x14ac:dyDescent="0.3">
      <c r="A2129" t="s">
        <v>30</v>
      </c>
      <c r="B2129" t="s">
        <v>22</v>
      </c>
      <c r="C2129" t="s">
        <v>23</v>
      </c>
      <c r="D2129" t="s">
        <v>363</v>
      </c>
      <c r="E2129" t="s">
        <v>467</v>
      </c>
      <c r="F2129" t="s">
        <v>9</v>
      </c>
      <c r="G2129" t="s">
        <v>504</v>
      </c>
      <c r="H2129" t="s">
        <v>470</v>
      </c>
      <c r="I2129">
        <v>49</v>
      </c>
      <c r="J2129">
        <v>0.79999999999999982</v>
      </c>
      <c r="K2129">
        <v>0.76344086021505375</v>
      </c>
      <c r="L2129">
        <v>0.84023668639053251</v>
      </c>
      <c r="M2129" t="s">
        <v>60</v>
      </c>
      <c r="N2129" t="s">
        <v>4687</v>
      </c>
      <c r="O2129" t="s">
        <v>4688</v>
      </c>
      <c r="P2129">
        <v>1.3</v>
      </c>
    </row>
    <row r="2130" spans="1:16" x14ac:dyDescent="0.3">
      <c r="A2130" t="s">
        <v>30</v>
      </c>
      <c r="B2130" t="s">
        <v>22</v>
      </c>
      <c r="C2130" t="s">
        <v>23</v>
      </c>
      <c r="D2130" t="s">
        <v>363</v>
      </c>
      <c r="E2130" t="s">
        <v>467</v>
      </c>
      <c r="F2130" t="s">
        <v>9</v>
      </c>
      <c r="G2130" t="s">
        <v>509</v>
      </c>
      <c r="H2130" t="s">
        <v>470</v>
      </c>
      <c r="I2130">
        <v>50</v>
      </c>
      <c r="J2130">
        <v>0.78531073446327682</v>
      </c>
      <c r="K2130">
        <v>0.75135135135135134</v>
      </c>
      <c r="L2130">
        <v>0.8224852071005917</v>
      </c>
      <c r="M2130" t="s">
        <v>60</v>
      </c>
      <c r="N2130" t="s">
        <v>4689</v>
      </c>
      <c r="O2130" t="s">
        <v>4690</v>
      </c>
      <c r="P2130">
        <v>1.7</v>
      </c>
    </row>
    <row r="2131" spans="1:16" x14ac:dyDescent="0.3">
      <c r="A2131" t="s">
        <v>30</v>
      </c>
      <c r="B2131" t="s">
        <v>22</v>
      </c>
      <c r="C2131" t="s">
        <v>23</v>
      </c>
      <c r="D2131" t="s">
        <v>363</v>
      </c>
      <c r="E2131" t="s">
        <v>467</v>
      </c>
      <c r="F2131" t="s">
        <v>9</v>
      </c>
      <c r="G2131" t="s">
        <v>514</v>
      </c>
      <c r="H2131" t="s">
        <v>470</v>
      </c>
      <c r="I2131">
        <v>51</v>
      </c>
      <c r="J2131">
        <v>0.79083094555873923</v>
      </c>
      <c r="K2131">
        <v>0.76666666666666672</v>
      </c>
      <c r="L2131">
        <v>0.81656804733727806</v>
      </c>
      <c r="M2131" t="s">
        <v>60</v>
      </c>
      <c r="N2131" t="s">
        <v>4691</v>
      </c>
      <c r="O2131" t="s">
        <v>4692</v>
      </c>
      <c r="P2131">
        <v>1.3</v>
      </c>
    </row>
    <row r="2132" spans="1:16" x14ac:dyDescent="0.3">
      <c r="A2132" t="s">
        <v>30</v>
      </c>
      <c r="B2132" t="s">
        <v>22</v>
      </c>
      <c r="C2132" t="s">
        <v>23</v>
      </c>
      <c r="D2132" t="s">
        <v>363</v>
      </c>
      <c r="E2132" t="s">
        <v>467</v>
      </c>
      <c r="F2132" t="s">
        <v>9</v>
      </c>
      <c r="G2132" t="s">
        <v>519</v>
      </c>
      <c r="H2132" t="s">
        <v>470</v>
      </c>
      <c r="I2132">
        <v>52</v>
      </c>
      <c r="J2132">
        <v>0.83040935672514615</v>
      </c>
      <c r="K2132">
        <v>0.82080924855491333</v>
      </c>
      <c r="L2132">
        <v>0.84023668639053251</v>
      </c>
      <c r="M2132" t="s">
        <v>60</v>
      </c>
      <c r="N2132" t="s">
        <v>4693</v>
      </c>
      <c r="O2132" t="s">
        <v>4694</v>
      </c>
      <c r="P2132">
        <v>1.3</v>
      </c>
    </row>
    <row r="2133" spans="1:16" x14ac:dyDescent="0.3">
      <c r="A2133" t="s">
        <v>30</v>
      </c>
      <c r="B2133" t="s">
        <v>22</v>
      </c>
      <c r="C2133" t="s">
        <v>23</v>
      </c>
      <c r="D2133" t="s">
        <v>363</v>
      </c>
      <c r="E2133" t="s">
        <v>467</v>
      </c>
      <c r="F2133" t="s">
        <v>9</v>
      </c>
      <c r="G2133" t="s">
        <v>524</v>
      </c>
      <c r="H2133" t="s">
        <v>470</v>
      </c>
      <c r="I2133">
        <v>53</v>
      </c>
      <c r="J2133">
        <v>0.79772079772079774</v>
      </c>
      <c r="K2133">
        <v>0.76923076923076927</v>
      </c>
      <c r="L2133">
        <v>0.82840236686390534</v>
      </c>
      <c r="M2133" t="s">
        <v>60</v>
      </c>
      <c r="N2133" t="s">
        <v>4695</v>
      </c>
      <c r="O2133" t="s">
        <v>4696</v>
      </c>
      <c r="P2133">
        <v>1.3</v>
      </c>
    </row>
    <row r="2134" spans="1:16" x14ac:dyDescent="0.3">
      <c r="A2134" t="s">
        <v>30</v>
      </c>
      <c r="B2134" t="s">
        <v>22</v>
      </c>
      <c r="C2134" t="s">
        <v>23</v>
      </c>
      <c r="D2134" t="s">
        <v>363</v>
      </c>
      <c r="E2134" t="s">
        <v>467</v>
      </c>
      <c r="F2134" t="s">
        <v>9</v>
      </c>
      <c r="G2134" t="s">
        <v>529</v>
      </c>
      <c r="H2134" t="s">
        <v>470</v>
      </c>
      <c r="I2134">
        <v>54</v>
      </c>
      <c r="J2134">
        <v>0.81502890173410403</v>
      </c>
      <c r="K2134">
        <v>0.79661016949152541</v>
      </c>
      <c r="L2134">
        <v>0.83431952662721898</v>
      </c>
      <c r="M2134" t="s">
        <v>60</v>
      </c>
      <c r="N2134" t="s">
        <v>4697</v>
      </c>
      <c r="O2134" t="s">
        <v>4698</v>
      </c>
      <c r="P2134">
        <v>1.4</v>
      </c>
    </row>
    <row r="2135" spans="1:16" x14ac:dyDescent="0.3">
      <c r="A2135" t="s">
        <v>30</v>
      </c>
      <c r="B2135" t="s">
        <v>22</v>
      </c>
      <c r="C2135" t="s">
        <v>23</v>
      </c>
      <c r="D2135" t="s">
        <v>363</v>
      </c>
      <c r="E2135" t="s">
        <v>467</v>
      </c>
      <c r="F2135" t="s">
        <v>9</v>
      </c>
      <c r="G2135" t="s">
        <v>534</v>
      </c>
      <c r="H2135" t="s">
        <v>470</v>
      </c>
      <c r="I2135">
        <v>55</v>
      </c>
      <c r="J2135">
        <v>0.7931034482758621</v>
      </c>
      <c r="K2135">
        <v>0.77094972067039103</v>
      </c>
      <c r="L2135">
        <v>0.81656804733727806</v>
      </c>
      <c r="M2135" t="s">
        <v>60</v>
      </c>
      <c r="N2135" t="s">
        <v>4699</v>
      </c>
      <c r="O2135" t="s">
        <v>4700</v>
      </c>
      <c r="P2135">
        <v>1.3</v>
      </c>
    </row>
    <row r="2136" spans="1:16" x14ac:dyDescent="0.3">
      <c r="A2136" t="s">
        <v>30</v>
      </c>
      <c r="B2136" t="s">
        <v>22</v>
      </c>
      <c r="C2136" t="s">
        <v>23</v>
      </c>
      <c r="D2136" t="s">
        <v>363</v>
      </c>
      <c r="E2136" t="s">
        <v>467</v>
      </c>
      <c r="F2136" t="s">
        <v>9</v>
      </c>
      <c r="G2136" t="s">
        <v>539</v>
      </c>
      <c r="H2136" t="s">
        <v>470</v>
      </c>
      <c r="I2136">
        <v>56</v>
      </c>
      <c r="J2136">
        <v>0.78443113772455086</v>
      </c>
      <c r="K2136">
        <v>0.79393939393939394</v>
      </c>
      <c r="L2136">
        <v>0.7751479289940828</v>
      </c>
      <c r="M2136" t="s">
        <v>60</v>
      </c>
      <c r="N2136" t="s">
        <v>4701</v>
      </c>
      <c r="O2136" t="s">
        <v>4702</v>
      </c>
      <c r="P2136">
        <v>1.3</v>
      </c>
    </row>
    <row r="2137" spans="1:16" x14ac:dyDescent="0.3">
      <c r="A2137" t="s">
        <v>30</v>
      </c>
      <c r="B2137" t="s">
        <v>22</v>
      </c>
      <c r="C2137" t="s">
        <v>23</v>
      </c>
      <c r="D2137" t="s">
        <v>363</v>
      </c>
      <c r="E2137" t="s">
        <v>467</v>
      </c>
      <c r="F2137" t="s">
        <v>9</v>
      </c>
      <c r="G2137" t="s">
        <v>544</v>
      </c>
      <c r="H2137" t="s">
        <v>470</v>
      </c>
      <c r="I2137">
        <v>57</v>
      </c>
      <c r="J2137">
        <v>0.79320113314447593</v>
      </c>
      <c r="K2137">
        <v>0.76086956521739135</v>
      </c>
      <c r="L2137">
        <v>0.82840236686390534</v>
      </c>
      <c r="M2137" t="s">
        <v>60</v>
      </c>
      <c r="N2137" t="s">
        <v>4703</v>
      </c>
      <c r="O2137" t="s">
        <v>4704</v>
      </c>
      <c r="P2137">
        <v>1.8</v>
      </c>
    </row>
    <row r="2138" spans="1:16" x14ac:dyDescent="0.3">
      <c r="A2138" t="s">
        <v>30</v>
      </c>
      <c r="B2138" t="s">
        <v>22</v>
      </c>
      <c r="C2138" t="s">
        <v>23</v>
      </c>
      <c r="D2138" t="s">
        <v>363</v>
      </c>
      <c r="E2138" t="s">
        <v>467</v>
      </c>
      <c r="F2138" t="s">
        <v>9</v>
      </c>
      <c r="G2138" t="s">
        <v>549</v>
      </c>
      <c r="H2138" t="s">
        <v>470</v>
      </c>
      <c r="I2138">
        <v>58</v>
      </c>
      <c r="J2138">
        <v>0.79300291545189505</v>
      </c>
      <c r="K2138">
        <v>0.7816091954022989</v>
      </c>
      <c r="L2138">
        <v>0.80473372781065089</v>
      </c>
      <c r="M2138" t="s">
        <v>60</v>
      </c>
      <c r="N2138" t="s">
        <v>4705</v>
      </c>
      <c r="O2138" t="s">
        <v>4706</v>
      </c>
      <c r="P2138">
        <v>1.3</v>
      </c>
    </row>
    <row r="2139" spans="1:16" x14ac:dyDescent="0.3">
      <c r="A2139" t="s">
        <v>30</v>
      </c>
      <c r="B2139" t="s">
        <v>22</v>
      </c>
      <c r="C2139" t="s">
        <v>23</v>
      </c>
      <c r="D2139" t="s">
        <v>363</v>
      </c>
      <c r="E2139" t="s">
        <v>467</v>
      </c>
      <c r="F2139" t="s">
        <v>9</v>
      </c>
      <c r="G2139" t="s">
        <v>554</v>
      </c>
      <c r="H2139" t="s">
        <v>470</v>
      </c>
      <c r="I2139">
        <v>59</v>
      </c>
      <c r="J2139">
        <v>0.80346820809248554</v>
      </c>
      <c r="K2139">
        <v>0.78531073446327682</v>
      </c>
      <c r="L2139">
        <v>0.8224852071005917</v>
      </c>
      <c r="M2139" t="s">
        <v>60</v>
      </c>
      <c r="N2139" t="s">
        <v>4707</v>
      </c>
      <c r="O2139" t="s">
        <v>4708</v>
      </c>
      <c r="P2139">
        <v>1.5</v>
      </c>
    </row>
    <row r="2140" spans="1:16" x14ac:dyDescent="0.3">
      <c r="A2140" t="s">
        <v>30</v>
      </c>
      <c r="B2140" t="s">
        <v>22</v>
      </c>
      <c r="C2140" t="s">
        <v>23</v>
      </c>
      <c r="D2140" t="s">
        <v>363</v>
      </c>
      <c r="E2140" t="s">
        <v>467</v>
      </c>
      <c r="F2140" t="s">
        <v>9</v>
      </c>
      <c r="G2140" t="s">
        <v>559</v>
      </c>
      <c r="H2140" t="s">
        <v>470</v>
      </c>
      <c r="I2140">
        <v>60</v>
      </c>
      <c r="J2140">
        <v>0.78670360110803328</v>
      </c>
      <c r="K2140">
        <v>0.73958333333333337</v>
      </c>
      <c r="L2140">
        <v>0.84023668639053251</v>
      </c>
      <c r="M2140" t="s">
        <v>60</v>
      </c>
      <c r="N2140" t="s">
        <v>4709</v>
      </c>
      <c r="O2140" t="s">
        <v>4710</v>
      </c>
      <c r="P2140">
        <v>1.3</v>
      </c>
    </row>
    <row r="2141" spans="1:16" x14ac:dyDescent="0.3">
      <c r="A2141" t="s">
        <v>30</v>
      </c>
      <c r="B2141" t="s">
        <v>22</v>
      </c>
      <c r="C2141" t="s">
        <v>23</v>
      </c>
      <c r="D2141" t="s">
        <v>363</v>
      </c>
      <c r="E2141" t="s">
        <v>467</v>
      </c>
      <c r="F2141" t="s">
        <v>9</v>
      </c>
      <c r="G2141" t="s">
        <v>564</v>
      </c>
      <c r="H2141" t="s">
        <v>470</v>
      </c>
      <c r="I2141">
        <v>61</v>
      </c>
      <c r="J2141">
        <v>0.79883381924198249</v>
      </c>
      <c r="K2141">
        <v>0.78735632183908044</v>
      </c>
      <c r="L2141">
        <v>0.81065088757396453</v>
      </c>
      <c r="M2141" t="s">
        <v>60</v>
      </c>
      <c r="N2141" t="s">
        <v>4711</v>
      </c>
      <c r="O2141" t="s">
        <v>4712</v>
      </c>
      <c r="P2141">
        <v>1.3</v>
      </c>
    </row>
    <row r="2142" spans="1:16" x14ac:dyDescent="0.3">
      <c r="A2142" t="s">
        <v>30</v>
      </c>
      <c r="B2142" t="s">
        <v>22</v>
      </c>
      <c r="C2142" t="s">
        <v>23</v>
      </c>
      <c r="D2142" t="s">
        <v>363</v>
      </c>
      <c r="E2142" t="s">
        <v>569</v>
      </c>
      <c r="F2142" t="s">
        <v>11</v>
      </c>
      <c r="G2142" t="s">
        <v>570</v>
      </c>
      <c r="H2142" t="s">
        <v>572</v>
      </c>
      <c r="I2142">
        <v>42</v>
      </c>
      <c r="J2142">
        <v>0.84684684684684686</v>
      </c>
      <c r="K2142">
        <v>0.84684684684684686</v>
      </c>
      <c r="L2142">
        <v>0.84684684684684686</v>
      </c>
      <c r="M2142" t="s">
        <v>60</v>
      </c>
      <c r="N2142" t="s">
        <v>4713</v>
      </c>
      <c r="O2142" t="s">
        <v>4714</v>
      </c>
      <c r="P2142">
        <v>1.6</v>
      </c>
    </row>
    <row r="2143" spans="1:16" x14ac:dyDescent="0.3">
      <c r="A2143" t="s">
        <v>30</v>
      </c>
      <c r="B2143" t="s">
        <v>22</v>
      </c>
      <c r="C2143" t="s">
        <v>23</v>
      </c>
      <c r="D2143" t="s">
        <v>363</v>
      </c>
      <c r="E2143" t="s">
        <v>569</v>
      </c>
      <c r="F2143" t="s">
        <v>11</v>
      </c>
      <c r="G2143" t="s">
        <v>576</v>
      </c>
      <c r="H2143" t="s">
        <v>572</v>
      </c>
      <c r="I2143">
        <v>43</v>
      </c>
      <c r="J2143">
        <v>0.83972911963882613</v>
      </c>
      <c r="K2143">
        <v>0.84162895927601811</v>
      </c>
      <c r="L2143">
        <v>0.83783783783783783</v>
      </c>
      <c r="M2143" t="s">
        <v>60</v>
      </c>
      <c r="N2143" t="s">
        <v>4715</v>
      </c>
      <c r="O2143" t="s">
        <v>4716</v>
      </c>
      <c r="P2143">
        <v>2.5</v>
      </c>
    </row>
    <row r="2144" spans="1:16" x14ac:dyDescent="0.3">
      <c r="A2144" t="s">
        <v>30</v>
      </c>
      <c r="B2144" t="s">
        <v>22</v>
      </c>
      <c r="C2144" t="s">
        <v>23</v>
      </c>
      <c r="D2144" t="s">
        <v>363</v>
      </c>
      <c r="E2144" t="s">
        <v>569</v>
      </c>
      <c r="F2144" t="s">
        <v>11</v>
      </c>
      <c r="G2144" t="s">
        <v>581</v>
      </c>
      <c r="H2144" t="s">
        <v>572</v>
      </c>
      <c r="I2144">
        <v>44</v>
      </c>
      <c r="J2144">
        <v>0.8482142857142857</v>
      </c>
      <c r="K2144">
        <v>0.84070796460176989</v>
      </c>
      <c r="L2144">
        <v>0.85585585585585588</v>
      </c>
      <c r="M2144" t="s">
        <v>60</v>
      </c>
      <c r="N2144" t="s">
        <v>4717</v>
      </c>
      <c r="O2144" t="s">
        <v>4718</v>
      </c>
      <c r="P2144">
        <v>1.4</v>
      </c>
    </row>
    <row r="2145" spans="1:16" x14ac:dyDescent="0.3">
      <c r="A2145" t="s">
        <v>30</v>
      </c>
      <c r="B2145" t="s">
        <v>22</v>
      </c>
      <c r="C2145" t="s">
        <v>23</v>
      </c>
      <c r="D2145" t="s">
        <v>363</v>
      </c>
      <c r="E2145" t="s">
        <v>569</v>
      </c>
      <c r="F2145" t="s">
        <v>11</v>
      </c>
      <c r="G2145" t="s">
        <v>586</v>
      </c>
      <c r="H2145" t="s">
        <v>572</v>
      </c>
      <c r="I2145">
        <v>45</v>
      </c>
      <c r="J2145">
        <v>0.84374999999999989</v>
      </c>
      <c r="K2145">
        <v>0.83628318584070793</v>
      </c>
      <c r="L2145">
        <v>0.85135135135135132</v>
      </c>
      <c r="M2145" t="s">
        <v>60</v>
      </c>
      <c r="N2145" t="s">
        <v>4719</v>
      </c>
      <c r="O2145" t="s">
        <v>4720</v>
      </c>
      <c r="P2145">
        <v>2.1</v>
      </c>
    </row>
    <row r="2146" spans="1:16" x14ac:dyDescent="0.3">
      <c r="A2146" t="s">
        <v>30</v>
      </c>
      <c r="B2146" t="s">
        <v>22</v>
      </c>
      <c r="C2146" t="s">
        <v>23</v>
      </c>
      <c r="D2146" t="s">
        <v>363</v>
      </c>
      <c r="E2146" t="s">
        <v>569</v>
      </c>
      <c r="F2146" t="s">
        <v>11</v>
      </c>
      <c r="G2146" t="s">
        <v>591</v>
      </c>
      <c r="H2146" t="s">
        <v>572</v>
      </c>
      <c r="I2146">
        <v>46</v>
      </c>
      <c r="J2146">
        <v>0.84304932735426019</v>
      </c>
      <c r="K2146">
        <v>0.8392857142857143</v>
      </c>
      <c r="L2146">
        <v>0.84684684684684686</v>
      </c>
      <c r="M2146" t="s">
        <v>60</v>
      </c>
      <c r="N2146" t="s">
        <v>4721</v>
      </c>
      <c r="O2146" t="s">
        <v>4722</v>
      </c>
      <c r="P2146">
        <v>1.6</v>
      </c>
    </row>
    <row r="2147" spans="1:16" x14ac:dyDescent="0.3">
      <c r="A2147" t="s">
        <v>30</v>
      </c>
      <c r="B2147" t="s">
        <v>22</v>
      </c>
      <c r="C2147" t="s">
        <v>23</v>
      </c>
      <c r="D2147" t="s">
        <v>363</v>
      </c>
      <c r="E2147" t="s">
        <v>569</v>
      </c>
      <c r="F2147" t="s">
        <v>11</v>
      </c>
      <c r="G2147" t="s">
        <v>596</v>
      </c>
      <c r="H2147" t="s">
        <v>572</v>
      </c>
      <c r="I2147">
        <v>47</v>
      </c>
      <c r="J2147">
        <v>0.84615384615384615</v>
      </c>
      <c r="K2147">
        <v>0.85</v>
      </c>
      <c r="L2147">
        <v>0.84234234234234229</v>
      </c>
      <c r="M2147" t="s">
        <v>60</v>
      </c>
      <c r="N2147" t="s">
        <v>4723</v>
      </c>
      <c r="O2147" t="s">
        <v>4724</v>
      </c>
      <c r="P2147">
        <v>1.5</v>
      </c>
    </row>
    <row r="2148" spans="1:16" x14ac:dyDescent="0.3">
      <c r="A2148" t="s">
        <v>30</v>
      </c>
      <c r="B2148" t="s">
        <v>22</v>
      </c>
      <c r="C2148" t="s">
        <v>23</v>
      </c>
      <c r="D2148" t="s">
        <v>363</v>
      </c>
      <c r="E2148" t="s">
        <v>569</v>
      </c>
      <c r="F2148" t="s">
        <v>11</v>
      </c>
      <c r="G2148" t="s">
        <v>601</v>
      </c>
      <c r="H2148" t="s">
        <v>572</v>
      </c>
      <c r="I2148">
        <v>48</v>
      </c>
      <c r="J2148">
        <v>0.83813747228381374</v>
      </c>
      <c r="K2148">
        <v>0.8253275109170306</v>
      </c>
      <c r="L2148">
        <v>0.85135135135135132</v>
      </c>
      <c r="M2148" t="s">
        <v>60</v>
      </c>
      <c r="N2148" t="s">
        <v>4725</v>
      </c>
      <c r="O2148" t="s">
        <v>4726</v>
      </c>
      <c r="P2148">
        <v>1.4</v>
      </c>
    </row>
    <row r="2149" spans="1:16" x14ac:dyDescent="0.3">
      <c r="A2149" t="s">
        <v>30</v>
      </c>
      <c r="B2149" t="s">
        <v>22</v>
      </c>
      <c r="C2149" t="s">
        <v>23</v>
      </c>
      <c r="D2149" t="s">
        <v>363</v>
      </c>
      <c r="E2149" t="s">
        <v>569</v>
      </c>
      <c r="F2149" t="s">
        <v>11</v>
      </c>
      <c r="G2149" t="s">
        <v>606</v>
      </c>
      <c r="H2149" t="s">
        <v>572</v>
      </c>
      <c r="I2149">
        <v>49</v>
      </c>
      <c r="J2149">
        <v>0.82460136674259676</v>
      </c>
      <c r="K2149">
        <v>0.83410138248847931</v>
      </c>
      <c r="L2149">
        <v>0.81531531531531531</v>
      </c>
      <c r="M2149" t="s">
        <v>60</v>
      </c>
      <c r="N2149" t="s">
        <v>4727</v>
      </c>
      <c r="O2149" t="s">
        <v>4728</v>
      </c>
      <c r="P2149">
        <v>2</v>
      </c>
    </row>
    <row r="2150" spans="1:16" x14ac:dyDescent="0.3">
      <c r="A2150" t="s">
        <v>30</v>
      </c>
      <c r="B2150" t="s">
        <v>22</v>
      </c>
      <c r="C2150" t="s">
        <v>23</v>
      </c>
      <c r="D2150" t="s">
        <v>363</v>
      </c>
      <c r="E2150" t="s">
        <v>569</v>
      </c>
      <c r="F2150" t="s">
        <v>11</v>
      </c>
      <c r="G2150" t="s">
        <v>611</v>
      </c>
      <c r="H2150" t="s">
        <v>572</v>
      </c>
      <c r="I2150">
        <v>50</v>
      </c>
      <c r="J2150">
        <v>0.82142857142857151</v>
      </c>
      <c r="K2150">
        <v>0.81415929203539827</v>
      </c>
      <c r="L2150">
        <v>0.8288288288288288</v>
      </c>
      <c r="M2150" t="s">
        <v>60</v>
      </c>
      <c r="N2150" t="s">
        <v>4729</v>
      </c>
      <c r="O2150" t="s">
        <v>4730</v>
      </c>
      <c r="P2150">
        <v>1.4</v>
      </c>
    </row>
    <row r="2151" spans="1:16" x14ac:dyDescent="0.3">
      <c r="A2151" t="s">
        <v>30</v>
      </c>
      <c r="B2151" t="s">
        <v>22</v>
      </c>
      <c r="C2151" t="s">
        <v>23</v>
      </c>
      <c r="D2151" t="s">
        <v>363</v>
      </c>
      <c r="E2151" t="s">
        <v>569</v>
      </c>
      <c r="F2151" t="s">
        <v>11</v>
      </c>
      <c r="G2151" t="s">
        <v>616</v>
      </c>
      <c r="H2151" t="s">
        <v>572</v>
      </c>
      <c r="I2151">
        <v>51</v>
      </c>
      <c r="J2151">
        <v>0.8355555555555555</v>
      </c>
      <c r="K2151">
        <v>0.82456140350877194</v>
      </c>
      <c r="L2151">
        <v>0.84684684684684686</v>
      </c>
      <c r="M2151" t="s">
        <v>60</v>
      </c>
      <c r="N2151" t="s">
        <v>4731</v>
      </c>
      <c r="O2151" t="s">
        <v>4732</v>
      </c>
      <c r="P2151">
        <v>1.4</v>
      </c>
    </row>
    <row r="2152" spans="1:16" x14ac:dyDescent="0.3">
      <c r="A2152" t="s">
        <v>30</v>
      </c>
      <c r="B2152" t="s">
        <v>22</v>
      </c>
      <c r="C2152" t="s">
        <v>23</v>
      </c>
      <c r="D2152" t="s">
        <v>363</v>
      </c>
      <c r="E2152" t="s">
        <v>569</v>
      </c>
      <c r="F2152" t="s">
        <v>11</v>
      </c>
      <c r="G2152" t="s">
        <v>621</v>
      </c>
      <c r="H2152" t="s">
        <v>572</v>
      </c>
      <c r="I2152">
        <v>52</v>
      </c>
      <c r="J2152">
        <v>0.85458612975391501</v>
      </c>
      <c r="K2152">
        <v>0.84888888888888892</v>
      </c>
      <c r="L2152">
        <v>0.86036036036036034</v>
      </c>
      <c r="M2152" t="s">
        <v>60</v>
      </c>
      <c r="N2152" t="s">
        <v>4733</v>
      </c>
      <c r="O2152" t="s">
        <v>4734</v>
      </c>
      <c r="P2152">
        <v>1.4</v>
      </c>
    </row>
    <row r="2153" spans="1:16" x14ac:dyDescent="0.3">
      <c r="A2153" t="s">
        <v>30</v>
      </c>
      <c r="B2153" t="s">
        <v>22</v>
      </c>
      <c r="C2153" t="s">
        <v>23</v>
      </c>
      <c r="D2153" t="s">
        <v>363</v>
      </c>
      <c r="E2153" t="s">
        <v>569</v>
      </c>
      <c r="F2153" t="s">
        <v>11</v>
      </c>
      <c r="G2153" t="s">
        <v>626</v>
      </c>
      <c r="H2153" t="s">
        <v>572</v>
      </c>
      <c r="I2153">
        <v>53</v>
      </c>
      <c r="J2153">
        <v>0.82683982683982682</v>
      </c>
      <c r="K2153">
        <v>0.79583333333333328</v>
      </c>
      <c r="L2153">
        <v>0.86036036036036034</v>
      </c>
      <c r="M2153" t="s">
        <v>60</v>
      </c>
      <c r="N2153" t="s">
        <v>4735</v>
      </c>
      <c r="O2153" t="s">
        <v>4736</v>
      </c>
      <c r="P2153">
        <v>2.2999999999999998</v>
      </c>
    </row>
    <row r="2154" spans="1:16" x14ac:dyDescent="0.3">
      <c r="A2154" t="s">
        <v>30</v>
      </c>
      <c r="B2154" t="s">
        <v>22</v>
      </c>
      <c r="C2154" t="s">
        <v>23</v>
      </c>
      <c r="D2154" t="s">
        <v>363</v>
      </c>
      <c r="E2154" t="s">
        <v>569</v>
      </c>
      <c r="F2154" t="s">
        <v>11</v>
      </c>
      <c r="G2154" t="s">
        <v>631</v>
      </c>
      <c r="H2154" t="s">
        <v>572</v>
      </c>
      <c r="I2154">
        <v>54</v>
      </c>
      <c r="J2154">
        <v>0.8409586056644881</v>
      </c>
      <c r="K2154">
        <v>0.81434599156118148</v>
      </c>
      <c r="L2154">
        <v>0.86936936936936937</v>
      </c>
      <c r="M2154" t="s">
        <v>60</v>
      </c>
      <c r="N2154" t="s">
        <v>4737</v>
      </c>
      <c r="O2154" t="s">
        <v>4738</v>
      </c>
      <c r="P2154">
        <v>1.6</v>
      </c>
    </row>
    <row r="2155" spans="1:16" x14ac:dyDescent="0.3">
      <c r="A2155" t="s">
        <v>30</v>
      </c>
      <c r="B2155" t="s">
        <v>22</v>
      </c>
      <c r="C2155" t="s">
        <v>23</v>
      </c>
      <c r="D2155" t="s">
        <v>363</v>
      </c>
      <c r="E2155" t="s">
        <v>569</v>
      </c>
      <c r="F2155" t="s">
        <v>11</v>
      </c>
      <c r="G2155" t="s">
        <v>636</v>
      </c>
      <c r="H2155" t="s">
        <v>572</v>
      </c>
      <c r="I2155">
        <v>55</v>
      </c>
      <c r="J2155">
        <v>0.8355555555555555</v>
      </c>
      <c r="K2155">
        <v>0.82456140350877194</v>
      </c>
      <c r="L2155">
        <v>0.84684684684684686</v>
      </c>
      <c r="M2155" t="s">
        <v>60</v>
      </c>
      <c r="N2155" t="s">
        <v>4739</v>
      </c>
      <c r="O2155" t="s">
        <v>4740</v>
      </c>
      <c r="P2155">
        <v>1.4</v>
      </c>
    </row>
    <row r="2156" spans="1:16" x14ac:dyDescent="0.3">
      <c r="A2156" t="s">
        <v>30</v>
      </c>
      <c r="B2156" t="s">
        <v>22</v>
      </c>
      <c r="C2156" t="s">
        <v>23</v>
      </c>
      <c r="D2156" t="s">
        <v>363</v>
      </c>
      <c r="E2156" t="s">
        <v>569</v>
      </c>
      <c r="F2156" t="s">
        <v>11</v>
      </c>
      <c r="G2156" t="s">
        <v>641</v>
      </c>
      <c r="H2156" t="s">
        <v>572</v>
      </c>
      <c r="I2156">
        <v>56</v>
      </c>
      <c r="J2156">
        <v>0.83069977426636565</v>
      </c>
      <c r="K2156">
        <v>0.83257918552036203</v>
      </c>
      <c r="L2156">
        <v>0.8288288288288288</v>
      </c>
      <c r="M2156" t="s">
        <v>60</v>
      </c>
      <c r="N2156" t="s">
        <v>4741</v>
      </c>
      <c r="O2156" t="s">
        <v>4742</v>
      </c>
      <c r="P2156">
        <v>1.2</v>
      </c>
    </row>
    <row r="2157" spans="1:16" x14ac:dyDescent="0.3">
      <c r="A2157" t="s">
        <v>30</v>
      </c>
      <c r="B2157" t="s">
        <v>22</v>
      </c>
      <c r="C2157" t="s">
        <v>23</v>
      </c>
      <c r="D2157" t="s">
        <v>363</v>
      </c>
      <c r="E2157" t="s">
        <v>569</v>
      </c>
      <c r="F2157" t="s">
        <v>11</v>
      </c>
      <c r="G2157" t="s">
        <v>646</v>
      </c>
      <c r="H2157" t="s">
        <v>572</v>
      </c>
      <c r="I2157">
        <v>57</v>
      </c>
      <c r="J2157">
        <v>0.8482142857142857</v>
      </c>
      <c r="K2157">
        <v>0.84070796460176989</v>
      </c>
      <c r="L2157">
        <v>0.85585585585585588</v>
      </c>
      <c r="M2157" t="s">
        <v>60</v>
      </c>
      <c r="N2157" t="s">
        <v>4743</v>
      </c>
      <c r="O2157" t="s">
        <v>4744</v>
      </c>
      <c r="P2157">
        <v>0.8</v>
      </c>
    </row>
    <row r="2158" spans="1:16" x14ac:dyDescent="0.3">
      <c r="A2158" t="s">
        <v>30</v>
      </c>
      <c r="B2158" t="s">
        <v>22</v>
      </c>
      <c r="C2158" t="s">
        <v>23</v>
      </c>
      <c r="D2158" t="s">
        <v>363</v>
      </c>
      <c r="E2158" t="s">
        <v>569</v>
      </c>
      <c r="F2158" t="s">
        <v>11</v>
      </c>
      <c r="G2158" t="s">
        <v>651</v>
      </c>
      <c r="H2158" t="s">
        <v>572</v>
      </c>
      <c r="I2158">
        <v>58</v>
      </c>
      <c r="J2158">
        <v>0.820627802690583</v>
      </c>
      <c r="K2158">
        <v>0.8169642857142857</v>
      </c>
      <c r="L2158">
        <v>0.82432432432432434</v>
      </c>
      <c r="M2158" t="s">
        <v>60</v>
      </c>
      <c r="N2158" t="s">
        <v>4745</v>
      </c>
      <c r="O2158" t="s">
        <v>4746</v>
      </c>
      <c r="P2158">
        <v>0.8</v>
      </c>
    </row>
    <row r="2159" spans="1:16" x14ac:dyDescent="0.3">
      <c r="A2159" t="s">
        <v>30</v>
      </c>
      <c r="B2159" t="s">
        <v>22</v>
      </c>
      <c r="C2159" t="s">
        <v>23</v>
      </c>
      <c r="D2159" t="s">
        <v>363</v>
      </c>
      <c r="E2159" t="s">
        <v>569</v>
      </c>
      <c r="F2159" t="s">
        <v>11</v>
      </c>
      <c r="G2159" t="s">
        <v>656</v>
      </c>
      <c r="H2159" t="s">
        <v>572</v>
      </c>
      <c r="I2159">
        <v>59</v>
      </c>
      <c r="J2159">
        <v>0.84632516703786187</v>
      </c>
      <c r="K2159">
        <v>0.83700440528634357</v>
      </c>
      <c r="L2159">
        <v>0.85585585585585588</v>
      </c>
      <c r="M2159" t="s">
        <v>60</v>
      </c>
      <c r="N2159" t="s">
        <v>4747</v>
      </c>
      <c r="O2159" t="s">
        <v>4748</v>
      </c>
      <c r="P2159">
        <v>0.8</v>
      </c>
    </row>
    <row r="2160" spans="1:16" x14ac:dyDescent="0.3">
      <c r="A2160" t="s">
        <v>30</v>
      </c>
      <c r="B2160" t="s">
        <v>22</v>
      </c>
      <c r="C2160" t="s">
        <v>23</v>
      </c>
      <c r="D2160" t="s">
        <v>363</v>
      </c>
      <c r="E2160" t="s">
        <v>569</v>
      </c>
      <c r="F2160" t="s">
        <v>11</v>
      </c>
      <c r="G2160" t="s">
        <v>661</v>
      </c>
      <c r="H2160" t="s">
        <v>572</v>
      </c>
      <c r="I2160">
        <v>60</v>
      </c>
      <c r="J2160">
        <v>0.83972911963882613</v>
      </c>
      <c r="K2160">
        <v>0.84162895927601811</v>
      </c>
      <c r="L2160">
        <v>0.83783783783783783</v>
      </c>
      <c r="M2160" t="s">
        <v>60</v>
      </c>
      <c r="N2160" t="s">
        <v>4749</v>
      </c>
      <c r="O2160" t="s">
        <v>4748</v>
      </c>
      <c r="P2160">
        <v>0.8</v>
      </c>
    </row>
    <row r="2161" spans="1:16" x14ac:dyDescent="0.3">
      <c r="A2161" t="s">
        <v>30</v>
      </c>
      <c r="B2161" t="s">
        <v>22</v>
      </c>
      <c r="C2161" t="s">
        <v>23</v>
      </c>
      <c r="D2161" t="s">
        <v>363</v>
      </c>
      <c r="E2161" t="s">
        <v>569</v>
      </c>
      <c r="F2161" t="s">
        <v>11</v>
      </c>
      <c r="G2161" t="s">
        <v>666</v>
      </c>
      <c r="H2161" t="s">
        <v>572</v>
      </c>
      <c r="I2161">
        <v>61</v>
      </c>
      <c r="J2161">
        <v>0.8482142857142857</v>
      </c>
      <c r="K2161">
        <v>0.84070796460176989</v>
      </c>
      <c r="L2161">
        <v>0.85585585585585588</v>
      </c>
      <c r="M2161" t="s">
        <v>60</v>
      </c>
      <c r="N2161" t="s">
        <v>4749</v>
      </c>
      <c r="O2161" t="s">
        <v>4750</v>
      </c>
      <c r="P2161">
        <v>0.8</v>
      </c>
    </row>
    <row r="2162" spans="1:16" x14ac:dyDescent="0.3">
      <c r="A2162" t="s">
        <v>30</v>
      </c>
      <c r="B2162" t="s">
        <v>24</v>
      </c>
      <c r="C2162" t="s">
        <v>25</v>
      </c>
      <c r="D2162" t="s">
        <v>54</v>
      </c>
      <c r="E2162" t="s">
        <v>56</v>
      </c>
      <c r="F2162" t="s">
        <v>7</v>
      </c>
      <c r="G2162" t="s">
        <v>57</v>
      </c>
      <c r="H2162" t="s">
        <v>59</v>
      </c>
      <c r="I2162">
        <v>42</v>
      </c>
      <c r="J2162">
        <v>0.70066518847006654</v>
      </c>
      <c r="K2162">
        <v>0.71493212669683259</v>
      </c>
      <c r="L2162">
        <v>0.68695652173913047</v>
      </c>
      <c r="M2162" t="s">
        <v>60</v>
      </c>
      <c r="N2162" t="s">
        <v>4751</v>
      </c>
      <c r="O2162" t="s">
        <v>4752</v>
      </c>
      <c r="P2162">
        <v>7</v>
      </c>
    </row>
    <row r="2163" spans="1:16" x14ac:dyDescent="0.3">
      <c r="A2163" t="s">
        <v>30</v>
      </c>
      <c r="B2163" t="s">
        <v>24</v>
      </c>
      <c r="C2163" t="s">
        <v>25</v>
      </c>
      <c r="D2163" t="s">
        <v>54</v>
      </c>
      <c r="E2163" t="s">
        <v>56</v>
      </c>
      <c r="F2163" t="s">
        <v>7</v>
      </c>
      <c r="G2163" t="s">
        <v>65</v>
      </c>
      <c r="H2163" t="s">
        <v>59</v>
      </c>
      <c r="I2163">
        <v>43</v>
      </c>
      <c r="J2163">
        <v>0.69848156182212573</v>
      </c>
      <c r="K2163">
        <v>0.69696969696969702</v>
      </c>
      <c r="L2163">
        <v>0.7</v>
      </c>
      <c r="M2163" t="s">
        <v>60</v>
      </c>
      <c r="N2163" t="s">
        <v>4753</v>
      </c>
      <c r="O2163" t="s">
        <v>4754</v>
      </c>
      <c r="P2163">
        <v>1.8</v>
      </c>
    </row>
    <row r="2164" spans="1:16" x14ac:dyDescent="0.3">
      <c r="A2164" t="s">
        <v>30</v>
      </c>
      <c r="B2164" t="s">
        <v>24</v>
      </c>
      <c r="C2164" t="s">
        <v>25</v>
      </c>
      <c r="D2164" t="s">
        <v>54</v>
      </c>
      <c r="E2164" t="s">
        <v>56</v>
      </c>
      <c r="F2164" t="s">
        <v>7</v>
      </c>
      <c r="G2164" t="s">
        <v>70</v>
      </c>
      <c r="H2164" t="s">
        <v>59</v>
      </c>
      <c r="I2164">
        <v>44</v>
      </c>
      <c r="J2164">
        <v>0.71337579617834401</v>
      </c>
      <c r="K2164">
        <v>0.69709543568464727</v>
      </c>
      <c r="L2164">
        <v>0.73043478260869565</v>
      </c>
      <c r="M2164" t="s">
        <v>60</v>
      </c>
      <c r="N2164" t="s">
        <v>4755</v>
      </c>
      <c r="O2164" t="s">
        <v>4756</v>
      </c>
      <c r="P2164">
        <v>2.4</v>
      </c>
    </row>
    <row r="2165" spans="1:16" x14ac:dyDescent="0.3">
      <c r="A2165" t="s">
        <v>30</v>
      </c>
      <c r="B2165" t="s">
        <v>24</v>
      </c>
      <c r="C2165" t="s">
        <v>25</v>
      </c>
      <c r="D2165" t="s">
        <v>54</v>
      </c>
      <c r="E2165" t="s">
        <v>56</v>
      </c>
      <c r="F2165" t="s">
        <v>7</v>
      </c>
      <c r="G2165" t="s">
        <v>75</v>
      </c>
      <c r="H2165" t="s">
        <v>59</v>
      </c>
      <c r="I2165">
        <v>45</v>
      </c>
      <c r="J2165">
        <v>0.69658119658119666</v>
      </c>
      <c r="K2165">
        <v>0.68487394957983194</v>
      </c>
      <c r="L2165">
        <v>0.70869565217391306</v>
      </c>
      <c r="M2165" t="s">
        <v>60</v>
      </c>
      <c r="N2165" t="s">
        <v>4757</v>
      </c>
      <c r="O2165" t="s">
        <v>4758</v>
      </c>
      <c r="P2165">
        <v>2.1</v>
      </c>
    </row>
    <row r="2166" spans="1:16" x14ac:dyDescent="0.3">
      <c r="A2166" t="s">
        <v>30</v>
      </c>
      <c r="B2166" t="s">
        <v>24</v>
      </c>
      <c r="C2166" t="s">
        <v>25</v>
      </c>
      <c r="D2166" t="s">
        <v>54</v>
      </c>
      <c r="E2166" t="s">
        <v>56</v>
      </c>
      <c r="F2166" t="s">
        <v>7</v>
      </c>
      <c r="G2166" t="s">
        <v>80</v>
      </c>
      <c r="H2166" t="s">
        <v>59</v>
      </c>
      <c r="I2166">
        <v>46</v>
      </c>
      <c r="J2166">
        <v>0.6899563318777292</v>
      </c>
      <c r="K2166">
        <v>0.69298245614035092</v>
      </c>
      <c r="L2166">
        <v>0.68695652173913047</v>
      </c>
      <c r="M2166" t="s">
        <v>60</v>
      </c>
      <c r="N2166" t="s">
        <v>4759</v>
      </c>
      <c r="O2166" t="s">
        <v>4760</v>
      </c>
      <c r="P2166">
        <v>1.9</v>
      </c>
    </row>
    <row r="2167" spans="1:16" x14ac:dyDescent="0.3">
      <c r="A2167" t="s">
        <v>30</v>
      </c>
      <c r="B2167" t="s">
        <v>24</v>
      </c>
      <c r="C2167" t="s">
        <v>25</v>
      </c>
      <c r="D2167" t="s">
        <v>54</v>
      </c>
      <c r="E2167" t="s">
        <v>56</v>
      </c>
      <c r="F2167" t="s">
        <v>7</v>
      </c>
      <c r="G2167" t="s">
        <v>85</v>
      </c>
      <c r="H2167" t="s">
        <v>59</v>
      </c>
      <c r="I2167">
        <v>47</v>
      </c>
      <c r="J2167">
        <v>0.69198312236286919</v>
      </c>
      <c r="K2167">
        <v>0.67213114754098358</v>
      </c>
      <c r="L2167">
        <v>0.71304347826086956</v>
      </c>
      <c r="M2167" t="s">
        <v>60</v>
      </c>
      <c r="N2167" t="s">
        <v>4761</v>
      </c>
      <c r="O2167" t="s">
        <v>4762</v>
      </c>
      <c r="P2167">
        <v>2.2999999999999998</v>
      </c>
    </row>
    <row r="2168" spans="1:16" x14ac:dyDescent="0.3">
      <c r="A2168" t="s">
        <v>30</v>
      </c>
      <c r="B2168" t="s">
        <v>24</v>
      </c>
      <c r="C2168" t="s">
        <v>25</v>
      </c>
      <c r="D2168" t="s">
        <v>54</v>
      </c>
      <c r="E2168" t="s">
        <v>56</v>
      </c>
      <c r="F2168" t="s">
        <v>7</v>
      </c>
      <c r="G2168" t="s">
        <v>90</v>
      </c>
      <c r="H2168" t="s">
        <v>59</v>
      </c>
      <c r="I2168">
        <v>48</v>
      </c>
      <c r="J2168">
        <v>0.64559819413092556</v>
      </c>
      <c r="K2168">
        <v>0.67136150234741787</v>
      </c>
      <c r="L2168">
        <v>0.62173913043478257</v>
      </c>
      <c r="M2168" t="s">
        <v>60</v>
      </c>
      <c r="N2168" t="s">
        <v>4763</v>
      </c>
      <c r="O2168" t="s">
        <v>4764</v>
      </c>
      <c r="P2168">
        <v>1.9</v>
      </c>
    </row>
    <row r="2169" spans="1:16" x14ac:dyDescent="0.3">
      <c r="A2169" t="s">
        <v>30</v>
      </c>
      <c r="B2169" t="s">
        <v>24</v>
      </c>
      <c r="C2169" t="s">
        <v>25</v>
      </c>
      <c r="D2169" t="s">
        <v>54</v>
      </c>
      <c r="E2169" t="s">
        <v>56</v>
      </c>
      <c r="F2169" t="s">
        <v>7</v>
      </c>
      <c r="G2169" t="s">
        <v>95</v>
      </c>
      <c r="H2169" t="s">
        <v>59</v>
      </c>
      <c r="I2169">
        <v>49</v>
      </c>
      <c r="J2169">
        <v>0.69098712446351929</v>
      </c>
      <c r="K2169">
        <v>0.68220338983050843</v>
      </c>
      <c r="L2169">
        <v>0.7</v>
      </c>
      <c r="M2169" t="s">
        <v>60</v>
      </c>
      <c r="N2169" t="s">
        <v>4765</v>
      </c>
      <c r="O2169" t="s">
        <v>4766</v>
      </c>
      <c r="P2169">
        <v>1.8</v>
      </c>
    </row>
    <row r="2170" spans="1:16" x14ac:dyDescent="0.3">
      <c r="A2170" t="s">
        <v>30</v>
      </c>
      <c r="B2170" t="s">
        <v>24</v>
      </c>
      <c r="C2170" t="s">
        <v>25</v>
      </c>
      <c r="D2170" t="s">
        <v>54</v>
      </c>
      <c r="E2170" t="s">
        <v>56</v>
      </c>
      <c r="F2170" t="s">
        <v>7</v>
      </c>
      <c r="G2170" t="s">
        <v>100</v>
      </c>
      <c r="H2170" t="s">
        <v>59</v>
      </c>
      <c r="I2170">
        <v>50</v>
      </c>
      <c r="J2170">
        <v>0.6785714285714286</v>
      </c>
      <c r="K2170">
        <v>0.69724770642201839</v>
      </c>
      <c r="L2170">
        <v>0.66086956521739126</v>
      </c>
      <c r="M2170" t="s">
        <v>60</v>
      </c>
      <c r="N2170" t="s">
        <v>4767</v>
      </c>
      <c r="O2170" t="s">
        <v>4768</v>
      </c>
      <c r="P2170">
        <v>1.9</v>
      </c>
    </row>
    <row r="2171" spans="1:16" x14ac:dyDescent="0.3">
      <c r="A2171" t="s">
        <v>30</v>
      </c>
      <c r="B2171" t="s">
        <v>24</v>
      </c>
      <c r="C2171" t="s">
        <v>25</v>
      </c>
      <c r="D2171" t="s">
        <v>54</v>
      </c>
      <c r="E2171" t="s">
        <v>56</v>
      </c>
      <c r="F2171" t="s">
        <v>7</v>
      </c>
      <c r="G2171" t="s">
        <v>105</v>
      </c>
      <c r="H2171" t="s">
        <v>59</v>
      </c>
      <c r="I2171">
        <v>51</v>
      </c>
      <c r="J2171">
        <v>0.69396551724137923</v>
      </c>
      <c r="K2171">
        <v>0.68803418803418803</v>
      </c>
      <c r="L2171">
        <v>0.7</v>
      </c>
      <c r="M2171" t="s">
        <v>60</v>
      </c>
      <c r="N2171" t="s">
        <v>4769</v>
      </c>
      <c r="O2171" t="s">
        <v>4770</v>
      </c>
      <c r="P2171">
        <v>2.5</v>
      </c>
    </row>
    <row r="2172" spans="1:16" x14ac:dyDescent="0.3">
      <c r="A2172" t="s">
        <v>30</v>
      </c>
      <c r="B2172" t="s">
        <v>24</v>
      </c>
      <c r="C2172" t="s">
        <v>25</v>
      </c>
      <c r="D2172" t="s">
        <v>54</v>
      </c>
      <c r="E2172" t="s">
        <v>56</v>
      </c>
      <c r="F2172" t="s">
        <v>7</v>
      </c>
      <c r="G2172" t="s">
        <v>110</v>
      </c>
      <c r="H2172" t="s">
        <v>59</v>
      </c>
      <c r="I2172">
        <v>52</v>
      </c>
      <c r="J2172">
        <v>0.6394557823129251</v>
      </c>
      <c r="K2172">
        <v>0.66824644549763035</v>
      </c>
      <c r="L2172">
        <v>0.61304347826086958</v>
      </c>
      <c r="M2172" t="s">
        <v>60</v>
      </c>
      <c r="N2172" t="s">
        <v>4771</v>
      </c>
      <c r="O2172" t="s">
        <v>4772</v>
      </c>
      <c r="P2172">
        <v>1.9</v>
      </c>
    </row>
    <row r="2173" spans="1:16" x14ac:dyDescent="0.3">
      <c r="A2173" t="s">
        <v>30</v>
      </c>
      <c r="B2173" t="s">
        <v>24</v>
      </c>
      <c r="C2173" t="s">
        <v>25</v>
      </c>
      <c r="D2173" t="s">
        <v>54</v>
      </c>
      <c r="E2173" t="s">
        <v>56</v>
      </c>
      <c r="F2173" t="s">
        <v>7</v>
      </c>
      <c r="G2173" t="s">
        <v>115</v>
      </c>
      <c r="H2173" t="s">
        <v>59</v>
      </c>
      <c r="I2173">
        <v>53</v>
      </c>
      <c r="J2173">
        <v>0.69379014989293364</v>
      </c>
      <c r="K2173">
        <v>0.68354430379746833</v>
      </c>
      <c r="L2173">
        <v>0.70434782608695656</v>
      </c>
      <c r="M2173" t="s">
        <v>60</v>
      </c>
      <c r="N2173" t="s">
        <v>4773</v>
      </c>
      <c r="O2173" t="s">
        <v>4774</v>
      </c>
      <c r="P2173">
        <v>2.2999999999999998</v>
      </c>
    </row>
    <row r="2174" spans="1:16" x14ac:dyDescent="0.3">
      <c r="A2174" t="s">
        <v>30</v>
      </c>
      <c r="B2174" t="s">
        <v>24</v>
      </c>
      <c r="C2174" t="s">
        <v>25</v>
      </c>
      <c r="D2174" t="s">
        <v>54</v>
      </c>
      <c r="E2174" t="s">
        <v>56</v>
      </c>
      <c r="F2174" t="s">
        <v>7</v>
      </c>
      <c r="G2174" t="s">
        <v>120</v>
      </c>
      <c r="H2174" t="s">
        <v>59</v>
      </c>
      <c r="I2174">
        <v>54</v>
      </c>
      <c r="J2174">
        <v>0.71739130434782605</v>
      </c>
      <c r="K2174">
        <v>0.71739130434782605</v>
      </c>
      <c r="L2174">
        <v>0.71739130434782605</v>
      </c>
      <c r="M2174" t="s">
        <v>60</v>
      </c>
      <c r="N2174" t="s">
        <v>4775</v>
      </c>
      <c r="O2174" t="s">
        <v>4776</v>
      </c>
      <c r="P2174">
        <v>1.9</v>
      </c>
    </row>
    <row r="2175" spans="1:16" x14ac:dyDescent="0.3">
      <c r="A2175" t="s">
        <v>30</v>
      </c>
      <c r="B2175" t="s">
        <v>24</v>
      </c>
      <c r="C2175" t="s">
        <v>25</v>
      </c>
      <c r="D2175" t="s">
        <v>54</v>
      </c>
      <c r="E2175" t="s">
        <v>56</v>
      </c>
      <c r="F2175" t="s">
        <v>7</v>
      </c>
      <c r="G2175" t="s">
        <v>125</v>
      </c>
      <c r="H2175" t="s">
        <v>59</v>
      </c>
      <c r="I2175">
        <v>55</v>
      </c>
      <c r="J2175">
        <v>0.68498942917547567</v>
      </c>
      <c r="K2175">
        <v>0.66666666666666663</v>
      </c>
      <c r="L2175">
        <v>0.70434782608695656</v>
      </c>
      <c r="M2175" t="s">
        <v>60</v>
      </c>
      <c r="N2175" t="s">
        <v>4777</v>
      </c>
      <c r="O2175" t="s">
        <v>4778</v>
      </c>
      <c r="P2175">
        <v>2.2000000000000002</v>
      </c>
    </row>
    <row r="2176" spans="1:16" x14ac:dyDescent="0.3">
      <c r="A2176" t="s">
        <v>30</v>
      </c>
      <c r="B2176" t="s">
        <v>24</v>
      </c>
      <c r="C2176" t="s">
        <v>25</v>
      </c>
      <c r="D2176" t="s">
        <v>54</v>
      </c>
      <c r="E2176" t="s">
        <v>56</v>
      </c>
      <c r="F2176" t="s">
        <v>7</v>
      </c>
      <c r="G2176" t="s">
        <v>130</v>
      </c>
      <c r="H2176" t="s">
        <v>59</v>
      </c>
      <c r="I2176">
        <v>56</v>
      </c>
      <c r="J2176">
        <v>0.71308016877637137</v>
      </c>
      <c r="K2176">
        <v>0.69262295081967218</v>
      </c>
      <c r="L2176">
        <v>0.73478260869565215</v>
      </c>
      <c r="M2176" t="s">
        <v>60</v>
      </c>
      <c r="N2176" t="s">
        <v>4779</v>
      </c>
      <c r="O2176" t="s">
        <v>4780</v>
      </c>
      <c r="P2176">
        <v>2</v>
      </c>
    </row>
    <row r="2177" spans="1:16" x14ac:dyDescent="0.3">
      <c r="A2177" t="s">
        <v>30</v>
      </c>
      <c r="B2177" t="s">
        <v>24</v>
      </c>
      <c r="C2177" t="s">
        <v>25</v>
      </c>
      <c r="D2177" t="s">
        <v>54</v>
      </c>
      <c r="E2177" t="s">
        <v>56</v>
      </c>
      <c r="F2177" t="s">
        <v>7</v>
      </c>
      <c r="G2177" t="s">
        <v>135</v>
      </c>
      <c r="H2177" t="s">
        <v>59</v>
      </c>
      <c r="I2177">
        <v>57</v>
      </c>
      <c r="J2177">
        <v>0.68387096774193545</v>
      </c>
      <c r="K2177">
        <v>0.67659574468085104</v>
      </c>
      <c r="L2177">
        <v>0.69130434782608696</v>
      </c>
      <c r="M2177" t="s">
        <v>60</v>
      </c>
      <c r="N2177" t="s">
        <v>4781</v>
      </c>
      <c r="O2177" t="s">
        <v>4782</v>
      </c>
      <c r="P2177">
        <v>2.2999999999999998</v>
      </c>
    </row>
    <row r="2178" spans="1:16" x14ac:dyDescent="0.3">
      <c r="A2178" t="s">
        <v>30</v>
      </c>
      <c r="B2178" t="s">
        <v>24</v>
      </c>
      <c r="C2178" t="s">
        <v>25</v>
      </c>
      <c r="D2178" t="s">
        <v>54</v>
      </c>
      <c r="E2178" t="s">
        <v>56</v>
      </c>
      <c r="F2178" t="s">
        <v>7</v>
      </c>
      <c r="G2178" t="s">
        <v>140</v>
      </c>
      <c r="H2178" t="s">
        <v>59</v>
      </c>
      <c r="I2178">
        <v>58</v>
      </c>
      <c r="J2178">
        <v>0.70512820512820507</v>
      </c>
      <c r="K2178">
        <v>0.69327731092436973</v>
      </c>
      <c r="L2178">
        <v>0.71739130434782605</v>
      </c>
      <c r="M2178" t="s">
        <v>60</v>
      </c>
      <c r="N2178" t="s">
        <v>4783</v>
      </c>
      <c r="O2178" t="s">
        <v>4784</v>
      </c>
      <c r="P2178">
        <v>1.9</v>
      </c>
    </row>
    <row r="2179" spans="1:16" x14ac:dyDescent="0.3">
      <c r="A2179" t="s">
        <v>30</v>
      </c>
      <c r="B2179" t="s">
        <v>24</v>
      </c>
      <c r="C2179" t="s">
        <v>25</v>
      </c>
      <c r="D2179" t="s">
        <v>54</v>
      </c>
      <c r="E2179" t="s">
        <v>56</v>
      </c>
      <c r="F2179" t="s">
        <v>7</v>
      </c>
      <c r="G2179" t="s">
        <v>145</v>
      </c>
      <c r="H2179" t="s">
        <v>59</v>
      </c>
      <c r="I2179">
        <v>59</v>
      </c>
      <c r="J2179">
        <v>0.68510638297872339</v>
      </c>
      <c r="K2179">
        <v>0.67083333333333328</v>
      </c>
      <c r="L2179">
        <v>0.7</v>
      </c>
      <c r="M2179" t="s">
        <v>60</v>
      </c>
      <c r="N2179" t="s">
        <v>4785</v>
      </c>
      <c r="O2179" t="s">
        <v>4786</v>
      </c>
      <c r="P2179">
        <v>2.4</v>
      </c>
    </row>
    <row r="2180" spans="1:16" x14ac:dyDescent="0.3">
      <c r="A2180" t="s">
        <v>30</v>
      </c>
      <c r="B2180" t="s">
        <v>24</v>
      </c>
      <c r="C2180" t="s">
        <v>25</v>
      </c>
      <c r="D2180" t="s">
        <v>54</v>
      </c>
      <c r="E2180" t="s">
        <v>56</v>
      </c>
      <c r="F2180" t="s">
        <v>7</v>
      </c>
      <c r="G2180" t="s">
        <v>150</v>
      </c>
      <c r="H2180" t="s">
        <v>59</v>
      </c>
      <c r="I2180">
        <v>60</v>
      </c>
      <c r="J2180">
        <v>0.6889352818371608</v>
      </c>
      <c r="K2180">
        <v>0.66265060240963858</v>
      </c>
      <c r="L2180">
        <v>0.71739130434782605</v>
      </c>
      <c r="M2180" t="s">
        <v>60</v>
      </c>
      <c r="N2180" t="s">
        <v>4787</v>
      </c>
      <c r="O2180" t="s">
        <v>4788</v>
      </c>
      <c r="P2180">
        <v>1.9</v>
      </c>
    </row>
    <row r="2181" spans="1:16" x14ac:dyDescent="0.3">
      <c r="A2181" t="s">
        <v>30</v>
      </c>
      <c r="B2181" t="s">
        <v>24</v>
      </c>
      <c r="C2181" t="s">
        <v>25</v>
      </c>
      <c r="D2181" t="s">
        <v>54</v>
      </c>
      <c r="E2181" t="s">
        <v>56</v>
      </c>
      <c r="F2181" t="s">
        <v>7</v>
      </c>
      <c r="G2181" t="s">
        <v>155</v>
      </c>
      <c r="H2181" t="s">
        <v>59</v>
      </c>
      <c r="I2181">
        <v>61</v>
      </c>
      <c r="J2181">
        <v>0.71269487750556781</v>
      </c>
      <c r="K2181">
        <v>0.73059360730593603</v>
      </c>
      <c r="L2181">
        <v>0.69565217391304346</v>
      </c>
      <c r="M2181" t="s">
        <v>60</v>
      </c>
      <c r="N2181" t="s">
        <v>4789</v>
      </c>
      <c r="O2181" t="s">
        <v>4790</v>
      </c>
      <c r="P2181">
        <v>1.9</v>
      </c>
    </row>
    <row r="2182" spans="1:16" x14ac:dyDescent="0.3">
      <c r="A2182" t="s">
        <v>30</v>
      </c>
      <c r="B2182" t="s">
        <v>24</v>
      </c>
      <c r="C2182" t="s">
        <v>25</v>
      </c>
      <c r="D2182" t="s">
        <v>54</v>
      </c>
      <c r="E2182" t="s">
        <v>160</v>
      </c>
      <c r="F2182" t="s">
        <v>3</v>
      </c>
      <c r="G2182" t="s">
        <v>161</v>
      </c>
      <c r="H2182" t="s">
        <v>163</v>
      </c>
      <c r="I2182">
        <v>42</v>
      </c>
      <c r="J2182">
        <v>0.68</v>
      </c>
      <c r="K2182">
        <v>0.65745856353591159</v>
      </c>
      <c r="L2182">
        <v>0.70414201183431957</v>
      </c>
      <c r="M2182" t="s">
        <v>60</v>
      </c>
      <c r="N2182" t="s">
        <v>4791</v>
      </c>
      <c r="O2182" t="s">
        <v>4792</v>
      </c>
      <c r="P2182">
        <v>1.8</v>
      </c>
    </row>
    <row r="2183" spans="1:16" x14ac:dyDescent="0.3">
      <c r="A2183" t="s">
        <v>30</v>
      </c>
      <c r="B2183" t="s">
        <v>24</v>
      </c>
      <c r="C2183" t="s">
        <v>25</v>
      </c>
      <c r="D2183" t="s">
        <v>54</v>
      </c>
      <c r="E2183" t="s">
        <v>160</v>
      </c>
      <c r="F2183" t="s">
        <v>3</v>
      </c>
      <c r="G2183" t="s">
        <v>167</v>
      </c>
      <c r="H2183" t="s">
        <v>163</v>
      </c>
      <c r="I2183">
        <v>43</v>
      </c>
      <c r="J2183">
        <v>0.70391061452513959</v>
      </c>
      <c r="K2183">
        <v>0.66666666666666663</v>
      </c>
      <c r="L2183">
        <v>0.74556213017751483</v>
      </c>
      <c r="M2183" t="s">
        <v>60</v>
      </c>
      <c r="N2183" t="s">
        <v>4793</v>
      </c>
      <c r="O2183" t="s">
        <v>4794</v>
      </c>
      <c r="P2183">
        <v>2.2000000000000002</v>
      </c>
    </row>
    <row r="2184" spans="1:16" x14ac:dyDescent="0.3">
      <c r="A2184" t="s">
        <v>30</v>
      </c>
      <c r="B2184" t="s">
        <v>24</v>
      </c>
      <c r="C2184" t="s">
        <v>25</v>
      </c>
      <c r="D2184" t="s">
        <v>54</v>
      </c>
      <c r="E2184" t="s">
        <v>160</v>
      </c>
      <c r="F2184" t="s">
        <v>3</v>
      </c>
      <c r="G2184" t="s">
        <v>172</v>
      </c>
      <c r="H2184" t="s">
        <v>163</v>
      </c>
      <c r="I2184">
        <v>44</v>
      </c>
      <c r="J2184">
        <v>0.72159090909090917</v>
      </c>
      <c r="K2184">
        <v>0.69398907103825136</v>
      </c>
      <c r="L2184">
        <v>0.75147928994082835</v>
      </c>
      <c r="M2184" t="s">
        <v>60</v>
      </c>
      <c r="N2184" t="s">
        <v>4795</v>
      </c>
      <c r="O2184" t="s">
        <v>4796</v>
      </c>
      <c r="P2184">
        <v>1.8</v>
      </c>
    </row>
    <row r="2185" spans="1:16" x14ac:dyDescent="0.3">
      <c r="A2185" t="s">
        <v>30</v>
      </c>
      <c r="B2185" t="s">
        <v>24</v>
      </c>
      <c r="C2185" t="s">
        <v>25</v>
      </c>
      <c r="D2185" t="s">
        <v>54</v>
      </c>
      <c r="E2185" t="s">
        <v>160</v>
      </c>
      <c r="F2185" t="s">
        <v>3</v>
      </c>
      <c r="G2185" t="s">
        <v>177</v>
      </c>
      <c r="H2185" t="s">
        <v>163</v>
      </c>
      <c r="I2185">
        <v>45</v>
      </c>
      <c r="J2185">
        <v>0.69080779944289694</v>
      </c>
      <c r="K2185">
        <v>0.65263157894736845</v>
      </c>
      <c r="L2185">
        <v>0.73372781065088755</v>
      </c>
      <c r="M2185" t="s">
        <v>60</v>
      </c>
      <c r="N2185" t="s">
        <v>4797</v>
      </c>
      <c r="O2185" t="s">
        <v>4798</v>
      </c>
      <c r="P2185">
        <v>1.7</v>
      </c>
    </row>
    <row r="2186" spans="1:16" x14ac:dyDescent="0.3">
      <c r="A2186" t="s">
        <v>30</v>
      </c>
      <c r="B2186" t="s">
        <v>24</v>
      </c>
      <c r="C2186" t="s">
        <v>25</v>
      </c>
      <c r="D2186" t="s">
        <v>54</v>
      </c>
      <c r="E2186" t="s">
        <v>160</v>
      </c>
      <c r="F2186" t="s">
        <v>3</v>
      </c>
      <c r="G2186" t="s">
        <v>182</v>
      </c>
      <c r="H2186" t="s">
        <v>163</v>
      </c>
      <c r="I2186">
        <v>46</v>
      </c>
      <c r="J2186">
        <v>0.69740634005763691</v>
      </c>
      <c r="K2186">
        <v>0.6797752808988764</v>
      </c>
      <c r="L2186">
        <v>0.71597633136094674</v>
      </c>
      <c r="M2186" t="s">
        <v>60</v>
      </c>
      <c r="N2186" t="s">
        <v>4799</v>
      </c>
      <c r="O2186" t="s">
        <v>4800</v>
      </c>
      <c r="P2186">
        <v>2.2000000000000002</v>
      </c>
    </row>
    <row r="2187" spans="1:16" x14ac:dyDescent="0.3">
      <c r="A2187" t="s">
        <v>30</v>
      </c>
      <c r="B2187" t="s">
        <v>24</v>
      </c>
      <c r="C2187" t="s">
        <v>25</v>
      </c>
      <c r="D2187" t="s">
        <v>54</v>
      </c>
      <c r="E2187" t="s">
        <v>160</v>
      </c>
      <c r="F2187" t="s">
        <v>3</v>
      </c>
      <c r="G2187" t="s">
        <v>187</v>
      </c>
      <c r="H2187" t="s">
        <v>163</v>
      </c>
      <c r="I2187">
        <v>47</v>
      </c>
      <c r="J2187">
        <v>0.69540229885057459</v>
      </c>
      <c r="K2187">
        <v>0.67597765363128492</v>
      </c>
      <c r="L2187">
        <v>0.71597633136094674</v>
      </c>
      <c r="M2187" t="s">
        <v>60</v>
      </c>
      <c r="N2187" t="s">
        <v>4801</v>
      </c>
      <c r="O2187" t="s">
        <v>4802</v>
      </c>
      <c r="P2187">
        <v>1.7</v>
      </c>
    </row>
    <row r="2188" spans="1:16" x14ac:dyDescent="0.3">
      <c r="A2188" t="s">
        <v>30</v>
      </c>
      <c r="B2188" t="s">
        <v>24</v>
      </c>
      <c r="C2188" t="s">
        <v>25</v>
      </c>
      <c r="D2188" t="s">
        <v>54</v>
      </c>
      <c r="E2188" t="s">
        <v>160</v>
      </c>
      <c r="F2188" t="s">
        <v>3</v>
      </c>
      <c r="G2188" t="s">
        <v>192</v>
      </c>
      <c r="H2188" t="s">
        <v>163</v>
      </c>
      <c r="I2188">
        <v>48</v>
      </c>
      <c r="J2188">
        <v>0.72112676056338021</v>
      </c>
      <c r="K2188">
        <v>0.68817204301075274</v>
      </c>
      <c r="L2188">
        <v>0.75739644970414199</v>
      </c>
      <c r="M2188" t="s">
        <v>60</v>
      </c>
      <c r="N2188" t="s">
        <v>4803</v>
      </c>
      <c r="O2188" t="s">
        <v>4804</v>
      </c>
      <c r="P2188">
        <v>1.8</v>
      </c>
    </row>
    <row r="2189" spans="1:16" x14ac:dyDescent="0.3">
      <c r="A2189" t="s">
        <v>30</v>
      </c>
      <c r="B2189" t="s">
        <v>24</v>
      </c>
      <c r="C2189" t="s">
        <v>25</v>
      </c>
      <c r="D2189" t="s">
        <v>54</v>
      </c>
      <c r="E2189" t="s">
        <v>160</v>
      </c>
      <c r="F2189" t="s">
        <v>3</v>
      </c>
      <c r="G2189" t="s">
        <v>197</v>
      </c>
      <c r="H2189" t="s">
        <v>163</v>
      </c>
      <c r="I2189">
        <v>49</v>
      </c>
      <c r="J2189">
        <v>0.74052478134110788</v>
      </c>
      <c r="K2189">
        <v>0.72988505747126442</v>
      </c>
      <c r="L2189">
        <v>0.75147928994082835</v>
      </c>
      <c r="M2189" t="s">
        <v>60</v>
      </c>
      <c r="N2189" t="s">
        <v>4805</v>
      </c>
      <c r="O2189" t="s">
        <v>4806</v>
      </c>
      <c r="P2189">
        <v>1.9</v>
      </c>
    </row>
    <row r="2190" spans="1:16" x14ac:dyDescent="0.3">
      <c r="A2190" t="s">
        <v>30</v>
      </c>
      <c r="B2190" t="s">
        <v>24</v>
      </c>
      <c r="C2190" t="s">
        <v>25</v>
      </c>
      <c r="D2190" t="s">
        <v>54</v>
      </c>
      <c r="E2190" t="s">
        <v>160</v>
      </c>
      <c r="F2190" t="s">
        <v>3</v>
      </c>
      <c r="G2190" t="s">
        <v>202</v>
      </c>
      <c r="H2190" t="s">
        <v>163</v>
      </c>
      <c r="I2190">
        <v>50</v>
      </c>
      <c r="J2190">
        <v>0.72046109510086453</v>
      </c>
      <c r="K2190">
        <v>0.702247191011236</v>
      </c>
      <c r="L2190">
        <v>0.73964497041420119</v>
      </c>
      <c r="M2190" t="s">
        <v>60</v>
      </c>
      <c r="N2190" t="s">
        <v>4807</v>
      </c>
      <c r="O2190" t="s">
        <v>4808</v>
      </c>
      <c r="P2190">
        <v>2.1</v>
      </c>
    </row>
    <row r="2191" spans="1:16" x14ac:dyDescent="0.3">
      <c r="A2191" t="s">
        <v>30</v>
      </c>
      <c r="B2191" t="s">
        <v>24</v>
      </c>
      <c r="C2191" t="s">
        <v>25</v>
      </c>
      <c r="D2191" t="s">
        <v>54</v>
      </c>
      <c r="E2191" t="s">
        <v>160</v>
      </c>
      <c r="F2191" t="s">
        <v>3</v>
      </c>
      <c r="G2191" t="s">
        <v>207</v>
      </c>
      <c r="H2191" t="s">
        <v>163</v>
      </c>
      <c r="I2191">
        <v>51</v>
      </c>
      <c r="J2191">
        <v>0.7176470588235293</v>
      </c>
      <c r="K2191">
        <v>0.71345029239766078</v>
      </c>
      <c r="L2191">
        <v>0.72189349112426038</v>
      </c>
      <c r="M2191" t="s">
        <v>60</v>
      </c>
      <c r="N2191" t="s">
        <v>4809</v>
      </c>
      <c r="O2191" t="s">
        <v>4810</v>
      </c>
      <c r="P2191">
        <v>1.9</v>
      </c>
    </row>
    <row r="2192" spans="1:16" x14ac:dyDescent="0.3">
      <c r="A2192" t="s">
        <v>30</v>
      </c>
      <c r="B2192" t="s">
        <v>24</v>
      </c>
      <c r="C2192" t="s">
        <v>25</v>
      </c>
      <c r="D2192" t="s">
        <v>54</v>
      </c>
      <c r="E2192" t="s">
        <v>160</v>
      </c>
      <c r="F2192" t="s">
        <v>3</v>
      </c>
      <c r="G2192" t="s">
        <v>212</v>
      </c>
      <c r="H2192" t="s">
        <v>163</v>
      </c>
      <c r="I2192">
        <v>52</v>
      </c>
      <c r="J2192">
        <v>0.70348837209302317</v>
      </c>
      <c r="K2192">
        <v>0.69142857142857139</v>
      </c>
      <c r="L2192">
        <v>0.71597633136094674</v>
      </c>
      <c r="M2192" t="s">
        <v>60</v>
      </c>
      <c r="N2192" t="s">
        <v>4811</v>
      </c>
      <c r="O2192" t="s">
        <v>4812</v>
      </c>
      <c r="P2192">
        <v>2.7</v>
      </c>
    </row>
    <row r="2193" spans="1:16" x14ac:dyDescent="0.3">
      <c r="A2193" t="s">
        <v>30</v>
      </c>
      <c r="B2193" t="s">
        <v>24</v>
      </c>
      <c r="C2193" t="s">
        <v>25</v>
      </c>
      <c r="D2193" t="s">
        <v>54</v>
      </c>
      <c r="E2193" t="s">
        <v>160</v>
      </c>
      <c r="F2193" t="s">
        <v>3</v>
      </c>
      <c r="G2193" t="s">
        <v>217</v>
      </c>
      <c r="H2193" t="s">
        <v>163</v>
      </c>
      <c r="I2193">
        <v>53</v>
      </c>
      <c r="J2193">
        <v>0.72881355932203384</v>
      </c>
      <c r="K2193">
        <v>0.69729729729729728</v>
      </c>
      <c r="L2193">
        <v>0.76331360946745563</v>
      </c>
      <c r="M2193" t="s">
        <v>60</v>
      </c>
      <c r="N2193" t="s">
        <v>4813</v>
      </c>
      <c r="O2193" t="s">
        <v>4814</v>
      </c>
      <c r="P2193">
        <v>2.1</v>
      </c>
    </row>
    <row r="2194" spans="1:16" x14ac:dyDescent="0.3">
      <c r="A2194" t="s">
        <v>30</v>
      </c>
      <c r="B2194" t="s">
        <v>24</v>
      </c>
      <c r="C2194" t="s">
        <v>25</v>
      </c>
      <c r="D2194" t="s">
        <v>54</v>
      </c>
      <c r="E2194" t="s">
        <v>160</v>
      </c>
      <c r="F2194" t="s">
        <v>3</v>
      </c>
      <c r="G2194" t="s">
        <v>222</v>
      </c>
      <c r="H2194" t="s">
        <v>163</v>
      </c>
      <c r="I2194">
        <v>54</v>
      </c>
      <c r="J2194">
        <v>0.70555555555555549</v>
      </c>
      <c r="K2194">
        <v>0.66492146596858637</v>
      </c>
      <c r="L2194">
        <v>0.75147928994082835</v>
      </c>
      <c r="M2194" t="s">
        <v>60</v>
      </c>
      <c r="N2194" t="s">
        <v>4815</v>
      </c>
      <c r="O2194" t="s">
        <v>4816</v>
      </c>
      <c r="P2194">
        <v>1.7</v>
      </c>
    </row>
    <row r="2195" spans="1:16" x14ac:dyDescent="0.3">
      <c r="A2195" t="s">
        <v>30</v>
      </c>
      <c r="B2195" t="s">
        <v>24</v>
      </c>
      <c r="C2195" t="s">
        <v>25</v>
      </c>
      <c r="D2195" t="s">
        <v>54</v>
      </c>
      <c r="E2195" t="s">
        <v>160</v>
      </c>
      <c r="F2195" t="s">
        <v>3</v>
      </c>
      <c r="G2195" t="s">
        <v>227</v>
      </c>
      <c r="H2195" t="s">
        <v>163</v>
      </c>
      <c r="I2195">
        <v>55</v>
      </c>
      <c r="J2195">
        <v>0.73654390934844194</v>
      </c>
      <c r="K2195">
        <v>0.70652173913043481</v>
      </c>
      <c r="L2195">
        <v>0.76923076923076927</v>
      </c>
      <c r="M2195" t="s">
        <v>60</v>
      </c>
      <c r="N2195" t="s">
        <v>4817</v>
      </c>
      <c r="O2195" t="s">
        <v>4818</v>
      </c>
      <c r="P2195">
        <v>1.7</v>
      </c>
    </row>
    <row r="2196" spans="1:16" x14ac:dyDescent="0.3">
      <c r="A2196" t="s">
        <v>30</v>
      </c>
      <c r="B2196" t="s">
        <v>24</v>
      </c>
      <c r="C2196" t="s">
        <v>25</v>
      </c>
      <c r="D2196" t="s">
        <v>54</v>
      </c>
      <c r="E2196" t="s">
        <v>160</v>
      </c>
      <c r="F2196" t="s">
        <v>3</v>
      </c>
      <c r="G2196" t="s">
        <v>232</v>
      </c>
      <c r="H2196" t="s">
        <v>163</v>
      </c>
      <c r="I2196">
        <v>56</v>
      </c>
      <c r="J2196">
        <v>0.72413793103448276</v>
      </c>
      <c r="K2196">
        <v>0.7039106145251397</v>
      </c>
      <c r="L2196">
        <v>0.74556213017751483</v>
      </c>
      <c r="M2196" t="s">
        <v>60</v>
      </c>
      <c r="N2196" t="s">
        <v>4819</v>
      </c>
      <c r="O2196" t="s">
        <v>4820</v>
      </c>
      <c r="P2196">
        <v>1.7</v>
      </c>
    </row>
    <row r="2197" spans="1:16" x14ac:dyDescent="0.3">
      <c r="A2197" t="s">
        <v>30</v>
      </c>
      <c r="B2197" t="s">
        <v>24</v>
      </c>
      <c r="C2197" t="s">
        <v>25</v>
      </c>
      <c r="D2197" t="s">
        <v>54</v>
      </c>
      <c r="E2197" t="s">
        <v>160</v>
      </c>
      <c r="F2197" t="s">
        <v>3</v>
      </c>
      <c r="G2197" t="s">
        <v>237</v>
      </c>
      <c r="H2197" t="s">
        <v>163</v>
      </c>
      <c r="I2197">
        <v>57</v>
      </c>
      <c r="J2197">
        <v>0.68923076923076931</v>
      </c>
      <c r="K2197">
        <v>0.71794871794871795</v>
      </c>
      <c r="L2197">
        <v>0.66272189349112431</v>
      </c>
      <c r="M2197" t="s">
        <v>60</v>
      </c>
      <c r="N2197" t="s">
        <v>4821</v>
      </c>
      <c r="O2197" t="s">
        <v>4822</v>
      </c>
      <c r="P2197">
        <v>2.2000000000000002</v>
      </c>
    </row>
    <row r="2198" spans="1:16" x14ac:dyDescent="0.3">
      <c r="A2198" t="s">
        <v>30</v>
      </c>
      <c r="B2198" t="s">
        <v>24</v>
      </c>
      <c r="C2198" t="s">
        <v>25</v>
      </c>
      <c r="D2198" t="s">
        <v>54</v>
      </c>
      <c r="E2198" t="s">
        <v>160</v>
      </c>
      <c r="F2198" t="s">
        <v>3</v>
      </c>
      <c r="G2198" t="s">
        <v>242</v>
      </c>
      <c r="H2198" t="s">
        <v>163</v>
      </c>
      <c r="I2198">
        <v>58</v>
      </c>
      <c r="J2198">
        <v>0.6647887323943662</v>
      </c>
      <c r="K2198">
        <v>0.63440860215053763</v>
      </c>
      <c r="L2198">
        <v>0.69822485207100593</v>
      </c>
      <c r="M2198" t="s">
        <v>60</v>
      </c>
      <c r="N2198" t="s">
        <v>4823</v>
      </c>
      <c r="O2198" t="s">
        <v>4824</v>
      </c>
      <c r="P2198">
        <v>1.8</v>
      </c>
    </row>
    <row r="2199" spans="1:16" x14ac:dyDescent="0.3">
      <c r="A2199" t="s">
        <v>30</v>
      </c>
      <c r="B2199" t="s">
        <v>24</v>
      </c>
      <c r="C2199" t="s">
        <v>25</v>
      </c>
      <c r="D2199" t="s">
        <v>54</v>
      </c>
      <c r="E2199" t="s">
        <v>160</v>
      </c>
      <c r="F2199" t="s">
        <v>3</v>
      </c>
      <c r="G2199" t="s">
        <v>247</v>
      </c>
      <c r="H2199" t="s">
        <v>163</v>
      </c>
      <c r="I2199">
        <v>59</v>
      </c>
      <c r="J2199">
        <v>0.71511627906976749</v>
      </c>
      <c r="K2199">
        <v>0.70285714285714285</v>
      </c>
      <c r="L2199">
        <v>0.72781065088757402</v>
      </c>
      <c r="M2199" t="s">
        <v>60</v>
      </c>
      <c r="N2199" t="s">
        <v>4825</v>
      </c>
      <c r="O2199" t="s">
        <v>4826</v>
      </c>
      <c r="P2199">
        <v>1.7</v>
      </c>
    </row>
    <row r="2200" spans="1:16" x14ac:dyDescent="0.3">
      <c r="A2200" t="s">
        <v>30</v>
      </c>
      <c r="B2200" t="s">
        <v>24</v>
      </c>
      <c r="C2200" t="s">
        <v>25</v>
      </c>
      <c r="D2200" t="s">
        <v>54</v>
      </c>
      <c r="E2200" t="s">
        <v>160</v>
      </c>
      <c r="F2200" t="s">
        <v>3</v>
      </c>
      <c r="G2200" t="s">
        <v>252</v>
      </c>
      <c r="H2200" t="s">
        <v>163</v>
      </c>
      <c r="I2200">
        <v>60</v>
      </c>
      <c r="J2200">
        <v>0.68555240793201133</v>
      </c>
      <c r="K2200">
        <v>0.65760869565217395</v>
      </c>
      <c r="L2200">
        <v>0.71597633136094674</v>
      </c>
      <c r="M2200" t="s">
        <v>60</v>
      </c>
      <c r="N2200" t="s">
        <v>4827</v>
      </c>
      <c r="O2200" t="s">
        <v>4828</v>
      </c>
      <c r="P2200">
        <v>2.1</v>
      </c>
    </row>
    <row r="2201" spans="1:16" x14ac:dyDescent="0.3">
      <c r="A2201" t="s">
        <v>30</v>
      </c>
      <c r="B2201" t="s">
        <v>24</v>
      </c>
      <c r="C2201" t="s">
        <v>25</v>
      </c>
      <c r="D2201" t="s">
        <v>54</v>
      </c>
      <c r="E2201" t="s">
        <v>160</v>
      </c>
      <c r="F2201" t="s">
        <v>3</v>
      </c>
      <c r="G2201" t="s">
        <v>257</v>
      </c>
      <c r="H2201" t="s">
        <v>163</v>
      </c>
      <c r="I2201">
        <v>61</v>
      </c>
      <c r="J2201">
        <v>0.75218658892128287</v>
      </c>
      <c r="K2201">
        <v>0.74137931034482762</v>
      </c>
      <c r="L2201">
        <v>0.76331360946745563</v>
      </c>
      <c r="M2201" t="s">
        <v>60</v>
      </c>
      <c r="N2201" t="s">
        <v>4829</v>
      </c>
      <c r="O2201" t="s">
        <v>4830</v>
      </c>
      <c r="P2201">
        <v>1.7</v>
      </c>
    </row>
    <row r="2202" spans="1:16" x14ac:dyDescent="0.3">
      <c r="A2202" t="s">
        <v>30</v>
      </c>
      <c r="B2202" t="s">
        <v>24</v>
      </c>
      <c r="C2202" t="s">
        <v>25</v>
      </c>
      <c r="D2202" t="s">
        <v>54</v>
      </c>
      <c r="E2202" t="s">
        <v>262</v>
      </c>
      <c r="F2202" t="s">
        <v>5</v>
      </c>
      <c r="G2202" t="s">
        <v>263</v>
      </c>
      <c r="H2202" t="s">
        <v>265</v>
      </c>
      <c r="I2202">
        <v>42</v>
      </c>
      <c r="J2202">
        <v>0.68845315904139437</v>
      </c>
      <c r="K2202">
        <v>0.66666666666666663</v>
      </c>
      <c r="L2202">
        <v>0.71171171171171166</v>
      </c>
      <c r="M2202" t="s">
        <v>60</v>
      </c>
      <c r="N2202" t="s">
        <v>4831</v>
      </c>
      <c r="O2202" t="s">
        <v>4832</v>
      </c>
      <c r="P2202">
        <v>1.8</v>
      </c>
    </row>
    <row r="2203" spans="1:16" x14ac:dyDescent="0.3">
      <c r="A2203" t="s">
        <v>30</v>
      </c>
      <c r="B2203" t="s">
        <v>24</v>
      </c>
      <c r="C2203" t="s">
        <v>25</v>
      </c>
      <c r="D2203" t="s">
        <v>54</v>
      </c>
      <c r="E2203" t="s">
        <v>262</v>
      </c>
      <c r="F2203" t="s">
        <v>5</v>
      </c>
      <c r="G2203" t="s">
        <v>269</v>
      </c>
      <c r="H2203" t="s">
        <v>265</v>
      </c>
      <c r="I2203">
        <v>43</v>
      </c>
      <c r="J2203">
        <v>0.66978922716627631</v>
      </c>
      <c r="K2203">
        <v>0.69756097560975605</v>
      </c>
      <c r="L2203">
        <v>0.64414414414414412</v>
      </c>
      <c r="M2203" t="s">
        <v>60</v>
      </c>
      <c r="N2203" t="s">
        <v>4833</v>
      </c>
      <c r="O2203" t="s">
        <v>4834</v>
      </c>
      <c r="P2203">
        <v>2.2999999999999998</v>
      </c>
    </row>
    <row r="2204" spans="1:16" x14ac:dyDescent="0.3">
      <c r="A2204" t="s">
        <v>30</v>
      </c>
      <c r="B2204" t="s">
        <v>24</v>
      </c>
      <c r="C2204" t="s">
        <v>25</v>
      </c>
      <c r="D2204" t="s">
        <v>54</v>
      </c>
      <c r="E2204" t="s">
        <v>262</v>
      </c>
      <c r="F2204" t="s">
        <v>5</v>
      </c>
      <c r="G2204" t="s">
        <v>274</v>
      </c>
      <c r="H2204" t="s">
        <v>265</v>
      </c>
      <c r="I2204">
        <v>44</v>
      </c>
      <c r="J2204">
        <v>0.70588235294117652</v>
      </c>
      <c r="K2204">
        <v>0.70909090909090911</v>
      </c>
      <c r="L2204">
        <v>0.70270270270270274</v>
      </c>
      <c r="M2204" t="s">
        <v>60</v>
      </c>
      <c r="N2204" t="s">
        <v>4835</v>
      </c>
      <c r="O2204" t="s">
        <v>4836</v>
      </c>
      <c r="P2204">
        <v>1.9</v>
      </c>
    </row>
    <row r="2205" spans="1:16" x14ac:dyDescent="0.3">
      <c r="A2205" t="s">
        <v>30</v>
      </c>
      <c r="B2205" t="s">
        <v>24</v>
      </c>
      <c r="C2205" t="s">
        <v>25</v>
      </c>
      <c r="D2205" t="s">
        <v>54</v>
      </c>
      <c r="E2205" t="s">
        <v>262</v>
      </c>
      <c r="F2205" t="s">
        <v>5</v>
      </c>
      <c r="G2205" t="s">
        <v>279</v>
      </c>
      <c r="H2205" t="s">
        <v>265</v>
      </c>
      <c r="I2205">
        <v>45</v>
      </c>
      <c r="J2205">
        <v>0.72850678733031671</v>
      </c>
      <c r="K2205">
        <v>0.73181818181818181</v>
      </c>
      <c r="L2205">
        <v>0.72522522522522526</v>
      </c>
      <c r="M2205" t="s">
        <v>60</v>
      </c>
      <c r="N2205" t="s">
        <v>4837</v>
      </c>
      <c r="O2205" t="s">
        <v>4838</v>
      </c>
      <c r="P2205">
        <v>1.9</v>
      </c>
    </row>
    <row r="2206" spans="1:16" x14ac:dyDescent="0.3">
      <c r="A2206" t="s">
        <v>30</v>
      </c>
      <c r="B2206" t="s">
        <v>24</v>
      </c>
      <c r="C2206" t="s">
        <v>25</v>
      </c>
      <c r="D2206" t="s">
        <v>54</v>
      </c>
      <c r="E2206" t="s">
        <v>262</v>
      </c>
      <c r="F2206" t="s">
        <v>5</v>
      </c>
      <c r="G2206" t="s">
        <v>284</v>
      </c>
      <c r="H2206" t="s">
        <v>265</v>
      </c>
      <c r="I2206">
        <v>46</v>
      </c>
      <c r="J2206">
        <v>0.72444444444444445</v>
      </c>
      <c r="K2206">
        <v>0.71491228070175439</v>
      </c>
      <c r="L2206">
        <v>0.73423423423423428</v>
      </c>
      <c r="M2206" t="s">
        <v>60</v>
      </c>
      <c r="N2206" t="s">
        <v>4839</v>
      </c>
      <c r="O2206" t="s">
        <v>4840</v>
      </c>
      <c r="P2206">
        <v>2.4</v>
      </c>
    </row>
    <row r="2207" spans="1:16" x14ac:dyDescent="0.3">
      <c r="A2207" t="s">
        <v>30</v>
      </c>
      <c r="B2207" t="s">
        <v>24</v>
      </c>
      <c r="C2207" t="s">
        <v>25</v>
      </c>
      <c r="D2207" t="s">
        <v>54</v>
      </c>
      <c r="E2207" t="s">
        <v>262</v>
      </c>
      <c r="F2207" t="s">
        <v>5</v>
      </c>
      <c r="G2207" t="s">
        <v>289</v>
      </c>
      <c r="H2207" t="s">
        <v>265</v>
      </c>
      <c r="I2207">
        <v>47</v>
      </c>
      <c r="J2207">
        <v>0.72483221476510074</v>
      </c>
      <c r="K2207">
        <v>0.72</v>
      </c>
      <c r="L2207">
        <v>0.72972972972972971</v>
      </c>
      <c r="M2207" t="s">
        <v>60</v>
      </c>
      <c r="N2207" t="s">
        <v>4841</v>
      </c>
      <c r="O2207" t="s">
        <v>4842</v>
      </c>
      <c r="P2207">
        <v>1.9</v>
      </c>
    </row>
    <row r="2208" spans="1:16" x14ac:dyDescent="0.3">
      <c r="A2208" t="s">
        <v>30</v>
      </c>
      <c r="B2208" t="s">
        <v>24</v>
      </c>
      <c r="C2208" t="s">
        <v>25</v>
      </c>
      <c r="D2208" t="s">
        <v>54</v>
      </c>
      <c r="E2208" t="s">
        <v>262</v>
      </c>
      <c r="F2208" t="s">
        <v>5</v>
      </c>
      <c r="G2208" t="s">
        <v>294</v>
      </c>
      <c r="H2208" t="s">
        <v>265</v>
      </c>
      <c r="I2208">
        <v>48</v>
      </c>
      <c r="J2208">
        <v>0.66512702078521957</v>
      </c>
      <c r="K2208">
        <v>0.68246445497630337</v>
      </c>
      <c r="L2208">
        <v>0.64864864864864868</v>
      </c>
      <c r="M2208" t="s">
        <v>60</v>
      </c>
      <c r="N2208" t="s">
        <v>4843</v>
      </c>
      <c r="O2208" t="s">
        <v>4844</v>
      </c>
      <c r="P2208">
        <v>1.9</v>
      </c>
    </row>
    <row r="2209" spans="1:16" x14ac:dyDescent="0.3">
      <c r="A2209" t="s">
        <v>30</v>
      </c>
      <c r="B2209" t="s">
        <v>24</v>
      </c>
      <c r="C2209" t="s">
        <v>25</v>
      </c>
      <c r="D2209" t="s">
        <v>54</v>
      </c>
      <c r="E2209" t="s">
        <v>262</v>
      </c>
      <c r="F2209" t="s">
        <v>5</v>
      </c>
      <c r="G2209" t="s">
        <v>299</v>
      </c>
      <c r="H2209" t="s">
        <v>265</v>
      </c>
      <c r="I2209">
        <v>49</v>
      </c>
      <c r="J2209">
        <v>0.71269487750556804</v>
      </c>
      <c r="K2209">
        <v>0.70484581497797361</v>
      </c>
      <c r="L2209">
        <v>0.72072072072072069</v>
      </c>
      <c r="M2209" t="s">
        <v>60</v>
      </c>
      <c r="N2209" t="s">
        <v>4845</v>
      </c>
      <c r="O2209" t="s">
        <v>4846</v>
      </c>
      <c r="P2209">
        <v>2.2000000000000002</v>
      </c>
    </row>
    <row r="2210" spans="1:16" x14ac:dyDescent="0.3">
      <c r="A2210" t="s">
        <v>30</v>
      </c>
      <c r="B2210" t="s">
        <v>24</v>
      </c>
      <c r="C2210" t="s">
        <v>25</v>
      </c>
      <c r="D2210" t="s">
        <v>54</v>
      </c>
      <c r="E2210" t="s">
        <v>262</v>
      </c>
      <c r="F2210" t="s">
        <v>5</v>
      </c>
      <c r="G2210" t="s">
        <v>304</v>
      </c>
      <c r="H2210" t="s">
        <v>265</v>
      </c>
      <c r="I2210">
        <v>50</v>
      </c>
      <c r="J2210">
        <v>0.71783295711060946</v>
      </c>
      <c r="K2210">
        <v>0.71945701357466063</v>
      </c>
      <c r="L2210">
        <v>0.71621621621621623</v>
      </c>
      <c r="M2210" t="s">
        <v>60</v>
      </c>
      <c r="N2210" t="s">
        <v>4847</v>
      </c>
      <c r="O2210" t="s">
        <v>4848</v>
      </c>
      <c r="P2210">
        <v>2</v>
      </c>
    </row>
    <row r="2211" spans="1:16" x14ac:dyDescent="0.3">
      <c r="A2211" t="s">
        <v>30</v>
      </c>
      <c r="B2211" t="s">
        <v>24</v>
      </c>
      <c r="C2211" t="s">
        <v>25</v>
      </c>
      <c r="D2211" t="s">
        <v>54</v>
      </c>
      <c r="E2211" t="s">
        <v>262</v>
      </c>
      <c r="F2211" t="s">
        <v>5</v>
      </c>
      <c r="G2211" t="s">
        <v>309</v>
      </c>
      <c r="H2211" t="s">
        <v>265</v>
      </c>
      <c r="I2211">
        <v>51</v>
      </c>
      <c r="J2211">
        <v>0.7256235827664399</v>
      </c>
      <c r="K2211">
        <v>0.73059360730593603</v>
      </c>
      <c r="L2211">
        <v>0.72072072072072069</v>
      </c>
      <c r="M2211" t="s">
        <v>60</v>
      </c>
      <c r="N2211" t="s">
        <v>4849</v>
      </c>
      <c r="O2211" t="s">
        <v>4850</v>
      </c>
      <c r="P2211">
        <v>2.2000000000000002</v>
      </c>
    </row>
    <row r="2212" spans="1:16" x14ac:dyDescent="0.3">
      <c r="A2212" t="s">
        <v>30</v>
      </c>
      <c r="B2212" t="s">
        <v>24</v>
      </c>
      <c r="C2212" t="s">
        <v>25</v>
      </c>
      <c r="D2212" t="s">
        <v>54</v>
      </c>
      <c r="E2212" t="s">
        <v>262</v>
      </c>
      <c r="F2212" t="s">
        <v>5</v>
      </c>
      <c r="G2212" t="s">
        <v>314</v>
      </c>
      <c r="H2212" t="s">
        <v>265</v>
      </c>
      <c r="I2212">
        <v>52</v>
      </c>
      <c r="J2212">
        <v>0.69162995594713661</v>
      </c>
      <c r="K2212">
        <v>0.67672413793103448</v>
      </c>
      <c r="L2212">
        <v>0.7072072072072072</v>
      </c>
      <c r="M2212" t="s">
        <v>60</v>
      </c>
      <c r="N2212" t="s">
        <v>4851</v>
      </c>
      <c r="O2212" t="s">
        <v>4852</v>
      </c>
      <c r="P2212">
        <v>2.2999999999999998</v>
      </c>
    </row>
    <row r="2213" spans="1:16" x14ac:dyDescent="0.3">
      <c r="A2213" t="s">
        <v>30</v>
      </c>
      <c r="B2213" t="s">
        <v>24</v>
      </c>
      <c r="C2213" t="s">
        <v>25</v>
      </c>
      <c r="D2213" t="s">
        <v>54</v>
      </c>
      <c r="E2213" t="s">
        <v>262</v>
      </c>
      <c r="F2213" t="s">
        <v>5</v>
      </c>
      <c r="G2213" t="s">
        <v>319</v>
      </c>
      <c r="H2213" t="s">
        <v>265</v>
      </c>
      <c r="I2213">
        <v>53</v>
      </c>
      <c r="J2213">
        <v>0.7155555555555555</v>
      </c>
      <c r="K2213">
        <v>0.70614035087719296</v>
      </c>
      <c r="L2213">
        <v>0.72522522522522526</v>
      </c>
      <c r="M2213" t="s">
        <v>60</v>
      </c>
      <c r="N2213" t="s">
        <v>4853</v>
      </c>
      <c r="O2213" t="s">
        <v>4854</v>
      </c>
      <c r="P2213">
        <v>1.9</v>
      </c>
    </row>
    <row r="2214" spans="1:16" x14ac:dyDescent="0.3">
      <c r="A2214" t="s">
        <v>30</v>
      </c>
      <c r="B2214" t="s">
        <v>24</v>
      </c>
      <c r="C2214" t="s">
        <v>25</v>
      </c>
      <c r="D2214" t="s">
        <v>54</v>
      </c>
      <c r="E2214" t="s">
        <v>262</v>
      </c>
      <c r="F2214" t="s">
        <v>5</v>
      </c>
      <c r="G2214" t="s">
        <v>324</v>
      </c>
      <c r="H2214" t="s">
        <v>265</v>
      </c>
      <c r="I2214">
        <v>54</v>
      </c>
      <c r="J2214">
        <v>0.68822170900692847</v>
      </c>
      <c r="K2214">
        <v>0.70616113744075826</v>
      </c>
      <c r="L2214">
        <v>0.6711711711711712</v>
      </c>
      <c r="M2214" t="s">
        <v>60</v>
      </c>
      <c r="N2214" t="s">
        <v>4855</v>
      </c>
      <c r="O2214" t="s">
        <v>4856</v>
      </c>
      <c r="P2214">
        <v>1.9</v>
      </c>
    </row>
    <row r="2215" spans="1:16" x14ac:dyDescent="0.3">
      <c r="A2215" t="s">
        <v>30</v>
      </c>
      <c r="B2215" t="s">
        <v>24</v>
      </c>
      <c r="C2215" t="s">
        <v>25</v>
      </c>
      <c r="D2215" t="s">
        <v>54</v>
      </c>
      <c r="E2215" t="s">
        <v>262</v>
      </c>
      <c r="F2215" t="s">
        <v>5</v>
      </c>
      <c r="G2215" t="s">
        <v>329</v>
      </c>
      <c r="H2215" t="s">
        <v>265</v>
      </c>
      <c r="I2215">
        <v>55</v>
      </c>
      <c r="J2215">
        <v>0.71491228070175439</v>
      </c>
      <c r="K2215">
        <v>0.69658119658119655</v>
      </c>
      <c r="L2215">
        <v>0.73423423423423428</v>
      </c>
      <c r="M2215" t="s">
        <v>60</v>
      </c>
      <c r="N2215" t="s">
        <v>4857</v>
      </c>
      <c r="O2215" t="s">
        <v>4858</v>
      </c>
      <c r="P2215">
        <v>2.4</v>
      </c>
    </row>
    <row r="2216" spans="1:16" x14ac:dyDescent="0.3">
      <c r="A2216" t="s">
        <v>30</v>
      </c>
      <c r="B2216" t="s">
        <v>24</v>
      </c>
      <c r="C2216" t="s">
        <v>25</v>
      </c>
      <c r="D2216" t="s">
        <v>54</v>
      </c>
      <c r="E2216" t="s">
        <v>262</v>
      </c>
      <c r="F2216" t="s">
        <v>5</v>
      </c>
      <c r="G2216" t="s">
        <v>334</v>
      </c>
      <c r="H2216" t="s">
        <v>265</v>
      </c>
      <c r="I2216">
        <v>56</v>
      </c>
      <c r="J2216">
        <v>0.7053571428571429</v>
      </c>
      <c r="K2216">
        <v>0.69911504424778759</v>
      </c>
      <c r="L2216">
        <v>0.71171171171171166</v>
      </c>
      <c r="M2216" t="s">
        <v>60</v>
      </c>
      <c r="N2216" t="s">
        <v>4859</v>
      </c>
      <c r="O2216" t="s">
        <v>4860</v>
      </c>
      <c r="P2216">
        <v>1.9</v>
      </c>
    </row>
    <row r="2217" spans="1:16" x14ac:dyDescent="0.3">
      <c r="A2217" t="s">
        <v>30</v>
      </c>
      <c r="B2217" t="s">
        <v>24</v>
      </c>
      <c r="C2217" t="s">
        <v>25</v>
      </c>
      <c r="D2217" t="s">
        <v>54</v>
      </c>
      <c r="E2217" t="s">
        <v>262</v>
      </c>
      <c r="F2217" t="s">
        <v>5</v>
      </c>
      <c r="G2217" t="s">
        <v>339</v>
      </c>
      <c r="H2217" t="s">
        <v>265</v>
      </c>
      <c r="I2217">
        <v>57</v>
      </c>
      <c r="J2217">
        <v>0.68151447661469933</v>
      </c>
      <c r="K2217">
        <v>0.67400881057268724</v>
      </c>
      <c r="L2217">
        <v>0.68918918918918914</v>
      </c>
      <c r="M2217" t="s">
        <v>60</v>
      </c>
      <c r="N2217" t="s">
        <v>4861</v>
      </c>
      <c r="O2217" t="s">
        <v>4862</v>
      </c>
      <c r="P2217">
        <v>2.1</v>
      </c>
    </row>
    <row r="2218" spans="1:16" x14ac:dyDescent="0.3">
      <c r="A2218" t="s">
        <v>30</v>
      </c>
      <c r="B2218" t="s">
        <v>24</v>
      </c>
      <c r="C2218" t="s">
        <v>25</v>
      </c>
      <c r="D2218" t="s">
        <v>54</v>
      </c>
      <c r="E2218" t="s">
        <v>262</v>
      </c>
      <c r="F2218" t="s">
        <v>5</v>
      </c>
      <c r="G2218" t="s">
        <v>344</v>
      </c>
      <c r="H2218" t="s">
        <v>265</v>
      </c>
      <c r="I2218">
        <v>58</v>
      </c>
      <c r="J2218">
        <v>0.67123287671232879</v>
      </c>
      <c r="K2218">
        <v>0.68055555555555558</v>
      </c>
      <c r="L2218">
        <v>0.66216216216216217</v>
      </c>
      <c r="M2218" t="s">
        <v>60</v>
      </c>
      <c r="N2218" t="s">
        <v>4863</v>
      </c>
      <c r="O2218" t="s">
        <v>4864</v>
      </c>
      <c r="P2218">
        <v>2.2000000000000002</v>
      </c>
    </row>
    <row r="2219" spans="1:16" x14ac:dyDescent="0.3">
      <c r="A2219" t="s">
        <v>30</v>
      </c>
      <c r="B2219" t="s">
        <v>24</v>
      </c>
      <c r="C2219" t="s">
        <v>25</v>
      </c>
      <c r="D2219" t="s">
        <v>54</v>
      </c>
      <c r="E2219" t="s">
        <v>262</v>
      </c>
      <c r="F2219" t="s">
        <v>5</v>
      </c>
      <c r="G2219" t="s">
        <v>349</v>
      </c>
      <c r="H2219" t="s">
        <v>265</v>
      </c>
      <c r="I2219">
        <v>59</v>
      </c>
      <c r="J2219">
        <v>0.69469026548672563</v>
      </c>
      <c r="K2219">
        <v>0.68260869565217386</v>
      </c>
      <c r="L2219">
        <v>0.7072072072072072</v>
      </c>
      <c r="M2219" t="s">
        <v>60</v>
      </c>
      <c r="N2219" t="s">
        <v>4865</v>
      </c>
      <c r="O2219" t="s">
        <v>4866</v>
      </c>
      <c r="P2219">
        <v>2.1</v>
      </c>
    </row>
    <row r="2220" spans="1:16" x14ac:dyDescent="0.3">
      <c r="A2220" t="s">
        <v>30</v>
      </c>
      <c r="B2220" t="s">
        <v>24</v>
      </c>
      <c r="C2220" t="s">
        <v>25</v>
      </c>
      <c r="D2220" t="s">
        <v>54</v>
      </c>
      <c r="E2220" t="s">
        <v>262</v>
      </c>
      <c r="F2220" t="s">
        <v>5</v>
      </c>
      <c r="G2220" t="s">
        <v>354</v>
      </c>
      <c r="H2220" t="s">
        <v>265</v>
      </c>
      <c r="I2220">
        <v>60</v>
      </c>
      <c r="J2220">
        <v>0.69623059866962311</v>
      </c>
      <c r="K2220">
        <v>0.68558951965065507</v>
      </c>
      <c r="L2220">
        <v>0.7072072072072072</v>
      </c>
      <c r="M2220" t="s">
        <v>60</v>
      </c>
      <c r="N2220" t="s">
        <v>4867</v>
      </c>
      <c r="O2220" t="s">
        <v>4868</v>
      </c>
      <c r="P2220">
        <v>2</v>
      </c>
    </row>
    <row r="2221" spans="1:16" x14ac:dyDescent="0.3">
      <c r="A2221" t="s">
        <v>30</v>
      </c>
      <c r="B2221" t="s">
        <v>24</v>
      </c>
      <c r="C2221" t="s">
        <v>25</v>
      </c>
      <c r="D2221" t="s">
        <v>54</v>
      </c>
      <c r="E2221" t="s">
        <v>262</v>
      </c>
      <c r="F2221" t="s">
        <v>5</v>
      </c>
      <c r="G2221" t="s">
        <v>359</v>
      </c>
      <c r="H2221" t="s">
        <v>265</v>
      </c>
      <c r="I2221">
        <v>61</v>
      </c>
      <c r="J2221">
        <v>0.71981776765375849</v>
      </c>
      <c r="K2221">
        <v>0.72811059907834097</v>
      </c>
      <c r="L2221">
        <v>0.71171171171171166</v>
      </c>
      <c r="M2221" t="s">
        <v>60</v>
      </c>
      <c r="N2221" t="s">
        <v>4869</v>
      </c>
      <c r="O2221" t="s">
        <v>4870</v>
      </c>
      <c r="P2221">
        <v>2.4</v>
      </c>
    </row>
    <row r="2222" spans="1:16" x14ac:dyDescent="0.3">
      <c r="A2222" t="s">
        <v>30</v>
      </c>
      <c r="B2222" t="s">
        <v>24</v>
      </c>
      <c r="C2222" t="s">
        <v>25</v>
      </c>
      <c r="D2222" t="s">
        <v>363</v>
      </c>
      <c r="E2222" t="s">
        <v>365</v>
      </c>
      <c r="F2222" t="s">
        <v>13</v>
      </c>
      <c r="G2222" t="s">
        <v>366</v>
      </c>
      <c r="H2222" t="s">
        <v>368</v>
      </c>
      <c r="I2222">
        <v>42</v>
      </c>
      <c r="J2222">
        <v>0.7899159663865547</v>
      </c>
      <c r="K2222">
        <v>0.76422764227642281</v>
      </c>
      <c r="L2222">
        <v>0.81739130434782614</v>
      </c>
      <c r="M2222" t="s">
        <v>60</v>
      </c>
      <c r="N2222" t="s">
        <v>4871</v>
      </c>
      <c r="O2222" t="s">
        <v>4872</v>
      </c>
      <c r="P2222">
        <v>1.9</v>
      </c>
    </row>
    <row r="2223" spans="1:16" x14ac:dyDescent="0.3">
      <c r="A2223" t="s">
        <v>30</v>
      </c>
      <c r="B2223" t="s">
        <v>24</v>
      </c>
      <c r="C2223" t="s">
        <v>25</v>
      </c>
      <c r="D2223" t="s">
        <v>363</v>
      </c>
      <c r="E2223" t="s">
        <v>365</v>
      </c>
      <c r="F2223" t="s">
        <v>13</v>
      </c>
      <c r="G2223" t="s">
        <v>372</v>
      </c>
      <c r="H2223" t="s">
        <v>368</v>
      </c>
      <c r="I2223">
        <v>43</v>
      </c>
      <c r="J2223">
        <v>0.79831932773109249</v>
      </c>
      <c r="K2223">
        <v>0.77235772357723576</v>
      </c>
      <c r="L2223">
        <v>0.82608695652173914</v>
      </c>
      <c r="M2223" t="s">
        <v>60</v>
      </c>
      <c r="N2223" t="s">
        <v>4873</v>
      </c>
      <c r="O2223" t="s">
        <v>4874</v>
      </c>
      <c r="P2223">
        <v>1.9</v>
      </c>
    </row>
    <row r="2224" spans="1:16" x14ac:dyDescent="0.3">
      <c r="A2224" t="s">
        <v>30</v>
      </c>
      <c r="B2224" t="s">
        <v>24</v>
      </c>
      <c r="C2224" t="s">
        <v>25</v>
      </c>
      <c r="D2224" t="s">
        <v>363</v>
      </c>
      <c r="E2224" t="s">
        <v>365</v>
      </c>
      <c r="F2224" t="s">
        <v>13</v>
      </c>
      <c r="G2224" t="s">
        <v>377</v>
      </c>
      <c r="H2224" t="s">
        <v>368</v>
      </c>
      <c r="I2224">
        <v>44</v>
      </c>
      <c r="J2224">
        <v>0.79166666666666674</v>
      </c>
      <c r="K2224">
        <v>0.76</v>
      </c>
      <c r="L2224">
        <v>0.82608695652173914</v>
      </c>
      <c r="M2224" t="s">
        <v>60</v>
      </c>
      <c r="N2224" t="s">
        <v>4875</v>
      </c>
      <c r="O2224" t="s">
        <v>4876</v>
      </c>
      <c r="P2224">
        <v>2.4</v>
      </c>
    </row>
    <row r="2225" spans="1:16" x14ac:dyDescent="0.3">
      <c r="A2225" t="s">
        <v>30</v>
      </c>
      <c r="B2225" t="s">
        <v>24</v>
      </c>
      <c r="C2225" t="s">
        <v>25</v>
      </c>
      <c r="D2225" t="s">
        <v>363</v>
      </c>
      <c r="E2225" t="s">
        <v>365</v>
      </c>
      <c r="F2225" t="s">
        <v>13</v>
      </c>
      <c r="G2225" t="s">
        <v>382</v>
      </c>
      <c r="H2225" t="s">
        <v>368</v>
      </c>
      <c r="I2225">
        <v>45</v>
      </c>
      <c r="J2225">
        <v>0.78224101479915431</v>
      </c>
      <c r="K2225">
        <v>0.76131687242798352</v>
      </c>
      <c r="L2225">
        <v>0.80434782608695654</v>
      </c>
      <c r="M2225" t="s">
        <v>60</v>
      </c>
      <c r="N2225" t="s">
        <v>4877</v>
      </c>
      <c r="O2225" t="s">
        <v>4878</v>
      </c>
      <c r="P2225">
        <v>1.9</v>
      </c>
    </row>
    <row r="2226" spans="1:16" x14ac:dyDescent="0.3">
      <c r="A2226" t="s">
        <v>30</v>
      </c>
      <c r="B2226" t="s">
        <v>24</v>
      </c>
      <c r="C2226" t="s">
        <v>25</v>
      </c>
      <c r="D2226" t="s">
        <v>363</v>
      </c>
      <c r="E2226" t="s">
        <v>365</v>
      </c>
      <c r="F2226" t="s">
        <v>13</v>
      </c>
      <c r="G2226" t="s">
        <v>387</v>
      </c>
      <c r="H2226" t="s">
        <v>368</v>
      </c>
      <c r="I2226">
        <v>46</v>
      </c>
      <c r="J2226">
        <v>0.79583333333333317</v>
      </c>
      <c r="K2226">
        <v>0.76400000000000001</v>
      </c>
      <c r="L2226">
        <v>0.83043478260869563</v>
      </c>
      <c r="M2226" t="s">
        <v>60</v>
      </c>
      <c r="N2226" t="s">
        <v>4879</v>
      </c>
      <c r="O2226" t="s">
        <v>4880</v>
      </c>
      <c r="P2226">
        <v>1.9</v>
      </c>
    </row>
    <row r="2227" spans="1:16" x14ac:dyDescent="0.3">
      <c r="A2227" t="s">
        <v>30</v>
      </c>
      <c r="B2227" t="s">
        <v>24</v>
      </c>
      <c r="C2227" t="s">
        <v>25</v>
      </c>
      <c r="D2227" t="s">
        <v>363</v>
      </c>
      <c r="E2227" t="s">
        <v>365</v>
      </c>
      <c r="F2227" t="s">
        <v>13</v>
      </c>
      <c r="G2227" t="s">
        <v>392</v>
      </c>
      <c r="H2227" t="s">
        <v>368</v>
      </c>
      <c r="I2227">
        <v>47</v>
      </c>
      <c r="J2227">
        <v>0.78423236514522832</v>
      </c>
      <c r="K2227">
        <v>0.75</v>
      </c>
      <c r="L2227">
        <v>0.82173913043478264</v>
      </c>
      <c r="M2227" t="s">
        <v>60</v>
      </c>
      <c r="N2227" t="s">
        <v>4881</v>
      </c>
      <c r="O2227" t="s">
        <v>4882</v>
      </c>
      <c r="P2227">
        <v>2.2999999999999998</v>
      </c>
    </row>
    <row r="2228" spans="1:16" x14ac:dyDescent="0.3">
      <c r="A2228" t="s">
        <v>30</v>
      </c>
      <c r="B2228" t="s">
        <v>24</v>
      </c>
      <c r="C2228" t="s">
        <v>25</v>
      </c>
      <c r="D2228" t="s">
        <v>363</v>
      </c>
      <c r="E2228" t="s">
        <v>365</v>
      </c>
      <c r="F2228" t="s">
        <v>13</v>
      </c>
      <c r="G2228" t="s">
        <v>397</v>
      </c>
      <c r="H2228" t="s">
        <v>368</v>
      </c>
      <c r="I2228">
        <v>48</v>
      </c>
      <c r="J2228">
        <v>0.78661087866108792</v>
      </c>
      <c r="K2228">
        <v>0.75806451612903225</v>
      </c>
      <c r="L2228">
        <v>0.81739130434782614</v>
      </c>
      <c r="M2228" t="s">
        <v>60</v>
      </c>
      <c r="N2228" t="s">
        <v>4883</v>
      </c>
      <c r="O2228" t="s">
        <v>4884</v>
      </c>
      <c r="P2228">
        <v>1.9</v>
      </c>
    </row>
    <row r="2229" spans="1:16" x14ac:dyDescent="0.3">
      <c r="A2229" t="s">
        <v>30</v>
      </c>
      <c r="B2229" t="s">
        <v>24</v>
      </c>
      <c r="C2229" t="s">
        <v>25</v>
      </c>
      <c r="D2229" t="s">
        <v>363</v>
      </c>
      <c r="E2229" t="s">
        <v>365</v>
      </c>
      <c r="F2229" t="s">
        <v>13</v>
      </c>
      <c r="G2229" t="s">
        <v>402</v>
      </c>
      <c r="H2229" t="s">
        <v>368</v>
      </c>
      <c r="I2229">
        <v>49</v>
      </c>
      <c r="J2229">
        <v>0.78556263269639071</v>
      </c>
      <c r="K2229">
        <v>0.76763485477178428</v>
      </c>
      <c r="L2229">
        <v>0.80434782608695654</v>
      </c>
      <c r="M2229" t="s">
        <v>60</v>
      </c>
      <c r="N2229" t="s">
        <v>4885</v>
      </c>
      <c r="O2229" t="s">
        <v>4886</v>
      </c>
      <c r="P2229">
        <v>2</v>
      </c>
    </row>
    <row r="2230" spans="1:16" x14ac:dyDescent="0.3">
      <c r="A2230" t="s">
        <v>30</v>
      </c>
      <c r="B2230" t="s">
        <v>24</v>
      </c>
      <c r="C2230" t="s">
        <v>25</v>
      </c>
      <c r="D2230" t="s">
        <v>363</v>
      </c>
      <c r="E2230" t="s">
        <v>365</v>
      </c>
      <c r="F2230" t="s">
        <v>13</v>
      </c>
      <c r="G2230" t="s">
        <v>407</v>
      </c>
      <c r="H2230" t="s">
        <v>368</v>
      </c>
      <c r="I2230">
        <v>50</v>
      </c>
      <c r="J2230">
        <v>0.77310924369747902</v>
      </c>
      <c r="K2230">
        <v>0.74796747967479671</v>
      </c>
      <c r="L2230">
        <v>0.8</v>
      </c>
      <c r="M2230" t="s">
        <v>60</v>
      </c>
      <c r="N2230" t="s">
        <v>4887</v>
      </c>
      <c r="O2230" t="s">
        <v>4888</v>
      </c>
      <c r="P2230">
        <v>2.2000000000000002</v>
      </c>
    </row>
    <row r="2231" spans="1:16" x14ac:dyDescent="0.3">
      <c r="A2231" t="s">
        <v>30</v>
      </c>
      <c r="B2231" t="s">
        <v>24</v>
      </c>
      <c r="C2231" t="s">
        <v>25</v>
      </c>
      <c r="D2231" t="s">
        <v>363</v>
      </c>
      <c r="E2231" t="s">
        <v>365</v>
      </c>
      <c r="F2231" t="s">
        <v>13</v>
      </c>
      <c r="G2231" t="s">
        <v>412</v>
      </c>
      <c r="H2231" t="s">
        <v>368</v>
      </c>
      <c r="I2231">
        <v>51</v>
      </c>
      <c r="J2231">
        <v>0.79069767441860461</v>
      </c>
      <c r="K2231">
        <v>0.76954732510288071</v>
      </c>
      <c r="L2231">
        <v>0.81304347826086953</v>
      </c>
      <c r="M2231" t="s">
        <v>60</v>
      </c>
      <c r="N2231" t="s">
        <v>4889</v>
      </c>
      <c r="O2231" t="s">
        <v>4890</v>
      </c>
      <c r="P2231">
        <v>2</v>
      </c>
    </row>
    <row r="2232" spans="1:16" x14ac:dyDescent="0.3">
      <c r="A2232" t="s">
        <v>30</v>
      </c>
      <c r="B2232" t="s">
        <v>24</v>
      </c>
      <c r="C2232" t="s">
        <v>25</v>
      </c>
      <c r="D2232" t="s">
        <v>363</v>
      </c>
      <c r="E2232" t="s">
        <v>365</v>
      </c>
      <c r="F2232" t="s">
        <v>13</v>
      </c>
      <c r="G2232" t="s">
        <v>417</v>
      </c>
      <c r="H2232" t="s">
        <v>368</v>
      </c>
      <c r="I2232">
        <v>52</v>
      </c>
      <c r="J2232">
        <v>0.77661795407098111</v>
      </c>
      <c r="K2232">
        <v>0.74698795180722888</v>
      </c>
      <c r="L2232">
        <v>0.80869565217391304</v>
      </c>
      <c r="M2232" t="s">
        <v>60</v>
      </c>
      <c r="N2232" t="s">
        <v>4891</v>
      </c>
      <c r="O2232" t="s">
        <v>4892</v>
      </c>
      <c r="P2232">
        <v>1.9</v>
      </c>
    </row>
    <row r="2233" spans="1:16" x14ac:dyDescent="0.3">
      <c r="A2233" t="s">
        <v>30</v>
      </c>
      <c r="B2233" t="s">
        <v>24</v>
      </c>
      <c r="C2233" t="s">
        <v>25</v>
      </c>
      <c r="D2233" t="s">
        <v>363</v>
      </c>
      <c r="E2233" t="s">
        <v>365</v>
      </c>
      <c r="F2233" t="s">
        <v>13</v>
      </c>
      <c r="G2233" t="s">
        <v>422</v>
      </c>
      <c r="H2233" t="s">
        <v>368</v>
      </c>
      <c r="I2233">
        <v>53</v>
      </c>
      <c r="J2233">
        <v>0.74468085106382975</v>
      </c>
      <c r="K2233">
        <v>0.72916666666666663</v>
      </c>
      <c r="L2233">
        <v>0.76086956521739135</v>
      </c>
      <c r="M2233" t="s">
        <v>60</v>
      </c>
      <c r="N2233" t="s">
        <v>4893</v>
      </c>
      <c r="O2233" t="s">
        <v>4894</v>
      </c>
      <c r="P2233">
        <v>2.2999999999999998</v>
      </c>
    </row>
    <row r="2234" spans="1:16" x14ac:dyDescent="0.3">
      <c r="A2234" t="s">
        <v>30</v>
      </c>
      <c r="B2234" t="s">
        <v>24</v>
      </c>
      <c r="C2234" t="s">
        <v>25</v>
      </c>
      <c r="D2234" t="s">
        <v>363</v>
      </c>
      <c r="E2234" t="s">
        <v>365</v>
      </c>
      <c r="F2234" t="s">
        <v>13</v>
      </c>
      <c r="G2234" t="s">
        <v>427</v>
      </c>
      <c r="H2234" t="s">
        <v>368</v>
      </c>
      <c r="I2234">
        <v>54</v>
      </c>
      <c r="J2234">
        <v>0.79833679833679827</v>
      </c>
      <c r="K2234">
        <v>0.76494023904382469</v>
      </c>
      <c r="L2234">
        <v>0.83478260869565213</v>
      </c>
      <c r="M2234" t="s">
        <v>60</v>
      </c>
      <c r="N2234" t="s">
        <v>4895</v>
      </c>
      <c r="O2234" t="s">
        <v>4896</v>
      </c>
      <c r="P2234">
        <v>1.9</v>
      </c>
    </row>
    <row r="2235" spans="1:16" x14ac:dyDescent="0.3">
      <c r="A2235" t="s">
        <v>30</v>
      </c>
      <c r="B2235" t="s">
        <v>24</v>
      </c>
      <c r="C2235" t="s">
        <v>25</v>
      </c>
      <c r="D2235" t="s">
        <v>363</v>
      </c>
      <c r="E2235" t="s">
        <v>365</v>
      </c>
      <c r="F2235" t="s">
        <v>13</v>
      </c>
      <c r="G2235" t="s">
        <v>432</v>
      </c>
      <c r="H2235" t="s">
        <v>368</v>
      </c>
      <c r="I2235">
        <v>55</v>
      </c>
      <c r="J2235">
        <v>0.78661087866108792</v>
      </c>
      <c r="K2235">
        <v>0.75806451612903225</v>
      </c>
      <c r="L2235">
        <v>0.81739130434782614</v>
      </c>
      <c r="M2235" t="s">
        <v>60</v>
      </c>
      <c r="N2235" t="s">
        <v>4897</v>
      </c>
      <c r="O2235" t="s">
        <v>4898</v>
      </c>
      <c r="P2235">
        <v>2.1</v>
      </c>
    </row>
    <row r="2236" spans="1:16" x14ac:dyDescent="0.3">
      <c r="A2236" t="s">
        <v>30</v>
      </c>
      <c r="B2236" t="s">
        <v>24</v>
      </c>
      <c r="C2236" t="s">
        <v>25</v>
      </c>
      <c r="D2236" t="s">
        <v>363</v>
      </c>
      <c r="E2236" t="s">
        <v>365</v>
      </c>
      <c r="F2236" t="s">
        <v>13</v>
      </c>
      <c r="G2236" t="s">
        <v>437</v>
      </c>
      <c r="H2236" t="s">
        <v>368</v>
      </c>
      <c r="I2236">
        <v>56</v>
      </c>
      <c r="J2236">
        <v>0.77083333333333326</v>
      </c>
      <c r="K2236">
        <v>0.74</v>
      </c>
      <c r="L2236">
        <v>0.80434782608695654</v>
      </c>
      <c r="M2236" t="s">
        <v>60</v>
      </c>
      <c r="N2236" t="s">
        <v>4899</v>
      </c>
      <c r="O2236" t="s">
        <v>4900</v>
      </c>
      <c r="P2236">
        <v>2.5</v>
      </c>
    </row>
    <row r="2237" spans="1:16" x14ac:dyDescent="0.3">
      <c r="A2237" t="s">
        <v>30</v>
      </c>
      <c r="B2237" t="s">
        <v>24</v>
      </c>
      <c r="C2237" t="s">
        <v>25</v>
      </c>
      <c r="D2237" t="s">
        <v>363</v>
      </c>
      <c r="E2237" t="s">
        <v>365</v>
      </c>
      <c r="F2237" t="s">
        <v>13</v>
      </c>
      <c r="G2237" t="s">
        <v>442</v>
      </c>
      <c r="H2237" t="s">
        <v>368</v>
      </c>
      <c r="I2237">
        <v>57</v>
      </c>
      <c r="J2237">
        <v>0.77052631578947361</v>
      </c>
      <c r="K2237">
        <v>0.74693877551020404</v>
      </c>
      <c r="L2237">
        <v>0.79565217391304344</v>
      </c>
      <c r="M2237" t="s">
        <v>60</v>
      </c>
      <c r="N2237" t="s">
        <v>4901</v>
      </c>
      <c r="O2237" t="s">
        <v>4902</v>
      </c>
      <c r="P2237">
        <v>2</v>
      </c>
    </row>
    <row r="2238" spans="1:16" x14ac:dyDescent="0.3">
      <c r="A2238" t="s">
        <v>30</v>
      </c>
      <c r="B2238" t="s">
        <v>24</v>
      </c>
      <c r="C2238" t="s">
        <v>25</v>
      </c>
      <c r="D2238" t="s">
        <v>363</v>
      </c>
      <c r="E2238" t="s">
        <v>365</v>
      </c>
      <c r="F2238" t="s">
        <v>13</v>
      </c>
      <c r="G2238" t="s">
        <v>447</v>
      </c>
      <c r="H2238" t="s">
        <v>368</v>
      </c>
      <c r="I2238">
        <v>58</v>
      </c>
      <c r="J2238">
        <v>0.80083857442348005</v>
      </c>
      <c r="K2238">
        <v>0.77327935222672062</v>
      </c>
      <c r="L2238">
        <v>0.83043478260869563</v>
      </c>
      <c r="M2238" t="s">
        <v>60</v>
      </c>
      <c r="N2238" t="s">
        <v>4903</v>
      </c>
      <c r="O2238" t="s">
        <v>4904</v>
      </c>
      <c r="P2238">
        <v>1.9</v>
      </c>
    </row>
    <row r="2239" spans="1:16" x14ac:dyDescent="0.3">
      <c r="A2239" t="s">
        <v>30</v>
      </c>
      <c r="B2239" t="s">
        <v>24</v>
      </c>
      <c r="C2239" t="s">
        <v>25</v>
      </c>
      <c r="D2239" t="s">
        <v>363</v>
      </c>
      <c r="E2239" t="s">
        <v>365</v>
      </c>
      <c r="F2239" t="s">
        <v>13</v>
      </c>
      <c r="G2239" t="s">
        <v>452</v>
      </c>
      <c r="H2239" t="s">
        <v>368</v>
      </c>
      <c r="I2239">
        <v>59</v>
      </c>
      <c r="J2239">
        <v>0.79245283018867918</v>
      </c>
      <c r="K2239">
        <v>0.76518218623481782</v>
      </c>
      <c r="L2239">
        <v>0.82173913043478264</v>
      </c>
      <c r="M2239" t="s">
        <v>60</v>
      </c>
      <c r="N2239" t="s">
        <v>4905</v>
      </c>
      <c r="O2239" t="s">
        <v>4906</v>
      </c>
      <c r="P2239">
        <v>2.2000000000000002</v>
      </c>
    </row>
    <row r="2240" spans="1:16" x14ac:dyDescent="0.3">
      <c r="A2240" t="s">
        <v>30</v>
      </c>
      <c r="B2240" t="s">
        <v>24</v>
      </c>
      <c r="C2240" t="s">
        <v>25</v>
      </c>
      <c r="D2240" t="s">
        <v>363</v>
      </c>
      <c r="E2240" t="s">
        <v>365</v>
      </c>
      <c r="F2240" t="s">
        <v>13</v>
      </c>
      <c r="G2240" t="s">
        <v>457</v>
      </c>
      <c r="H2240" t="s">
        <v>368</v>
      </c>
      <c r="I2240">
        <v>60</v>
      </c>
      <c r="J2240">
        <v>0.78813559322033888</v>
      </c>
      <c r="K2240">
        <v>0.76859504132231404</v>
      </c>
      <c r="L2240">
        <v>0.80869565217391304</v>
      </c>
      <c r="M2240" t="s">
        <v>60</v>
      </c>
      <c r="N2240" t="s">
        <v>4907</v>
      </c>
      <c r="O2240" t="s">
        <v>4908</v>
      </c>
      <c r="P2240">
        <v>2</v>
      </c>
    </row>
    <row r="2241" spans="1:16" x14ac:dyDescent="0.3">
      <c r="A2241" t="s">
        <v>30</v>
      </c>
      <c r="B2241" t="s">
        <v>24</v>
      </c>
      <c r="C2241" t="s">
        <v>25</v>
      </c>
      <c r="D2241" t="s">
        <v>363</v>
      </c>
      <c r="E2241" t="s">
        <v>365</v>
      </c>
      <c r="F2241" t="s">
        <v>13</v>
      </c>
      <c r="G2241" t="s">
        <v>462</v>
      </c>
      <c r="H2241" t="s">
        <v>368</v>
      </c>
      <c r="I2241">
        <v>61</v>
      </c>
      <c r="J2241">
        <v>0.78423236514522832</v>
      </c>
      <c r="K2241">
        <v>0.75</v>
      </c>
      <c r="L2241">
        <v>0.82173913043478264</v>
      </c>
      <c r="M2241" t="s">
        <v>60</v>
      </c>
      <c r="N2241" t="s">
        <v>4909</v>
      </c>
      <c r="O2241" t="s">
        <v>4910</v>
      </c>
      <c r="P2241">
        <v>2.1</v>
      </c>
    </row>
    <row r="2242" spans="1:16" x14ac:dyDescent="0.3">
      <c r="A2242" t="s">
        <v>30</v>
      </c>
      <c r="B2242" t="s">
        <v>24</v>
      </c>
      <c r="C2242" t="s">
        <v>25</v>
      </c>
      <c r="D2242" t="s">
        <v>363</v>
      </c>
      <c r="E2242" t="s">
        <v>467</v>
      </c>
      <c r="F2242" t="s">
        <v>9</v>
      </c>
      <c r="G2242" t="s">
        <v>468</v>
      </c>
      <c r="H2242" t="s">
        <v>470</v>
      </c>
      <c r="I2242">
        <v>42</v>
      </c>
      <c r="J2242">
        <v>0.79338842975206614</v>
      </c>
      <c r="K2242">
        <v>0.74226804123711343</v>
      </c>
      <c r="L2242">
        <v>0.85207100591715978</v>
      </c>
      <c r="M2242" t="s">
        <v>60</v>
      </c>
      <c r="N2242" t="s">
        <v>4911</v>
      </c>
      <c r="O2242" t="s">
        <v>4912</v>
      </c>
      <c r="P2242">
        <v>2.1</v>
      </c>
    </row>
    <row r="2243" spans="1:16" x14ac:dyDescent="0.3">
      <c r="A2243" t="s">
        <v>30</v>
      </c>
      <c r="B2243" t="s">
        <v>24</v>
      </c>
      <c r="C2243" t="s">
        <v>25</v>
      </c>
      <c r="D2243" t="s">
        <v>363</v>
      </c>
      <c r="E2243" t="s">
        <v>467</v>
      </c>
      <c r="F2243" t="s">
        <v>9</v>
      </c>
      <c r="G2243" t="s">
        <v>474</v>
      </c>
      <c r="H2243" t="s">
        <v>470</v>
      </c>
      <c r="I2243">
        <v>43</v>
      </c>
      <c r="J2243">
        <v>0.81460674157303359</v>
      </c>
      <c r="K2243">
        <v>0.77540106951871657</v>
      </c>
      <c r="L2243">
        <v>0.85798816568047342</v>
      </c>
      <c r="M2243" t="s">
        <v>60</v>
      </c>
      <c r="N2243" t="s">
        <v>4913</v>
      </c>
      <c r="O2243" t="s">
        <v>4914</v>
      </c>
      <c r="P2243">
        <v>1.7</v>
      </c>
    </row>
    <row r="2244" spans="1:16" x14ac:dyDescent="0.3">
      <c r="A2244" t="s">
        <v>30</v>
      </c>
      <c r="B2244" t="s">
        <v>24</v>
      </c>
      <c r="C2244" t="s">
        <v>25</v>
      </c>
      <c r="D2244" t="s">
        <v>363</v>
      </c>
      <c r="E2244" t="s">
        <v>467</v>
      </c>
      <c r="F2244" t="s">
        <v>9</v>
      </c>
      <c r="G2244" t="s">
        <v>479</v>
      </c>
      <c r="H2244" t="s">
        <v>470</v>
      </c>
      <c r="I2244">
        <v>44</v>
      </c>
      <c r="J2244">
        <v>0.81232492997198891</v>
      </c>
      <c r="K2244">
        <v>0.77127659574468088</v>
      </c>
      <c r="L2244">
        <v>0.85798816568047342</v>
      </c>
      <c r="M2244" t="s">
        <v>60</v>
      </c>
      <c r="N2244" t="s">
        <v>4915</v>
      </c>
      <c r="O2244" t="s">
        <v>4916</v>
      </c>
      <c r="P2244">
        <v>1.8</v>
      </c>
    </row>
    <row r="2245" spans="1:16" x14ac:dyDescent="0.3">
      <c r="A2245" t="s">
        <v>30</v>
      </c>
      <c r="B2245" t="s">
        <v>24</v>
      </c>
      <c r="C2245" t="s">
        <v>25</v>
      </c>
      <c r="D2245" t="s">
        <v>363</v>
      </c>
      <c r="E2245" t="s">
        <v>467</v>
      </c>
      <c r="F2245" t="s">
        <v>9</v>
      </c>
      <c r="G2245" t="s">
        <v>484</v>
      </c>
      <c r="H2245" t="s">
        <v>470</v>
      </c>
      <c r="I2245">
        <v>45</v>
      </c>
      <c r="J2245">
        <v>0.80332409972299168</v>
      </c>
      <c r="K2245">
        <v>0.75520833333333337</v>
      </c>
      <c r="L2245">
        <v>0.85798816568047342</v>
      </c>
      <c r="M2245" t="s">
        <v>60</v>
      </c>
      <c r="N2245" t="s">
        <v>4917</v>
      </c>
      <c r="O2245" t="s">
        <v>4918</v>
      </c>
      <c r="P2245">
        <v>1.7</v>
      </c>
    </row>
    <row r="2246" spans="1:16" x14ac:dyDescent="0.3">
      <c r="A2246" t="s">
        <v>30</v>
      </c>
      <c r="B2246" t="s">
        <v>24</v>
      </c>
      <c r="C2246" t="s">
        <v>25</v>
      </c>
      <c r="D2246" t="s">
        <v>363</v>
      </c>
      <c r="E2246" t="s">
        <v>467</v>
      </c>
      <c r="F2246" t="s">
        <v>9</v>
      </c>
      <c r="G2246" t="s">
        <v>489</v>
      </c>
      <c r="H2246" t="s">
        <v>470</v>
      </c>
      <c r="I2246">
        <v>46</v>
      </c>
      <c r="J2246">
        <v>0.83050847457627108</v>
      </c>
      <c r="K2246">
        <v>0.79459459459459458</v>
      </c>
      <c r="L2246">
        <v>0.86982248520710059</v>
      </c>
      <c r="M2246" t="s">
        <v>60</v>
      </c>
      <c r="N2246" t="s">
        <v>4919</v>
      </c>
      <c r="O2246" t="s">
        <v>4920</v>
      </c>
      <c r="P2246">
        <v>2.2999999999999998</v>
      </c>
    </row>
    <row r="2247" spans="1:16" x14ac:dyDescent="0.3">
      <c r="A2247" t="s">
        <v>30</v>
      </c>
      <c r="B2247" t="s">
        <v>24</v>
      </c>
      <c r="C2247" t="s">
        <v>25</v>
      </c>
      <c r="D2247" t="s">
        <v>363</v>
      </c>
      <c r="E2247" t="s">
        <v>467</v>
      </c>
      <c r="F2247" t="s">
        <v>9</v>
      </c>
      <c r="G2247" t="s">
        <v>494</v>
      </c>
      <c r="H2247" t="s">
        <v>470</v>
      </c>
      <c r="I2247">
        <v>47</v>
      </c>
      <c r="J2247">
        <v>0.80563380281690145</v>
      </c>
      <c r="K2247">
        <v>0.76881720430107525</v>
      </c>
      <c r="L2247">
        <v>0.84615384615384615</v>
      </c>
      <c r="M2247" t="s">
        <v>60</v>
      </c>
      <c r="N2247" t="s">
        <v>4921</v>
      </c>
      <c r="O2247" t="s">
        <v>4922</v>
      </c>
      <c r="P2247">
        <v>1.7</v>
      </c>
    </row>
    <row r="2248" spans="1:16" x14ac:dyDescent="0.3">
      <c r="A2248" t="s">
        <v>30</v>
      </c>
      <c r="B2248" t="s">
        <v>24</v>
      </c>
      <c r="C2248" t="s">
        <v>25</v>
      </c>
      <c r="D2248" t="s">
        <v>363</v>
      </c>
      <c r="E2248" t="s">
        <v>467</v>
      </c>
      <c r="F2248" t="s">
        <v>9</v>
      </c>
      <c r="G2248" t="s">
        <v>499</v>
      </c>
      <c r="H2248" t="s">
        <v>470</v>
      </c>
      <c r="I2248">
        <v>48</v>
      </c>
      <c r="J2248">
        <v>0.80779944289693595</v>
      </c>
      <c r="K2248">
        <v>0.76315789473684215</v>
      </c>
      <c r="L2248">
        <v>0.85798816568047342</v>
      </c>
      <c r="M2248" t="s">
        <v>60</v>
      </c>
      <c r="N2248" t="s">
        <v>4923</v>
      </c>
      <c r="O2248" t="s">
        <v>4924</v>
      </c>
      <c r="P2248">
        <v>1.7</v>
      </c>
    </row>
    <row r="2249" spans="1:16" x14ac:dyDescent="0.3">
      <c r="A2249" t="s">
        <v>30</v>
      </c>
      <c r="B2249" t="s">
        <v>24</v>
      </c>
      <c r="C2249" t="s">
        <v>25</v>
      </c>
      <c r="D2249" t="s">
        <v>363</v>
      </c>
      <c r="E2249" t="s">
        <v>467</v>
      </c>
      <c r="F2249" t="s">
        <v>9</v>
      </c>
      <c r="G2249" t="s">
        <v>504</v>
      </c>
      <c r="H2249" t="s">
        <v>470</v>
      </c>
      <c r="I2249">
        <v>49</v>
      </c>
      <c r="J2249">
        <v>0.8044692737430168</v>
      </c>
      <c r="K2249">
        <v>0.76190476190476186</v>
      </c>
      <c r="L2249">
        <v>0.85207100591715978</v>
      </c>
      <c r="M2249" t="s">
        <v>60</v>
      </c>
      <c r="N2249" t="s">
        <v>4925</v>
      </c>
      <c r="O2249" t="s">
        <v>4926</v>
      </c>
      <c r="P2249">
        <v>2.1</v>
      </c>
    </row>
    <row r="2250" spans="1:16" x14ac:dyDescent="0.3">
      <c r="A2250" t="s">
        <v>30</v>
      </c>
      <c r="B2250" t="s">
        <v>24</v>
      </c>
      <c r="C2250" t="s">
        <v>25</v>
      </c>
      <c r="D2250" t="s">
        <v>363</v>
      </c>
      <c r="E2250" t="s">
        <v>467</v>
      </c>
      <c r="F2250" t="s">
        <v>9</v>
      </c>
      <c r="G2250" t="s">
        <v>509</v>
      </c>
      <c r="H2250" t="s">
        <v>470</v>
      </c>
      <c r="I2250">
        <v>50</v>
      </c>
      <c r="J2250">
        <v>0.81232492997198891</v>
      </c>
      <c r="K2250">
        <v>0.77127659574468088</v>
      </c>
      <c r="L2250">
        <v>0.85798816568047342</v>
      </c>
      <c r="M2250" t="s">
        <v>60</v>
      </c>
      <c r="N2250" t="s">
        <v>4927</v>
      </c>
      <c r="O2250" t="s">
        <v>4928</v>
      </c>
      <c r="P2250">
        <v>1.7</v>
      </c>
    </row>
    <row r="2251" spans="1:16" x14ac:dyDescent="0.3">
      <c r="A2251" t="s">
        <v>30</v>
      </c>
      <c r="B2251" t="s">
        <v>24</v>
      </c>
      <c r="C2251" t="s">
        <v>25</v>
      </c>
      <c r="D2251" t="s">
        <v>363</v>
      </c>
      <c r="E2251" t="s">
        <v>467</v>
      </c>
      <c r="F2251" t="s">
        <v>9</v>
      </c>
      <c r="G2251" t="s">
        <v>514</v>
      </c>
      <c r="H2251" t="s">
        <v>470</v>
      </c>
      <c r="I2251">
        <v>51</v>
      </c>
      <c r="J2251">
        <v>0.80672268907563016</v>
      </c>
      <c r="K2251">
        <v>0.76595744680851063</v>
      </c>
      <c r="L2251">
        <v>0.85207100591715978</v>
      </c>
      <c r="M2251" t="s">
        <v>60</v>
      </c>
      <c r="N2251" t="s">
        <v>4929</v>
      </c>
      <c r="O2251" t="s">
        <v>4930</v>
      </c>
      <c r="P2251">
        <v>1.7</v>
      </c>
    </row>
    <row r="2252" spans="1:16" x14ac:dyDescent="0.3">
      <c r="A2252" t="s">
        <v>30</v>
      </c>
      <c r="B2252" t="s">
        <v>24</v>
      </c>
      <c r="C2252" t="s">
        <v>25</v>
      </c>
      <c r="D2252" t="s">
        <v>363</v>
      </c>
      <c r="E2252" t="s">
        <v>467</v>
      </c>
      <c r="F2252" t="s">
        <v>9</v>
      </c>
      <c r="G2252" t="s">
        <v>519</v>
      </c>
      <c r="H2252" t="s">
        <v>470</v>
      </c>
      <c r="I2252">
        <v>52</v>
      </c>
      <c r="J2252">
        <v>0.82485875706214684</v>
      </c>
      <c r="K2252">
        <v>0.78918918918918923</v>
      </c>
      <c r="L2252">
        <v>0.86390532544378695</v>
      </c>
      <c r="M2252" t="s">
        <v>60</v>
      </c>
      <c r="N2252" t="s">
        <v>4931</v>
      </c>
      <c r="O2252" t="s">
        <v>4932</v>
      </c>
      <c r="P2252">
        <v>1.7</v>
      </c>
    </row>
    <row r="2253" spans="1:16" x14ac:dyDescent="0.3">
      <c r="A2253" t="s">
        <v>30</v>
      </c>
      <c r="B2253" t="s">
        <v>24</v>
      </c>
      <c r="C2253" t="s">
        <v>25</v>
      </c>
      <c r="D2253" t="s">
        <v>363</v>
      </c>
      <c r="E2253" t="s">
        <v>467</v>
      </c>
      <c r="F2253" t="s">
        <v>9</v>
      </c>
      <c r="G2253" t="s">
        <v>524</v>
      </c>
      <c r="H2253" t="s">
        <v>470</v>
      </c>
      <c r="I2253">
        <v>53</v>
      </c>
      <c r="J2253">
        <v>0.82222222222222219</v>
      </c>
      <c r="K2253">
        <v>0.77486910994764402</v>
      </c>
      <c r="L2253">
        <v>0.87573964497041423</v>
      </c>
      <c r="M2253" t="s">
        <v>60</v>
      </c>
      <c r="N2253" t="s">
        <v>4933</v>
      </c>
      <c r="O2253" t="s">
        <v>4934</v>
      </c>
      <c r="P2253">
        <v>2.1</v>
      </c>
    </row>
    <row r="2254" spans="1:16" x14ac:dyDescent="0.3">
      <c r="A2254" t="s">
        <v>30</v>
      </c>
      <c r="B2254" t="s">
        <v>24</v>
      </c>
      <c r="C2254" t="s">
        <v>25</v>
      </c>
      <c r="D2254" t="s">
        <v>363</v>
      </c>
      <c r="E2254" t="s">
        <v>467</v>
      </c>
      <c r="F2254" t="s">
        <v>9</v>
      </c>
      <c r="G2254" t="s">
        <v>529</v>
      </c>
      <c r="H2254" t="s">
        <v>470</v>
      </c>
      <c r="I2254">
        <v>54</v>
      </c>
      <c r="J2254">
        <v>0.83473389355742289</v>
      </c>
      <c r="K2254">
        <v>0.79255319148936165</v>
      </c>
      <c r="L2254">
        <v>0.88165680473372776</v>
      </c>
      <c r="M2254" t="s">
        <v>60</v>
      </c>
      <c r="N2254" t="s">
        <v>4935</v>
      </c>
      <c r="O2254" t="s">
        <v>4936</v>
      </c>
      <c r="P2254">
        <v>1.7</v>
      </c>
    </row>
    <row r="2255" spans="1:16" x14ac:dyDescent="0.3">
      <c r="A2255" t="s">
        <v>30</v>
      </c>
      <c r="B2255" t="s">
        <v>24</v>
      </c>
      <c r="C2255" t="s">
        <v>25</v>
      </c>
      <c r="D2255" t="s">
        <v>363</v>
      </c>
      <c r="E2255" t="s">
        <v>467</v>
      </c>
      <c r="F2255" t="s">
        <v>9</v>
      </c>
      <c r="G2255" t="s">
        <v>534</v>
      </c>
      <c r="H2255" t="s">
        <v>470</v>
      </c>
      <c r="I2255">
        <v>55</v>
      </c>
      <c r="J2255">
        <v>0.83428571428571441</v>
      </c>
      <c r="K2255">
        <v>0.8066298342541437</v>
      </c>
      <c r="L2255">
        <v>0.86390532544378695</v>
      </c>
      <c r="M2255" t="s">
        <v>60</v>
      </c>
      <c r="N2255" t="s">
        <v>4937</v>
      </c>
      <c r="O2255" t="s">
        <v>4938</v>
      </c>
      <c r="P2255">
        <v>1.8</v>
      </c>
    </row>
    <row r="2256" spans="1:16" x14ac:dyDescent="0.3">
      <c r="A2256" t="s">
        <v>30</v>
      </c>
      <c r="B2256" t="s">
        <v>24</v>
      </c>
      <c r="C2256" t="s">
        <v>25</v>
      </c>
      <c r="D2256" t="s">
        <v>363</v>
      </c>
      <c r="E2256" t="s">
        <v>467</v>
      </c>
      <c r="F2256" t="s">
        <v>9</v>
      </c>
      <c r="G2256" t="s">
        <v>539</v>
      </c>
      <c r="H2256" t="s">
        <v>470</v>
      </c>
      <c r="I2256">
        <v>56</v>
      </c>
      <c r="J2256">
        <v>0.79665738161559885</v>
      </c>
      <c r="K2256">
        <v>0.75263157894736843</v>
      </c>
      <c r="L2256">
        <v>0.84615384615384615</v>
      </c>
      <c r="M2256" t="s">
        <v>60</v>
      </c>
      <c r="N2256" t="s">
        <v>4939</v>
      </c>
      <c r="O2256" t="s">
        <v>4940</v>
      </c>
      <c r="P2256">
        <v>1.9</v>
      </c>
    </row>
    <row r="2257" spans="1:16" x14ac:dyDescent="0.3">
      <c r="A2257" t="s">
        <v>30</v>
      </c>
      <c r="B2257" t="s">
        <v>24</v>
      </c>
      <c r="C2257" t="s">
        <v>25</v>
      </c>
      <c r="D2257" t="s">
        <v>363</v>
      </c>
      <c r="E2257" t="s">
        <v>467</v>
      </c>
      <c r="F2257" t="s">
        <v>9</v>
      </c>
      <c r="G2257" t="s">
        <v>544</v>
      </c>
      <c r="H2257" t="s">
        <v>470</v>
      </c>
      <c r="I2257">
        <v>57</v>
      </c>
      <c r="J2257">
        <v>0.81767955801104963</v>
      </c>
      <c r="K2257">
        <v>0.76683937823834192</v>
      </c>
      <c r="L2257">
        <v>0.87573964497041423</v>
      </c>
      <c r="M2257" t="s">
        <v>60</v>
      </c>
      <c r="N2257" t="s">
        <v>4941</v>
      </c>
      <c r="O2257" t="s">
        <v>4942</v>
      </c>
      <c r="P2257">
        <v>2.2000000000000002</v>
      </c>
    </row>
    <row r="2258" spans="1:16" x14ac:dyDescent="0.3">
      <c r="A2258" t="s">
        <v>30</v>
      </c>
      <c r="B2258" t="s">
        <v>24</v>
      </c>
      <c r="C2258" t="s">
        <v>25</v>
      </c>
      <c r="D2258" t="s">
        <v>363</v>
      </c>
      <c r="E2258" t="s">
        <v>467</v>
      </c>
      <c r="F2258" t="s">
        <v>9</v>
      </c>
      <c r="G2258" t="s">
        <v>549</v>
      </c>
      <c r="H2258" t="s">
        <v>470</v>
      </c>
      <c r="I2258">
        <v>58</v>
      </c>
      <c r="J2258">
        <v>0.82352941176470595</v>
      </c>
      <c r="K2258">
        <v>0.78191489361702127</v>
      </c>
      <c r="L2258">
        <v>0.86982248520710059</v>
      </c>
      <c r="M2258" t="s">
        <v>60</v>
      </c>
      <c r="N2258" t="s">
        <v>4943</v>
      </c>
      <c r="O2258" t="s">
        <v>4944</v>
      </c>
      <c r="P2258">
        <v>1.8</v>
      </c>
    </row>
    <row r="2259" spans="1:16" x14ac:dyDescent="0.3">
      <c r="A2259" t="s">
        <v>30</v>
      </c>
      <c r="B2259" t="s">
        <v>24</v>
      </c>
      <c r="C2259" t="s">
        <v>25</v>
      </c>
      <c r="D2259" t="s">
        <v>363</v>
      </c>
      <c r="E2259" t="s">
        <v>467</v>
      </c>
      <c r="F2259" t="s">
        <v>9</v>
      </c>
      <c r="G2259" t="s">
        <v>554</v>
      </c>
      <c r="H2259" t="s">
        <v>470</v>
      </c>
      <c r="I2259">
        <v>59</v>
      </c>
      <c r="J2259">
        <v>0.81666666666666665</v>
      </c>
      <c r="K2259">
        <v>0.76963350785340312</v>
      </c>
      <c r="L2259">
        <v>0.86982248520710059</v>
      </c>
      <c r="M2259" t="s">
        <v>60</v>
      </c>
      <c r="N2259" t="s">
        <v>4945</v>
      </c>
      <c r="O2259" t="s">
        <v>4946</v>
      </c>
      <c r="P2259">
        <v>1.7</v>
      </c>
    </row>
    <row r="2260" spans="1:16" x14ac:dyDescent="0.3">
      <c r="A2260" t="s">
        <v>30</v>
      </c>
      <c r="B2260" t="s">
        <v>24</v>
      </c>
      <c r="C2260" t="s">
        <v>25</v>
      </c>
      <c r="D2260" t="s">
        <v>363</v>
      </c>
      <c r="E2260" t="s">
        <v>467</v>
      </c>
      <c r="F2260" t="s">
        <v>9</v>
      </c>
      <c r="G2260" t="s">
        <v>559</v>
      </c>
      <c r="H2260" t="s">
        <v>470</v>
      </c>
      <c r="I2260">
        <v>60</v>
      </c>
      <c r="J2260">
        <v>0.82451253481894149</v>
      </c>
      <c r="K2260">
        <v>0.77894736842105261</v>
      </c>
      <c r="L2260">
        <v>0.87573964497041423</v>
      </c>
      <c r="M2260" t="s">
        <v>60</v>
      </c>
      <c r="N2260" t="s">
        <v>4947</v>
      </c>
      <c r="O2260" t="s">
        <v>4948</v>
      </c>
      <c r="P2260">
        <v>2.1</v>
      </c>
    </row>
    <row r="2261" spans="1:16" x14ac:dyDescent="0.3">
      <c r="A2261" t="s">
        <v>30</v>
      </c>
      <c r="B2261" t="s">
        <v>24</v>
      </c>
      <c r="C2261" t="s">
        <v>25</v>
      </c>
      <c r="D2261" t="s">
        <v>363</v>
      </c>
      <c r="E2261" t="s">
        <v>467</v>
      </c>
      <c r="F2261" t="s">
        <v>9</v>
      </c>
      <c r="G2261" t="s">
        <v>564</v>
      </c>
      <c r="H2261" t="s">
        <v>470</v>
      </c>
      <c r="I2261">
        <v>61</v>
      </c>
      <c r="J2261">
        <v>0.81232492997198891</v>
      </c>
      <c r="K2261">
        <v>0.77127659574468088</v>
      </c>
      <c r="L2261">
        <v>0.85798816568047342</v>
      </c>
      <c r="M2261" t="s">
        <v>60</v>
      </c>
      <c r="N2261" t="s">
        <v>4949</v>
      </c>
      <c r="O2261" t="s">
        <v>4950</v>
      </c>
      <c r="P2261">
        <v>1.9</v>
      </c>
    </row>
    <row r="2262" spans="1:16" x14ac:dyDescent="0.3">
      <c r="A2262" t="s">
        <v>30</v>
      </c>
      <c r="B2262" t="s">
        <v>24</v>
      </c>
      <c r="C2262" t="s">
        <v>25</v>
      </c>
      <c r="D2262" t="s">
        <v>363</v>
      </c>
      <c r="E2262" t="s">
        <v>569</v>
      </c>
      <c r="F2262" t="s">
        <v>11</v>
      </c>
      <c r="G2262" t="s">
        <v>570</v>
      </c>
      <c r="H2262" t="s">
        <v>572</v>
      </c>
      <c r="I2262">
        <v>42</v>
      </c>
      <c r="J2262">
        <v>0.82666666666666655</v>
      </c>
      <c r="K2262">
        <v>0.81578947368421051</v>
      </c>
      <c r="L2262">
        <v>0.83783783783783783</v>
      </c>
      <c r="M2262" t="s">
        <v>60</v>
      </c>
      <c r="N2262" t="s">
        <v>4951</v>
      </c>
      <c r="O2262" t="s">
        <v>4952</v>
      </c>
      <c r="P2262">
        <v>1.9</v>
      </c>
    </row>
    <row r="2263" spans="1:16" x14ac:dyDescent="0.3">
      <c r="A2263" t="s">
        <v>30</v>
      </c>
      <c r="B2263" t="s">
        <v>24</v>
      </c>
      <c r="C2263" t="s">
        <v>25</v>
      </c>
      <c r="D2263" t="s">
        <v>363</v>
      </c>
      <c r="E2263" t="s">
        <v>569</v>
      </c>
      <c r="F2263" t="s">
        <v>11</v>
      </c>
      <c r="G2263" t="s">
        <v>576</v>
      </c>
      <c r="H2263" t="s">
        <v>572</v>
      </c>
      <c r="I2263">
        <v>43</v>
      </c>
      <c r="J2263">
        <v>0.84187082405345204</v>
      </c>
      <c r="K2263">
        <v>0.83259911894273131</v>
      </c>
      <c r="L2263">
        <v>0.85135135135135132</v>
      </c>
      <c r="M2263" t="s">
        <v>60</v>
      </c>
      <c r="N2263" t="s">
        <v>4953</v>
      </c>
      <c r="O2263" t="s">
        <v>4954</v>
      </c>
      <c r="P2263">
        <v>2.2000000000000002</v>
      </c>
    </row>
    <row r="2264" spans="1:16" x14ac:dyDescent="0.3">
      <c r="A2264" t="s">
        <v>30</v>
      </c>
      <c r="B2264" t="s">
        <v>24</v>
      </c>
      <c r="C2264" t="s">
        <v>25</v>
      </c>
      <c r="D2264" t="s">
        <v>363</v>
      </c>
      <c r="E2264" t="s">
        <v>569</v>
      </c>
      <c r="F2264" t="s">
        <v>11</v>
      </c>
      <c r="G2264" t="s">
        <v>581</v>
      </c>
      <c r="H2264" t="s">
        <v>572</v>
      </c>
      <c r="I2264">
        <v>44</v>
      </c>
      <c r="J2264">
        <v>0.83628318584070793</v>
      </c>
      <c r="K2264">
        <v>0.82173913043478264</v>
      </c>
      <c r="L2264">
        <v>0.85135135135135132</v>
      </c>
      <c r="M2264" t="s">
        <v>60</v>
      </c>
      <c r="N2264" t="s">
        <v>4955</v>
      </c>
      <c r="O2264" t="s">
        <v>4956</v>
      </c>
      <c r="P2264">
        <v>1.8</v>
      </c>
    </row>
    <row r="2265" spans="1:16" x14ac:dyDescent="0.3">
      <c r="A2265" t="s">
        <v>30</v>
      </c>
      <c r="B2265" t="s">
        <v>24</v>
      </c>
      <c r="C2265" t="s">
        <v>25</v>
      </c>
      <c r="D2265" t="s">
        <v>363</v>
      </c>
      <c r="E2265" t="s">
        <v>569</v>
      </c>
      <c r="F2265" t="s">
        <v>11</v>
      </c>
      <c r="G2265" t="s">
        <v>586</v>
      </c>
      <c r="H2265" t="s">
        <v>572</v>
      </c>
      <c r="I2265">
        <v>45</v>
      </c>
      <c r="J2265">
        <v>0.81777777777777783</v>
      </c>
      <c r="K2265">
        <v>0.80701754385964908</v>
      </c>
      <c r="L2265">
        <v>0.8288288288288288</v>
      </c>
      <c r="M2265" t="s">
        <v>60</v>
      </c>
      <c r="N2265" t="s">
        <v>4957</v>
      </c>
      <c r="O2265" t="s">
        <v>4958</v>
      </c>
      <c r="P2265">
        <v>1.9</v>
      </c>
    </row>
    <row r="2266" spans="1:16" x14ac:dyDescent="0.3">
      <c r="A2266" t="s">
        <v>30</v>
      </c>
      <c r="B2266" t="s">
        <v>24</v>
      </c>
      <c r="C2266" t="s">
        <v>25</v>
      </c>
      <c r="D2266" t="s">
        <v>363</v>
      </c>
      <c r="E2266" t="s">
        <v>569</v>
      </c>
      <c r="F2266" t="s">
        <v>11</v>
      </c>
      <c r="G2266" t="s">
        <v>591</v>
      </c>
      <c r="H2266" t="s">
        <v>572</v>
      </c>
      <c r="I2266">
        <v>46</v>
      </c>
      <c r="J2266">
        <v>0.82560706401766004</v>
      </c>
      <c r="K2266">
        <v>0.80952380952380953</v>
      </c>
      <c r="L2266">
        <v>0.84234234234234229</v>
      </c>
      <c r="M2266" t="s">
        <v>60</v>
      </c>
      <c r="N2266" t="s">
        <v>4959</v>
      </c>
      <c r="O2266" t="s">
        <v>4960</v>
      </c>
      <c r="P2266">
        <v>2.4</v>
      </c>
    </row>
    <row r="2267" spans="1:16" x14ac:dyDescent="0.3">
      <c r="A2267" t="s">
        <v>30</v>
      </c>
      <c r="B2267" t="s">
        <v>24</v>
      </c>
      <c r="C2267" t="s">
        <v>25</v>
      </c>
      <c r="D2267" t="s">
        <v>363</v>
      </c>
      <c r="E2267" t="s">
        <v>569</v>
      </c>
      <c r="F2267" t="s">
        <v>11</v>
      </c>
      <c r="G2267" t="s">
        <v>596</v>
      </c>
      <c r="H2267" t="s">
        <v>572</v>
      </c>
      <c r="I2267">
        <v>47</v>
      </c>
      <c r="J2267">
        <v>0.82743362831858391</v>
      </c>
      <c r="K2267">
        <v>0.81304347826086953</v>
      </c>
      <c r="L2267">
        <v>0.84234234234234229</v>
      </c>
      <c r="M2267" t="s">
        <v>60</v>
      </c>
      <c r="N2267" t="s">
        <v>4961</v>
      </c>
      <c r="O2267" t="s">
        <v>4962</v>
      </c>
      <c r="P2267">
        <v>1.8</v>
      </c>
    </row>
    <row r="2268" spans="1:16" x14ac:dyDescent="0.3">
      <c r="A2268" t="s">
        <v>30</v>
      </c>
      <c r="B2268" t="s">
        <v>24</v>
      </c>
      <c r="C2268" t="s">
        <v>25</v>
      </c>
      <c r="D2268" t="s">
        <v>363</v>
      </c>
      <c r="E2268" t="s">
        <v>569</v>
      </c>
      <c r="F2268" t="s">
        <v>11</v>
      </c>
      <c r="G2268" t="s">
        <v>601</v>
      </c>
      <c r="H2268" t="s">
        <v>572</v>
      </c>
      <c r="I2268">
        <v>48</v>
      </c>
      <c r="J2268">
        <v>0.81938325991189431</v>
      </c>
      <c r="K2268">
        <v>0.80172413793103448</v>
      </c>
      <c r="L2268">
        <v>0.83783783783783783</v>
      </c>
      <c r="M2268" t="s">
        <v>60</v>
      </c>
      <c r="N2268" t="s">
        <v>4963</v>
      </c>
      <c r="O2268" t="s">
        <v>4964</v>
      </c>
      <c r="P2268">
        <v>1.8</v>
      </c>
    </row>
    <row r="2269" spans="1:16" x14ac:dyDescent="0.3">
      <c r="A2269" t="s">
        <v>30</v>
      </c>
      <c r="B2269" t="s">
        <v>24</v>
      </c>
      <c r="C2269" t="s">
        <v>25</v>
      </c>
      <c r="D2269" t="s">
        <v>363</v>
      </c>
      <c r="E2269" t="s">
        <v>569</v>
      </c>
      <c r="F2269" t="s">
        <v>11</v>
      </c>
      <c r="G2269" t="s">
        <v>606</v>
      </c>
      <c r="H2269" t="s">
        <v>572</v>
      </c>
      <c r="I2269">
        <v>49</v>
      </c>
      <c r="J2269">
        <v>0.82119205298013254</v>
      </c>
      <c r="K2269">
        <v>0.80519480519480524</v>
      </c>
      <c r="L2269">
        <v>0.83783783783783783</v>
      </c>
      <c r="M2269" t="s">
        <v>60</v>
      </c>
      <c r="N2269" t="s">
        <v>4965</v>
      </c>
      <c r="O2269" t="s">
        <v>4966</v>
      </c>
      <c r="P2269">
        <v>1.8</v>
      </c>
    </row>
    <row r="2270" spans="1:16" x14ac:dyDescent="0.3">
      <c r="A2270" t="s">
        <v>30</v>
      </c>
      <c r="B2270" t="s">
        <v>24</v>
      </c>
      <c r="C2270" t="s">
        <v>25</v>
      </c>
      <c r="D2270" t="s">
        <v>363</v>
      </c>
      <c r="E2270" t="s">
        <v>569</v>
      </c>
      <c r="F2270" t="s">
        <v>11</v>
      </c>
      <c r="G2270" t="s">
        <v>611</v>
      </c>
      <c r="H2270" t="s">
        <v>572</v>
      </c>
      <c r="I2270">
        <v>50</v>
      </c>
      <c r="J2270">
        <v>0.83111111111111113</v>
      </c>
      <c r="K2270">
        <v>0.82017543859649122</v>
      </c>
      <c r="L2270">
        <v>0.84234234234234229</v>
      </c>
      <c r="M2270" t="s">
        <v>60</v>
      </c>
      <c r="N2270" t="s">
        <v>4967</v>
      </c>
      <c r="O2270" t="s">
        <v>4968</v>
      </c>
      <c r="P2270">
        <v>2.2999999999999998</v>
      </c>
    </row>
    <row r="2271" spans="1:16" x14ac:dyDescent="0.3">
      <c r="A2271" t="s">
        <v>30</v>
      </c>
      <c r="B2271" t="s">
        <v>24</v>
      </c>
      <c r="C2271" t="s">
        <v>25</v>
      </c>
      <c r="D2271" t="s">
        <v>363</v>
      </c>
      <c r="E2271" t="s">
        <v>569</v>
      </c>
      <c r="F2271" t="s">
        <v>11</v>
      </c>
      <c r="G2271" t="s">
        <v>616</v>
      </c>
      <c r="H2271" t="s">
        <v>572</v>
      </c>
      <c r="I2271">
        <v>51</v>
      </c>
      <c r="J2271">
        <v>0.84000000000000008</v>
      </c>
      <c r="K2271">
        <v>0.82894736842105265</v>
      </c>
      <c r="L2271">
        <v>0.85135135135135132</v>
      </c>
      <c r="M2271" t="s">
        <v>60</v>
      </c>
      <c r="N2271" t="s">
        <v>4969</v>
      </c>
      <c r="O2271" t="s">
        <v>4970</v>
      </c>
      <c r="P2271">
        <v>2</v>
      </c>
    </row>
    <row r="2272" spans="1:16" x14ac:dyDescent="0.3">
      <c r="A2272" t="s">
        <v>30</v>
      </c>
      <c r="B2272" t="s">
        <v>24</v>
      </c>
      <c r="C2272" t="s">
        <v>25</v>
      </c>
      <c r="D2272" t="s">
        <v>363</v>
      </c>
      <c r="E2272" t="s">
        <v>569</v>
      </c>
      <c r="F2272" t="s">
        <v>11</v>
      </c>
      <c r="G2272" t="s">
        <v>621</v>
      </c>
      <c r="H2272" t="s">
        <v>572</v>
      </c>
      <c r="I2272">
        <v>52</v>
      </c>
      <c r="J2272">
        <v>0.8351648351648352</v>
      </c>
      <c r="K2272">
        <v>0.81545064377682408</v>
      </c>
      <c r="L2272">
        <v>0.85585585585585588</v>
      </c>
      <c r="M2272" t="s">
        <v>60</v>
      </c>
      <c r="N2272" t="s">
        <v>4971</v>
      </c>
      <c r="O2272" t="s">
        <v>4972</v>
      </c>
      <c r="P2272">
        <v>2.2999999999999998</v>
      </c>
    </row>
    <row r="2273" spans="1:16" x14ac:dyDescent="0.3">
      <c r="A2273" t="s">
        <v>30</v>
      </c>
      <c r="B2273" t="s">
        <v>24</v>
      </c>
      <c r="C2273" t="s">
        <v>25</v>
      </c>
      <c r="D2273" t="s">
        <v>363</v>
      </c>
      <c r="E2273" t="s">
        <v>569</v>
      </c>
      <c r="F2273" t="s">
        <v>11</v>
      </c>
      <c r="G2273" t="s">
        <v>626</v>
      </c>
      <c r="H2273" t="s">
        <v>572</v>
      </c>
      <c r="I2273">
        <v>53</v>
      </c>
      <c r="J2273">
        <v>0.84632516703786187</v>
      </c>
      <c r="K2273">
        <v>0.83700440528634357</v>
      </c>
      <c r="L2273">
        <v>0.85585585585585588</v>
      </c>
      <c r="M2273" t="s">
        <v>60</v>
      </c>
      <c r="N2273" t="s">
        <v>4973</v>
      </c>
      <c r="O2273" t="s">
        <v>4974</v>
      </c>
      <c r="P2273">
        <v>1.9</v>
      </c>
    </row>
    <row r="2274" spans="1:16" x14ac:dyDescent="0.3">
      <c r="A2274" t="s">
        <v>30</v>
      </c>
      <c r="B2274" t="s">
        <v>24</v>
      </c>
      <c r="C2274" t="s">
        <v>25</v>
      </c>
      <c r="D2274" t="s">
        <v>363</v>
      </c>
      <c r="E2274" t="s">
        <v>569</v>
      </c>
      <c r="F2274" t="s">
        <v>11</v>
      </c>
      <c r="G2274" t="s">
        <v>631</v>
      </c>
      <c r="H2274" t="s">
        <v>572</v>
      </c>
      <c r="I2274">
        <v>54</v>
      </c>
      <c r="J2274">
        <v>0.83370288248337032</v>
      </c>
      <c r="K2274">
        <v>0.82096069868995636</v>
      </c>
      <c r="L2274">
        <v>0.84684684684684686</v>
      </c>
      <c r="M2274" t="s">
        <v>60</v>
      </c>
      <c r="N2274" t="s">
        <v>4975</v>
      </c>
      <c r="O2274" t="s">
        <v>4976</v>
      </c>
      <c r="P2274">
        <v>2.1</v>
      </c>
    </row>
    <row r="2275" spans="1:16" x14ac:dyDescent="0.3">
      <c r="A2275" t="s">
        <v>30</v>
      </c>
      <c r="B2275" t="s">
        <v>24</v>
      </c>
      <c r="C2275" t="s">
        <v>25</v>
      </c>
      <c r="D2275" t="s">
        <v>363</v>
      </c>
      <c r="E2275" t="s">
        <v>569</v>
      </c>
      <c r="F2275" t="s">
        <v>11</v>
      </c>
      <c r="G2275" t="s">
        <v>636</v>
      </c>
      <c r="H2275" t="s">
        <v>572</v>
      </c>
      <c r="I2275">
        <v>55</v>
      </c>
      <c r="J2275">
        <v>0.84187082405345204</v>
      </c>
      <c r="K2275">
        <v>0.83259911894273131</v>
      </c>
      <c r="L2275">
        <v>0.85135135135135132</v>
      </c>
      <c r="M2275" t="s">
        <v>60</v>
      </c>
      <c r="N2275" t="s">
        <v>4977</v>
      </c>
      <c r="O2275" t="s">
        <v>4978</v>
      </c>
      <c r="P2275">
        <v>1.8</v>
      </c>
    </row>
    <row r="2276" spans="1:16" x14ac:dyDescent="0.3">
      <c r="A2276" t="s">
        <v>30</v>
      </c>
      <c r="B2276" t="s">
        <v>24</v>
      </c>
      <c r="C2276" t="s">
        <v>25</v>
      </c>
      <c r="D2276" t="s">
        <v>363</v>
      </c>
      <c r="E2276" t="s">
        <v>569</v>
      </c>
      <c r="F2276" t="s">
        <v>11</v>
      </c>
      <c r="G2276" t="s">
        <v>641</v>
      </c>
      <c r="H2276" t="s">
        <v>572</v>
      </c>
      <c r="I2276">
        <v>56</v>
      </c>
      <c r="J2276">
        <v>0.82666666666666655</v>
      </c>
      <c r="K2276">
        <v>0.81578947368421051</v>
      </c>
      <c r="L2276">
        <v>0.83783783783783783</v>
      </c>
      <c r="M2276" t="s">
        <v>60</v>
      </c>
      <c r="N2276" t="s">
        <v>4979</v>
      </c>
      <c r="O2276" t="s">
        <v>4980</v>
      </c>
      <c r="P2276">
        <v>2.2000000000000002</v>
      </c>
    </row>
    <row r="2277" spans="1:16" x14ac:dyDescent="0.3">
      <c r="A2277" t="s">
        <v>30</v>
      </c>
      <c r="B2277" t="s">
        <v>24</v>
      </c>
      <c r="C2277" t="s">
        <v>25</v>
      </c>
      <c r="D2277" t="s">
        <v>363</v>
      </c>
      <c r="E2277" t="s">
        <v>569</v>
      </c>
      <c r="F2277" t="s">
        <v>11</v>
      </c>
      <c r="G2277" t="s">
        <v>646</v>
      </c>
      <c r="H2277" t="s">
        <v>572</v>
      </c>
      <c r="I2277">
        <v>57</v>
      </c>
      <c r="J2277">
        <v>0.83296213808463249</v>
      </c>
      <c r="K2277">
        <v>0.82378854625550657</v>
      </c>
      <c r="L2277">
        <v>0.84234234234234229</v>
      </c>
      <c r="M2277" t="s">
        <v>60</v>
      </c>
      <c r="N2277" t="s">
        <v>4981</v>
      </c>
      <c r="O2277" t="s">
        <v>4982</v>
      </c>
      <c r="P2277">
        <v>1.2</v>
      </c>
    </row>
    <row r="2278" spans="1:16" x14ac:dyDescent="0.3">
      <c r="A2278" t="s">
        <v>30</v>
      </c>
      <c r="B2278" t="s">
        <v>24</v>
      </c>
      <c r="C2278" t="s">
        <v>25</v>
      </c>
      <c r="D2278" t="s">
        <v>363</v>
      </c>
      <c r="E2278" t="s">
        <v>569</v>
      </c>
      <c r="F2278" t="s">
        <v>11</v>
      </c>
      <c r="G2278" t="s">
        <v>651</v>
      </c>
      <c r="H2278" t="s">
        <v>572</v>
      </c>
      <c r="I2278">
        <v>58</v>
      </c>
      <c r="J2278">
        <v>0.83296213808463249</v>
      </c>
      <c r="K2278">
        <v>0.82378854625550657</v>
      </c>
      <c r="L2278">
        <v>0.84234234234234229</v>
      </c>
      <c r="M2278" t="s">
        <v>60</v>
      </c>
      <c r="N2278" t="s">
        <v>4983</v>
      </c>
      <c r="O2278" t="s">
        <v>4984</v>
      </c>
      <c r="P2278">
        <v>1.2</v>
      </c>
    </row>
    <row r="2279" spans="1:16" x14ac:dyDescent="0.3">
      <c r="A2279" t="s">
        <v>30</v>
      </c>
      <c r="B2279" t="s">
        <v>24</v>
      </c>
      <c r="C2279" t="s">
        <v>25</v>
      </c>
      <c r="D2279" t="s">
        <v>363</v>
      </c>
      <c r="E2279" t="s">
        <v>569</v>
      </c>
      <c r="F2279" t="s">
        <v>11</v>
      </c>
      <c r="G2279" t="s">
        <v>656</v>
      </c>
      <c r="H2279" t="s">
        <v>572</v>
      </c>
      <c r="I2279">
        <v>59</v>
      </c>
      <c r="J2279">
        <v>0.82378854625550657</v>
      </c>
      <c r="K2279">
        <v>0.80603448275862066</v>
      </c>
      <c r="L2279">
        <v>0.84234234234234229</v>
      </c>
      <c r="M2279" t="s">
        <v>60</v>
      </c>
      <c r="N2279" t="s">
        <v>4985</v>
      </c>
      <c r="O2279" t="s">
        <v>4986</v>
      </c>
      <c r="P2279">
        <v>1.6</v>
      </c>
    </row>
    <row r="2280" spans="1:16" x14ac:dyDescent="0.3">
      <c r="A2280" t="s">
        <v>30</v>
      </c>
      <c r="B2280" t="s">
        <v>24</v>
      </c>
      <c r="C2280" t="s">
        <v>25</v>
      </c>
      <c r="D2280" t="s">
        <v>363</v>
      </c>
      <c r="E2280" t="s">
        <v>569</v>
      </c>
      <c r="F2280" t="s">
        <v>11</v>
      </c>
      <c r="G2280" t="s">
        <v>661</v>
      </c>
      <c r="H2280" t="s">
        <v>572</v>
      </c>
      <c r="I2280">
        <v>60</v>
      </c>
      <c r="J2280">
        <v>0.84000000000000008</v>
      </c>
      <c r="K2280">
        <v>0.82894736842105265</v>
      </c>
      <c r="L2280">
        <v>0.85135135135135132</v>
      </c>
      <c r="M2280" t="s">
        <v>60</v>
      </c>
      <c r="N2280" t="s">
        <v>4987</v>
      </c>
      <c r="O2280" t="s">
        <v>4988</v>
      </c>
      <c r="P2280">
        <v>1.2</v>
      </c>
    </row>
    <row r="2281" spans="1:16" x14ac:dyDescent="0.3">
      <c r="A2281" t="s">
        <v>30</v>
      </c>
      <c r="B2281" t="s">
        <v>24</v>
      </c>
      <c r="C2281" t="s">
        <v>25</v>
      </c>
      <c r="D2281" t="s">
        <v>363</v>
      </c>
      <c r="E2281" t="s">
        <v>569</v>
      </c>
      <c r="F2281" t="s">
        <v>11</v>
      </c>
      <c r="G2281" t="s">
        <v>666</v>
      </c>
      <c r="H2281" t="s">
        <v>572</v>
      </c>
      <c r="I2281">
        <v>61</v>
      </c>
      <c r="J2281">
        <v>0.84000000000000008</v>
      </c>
      <c r="K2281">
        <v>0.82894736842105265</v>
      </c>
      <c r="L2281">
        <v>0.85135135135135132</v>
      </c>
      <c r="M2281" t="s">
        <v>60</v>
      </c>
      <c r="N2281" t="s">
        <v>4989</v>
      </c>
      <c r="O2281" t="s">
        <v>4990</v>
      </c>
      <c r="P2281">
        <v>1.3</v>
      </c>
    </row>
    <row r="2282" spans="1:16" x14ac:dyDescent="0.3">
      <c r="A2282" t="s">
        <v>30</v>
      </c>
      <c r="B2282" t="s">
        <v>26</v>
      </c>
      <c r="C2282" t="s">
        <v>27</v>
      </c>
      <c r="D2282" t="s">
        <v>54</v>
      </c>
      <c r="E2282" t="s">
        <v>56</v>
      </c>
      <c r="F2282" t="s">
        <v>7</v>
      </c>
      <c r="G2282" t="s">
        <v>57</v>
      </c>
      <c r="H2282" t="s">
        <v>59</v>
      </c>
      <c r="I2282">
        <v>42</v>
      </c>
      <c r="J2282">
        <v>0.72803347280334718</v>
      </c>
      <c r="K2282">
        <v>0.70161290322580649</v>
      </c>
      <c r="L2282">
        <v>0.75652173913043474</v>
      </c>
      <c r="M2282" t="s">
        <v>60</v>
      </c>
      <c r="N2282" t="s">
        <v>4991</v>
      </c>
      <c r="O2282" t="s">
        <v>4992</v>
      </c>
      <c r="P2282">
        <v>5.9</v>
      </c>
    </row>
    <row r="2283" spans="1:16" x14ac:dyDescent="0.3">
      <c r="A2283" t="s">
        <v>30</v>
      </c>
      <c r="B2283" t="s">
        <v>26</v>
      </c>
      <c r="C2283" t="s">
        <v>27</v>
      </c>
      <c r="D2283" t="s">
        <v>54</v>
      </c>
      <c r="E2283" t="s">
        <v>56</v>
      </c>
      <c r="F2283" t="s">
        <v>7</v>
      </c>
      <c r="G2283" t="s">
        <v>65</v>
      </c>
      <c r="H2283" t="s">
        <v>59</v>
      </c>
      <c r="I2283">
        <v>43</v>
      </c>
      <c r="J2283">
        <v>0.70981210855949894</v>
      </c>
      <c r="K2283">
        <v>0.68273092369477917</v>
      </c>
      <c r="L2283">
        <v>0.73913043478260865</v>
      </c>
      <c r="M2283" t="s">
        <v>60</v>
      </c>
      <c r="N2283" t="s">
        <v>4993</v>
      </c>
      <c r="O2283" t="s">
        <v>4994</v>
      </c>
      <c r="P2283">
        <v>1.3</v>
      </c>
    </row>
    <row r="2284" spans="1:16" x14ac:dyDescent="0.3">
      <c r="A2284" t="s">
        <v>30</v>
      </c>
      <c r="B2284" t="s">
        <v>26</v>
      </c>
      <c r="C2284" t="s">
        <v>27</v>
      </c>
      <c r="D2284" t="s">
        <v>54</v>
      </c>
      <c r="E2284" t="s">
        <v>56</v>
      </c>
      <c r="F2284" t="s">
        <v>7</v>
      </c>
      <c r="G2284" t="s">
        <v>70</v>
      </c>
      <c r="H2284" t="s">
        <v>59</v>
      </c>
      <c r="I2284">
        <v>44</v>
      </c>
      <c r="J2284">
        <v>0.7649572649572649</v>
      </c>
      <c r="K2284">
        <v>0.75210084033613445</v>
      </c>
      <c r="L2284">
        <v>0.77826086956521734</v>
      </c>
      <c r="M2284" t="s">
        <v>60</v>
      </c>
      <c r="N2284" t="s">
        <v>4995</v>
      </c>
      <c r="O2284" t="s">
        <v>4996</v>
      </c>
      <c r="P2284">
        <v>1.7</v>
      </c>
    </row>
    <row r="2285" spans="1:16" x14ac:dyDescent="0.3">
      <c r="A2285" t="s">
        <v>30</v>
      </c>
      <c r="B2285" t="s">
        <v>26</v>
      </c>
      <c r="C2285" t="s">
        <v>27</v>
      </c>
      <c r="D2285" t="s">
        <v>54</v>
      </c>
      <c r="E2285" t="s">
        <v>56</v>
      </c>
      <c r="F2285" t="s">
        <v>7</v>
      </c>
      <c r="G2285" t="s">
        <v>75</v>
      </c>
      <c r="H2285" t="s">
        <v>59</v>
      </c>
      <c r="I2285">
        <v>45</v>
      </c>
      <c r="J2285">
        <v>0.76231263383297643</v>
      </c>
      <c r="K2285">
        <v>0.75105485232067515</v>
      </c>
      <c r="L2285">
        <v>0.77391304347826084</v>
      </c>
      <c r="M2285" t="s">
        <v>60</v>
      </c>
      <c r="N2285" t="s">
        <v>4997</v>
      </c>
      <c r="O2285" t="s">
        <v>4998</v>
      </c>
      <c r="P2285">
        <v>1.3</v>
      </c>
    </row>
    <row r="2286" spans="1:16" x14ac:dyDescent="0.3">
      <c r="A2286" t="s">
        <v>30</v>
      </c>
      <c r="B2286" t="s">
        <v>26</v>
      </c>
      <c r="C2286" t="s">
        <v>27</v>
      </c>
      <c r="D2286" t="s">
        <v>54</v>
      </c>
      <c r="E2286" t="s">
        <v>56</v>
      </c>
      <c r="F2286" t="s">
        <v>7</v>
      </c>
      <c r="G2286" t="s">
        <v>80</v>
      </c>
      <c r="H2286" t="s">
        <v>59</v>
      </c>
      <c r="I2286">
        <v>46</v>
      </c>
      <c r="J2286">
        <v>0.73036093418259018</v>
      </c>
      <c r="K2286">
        <v>0.7136929460580913</v>
      </c>
      <c r="L2286">
        <v>0.74782608695652175</v>
      </c>
      <c r="M2286" t="s">
        <v>60</v>
      </c>
      <c r="N2286" t="s">
        <v>4999</v>
      </c>
      <c r="O2286" t="s">
        <v>5000</v>
      </c>
      <c r="P2286">
        <v>1.3</v>
      </c>
    </row>
    <row r="2287" spans="1:16" x14ac:dyDescent="0.3">
      <c r="A2287" t="s">
        <v>30</v>
      </c>
      <c r="B2287" t="s">
        <v>26</v>
      </c>
      <c r="C2287" t="s">
        <v>27</v>
      </c>
      <c r="D2287" t="s">
        <v>54</v>
      </c>
      <c r="E2287" t="s">
        <v>56</v>
      </c>
      <c r="F2287" t="s">
        <v>7</v>
      </c>
      <c r="G2287" t="s">
        <v>85</v>
      </c>
      <c r="H2287" t="s">
        <v>59</v>
      </c>
      <c r="I2287">
        <v>47</v>
      </c>
      <c r="J2287">
        <v>0.74786324786324798</v>
      </c>
      <c r="K2287">
        <v>0.73529411764705888</v>
      </c>
      <c r="L2287">
        <v>0.76086956521739135</v>
      </c>
      <c r="M2287" t="s">
        <v>60</v>
      </c>
      <c r="N2287" t="s">
        <v>5001</v>
      </c>
      <c r="O2287" t="s">
        <v>5002</v>
      </c>
      <c r="P2287">
        <v>1.7</v>
      </c>
    </row>
    <row r="2288" spans="1:16" x14ac:dyDescent="0.3">
      <c r="A2288" t="s">
        <v>30</v>
      </c>
      <c r="B2288" t="s">
        <v>26</v>
      </c>
      <c r="C2288" t="s">
        <v>27</v>
      </c>
      <c r="D2288" t="s">
        <v>54</v>
      </c>
      <c r="E2288" t="s">
        <v>56</v>
      </c>
      <c r="F2288" t="s">
        <v>7</v>
      </c>
      <c r="G2288" t="s">
        <v>90</v>
      </c>
      <c r="H2288" t="s">
        <v>59</v>
      </c>
      <c r="I2288">
        <v>48</v>
      </c>
      <c r="J2288">
        <v>0.70833333333333337</v>
      </c>
      <c r="K2288">
        <v>0.68</v>
      </c>
      <c r="L2288">
        <v>0.73913043478260865</v>
      </c>
      <c r="M2288" t="s">
        <v>60</v>
      </c>
      <c r="N2288" t="s">
        <v>5003</v>
      </c>
      <c r="O2288" t="s">
        <v>5004</v>
      </c>
      <c r="P2288">
        <v>1.3</v>
      </c>
    </row>
    <row r="2289" spans="1:16" x14ac:dyDescent="0.3">
      <c r="A2289" t="s">
        <v>30</v>
      </c>
      <c r="B2289" t="s">
        <v>26</v>
      </c>
      <c r="C2289" t="s">
        <v>27</v>
      </c>
      <c r="D2289" t="s">
        <v>54</v>
      </c>
      <c r="E2289" t="s">
        <v>56</v>
      </c>
      <c r="F2289" t="s">
        <v>7</v>
      </c>
      <c r="G2289" t="s">
        <v>95</v>
      </c>
      <c r="H2289" t="s">
        <v>59</v>
      </c>
      <c r="I2289">
        <v>49</v>
      </c>
      <c r="J2289">
        <v>0.73684210526315808</v>
      </c>
      <c r="K2289">
        <v>0.7142857142857143</v>
      </c>
      <c r="L2289">
        <v>0.76086956521739135</v>
      </c>
      <c r="M2289" t="s">
        <v>60</v>
      </c>
      <c r="N2289" t="s">
        <v>5005</v>
      </c>
      <c r="O2289" t="s">
        <v>5006</v>
      </c>
      <c r="P2289">
        <v>1.3</v>
      </c>
    </row>
    <row r="2290" spans="1:16" x14ac:dyDescent="0.3">
      <c r="A2290" t="s">
        <v>30</v>
      </c>
      <c r="B2290" t="s">
        <v>26</v>
      </c>
      <c r="C2290" t="s">
        <v>27</v>
      </c>
      <c r="D2290" t="s">
        <v>54</v>
      </c>
      <c r="E2290" t="s">
        <v>56</v>
      </c>
      <c r="F2290" t="s">
        <v>7</v>
      </c>
      <c r="G2290" t="s">
        <v>100</v>
      </c>
      <c r="H2290" t="s">
        <v>59</v>
      </c>
      <c r="I2290">
        <v>50</v>
      </c>
      <c r="J2290">
        <v>0.75161987041036704</v>
      </c>
      <c r="K2290">
        <v>0.74678111587982832</v>
      </c>
      <c r="L2290">
        <v>0.75652173913043474</v>
      </c>
      <c r="M2290" t="s">
        <v>60</v>
      </c>
      <c r="N2290" t="s">
        <v>5007</v>
      </c>
      <c r="O2290" t="s">
        <v>5008</v>
      </c>
      <c r="P2290">
        <v>1.7</v>
      </c>
    </row>
    <row r="2291" spans="1:16" x14ac:dyDescent="0.3">
      <c r="A2291" t="s">
        <v>30</v>
      </c>
      <c r="B2291" t="s">
        <v>26</v>
      </c>
      <c r="C2291" t="s">
        <v>27</v>
      </c>
      <c r="D2291" t="s">
        <v>54</v>
      </c>
      <c r="E2291" t="s">
        <v>56</v>
      </c>
      <c r="F2291" t="s">
        <v>7</v>
      </c>
      <c r="G2291" t="s">
        <v>105</v>
      </c>
      <c r="H2291" t="s">
        <v>59</v>
      </c>
      <c r="I2291">
        <v>51</v>
      </c>
      <c r="J2291">
        <v>0.73839662447257393</v>
      </c>
      <c r="K2291">
        <v>0.71721311475409832</v>
      </c>
      <c r="L2291">
        <v>0.76086956521739135</v>
      </c>
      <c r="M2291" t="s">
        <v>60</v>
      </c>
      <c r="N2291" t="s">
        <v>5009</v>
      </c>
      <c r="O2291" t="s">
        <v>5010</v>
      </c>
      <c r="P2291">
        <v>1.3</v>
      </c>
    </row>
    <row r="2292" spans="1:16" x14ac:dyDescent="0.3">
      <c r="A2292" t="s">
        <v>30</v>
      </c>
      <c r="B2292" t="s">
        <v>26</v>
      </c>
      <c r="C2292" t="s">
        <v>27</v>
      </c>
      <c r="D2292" t="s">
        <v>54</v>
      </c>
      <c r="E2292" t="s">
        <v>56</v>
      </c>
      <c r="F2292" t="s">
        <v>7</v>
      </c>
      <c r="G2292" t="s">
        <v>110</v>
      </c>
      <c r="H2292" t="s">
        <v>59</v>
      </c>
      <c r="I2292">
        <v>52</v>
      </c>
      <c r="J2292">
        <v>0.71250000000000013</v>
      </c>
      <c r="K2292">
        <v>0.68400000000000005</v>
      </c>
      <c r="L2292">
        <v>0.74347826086956526</v>
      </c>
      <c r="M2292" t="s">
        <v>60</v>
      </c>
      <c r="N2292" t="s">
        <v>5011</v>
      </c>
      <c r="O2292" t="s">
        <v>5012</v>
      </c>
      <c r="P2292">
        <v>1.3</v>
      </c>
    </row>
    <row r="2293" spans="1:16" x14ac:dyDescent="0.3">
      <c r="A2293" t="s">
        <v>30</v>
      </c>
      <c r="B2293" t="s">
        <v>26</v>
      </c>
      <c r="C2293" t="s">
        <v>27</v>
      </c>
      <c r="D2293" t="s">
        <v>54</v>
      </c>
      <c r="E2293" t="s">
        <v>56</v>
      </c>
      <c r="F2293" t="s">
        <v>7</v>
      </c>
      <c r="G2293" t="s">
        <v>115</v>
      </c>
      <c r="H2293" t="s">
        <v>59</v>
      </c>
      <c r="I2293">
        <v>53</v>
      </c>
      <c r="J2293">
        <v>0.75105485232067504</v>
      </c>
      <c r="K2293">
        <v>0.72950819672131151</v>
      </c>
      <c r="L2293">
        <v>0.77391304347826084</v>
      </c>
      <c r="M2293" t="s">
        <v>60</v>
      </c>
      <c r="N2293" t="s">
        <v>5013</v>
      </c>
      <c r="O2293" t="s">
        <v>5014</v>
      </c>
      <c r="P2293">
        <v>1.7</v>
      </c>
    </row>
    <row r="2294" spans="1:16" x14ac:dyDescent="0.3">
      <c r="A2294" t="s">
        <v>30</v>
      </c>
      <c r="B2294" t="s">
        <v>26</v>
      </c>
      <c r="C2294" t="s">
        <v>27</v>
      </c>
      <c r="D2294" t="s">
        <v>54</v>
      </c>
      <c r="E2294" t="s">
        <v>56</v>
      </c>
      <c r="F2294" t="s">
        <v>7</v>
      </c>
      <c r="G2294" t="s">
        <v>120</v>
      </c>
      <c r="H2294" t="s">
        <v>59</v>
      </c>
      <c r="I2294">
        <v>54</v>
      </c>
      <c r="J2294">
        <v>0.72765957446808516</v>
      </c>
      <c r="K2294">
        <v>0.71250000000000002</v>
      </c>
      <c r="L2294">
        <v>0.74347826086956526</v>
      </c>
      <c r="M2294" t="s">
        <v>60</v>
      </c>
      <c r="N2294" t="s">
        <v>5015</v>
      </c>
      <c r="O2294" t="s">
        <v>5016</v>
      </c>
      <c r="P2294">
        <v>1.3</v>
      </c>
    </row>
    <row r="2295" spans="1:16" x14ac:dyDescent="0.3">
      <c r="A2295" t="s">
        <v>30</v>
      </c>
      <c r="B2295" t="s">
        <v>26</v>
      </c>
      <c r="C2295" t="s">
        <v>27</v>
      </c>
      <c r="D2295" t="s">
        <v>54</v>
      </c>
      <c r="E2295" t="s">
        <v>56</v>
      </c>
      <c r="F2295" t="s">
        <v>7</v>
      </c>
      <c r="G2295" t="s">
        <v>125</v>
      </c>
      <c r="H2295" t="s">
        <v>59</v>
      </c>
      <c r="I2295">
        <v>55</v>
      </c>
      <c r="J2295">
        <v>0.73529411764705888</v>
      </c>
      <c r="K2295">
        <v>0.71138211382113825</v>
      </c>
      <c r="L2295">
        <v>0.76086956521739135</v>
      </c>
      <c r="M2295" t="s">
        <v>60</v>
      </c>
      <c r="N2295" t="s">
        <v>5017</v>
      </c>
      <c r="O2295" t="s">
        <v>5018</v>
      </c>
      <c r="P2295">
        <v>1.7</v>
      </c>
    </row>
    <row r="2296" spans="1:16" x14ac:dyDescent="0.3">
      <c r="A2296" t="s">
        <v>30</v>
      </c>
      <c r="B2296" t="s">
        <v>26</v>
      </c>
      <c r="C2296" t="s">
        <v>27</v>
      </c>
      <c r="D2296" t="s">
        <v>54</v>
      </c>
      <c r="E2296" t="s">
        <v>56</v>
      </c>
      <c r="F2296" t="s">
        <v>7</v>
      </c>
      <c r="G2296" t="s">
        <v>130</v>
      </c>
      <c r="H2296" t="s">
        <v>59</v>
      </c>
      <c r="I2296">
        <v>56</v>
      </c>
      <c r="J2296">
        <v>0.74213836477987416</v>
      </c>
      <c r="K2296">
        <v>0.7165991902834008</v>
      </c>
      <c r="L2296">
        <v>0.76956521739130435</v>
      </c>
      <c r="M2296" t="s">
        <v>60</v>
      </c>
      <c r="N2296" t="s">
        <v>5019</v>
      </c>
      <c r="O2296" t="s">
        <v>5020</v>
      </c>
      <c r="P2296">
        <v>1.3</v>
      </c>
    </row>
    <row r="2297" spans="1:16" x14ac:dyDescent="0.3">
      <c r="A2297" t="s">
        <v>30</v>
      </c>
      <c r="B2297" t="s">
        <v>26</v>
      </c>
      <c r="C2297" t="s">
        <v>27</v>
      </c>
      <c r="D2297" t="s">
        <v>54</v>
      </c>
      <c r="E2297" t="s">
        <v>56</v>
      </c>
      <c r="F2297" t="s">
        <v>7</v>
      </c>
      <c r="G2297" t="s">
        <v>135</v>
      </c>
      <c r="H2297" t="s">
        <v>59</v>
      </c>
      <c r="I2297">
        <v>57</v>
      </c>
      <c r="J2297">
        <v>0.72384937238493718</v>
      </c>
      <c r="K2297">
        <v>0.69758064516129037</v>
      </c>
      <c r="L2297">
        <v>0.75217391304347825</v>
      </c>
      <c r="M2297" t="s">
        <v>60</v>
      </c>
      <c r="N2297" t="s">
        <v>5021</v>
      </c>
      <c r="O2297" t="s">
        <v>5022</v>
      </c>
      <c r="P2297">
        <v>1.3</v>
      </c>
    </row>
    <row r="2298" spans="1:16" x14ac:dyDescent="0.3">
      <c r="A2298" t="s">
        <v>30</v>
      </c>
      <c r="B2298" t="s">
        <v>26</v>
      </c>
      <c r="C2298" t="s">
        <v>27</v>
      </c>
      <c r="D2298" t="s">
        <v>54</v>
      </c>
      <c r="E2298" t="s">
        <v>56</v>
      </c>
      <c r="F2298" t="s">
        <v>7</v>
      </c>
      <c r="G2298" t="s">
        <v>140</v>
      </c>
      <c r="H2298" t="s">
        <v>59</v>
      </c>
      <c r="I2298">
        <v>58</v>
      </c>
      <c r="J2298">
        <v>0.76293103448275856</v>
      </c>
      <c r="K2298">
        <v>0.75641025641025639</v>
      </c>
      <c r="L2298">
        <v>0.76956521739130435</v>
      </c>
      <c r="M2298" t="s">
        <v>60</v>
      </c>
      <c r="N2298" t="s">
        <v>5023</v>
      </c>
      <c r="O2298" t="s">
        <v>5024</v>
      </c>
      <c r="P2298">
        <v>1.3</v>
      </c>
    </row>
    <row r="2299" spans="1:16" x14ac:dyDescent="0.3">
      <c r="A2299" t="s">
        <v>30</v>
      </c>
      <c r="B2299" t="s">
        <v>26</v>
      </c>
      <c r="C2299" t="s">
        <v>27</v>
      </c>
      <c r="D2299" t="s">
        <v>54</v>
      </c>
      <c r="E2299" t="s">
        <v>56</v>
      </c>
      <c r="F2299" t="s">
        <v>7</v>
      </c>
      <c r="G2299" t="s">
        <v>145</v>
      </c>
      <c r="H2299" t="s">
        <v>59</v>
      </c>
      <c r="I2299">
        <v>59</v>
      </c>
      <c r="J2299">
        <v>0.75687103594080329</v>
      </c>
      <c r="K2299">
        <v>0.73662551440329216</v>
      </c>
      <c r="L2299">
        <v>0.77826086956521734</v>
      </c>
      <c r="M2299" t="s">
        <v>60</v>
      </c>
      <c r="N2299" t="s">
        <v>5025</v>
      </c>
      <c r="O2299" t="s">
        <v>5026</v>
      </c>
      <c r="P2299">
        <v>1.7</v>
      </c>
    </row>
    <row r="2300" spans="1:16" x14ac:dyDescent="0.3">
      <c r="A2300" t="s">
        <v>30</v>
      </c>
      <c r="B2300" t="s">
        <v>26</v>
      </c>
      <c r="C2300" t="s">
        <v>27</v>
      </c>
      <c r="D2300" t="s">
        <v>54</v>
      </c>
      <c r="E2300" t="s">
        <v>56</v>
      </c>
      <c r="F2300" t="s">
        <v>7</v>
      </c>
      <c r="G2300" t="s">
        <v>150</v>
      </c>
      <c r="H2300" t="s">
        <v>59</v>
      </c>
      <c r="I2300">
        <v>60</v>
      </c>
      <c r="J2300">
        <v>0.7447698744769875</v>
      </c>
      <c r="K2300">
        <v>0.717741935483871</v>
      </c>
      <c r="L2300">
        <v>0.77391304347826084</v>
      </c>
      <c r="M2300" t="s">
        <v>60</v>
      </c>
      <c r="N2300" t="s">
        <v>5027</v>
      </c>
      <c r="O2300" t="s">
        <v>5028</v>
      </c>
      <c r="P2300">
        <v>1.3</v>
      </c>
    </row>
    <row r="2301" spans="1:16" x14ac:dyDescent="0.3">
      <c r="A2301" t="s">
        <v>30</v>
      </c>
      <c r="B2301" t="s">
        <v>26</v>
      </c>
      <c r="C2301" t="s">
        <v>27</v>
      </c>
      <c r="D2301" t="s">
        <v>54</v>
      </c>
      <c r="E2301" t="s">
        <v>56</v>
      </c>
      <c r="F2301" t="s">
        <v>7</v>
      </c>
      <c r="G2301" t="s">
        <v>155</v>
      </c>
      <c r="H2301" t="s">
        <v>59</v>
      </c>
      <c r="I2301">
        <v>61</v>
      </c>
      <c r="J2301">
        <v>0.73706896551724144</v>
      </c>
      <c r="K2301">
        <v>0.73076923076923073</v>
      </c>
      <c r="L2301">
        <v>0.74347826086956526</v>
      </c>
      <c r="M2301" t="s">
        <v>60</v>
      </c>
      <c r="N2301" t="s">
        <v>5029</v>
      </c>
      <c r="O2301" t="s">
        <v>5030</v>
      </c>
      <c r="P2301">
        <v>1.7</v>
      </c>
    </row>
    <row r="2302" spans="1:16" x14ac:dyDescent="0.3">
      <c r="A2302" t="s">
        <v>30</v>
      </c>
      <c r="B2302" t="s">
        <v>26</v>
      </c>
      <c r="C2302" t="s">
        <v>27</v>
      </c>
      <c r="D2302" t="s">
        <v>54</v>
      </c>
      <c r="E2302" t="s">
        <v>160</v>
      </c>
      <c r="F2302" t="s">
        <v>3</v>
      </c>
      <c r="G2302" t="s">
        <v>161</v>
      </c>
      <c r="H2302" t="s">
        <v>163</v>
      </c>
      <c r="I2302">
        <v>42</v>
      </c>
      <c r="J2302">
        <v>0.74929577464788744</v>
      </c>
      <c r="K2302">
        <v>0.71505376344086025</v>
      </c>
      <c r="L2302">
        <v>0.78698224852071008</v>
      </c>
      <c r="M2302" t="s">
        <v>60</v>
      </c>
      <c r="N2302" t="s">
        <v>5031</v>
      </c>
      <c r="O2302" t="s">
        <v>5032</v>
      </c>
      <c r="P2302">
        <v>1.1000000000000001</v>
      </c>
    </row>
    <row r="2303" spans="1:16" x14ac:dyDescent="0.3">
      <c r="A2303" t="s">
        <v>30</v>
      </c>
      <c r="B2303" t="s">
        <v>26</v>
      </c>
      <c r="C2303" t="s">
        <v>27</v>
      </c>
      <c r="D2303" t="s">
        <v>54</v>
      </c>
      <c r="E2303" t="s">
        <v>160</v>
      </c>
      <c r="F2303" t="s">
        <v>3</v>
      </c>
      <c r="G2303" t="s">
        <v>167</v>
      </c>
      <c r="H2303" t="s">
        <v>163</v>
      </c>
      <c r="I2303">
        <v>43</v>
      </c>
      <c r="J2303">
        <v>0.76271186440677963</v>
      </c>
      <c r="K2303">
        <v>0.72972972972972971</v>
      </c>
      <c r="L2303">
        <v>0.79881656804733725</v>
      </c>
      <c r="M2303" t="s">
        <v>60</v>
      </c>
      <c r="N2303" t="s">
        <v>5033</v>
      </c>
      <c r="O2303" t="s">
        <v>5034</v>
      </c>
      <c r="P2303">
        <v>1.1000000000000001</v>
      </c>
    </row>
    <row r="2304" spans="1:16" x14ac:dyDescent="0.3">
      <c r="A2304" t="s">
        <v>30</v>
      </c>
      <c r="B2304" t="s">
        <v>26</v>
      </c>
      <c r="C2304" t="s">
        <v>27</v>
      </c>
      <c r="D2304" t="s">
        <v>54</v>
      </c>
      <c r="E2304" t="s">
        <v>160</v>
      </c>
      <c r="F2304" t="s">
        <v>3</v>
      </c>
      <c r="G2304" t="s">
        <v>172</v>
      </c>
      <c r="H2304" t="s">
        <v>163</v>
      </c>
      <c r="I2304">
        <v>44</v>
      </c>
      <c r="J2304">
        <v>0.77714285714285702</v>
      </c>
      <c r="K2304">
        <v>0.75138121546961323</v>
      </c>
      <c r="L2304">
        <v>0.80473372781065089</v>
      </c>
      <c r="M2304" t="s">
        <v>60</v>
      </c>
      <c r="N2304" t="s">
        <v>5035</v>
      </c>
      <c r="O2304" t="s">
        <v>5036</v>
      </c>
      <c r="P2304">
        <v>1.1000000000000001</v>
      </c>
    </row>
    <row r="2305" spans="1:16" x14ac:dyDescent="0.3">
      <c r="A2305" t="s">
        <v>30</v>
      </c>
      <c r="B2305" t="s">
        <v>26</v>
      </c>
      <c r="C2305" t="s">
        <v>27</v>
      </c>
      <c r="D2305" t="s">
        <v>54</v>
      </c>
      <c r="E2305" t="s">
        <v>160</v>
      </c>
      <c r="F2305" t="s">
        <v>3</v>
      </c>
      <c r="G2305" t="s">
        <v>177</v>
      </c>
      <c r="H2305" t="s">
        <v>163</v>
      </c>
      <c r="I2305">
        <v>45</v>
      </c>
      <c r="J2305">
        <v>0.7535410764872521</v>
      </c>
      <c r="K2305">
        <v>0.72282608695652173</v>
      </c>
      <c r="L2305">
        <v>0.78698224852071008</v>
      </c>
      <c r="M2305" t="s">
        <v>60</v>
      </c>
      <c r="N2305" t="s">
        <v>5037</v>
      </c>
      <c r="O2305" t="s">
        <v>5038</v>
      </c>
      <c r="P2305">
        <v>1.6</v>
      </c>
    </row>
    <row r="2306" spans="1:16" x14ac:dyDescent="0.3">
      <c r="A2306" t="s">
        <v>30</v>
      </c>
      <c r="B2306" t="s">
        <v>26</v>
      </c>
      <c r="C2306" t="s">
        <v>27</v>
      </c>
      <c r="D2306" t="s">
        <v>54</v>
      </c>
      <c r="E2306" t="s">
        <v>160</v>
      </c>
      <c r="F2306" t="s">
        <v>3</v>
      </c>
      <c r="G2306" t="s">
        <v>182</v>
      </c>
      <c r="H2306" t="s">
        <v>163</v>
      </c>
      <c r="I2306">
        <v>46</v>
      </c>
      <c r="J2306">
        <v>0.76657060518732001</v>
      </c>
      <c r="K2306">
        <v>0.7471910112359551</v>
      </c>
      <c r="L2306">
        <v>0.78698224852071008</v>
      </c>
      <c r="M2306" t="s">
        <v>60</v>
      </c>
      <c r="N2306" t="s">
        <v>5039</v>
      </c>
      <c r="O2306" t="s">
        <v>5040</v>
      </c>
      <c r="P2306">
        <v>1.1000000000000001</v>
      </c>
    </row>
    <row r="2307" spans="1:16" x14ac:dyDescent="0.3">
      <c r="A2307" t="s">
        <v>30</v>
      </c>
      <c r="B2307" t="s">
        <v>26</v>
      </c>
      <c r="C2307" t="s">
        <v>27</v>
      </c>
      <c r="D2307" t="s">
        <v>54</v>
      </c>
      <c r="E2307" t="s">
        <v>160</v>
      </c>
      <c r="F2307" t="s">
        <v>3</v>
      </c>
      <c r="G2307" t="s">
        <v>187</v>
      </c>
      <c r="H2307" t="s">
        <v>163</v>
      </c>
      <c r="I2307">
        <v>47</v>
      </c>
      <c r="J2307">
        <v>0.75722543352601157</v>
      </c>
      <c r="K2307">
        <v>0.74011299435028244</v>
      </c>
      <c r="L2307">
        <v>0.7751479289940828</v>
      </c>
      <c r="M2307" t="s">
        <v>60</v>
      </c>
      <c r="N2307" t="s">
        <v>5041</v>
      </c>
      <c r="O2307" t="s">
        <v>5042</v>
      </c>
      <c r="P2307">
        <v>1.1000000000000001</v>
      </c>
    </row>
    <row r="2308" spans="1:16" x14ac:dyDescent="0.3">
      <c r="A2308" t="s">
        <v>30</v>
      </c>
      <c r="B2308" t="s">
        <v>26</v>
      </c>
      <c r="C2308" t="s">
        <v>27</v>
      </c>
      <c r="D2308" t="s">
        <v>54</v>
      </c>
      <c r="E2308" t="s">
        <v>160</v>
      </c>
      <c r="F2308" t="s">
        <v>3</v>
      </c>
      <c r="G2308" t="s">
        <v>192</v>
      </c>
      <c r="H2308" t="s">
        <v>163</v>
      </c>
      <c r="I2308">
        <v>48</v>
      </c>
      <c r="J2308">
        <v>0.76704545454545447</v>
      </c>
      <c r="K2308">
        <v>0.73770491803278693</v>
      </c>
      <c r="L2308">
        <v>0.79881656804733725</v>
      </c>
      <c r="M2308" t="s">
        <v>60</v>
      </c>
      <c r="N2308" t="s">
        <v>5043</v>
      </c>
      <c r="O2308" t="s">
        <v>5044</v>
      </c>
      <c r="P2308">
        <v>1.1000000000000001</v>
      </c>
    </row>
    <row r="2309" spans="1:16" x14ac:dyDescent="0.3">
      <c r="A2309" t="s">
        <v>30</v>
      </c>
      <c r="B2309" t="s">
        <v>26</v>
      </c>
      <c r="C2309" t="s">
        <v>27</v>
      </c>
      <c r="D2309" t="s">
        <v>54</v>
      </c>
      <c r="E2309" t="s">
        <v>160</v>
      </c>
      <c r="F2309" t="s">
        <v>3</v>
      </c>
      <c r="G2309" t="s">
        <v>197</v>
      </c>
      <c r="H2309" t="s">
        <v>163</v>
      </c>
      <c r="I2309">
        <v>49</v>
      </c>
      <c r="J2309">
        <v>0.75000000000000011</v>
      </c>
      <c r="K2309">
        <v>0.72131147540983609</v>
      </c>
      <c r="L2309">
        <v>0.78106508875739644</v>
      </c>
      <c r="M2309" t="s">
        <v>60</v>
      </c>
      <c r="N2309" t="s">
        <v>5045</v>
      </c>
      <c r="O2309" t="s">
        <v>5046</v>
      </c>
      <c r="P2309">
        <v>1.5</v>
      </c>
    </row>
    <row r="2310" spans="1:16" x14ac:dyDescent="0.3">
      <c r="A2310" t="s">
        <v>30</v>
      </c>
      <c r="B2310" t="s">
        <v>26</v>
      </c>
      <c r="C2310" t="s">
        <v>27</v>
      </c>
      <c r="D2310" t="s">
        <v>54</v>
      </c>
      <c r="E2310" t="s">
        <v>160</v>
      </c>
      <c r="F2310" t="s">
        <v>3</v>
      </c>
      <c r="G2310" t="s">
        <v>202</v>
      </c>
      <c r="H2310" t="s">
        <v>163</v>
      </c>
      <c r="I2310">
        <v>50</v>
      </c>
      <c r="J2310">
        <v>0.7723342939481268</v>
      </c>
      <c r="K2310">
        <v>0.7528089887640449</v>
      </c>
      <c r="L2310">
        <v>0.79289940828402372</v>
      </c>
      <c r="M2310" t="s">
        <v>60</v>
      </c>
      <c r="N2310" t="s">
        <v>5047</v>
      </c>
      <c r="O2310" t="s">
        <v>5048</v>
      </c>
      <c r="P2310">
        <v>1.1000000000000001</v>
      </c>
    </row>
    <row r="2311" spans="1:16" x14ac:dyDescent="0.3">
      <c r="A2311" t="s">
        <v>30</v>
      </c>
      <c r="B2311" t="s">
        <v>26</v>
      </c>
      <c r="C2311" t="s">
        <v>27</v>
      </c>
      <c r="D2311" t="s">
        <v>54</v>
      </c>
      <c r="E2311" t="s">
        <v>160</v>
      </c>
      <c r="F2311" t="s">
        <v>3</v>
      </c>
      <c r="G2311" t="s">
        <v>207</v>
      </c>
      <c r="H2311" t="s">
        <v>163</v>
      </c>
      <c r="I2311">
        <v>51</v>
      </c>
      <c r="J2311">
        <v>0.75862068965517249</v>
      </c>
      <c r="K2311">
        <v>0.73743016759776536</v>
      </c>
      <c r="L2311">
        <v>0.78106508875739644</v>
      </c>
      <c r="M2311" t="s">
        <v>60</v>
      </c>
      <c r="N2311" t="s">
        <v>5049</v>
      </c>
      <c r="O2311" t="s">
        <v>5050</v>
      </c>
      <c r="P2311">
        <v>1.1000000000000001</v>
      </c>
    </row>
    <row r="2312" spans="1:16" x14ac:dyDescent="0.3">
      <c r="A2312" t="s">
        <v>30</v>
      </c>
      <c r="B2312" t="s">
        <v>26</v>
      </c>
      <c r="C2312" t="s">
        <v>27</v>
      </c>
      <c r="D2312" t="s">
        <v>54</v>
      </c>
      <c r="E2312" t="s">
        <v>160</v>
      </c>
      <c r="F2312" t="s">
        <v>3</v>
      </c>
      <c r="G2312" t="s">
        <v>212</v>
      </c>
      <c r="H2312" t="s">
        <v>163</v>
      </c>
      <c r="I2312">
        <v>52</v>
      </c>
      <c r="J2312">
        <v>0.75141242937853103</v>
      </c>
      <c r="K2312">
        <v>0.7189189189189189</v>
      </c>
      <c r="L2312">
        <v>0.78698224852071008</v>
      </c>
      <c r="M2312" t="s">
        <v>60</v>
      </c>
      <c r="N2312" t="s">
        <v>5051</v>
      </c>
      <c r="O2312" t="s">
        <v>5052</v>
      </c>
      <c r="P2312">
        <v>1.5</v>
      </c>
    </row>
    <row r="2313" spans="1:16" x14ac:dyDescent="0.3">
      <c r="A2313" t="s">
        <v>30</v>
      </c>
      <c r="B2313" t="s">
        <v>26</v>
      </c>
      <c r="C2313" t="s">
        <v>27</v>
      </c>
      <c r="D2313" t="s">
        <v>54</v>
      </c>
      <c r="E2313" t="s">
        <v>160</v>
      </c>
      <c r="F2313" t="s">
        <v>3</v>
      </c>
      <c r="G2313" t="s">
        <v>217</v>
      </c>
      <c r="H2313" t="s">
        <v>163</v>
      </c>
      <c r="I2313">
        <v>53</v>
      </c>
      <c r="J2313">
        <v>0.77528089887640439</v>
      </c>
      <c r="K2313">
        <v>0.73796791443850263</v>
      </c>
      <c r="L2313">
        <v>0.81656804733727806</v>
      </c>
      <c r="M2313" t="s">
        <v>60</v>
      </c>
      <c r="N2313" t="s">
        <v>5053</v>
      </c>
      <c r="O2313" t="s">
        <v>5054</v>
      </c>
      <c r="P2313">
        <v>1.1000000000000001</v>
      </c>
    </row>
    <row r="2314" spans="1:16" x14ac:dyDescent="0.3">
      <c r="A2314" t="s">
        <v>30</v>
      </c>
      <c r="B2314" t="s">
        <v>26</v>
      </c>
      <c r="C2314" t="s">
        <v>27</v>
      </c>
      <c r="D2314" t="s">
        <v>54</v>
      </c>
      <c r="E2314" t="s">
        <v>160</v>
      </c>
      <c r="F2314" t="s">
        <v>3</v>
      </c>
      <c r="G2314" t="s">
        <v>222</v>
      </c>
      <c r="H2314" t="s">
        <v>163</v>
      </c>
      <c r="I2314">
        <v>54</v>
      </c>
      <c r="J2314">
        <v>0.76571428571428568</v>
      </c>
      <c r="K2314">
        <v>0.74033149171270718</v>
      </c>
      <c r="L2314">
        <v>0.79289940828402372</v>
      </c>
      <c r="M2314" t="s">
        <v>60</v>
      </c>
      <c r="N2314" t="s">
        <v>5055</v>
      </c>
      <c r="O2314" t="s">
        <v>5056</v>
      </c>
      <c r="P2314">
        <v>1.1000000000000001</v>
      </c>
    </row>
    <row r="2315" spans="1:16" x14ac:dyDescent="0.3">
      <c r="A2315" t="s">
        <v>30</v>
      </c>
      <c r="B2315" t="s">
        <v>26</v>
      </c>
      <c r="C2315" t="s">
        <v>27</v>
      </c>
      <c r="D2315" t="s">
        <v>54</v>
      </c>
      <c r="E2315" t="s">
        <v>160</v>
      </c>
      <c r="F2315" t="s">
        <v>3</v>
      </c>
      <c r="G2315" t="s">
        <v>227</v>
      </c>
      <c r="H2315" t="s">
        <v>163</v>
      </c>
      <c r="I2315">
        <v>55</v>
      </c>
      <c r="J2315">
        <v>0.78612716763005785</v>
      </c>
      <c r="K2315">
        <v>0.76836158192090398</v>
      </c>
      <c r="L2315">
        <v>0.80473372781065089</v>
      </c>
      <c r="M2315" t="s">
        <v>60</v>
      </c>
      <c r="N2315" t="s">
        <v>5057</v>
      </c>
      <c r="O2315" t="s">
        <v>5058</v>
      </c>
      <c r="P2315">
        <v>1.1000000000000001</v>
      </c>
    </row>
    <row r="2316" spans="1:16" x14ac:dyDescent="0.3">
      <c r="A2316" t="s">
        <v>30</v>
      </c>
      <c r="B2316" t="s">
        <v>26</v>
      </c>
      <c r="C2316" t="s">
        <v>27</v>
      </c>
      <c r="D2316" t="s">
        <v>54</v>
      </c>
      <c r="E2316" t="s">
        <v>160</v>
      </c>
      <c r="F2316" t="s">
        <v>3</v>
      </c>
      <c r="G2316" t="s">
        <v>232</v>
      </c>
      <c r="H2316" t="s">
        <v>163</v>
      </c>
      <c r="I2316">
        <v>56</v>
      </c>
      <c r="J2316">
        <v>0.74927953890489907</v>
      </c>
      <c r="K2316">
        <v>0.7303370786516854</v>
      </c>
      <c r="L2316">
        <v>0.76923076923076927</v>
      </c>
      <c r="M2316" t="s">
        <v>60</v>
      </c>
      <c r="N2316" t="s">
        <v>5059</v>
      </c>
      <c r="O2316" t="s">
        <v>5060</v>
      </c>
      <c r="P2316">
        <v>1.5</v>
      </c>
    </row>
    <row r="2317" spans="1:16" x14ac:dyDescent="0.3">
      <c r="A2317" t="s">
        <v>30</v>
      </c>
      <c r="B2317" t="s">
        <v>26</v>
      </c>
      <c r="C2317" t="s">
        <v>27</v>
      </c>
      <c r="D2317" t="s">
        <v>54</v>
      </c>
      <c r="E2317" t="s">
        <v>160</v>
      </c>
      <c r="F2317" t="s">
        <v>3</v>
      </c>
      <c r="G2317" t="s">
        <v>237</v>
      </c>
      <c r="H2317" t="s">
        <v>163</v>
      </c>
      <c r="I2317">
        <v>57</v>
      </c>
      <c r="J2317">
        <v>0.74705882352941178</v>
      </c>
      <c r="K2317">
        <v>0.74269005847953218</v>
      </c>
      <c r="L2317">
        <v>0.75147928994082835</v>
      </c>
      <c r="M2317" t="s">
        <v>60</v>
      </c>
      <c r="N2317" t="s">
        <v>5061</v>
      </c>
      <c r="O2317" t="s">
        <v>5062</v>
      </c>
      <c r="P2317">
        <v>1.1000000000000001</v>
      </c>
    </row>
    <row r="2318" spans="1:16" x14ac:dyDescent="0.3">
      <c r="A2318" t="s">
        <v>30</v>
      </c>
      <c r="B2318" t="s">
        <v>26</v>
      </c>
      <c r="C2318" t="s">
        <v>27</v>
      </c>
      <c r="D2318" t="s">
        <v>54</v>
      </c>
      <c r="E2318" t="s">
        <v>160</v>
      </c>
      <c r="F2318" t="s">
        <v>3</v>
      </c>
      <c r="G2318" t="s">
        <v>242</v>
      </c>
      <c r="H2318" t="s">
        <v>163</v>
      </c>
      <c r="I2318">
        <v>58</v>
      </c>
      <c r="J2318">
        <v>0.76217765042979946</v>
      </c>
      <c r="K2318">
        <v>0.73888888888888893</v>
      </c>
      <c r="L2318">
        <v>0.78698224852071008</v>
      </c>
      <c r="M2318" t="s">
        <v>60</v>
      </c>
      <c r="N2318" t="s">
        <v>5063</v>
      </c>
      <c r="O2318" t="s">
        <v>5064</v>
      </c>
      <c r="P2318">
        <v>1.1000000000000001</v>
      </c>
    </row>
    <row r="2319" spans="1:16" x14ac:dyDescent="0.3">
      <c r="A2319" t="s">
        <v>30</v>
      </c>
      <c r="B2319" t="s">
        <v>26</v>
      </c>
      <c r="C2319" t="s">
        <v>27</v>
      </c>
      <c r="D2319" t="s">
        <v>54</v>
      </c>
      <c r="E2319" t="s">
        <v>160</v>
      </c>
      <c r="F2319" t="s">
        <v>3</v>
      </c>
      <c r="G2319" t="s">
        <v>247</v>
      </c>
      <c r="H2319" t="s">
        <v>163</v>
      </c>
      <c r="I2319">
        <v>59</v>
      </c>
      <c r="J2319">
        <v>0.75644699140401139</v>
      </c>
      <c r="K2319">
        <v>0.73333333333333328</v>
      </c>
      <c r="L2319">
        <v>0.78106508875739644</v>
      </c>
      <c r="M2319" t="s">
        <v>60</v>
      </c>
      <c r="N2319" t="s">
        <v>5065</v>
      </c>
      <c r="O2319" t="s">
        <v>5066</v>
      </c>
      <c r="P2319">
        <v>1.5</v>
      </c>
    </row>
    <row r="2320" spans="1:16" x14ac:dyDescent="0.3">
      <c r="A2320" t="s">
        <v>30</v>
      </c>
      <c r="B2320" t="s">
        <v>26</v>
      </c>
      <c r="C2320" t="s">
        <v>27</v>
      </c>
      <c r="D2320" t="s">
        <v>54</v>
      </c>
      <c r="E2320" t="s">
        <v>160</v>
      </c>
      <c r="F2320" t="s">
        <v>3</v>
      </c>
      <c r="G2320" t="s">
        <v>252</v>
      </c>
      <c r="H2320" t="s">
        <v>163</v>
      </c>
      <c r="I2320">
        <v>60</v>
      </c>
      <c r="J2320">
        <v>0.77714285714285702</v>
      </c>
      <c r="K2320">
        <v>0.75138121546961323</v>
      </c>
      <c r="L2320">
        <v>0.80473372781065089</v>
      </c>
      <c r="M2320" t="s">
        <v>60</v>
      </c>
      <c r="N2320" t="s">
        <v>5067</v>
      </c>
      <c r="O2320" t="s">
        <v>5068</v>
      </c>
      <c r="P2320">
        <v>1.1000000000000001</v>
      </c>
    </row>
    <row r="2321" spans="1:16" x14ac:dyDescent="0.3">
      <c r="A2321" t="s">
        <v>30</v>
      </c>
      <c r="B2321" t="s">
        <v>26</v>
      </c>
      <c r="C2321" t="s">
        <v>27</v>
      </c>
      <c r="D2321" t="s">
        <v>54</v>
      </c>
      <c r="E2321" t="s">
        <v>160</v>
      </c>
      <c r="F2321" t="s">
        <v>3</v>
      </c>
      <c r="G2321" t="s">
        <v>257</v>
      </c>
      <c r="H2321" t="s">
        <v>163</v>
      </c>
      <c r="I2321">
        <v>61</v>
      </c>
      <c r="J2321">
        <v>0.76657060518732001</v>
      </c>
      <c r="K2321">
        <v>0.7471910112359551</v>
      </c>
      <c r="L2321">
        <v>0.78698224852071008</v>
      </c>
      <c r="M2321" t="s">
        <v>60</v>
      </c>
      <c r="N2321" t="s">
        <v>5069</v>
      </c>
      <c r="O2321" t="s">
        <v>5070</v>
      </c>
      <c r="P2321">
        <v>1.1000000000000001</v>
      </c>
    </row>
    <row r="2322" spans="1:16" x14ac:dyDescent="0.3">
      <c r="A2322" t="s">
        <v>30</v>
      </c>
      <c r="B2322" t="s">
        <v>26</v>
      </c>
      <c r="C2322" t="s">
        <v>27</v>
      </c>
      <c r="D2322" t="s">
        <v>54</v>
      </c>
      <c r="E2322" t="s">
        <v>262</v>
      </c>
      <c r="F2322" t="s">
        <v>5</v>
      </c>
      <c r="G2322" t="s">
        <v>263</v>
      </c>
      <c r="H2322" t="s">
        <v>265</v>
      </c>
      <c r="I2322">
        <v>42</v>
      </c>
      <c r="J2322">
        <v>0.7927927927927928</v>
      </c>
      <c r="K2322">
        <v>0.7927927927927928</v>
      </c>
      <c r="L2322">
        <v>0.7927927927927928</v>
      </c>
      <c r="M2322" t="s">
        <v>60</v>
      </c>
      <c r="N2322" t="s">
        <v>5071</v>
      </c>
      <c r="O2322" t="s">
        <v>5072</v>
      </c>
      <c r="P2322">
        <v>1.7</v>
      </c>
    </row>
    <row r="2323" spans="1:16" x14ac:dyDescent="0.3">
      <c r="A2323" t="s">
        <v>30</v>
      </c>
      <c r="B2323" t="s">
        <v>26</v>
      </c>
      <c r="C2323" t="s">
        <v>27</v>
      </c>
      <c r="D2323" t="s">
        <v>54</v>
      </c>
      <c r="E2323" t="s">
        <v>262</v>
      </c>
      <c r="F2323" t="s">
        <v>5</v>
      </c>
      <c r="G2323" t="s">
        <v>269</v>
      </c>
      <c r="H2323" t="s">
        <v>265</v>
      </c>
      <c r="I2323">
        <v>43</v>
      </c>
      <c r="J2323">
        <v>0.74387527839643652</v>
      </c>
      <c r="K2323">
        <v>0.73568281938325997</v>
      </c>
      <c r="L2323">
        <v>0.75225225225225223</v>
      </c>
      <c r="M2323" t="s">
        <v>60</v>
      </c>
      <c r="N2323" t="s">
        <v>5073</v>
      </c>
      <c r="O2323" t="s">
        <v>5074</v>
      </c>
      <c r="P2323">
        <v>1.3</v>
      </c>
    </row>
    <row r="2324" spans="1:16" x14ac:dyDescent="0.3">
      <c r="A2324" t="s">
        <v>30</v>
      </c>
      <c r="B2324" t="s">
        <v>26</v>
      </c>
      <c r="C2324" t="s">
        <v>27</v>
      </c>
      <c r="D2324" t="s">
        <v>54</v>
      </c>
      <c r="E2324" t="s">
        <v>262</v>
      </c>
      <c r="F2324" t="s">
        <v>5</v>
      </c>
      <c r="G2324" t="s">
        <v>274</v>
      </c>
      <c r="H2324" t="s">
        <v>265</v>
      </c>
      <c r="I2324">
        <v>44</v>
      </c>
      <c r="J2324">
        <v>0.75909090909090904</v>
      </c>
      <c r="K2324">
        <v>0.76605504587155959</v>
      </c>
      <c r="L2324">
        <v>0.75225225225225223</v>
      </c>
      <c r="M2324" t="s">
        <v>60</v>
      </c>
      <c r="N2324" t="s">
        <v>5075</v>
      </c>
      <c r="O2324" t="s">
        <v>5076</v>
      </c>
      <c r="P2324">
        <v>1.3</v>
      </c>
    </row>
    <row r="2325" spans="1:16" x14ac:dyDescent="0.3">
      <c r="A2325" t="s">
        <v>30</v>
      </c>
      <c r="B2325" t="s">
        <v>26</v>
      </c>
      <c r="C2325" t="s">
        <v>27</v>
      </c>
      <c r="D2325" t="s">
        <v>54</v>
      </c>
      <c r="E2325" t="s">
        <v>262</v>
      </c>
      <c r="F2325" t="s">
        <v>5</v>
      </c>
      <c r="G2325" t="s">
        <v>279</v>
      </c>
      <c r="H2325" t="s">
        <v>265</v>
      </c>
      <c r="I2325">
        <v>45</v>
      </c>
      <c r="J2325">
        <v>0.77477477477477474</v>
      </c>
      <c r="K2325">
        <v>0.77477477477477474</v>
      </c>
      <c r="L2325">
        <v>0.77477477477477474</v>
      </c>
      <c r="M2325" t="s">
        <v>60</v>
      </c>
      <c r="N2325" t="s">
        <v>5077</v>
      </c>
      <c r="O2325" t="s">
        <v>5078</v>
      </c>
      <c r="P2325">
        <v>1.3</v>
      </c>
    </row>
    <row r="2326" spans="1:16" x14ac:dyDescent="0.3">
      <c r="A2326" t="s">
        <v>30</v>
      </c>
      <c r="B2326" t="s">
        <v>26</v>
      </c>
      <c r="C2326" t="s">
        <v>27</v>
      </c>
      <c r="D2326" t="s">
        <v>54</v>
      </c>
      <c r="E2326" t="s">
        <v>262</v>
      </c>
      <c r="F2326" t="s">
        <v>5</v>
      </c>
      <c r="G2326" t="s">
        <v>284</v>
      </c>
      <c r="H2326" t="s">
        <v>265</v>
      </c>
      <c r="I2326">
        <v>46</v>
      </c>
      <c r="J2326">
        <v>0.77927927927927931</v>
      </c>
      <c r="K2326">
        <v>0.77927927927927931</v>
      </c>
      <c r="L2326">
        <v>0.77927927927927931</v>
      </c>
      <c r="M2326" t="s">
        <v>60</v>
      </c>
      <c r="N2326" t="s">
        <v>5079</v>
      </c>
      <c r="O2326" t="s">
        <v>5080</v>
      </c>
      <c r="P2326">
        <v>1.7</v>
      </c>
    </row>
    <row r="2327" spans="1:16" x14ac:dyDescent="0.3">
      <c r="A2327" t="s">
        <v>30</v>
      </c>
      <c r="B2327" t="s">
        <v>26</v>
      </c>
      <c r="C2327" t="s">
        <v>27</v>
      </c>
      <c r="D2327" t="s">
        <v>54</v>
      </c>
      <c r="E2327" t="s">
        <v>262</v>
      </c>
      <c r="F2327" t="s">
        <v>5</v>
      </c>
      <c r="G2327" t="s">
        <v>289</v>
      </c>
      <c r="H2327" t="s">
        <v>265</v>
      </c>
      <c r="I2327">
        <v>47</v>
      </c>
      <c r="J2327">
        <v>0.76853932584269657</v>
      </c>
      <c r="K2327">
        <v>0.76681614349775784</v>
      </c>
      <c r="L2327">
        <v>0.77027027027027029</v>
      </c>
      <c r="M2327" t="s">
        <v>60</v>
      </c>
      <c r="N2327" t="s">
        <v>5081</v>
      </c>
      <c r="O2327" t="s">
        <v>5082</v>
      </c>
      <c r="P2327">
        <v>1.3</v>
      </c>
    </row>
    <row r="2328" spans="1:16" x14ac:dyDescent="0.3">
      <c r="A2328" t="s">
        <v>30</v>
      </c>
      <c r="B2328" t="s">
        <v>26</v>
      </c>
      <c r="C2328" t="s">
        <v>27</v>
      </c>
      <c r="D2328" t="s">
        <v>54</v>
      </c>
      <c r="E2328" t="s">
        <v>262</v>
      </c>
      <c r="F2328" t="s">
        <v>5</v>
      </c>
      <c r="G2328" t="s">
        <v>294</v>
      </c>
      <c r="H2328" t="s">
        <v>265</v>
      </c>
      <c r="I2328">
        <v>48</v>
      </c>
      <c r="J2328">
        <v>0.75663716814159288</v>
      </c>
      <c r="K2328">
        <v>0.74347826086956526</v>
      </c>
      <c r="L2328">
        <v>0.77027027027027029</v>
      </c>
      <c r="M2328" t="s">
        <v>60</v>
      </c>
      <c r="N2328" t="s">
        <v>5083</v>
      </c>
      <c r="O2328" t="s">
        <v>5084</v>
      </c>
      <c r="P2328">
        <v>1.7</v>
      </c>
    </row>
    <row r="2329" spans="1:16" x14ac:dyDescent="0.3">
      <c r="A2329" t="s">
        <v>30</v>
      </c>
      <c r="B2329" t="s">
        <v>26</v>
      </c>
      <c r="C2329" t="s">
        <v>27</v>
      </c>
      <c r="D2329" t="s">
        <v>54</v>
      </c>
      <c r="E2329" t="s">
        <v>262</v>
      </c>
      <c r="F2329" t="s">
        <v>5</v>
      </c>
      <c r="G2329" t="s">
        <v>299</v>
      </c>
      <c r="H2329" t="s">
        <v>265</v>
      </c>
      <c r="I2329">
        <v>49</v>
      </c>
      <c r="J2329">
        <v>0.76444444444444448</v>
      </c>
      <c r="K2329">
        <v>0.75438596491228072</v>
      </c>
      <c r="L2329">
        <v>0.77477477477477474</v>
      </c>
      <c r="M2329" t="s">
        <v>60</v>
      </c>
      <c r="N2329" t="s">
        <v>5085</v>
      </c>
      <c r="O2329" t="s">
        <v>5086</v>
      </c>
      <c r="P2329">
        <v>1.3</v>
      </c>
    </row>
    <row r="2330" spans="1:16" x14ac:dyDescent="0.3">
      <c r="A2330" t="s">
        <v>30</v>
      </c>
      <c r="B2330" t="s">
        <v>26</v>
      </c>
      <c r="C2330" t="s">
        <v>27</v>
      </c>
      <c r="D2330" t="s">
        <v>54</v>
      </c>
      <c r="E2330" t="s">
        <v>262</v>
      </c>
      <c r="F2330" t="s">
        <v>5</v>
      </c>
      <c r="G2330" t="s">
        <v>304</v>
      </c>
      <c r="H2330" t="s">
        <v>265</v>
      </c>
      <c r="I2330">
        <v>50</v>
      </c>
      <c r="J2330">
        <v>0.76169265033407574</v>
      </c>
      <c r="K2330">
        <v>0.75330396475770922</v>
      </c>
      <c r="L2330">
        <v>0.77027027027027029</v>
      </c>
      <c r="M2330" t="s">
        <v>60</v>
      </c>
      <c r="N2330" t="s">
        <v>5087</v>
      </c>
      <c r="O2330" t="s">
        <v>5088</v>
      </c>
      <c r="P2330">
        <v>1.3</v>
      </c>
    </row>
    <row r="2331" spans="1:16" x14ac:dyDescent="0.3">
      <c r="A2331" t="s">
        <v>30</v>
      </c>
      <c r="B2331" t="s">
        <v>26</v>
      </c>
      <c r="C2331" t="s">
        <v>27</v>
      </c>
      <c r="D2331" t="s">
        <v>54</v>
      </c>
      <c r="E2331" t="s">
        <v>262</v>
      </c>
      <c r="F2331" t="s">
        <v>5</v>
      </c>
      <c r="G2331" t="s">
        <v>309</v>
      </c>
      <c r="H2331" t="s">
        <v>265</v>
      </c>
      <c r="I2331">
        <v>51</v>
      </c>
      <c r="J2331">
        <v>0.74778761061946908</v>
      </c>
      <c r="K2331">
        <v>0.73478260869565215</v>
      </c>
      <c r="L2331">
        <v>0.76126126126126126</v>
      </c>
      <c r="M2331" t="s">
        <v>60</v>
      </c>
      <c r="N2331" t="s">
        <v>5089</v>
      </c>
      <c r="O2331" t="s">
        <v>5090</v>
      </c>
      <c r="P2331">
        <v>1.3</v>
      </c>
    </row>
    <row r="2332" spans="1:16" x14ac:dyDescent="0.3">
      <c r="A2332" t="s">
        <v>30</v>
      </c>
      <c r="B2332" t="s">
        <v>26</v>
      </c>
      <c r="C2332" t="s">
        <v>27</v>
      </c>
      <c r="D2332" t="s">
        <v>54</v>
      </c>
      <c r="E2332" t="s">
        <v>262</v>
      </c>
      <c r="F2332" t="s">
        <v>5</v>
      </c>
      <c r="G2332" t="s">
        <v>314</v>
      </c>
      <c r="H2332" t="s">
        <v>265</v>
      </c>
      <c r="I2332">
        <v>52</v>
      </c>
      <c r="J2332">
        <v>0.76548672566371678</v>
      </c>
      <c r="K2332">
        <v>0.75217391304347825</v>
      </c>
      <c r="L2332">
        <v>0.77927927927927931</v>
      </c>
      <c r="M2332" t="s">
        <v>60</v>
      </c>
      <c r="N2332" t="s">
        <v>5091</v>
      </c>
      <c r="O2332" t="s">
        <v>5092</v>
      </c>
      <c r="P2332">
        <v>1.7</v>
      </c>
    </row>
    <row r="2333" spans="1:16" x14ac:dyDescent="0.3">
      <c r="A2333" t="s">
        <v>30</v>
      </c>
      <c r="B2333" t="s">
        <v>26</v>
      </c>
      <c r="C2333" t="s">
        <v>27</v>
      </c>
      <c r="D2333" t="s">
        <v>54</v>
      </c>
      <c r="E2333" t="s">
        <v>262</v>
      </c>
      <c r="F2333" t="s">
        <v>5</v>
      </c>
      <c r="G2333" t="s">
        <v>319</v>
      </c>
      <c r="H2333" t="s">
        <v>265</v>
      </c>
      <c r="I2333">
        <v>53</v>
      </c>
      <c r="J2333">
        <v>0.79452054794520555</v>
      </c>
      <c r="K2333">
        <v>0.80555555555555558</v>
      </c>
      <c r="L2333">
        <v>0.78378378378378377</v>
      </c>
      <c r="M2333" t="s">
        <v>60</v>
      </c>
      <c r="N2333" t="s">
        <v>5093</v>
      </c>
      <c r="O2333" t="s">
        <v>5094</v>
      </c>
      <c r="P2333">
        <v>1.3</v>
      </c>
    </row>
    <row r="2334" spans="1:16" x14ac:dyDescent="0.3">
      <c r="A2334" t="s">
        <v>30</v>
      </c>
      <c r="B2334" t="s">
        <v>26</v>
      </c>
      <c r="C2334" t="s">
        <v>27</v>
      </c>
      <c r="D2334" t="s">
        <v>54</v>
      </c>
      <c r="E2334" t="s">
        <v>262</v>
      </c>
      <c r="F2334" t="s">
        <v>5</v>
      </c>
      <c r="G2334" t="s">
        <v>324</v>
      </c>
      <c r="H2334" t="s">
        <v>265</v>
      </c>
      <c r="I2334">
        <v>54</v>
      </c>
      <c r="J2334">
        <v>0.75615212527964204</v>
      </c>
      <c r="K2334">
        <v>0.75111111111111106</v>
      </c>
      <c r="L2334">
        <v>0.76126126126126126</v>
      </c>
      <c r="M2334" t="s">
        <v>60</v>
      </c>
      <c r="N2334" t="s">
        <v>5095</v>
      </c>
      <c r="O2334" t="s">
        <v>5096</v>
      </c>
      <c r="P2334">
        <v>1.7</v>
      </c>
    </row>
    <row r="2335" spans="1:16" x14ac:dyDescent="0.3">
      <c r="A2335" t="s">
        <v>30</v>
      </c>
      <c r="B2335" t="s">
        <v>26</v>
      </c>
      <c r="C2335" t="s">
        <v>27</v>
      </c>
      <c r="D2335" t="s">
        <v>54</v>
      </c>
      <c r="E2335" t="s">
        <v>262</v>
      </c>
      <c r="F2335" t="s">
        <v>5</v>
      </c>
      <c r="G2335" t="s">
        <v>329</v>
      </c>
      <c r="H2335" t="s">
        <v>265</v>
      </c>
      <c r="I2335">
        <v>55</v>
      </c>
      <c r="J2335">
        <v>0.77704194260485659</v>
      </c>
      <c r="K2335">
        <v>0.76190476190476186</v>
      </c>
      <c r="L2335">
        <v>0.7927927927927928</v>
      </c>
      <c r="M2335" t="s">
        <v>60</v>
      </c>
      <c r="N2335" t="s">
        <v>5097</v>
      </c>
      <c r="O2335" t="s">
        <v>5098</v>
      </c>
      <c r="P2335">
        <v>1.3</v>
      </c>
    </row>
    <row r="2336" spans="1:16" x14ac:dyDescent="0.3">
      <c r="A2336" t="s">
        <v>30</v>
      </c>
      <c r="B2336" t="s">
        <v>26</v>
      </c>
      <c r="C2336" t="s">
        <v>27</v>
      </c>
      <c r="D2336" t="s">
        <v>54</v>
      </c>
      <c r="E2336" t="s">
        <v>262</v>
      </c>
      <c r="F2336" t="s">
        <v>5</v>
      </c>
      <c r="G2336" t="s">
        <v>334</v>
      </c>
      <c r="H2336" t="s">
        <v>265</v>
      </c>
      <c r="I2336">
        <v>56</v>
      </c>
      <c r="J2336">
        <v>0.77477477477477474</v>
      </c>
      <c r="K2336">
        <v>0.77477477477477474</v>
      </c>
      <c r="L2336">
        <v>0.77477477477477474</v>
      </c>
      <c r="M2336" t="s">
        <v>60</v>
      </c>
      <c r="N2336" t="s">
        <v>5099</v>
      </c>
      <c r="O2336" t="s">
        <v>5100</v>
      </c>
      <c r="P2336">
        <v>1.3</v>
      </c>
    </row>
    <row r="2337" spans="1:16" x14ac:dyDescent="0.3">
      <c r="A2337" t="s">
        <v>30</v>
      </c>
      <c r="B2337" t="s">
        <v>26</v>
      </c>
      <c r="C2337" t="s">
        <v>27</v>
      </c>
      <c r="D2337" t="s">
        <v>54</v>
      </c>
      <c r="E2337" t="s">
        <v>262</v>
      </c>
      <c r="F2337" t="s">
        <v>5</v>
      </c>
      <c r="G2337" t="s">
        <v>339</v>
      </c>
      <c r="H2337" t="s">
        <v>265</v>
      </c>
      <c r="I2337">
        <v>57</v>
      </c>
      <c r="J2337">
        <v>0.78202247191011243</v>
      </c>
      <c r="K2337">
        <v>0.78026905829596416</v>
      </c>
      <c r="L2337">
        <v>0.78378378378378377</v>
      </c>
      <c r="M2337" t="s">
        <v>60</v>
      </c>
      <c r="N2337" t="s">
        <v>5101</v>
      </c>
      <c r="O2337" t="s">
        <v>5102</v>
      </c>
      <c r="P2337">
        <v>1.7</v>
      </c>
    </row>
    <row r="2338" spans="1:16" x14ac:dyDescent="0.3">
      <c r="A2338" t="s">
        <v>30</v>
      </c>
      <c r="B2338" t="s">
        <v>26</v>
      </c>
      <c r="C2338" t="s">
        <v>27</v>
      </c>
      <c r="D2338" t="s">
        <v>54</v>
      </c>
      <c r="E2338" t="s">
        <v>262</v>
      </c>
      <c r="F2338" t="s">
        <v>5</v>
      </c>
      <c r="G2338" t="s">
        <v>344</v>
      </c>
      <c r="H2338" t="s">
        <v>265</v>
      </c>
      <c r="I2338">
        <v>58</v>
      </c>
      <c r="J2338">
        <v>0.75000000000000011</v>
      </c>
      <c r="K2338">
        <v>0.74336283185840712</v>
      </c>
      <c r="L2338">
        <v>0.7567567567567568</v>
      </c>
      <c r="M2338" t="s">
        <v>60</v>
      </c>
      <c r="N2338" t="s">
        <v>5103</v>
      </c>
      <c r="O2338" t="s">
        <v>5104</v>
      </c>
      <c r="P2338">
        <v>1.3</v>
      </c>
    </row>
    <row r="2339" spans="1:16" x14ac:dyDescent="0.3">
      <c r="A2339" t="s">
        <v>30</v>
      </c>
      <c r="B2339" t="s">
        <v>26</v>
      </c>
      <c r="C2339" t="s">
        <v>27</v>
      </c>
      <c r="D2339" t="s">
        <v>54</v>
      </c>
      <c r="E2339" t="s">
        <v>262</v>
      </c>
      <c r="F2339" t="s">
        <v>5</v>
      </c>
      <c r="G2339" t="s">
        <v>349</v>
      </c>
      <c r="H2339" t="s">
        <v>265</v>
      </c>
      <c r="I2339">
        <v>59</v>
      </c>
      <c r="J2339">
        <v>0.78103837471783299</v>
      </c>
      <c r="K2339">
        <v>0.78280542986425339</v>
      </c>
      <c r="L2339">
        <v>0.77927927927927931</v>
      </c>
      <c r="M2339" t="s">
        <v>60</v>
      </c>
      <c r="N2339" t="s">
        <v>5105</v>
      </c>
      <c r="O2339" t="s">
        <v>5106</v>
      </c>
      <c r="P2339">
        <v>1.3</v>
      </c>
    </row>
    <row r="2340" spans="1:16" x14ac:dyDescent="0.3">
      <c r="A2340" t="s">
        <v>30</v>
      </c>
      <c r="B2340" t="s">
        <v>26</v>
      </c>
      <c r="C2340" t="s">
        <v>27</v>
      </c>
      <c r="D2340" t="s">
        <v>54</v>
      </c>
      <c r="E2340" t="s">
        <v>262</v>
      </c>
      <c r="F2340" t="s">
        <v>5</v>
      </c>
      <c r="G2340" t="s">
        <v>354</v>
      </c>
      <c r="H2340" t="s">
        <v>265</v>
      </c>
      <c r="I2340">
        <v>60</v>
      </c>
      <c r="J2340">
        <v>0.75</v>
      </c>
      <c r="K2340">
        <v>0.73076923076923073</v>
      </c>
      <c r="L2340">
        <v>0.77027027027027029</v>
      </c>
      <c r="M2340" t="s">
        <v>60</v>
      </c>
      <c r="N2340" t="s">
        <v>5107</v>
      </c>
      <c r="O2340" t="s">
        <v>5108</v>
      </c>
      <c r="P2340">
        <v>1.7</v>
      </c>
    </row>
    <row r="2341" spans="1:16" x14ac:dyDescent="0.3">
      <c r="A2341" t="s">
        <v>30</v>
      </c>
      <c r="B2341" t="s">
        <v>26</v>
      </c>
      <c r="C2341" t="s">
        <v>27</v>
      </c>
      <c r="D2341" t="s">
        <v>54</v>
      </c>
      <c r="E2341" t="s">
        <v>262</v>
      </c>
      <c r="F2341" t="s">
        <v>5</v>
      </c>
      <c r="G2341" t="s">
        <v>359</v>
      </c>
      <c r="H2341" t="s">
        <v>265</v>
      </c>
      <c r="I2341">
        <v>61</v>
      </c>
      <c r="J2341">
        <v>0.74774774774774788</v>
      </c>
      <c r="K2341">
        <v>0.74774774774774777</v>
      </c>
      <c r="L2341">
        <v>0.74774774774774777</v>
      </c>
      <c r="M2341" t="s">
        <v>60</v>
      </c>
      <c r="N2341" t="s">
        <v>5109</v>
      </c>
      <c r="O2341" t="s">
        <v>5110</v>
      </c>
      <c r="P2341">
        <v>1.3</v>
      </c>
    </row>
    <row r="2342" spans="1:16" x14ac:dyDescent="0.3">
      <c r="A2342" t="s">
        <v>30</v>
      </c>
      <c r="B2342" t="s">
        <v>26</v>
      </c>
      <c r="C2342" t="s">
        <v>27</v>
      </c>
      <c r="D2342" t="s">
        <v>363</v>
      </c>
      <c r="E2342" t="s">
        <v>365</v>
      </c>
      <c r="F2342" t="s">
        <v>13</v>
      </c>
      <c r="G2342" t="s">
        <v>366</v>
      </c>
      <c r="H2342" t="s">
        <v>368</v>
      </c>
      <c r="I2342">
        <v>42</v>
      </c>
      <c r="J2342">
        <v>0.8272921108742004</v>
      </c>
      <c r="K2342">
        <v>0.81171548117154813</v>
      </c>
      <c r="L2342">
        <v>0.84347826086956523</v>
      </c>
      <c r="M2342" t="s">
        <v>60</v>
      </c>
      <c r="N2342" t="s">
        <v>5111</v>
      </c>
      <c r="O2342" t="s">
        <v>5112</v>
      </c>
      <c r="P2342">
        <v>1.3</v>
      </c>
    </row>
    <row r="2343" spans="1:16" x14ac:dyDescent="0.3">
      <c r="A2343" t="s">
        <v>30</v>
      </c>
      <c r="B2343" t="s">
        <v>26</v>
      </c>
      <c r="C2343" t="s">
        <v>27</v>
      </c>
      <c r="D2343" t="s">
        <v>363</v>
      </c>
      <c r="E2343" t="s">
        <v>365</v>
      </c>
      <c r="F2343" t="s">
        <v>13</v>
      </c>
      <c r="G2343" t="s">
        <v>372</v>
      </c>
      <c r="H2343" t="s">
        <v>368</v>
      </c>
      <c r="I2343">
        <v>43</v>
      </c>
      <c r="J2343">
        <v>0.82773109243697474</v>
      </c>
      <c r="K2343">
        <v>0.80081300813008127</v>
      </c>
      <c r="L2343">
        <v>0.85652173913043483</v>
      </c>
      <c r="M2343" t="s">
        <v>60</v>
      </c>
      <c r="N2343" t="s">
        <v>5113</v>
      </c>
      <c r="O2343" t="s">
        <v>5114</v>
      </c>
      <c r="P2343">
        <v>1.3</v>
      </c>
    </row>
    <row r="2344" spans="1:16" x14ac:dyDescent="0.3">
      <c r="A2344" t="s">
        <v>30</v>
      </c>
      <c r="B2344" t="s">
        <v>26</v>
      </c>
      <c r="C2344" t="s">
        <v>27</v>
      </c>
      <c r="D2344" t="s">
        <v>363</v>
      </c>
      <c r="E2344" t="s">
        <v>365</v>
      </c>
      <c r="F2344" t="s">
        <v>13</v>
      </c>
      <c r="G2344" t="s">
        <v>377</v>
      </c>
      <c r="H2344" t="s">
        <v>368</v>
      </c>
      <c r="I2344">
        <v>44</v>
      </c>
      <c r="J2344">
        <v>0.81837160751565763</v>
      </c>
      <c r="K2344">
        <v>0.78714859437751006</v>
      </c>
      <c r="L2344">
        <v>0.85217391304347823</v>
      </c>
      <c r="M2344" t="s">
        <v>60</v>
      </c>
      <c r="N2344" t="s">
        <v>5115</v>
      </c>
      <c r="O2344" t="s">
        <v>5116</v>
      </c>
      <c r="P2344">
        <v>1.7</v>
      </c>
    </row>
    <row r="2345" spans="1:16" x14ac:dyDescent="0.3">
      <c r="A2345" t="s">
        <v>30</v>
      </c>
      <c r="B2345" t="s">
        <v>26</v>
      </c>
      <c r="C2345" t="s">
        <v>27</v>
      </c>
      <c r="D2345" t="s">
        <v>363</v>
      </c>
      <c r="E2345" t="s">
        <v>365</v>
      </c>
      <c r="F2345" t="s">
        <v>13</v>
      </c>
      <c r="G2345" t="s">
        <v>382</v>
      </c>
      <c r="H2345" t="s">
        <v>368</v>
      </c>
      <c r="I2345">
        <v>45</v>
      </c>
      <c r="J2345">
        <v>0.80761099365750522</v>
      </c>
      <c r="K2345">
        <v>0.78600823045267487</v>
      </c>
      <c r="L2345">
        <v>0.83043478260869563</v>
      </c>
      <c r="M2345" t="s">
        <v>60</v>
      </c>
      <c r="N2345" t="s">
        <v>5117</v>
      </c>
      <c r="O2345" t="s">
        <v>5118</v>
      </c>
      <c r="P2345">
        <v>1.3</v>
      </c>
    </row>
    <row r="2346" spans="1:16" x14ac:dyDescent="0.3">
      <c r="A2346" t="s">
        <v>30</v>
      </c>
      <c r="B2346" t="s">
        <v>26</v>
      </c>
      <c r="C2346" t="s">
        <v>27</v>
      </c>
      <c r="D2346" t="s">
        <v>363</v>
      </c>
      <c r="E2346" t="s">
        <v>365</v>
      </c>
      <c r="F2346" t="s">
        <v>13</v>
      </c>
      <c r="G2346" t="s">
        <v>387</v>
      </c>
      <c r="H2346" t="s">
        <v>368</v>
      </c>
      <c r="I2346">
        <v>46</v>
      </c>
      <c r="J2346">
        <v>0.8091286307053942</v>
      </c>
      <c r="K2346">
        <v>0.77380952380952384</v>
      </c>
      <c r="L2346">
        <v>0.84782608695652173</v>
      </c>
      <c r="M2346" t="s">
        <v>60</v>
      </c>
      <c r="N2346" t="s">
        <v>5119</v>
      </c>
      <c r="O2346" t="s">
        <v>5120</v>
      </c>
      <c r="P2346">
        <v>1.3</v>
      </c>
    </row>
    <row r="2347" spans="1:16" x14ac:dyDescent="0.3">
      <c r="A2347" t="s">
        <v>30</v>
      </c>
      <c r="B2347" t="s">
        <v>26</v>
      </c>
      <c r="C2347" t="s">
        <v>27</v>
      </c>
      <c r="D2347" t="s">
        <v>363</v>
      </c>
      <c r="E2347" t="s">
        <v>365</v>
      </c>
      <c r="F2347" t="s">
        <v>13</v>
      </c>
      <c r="G2347" t="s">
        <v>392</v>
      </c>
      <c r="H2347" t="s">
        <v>368</v>
      </c>
      <c r="I2347">
        <v>47</v>
      </c>
      <c r="J2347">
        <v>0.80167014613778709</v>
      </c>
      <c r="K2347">
        <v>0.77108433734939763</v>
      </c>
      <c r="L2347">
        <v>0.83478260869565213</v>
      </c>
      <c r="M2347" t="s">
        <v>60</v>
      </c>
      <c r="N2347" t="s">
        <v>5121</v>
      </c>
      <c r="O2347" t="s">
        <v>5122</v>
      </c>
      <c r="P2347">
        <v>1.7</v>
      </c>
    </row>
    <row r="2348" spans="1:16" x14ac:dyDescent="0.3">
      <c r="A2348" t="s">
        <v>30</v>
      </c>
      <c r="B2348" t="s">
        <v>26</v>
      </c>
      <c r="C2348" t="s">
        <v>27</v>
      </c>
      <c r="D2348" t="s">
        <v>363</v>
      </c>
      <c r="E2348" t="s">
        <v>365</v>
      </c>
      <c r="F2348" t="s">
        <v>13</v>
      </c>
      <c r="G2348" t="s">
        <v>397</v>
      </c>
      <c r="H2348" t="s">
        <v>368</v>
      </c>
      <c r="I2348">
        <v>48</v>
      </c>
      <c r="J2348">
        <v>0.80922431865828093</v>
      </c>
      <c r="K2348">
        <v>0.78137651821862353</v>
      </c>
      <c r="L2348">
        <v>0.83913043478260874</v>
      </c>
      <c r="M2348" t="s">
        <v>60</v>
      </c>
      <c r="N2348" t="s">
        <v>5123</v>
      </c>
      <c r="O2348" t="s">
        <v>5124</v>
      </c>
      <c r="P2348">
        <v>1.3</v>
      </c>
    </row>
    <row r="2349" spans="1:16" x14ac:dyDescent="0.3">
      <c r="A2349" t="s">
        <v>30</v>
      </c>
      <c r="B2349" t="s">
        <v>26</v>
      </c>
      <c r="C2349" t="s">
        <v>27</v>
      </c>
      <c r="D2349" t="s">
        <v>363</v>
      </c>
      <c r="E2349" t="s">
        <v>365</v>
      </c>
      <c r="F2349" t="s">
        <v>13</v>
      </c>
      <c r="G2349" t="s">
        <v>402</v>
      </c>
      <c r="H2349" t="s">
        <v>368</v>
      </c>
      <c r="I2349">
        <v>49</v>
      </c>
      <c r="J2349">
        <v>0.80932203389830515</v>
      </c>
      <c r="K2349">
        <v>0.78925619834710747</v>
      </c>
      <c r="L2349">
        <v>0.83043478260869563</v>
      </c>
      <c r="M2349" t="s">
        <v>60</v>
      </c>
      <c r="N2349" t="s">
        <v>5125</v>
      </c>
      <c r="O2349" t="s">
        <v>5126</v>
      </c>
      <c r="P2349">
        <v>1.7</v>
      </c>
    </row>
    <row r="2350" spans="1:16" x14ac:dyDescent="0.3">
      <c r="A2350" t="s">
        <v>30</v>
      </c>
      <c r="B2350" t="s">
        <v>26</v>
      </c>
      <c r="C2350" t="s">
        <v>27</v>
      </c>
      <c r="D2350" t="s">
        <v>363</v>
      </c>
      <c r="E2350" t="s">
        <v>365</v>
      </c>
      <c r="F2350" t="s">
        <v>13</v>
      </c>
      <c r="G2350" t="s">
        <v>407</v>
      </c>
      <c r="H2350" t="s">
        <v>368</v>
      </c>
      <c r="I2350">
        <v>50</v>
      </c>
      <c r="J2350">
        <v>0.79749478079331937</v>
      </c>
      <c r="K2350">
        <v>0.76706827309236947</v>
      </c>
      <c r="L2350">
        <v>0.83043478260869563</v>
      </c>
      <c r="M2350" t="s">
        <v>60</v>
      </c>
      <c r="N2350" t="s">
        <v>5127</v>
      </c>
      <c r="O2350" t="s">
        <v>5128</v>
      </c>
      <c r="P2350">
        <v>1.3</v>
      </c>
    </row>
    <row r="2351" spans="1:16" x14ac:dyDescent="0.3">
      <c r="A2351" t="s">
        <v>30</v>
      </c>
      <c r="B2351" t="s">
        <v>26</v>
      </c>
      <c r="C2351" t="s">
        <v>27</v>
      </c>
      <c r="D2351" t="s">
        <v>363</v>
      </c>
      <c r="E2351" t="s">
        <v>365</v>
      </c>
      <c r="F2351" t="s">
        <v>13</v>
      </c>
      <c r="G2351" t="s">
        <v>412</v>
      </c>
      <c r="H2351" t="s">
        <v>368</v>
      </c>
      <c r="I2351">
        <v>51</v>
      </c>
      <c r="J2351">
        <v>0.8179871520342612</v>
      </c>
      <c r="K2351">
        <v>0.80590717299578063</v>
      </c>
      <c r="L2351">
        <v>0.83043478260869563</v>
      </c>
      <c r="M2351" t="s">
        <v>60</v>
      </c>
      <c r="N2351" t="s">
        <v>5129</v>
      </c>
      <c r="O2351" t="s">
        <v>5130</v>
      </c>
      <c r="P2351">
        <v>1.3</v>
      </c>
    </row>
    <row r="2352" spans="1:16" x14ac:dyDescent="0.3">
      <c r="A2352" t="s">
        <v>30</v>
      </c>
      <c r="B2352" t="s">
        <v>26</v>
      </c>
      <c r="C2352" t="s">
        <v>27</v>
      </c>
      <c r="D2352" t="s">
        <v>363</v>
      </c>
      <c r="E2352" t="s">
        <v>365</v>
      </c>
      <c r="F2352" t="s">
        <v>13</v>
      </c>
      <c r="G2352" t="s">
        <v>417</v>
      </c>
      <c r="H2352" t="s">
        <v>368</v>
      </c>
      <c r="I2352">
        <v>52</v>
      </c>
      <c r="J2352">
        <v>0.79664570230607967</v>
      </c>
      <c r="K2352">
        <v>0.76923076923076927</v>
      </c>
      <c r="L2352">
        <v>0.82608695652173914</v>
      </c>
      <c r="M2352" t="s">
        <v>60</v>
      </c>
      <c r="N2352" t="s">
        <v>5131</v>
      </c>
      <c r="O2352" t="s">
        <v>5132</v>
      </c>
      <c r="P2352">
        <v>1.7</v>
      </c>
    </row>
    <row r="2353" spans="1:16" x14ac:dyDescent="0.3">
      <c r="A2353" t="s">
        <v>30</v>
      </c>
      <c r="B2353" t="s">
        <v>26</v>
      </c>
      <c r="C2353" t="s">
        <v>27</v>
      </c>
      <c r="D2353" t="s">
        <v>363</v>
      </c>
      <c r="E2353" t="s">
        <v>365</v>
      </c>
      <c r="F2353" t="s">
        <v>13</v>
      </c>
      <c r="G2353" t="s">
        <v>422</v>
      </c>
      <c r="H2353" t="s">
        <v>368</v>
      </c>
      <c r="I2353">
        <v>53</v>
      </c>
      <c r="J2353">
        <v>0.78646934460887941</v>
      </c>
      <c r="K2353">
        <v>0.76543209876543206</v>
      </c>
      <c r="L2353">
        <v>0.80869565217391304</v>
      </c>
      <c r="M2353" t="s">
        <v>60</v>
      </c>
      <c r="N2353" t="s">
        <v>5133</v>
      </c>
      <c r="O2353" t="s">
        <v>5134</v>
      </c>
      <c r="P2353">
        <v>1.3</v>
      </c>
    </row>
    <row r="2354" spans="1:16" x14ac:dyDescent="0.3">
      <c r="A2354" t="s">
        <v>30</v>
      </c>
      <c r="B2354" t="s">
        <v>26</v>
      </c>
      <c r="C2354" t="s">
        <v>27</v>
      </c>
      <c r="D2354" t="s">
        <v>363</v>
      </c>
      <c r="E2354" t="s">
        <v>365</v>
      </c>
      <c r="F2354" t="s">
        <v>13</v>
      </c>
      <c r="G2354" t="s">
        <v>427</v>
      </c>
      <c r="H2354" t="s">
        <v>368</v>
      </c>
      <c r="I2354">
        <v>54</v>
      </c>
      <c r="J2354">
        <v>0.81666666666666665</v>
      </c>
      <c r="K2354">
        <v>0.78400000000000003</v>
      </c>
      <c r="L2354">
        <v>0.85217391304347823</v>
      </c>
      <c r="M2354" t="s">
        <v>60</v>
      </c>
      <c r="N2354" t="s">
        <v>5135</v>
      </c>
      <c r="O2354" t="s">
        <v>5136</v>
      </c>
      <c r="P2354">
        <v>1.3</v>
      </c>
    </row>
    <row r="2355" spans="1:16" x14ac:dyDescent="0.3">
      <c r="A2355" t="s">
        <v>30</v>
      </c>
      <c r="B2355" t="s">
        <v>26</v>
      </c>
      <c r="C2355" t="s">
        <v>27</v>
      </c>
      <c r="D2355" t="s">
        <v>363</v>
      </c>
      <c r="E2355" t="s">
        <v>365</v>
      </c>
      <c r="F2355" t="s">
        <v>13</v>
      </c>
      <c r="G2355" t="s">
        <v>432</v>
      </c>
      <c r="H2355" t="s">
        <v>368</v>
      </c>
      <c r="I2355">
        <v>55</v>
      </c>
      <c r="J2355">
        <v>0.79664570230607967</v>
      </c>
      <c r="K2355">
        <v>0.76923076923076927</v>
      </c>
      <c r="L2355">
        <v>0.82608695652173914</v>
      </c>
      <c r="M2355" t="s">
        <v>60</v>
      </c>
      <c r="N2355" t="s">
        <v>5137</v>
      </c>
      <c r="O2355" t="s">
        <v>5138</v>
      </c>
      <c r="P2355">
        <v>1.7</v>
      </c>
    </row>
    <row r="2356" spans="1:16" x14ac:dyDescent="0.3">
      <c r="A2356" t="s">
        <v>30</v>
      </c>
      <c r="B2356" t="s">
        <v>26</v>
      </c>
      <c r="C2356" t="s">
        <v>27</v>
      </c>
      <c r="D2356" t="s">
        <v>363</v>
      </c>
      <c r="E2356" t="s">
        <v>365</v>
      </c>
      <c r="F2356" t="s">
        <v>13</v>
      </c>
      <c r="G2356" t="s">
        <v>437</v>
      </c>
      <c r="H2356" t="s">
        <v>368</v>
      </c>
      <c r="I2356">
        <v>56</v>
      </c>
      <c r="J2356">
        <v>0.80503144654088055</v>
      </c>
      <c r="K2356">
        <v>0.77732793522267207</v>
      </c>
      <c r="L2356">
        <v>0.83478260869565213</v>
      </c>
      <c r="M2356" t="s">
        <v>60</v>
      </c>
      <c r="N2356" t="s">
        <v>5139</v>
      </c>
      <c r="O2356" t="s">
        <v>5140</v>
      </c>
      <c r="P2356">
        <v>1.3</v>
      </c>
    </row>
    <row r="2357" spans="1:16" x14ac:dyDescent="0.3">
      <c r="A2357" t="s">
        <v>30</v>
      </c>
      <c r="B2357" t="s">
        <v>26</v>
      </c>
      <c r="C2357" t="s">
        <v>27</v>
      </c>
      <c r="D2357" t="s">
        <v>363</v>
      </c>
      <c r="E2357" t="s">
        <v>365</v>
      </c>
      <c r="F2357" t="s">
        <v>13</v>
      </c>
      <c r="G2357" t="s">
        <v>442</v>
      </c>
      <c r="H2357" t="s">
        <v>368</v>
      </c>
      <c r="I2357">
        <v>57</v>
      </c>
      <c r="J2357">
        <v>0.81171548117154813</v>
      </c>
      <c r="K2357">
        <v>0.782258064516129</v>
      </c>
      <c r="L2357">
        <v>0.84347826086956523</v>
      </c>
      <c r="M2357" t="s">
        <v>60</v>
      </c>
      <c r="N2357" t="s">
        <v>5141</v>
      </c>
      <c r="O2357" t="s">
        <v>5142</v>
      </c>
      <c r="P2357">
        <v>1.3</v>
      </c>
    </row>
    <row r="2358" spans="1:16" x14ac:dyDescent="0.3">
      <c r="A2358" t="s">
        <v>30</v>
      </c>
      <c r="B2358" t="s">
        <v>26</v>
      </c>
      <c r="C2358" t="s">
        <v>27</v>
      </c>
      <c r="D2358" t="s">
        <v>363</v>
      </c>
      <c r="E2358" t="s">
        <v>365</v>
      </c>
      <c r="F2358" t="s">
        <v>13</v>
      </c>
      <c r="G2358" t="s">
        <v>447</v>
      </c>
      <c r="H2358" t="s">
        <v>368</v>
      </c>
      <c r="I2358">
        <v>58</v>
      </c>
      <c r="J2358">
        <v>0.80932203389830515</v>
      </c>
      <c r="K2358">
        <v>0.78925619834710747</v>
      </c>
      <c r="L2358">
        <v>0.83043478260869563</v>
      </c>
      <c r="M2358" t="s">
        <v>60</v>
      </c>
      <c r="N2358" t="s">
        <v>5143</v>
      </c>
      <c r="O2358" t="s">
        <v>5144</v>
      </c>
      <c r="P2358">
        <v>1.7</v>
      </c>
    </row>
    <row r="2359" spans="1:16" x14ac:dyDescent="0.3">
      <c r="A2359" t="s">
        <v>30</v>
      </c>
      <c r="B2359" t="s">
        <v>26</v>
      </c>
      <c r="C2359" t="s">
        <v>27</v>
      </c>
      <c r="D2359" t="s">
        <v>363</v>
      </c>
      <c r="E2359" t="s">
        <v>365</v>
      </c>
      <c r="F2359" t="s">
        <v>13</v>
      </c>
      <c r="G2359" t="s">
        <v>452</v>
      </c>
      <c r="H2359" t="s">
        <v>368</v>
      </c>
      <c r="I2359">
        <v>59</v>
      </c>
      <c r="J2359">
        <v>0.80761099365750522</v>
      </c>
      <c r="K2359">
        <v>0.78600823045267487</v>
      </c>
      <c r="L2359">
        <v>0.83043478260869563</v>
      </c>
      <c r="M2359" t="s">
        <v>60</v>
      </c>
      <c r="N2359" t="s">
        <v>5145</v>
      </c>
      <c r="O2359" t="s">
        <v>5146</v>
      </c>
      <c r="P2359">
        <v>1.3</v>
      </c>
    </row>
    <row r="2360" spans="1:16" x14ac:dyDescent="0.3">
      <c r="A2360" t="s">
        <v>30</v>
      </c>
      <c r="B2360" t="s">
        <v>26</v>
      </c>
      <c r="C2360" t="s">
        <v>27</v>
      </c>
      <c r="D2360" t="s">
        <v>363</v>
      </c>
      <c r="E2360" t="s">
        <v>365</v>
      </c>
      <c r="F2360" t="s">
        <v>13</v>
      </c>
      <c r="G2360" t="s">
        <v>457</v>
      </c>
      <c r="H2360" t="s">
        <v>368</v>
      </c>
      <c r="I2360">
        <v>60</v>
      </c>
      <c r="J2360">
        <v>0.810126582278481</v>
      </c>
      <c r="K2360">
        <v>0.78688524590163933</v>
      </c>
      <c r="L2360">
        <v>0.83478260869565213</v>
      </c>
      <c r="M2360" t="s">
        <v>60</v>
      </c>
      <c r="N2360" t="s">
        <v>5147</v>
      </c>
      <c r="O2360" t="s">
        <v>5148</v>
      </c>
      <c r="P2360">
        <v>1.3</v>
      </c>
    </row>
    <row r="2361" spans="1:16" x14ac:dyDescent="0.3">
      <c r="A2361" t="s">
        <v>30</v>
      </c>
      <c r="B2361" t="s">
        <v>26</v>
      </c>
      <c r="C2361" t="s">
        <v>27</v>
      </c>
      <c r="D2361" t="s">
        <v>363</v>
      </c>
      <c r="E2361" t="s">
        <v>365</v>
      </c>
      <c r="F2361" t="s">
        <v>13</v>
      </c>
      <c r="G2361" t="s">
        <v>462</v>
      </c>
      <c r="H2361" t="s">
        <v>368</v>
      </c>
      <c r="I2361">
        <v>61</v>
      </c>
      <c r="J2361">
        <v>0.81837160751565763</v>
      </c>
      <c r="K2361">
        <v>0.78714859437751006</v>
      </c>
      <c r="L2361">
        <v>0.85217391304347823</v>
      </c>
      <c r="M2361" t="s">
        <v>60</v>
      </c>
      <c r="N2361" t="s">
        <v>5149</v>
      </c>
      <c r="O2361" t="s">
        <v>5150</v>
      </c>
      <c r="P2361">
        <v>1.7</v>
      </c>
    </row>
    <row r="2362" spans="1:16" x14ac:dyDescent="0.3">
      <c r="A2362" t="s">
        <v>30</v>
      </c>
      <c r="B2362" t="s">
        <v>26</v>
      </c>
      <c r="C2362" t="s">
        <v>27</v>
      </c>
      <c r="D2362" t="s">
        <v>363</v>
      </c>
      <c r="E2362" t="s">
        <v>467</v>
      </c>
      <c r="F2362" t="s">
        <v>9</v>
      </c>
      <c r="G2362" t="s">
        <v>468</v>
      </c>
      <c r="H2362" t="s">
        <v>470</v>
      </c>
      <c r="I2362">
        <v>42</v>
      </c>
      <c r="J2362">
        <v>0.8100558659217878</v>
      </c>
      <c r="K2362">
        <v>0.76719576719576721</v>
      </c>
      <c r="L2362">
        <v>0.85798816568047342</v>
      </c>
      <c r="M2362" t="s">
        <v>60</v>
      </c>
      <c r="N2362" t="s">
        <v>5151</v>
      </c>
      <c r="O2362" t="s">
        <v>5152</v>
      </c>
      <c r="P2362">
        <v>1.1000000000000001</v>
      </c>
    </row>
    <row r="2363" spans="1:16" x14ac:dyDescent="0.3">
      <c r="A2363" t="s">
        <v>30</v>
      </c>
      <c r="B2363" t="s">
        <v>26</v>
      </c>
      <c r="C2363" t="s">
        <v>27</v>
      </c>
      <c r="D2363" t="s">
        <v>363</v>
      </c>
      <c r="E2363" t="s">
        <v>467</v>
      </c>
      <c r="F2363" t="s">
        <v>9</v>
      </c>
      <c r="G2363" t="s">
        <v>474</v>
      </c>
      <c r="H2363" t="s">
        <v>470</v>
      </c>
      <c r="I2363">
        <v>43</v>
      </c>
      <c r="J2363">
        <v>0.83852691218130315</v>
      </c>
      <c r="K2363">
        <v>0.80434782608695654</v>
      </c>
      <c r="L2363">
        <v>0.87573964497041423</v>
      </c>
      <c r="M2363" t="s">
        <v>60</v>
      </c>
      <c r="N2363" t="s">
        <v>5153</v>
      </c>
      <c r="O2363" t="s">
        <v>5154</v>
      </c>
      <c r="P2363">
        <v>1.1000000000000001</v>
      </c>
    </row>
    <row r="2364" spans="1:16" x14ac:dyDescent="0.3">
      <c r="A2364" t="s">
        <v>30</v>
      </c>
      <c r="B2364" t="s">
        <v>26</v>
      </c>
      <c r="C2364" t="s">
        <v>27</v>
      </c>
      <c r="D2364" t="s">
        <v>363</v>
      </c>
      <c r="E2364" t="s">
        <v>467</v>
      </c>
      <c r="F2364" t="s">
        <v>9</v>
      </c>
      <c r="G2364" t="s">
        <v>479</v>
      </c>
      <c r="H2364" t="s">
        <v>470</v>
      </c>
      <c r="I2364">
        <v>44</v>
      </c>
      <c r="J2364">
        <v>0.82719546742209626</v>
      </c>
      <c r="K2364">
        <v>0.79347826086956519</v>
      </c>
      <c r="L2364">
        <v>0.86390532544378695</v>
      </c>
      <c r="M2364" t="s">
        <v>60</v>
      </c>
      <c r="N2364" t="s">
        <v>5155</v>
      </c>
      <c r="O2364" t="s">
        <v>5156</v>
      </c>
      <c r="P2364">
        <v>1.1000000000000001</v>
      </c>
    </row>
    <row r="2365" spans="1:16" x14ac:dyDescent="0.3">
      <c r="A2365" t="s">
        <v>30</v>
      </c>
      <c r="B2365" t="s">
        <v>26</v>
      </c>
      <c r="C2365" t="s">
        <v>27</v>
      </c>
      <c r="D2365" t="s">
        <v>363</v>
      </c>
      <c r="E2365" t="s">
        <v>467</v>
      </c>
      <c r="F2365" t="s">
        <v>9</v>
      </c>
      <c r="G2365" t="s">
        <v>484</v>
      </c>
      <c r="H2365" t="s">
        <v>470</v>
      </c>
      <c r="I2365">
        <v>45</v>
      </c>
      <c r="J2365">
        <v>0.83760683760683752</v>
      </c>
      <c r="K2365">
        <v>0.80769230769230771</v>
      </c>
      <c r="L2365">
        <v>0.86982248520710059</v>
      </c>
      <c r="M2365" t="s">
        <v>60</v>
      </c>
      <c r="N2365" t="s">
        <v>5157</v>
      </c>
      <c r="O2365" t="s">
        <v>5158</v>
      </c>
      <c r="P2365">
        <v>1.5</v>
      </c>
    </row>
    <row r="2366" spans="1:16" x14ac:dyDescent="0.3">
      <c r="A2366" t="s">
        <v>30</v>
      </c>
      <c r="B2366" t="s">
        <v>26</v>
      </c>
      <c r="C2366" t="s">
        <v>27</v>
      </c>
      <c r="D2366" t="s">
        <v>363</v>
      </c>
      <c r="E2366" t="s">
        <v>467</v>
      </c>
      <c r="F2366" t="s">
        <v>9</v>
      </c>
      <c r="G2366" t="s">
        <v>489</v>
      </c>
      <c r="H2366" t="s">
        <v>470</v>
      </c>
      <c r="I2366">
        <v>46</v>
      </c>
      <c r="J2366">
        <v>0.8472622478386167</v>
      </c>
      <c r="K2366">
        <v>0.8258426966292135</v>
      </c>
      <c r="L2366">
        <v>0.86982248520710059</v>
      </c>
      <c r="M2366" t="s">
        <v>60</v>
      </c>
      <c r="N2366" t="s">
        <v>5159</v>
      </c>
      <c r="O2366" t="s">
        <v>5160</v>
      </c>
      <c r="P2366">
        <v>1.1000000000000001</v>
      </c>
    </row>
    <row r="2367" spans="1:16" x14ac:dyDescent="0.3">
      <c r="A2367" t="s">
        <v>30</v>
      </c>
      <c r="B2367" t="s">
        <v>26</v>
      </c>
      <c r="C2367" t="s">
        <v>27</v>
      </c>
      <c r="D2367" t="s">
        <v>363</v>
      </c>
      <c r="E2367" t="s">
        <v>467</v>
      </c>
      <c r="F2367" t="s">
        <v>9</v>
      </c>
      <c r="G2367" t="s">
        <v>494</v>
      </c>
      <c r="H2367" t="s">
        <v>470</v>
      </c>
      <c r="I2367">
        <v>47</v>
      </c>
      <c r="J2367">
        <v>0.83428571428571441</v>
      </c>
      <c r="K2367">
        <v>0.8066298342541437</v>
      </c>
      <c r="L2367">
        <v>0.86390532544378695</v>
      </c>
      <c r="M2367" t="s">
        <v>60</v>
      </c>
      <c r="N2367" t="s">
        <v>5161</v>
      </c>
      <c r="O2367" t="s">
        <v>5162</v>
      </c>
      <c r="P2367">
        <v>1.1000000000000001</v>
      </c>
    </row>
    <row r="2368" spans="1:16" x14ac:dyDescent="0.3">
      <c r="A2368" t="s">
        <v>30</v>
      </c>
      <c r="B2368" t="s">
        <v>26</v>
      </c>
      <c r="C2368" t="s">
        <v>27</v>
      </c>
      <c r="D2368" t="s">
        <v>363</v>
      </c>
      <c r="E2368" t="s">
        <v>467</v>
      </c>
      <c r="F2368" t="s">
        <v>9</v>
      </c>
      <c r="G2368" t="s">
        <v>499</v>
      </c>
      <c r="H2368" t="s">
        <v>470</v>
      </c>
      <c r="I2368">
        <v>48</v>
      </c>
      <c r="J2368">
        <v>0.83286118980169965</v>
      </c>
      <c r="K2368">
        <v>0.79891304347826086</v>
      </c>
      <c r="L2368">
        <v>0.86982248520710059</v>
      </c>
      <c r="M2368" t="s">
        <v>60</v>
      </c>
      <c r="N2368" t="s">
        <v>5163</v>
      </c>
      <c r="O2368" t="s">
        <v>5164</v>
      </c>
      <c r="P2368">
        <v>1.1000000000000001</v>
      </c>
    </row>
    <row r="2369" spans="1:16" x14ac:dyDescent="0.3">
      <c r="A2369" t="s">
        <v>30</v>
      </c>
      <c r="B2369" t="s">
        <v>26</v>
      </c>
      <c r="C2369" t="s">
        <v>27</v>
      </c>
      <c r="D2369" t="s">
        <v>363</v>
      </c>
      <c r="E2369" t="s">
        <v>467</v>
      </c>
      <c r="F2369" t="s">
        <v>9</v>
      </c>
      <c r="G2369" t="s">
        <v>504</v>
      </c>
      <c r="H2369" t="s">
        <v>470</v>
      </c>
      <c r="I2369">
        <v>49</v>
      </c>
      <c r="J2369">
        <v>0.84269662921348309</v>
      </c>
      <c r="K2369">
        <v>0.80213903743315507</v>
      </c>
      <c r="L2369">
        <v>0.8875739644970414</v>
      </c>
      <c r="M2369" t="s">
        <v>60</v>
      </c>
      <c r="N2369" t="s">
        <v>5165</v>
      </c>
      <c r="O2369" t="s">
        <v>5166</v>
      </c>
      <c r="P2369">
        <v>1.5</v>
      </c>
    </row>
    <row r="2370" spans="1:16" x14ac:dyDescent="0.3">
      <c r="A2370" t="s">
        <v>30</v>
      </c>
      <c r="B2370" t="s">
        <v>26</v>
      </c>
      <c r="C2370" t="s">
        <v>27</v>
      </c>
      <c r="D2370" t="s">
        <v>363</v>
      </c>
      <c r="E2370" t="s">
        <v>467</v>
      </c>
      <c r="F2370" t="s">
        <v>9</v>
      </c>
      <c r="G2370" t="s">
        <v>509</v>
      </c>
      <c r="H2370" t="s">
        <v>470</v>
      </c>
      <c r="I2370">
        <v>50</v>
      </c>
      <c r="J2370">
        <v>0.84330484330484323</v>
      </c>
      <c r="K2370">
        <v>0.81318681318681318</v>
      </c>
      <c r="L2370">
        <v>0.87573964497041423</v>
      </c>
      <c r="M2370" t="s">
        <v>60</v>
      </c>
      <c r="N2370" t="s">
        <v>5167</v>
      </c>
      <c r="O2370" t="s">
        <v>5168</v>
      </c>
      <c r="P2370">
        <v>1.1000000000000001</v>
      </c>
    </row>
    <row r="2371" spans="1:16" x14ac:dyDescent="0.3">
      <c r="A2371" t="s">
        <v>30</v>
      </c>
      <c r="B2371" t="s">
        <v>26</v>
      </c>
      <c r="C2371" t="s">
        <v>27</v>
      </c>
      <c r="D2371" t="s">
        <v>363</v>
      </c>
      <c r="E2371" t="s">
        <v>467</v>
      </c>
      <c r="F2371" t="s">
        <v>9</v>
      </c>
      <c r="G2371" t="s">
        <v>514</v>
      </c>
      <c r="H2371" t="s">
        <v>470</v>
      </c>
      <c r="I2371">
        <v>51</v>
      </c>
      <c r="J2371">
        <v>0.84180790960451968</v>
      </c>
      <c r="K2371">
        <v>0.80540540540540539</v>
      </c>
      <c r="L2371">
        <v>0.88165680473372776</v>
      </c>
      <c r="M2371" t="s">
        <v>60</v>
      </c>
      <c r="N2371" t="s">
        <v>5169</v>
      </c>
      <c r="O2371" t="s">
        <v>5170</v>
      </c>
      <c r="P2371">
        <v>1.1000000000000001</v>
      </c>
    </row>
    <row r="2372" spans="1:16" x14ac:dyDescent="0.3">
      <c r="A2372" t="s">
        <v>30</v>
      </c>
      <c r="B2372" t="s">
        <v>26</v>
      </c>
      <c r="C2372" t="s">
        <v>27</v>
      </c>
      <c r="D2372" t="s">
        <v>363</v>
      </c>
      <c r="E2372" t="s">
        <v>467</v>
      </c>
      <c r="F2372" t="s">
        <v>9</v>
      </c>
      <c r="G2372" t="s">
        <v>519</v>
      </c>
      <c r="H2372" t="s">
        <v>470</v>
      </c>
      <c r="I2372">
        <v>52</v>
      </c>
      <c r="J2372">
        <v>0.85470085470085466</v>
      </c>
      <c r="K2372">
        <v>0.82417582417582413</v>
      </c>
      <c r="L2372">
        <v>0.8875739644970414</v>
      </c>
      <c r="M2372" t="s">
        <v>60</v>
      </c>
      <c r="N2372" t="s">
        <v>5171</v>
      </c>
      <c r="O2372" t="s">
        <v>5172</v>
      </c>
      <c r="P2372">
        <v>1.5</v>
      </c>
    </row>
    <row r="2373" spans="1:16" x14ac:dyDescent="0.3">
      <c r="A2373" t="s">
        <v>30</v>
      </c>
      <c r="B2373" t="s">
        <v>26</v>
      </c>
      <c r="C2373" t="s">
        <v>27</v>
      </c>
      <c r="D2373" t="s">
        <v>363</v>
      </c>
      <c r="E2373" t="s">
        <v>467</v>
      </c>
      <c r="F2373" t="s">
        <v>9</v>
      </c>
      <c r="G2373" t="s">
        <v>524</v>
      </c>
      <c r="H2373" t="s">
        <v>470</v>
      </c>
      <c r="I2373">
        <v>53</v>
      </c>
      <c r="J2373">
        <v>0.8595505617977528</v>
      </c>
      <c r="K2373">
        <v>0.81818181818181823</v>
      </c>
      <c r="L2373">
        <v>0.90532544378698221</v>
      </c>
      <c r="M2373" t="s">
        <v>60</v>
      </c>
      <c r="N2373" t="s">
        <v>5173</v>
      </c>
      <c r="O2373" t="s">
        <v>5174</v>
      </c>
      <c r="P2373">
        <v>1.1000000000000001</v>
      </c>
    </row>
    <row r="2374" spans="1:16" x14ac:dyDescent="0.3">
      <c r="A2374" t="s">
        <v>30</v>
      </c>
      <c r="B2374" t="s">
        <v>26</v>
      </c>
      <c r="C2374" t="s">
        <v>27</v>
      </c>
      <c r="D2374" t="s">
        <v>363</v>
      </c>
      <c r="E2374" t="s">
        <v>467</v>
      </c>
      <c r="F2374" t="s">
        <v>9</v>
      </c>
      <c r="G2374" t="s">
        <v>529</v>
      </c>
      <c r="H2374" t="s">
        <v>470</v>
      </c>
      <c r="I2374">
        <v>54</v>
      </c>
      <c r="J2374">
        <v>0.86039886039886049</v>
      </c>
      <c r="K2374">
        <v>0.82967032967032972</v>
      </c>
      <c r="L2374">
        <v>0.89349112426035504</v>
      </c>
      <c r="M2374" t="s">
        <v>60</v>
      </c>
      <c r="N2374" t="s">
        <v>5175</v>
      </c>
      <c r="O2374" t="s">
        <v>5176</v>
      </c>
      <c r="P2374">
        <v>1.1000000000000001</v>
      </c>
    </row>
    <row r="2375" spans="1:16" x14ac:dyDescent="0.3">
      <c r="A2375" t="s">
        <v>30</v>
      </c>
      <c r="B2375" t="s">
        <v>26</v>
      </c>
      <c r="C2375" t="s">
        <v>27</v>
      </c>
      <c r="D2375" t="s">
        <v>363</v>
      </c>
      <c r="E2375" t="s">
        <v>467</v>
      </c>
      <c r="F2375" t="s">
        <v>9</v>
      </c>
      <c r="G2375" t="s">
        <v>534</v>
      </c>
      <c r="H2375" t="s">
        <v>470</v>
      </c>
      <c r="I2375">
        <v>55</v>
      </c>
      <c r="J2375">
        <v>0.84330484330484323</v>
      </c>
      <c r="K2375">
        <v>0.81318681318681318</v>
      </c>
      <c r="L2375">
        <v>0.87573964497041423</v>
      </c>
      <c r="M2375" t="s">
        <v>60</v>
      </c>
      <c r="N2375" t="s">
        <v>5177</v>
      </c>
      <c r="O2375" t="s">
        <v>5178</v>
      </c>
      <c r="P2375">
        <v>1.1000000000000001</v>
      </c>
    </row>
    <row r="2376" spans="1:16" x14ac:dyDescent="0.3">
      <c r="A2376" t="s">
        <v>30</v>
      </c>
      <c r="B2376" t="s">
        <v>26</v>
      </c>
      <c r="C2376" t="s">
        <v>27</v>
      </c>
      <c r="D2376" t="s">
        <v>363</v>
      </c>
      <c r="E2376" t="s">
        <v>467</v>
      </c>
      <c r="F2376" t="s">
        <v>9</v>
      </c>
      <c r="G2376" t="s">
        <v>539</v>
      </c>
      <c r="H2376" t="s">
        <v>470</v>
      </c>
      <c r="I2376">
        <v>56</v>
      </c>
      <c r="J2376">
        <v>0.84705882352941175</v>
      </c>
      <c r="K2376">
        <v>0.84210526315789469</v>
      </c>
      <c r="L2376">
        <v>0.85207100591715978</v>
      </c>
      <c r="M2376" t="s">
        <v>60</v>
      </c>
      <c r="N2376" t="s">
        <v>5179</v>
      </c>
      <c r="O2376" t="s">
        <v>5180</v>
      </c>
      <c r="P2376">
        <v>1.6</v>
      </c>
    </row>
    <row r="2377" spans="1:16" x14ac:dyDescent="0.3">
      <c r="A2377" t="s">
        <v>30</v>
      </c>
      <c r="B2377" t="s">
        <v>26</v>
      </c>
      <c r="C2377" t="s">
        <v>27</v>
      </c>
      <c r="D2377" t="s">
        <v>363</v>
      </c>
      <c r="E2377" t="s">
        <v>467</v>
      </c>
      <c r="F2377" t="s">
        <v>9</v>
      </c>
      <c r="G2377" t="s">
        <v>544</v>
      </c>
      <c r="H2377" t="s">
        <v>470</v>
      </c>
      <c r="I2377">
        <v>57</v>
      </c>
      <c r="J2377">
        <v>0.82352941176470595</v>
      </c>
      <c r="K2377">
        <v>0.78191489361702127</v>
      </c>
      <c r="L2377">
        <v>0.86982248520710059</v>
      </c>
      <c r="M2377" t="s">
        <v>60</v>
      </c>
      <c r="N2377" t="s">
        <v>5181</v>
      </c>
      <c r="O2377" t="s">
        <v>5182</v>
      </c>
      <c r="P2377">
        <v>1.1000000000000001</v>
      </c>
    </row>
    <row r="2378" spans="1:16" x14ac:dyDescent="0.3">
      <c r="A2378" t="s">
        <v>30</v>
      </c>
      <c r="B2378" t="s">
        <v>26</v>
      </c>
      <c r="C2378" t="s">
        <v>27</v>
      </c>
      <c r="D2378" t="s">
        <v>363</v>
      </c>
      <c r="E2378" t="s">
        <v>467</v>
      </c>
      <c r="F2378" t="s">
        <v>9</v>
      </c>
      <c r="G2378" t="s">
        <v>549</v>
      </c>
      <c r="H2378" t="s">
        <v>470</v>
      </c>
      <c r="I2378">
        <v>58</v>
      </c>
      <c r="J2378">
        <v>0.84637681159420297</v>
      </c>
      <c r="K2378">
        <v>0.82954545454545459</v>
      </c>
      <c r="L2378">
        <v>0.86390532544378695</v>
      </c>
      <c r="M2378" t="s">
        <v>60</v>
      </c>
      <c r="N2378" t="s">
        <v>5183</v>
      </c>
      <c r="O2378" t="s">
        <v>5184</v>
      </c>
      <c r="P2378">
        <v>1.1000000000000001</v>
      </c>
    </row>
    <row r="2379" spans="1:16" x14ac:dyDescent="0.3">
      <c r="A2379" t="s">
        <v>30</v>
      </c>
      <c r="B2379" t="s">
        <v>26</v>
      </c>
      <c r="C2379" t="s">
        <v>27</v>
      </c>
      <c r="D2379" t="s">
        <v>363</v>
      </c>
      <c r="E2379" t="s">
        <v>467</v>
      </c>
      <c r="F2379" t="s">
        <v>9</v>
      </c>
      <c r="G2379" t="s">
        <v>554</v>
      </c>
      <c r="H2379" t="s">
        <v>470</v>
      </c>
      <c r="I2379">
        <v>59</v>
      </c>
      <c r="J2379">
        <v>0.84900284900284884</v>
      </c>
      <c r="K2379">
        <v>0.81868131868131866</v>
      </c>
      <c r="L2379">
        <v>0.88165680473372776</v>
      </c>
      <c r="M2379" t="s">
        <v>60</v>
      </c>
      <c r="N2379" t="s">
        <v>5185</v>
      </c>
      <c r="O2379" t="s">
        <v>5186</v>
      </c>
      <c r="P2379">
        <v>1.5</v>
      </c>
    </row>
    <row r="2380" spans="1:16" x14ac:dyDescent="0.3">
      <c r="A2380" t="s">
        <v>30</v>
      </c>
      <c r="B2380" t="s">
        <v>26</v>
      </c>
      <c r="C2380" t="s">
        <v>27</v>
      </c>
      <c r="D2380" t="s">
        <v>363</v>
      </c>
      <c r="E2380" t="s">
        <v>467</v>
      </c>
      <c r="F2380" t="s">
        <v>9</v>
      </c>
      <c r="G2380" t="s">
        <v>559</v>
      </c>
      <c r="H2380" t="s">
        <v>470</v>
      </c>
      <c r="I2380">
        <v>60</v>
      </c>
      <c r="J2380">
        <v>0.82681564245810057</v>
      </c>
      <c r="K2380">
        <v>0.78306878306878303</v>
      </c>
      <c r="L2380">
        <v>0.87573964497041423</v>
      </c>
      <c r="M2380" t="s">
        <v>60</v>
      </c>
      <c r="N2380" t="s">
        <v>5187</v>
      </c>
      <c r="O2380" t="s">
        <v>5188</v>
      </c>
      <c r="P2380">
        <v>1.1000000000000001</v>
      </c>
    </row>
    <row r="2381" spans="1:16" x14ac:dyDescent="0.3">
      <c r="A2381" t="s">
        <v>30</v>
      </c>
      <c r="B2381" t="s">
        <v>26</v>
      </c>
      <c r="C2381" t="s">
        <v>27</v>
      </c>
      <c r="D2381" t="s">
        <v>363</v>
      </c>
      <c r="E2381" t="s">
        <v>467</v>
      </c>
      <c r="F2381" t="s">
        <v>9</v>
      </c>
      <c r="G2381" t="s">
        <v>564</v>
      </c>
      <c r="H2381" t="s">
        <v>470</v>
      </c>
      <c r="I2381">
        <v>61</v>
      </c>
      <c r="J2381">
        <v>0.84482758620689657</v>
      </c>
      <c r="K2381">
        <v>0.82122905027932958</v>
      </c>
      <c r="L2381">
        <v>0.86982248520710059</v>
      </c>
      <c r="M2381" t="s">
        <v>60</v>
      </c>
      <c r="N2381" t="s">
        <v>5189</v>
      </c>
      <c r="O2381" t="s">
        <v>5190</v>
      </c>
      <c r="P2381">
        <v>1.1000000000000001</v>
      </c>
    </row>
    <row r="2382" spans="1:16" x14ac:dyDescent="0.3">
      <c r="A2382" t="s">
        <v>30</v>
      </c>
      <c r="B2382" t="s">
        <v>26</v>
      </c>
      <c r="C2382" t="s">
        <v>27</v>
      </c>
      <c r="D2382" t="s">
        <v>363</v>
      </c>
      <c r="E2382" t="s">
        <v>569</v>
      </c>
      <c r="F2382" t="s">
        <v>11</v>
      </c>
      <c r="G2382" t="s">
        <v>570</v>
      </c>
      <c r="H2382" t="s">
        <v>572</v>
      </c>
      <c r="I2382">
        <v>42</v>
      </c>
      <c r="J2382">
        <v>0.83741648106904221</v>
      </c>
      <c r="K2382">
        <v>0.82819383259911894</v>
      </c>
      <c r="L2382">
        <v>0.84684684684684686</v>
      </c>
      <c r="M2382" t="s">
        <v>60</v>
      </c>
      <c r="N2382" t="s">
        <v>5191</v>
      </c>
      <c r="O2382" t="s">
        <v>5192</v>
      </c>
      <c r="P2382">
        <v>1.3</v>
      </c>
    </row>
    <row r="2383" spans="1:16" x14ac:dyDescent="0.3">
      <c r="A2383" t="s">
        <v>30</v>
      </c>
      <c r="B2383" t="s">
        <v>26</v>
      </c>
      <c r="C2383" t="s">
        <v>27</v>
      </c>
      <c r="D2383" t="s">
        <v>363</v>
      </c>
      <c r="E2383" t="s">
        <v>569</v>
      </c>
      <c r="F2383" t="s">
        <v>11</v>
      </c>
      <c r="G2383" t="s">
        <v>576</v>
      </c>
      <c r="H2383" t="s">
        <v>572</v>
      </c>
      <c r="I2383">
        <v>43</v>
      </c>
      <c r="J2383">
        <v>0.85393258426966301</v>
      </c>
      <c r="K2383">
        <v>0.85201793721973096</v>
      </c>
      <c r="L2383">
        <v>0.85585585585585588</v>
      </c>
      <c r="M2383" t="s">
        <v>60</v>
      </c>
      <c r="N2383" t="s">
        <v>5193</v>
      </c>
      <c r="O2383" t="s">
        <v>5194</v>
      </c>
      <c r="P2383">
        <v>1.7</v>
      </c>
    </row>
    <row r="2384" spans="1:16" x14ac:dyDescent="0.3">
      <c r="A2384" t="s">
        <v>30</v>
      </c>
      <c r="B2384" t="s">
        <v>26</v>
      </c>
      <c r="C2384" t="s">
        <v>27</v>
      </c>
      <c r="D2384" t="s">
        <v>363</v>
      </c>
      <c r="E2384" t="s">
        <v>569</v>
      </c>
      <c r="F2384" t="s">
        <v>11</v>
      </c>
      <c r="G2384" t="s">
        <v>581</v>
      </c>
      <c r="H2384" t="s">
        <v>572</v>
      </c>
      <c r="I2384">
        <v>44</v>
      </c>
      <c r="J2384">
        <v>0.84444444444444455</v>
      </c>
      <c r="K2384">
        <v>0.83333333333333337</v>
      </c>
      <c r="L2384">
        <v>0.85585585585585588</v>
      </c>
      <c r="M2384" t="s">
        <v>60</v>
      </c>
      <c r="N2384" t="s">
        <v>5195</v>
      </c>
      <c r="O2384" t="s">
        <v>5196</v>
      </c>
      <c r="P2384">
        <v>1.3</v>
      </c>
    </row>
    <row r="2385" spans="1:16" x14ac:dyDescent="0.3">
      <c r="A2385" t="s">
        <v>30</v>
      </c>
      <c r="B2385" t="s">
        <v>26</v>
      </c>
      <c r="C2385" t="s">
        <v>27</v>
      </c>
      <c r="D2385" t="s">
        <v>363</v>
      </c>
      <c r="E2385" t="s">
        <v>569</v>
      </c>
      <c r="F2385" t="s">
        <v>11</v>
      </c>
      <c r="G2385" t="s">
        <v>586</v>
      </c>
      <c r="H2385" t="s">
        <v>572</v>
      </c>
      <c r="I2385">
        <v>45</v>
      </c>
      <c r="J2385">
        <v>0.83628318584070793</v>
      </c>
      <c r="K2385">
        <v>0.82173913043478264</v>
      </c>
      <c r="L2385">
        <v>0.85135135135135132</v>
      </c>
      <c r="M2385" t="s">
        <v>60</v>
      </c>
      <c r="N2385" t="s">
        <v>5197</v>
      </c>
      <c r="O2385" t="s">
        <v>5198</v>
      </c>
      <c r="P2385">
        <v>1.7</v>
      </c>
    </row>
    <row r="2386" spans="1:16" x14ac:dyDescent="0.3">
      <c r="A2386" t="s">
        <v>30</v>
      </c>
      <c r="B2386" t="s">
        <v>26</v>
      </c>
      <c r="C2386" t="s">
        <v>27</v>
      </c>
      <c r="D2386" t="s">
        <v>363</v>
      </c>
      <c r="E2386" t="s">
        <v>569</v>
      </c>
      <c r="F2386" t="s">
        <v>11</v>
      </c>
      <c r="G2386" t="s">
        <v>591</v>
      </c>
      <c r="H2386" t="s">
        <v>572</v>
      </c>
      <c r="I2386">
        <v>46</v>
      </c>
      <c r="J2386">
        <v>0.83443708609271516</v>
      </c>
      <c r="K2386">
        <v>0.81818181818181823</v>
      </c>
      <c r="L2386">
        <v>0.85135135135135132</v>
      </c>
      <c r="M2386" t="s">
        <v>60</v>
      </c>
      <c r="N2386" t="s">
        <v>5199</v>
      </c>
      <c r="O2386" t="s">
        <v>5200</v>
      </c>
      <c r="P2386">
        <v>1.3</v>
      </c>
    </row>
    <row r="2387" spans="1:16" x14ac:dyDescent="0.3">
      <c r="A2387" t="s">
        <v>30</v>
      </c>
      <c r="B2387" t="s">
        <v>26</v>
      </c>
      <c r="C2387" t="s">
        <v>27</v>
      </c>
      <c r="D2387" t="s">
        <v>363</v>
      </c>
      <c r="E2387" t="s">
        <v>569</v>
      </c>
      <c r="F2387" t="s">
        <v>11</v>
      </c>
      <c r="G2387" t="s">
        <v>596</v>
      </c>
      <c r="H2387" t="s">
        <v>572</v>
      </c>
      <c r="I2387">
        <v>47</v>
      </c>
      <c r="J2387">
        <v>0.84753363228699541</v>
      </c>
      <c r="K2387">
        <v>0.84375</v>
      </c>
      <c r="L2387">
        <v>0.85135135135135132</v>
      </c>
      <c r="M2387" t="s">
        <v>60</v>
      </c>
      <c r="N2387" t="s">
        <v>5201</v>
      </c>
      <c r="O2387" t="s">
        <v>5202</v>
      </c>
      <c r="P2387">
        <v>1.3</v>
      </c>
    </row>
    <row r="2388" spans="1:16" x14ac:dyDescent="0.3">
      <c r="A2388" t="s">
        <v>30</v>
      </c>
      <c r="B2388" t="s">
        <v>26</v>
      </c>
      <c r="C2388" t="s">
        <v>27</v>
      </c>
      <c r="D2388" t="s">
        <v>363</v>
      </c>
      <c r="E2388" t="s">
        <v>569</v>
      </c>
      <c r="F2388" t="s">
        <v>11</v>
      </c>
      <c r="G2388" t="s">
        <v>601</v>
      </c>
      <c r="H2388" t="s">
        <v>572</v>
      </c>
      <c r="I2388">
        <v>48</v>
      </c>
      <c r="J2388">
        <v>0.84768211920529801</v>
      </c>
      <c r="K2388">
        <v>0.83116883116883122</v>
      </c>
      <c r="L2388">
        <v>0.86486486486486491</v>
      </c>
      <c r="M2388" t="s">
        <v>60</v>
      </c>
      <c r="N2388" t="s">
        <v>5203</v>
      </c>
      <c r="O2388" t="s">
        <v>5204</v>
      </c>
      <c r="P2388">
        <v>1.7</v>
      </c>
    </row>
    <row r="2389" spans="1:16" x14ac:dyDescent="0.3">
      <c r="A2389" t="s">
        <v>30</v>
      </c>
      <c r="B2389" t="s">
        <v>26</v>
      </c>
      <c r="C2389" t="s">
        <v>27</v>
      </c>
      <c r="D2389" t="s">
        <v>363</v>
      </c>
      <c r="E2389" t="s">
        <v>569</v>
      </c>
      <c r="F2389" t="s">
        <v>11</v>
      </c>
      <c r="G2389" t="s">
        <v>606</v>
      </c>
      <c r="H2389" t="s">
        <v>572</v>
      </c>
      <c r="I2389">
        <v>49</v>
      </c>
      <c r="J2389">
        <v>0.84875846501128682</v>
      </c>
      <c r="K2389">
        <v>0.85067873303167418</v>
      </c>
      <c r="L2389">
        <v>0.84684684684684686</v>
      </c>
      <c r="M2389" t="s">
        <v>60</v>
      </c>
      <c r="N2389" t="s">
        <v>5205</v>
      </c>
      <c r="O2389" t="s">
        <v>5206</v>
      </c>
      <c r="P2389">
        <v>1.3</v>
      </c>
    </row>
    <row r="2390" spans="1:16" x14ac:dyDescent="0.3">
      <c r="A2390" t="s">
        <v>30</v>
      </c>
      <c r="B2390" t="s">
        <v>26</v>
      </c>
      <c r="C2390" t="s">
        <v>27</v>
      </c>
      <c r="D2390" t="s">
        <v>363</v>
      </c>
      <c r="E2390" t="s">
        <v>569</v>
      </c>
      <c r="F2390" t="s">
        <v>11</v>
      </c>
      <c r="G2390" t="s">
        <v>611</v>
      </c>
      <c r="H2390" t="s">
        <v>572</v>
      </c>
      <c r="I2390">
        <v>50</v>
      </c>
      <c r="J2390">
        <v>0.85011185682326629</v>
      </c>
      <c r="K2390">
        <v>0.84444444444444444</v>
      </c>
      <c r="L2390">
        <v>0.85585585585585588</v>
      </c>
      <c r="M2390" t="s">
        <v>60</v>
      </c>
      <c r="N2390" t="s">
        <v>5207</v>
      </c>
      <c r="O2390" t="s">
        <v>5208</v>
      </c>
      <c r="P2390">
        <v>1.3</v>
      </c>
    </row>
    <row r="2391" spans="1:16" x14ac:dyDescent="0.3">
      <c r="A2391" t="s">
        <v>30</v>
      </c>
      <c r="B2391" t="s">
        <v>26</v>
      </c>
      <c r="C2391" t="s">
        <v>27</v>
      </c>
      <c r="D2391" t="s">
        <v>363</v>
      </c>
      <c r="E2391" t="s">
        <v>569</v>
      </c>
      <c r="F2391" t="s">
        <v>11</v>
      </c>
      <c r="G2391" t="s">
        <v>616</v>
      </c>
      <c r="H2391" t="s">
        <v>572</v>
      </c>
      <c r="I2391">
        <v>51</v>
      </c>
      <c r="J2391">
        <v>0.8507795100222717</v>
      </c>
      <c r="K2391">
        <v>0.84140969162995594</v>
      </c>
      <c r="L2391">
        <v>0.86036036036036034</v>
      </c>
      <c r="M2391" t="s">
        <v>60</v>
      </c>
      <c r="N2391" t="s">
        <v>5209</v>
      </c>
      <c r="O2391" t="s">
        <v>5210</v>
      </c>
      <c r="P2391">
        <v>1.7</v>
      </c>
    </row>
    <row r="2392" spans="1:16" x14ac:dyDescent="0.3">
      <c r="A2392" t="s">
        <v>30</v>
      </c>
      <c r="B2392" t="s">
        <v>26</v>
      </c>
      <c r="C2392" t="s">
        <v>27</v>
      </c>
      <c r="D2392" t="s">
        <v>363</v>
      </c>
      <c r="E2392" t="s">
        <v>569</v>
      </c>
      <c r="F2392" t="s">
        <v>11</v>
      </c>
      <c r="G2392" t="s">
        <v>621</v>
      </c>
      <c r="H2392" t="s">
        <v>572</v>
      </c>
      <c r="I2392">
        <v>52</v>
      </c>
      <c r="J2392">
        <v>0.85144124168514423</v>
      </c>
      <c r="K2392">
        <v>0.83842794759825323</v>
      </c>
      <c r="L2392">
        <v>0.86486486486486491</v>
      </c>
      <c r="M2392" t="s">
        <v>60</v>
      </c>
      <c r="N2392" t="s">
        <v>5211</v>
      </c>
      <c r="O2392" t="s">
        <v>5212</v>
      </c>
      <c r="P2392">
        <v>1.3</v>
      </c>
    </row>
    <row r="2393" spans="1:16" x14ac:dyDescent="0.3">
      <c r="A2393" t="s">
        <v>30</v>
      </c>
      <c r="B2393" t="s">
        <v>26</v>
      </c>
      <c r="C2393" t="s">
        <v>27</v>
      </c>
      <c r="D2393" t="s">
        <v>363</v>
      </c>
      <c r="E2393" t="s">
        <v>569</v>
      </c>
      <c r="F2393" t="s">
        <v>11</v>
      </c>
      <c r="G2393" t="s">
        <v>626</v>
      </c>
      <c r="H2393" t="s">
        <v>572</v>
      </c>
      <c r="I2393">
        <v>53</v>
      </c>
      <c r="J2393">
        <v>0.85144124168514423</v>
      </c>
      <c r="K2393">
        <v>0.83842794759825323</v>
      </c>
      <c r="L2393">
        <v>0.86486486486486491</v>
      </c>
      <c r="M2393" t="s">
        <v>60</v>
      </c>
      <c r="N2393" t="s">
        <v>5213</v>
      </c>
      <c r="O2393" t="s">
        <v>5214</v>
      </c>
      <c r="P2393">
        <v>1.3</v>
      </c>
    </row>
    <row r="2394" spans="1:16" x14ac:dyDescent="0.3">
      <c r="A2394" t="s">
        <v>30</v>
      </c>
      <c r="B2394" t="s">
        <v>26</v>
      </c>
      <c r="C2394" t="s">
        <v>27</v>
      </c>
      <c r="D2394" t="s">
        <v>363</v>
      </c>
      <c r="E2394" t="s">
        <v>569</v>
      </c>
      <c r="F2394" t="s">
        <v>11</v>
      </c>
      <c r="G2394" t="s">
        <v>631</v>
      </c>
      <c r="H2394" t="s">
        <v>572</v>
      </c>
      <c r="I2394">
        <v>54</v>
      </c>
      <c r="J2394">
        <v>0.84955752212389379</v>
      </c>
      <c r="K2394">
        <v>0.83478260869565213</v>
      </c>
      <c r="L2394">
        <v>0.86486486486486491</v>
      </c>
      <c r="M2394" t="s">
        <v>60</v>
      </c>
      <c r="N2394" t="s">
        <v>5215</v>
      </c>
      <c r="O2394" t="s">
        <v>5216</v>
      </c>
      <c r="P2394">
        <v>1.3</v>
      </c>
    </row>
    <row r="2395" spans="1:16" x14ac:dyDescent="0.3">
      <c r="A2395" t="s">
        <v>30</v>
      </c>
      <c r="B2395" t="s">
        <v>26</v>
      </c>
      <c r="C2395" t="s">
        <v>27</v>
      </c>
      <c r="D2395" t="s">
        <v>363</v>
      </c>
      <c r="E2395" t="s">
        <v>569</v>
      </c>
      <c r="F2395" t="s">
        <v>11</v>
      </c>
      <c r="G2395" t="s">
        <v>636</v>
      </c>
      <c r="H2395" t="s">
        <v>572</v>
      </c>
      <c r="I2395">
        <v>55</v>
      </c>
      <c r="J2395">
        <v>0.8616071428571429</v>
      </c>
      <c r="K2395">
        <v>0.85398230088495575</v>
      </c>
      <c r="L2395">
        <v>0.86936936936936937</v>
      </c>
      <c r="M2395" t="s">
        <v>60</v>
      </c>
      <c r="N2395" t="s">
        <v>5217</v>
      </c>
      <c r="O2395" t="s">
        <v>5218</v>
      </c>
      <c r="P2395">
        <v>1.7</v>
      </c>
    </row>
    <row r="2396" spans="1:16" x14ac:dyDescent="0.3">
      <c r="A2396" t="s">
        <v>30</v>
      </c>
      <c r="B2396" t="s">
        <v>26</v>
      </c>
      <c r="C2396" t="s">
        <v>27</v>
      </c>
      <c r="D2396" t="s">
        <v>363</v>
      </c>
      <c r="E2396" t="s">
        <v>569</v>
      </c>
      <c r="F2396" t="s">
        <v>11</v>
      </c>
      <c r="G2396" t="s">
        <v>641</v>
      </c>
      <c r="H2396" t="s">
        <v>572</v>
      </c>
      <c r="I2396">
        <v>56</v>
      </c>
      <c r="J2396">
        <v>0.84187082405345204</v>
      </c>
      <c r="K2396">
        <v>0.83259911894273131</v>
      </c>
      <c r="L2396">
        <v>0.85135135135135132</v>
      </c>
      <c r="M2396" t="s">
        <v>60</v>
      </c>
      <c r="N2396" t="s">
        <v>5219</v>
      </c>
      <c r="O2396" t="s">
        <v>5220</v>
      </c>
      <c r="P2396">
        <v>1.3</v>
      </c>
    </row>
    <row r="2397" spans="1:16" x14ac:dyDescent="0.3">
      <c r="A2397" t="s">
        <v>30</v>
      </c>
      <c r="B2397" t="s">
        <v>26</v>
      </c>
      <c r="C2397" t="s">
        <v>27</v>
      </c>
      <c r="D2397" t="s">
        <v>363</v>
      </c>
      <c r="E2397" t="s">
        <v>569</v>
      </c>
      <c r="F2397" t="s">
        <v>11</v>
      </c>
      <c r="G2397" t="s">
        <v>646</v>
      </c>
      <c r="H2397" t="s">
        <v>572</v>
      </c>
      <c r="I2397">
        <v>57</v>
      </c>
      <c r="J2397">
        <v>0.84513274336283184</v>
      </c>
      <c r="K2397">
        <v>0.83043478260869563</v>
      </c>
      <c r="L2397">
        <v>0.86036036036036034</v>
      </c>
      <c r="M2397" t="s">
        <v>60</v>
      </c>
      <c r="N2397" t="s">
        <v>5221</v>
      </c>
      <c r="O2397" t="s">
        <v>5222</v>
      </c>
      <c r="P2397">
        <v>1.3</v>
      </c>
    </row>
    <row r="2398" spans="1:16" x14ac:dyDescent="0.3">
      <c r="A2398" t="s">
        <v>30</v>
      </c>
      <c r="B2398" t="s">
        <v>26</v>
      </c>
      <c r="C2398" t="s">
        <v>27</v>
      </c>
      <c r="D2398" t="s">
        <v>363</v>
      </c>
      <c r="E2398" t="s">
        <v>569</v>
      </c>
      <c r="F2398" t="s">
        <v>11</v>
      </c>
      <c r="G2398" t="s">
        <v>651</v>
      </c>
      <c r="H2398" t="s">
        <v>572</v>
      </c>
      <c r="I2398">
        <v>58</v>
      </c>
      <c r="J2398">
        <v>0.83668903803132</v>
      </c>
      <c r="K2398">
        <v>0.83111111111111113</v>
      </c>
      <c r="L2398">
        <v>0.84234234234234229</v>
      </c>
      <c r="M2398" t="s">
        <v>60</v>
      </c>
      <c r="N2398" t="s">
        <v>5223</v>
      </c>
      <c r="O2398" t="s">
        <v>5224</v>
      </c>
      <c r="P2398">
        <v>1.7</v>
      </c>
    </row>
    <row r="2399" spans="1:16" x14ac:dyDescent="0.3">
      <c r="A2399" t="s">
        <v>30</v>
      </c>
      <c r="B2399" t="s">
        <v>26</v>
      </c>
      <c r="C2399" t="s">
        <v>27</v>
      </c>
      <c r="D2399" t="s">
        <v>363</v>
      </c>
      <c r="E2399" t="s">
        <v>569</v>
      </c>
      <c r="F2399" t="s">
        <v>11</v>
      </c>
      <c r="G2399" t="s">
        <v>656</v>
      </c>
      <c r="H2399" t="s">
        <v>572</v>
      </c>
      <c r="I2399">
        <v>59</v>
      </c>
      <c r="J2399">
        <v>0.84140969162995594</v>
      </c>
      <c r="K2399">
        <v>0.82327586206896552</v>
      </c>
      <c r="L2399">
        <v>0.86036036036036034</v>
      </c>
      <c r="M2399" t="s">
        <v>60</v>
      </c>
      <c r="N2399" t="s">
        <v>5225</v>
      </c>
      <c r="O2399" t="s">
        <v>5226</v>
      </c>
      <c r="P2399">
        <v>1.3</v>
      </c>
    </row>
    <row r="2400" spans="1:16" x14ac:dyDescent="0.3">
      <c r="A2400" t="s">
        <v>30</v>
      </c>
      <c r="B2400" t="s">
        <v>26</v>
      </c>
      <c r="C2400" t="s">
        <v>27</v>
      </c>
      <c r="D2400" t="s">
        <v>363</v>
      </c>
      <c r="E2400" t="s">
        <v>569</v>
      </c>
      <c r="F2400" t="s">
        <v>11</v>
      </c>
      <c r="G2400" t="s">
        <v>661</v>
      </c>
      <c r="H2400" t="s">
        <v>572</v>
      </c>
      <c r="I2400">
        <v>60</v>
      </c>
      <c r="J2400">
        <v>0.8392857142857143</v>
      </c>
      <c r="K2400">
        <v>0.83185840707964598</v>
      </c>
      <c r="L2400">
        <v>0.84684684684684686</v>
      </c>
      <c r="M2400" t="s">
        <v>60</v>
      </c>
      <c r="N2400" t="s">
        <v>5227</v>
      </c>
      <c r="O2400" t="s">
        <v>5228</v>
      </c>
      <c r="P2400">
        <v>1.7</v>
      </c>
    </row>
    <row r="2401" spans="1:16" x14ac:dyDescent="0.3">
      <c r="A2401" t="s">
        <v>30</v>
      </c>
      <c r="B2401" t="s">
        <v>26</v>
      </c>
      <c r="C2401" t="s">
        <v>27</v>
      </c>
      <c r="D2401" t="s">
        <v>363</v>
      </c>
      <c r="E2401" t="s">
        <v>569</v>
      </c>
      <c r="F2401" t="s">
        <v>11</v>
      </c>
      <c r="G2401" t="s">
        <v>666</v>
      </c>
      <c r="H2401" t="s">
        <v>572</v>
      </c>
      <c r="I2401">
        <v>61</v>
      </c>
      <c r="J2401">
        <v>0.86230248306997748</v>
      </c>
      <c r="K2401">
        <v>0.86425339366515841</v>
      </c>
      <c r="L2401">
        <v>0.86036036036036034</v>
      </c>
      <c r="M2401" t="s">
        <v>60</v>
      </c>
      <c r="N2401" t="s">
        <v>5229</v>
      </c>
      <c r="O2401" t="s">
        <v>5230</v>
      </c>
      <c r="P2401">
        <v>1.3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8"/>
  <sheetViews>
    <sheetView topLeftCell="A19" workbookViewId="0"/>
  </sheetViews>
  <sheetFormatPr defaultRowHeight="14.4" x14ac:dyDescent="0.3"/>
  <cols>
    <col min="1" max="1" width="12.44140625" bestFit="1" customWidth="1"/>
    <col min="2" max="2" width="22.21875" bestFit="1" customWidth="1"/>
  </cols>
  <sheetData>
    <row r="1" spans="1:3" x14ac:dyDescent="0.3">
      <c r="A1" s="1" t="s">
        <v>5266</v>
      </c>
      <c r="B1" s="1" t="s">
        <v>5267</v>
      </c>
      <c r="C1" s="1" t="s">
        <v>5268</v>
      </c>
    </row>
    <row r="2" spans="1:3" x14ac:dyDescent="0.3">
      <c r="A2" t="s">
        <v>5269</v>
      </c>
      <c r="B2" t="s">
        <v>5270</v>
      </c>
      <c r="C2" t="s">
        <v>5271</v>
      </c>
    </row>
    <row r="3" spans="1:3" x14ac:dyDescent="0.3">
      <c r="A3" t="s">
        <v>5269</v>
      </c>
      <c r="B3" t="s">
        <v>5272</v>
      </c>
      <c r="C3" t="s">
        <v>5273</v>
      </c>
    </row>
    <row r="4" spans="1:3" x14ac:dyDescent="0.3">
      <c r="A4" t="s">
        <v>5274</v>
      </c>
      <c r="B4" t="s">
        <v>5275</v>
      </c>
      <c r="C4" t="s">
        <v>5276</v>
      </c>
    </row>
    <row r="5" spans="1:3" x14ac:dyDescent="0.3">
      <c r="A5" t="s">
        <v>5274</v>
      </c>
      <c r="B5" t="s">
        <v>5277</v>
      </c>
      <c r="C5" t="s">
        <v>5278</v>
      </c>
    </row>
    <row r="6" spans="1:3" x14ac:dyDescent="0.3">
      <c r="A6" t="s">
        <v>5279</v>
      </c>
      <c r="B6" t="s">
        <v>5280</v>
      </c>
      <c r="C6" t="s">
        <v>5281</v>
      </c>
    </row>
    <row r="7" spans="1:3" x14ac:dyDescent="0.3">
      <c r="A7" t="s">
        <v>5279</v>
      </c>
      <c r="B7" t="s">
        <v>5282</v>
      </c>
      <c r="C7" t="s">
        <v>5283</v>
      </c>
    </row>
    <row r="8" spans="1:3" x14ac:dyDescent="0.3">
      <c r="A8" t="s">
        <v>5279</v>
      </c>
      <c r="B8" t="s">
        <v>5284</v>
      </c>
      <c r="C8" t="s">
        <v>5285</v>
      </c>
    </row>
    <row r="9" spans="1:3" x14ac:dyDescent="0.3">
      <c r="A9" t="s">
        <v>5279</v>
      </c>
      <c r="B9" t="s">
        <v>5286</v>
      </c>
      <c r="C9" t="s">
        <v>5287</v>
      </c>
    </row>
    <row r="10" spans="1:3" x14ac:dyDescent="0.3">
      <c r="A10" t="s">
        <v>5288</v>
      </c>
      <c r="B10" t="s">
        <v>5289</v>
      </c>
      <c r="C10" t="s">
        <v>5290</v>
      </c>
    </row>
    <row r="11" spans="1:3" x14ac:dyDescent="0.3">
      <c r="A11" t="s">
        <v>5288</v>
      </c>
      <c r="B11" t="s">
        <v>5291</v>
      </c>
      <c r="C11" t="s">
        <v>5292</v>
      </c>
    </row>
    <row r="12" spans="1:3" x14ac:dyDescent="0.3">
      <c r="A12" t="s">
        <v>5293</v>
      </c>
      <c r="B12" t="s">
        <v>5294</v>
      </c>
      <c r="C12" t="s">
        <v>5295</v>
      </c>
    </row>
    <row r="13" spans="1:3" x14ac:dyDescent="0.3">
      <c r="A13" t="s">
        <v>5293</v>
      </c>
      <c r="B13" t="s">
        <v>5296</v>
      </c>
      <c r="C13" t="s">
        <v>5297</v>
      </c>
    </row>
    <row r="14" spans="1:3" x14ac:dyDescent="0.3">
      <c r="A14" t="s">
        <v>5293</v>
      </c>
      <c r="B14" t="s">
        <v>5298</v>
      </c>
      <c r="C14" t="s">
        <v>5299</v>
      </c>
    </row>
    <row r="15" spans="1:3" x14ac:dyDescent="0.3">
      <c r="A15" t="s">
        <v>5300</v>
      </c>
      <c r="B15" t="s">
        <v>5301</v>
      </c>
      <c r="C15" t="s">
        <v>5302</v>
      </c>
    </row>
    <row r="16" spans="1:3" x14ac:dyDescent="0.3">
      <c r="A16" t="s">
        <v>5300</v>
      </c>
      <c r="B16" t="s">
        <v>5303</v>
      </c>
      <c r="C16" t="s">
        <v>5304</v>
      </c>
    </row>
    <row r="17" spans="1:3" x14ac:dyDescent="0.3">
      <c r="A17" t="s">
        <v>5305</v>
      </c>
      <c r="B17" t="s">
        <v>5306</v>
      </c>
      <c r="C17" t="s">
        <v>5307</v>
      </c>
    </row>
    <row r="18" spans="1:3" x14ac:dyDescent="0.3">
      <c r="A18" t="s">
        <v>5308</v>
      </c>
      <c r="B18" t="s">
        <v>5309</v>
      </c>
      <c r="C18" t="s">
        <v>5310</v>
      </c>
    </row>
    <row r="19" spans="1:3" x14ac:dyDescent="0.3">
      <c r="A19" t="s">
        <v>5308</v>
      </c>
      <c r="B19" t="s">
        <v>5311</v>
      </c>
      <c r="C19" t="s">
        <v>5312</v>
      </c>
    </row>
    <row r="20" spans="1:3" x14ac:dyDescent="0.3">
      <c r="A20" t="s">
        <v>5308</v>
      </c>
      <c r="B20" t="s">
        <v>5313</v>
      </c>
      <c r="C20" t="s">
        <v>5314</v>
      </c>
    </row>
    <row r="21" spans="1:3" x14ac:dyDescent="0.3">
      <c r="A21" t="s">
        <v>5308</v>
      </c>
      <c r="B21" t="s">
        <v>5315</v>
      </c>
      <c r="C21" t="s">
        <v>5316</v>
      </c>
    </row>
    <row r="22" spans="1:3" x14ac:dyDescent="0.3">
      <c r="A22" t="s">
        <v>5308</v>
      </c>
      <c r="B22" t="s">
        <v>5317</v>
      </c>
      <c r="C22" t="s">
        <v>5318</v>
      </c>
    </row>
    <row r="23" spans="1:3" x14ac:dyDescent="0.3">
      <c r="A23" t="s">
        <v>5308</v>
      </c>
      <c r="B23" t="s">
        <v>5319</v>
      </c>
      <c r="C23" t="s">
        <v>5320</v>
      </c>
    </row>
    <row r="24" spans="1:3" x14ac:dyDescent="0.3">
      <c r="A24" t="s">
        <v>5308</v>
      </c>
      <c r="B24" t="s">
        <v>5321</v>
      </c>
      <c r="C24" t="s">
        <v>5322</v>
      </c>
    </row>
    <row r="25" spans="1:3" x14ac:dyDescent="0.3">
      <c r="A25" t="s">
        <v>5308</v>
      </c>
      <c r="B25" t="s">
        <v>5323</v>
      </c>
      <c r="C25" t="s">
        <v>5324</v>
      </c>
    </row>
    <row r="26" spans="1:3" x14ac:dyDescent="0.3">
      <c r="A26" t="s">
        <v>5325</v>
      </c>
      <c r="B26" t="s">
        <v>5326</v>
      </c>
      <c r="C26" t="s">
        <v>5327</v>
      </c>
    </row>
    <row r="27" spans="1:3" x14ac:dyDescent="0.3">
      <c r="A27" t="s">
        <v>5325</v>
      </c>
      <c r="B27" t="s">
        <v>5328</v>
      </c>
      <c r="C27" t="s">
        <v>5329</v>
      </c>
    </row>
    <row r="28" spans="1:3" x14ac:dyDescent="0.3">
      <c r="A28" t="s">
        <v>5325</v>
      </c>
      <c r="B28" t="s">
        <v>5330</v>
      </c>
      <c r="C28" t="s">
        <v>5331</v>
      </c>
    </row>
    <row r="29" spans="1:3" x14ac:dyDescent="0.3">
      <c r="A29" t="s">
        <v>5332</v>
      </c>
      <c r="B29" t="s">
        <v>5333</v>
      </c>
      <c r="C29" t="s">
        <v>5334</v>
      </c>
    </row>
    <row r="30" spans="1:3" x14ac:dyDescent="0.3">
      <c r="A30" t="s">
        <v>5332</v>
      </c>
      <c r="B30" t="s">
        <v>5335</v>
      </c>
      <c r="C30" t="s">
        <v>5336</v>
      </c>
    </row>
    <row r="31" spans="1:3" x14ac:dyDescent="0.3">
      <c r="A31" t="s">
        <v>5332</v>
      </c>
      <c r="B31" t="s">
        <v>5337</v>
      </c>
      <c r="C31" t="s">
        <v>5338</v>
      </c>
    </row>
    <row r="32" spans="1:3" x14ac:dyDescent="0.3">
      <c r="A32" t="s">
        <v>5332</v>
      </c>
      <c r="B32" t="s">
        <v>5339</v>
      </c>
      <c r="C32" t="s">
        <v>5340</v>
      </c>
    </row>
    <row r="33" spans="1:3" x14ac:dyDescent="0.3">
      <c r="A33" t="s">
        <v>5332</v>
      </c>
      <c r="B33" t="s">
        <v>5341</v>
      </c>
      <c r="C33" t="s">
        <v>5342</v>
      </c>
    </row>
    <row r="34" spans="1:3" x14ac:dyDescent="0.3">
      <c r="A34" t="s">
        <v>5332</v>
      </c>
      <c r="B34" t="s">
        <v>5343</v>
      </c>
      <c r="C34" t="s">
        <v>5344</v>
      </c>
    </row>
    <row r="35" spans="1:3" x14ac:dyDescent="0.3">
      <c r="A35" t="s">
        <v>5332</v>
      </c>
      <c r="B35" t="s">
        <v>5345</v>
      </c>
      <c r="C35" t="s">
        <v>5346</v>
      </c>
    </row>
    <row r="36" spans="1:3" x14ac:dyDescent="0.3">
      <c r="A36" t="s">
        <v>5332</v>
      </c>
      <c r="B36" t="s">
        <v>5347</v>
      </c>
      <c r="C36" t="s">
        <v>5348</v>
      </c>
    </row>
    <row r="37" spans="1:3" x14ac:dyDescent="0.3">
      <c r="A37" t="s">
        <v>5332</v>
      </c>
      <c r="B37" t="s">
        <v>5349</v>
      </c>
      <c r="C37" t="s">
        <v>5350</v>
      </c>
    </row>
    <row r="38" spans="1:3" x14ac:dyDescent="0.3">
      <c r="A38" t="s">
        <v>5332</v>
      </c>
      <c r="B38" t="s">
        <v>5351</v>
      </c>
      <c r="C38" t="s">
        <v>5352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W2401"/>
  <sheetViews>
    <sheetView workbookViewId="0">
      <selection activeCell="K1195" sqref="K1195"/>
    </sheetView>
  </sheetViews>
  <sheetFormatPr defaultRowHeight="14.4" x14ac:dyDescent="0.3"/>
  <cols>
    <col min="2" max="2" width="28" bestFit="1" customWidth="1"/>
    <col min="3" max="3" width="18" bestFit="1" customWidth="1"/>
    <col min="9" max="9" width="33" bestFit="1" customWidth="1"/>
    <col min="10" max="10" width="58.6640625" bestFit="1" customWidth="1"/>
    <col min="11" max="11" width="37.77734375" bestFit="1" customWidth="1"/>
    <col min="12" max="12" width="123.6640625" bestFit="1" customWidth="1"/>
  </cols>
  <sheetData>
    <row r="1" spans="1:23" x14ac:dyDescent="0.3">
      <c r="A1" s="1" t="s">
        <v>31</v>
      </c>
      <c r="B1" s="1" t="s">
        <v>32</v>
      </c>
      <c r="C1" s="1" t="s">
        <v>33</v>
      </c>
      <c r="D1" s="1" t="s">
        <v>1</v>
      </c>
      <c r="E1" s="1" t="s">
        <v>2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  <c r="W1" s="1" t="s">
        <v>51</v>
      </c>
    </row>
    <row r="2" spans="1:23" hidden="1" x14ac:dyDescent="0.3">
      <c r="A2" t="s">
        <v>52</v>
      </c>
      <c r="B2" t="s">
        <v>53</v>
      </c>
      <c r="C2" t="s">
        <v>17</v>
      </c>
      <c r="D2" t="s">
        <v>18</v>
      </c>
      <c r="E2" t="s">
        <v>19</v>
      </c>
      <c r="F2" t="s">
        <v>54</v>
      </c>
      <c r="G2" t="s">
        <v>55</v>
      </c>
      <c r="H2" t="s">
        <v>56</v>
      </c>
      <c r="I2" t="s">
        <v>7</v>
      </c>
      <c r="J2" t="s">
        <v>57</v>
      </c>
      <c r="K2" t="s">
        <v>58</v>
      </c>
      <c r="L2" t="s">
        <v>59</v>
      </c>
      <c r="M2">
        <v>42</v>
      </c>
      <c r="N2" t="b">
        <v>1</v>
      </c>
      <c r="O2">
        <v>0.71887550200803207</v>
      </c>
      <c r="P2">
        <v>0.66791044776119401</v>
      </c>
      <c r="Q2">
        <v>0.77826086956521734</v>
      </c>
      <c r="R2" t="s">
        <v>60</v>
      </c>
      <c r="S2" t="s">
        <v>61</v>
      </c>
      <c r="T2" t="s">
        <v>62</v>
      </c>
      <c r="U2" t="b">
        <v>0</v>
      </c>
      <c r="V2" t="s">
        <v>63</v>
      </c>
      <c r="W2">
        <v>69.599999999999994</v>
      </c>
    </row>
    <row r="3" spans="1:23" hidden="1" x14ac:dyDescent="0.3">
      <c r="A3" t="s">
        <v>52</v>
      </c>
      <c r="B3" t="s">
        <v>53</v>
      </c>
      <c r="C3" t="s">
        <v>17</v>
      </c>
      <c r="D3" t="s">
        <v>18</v>
      </c>
      <c r="E3" t="s">
        <v>19</v>
      </c>
      <c r="F3" t="s">
        <v>54</v>
      </c>
      <c r="G3" t="s">
        <v>159</v>
      </c>
      <c r="H3" t="s">
        <v>160</v>
      </c>
      <c r="I3" t="s">
        <v>3</v>
      </c>
      <c r="J3" t="s">
        <v>161</v>
      </c>
      <c r="K3" t="s">
        <v>162</v>
      </c>
      <c r="L3" t="s">
        <v>163</v>
      </c>
      <c r="M3">
        <v>42</v>
      </c>
      <c r="N3" t="b">
        <v>0</v>
      </c>
      <c r="O3">
        <v>0.75409836065573765</v>
      </c>
      <c r="P3">
        <v>0.70050761421319796</v>
      </c>
      <c r="Q3">
        <v>0.81656804733727806</v>
      </c>
      <c r="R3" t="s">
        <v>60</v>
      </c>
      <c r="S3" t="s">
        <v>164</v>
      </c>
      <c r="T3" t="s">
        <v>165</v>
      </c>
      <c r="U3" t="b">
        <v>0</v>
      </c>
      <c r="V3" t="s">
        <v>63</v>
      </c>
      <c r="W3">
        <v>65.400000000000006</v>
      </c>
    </row>
    <row r="4" spans="1:23" hidden="1" x14ac:dyDescent="0.3">
      <c r="A4" t="s">
        <v>52</v>
      </c>
      <c r="B4" t="s">
        <v>53</v>
      </c>
      <c r="C4" t="s">
        <v>17</v>
      </c>
      <c r="D4" t="s">
        <v>18</v>
      </c>
      <c r="E4" t="s">
        <v>19</v>
      </c>
      <c r="F4" t="s">
        <v>54</v>
      </c>
      <c r="G4" t="s">
        <v>261</v>
      </c>
      <c r="H4" t="s">
        <v>262</v>
      </c>
      <c r="I4" t="s">
        <v>5</v>
      </c>
      <c r="J4" t="s">
        <v>263</v>
      </c>
      <c r="K4" t="s">
        <v>264</v>
      </c>
      <c r="L4" t="s">
        <v>265</v>
      </c>
      <c r="M4">
        <v>42</v>
      </c>
      <c r="N4" t="b">
        <v>0</v>
      </c>
      <c r="O4">
        <v>0.7379912663755458</v>
      </c>
      <c r="P4">
        <v>0.71610169491525422</v>
      </c>
      <c r="Q4">
        <v>0.76126126126126126</v>
      </c>
      <c r="R4" t="s">
        <v>60</v>
      </c>
      <c r="S4" t="s">
        <v>266</v>
      </c>
      <c r="T4" t="s">
        <v>267</v>
      </c>
      <c r="U4" t="b">
        <v>0</v>
      </c>
      <c r="V4" t="s">
        <v>63</v>
      </c>
      <c r="W4">
        <v>67.3</v>
      </c>
    </row>
    <row r="5" spans="1:23" hidden="1" x14ac:dyDescent="0.3">
      <c r="A5" t="s">
        <v>52</v>
      </c>
      <c r="B5" t="s">
        <v>53</v>
      </c>
      <c r="C5" t="s">
        <v>17</v>
      </c>
      <c r="D5" t="s">
        <v>18</v>
      </c>
      <c r="E5" t="s">
        <v>19</v>
      </c>
      <c r="F5" t="s">
        <v>363</v>
      </c>
      <c r="G5" t="s">
        <v>364</v>
      </c>
      <c r="H5" t="s">
        <v>365</v>
      </c>
      <c r="I5" t="s">
        <v>13</v>
      </c>
      <c r="J5" t="s">
        <v>366</v>
      </c>
      <c r="K5" t="s">
        <v>367</v>
      </c>
      <c r="L5" t="s">
        <v>368</v>
      </c>
      <c r="M5">
        <v>42</v>
      </c>
      <c r="N5" t="b">
        <v>0</v>
      </c>
      <c r="O5">
        <v>0.8</v>
      </c>
      <c r="P5">
        <v>0.76800000000000002</v>
      </c>
      <c r="Q5">
        <v>0.83478260869565213</v>
      </c>
      <c r="R5" t="s">
        <v>60</v>
      </c>
      <c r="S5" t="s">
        <v>369</v>
      </c>
      <c r="T5" t="s">
        <v>370</v>
      </c>
      <c r="U5" t="b">
        <v>0</v>
      </c>
      <c r="V5" t="s">
        <v>63</v>
      </c>
      <c r="W5">
        <v>327.9</v>
      </c>
    </row>
    <row r="6" spans="1:23" hidden="1" x14ac:dyDescent="0.3">
      <c r="A6" t="s">
        <v>52</v>
      </c>
      <c r="B6" t="s">
        <v>53</v>
      </c>
      <c r="C6" t="s">
        <v>17</v>
      </c>
      <c r="D6" t="s">
        <v>18</v>
      </c>
      <c r="E6" t="s">
        <v>19</v>
      </c>
      <c r="F6" t="s">
        <v>363</v>
      </c>
      <c r="G6" t="s">
        <v>466</v>
      </c>
      <c r="H6" t="s">
        <v>467</v>
      </c>
      <c r="I6" t="s">
        <v>9</v>
      </c>
      <c r="J6" t="s">
        <v>468</v>
      </c>
      <c r="K6" t="s">
        <v>469</v>
      </c>
      <c r="L6" t="s">
        <v>470</v>
      </c>
      <c r="M6">
        <v>42</v>
      </c>
      <c r="N6" t="b">
        <v>0</v>
      </c>
      <c r="O6">
        <v>0.79886685552407932</v>
      </c>
      <c r="P6">
        <v>0.76630434782608692</v>
      </c>
      <c r="Q6">
        <v>0.83431952662721898</v>
      </c>
      <c r="R6" t="s">
        <v>60</v>
      </c>
      <c r="S6" t="s">
        <v>471</v>
      </c>
      <c r="T6" t="s">
        <v>472</v>
      </c>
      <c r="U6" t="b">
        <v>0</v>
      </c>
      <c r="V6" t="s">
        <v>63</v>
      </c>
      <c r="W6">
        <v>329.6</v>
      </c>
    </row>
    <row r="7" spans="1:23" hidden="1" x14ac:dyDescent="0.3">
      <c r="A7" t="s">
        <v>52</v>
      </c>
      <c r="B7" t="s">
        <v>53</v>
      </c>
      <c r="C7" t="s">
        <v>17</v>
      </c>
      <c r="D7" t="s">
        <v>18</v>
      </c>
      <c r="E7" t="s">
        <v>19</v>
      </c>
      <c r="F7" t="s">
        <v>363</v>
      </c>
      <c r="G7" t="s">
        <v>568</v>
      </c>
      <c r="H7" t="s">
        <v>569</v>
      </c>
      <c r="I7" t="s">
        <v>11</v>
      </c>
      <c r="J7" t="s">
        <v>570</v>
      </c>
      <c r="K7" t="s">
        <v>571</v>
      </c>
      <c r="L7" t="s">
        <v>572</v>
      </c>
      <c r="M7">
        <v>42</v>
      </c>
      <c r="N7" t="b">
        <v>0</v>
      </c>
      <c r="O7">
        <v>0.78761061946902655</v>
      </c>
      <c r="P7">
        <v>0.77391304347826084</v>
      </c>
      <c r="Q7">
        <v>0.80180180180180183</v>
      </c>
      <c r="R7" t="s">
        <v>60</v>
      </c>
      <c r="S7" t="s">
        <v>573</v>
      </c>
      <c r="T7" t="s">
        <v>574</v>
      </c>
      <c r="U7" t="b">
        <v>0</v>
      </c>
      <c r="V7" t="s">
        <v>63</v>
      </c>
      <c r="W7">
        <v>234.9</v>
      </c>
    </row>
    <row r="8" spans="1:23" hidden="1" x14ac:dyDescent="0.3">
      <c r="A8" t="s">
        <v>52</v>
      </c>
      <c r="B8" t="s">
        <v>53</v>
      </c>
      <c r="C8" t="s">
        <v>17</v>
      </c>
      <c r="D8" t="s">
        <v>18</v>
      </c>
      <c r="E8" t="s">
        <v>19</v>
      </c>
      <c r="F8" t="s">
        <v>54</v>
      </c>
      <c r="G8" t="s">
        <v>64</v>
      </c>
      <c r="H8" t="s">
        <v>56</v>
      </c>
      <c r="I8" t="s">
        <v>7</v>
      </c>
      <c r="J8" t="s">
        <v>65</v>
      </c>
      <c r="K8" t="s">
        <v>66</v>
      </c>
      <c r="L8" t="s">
        <v>59</v>
      </c>
      <c r="M8">
        <v>43</v>
      </c>
      <c r="N8" t="b">
        <v>1</v>
      </c>
      <c r="O8">
        <v>0.66933867735470953</v>
      </c>
      <c r="P8">
        <v>0.620817843866171</v>
      </c>
      <c r="Q8">
        <v>0.72608695652173916</v>
      </c>
      <c r="R8" t="s">
        <v>60</v>
      </c>
      <c r="S8" t="s">
        <v>67</v>
      </c>
      <c r="T8" t="s">
        <v>68</v>
      </c>
      <c r="U8" t="b">
        <v>0</v>
      </c>
      <c r="V8" t="s">
        <v>63</v>
      </c>
      <c r="W8">
        <v>119.2</v>
      </c>
    </row>
    <row r="9" spans="1:23" hidden="1" x14ac:dyDescent="0.3">
      <c r="A9" t="s">
        <v>52</v>
      </c>
      <c r="B9" t="s">
        <v>53</v>
      </c>
      <c r="C9" t="s">
        <v>17</v>
      </c>
      <c r="D9" t="s">
        <v>18</v>
      </c>
      <c r="E9" t="s">
        <v>19</v>
      </c>
      <c r="F9" t="s">
        <v>54</v>
      </c>
      <c r="G9" t="s">
        <v>166</v>
      </c>
      <c r="H9" t="s">
        <v>160</v>
      </c>
      <c r="I9" t="s">
        <v>3</v>
      </c>
      <c r="J9" t="s">
        <v>167</v>
      </c>
      <c r="K9" t="s">
        <v>168</v>
      </c>
      <c r="L9" t="s">
        <v>163</v>
      </c>
      <c r="M9">
        <v>43</v>
      </c>
      <c r="N9" t="b">
        <v>0</v>
      </c>
      <c r="O9">
        <v>0.75409836065573765</v>
      </c>
      <c r="P9">
        <v>0.70050761421319796</v>
      </c>
      <c r="Q9">
        <v>0.81656804733727806</v>
      </c>
      <c r="R9" t="s">
        <v>60</v>
      </c>
      <c r="S9" t="s">
        <v>169</v>
      </c>
      <c r="T9" t="s">
        <v>170</v>
      </c>
      <c r="U9" t="b">
        <v>0</v>
      </c>
      <c r="V9" t="s">
        <v>63</v>
      </c>
      <c r="W9">
        <v>64.400000000000006</v>
      </c>
    </row>
    <row r="10" spans="1:23" hidden="1" x14ac:dyDescent="0.3">
      <c r="A10" t="s">
        <v>52</v>
      </c>
      <c r="B10" t="s">
        <v>53</v>
      </c>
      <c r="C10" t="s">
        <v>17</v>
      </c>
      <c r="D10" t="s">
        <v>18</v>
      </c>
      <c r="E10" t="s">
        <v>19</v>
      </c>
      <c r="F10" t="s">
        <v>54</v>
      </c>
      <c r="G10" t="s">
        <v>268</v>
      </c>
      <c r="H10" t="s">
        <v>262</v>
      </c>
      <c r="I10" t="s">
        <v>5</v>
      </c>
      <c r="J10" t="s">
        <v>269</v>
      </c>
      <c r="K10" t="s">
        <v>270</v>
      </c>
      <c r="L10" t="s">
        <v>265</v>
      </c>
      <c r="M10">
        <v>43</v>
      </c>
      <c r="N10" t="b">
        <v>0</v>
      </c>
      <c r="O10">
        <v>0.7379912663755458</v>
      </c>
      <c r="P10">
        <v>0.71610169491525422</v>
      </c>
      <c r="Q10">
        <v>0.76126126126126126</v>
      </c>
      <c r="R10" t="s">
        <v>60</v>
      </c>
      <c r="S10" t="s">
        <v>271</v>
      </c>
      <c r="T10" t="s">
        <v>272</v>
      </c>
      <c r="U10" t="b">
        <v>0</v>
      </c>
      <c r="V10" t="s">
        <v>63</v>
      </c>
      <c r="W10">
        <v>64.599999999999994</v>
      </c>
    </row>
    <row r="11" spans="1:23" hidden="1" x14ac:dyDescent="0.3">
      <c r="A11" t="s">
        <v>52</v>
      </c>
      <c r="B11" t="s">
        <v>53</v>
      </c>
      <c r="C11" t="s">
        <v>17</v>
      </c>
      <c r="D11" t="s">
        <v>18</v>
      </c>
      <c r="E11" t="s">
        <v>19</v>
      </c>
      <c r="F11" t="s">
        <v>363</v>
      </c>
      <c r="G11" t="s">
        <v>371</v>
      </c>
      <c r="H11" t="s">
        <v>365</v>
      </c>
      <c r="I11" t="s">
        <v>13</v>
      </c>
      <c r="J11" t="s">
        <v>372</v>
      </c>
      <c r="K11" t="s">
        <v>373</v>
      </c>
      <c r="L11" t="s">
        <v>368</v>
      </c>
      <c r="M11">
        <v>43</v>
      </c>
      <c r="N11" t="b">
        <v>0</v>
      </c>
      <c r="O11">
        <v>0.78131634819532914</v>
      </c>
      <c r="P11">
        <v>0.76348547717842319</v>
      </c>
      <c r="Q11">
        <v>0.8</v>
      </c>
      <c r="R11" t="s">
        <v>60</v>
      </c>
      <c r="S11" t="s">
        <v>374</v>
      </c>
      <c r="T11" t="s">
        <v>375</v>
      </c>
      <c r="U11" t="b">
        <v>0</v>
      </c>
      <c r="V11" t="s">
        <v>63</v>
      </c>
      <c r="W11">
        <v>274.5</v>
      </c>
    </row>
    <row r="12" spans="1:23" hidden="1" x14ac:dyDescent="0.3">
      <c r="A12" t="s">
        <v>52</v>
      </c>
      <c r="B12" t="s">
        <v>53</v>
      </c>
      <c r="C12" t="s">
        <v>17</v>
      </c>
      <c r="D12" t="s">
        <v>18</v>
      </c>
      <c r="E12" t="s">
        <v>19</v>
      </c>
      <c r="F12" t="s">
        <v>363</v>
      </c>
      <c r="G12" t="s">
        <v>473</v>
      </c>
      <c r="H12" t="s">
        <v>467</v>
      </c>
      <c r="I12" t="s">
        <v>9</v>
      </c>
      <c r="J12" t="s">
        <v>474</v>
      </c>
      <c r="K12" t="s">
        <v>475</v>
      </c>
      <c r="L12" t="s">
        <v>470</v>
      </c>
      <c r="M12">
        <v>43</v>
      </c>
      <c r="N12" t="b">
        <v>0</v>
      </c>
      <c r="O12">
        <v>0.80112044817927164</v>
      </c>
      <c r="P12">
        <v>0.76063829787234039</v>
      </c>
      <c r="Q12">
        <v>0.84615384615384615</v>
      </c>
      <c r="R12" t="s">
        <v>60</v>
      </c>
      <c r="S12" t="s">
        <v>476</v>
      </c>
      <c r="T12" t="s">
        <v>477</v>
      </c>
      <c r="U12" t="b">
        <v>0</v>
      </c>
      <c r="V12" t="s">
        <v>63</v>
      </c>
      <c r="W12">
        <v>267.8</v>
      </c>
    </row>
    <row r="13" spans="1:23" hidden="1" x14ac:dyDescent="0.3">
      <c r="A13" t="s">
        <v>52</v>
      </c>
      <c r="B13" t="s">
        <v>53</v>
      </c>
      <c r="C13" t="s">
        <v>17</v>
      </c>
      <c r="D13" t="s">
        <v>18</v>
      </c>
      <c r="E13" t="s">
        <v>19</v>
      </c>
      <c r="F13" t="s">
        <v>363</v>
      </c>
      <c r="G13" t="s">
        <v>575</v>
      </c>
      <c r="H13" t="s">
        <v>569</v>
      </c>
      <c r="I13" t="s">
        <v>11</v>
      </c>
      <c r="J13" t="s">
        <v>576</v>
      </c>
      <c r="K13" t="s">
        <v>577</v>
      </c>
      <c r="L13" t="s">
        <v>572</v>
      </c>
      <c r="M13">
        <v>43</v>
      </c>
      <c r="N13" t="b">
        <v>0</v>
      </c>
      <c r="O13">
        <v>0.7911111111111111</v>
      </c>
      <c r="P13">
        <v>0.7807017543859649</v>
      </c>
      <c r="Q13">
        <v>0.80180180180180183</v>
      </c>
      <c r="R13" t="s">
        <v>60</v>
      </c>
      <c r="S13" t="s">
        <v>578</v>
      </c>
      <c r="T13" t="s">
        <v>579</v>
      </c>
      <c r="U13" t="b">
        <v>0</v>
      </c>
      <c r="V13" t="s">
        <v>63</v>
      </c>
      <c r="W13">
        <v>263</v>
      </c>
    </row>
    <row r="14" spans="1:23" hidden="1" x14ac:dyDescent="0.3">
      <c r="A14" t="s">
        <v>52</v>
      </c>
      <c r="B14" t="s">
        <v>53</v>
      </c>
      <c r="C14" t="s">
        <v>17</v>
      </c>
      <c r="D14" t="s">
        <v>18</v>
      </c>
      <c r="E14" t="s">
        <v>19</v>
      </c>
      <c r="F14" t="s">
        <v>54</v>
      </c>
      <c r="G14" t="s">
        <v>69</v>
      </c>
      <c r="H14" t="s">
        <v>56</v>
      </c>
      <c r="I14" t="s">
        <v>7</v>
      </c>
      <c r="J14" t="s">
        <v>70</v>
      </c>
      <c r="K14" t="s">
        <v>71</v>
      </c>
      <c r="L14" t="s">
        <v>59</v>
      </c>
      <c r="M14">
        <v>44</v>
      </c>
      <c r="N14" t="b">
        <v>1</v>
      </c>
      <c r="O14">
        <v>0.66933867735470953</v>
      </c>
      <c r="P14">
        <v>0.620817843866171</v>
      </c>
      <c r="Q14">
        <v>0.72608695652173916</v>
      </c>
      <c r="R14" t="s">
        <v>60</v>
      </c>
      <c r="S14" t="s">
        <v>72</v>
      </c>
      <c r="T14" t="s">
        <v>73</v>
      </c>
      <c r="U14" t="b">
        <v>0</v>
      </c>
      <c r="V14" t="s">
        <v>63</v>
      </c>
      <c r="W14">
        <v>159.5</v>
      </c>
    </row>
    <row r="15" spans="1:23" hidden="1" x14ac:dyDescent="0.3">
      <c r="A15" t="s">
        <v>52</v>
      </c>
      <c r="B15" t="s">
        <v>53</v>
      </c>
      <c r="C15" t="s">
        <v>17</v>
      </c>
      <c r="D15" t="s">
        <v>18</v>
      </c>
      <c r="E15" t="s">
        <v>19</v>
      </c>
      <c r="F15" t="s">
        <v>54</v>
      </c>
      <c r="G15" t="s">
        <v>171</v>
      </c>
      <c r="H15" t="s">
        <v>160</v>
      </c>
      <c r="I15" t="s">
        <v>3</v>
      </c>
      <c r="J15" t="s">
        <v>172</v>
      </c>
      <c r="K15" t="s">
        <v>173</v>
      </c>
      <c r="L15" t="s">
        <v>163</v>
      </c>
      <c r="M15">
        <v>44</v>
      </c>
      <c r="N15" t="b">
        <v>0</v>
      </c>
      <c r="O15">
        <v>0.75409836065573765</v>
      </c>
      <c r="P15">
        <v>0.70050761421319796</v>
      </c>
      <c r="Q15">
        <v>0.81656804733727806</v>
      </c>
      <c r="R15" t="s">
        <v>60</v>
      </c>
      <c r="S15" t="s">
        <v>174</v>
      </c>
      <c r="T15" t="s">
        <v>175</v>
      </c>
      <c r="U15" t="b">
        <v>0</v>
      </c>
      <c r="V15" t="s">
        <v>63</v>
      </c>
      <c r="W15">
        <v>63</v>
      </c>
    </row>
    <row r="16" spans="1:23" hidden="1" x14ac:dyDescent="0.3">
      <c r="A16" t="s">
        <v>52</v>
      </c>
      <c r="B16" t="s">
        <v>53</v>
      </c>
      <c r="C16" t="s">
        <v>17</v>
      </c>
      <c r="D16" t="s">
        <v>18</v>
      </c>
      <c r="E16" t="s">
        <v>19</v>
      </c>
      <c r="F16" t="s">
        <v>54</v>
      </c>
      <c r="G16" t="s">
        <v>273</v>
      </c>
      <c r="H16" t="s">
        <v>262</v>
      </c>
      <c r="I16" t="s">
        <v>5</v>
      </c>
      <c r="J16" t="s">
        <v>274</v>
      </c>
      <c r="K16" t="s">
        <v>275</v>
      </c>
      <c r="L16" t="s">
        <v>265</v>
      </c>
      <c r="M16">
        <v>44</v>
      </c>
      <c r="N16" t="b">
        <v>0</v>
      </c>
      <c r="O16">
        <v>0.7379912663755458</v>
      </c>
      <c r="P16">
        <v>0.71610169491525422</v>
      </c>
      <c r="Q16">
        <v>0.76126126126126126</v>
      </c>
      <c r="R16" t="s">
        <v>60</v>
      </c>
      <c r="S16" t="s">
        <v>276</v>
      </c>
      <c r="T16" t="s">
        <v>277</v>
      </c>
      <c r="U16" t="b">
        <v>0</v>
      </c>
      <c r="V16" t="s">
        <v>63</v>
      </c>
      <c r="W16">
        <v>65</v>
      </c>
    </row>
    <row r="17" spans="1:23" hidden="1" x14ac:dyDescent="0.3">
      <c r="A17" t="s">
        <v>52</v>
      </c>
      <c r="B17" t="s">
        <v>53</v>
      </c>
      <c r="C17" t="s">
        <v>17</v>
      </c>
      <c r="D17" t="s">
        <v>18</v>
      </c>
      <c r="E17" t="s">
        <v>19</v>
      </c>
      <c r="F17" t="s">
        <v>363</v>
      </c>
      <c r="G17" t="s">
        <v>376</v>
      </c>
      <c r="H17" t="s">
        <v>365</v>
      </c>
      <c r="I17" t="s">
        <v>13</v>
      </c>
      <c r="J17" t="s">
        <v>377</v>
      </c>
      <c r="K17" t="s">
        <v>378</v>
      </c>
      <c r="L17" t="s">
        <v>368</v>
      </c>
      <c r="M17">
        <v>44</v>
      </c>
      <c r="N17" t="b">
        <v>0</v>
      </c>
      <c r="O17">
        <v>0.77310924369747902</v>
      </c>
      <c r="P17">
        <v>0.74796747967479671</v>
      </c>
      <c r="Q17">
        <v>0.8</v>
      </c>
      <c r="R17" t="s">
        <v>60</v>
      </c>
      <c r="S17" t="s">
        <v>379</v>
      </c>
      <c r="T17" t="s">
        <v>380</v>
      </c>
      <c r="U17" t="b">
        <v>0</v>
      </c>
      <c r="V17" t="s">
        <v>63</v>
      </c>
      <c r="W17">
        <v>254</v>
      </c>
    </row>
    <row r="18" spans="1:23" hidden="1" x14ac:dyDescent="0.3">
      <c r="A18" t="s">
        <v>52</v>
      </c>
      <c r="B18" t="s">
        <v>53</v>
      </c>
      <c r="C18" t="s">
        <v>17</v>
      </c>
      <c r="D18" t="s">
        <v>18</v>
      </c>
      <c r="E18" t="s">
        <v>19</v>
      </c>
      <c r="F18" t="s">
        <v>363</v>
      </c>
      <c r="G18" t="s">
        <v>478</v>
      </c>
      <c r="H18" t="s">
        <v>467</v>
      </c>
      <c r="I18" t="s">
        <v>9</v>
      </c>
      <c r="J18" t="s">
        <v>479</v>
      </c>
      <c r="K18" t="s">
        <v>480</v>
      </c>
      <c r="L18" t="s">
        <v>470</v>
      </c>
      <c r="M18">
        <v>44</v>
      </c>
      <c r="N18" t="b">
        <v>0</v>
      </c>
      <c r="O18">
        <v>0.78888888888888897</v>
      </c>
      <c r="P18">
        <v>0.74345549738219896</v>
      </c>
      <c r="Q18">
        <v>0.84023668639053251</v>
      </c>
      <c r="R18" t="s">
        <v>60</v>
      </c>
      <c r="S18" t="s">
        <v>481</v>
      </c>
      <c r="T18" t="s">
        <v>482</v>
      </c>
      <c r="U18" t="b">
        <v>0</v>
      </c>
      <c r="V18" t="s">
        <v>63</v>
      </c>
      <c r="W18">
        <v>296.3</v>
      </c>
    </row>
    <row r="19" spans="1:23" hidden="1" x14ac:dyDescent="0.3">
      <c r="A19" t="s">
        <v>52</v>
      </c>
      <c r="B19" t="s">
        <v>53</v>
      </c>
      <c r="C19" t="s">
        <v>17</v>
      </c>
      <c r="D19" t="s">
        <v>18</v>
      </c>
      <c r="E19" t="s">
        <v>19</v>
      </c>
      <c r="F19" t="s">
        <v>363</v>
      </c>
      <c r="G19" t="s">
        <v>580</v>
      </c>
      <c r="H19" t="s">
        <v>569</v>
      </c>
      <c r="I19" t="s">
        <v>11</v>
      </c>
      <c r="J19" t="s">
        <v>581</v>
      </c>
      <c r="K19" t="s">
        <v>582</v>
      </c>
      <c r="L19" t="s">
        <v>572</v>
      </c>
      <c r="M19">
        <v>44</v>
      </c>
      <c r="N19" t="b">
        <v>0</v>
      </c>
      <c r="O19">
        <v>0.80995475113122184</v>
      </c>
      <c r="P19">
        <v>0.8136363636363636</v>
      </c>
      <c r="Q19">
        <v>0.80630630630630629</v>
      </c>
      <c r="R19" t="s">
        <v>60</v>
      </c>
      <c r="S19" t="s">
        <v>583</v>
      </c>
      <c r="T19" t="s">
        <v>584</v>
      </c>
      <c r="U19" t="b">
        <v>0</v>
      </c>
      <c r="V19" t="s">
        <v>63</v>
      </c>
      <c r="W19">
        <v>265.5</v>
      </c>
    </row>
    <row r="20" spans="1:23" hidden="1" x14ac:dyDescent="0.3">
      <c r="A20" t="s">
        <v>52</v>
      </c>
      <c r="B20" t="s">
        <v>53</v>
      </c>
      <c r="C20" t="s">
        <v>17</v>
      </c>
      <c r="D20" t="s">
        <v>18</v>
      </c>
      <c r="E20" t="s">
        <v>19</v>
      </c>
      <c r="F20" t="s">
        <v>54</v>
      </c>
      <c r="G20" t="s">
        <v>74</v>
      </c>
      <c r="H20" t="s">
        <v>56</v>
      </c>
      <c r="I20" t="s">
        <v>7</v>
      </c>
      <c r="J20" t="s">
        <v>75</v>
      </c>
      <c r="K20" t="s">
        <v>76</v>
      </c>
      <c r="L20" t="s">
        <v>59</v>
      </c>
      <c r="M20">
        <v>45</v>
      </c>
      <c r="N20" t="b">
        <v>1</v>
      </c>
      <c r="O20">
        <v>0.66933867735470953</v>
      </c>
      <c r="P20">
        <v>0.620817843866171</v>
      </c>
      <c r="Q20">
        <v>0.72608695652173916</v>
      </c>
      <c r="R20" t="s">
        <v>60</v>
      </c>
      <c r="S20" t="s">
        <v>77</v>
      </c>
      <c r="T20" t="s">
        <v>78</v>
      </c>
      <c r="U20" t="b">
        <v>0</v>
      </c>
      <c r="V20" t="s">
        <v>63</v>
      </c>
      <c r="W20">
        <v>155.6</v>
      </c>
    </row>
    <row r="21" spans="1:23" hidden="1" x14ac:dyDescent="0.3">
      <c r="A21" t="s">
        <v>52</v>
      </c>
      <c r="B21" t="s">
        <v>53</v>
      </c>
      <c r="C21" t="s">
        <v>17</v>
      </c>
      <c r="D21" t="s">
        <v>18</v>
      </c>
      <c r="E21" t="s">
        <v>19</v>
      </c>
      <c r="F21" t="s">
        <v>54</v>
      </c>
      <c r="G21" t="s">
        <v>176</v>
      </c>
      <c r="H21" t="s">
        <v>160</v>
      </c>
      <c r="I21" t="s">
        <v>3</v>
      </c>
      <c r="J21" t="s">
        <v>177</v>
      </c>
      <c r="K21" t="s">
        <v>178</v>
      </c>
      <c r="L21" t="s">
        <v>163</v>
      </c>
      <c r="M21">
        <v>45</v>
      </c>
      <c r="N21" t="b">
        <v>0</v>
      </c>
      <c r="O21">
        <v>0.75409836065573765</v>
      </c>
      <c r="P21">
        <v>0.70050761421319796</v>
      </c>
      <c r="Q21">
        <v>0.81656804733727806</v>
      </c>
      <c r="R21" t="s">
        <v>60</v>
      </c>
      <c r="S21" t="s">
        <v>179</v>
      </c>
      <c r="T21" t="s">
        <v>180</v>
      </c>
      <c r="U21" t="b">
        <v>0</v>
      </c>
      <c r="V21" t="s">
        <v>63</v>
      </c>
      <c r="W21">
        <v>64.5</v>
      </c>
    </row>
    <row r="22" spans="1:23" hidden="1" x14ac:dyDescent="0.3">
      <c r="A22" t="s">
        <v>52</v>
      </c>
      <c r="B22" t="s">
        <v>53</v>
      </c>
      <c r="C22" t="s">
        <v>17</v>
      </c>
      <c r="D22" t="s">
        <v>18</v>
      </c>
      <c r="E22" t="s">
        <v>19</v>
      </c>
      <c r="F22" t="s">
        <v>54</v>
      </c>
      <c r="G22" t="s">
        <v>278</v>
      </c>
      <c r="H22" t="s">
        <v>262</v>
      </c>
      <c r="I22" t="s">
        <v>5</v>
      </c>
      <c r="J22" t="s">
        <v>279</v>
      </c>
      <c r="K22" t="s">
        <v>280</v>
      </c>
      <c r="L22" t="s">
        <v>265</v>
      </c>
      <c r="M22">
        <v>45</v>
      </c>
      <c r="N22" t="b">
        <v>0</v>
      </c>
      <c r="O22">
        <v>0.7379912663755458</v>
      </c>
      <c r="P22">
        <v>0.71610169491525422</v>
      </c>
      <c r="Q22">
        <v>0.76126126126126126</v>
      </c>
      <c r="R22" t="s">
        <v>60</v>
      </c>
      <c r="S22" t="s">
        <v>281</v>
      </c>
      <c r="T22" t="s">
        <v>282</v>
      </c>
      <c r="U22" t="b">
        <v>0</v>
      </c>
      <c r="V22" t="s">
        <v>63</v>
      </c>
      <c r="W22">
        <v>65.7</v>
      </c>
    </row>
    <row r="23" spans="1:23" hidden="1" x14ac:dyDescent="0.3">
      <c r="A23" t="s">
        <v>52</v>
      </c>
      <c r="B23" t="s">
        <v>53</v>
      </c>
      <c r="C23" t="s">
        <v>17</v>
      </c>
      <c r="D23" t="s">
        <v>18</v>
      </c>
      <c r="E23" t="s">
        <v>19</v>
      </c>
      <c r="F23" t="s">
        <v>363</v>
      </c>
      <c r="G23" t="s">
        <v>381</v>
      </c>
      <c r="H23" t="s">
        <v>365</v>
      </c>
      <c r="I23" t="s">
        <v>13</v>
      </c>
      <c r="J23" t="s">
        <v>382</v>
      </c>
      <c r="K23" t="s">
        <v>383</v>
      </c>
      <c r="L23" t="s">
        <v>368</v>
      </c>
      <c r="M23">
        <v>45</v>
      </c>
      <c r="N23" t="b">
        <v>0</v>
      </c>
      <c r="O23">
        <v>0.77338877338877343</v>
      </c>
      <c r="P23">
        <v>0.74103585657370519</v>
      </c>
      <c r="Q23">
        <v>0.80869565217391304</v>
      </c>
      <c r="R23" t="s">
        <v>60</v>
      </c>
      <c r="S23" t="s">
        <v>384</v>
      </c>
      <c r="T23" t="s">
        <v>385</v>
      </c>
      <c r="U23" t="b">
        <v>0</v>
      </c>
      <c r="V23" t="s">
        <v>63</v>
      </c>
      <c r="W23">
        <v>329.3</v>
      </c>
    </row>
    <row r="24" spans="1:23" hidden="1" x14ac:dyDescent="0.3">
      <c r="A24" t="s">
        <v>52</v>
      </c>
      <c r="B24" t="s">
        <v>53</v>
      </c>
      <c r="C24" t="s">
        <v>17</v>
      </c>
      <c r="D24" t="s">
        <v>18</v>
      </c>
      <c r="E24" t="s">
        <v>19</v>
      </c>
      <c r="F24" t="s">
        <v>363</v>
      </c>
      <c r="G24" t="s">
        <v>483</v>
      </c>
      <c r="H24" t="s">
        <v>467</v>
      </c>
      <c r="I24" t="s">
        <v>9</v>
      </c>
      <c r="J24" t="s">
        <v>484</v>
      </c>
      <c r="K24" t="s">
        <v>485</v>
      </c>
      <c r="L24" t="s">
        <v>470</v>
      </c>
      <c r="M24">
        <v>45</v>
      </c>
      <c r="N24" t="b">
        <v>0</v>
      </c>
      <c r="O24">
        <v>0.79778393351800569</v>
      </c>
      <c r="P24">
        <v>0.75</v>
      </c>
      <c r="Q24">
        <v>0.85207100591715978</v>
      </c>
      <c r="R24" t="s">
        <v>60</v>
      </c>
      <c r="S24" t="s">
        <v>486</v>
      </c>
      <c r="T24" t="s">
        <v>487</v>
      </c>
      <c r="U24" t="b">
        <v>0</v>
      </c>
      <c r="V24" t="s">
        <v>63</v>
      </c>
      <c r="W24">
        <v>254.1</v>
      </c>
    </row>
    <row r="25" spans="1:23" hidden="1" x14ac:dyDescent="0.3">
      <c r="A25" t="s">
        <v>52</v>
      </c>
      <c r="B25" t="s">
        <v>53</v>
      </c>
      <c r="C25" t="s">
        <v>17</v>
      </c>
      <c r="D25" t="s">
        <v>18</v>
      </c>
      <c r="E25" t="s">
        <v>19</v>
      </c>
      <c r="F25" t="s">
        <v>363</v>
      </c>
      <c r="G25" t="s">
        <v>585</v>
      </c>
      <c r="H25" t="s">
        <v>569</v>
      </c>
      <c r="I25" t="s">
        <v>11</v>
      </c>
      <c r="J25" t="s">
        <v>586</v>
      </c>
      <c r="K25" t="s">
        <v>587</v>
      </c>
      <c r="L25" t="s">
        <v>572</v>
      </c>
      <c r="M25">
        <v>45</v>
      </c>
      <c r="N25" t="b">
        <v>0</v>
      </c>
      <c r="O25">
        <v>0.80530973451327426</v>
      </c>
      <c r="P25">
        <v>0.79130434782608694</v>
      </c>
      <c r="Q25">
        <v>0.81981981981981977</v>
      </c>
      <c r="R25" t="s">
        <v>60</v>
      </c>
      <c r="S25" t="s">
        <v>588</v>
      </c>
      <c r="T25" t="s">
        <v>589</v>
      </c>
      <c r="U25" t="b">
        <v>0</v>
      </c>
      <c r="V25" t="s">
        <v>63</v>
      </c>
      <c r="W25">
        <v>247.5</v>
      </c>
    </row>
    <row r="26" spans="1:23" hidden="1" x14ac:dyDescent="0.3">
      <c r="A26" t="s">
        <v>52</v>
      </c>
      <c r="B26" t="s">
        <v>53</v>
      </c>
      <c r="C26" t="s">
        <v>17</v>
      </c>
      <c r="D26" t="s">
        <v>18</v>
      </c>
      <c r="E26" t="s">
        <v>19</v>
      </c>
      <c r="F26" t="s">
        <v>54</v>
      </c>
      <c r="G26" t="s">
        <v>79</v>
      </c>
      <c r="H26" t="s">
        <v>56</v>
      </c>
      <c r="I26" t="s">
        <v>7</v>
      </c>
      <c r="J26" t="s">
        <v>80</v>
      </c>
      <c r="K26" t="s">
        <v>81</v>
      </c>
      <c r="L26" t="s">
        <v>59</v>
      </c>
      <c r="M26">
        <v>46</v>
      </c>
      <c r="N26" t="b">
        <v>1</v>
      </c>
      <c r="O26">
        <v>0.66933867735470953</v>
      </c>
      <c r="P26">
        <v>0.620817843866171</v>
      </c>
      <c r="Q26">
        <v>0.72608695652173916</v>
      </c>
      <c r="R26" t="s">
        <v>60</v>
      </c>
      <c r="S26" t="s">
        <v>82</v>
      </c>
      <c r="T26" t="s">
        <v>83</v>
      </c>
      <c r="U26" t="b">
        <v>0</v>
      </c>
      <c r="V26" t="s">
        <v>63</v>
      </c>
      <c r="W26">
        <v>166.9</v>
      </c>
    </row>
    <row r="27" spans="1:23" hidden="1" x14ac:dyDescent="0.3">
      <c r="A27" t="s">
        <v>52</v>
      </c>
      <c r="B27" t="s">
        <v>53</v>
      </c>
      <c r="C27" t="s">
        <v>17</v>
      </c>
      <c r="D27" t="s">
        <v>18</v>
      </c>
      <c r="E27" t="s">
        <v>19</v>
      </c>
      <c r="F27" t="s">
        <v>54</v>
      </c>
      <c r="G27" t="s">
        <v>181</v>
      </c>
      <c r="H27" t="s">
        <v>160</v>
      </c>
      <c r="I27" t="s">
        <v>3</v>
      </c>
      <c r="J27" t="s">
        <v>182</v>
      </c>
      <c r="K27" t="s">
        <v>183</v>
      </c>
      <c r="L27" t="s">
        <v>163</v>
      </c>
      <c r="M27">
        <v>46</v>
      </c>
      <c r="N27" t="b">
        <v>0</v>
      </c>
      <c r="O27">
        <v>0.75409836065573765</v>
      </c>
      <c r="P27">
        <v>0.70050761421319796</v>
      </c>
      <c r="Q27">
        <v>0.81656804733727806</v>
      </c>
      <c r="R27" t="s">
        <v>60</v>
      </c>
      <c r="S27" t="s">
        <v>184</v>
      </c>
      <c r="T27" t="s">
        <v>185</v>
      </c>
      <c r="U27" t="b">
        <v>0</v>
      </c>
      <c r="V27" t="s">
        <v>63</v>
      </c>
      <c r="W27">
        <v>63.8</v>
      </c>
    </row>
    <row r="28" spans="1:23" hidden="1" x14ac:dyDescent="0.3">
      <c r="A28" t="s">
        <v>52</v>
      </c>
      <c r="B28" t="s">
        <v>53</v>
      </c>
      <c r="C28" t="s">
        <v>17</v>
      </c>
      <c r="D28" t="s">
        <v>18</v>
      </c>
      <c r="E28" t="s">
        <v>19</v>
      </c>
      <c r="F28" t="s">
        <v>54</v>
      </c>
      <c r="G28" t="s">
        <v>283</v>
      </c>
      <c r="H28" t="s">
        <v>262</v>
      </c>
      <c r="I28" t="s">
        <v>5</v>
      </c>
      <c r="J28" t="s">
        <v>284</v>
      </c>
      <c r="K28" t="s">
        <v>285</v>
      </c>
      <c r="L28" t="s">
        <v>265</v>
      </c>
      <c r="M28">
        <v>46</v>
      </c>
      <c r="N28" t="b">
        <v>0</v>
      </c>
      <c r="O28">
        <v>0.7379912663755458</v>
      </c>
      <c r="P28">
        <v>0.71610169491525422</v>
      </c>
      <c r="Q28">
        <v>0.76126126126126126</v>
      </c>
      <c r="R28" t="s">
        <v>60</v>
      </c>
      <c r="S28" t="s">
        <v>286</v>
      </c>
      <c r="T28" t="s">
        <v>287</v>
      </c>
      <c r="U28" t="b">
        <v>0</v>
      </c>
      <c r="V28" t="s">
        <v>63</v>
      </c>
      <c r="W28">
        <v>65.400000000000006</v>
      </c>
    </row>
    <row r="29" spans="1:23" hidden="1" x14ac:dyDescent="0.3">
      <c r="A29" t="s">
        <v>52</v>
      </c>
      <c r="B29" t="s">
        <v>53</v>
      </c>
      <c r="C29" t="s">
        <v>17</v>
      </c>
      <c r="D29" t="s">
        <v>18</v>
      </c>
      <c r="E29" t="s">
        <v>19</v>
      </c>
      <c r="F29" t="s">
        <v>363</v>
      </c>
      <c r="G29" t="s">
        <v>386</v>
      </c>
      <c r="H29" t="s">
        <v>365</v>
      </c>
      <c r="I29" t="s">
        <v>13</v>
      </c>
      <c r="J29" t="s">
        <v>387</v>
      </c>
      <c r="K29" t="s">
        <v>388</v>
      </c>
      <c r="L29" t="s">
        <v>368</v>
      </c>
      <c r="M29">
        <v>46</v>
      </c>
      <c r="N29" t="b">
        <v>0</v>
      </c>
      <c r="O29">
        <v>0.79411764705882348</v>
      </c>
      <c r="P29">
        <v>0.76829268292682928</v>
      </c>
      <c r="Q29">
        <v>0.82173913043478264</v>
      </c>
      <c r="R29" t="s">
        <v>60</v>
      </c>
      <c r="S29" t="s">
        <v>389</v>
      </c>
      <c r="T29" t="s">
        <v>390</v>
      </c>
      <c r="U29" t="b">
        <v>0</v>
      </c>
      <c r="V29" t="s">
        <v>63</v>
      </c>
      <c r="W29">
        <v>253.9</v>
      </c>
    </row>
    <row r="30" spans="1:23" hidden="1" x14ac:dyDescent="0.3">
      <c r="A30" t="s">
        <v>52</v>
      </c>
      <c r="B30" t="s">
        <v>53</v>
      </c>
      <c r="C30" t="s">
        <v>17</v>
      </c>
      <c r="D30" t="s">
        <v>18</v>
      </c>
      <c r="E30" t="s">
        <v>19</v>
      </c>
      <c r="F30" t="s">
        <v>363</v>
      </c>
      <c r="G30" t="s">
        <v>488</v>
      </c>
      <c r="H30" t="s">
        <v>467</v>
      </c>
      <c r="I30" t="s">
        <v>9</v>
      </c>
      <c r="J30" t="s">
        <v>489</v>
      </c>
      <c r="K30" t="s">
        <v>490</v>
      </c>
      <c r="L30" t="s">
        <v>470</v>
      </c>
      <c r="M30">
        <v>46</v>
      </c>
      <c r="N30" t="b">
        <v>0</v>
      </c>
      <c r="O30">
        <v>0.81019830028328621</v>
      </c>
      <c r="P30">
        <v>0.77717391304347827</v>
      </c>
      <c r="Q30">
        <v>0.84615384615384615</v>
      </c>
      <c r="R30" t="s">
        <v>60</v>
      </c>
      <c r="S30" t="s">
        <v>491</v>
      </c>
      <c r="T30" t="s">
        <v>492</v>
      </c>
      <c r="U30" t="b">
        <v>0</v>
      </c>
      <c r="V30" t="s">
        <v>63</v>
      </c>
      <c r="W30">
        <v>331</v>
      </c>
    </row>
    <row r="31" spans="1:23" hidden="1" x14ac:dyDescent="0.3">
      <c r="A31" t="s">
        <v>52</v>
      </c>
      <c r="B31" t="s">
        <v>53</v>
      </c>
      <c r="C31" t="s">
        <v>17</v>
      </c>
      <c r="D31" t="s">
        <v>18</v>
      </c>
      <c r="E31" t="s">
        <v>19</v>
      </c>
      <c r="F31" t="s">
        <v>363</v>
      </c>
      <c r="G31" t="s">
        <v>590</v>
      </c>
      <c r="H31" t="s">
        <v>569</v>
      </c>
      <c r="I31" t="s">
        <v>11</v>
      </c>
      <c r="J31" t="s">
        <v>591</v>
      </c>
      <c r="K31" t="s">
        <v>592</v>
      </c>
      <c r="L31" t="s">
        <v>572</v>
      </c>
      <c r="M31">
        <v>46</v>
      </c>
      <c r="N31" t="b">
        <v>0</v>
      </c>
      <c r="O31">
        <v>0.80176211453744495</v>
      </c>
      <c r="P31">
        <v>0.78448275862068961</v>
      </c>
      <c r="Q31">
        <v>0.81981981981981977</v>
      </c>
      <c r="R31" t="s">
        <v>60</v>
      </c>
      <c r="S31" t="s">
        <v>593</v>
      </c>
      <c r="T31" t="s">
        <v>594</v>
      </c>
      <c r="U31" t="b">
        <v>0</v>
      </c>
      <c r="V31" t="s">
        <v>63</v>
      </c>
      <c r="W31">
        <v>261</v>
      </c>
    </row>
    <row r="32" spans="1:23" hidden="1" x14ac:dyDescent="0.3">
      <c r="A32" t="s">
        <v>52</v>
      </c>
      <c r="B32" t="s">
        <v>53</v>
      </c>
      <c r="C32" t="s">
        <v>17</v>
      </c>
      <c r="D32" t="s">
        <v>18</v>
      </c>
      <c r="E32" t="s">
        <v>19</v>
      </c>
      <c r="F32" t="s">
        <v>54</v>
      </c>
      <c r="G32" t="s">
        <v>84</v>
      </c>
      <c r="H32" t="s">
        <v>56</v>
      </c>
      <c r="I32" t="s">
        <v>7</v>
      </c>
      <c r="J32" t="s">
        <v>85</v>
      </c>
      <c r="K32" t="s">
        <v>86</v>
      </c>
      <c r="L32" t="s">
        <v>59</v>
      </c>
      <c r="M32">
        <v>47</v>
      </c>
      <c r="N32" t="b">
        <v>1</v>
      </c>
      <c r="O32">
        <v>0.66933867735470953</v>
      </c>
      <c r="P32">
        <v>0.620817843866171</v>
      </c>
      <c r="Q32">
        <v>0.72608695652173916</v>
      </c>
      <c r="R32" t="s">
        <v>60</v>
      </c>
      <c r="S32" t="s">
        <v>87</v>
      </c>
      <c r="T32" t="s">
        <v>88</v>
      </c>
      <c r="U32" t="b">
        <v>0</v>
      </c>
      <c r="V32" t="s">
        <v>63</v>
      </c>
      <c r="W32">
        <v>180.9</v>
      </c>
    </row>
    <row r="33" spans="1:23" hidden="1" x14ac:dyDescent="0.3">
      <c r="A33" t="s">
        <v>52</v>
      </c>
      <c r="B33" t="s">
        <v>53</v>
      </c>
      <c r="C33" t="s">
        <v>17</v>
      </c>
      <c r="D33" t="s">
        <v>18</v>
      </c>
      <c r="E33" t="s">
        <v>19</v>
      </c>
      <c r="F33" t="s">
        <v>54</v>
      </c>
      <c r="G33" t="s">
        <v>186</v>
      </c>
      <c r="H33" t="s">
        <v>160</v>
      </c>
      <c r="I33" t="s">
        <v>3</v>
      </c>
      <c r="J33" t="s">
        <v>187</v>
      </c>
      <c r="K33" t="s">
        <v>188</v>
      </c>
      <c r="L33" t="s">
        <v>163</v>
      </c>
      <c r="M33">
        <v>47</v>
      </c>
      <c r="N33" t="b">
        <v>0</v>
      </c>
      <c r="O33">
        <v>0.75409836065573765</v>
      </c>
      <c r="P33">
        <v>0.70050761421319796</v>
      </c>
      <c r="Q33">
        <v>0.81656804733727806</v>
      </c>
      <c r="R33" t="s">
        <v>60</v>
      </c>
      <c r="S33" t="s">
        <v>189</v>
      </c>
      <c r="T33" t="s">
        <v>190</v>
      </c>
      <c r="U33" t="b">
        <v>0</v>
      </c>
      <c r="V33" t="s">
        <v>63</v>
      </c>
      <c r="W33">
        <v>63.1</v>
      </c>
    </row>
    <row r="34" spans="1:23" hidden="1" x14ac:dyDescent="0.3">
      <c r="A34" t="s">
        <v>52</v>
      </c>
      <c r="B34" t="s">
        <v>53</v>
      </c>
      <c r="C34" t="s">
        <v>17</v>
      </c>
      <c r="D34" t="s">
        <v>18</v>
      </c>
      <c r="E34" t="s">
        <v>19</v>
      </c>
      <c r="F34" t="s">
        <v>54</v>
      </c>
      <c r="G34" t="s">
        <v>288</v>
      </c>
      <c r="H34" t="s">
        <v>262</v>
      </c>
      <c r="I34" t="s">
        <v>5</v>
      </c>
      <c r="J34" t="s">
        <v>289</v>
      </c>
      <c r="K34" t="s">
        <v>290</v>
      </c>
      <c r="L34" t="s">
        <v>265</v>
      </c>
      <c r="M34">
        <v>47</v>
      </c>
      <c r="N34" t="b">
        <v>0</v>
      </c>
      <c r="O34">
        <v>0.7379912663755458</v>
      </c>
      <c r="P34">
        <v>0.71610169491525422</v>
      </c>
      <c r="Q34">
        <v>0.76126126126126126</v>
      </c>
      <c r="R34" t="s">
        <v>60</v>
      </c>
      <c r="S34" t="s">
        <v>291</v>
      </c>
      <c r="T34" t="s">
        <v>292</v>
      </c>
      <c r="U34" t="b">
        <v>0</v>
      </c>
      <c r="V34" t="s">
        <v>63</v>
      </c>
      <c r="W34">
        <v>65.7</v>
      </c>
    </row>
    <row r="35" spans="1:23" hidden="1" x14ac:dyDescent="0.3">
      <c r="A35" t="s">
        <v>52</v>
      </c>
      <c r="B35" t="s">
        <v>53</v>
      </c>
      <c r="C35" t="s">
        <v>17</v>
      </c>
      <c r="D35" t="s">
        <v>18</v>
      </c>
      <c r="E35" t="s">
        <v>19</v>
      </c>
      <c r="F35" t="s">
        <v>363</v>
      </c>
      <c r="G35" t="s">
        <v>391</v>
      </c>
      <c r="H35" t="s">
        <v>365</v>
      </c>
      <c r="I35" t="s">
        <v>13</v>
      </c>
      <c r="J35" t="s">
        <v>392</v>
      </c>
      <c r="K35" t="s">
        <v>393</v>
      </c>
      <c r="L35" t="s">
        <v>368</v>
      </c>
      <c r="M35">
        <v>47</v>
      </c>
      <c r="N35" t="b">
        <v>0</v>
      </c>
      <c r="O35">
        <v>0.78749999999999998</v>
      </c>
      <c r="P35">
        <v>0.75600000000000001</v>
      </c>
      <c r="Q35">
        <v>0.82173913043478264</v>
      </c>
      <c r="R35" t="s">
        <v>60</v>
      </c>
      <c r="S35" t="s">
        <v>394</v>
      </c>
      <c r="T35" t="s">
        <v>395</v>
      </c>
      <c r="U35" t="b">
        <v>0</v>
      </c>
      <c r="V35" t="s">
        <v>63</v>
      </c>
      <c r="W35">
        <v>330.2</v>
      </c>
    </row>
    <row r="36" spans="1:23" hidden="1" x14ac:dyDescent="0.3">
      <c r="A36" t="s">
        <v>52</v>
      </c>
      <c r="B36" t="s">
        <v>53</v>
      </c>
      <c r="C36" t="s">
        <v>17</v>
      </c>
      <c r="D36" t="s">
        <v>18</v>
      </c>
      <c r="E36" t="s">
        <v>19</v>
      </c>
      <c r="F36" t="s">
        <v>363</v>
      </c>
      <c r="G36" t="s">
        <v>493</v>
      </c>
      <c r="H36" t="s">
        <v>467</v>
      </c>
      <c r="I36" t="s">
        <v>9</v>
      </c>
      <c r="J36" t="s">
        <v>494</v>
      </c>
      <c r="K36" t="s">
        <v>495</v>
      </c>
      <c r="L36" t="s">
        <v>470</v>
      </c>
      <c r="M36">
        <v>47</v>
      </c>
      <c r="N36" t="b">
        <v>0</v>
      </c>
      <c r="O36">
        <v>0.78474114441416898</v>
      </c>
      <c r="P36">
        <v>0.72727272727272729</v>
      </c>
      <c r="Q36">
        <v>0.85207100591715978</v>
      </c>
      <c r="R36" t="s">
        <v>60</v>
      </c>
      <c r="S36" t="s">
        <v>496</v>
      </c>
      <c r="T36" t="s">
        <v>497</v>
      </c>
      <c r="U36" t="b">
        <v>0</v>
      </c>
      <c r="V36" t="s">
        <v>63</v>
      </c>
      <c r="W36">
        <v>256.3</v>
      </c>
    </row>
    <row r="37" spans="1:23" hidden="1" x14ac:dyDescent="0.3">
      <c r="A37" t="s">
        <v>52</v>
      </c>
      <c r="B37" t="s">
        <v>53</v>
      </c>
      <c r="C37" t="s">
        <v>17</v>
      </c>
      <c r="D37" t="s">
        <v>18</v>
      </c>
      <c r="E37" t="s">
        <v>19</v>
      </c>
      <c r="F37" t="s">
        <v>363</v>
      </c>
      <c r="G37" t="s">
        <v>595</v>
      </c>
      <c r="H37" t="s">
        <v>569</v>
      </c>
      <c r="I37" t="s">
        <v>11</v>
      </c>
      <c r="J37" t="s">
        <v>596</v>
      </c>
      <c r="K37" t="s">
        <v>597</v>
      </c>
      <c r="L37" t="s">
        <v>572</v>
      </c>
      <c r="M37">
        <v>47</v>
      </c>
      <c r="N37" t="b">
        <v>0</v>
      </c>
      <c r="O37">
        <v>0.80794701986754958</v>
      </c>
      <c r="P37">
        <v>0.79220779220779225</v>
      </c>
      <c r="Q37">
        <v>0.82432432432432434</v>
      </c>
      <c r="R37" t="s">
        <v>60</v>
      </c>
      <c r="S37" t="s">
        <v>598</v>
      </c>
      <c r="T37" t="s">
        <v>599</v>
      </c>
      <c r="U37" t="b">
        <v>0</v>
      </c>
      <c r="V37" t="s">
        <v>63</v>
      </c>
      <c r="W37">
        <v>262</v>
      </c>
    </row>
    <row r="38" spans="1:23" hidden="1" x14ac:dyDescent="0.3">
      <c r="A38" t="s">
        <v>52</v>
      </c>
      <c r="B38" t="s">
        <v>53</v>
      </c>
      <c r="C38" t="s">
        <v>17</v>
      </c>
      <c r="D38" t="s">
        <v>18</v>
      </c>
      <c r="E38" t="s">
        <v>19</v>
      </c>
      <c r="F38" t="s">
        <v>54</v>
      </c>
      <c r="G38" t="s">
        <v>89</v>
      </c>
      <c r="H38" t="s">
        <v>56</v>
      </c>
      <c r="I38" t="s">
        <v>7</v>
      </c>
      <c r="J38" t="s">
        <v>90</v>
      </c>
      <c r="K38" t="s">
        <v>91</v>
      </c>
      <c r="L38" t="s">
        <v>59</v>
      </c>
      <c r="M38">
        <v>48</v>
      </c>
      <c r="N38" t="b">
        <v>1</v>
      </c>
      <c r="O38">
        <v>0.66933867735470953</v>
      </c>
      <c r="P38">
        <v>0.620817843866171</v>
      </c>
      <c r="Q38">
        <v>0.72608695652173916</v>
      </c>
      <c r="R38" t="s">
        <v>60</v>
      </c>
      <c r="S38" t="s">
        <v>92</v>
      </c>
      <c r="T38" t="s">
        <v>93</v>
      </c>
      <c r="U38" t="b">
        <v>0</v>
      </c>
      <c r="V38" t="s">
        <v>63</v>
      </c>
      <c r="W38">
        <v>164.8</v>
      </c>
    </row>
    <row r="39" spans="1:23" hidden="1" x14ac:dyDescent="0.3">
      <c r="A39" t="s">
        <v>52</v>
      </c>
      <c r="B39" t="s">
        <v>53</v>
      </c>
      <c r="C39" t="s">
        <v>17</v>
      </c>
      <c r="D39" t="s">
        <v>18</v>
      </c>
      <c r="E39" t="s">
        <v>19</v>
      </c>
      <c r="F39" t="s">
        <v>54</v>
      </c>
      <c r="G39" t="s">
        <v>191</v>
      </c>
      <c r="H39" t="s">
        <v>160</v>
      </c>
      <c r="I39" t="s">
        <v>3</v>
      </c>
      <c r="J39" t="s">
        <v>192</v>
      </c>
      <c r="K39" t="s">
        <v>193</v>
      </c>
      <c r="L39" t="s">
        <v>163</v>
      </c>
      <c r="M39">
        <v>48</v>
      </c>
      <c r="N39" t="b">
        <v>0</v>
      </c>
      <c r="O39">
        <v>0.75409836065573765</v>
      </c>
      <c r="P39">
        <v>0.70050761421319796</v>
      </c>
      <c r="Q39">
        <v>0.81656804733727806</v>
      </c>
      <c r="R39" t="s">
        <v>60</v>
      </c>
      <c r="S39" t="s">
        <v>194</v>
      </c>
      <c r="T39" t="s">
        <v>195</v>
      </c>
      <c r="U39" t="b">
        <v>0</v>
      </c>
      <c r="V39" t="s">
        <v>63</v>
      </c>
      <c r="W39">
        <v>62.7</v>
      </c>
    </row>
    <row r="40" spans="1:23" hidden="1" x14ac:dyDescent="0.3">
      <c r="A40" t="s">
        <v>52</v>
      </c>
      <c r="B40" t="s">
        <v>53</v>
      </c>
      <c r="C40" t="s">
        <v>17</v>
      </c>
      <c r="D40" t="s">
        <v>18</v>
      </c>
      <c r="E40" t="s">
        <v>19</v>
      </c>
      <c r="F40" t="s">
        <v>54</v>
      </c>
      <c r="G40" t="s">
        <v>293</v>
      </c>
      <c r="H40" t="s">
        <v>262</v>
      </c>
      <c r="I40" t="s">
        <v>5</v>
      </c>
      <c r="J40" t="s">
        <v>294</v>
      </c>
      <c r="K40" t="s">
        <v>295</v>
      </c>
      <c r="L40" t="s">
        <v>265</v>
      </c>
      <c r="M40">
        <v>48</v>
      </c>
      <c r="N40" t="b">
        <v>0</v>
      </c>
      <c r="O40">
        <v>0.7379912663755458</v>
      </c>
      <c r="P40">
        <v>0.71610169491525422</v>
      </c>
      <c r="Q40">
        <v>0.76126126126126126</v>
      </c>
      <c r="R40" t="s">
        <v>60</v>
      </c>
      <c r="S40" t="s">
        <v>296</v>
      </c>
      <c r="T40" t="s">
        <v>297</v>
      </c>
      <c r="U40" t="b">
        <v>0</v>
      </c>
      <c r="V40" t="s">
        <v>63</v>
      </c>
      <c r="W40">
        <v>65.3</v>
      </c>
    </row>
    <row r="41" spans="1:23" hidden="1" x14ac:dyDescent="0.3">
      <c r="A41" t="s">
        <v>52</v>
      </c>
      <c r="B41" t="s">
        <v>53</v>
      </c>
      <c r="C41" t="s">
        <v>17</v>
      </c>
      <c r="D41" t="s">
        <v>18</v>
      </c>
      <c r="E41" t="s">
        <v>19</v>
      </c>
      <c r="F41" t="s">
        <v>363</v>
      </c>
      <c r="G41" t="s">
        <v>396</v>
      </c>
      <c r="H41" t="s">
        <v>365</v>
      </c>
      <c r="I41" t="s">
        <v>13</v>
      </c>
      <c r="J41" t="s">
        <v>397</v>
      </c>
      <c r="K41" t="s">
        <v>398</v>
      </c>
      <c r="L41" t="s">
        <v>368</v>
      </c>
      <c r="M41">
        <v>48</v>
      </c>
      <c r="N41" t="b">
        <v>0</v>
      </c>
      <c r="O41">
        <v>0.77432712215320909</v>
      </c>
      <c r="P41">
        <v>0.73913043478260865</v>
      </c>
      <c r="Q41">
        <v>0.81304347826086953</v>
      </c>
      <c r="R41" t="s">
        <v>60</v>
      </c>
      <c r="S41" t="s">
        <v>399</v>
      </c>
      <c r="T41" t="s">
        <v>400</v>
      </c>
      <c r="U41" t="b">
        <v>0</v>
      </c>
      <c r="V41" t="s">
        <v>63</v>
      </c>
      <c r="W41">
        <v>272.39999999999998</v>
      </c>
    </row>
    <row r="42" spans="1:23" hidden="1" x14ac:dyDescent="0.3">
      <c r="A42" t="s">
        <v>52</v>
      </c>
      <c r="B42" t="s">
        <v>53</v>
      </c>
      <c r="C42" t="s">
        <v>17</v>
      </c>
      <c r="D42" t="s">
        <v>18</v>
      </c>
      <c r="E42" t="s">
        <v>19</v>
      </c>
      <c r="F42" t="s">
        <v>363</v>
      </c>
      <c r="G42" t="s">
        <v>498</v>
      </c>
      <c r="H42" t="s">
        <v>467</v>
      </c>
      <c r="I42" t="s">
        <v>9</v>
      </c>
      <c r="J42" t="s">
        <v>499</v>
      </c>
      <c r="K42" t="s">
        <v>500</v>
      </c>
      <c r="L42" t="s">
        <v>470</v>
      </c>
      <c r="M42">
        <v>48</v>
      </c>
      <c r="N42" t="b">
        <v>0</v>
      </c>
      <c r="O42">
        <v>0.8076923076923076</v>
      </c>
      <c r="P42">
        <v>0.75384615384615383</v>
      </c>
      <c r="Q42">
        <v>0.86982248520710059</v>
      </c>
      <c r="R42" t="s">
        <v>60</v>
      </c>
      <c r="S42" t="s">
        <v>501</v>
      </c>
      <c r="T42" t="s">
        <v>502</v>
      </c>
      <c r="U42" t="b">
        <v>0</v>
      </c>
      <c r="V42" t="s">
        <v>63</v>
      </c>
      <c r="W42">
        <v>299.8</v>
      </c>
    </row>
    <row r="43" spans="1:23" hidden="1" x14ac:dyDescent="0.3">
      <c r="A43" t="s">
        <v>52</v>
      </c>
      <c r="B43" t="s">
        <v>53</v>
      </c>
      <c r="C43" t="s">
        <v>17</v>
      </c>
      <c r="D43" t="s">
        <v>18</v>
      </c>
      <c r="E43" t="s">
        <v>19</v>
      </c>
      <c r="F43" t="s">
        <v>363</v>
      </c>
      <c r="G43" t="s">
        <v>600</v>
      </c>
      <c r="H43" t="s">
        <v>569</v>
      </c>
      <c r="I43" t="s">
        <v>11</v>
      </c>
      <c r="J43" t="s">
        <v>601</v>
      </c>
      <c r="K43" t="s">
        <v>602</v>
      </c>
      <c r="L43" t="s">
        <v>572</v>
      </c>
      <c r="M43">
        <v>48</v>
      </c>
      <c r="N43" t="b">
        <v>0</v>
      </c>
      <c r="O43">
        <v>0.8080357142857143</v>
      </c>
      <c r="P43">
        <v>0.80088495575221241</v>
      </c>
      <c r="Q43">
        <v>0.81531531531531531</v>
      </c>
      <c r="R43" t="s">
        <v>60</v>
      </c>
      <c r="S43" t="s">
        <v>603</v>
      </c>
      <c r="T43" t="s">
        <v>604</v>
      </c>
      <c r="U43" t="b">
        <v>0</v>
      </c>
      <c r="V43" t="s">
        <v>63</v>
      </c>
      <c r="W43">
        <v>235.6</v>
      </c>
    </row>
    <row r="44" spans="1:23" hidden="1" x14ac:dyDescent="0.3">
      <c r="A44" t="s">
        <v>52</v>
      </c>
      <c r="B44" t="s">
        <v>53</v>
      </c>
      <c r="C44" t="s">
        <v>17</v>
      </c>
      <c r="D44" t="s">
        <v>18</v>
      </c>
      <c r="E44" t="s">
        <v>19</v>
      </c>
      <c r="F44" t="s">
        <v>54</v>
      </c>
      <c r="G44" t="s">
        <v>94</v>
      </c>
      <c r="H44" t="s">
        <v>56</v>
      </c>
      <c r="I44" t="s">
        <v>7</v>
      </c>
      <c r="J44" t="s">
        <v>95</v>
      </c>
      <c r="K44" t="s">
        <v>96</v>
      </c>
      <c r="L44" t="s">
        <v>59</v>
      </c>
      <c r="M44">
        <v>49</v>
      </c>
      <c r="N44" t="b">
        <v>1</v>
      </c>
      <c r="O44">
        <v>0.66933867735470953</v>
      </c>
      <c r="P44">
        <v>0.620817843866171</v>
      </c>
      <c r="Q44">
        <v>0.72608695652173916</v>
      </c>
      <c r="R44" t="s">
        <v>60</v>
      </c>
      <c r="S44" t="s">
        <v>97</v>
      </c>
      <c r="T44" t="s">
        <v>98</v>
      </c>
      <c r="U44" t="b">
        <v>0</v>
      </c>
      <c r="V44" t="s">
        <v>63</v>
      </c>
      <c r="W44">
        <v>161.6</v>
      </c>
    </row>
    <row r="45" spans="1:23" hidden="1" x14ac:dyDescent="0.3">
      <c r="A45" t="s">
        <v>52</v>
      </c>
      <c r="B45" t="s">
        <v>53</v>
      </c>
      <c r="C45" t="s">
        <v>17</v>
      </c>
      <c r="D45" t="s">
        <v>18</v>
      </c>
      <c r="E45" t="s">
        <v>19</v>
      </c>
      <c r="F45" t="s">
        <v>54</v>
      </c>
      <c r="G45" t="s">
        <v>196</v>
      </c>
      <c r="H45" t="s">
        <v>160</v>
      </c>
      <c r="I45" t="s">
        <v>3</v>
      </c>
      <c r="J45" t="s">
        <v>197</v>
      </c>
      <c r="K45" t="s">
        <v>198</v>
      </c>
      <c r="L45" t="s">
        <v>163</v>
      </c>
      <c r="M45">
        <v>49</v>
      </c>
      <c r="N45" t="b">
        <v>0</v>
      </c>
      <c r="O45">
        <v>0.75409836065573765</v>
      </c>
      <c r="P45">
        <v>0.70050761421319796</v>
      </c>
      <c r="Q45">
        <v>0.81656804733727806</v>
      </c>
      <c r="R45" t="s">
        <v>60</v>
      </c>
      <c r="S45" t="s">
        <v>199</v>
      </c>
      <c r="T45" t="s">
        <v>200</v>
      </c>
      <c r="U45" t="b">
        <v>0</v>
      </c>
      <c r="V45" t="s">
        <v>63</v>
      </c>
      <c r="W45">
        <v>65</v>
      </c>
    </row>
    <row r="46" spans="1:23" hidden="1" x14ac:dyDescent="0.3">
      <c r="A46" t="s">
        <v>52</v>
      </c>
      <c r="B46" t="s">
        <v>53</v>
      </c>
      <c r="C46" t="s">
        <v>17</v>
      </c>
      <c r="D46" t="s">
        <v>18</v>
      </c>
      <c r="E46" t="s">
        <v>19</v>
      </c>
      <c r="F46" t="s">
        <v>54</v>
      </c>
      <c r="G46" t="s">
        <v>298</v>
      </c>
      <c r="H46" t="s">
        <v>262</v>
      </c>
      <c r="I46" t="s">
        <v>5</v>
      </c>
      <c r="J46" t="s">
        <v>299</v>
      </c>
      <c r="K46" t="s">
        <v>300</v>
      </c>
      <c r="L46" t="s">
        <v>265</v>
      </c>
      <c r="M46">
        <v>49</v>
      </c>
      <c r="N46" t="b">
        <v>0</v>
      </c>
      <c r="O46">
        <v>0.7379912663755458</v>
      </c>
      <c r="P46">
        <v>0.71610169491525422</v>
      </c>
      <c r="Q46">
        <v>0.76126126126126126</v>
      </c>
      <c r="R46" t="s">
        <v>60</v>
      </c>
      <c r="S46" t="s">
        <v>301</v>
      </c>
      <c r="T46" t="s">
        <v>302</v>
      </c>
      <c r="U46" t="b">
        <v>0</v>
      </c>
      <c r="V46" t="s">
        <v>63</v>
      </c>
      <c r="W46">
        <v>64.3</v>
      </c>
    </row>
    <row r="47" spans="1:23" hidden="1" x14ac:dyDescent="0.3">
      <c r="A47" t="s">
        <v>52</v>
      </c>
      <c r="B47" t="s">
        <v>53</v>
      </c>
      <c r="C47" t="s">
        <v>17</v>
      </c>
      <c r="D47" t="s">
        <v>18</v>
      </c>
      <c r="E47" t="s">
        <v>19</v>
      </c>
      <c r="F47" t="s">
        <v>363</v>
      </c>
      <c r="G47" t="s">
        <v>401</v>
      </c>
      <c r="H47" t="s">
        <v>365</v>
      </c>
      <c r="I47" t="s">
        <v>13</v>
      </c>
      <c r="J47" t="s">
        <v>402</v>
      </c>
      <c r="K47" t="s">
        <v>403</v>
      </c>
      <c r="L47" t="s">
        <v>368</v>
      </c>
      <c r="M47">
        <v>49</v>
      </c>
      <c r="N47" t="b">
        <v>0</v>
      </c>
      <c r="O47">
        <v>0.77753779697624192</v>
      </c>
      <c r="P47">
        <v>0.77253218884120167</v>
      </c>
      <c r="Q47">
        <v>0.78260869565217395</v>
      </c>
      <c r="R47" t="s">
        <v>60</v>
      </c>
      <c r="S47" t="s">
        <v>404</v>
      </c>
      <c r="T47" t="s">
        <v>405</v>
      </c>
      <c r="U47" t="b">
        <v>0</v>
      </c>
      <c r="V47" t="s">
        <v>63</v>
      </c>
      <c r="W47">
        <v>283.2</v>
      </c>
    </row>
    <row r="48" spans="1:23" hidden="1" x14ac:dyDescent="0.3">
      <c r="A48" t="s">
        <v>52</v>
      </c>
      <c r="B48" t="s">
        <v>53</v>
      </c>
      <c r="C48" t="s">
        <v>17</v>
      </c>
      <c r="D48" t="s">
        <v>18</v>
      </c>
      <c r="E48" t="s">
        <v>19</v>
      </c>
      <c r="F48" t="s">
        <v>363</v>
      </c>
      <c r="G48" t="s">
        <v>503</v>
      </c>
      <c r="H48" t="s">
        <v>467</v>
      </c>
      <c r="I48" t="s">
        <v>9</v>
      </c>
      <c r="J48" t="s">
        <v>504</v>
      </c>
      <c r="K48" t="s">
        <v>505</v>
      </c>
      <c r="L48" t="s">
        <v>470</v>
      </c>
      <c r="M48">
        <v>49</v>
      </c>
      <c r="N48" t="b">
        <v>0</v>
      </c>
      <c r="O48">
        <v>0.79661016949152552</v>
      </c>
      <c r="P48">
        <v>0.76216216216216215</v>
      </c>
      <c r="Q48">
        <v>0.83431952662721898</v>
      </c>
      <c r="R48" t="s">
        <v>60</v>
      </c>
      <c r="S48" t="s">
        <v>506</v>
      </c>
      <c r="T48" t="s">
        <v>507</v>
      </c>
      <c r="U48" t="b">
        <v>0</v>
      </c>
      <c r="V48" t="s">
        <v>63</v>
      </c>
      <c r="W48">
        <v>259</v>
      </c>
    </row>
    <row r="49" spans="1:23" hidden="1" x14ac:dyDescent="0.3">
      <c r="A49" t="s">
        <v>52</v>
      </c>
      <c r="B49" t="s">
        <v>53</v>
      </c>
      <c r="C49" t="s">
        <v>17</v>
      </c>
      <c r="D49" t="s">
        <v>18</v>
      </c>
      <c r="E49" t="s">
        <v>19</v>
      </c>
      <c r="F49" t="s">
        <v>363</v>
      </c>
      <c r="G49" t="s">
        <v>605</v>
      </c>
      <c r="H49" t="s">
        <v>569</v>
      </c>
      <c r="I49" t="s">
        <v>11</v>
      </c>
      <c r="J49" t="s">
        <v>606</v>
      </c>
      <c r="K49" t="s">
        <v>607</v>
      </c>
      <c r="L49" t="s">
        <v>572</v>
      </c>
      <c r="M49">
        <v>49</v>
      </c>
      <c r="N49" t="b">
        <v>0</v>
      </c>
      <c r="O49">
        <v>0.82637362637362632</v>
      </c>
      <c r="P49">
        <v>0.80686695278969955</v>
      </c>
      <c r="Q49">
        <v>0.84684684684684686</v>
      </c>
      <c r="R49" t="s">
        <v>60</v>
      </c>
      <c r="S49" t="s">
        <v>608</v>
      </c>
      <c r="T49" t="s">
        <v>609</v>
      </c>
      <c r="U49" t="b">
        <v>0</v>
      </c>
      <c r="V49" t="s">
        <v>63</v>
      </c>
      <c r="W49">
        <v>221.2</v>
      </c>
    </row>
    <row r="50" spans="1:23" hidden="1" x14ac:dyDescent="0.3">
      <c r="A50" t="s">
        <v>52</v>
      </c>
      <c r="B50" t="s">
        <v>53</v>
      </c>
      <c r="C50" t="s">
        <v>17</v>
      </c>
      <c r="D50" t="s">
        <v>18</v>
      </c>
      <c r="E50" t="s">
        <v>19</v>
      </c>
      <c r="F50" t="s">
        <v>54</v>
      </c>
      <c r="G50" t="s">
        <v>99</v>
      </c>
      <c r="H50" t="s">
        <v>56</v>
      </c>
      <c r="I50" t="s">
        <v>7</v>
      </c>
      <c r="J50" t="s">
        <v>100</v>
      </c>
      <c r="K50" t="s">
        <v>101</v>
      </c>
      <c r="L50" t="s">
        <v>59</v>
      </c>
      <c r="M50">
        <v>50</v>
      </c>
      <c r="N50" t="b">
        <v>1</v>
      </c>
      <c r="O50">
        <v>0.66933867735470953</v>
      </c>
      <c r="P50">
        <v>0.620817843866171</v>
      </c>
      <c r="Q50">
        <v>0.72608695652173916</v>
      </c>
      <c r="R50" t="s">
        <v>60</v>
      </c>
      <c r="S50" t="s">
        <v>102</v>
      </c>
      <c r="T50" t="s">
        <v>103</v>
      </c>
      <c r="U50" t="b">
        <v>0</v>
      </c>
      <c r="V50" t="s">
        <v>63</v>
      </c>
      <c r="W50">
        <v>157.80000000000001</v>
      </c>
    </row>
    <row r="51" spans="1:23" hidden="1" x14ac:dyDescent="0.3">
      <c r="A51" t="s">
        <v>52</v>
      </c>
      <c r="B51" t="s">
        <v>53</v>
      </c>
      <c r="C51" t="s">
        <v>17</v>
      </c>
      <c r="D51" t="s">
        <v>18</v>
      </c>
      <c r="E51" t="s">
        <v>19</v>
      </c>
      <c r="F51" t="s">
        <v>54</v>
      </c>
      <c r="G51" t="s">
        <v>201</v>
      </c>
      <c r="H51" t="s">
        <v>160</v>
      </c>
      <c r="I51" t="s">
        <v>3</v>
      </c>
      <c r="J51" t="s">
        <v>202</v>
      </c>
      <c r="K51" t="s">
        <v>203</v>
      </c>
      <c r="L51" t="s">
        <v>163</v>
      </c>
      <c r="M51">
        <v>50</v>
      </c>
      <c r="N51" t="b">
        <v>0</v>
      </c>
      <c r="O51">
        <v>0.75409836065573765</v>
      </c>
      <c r="P51">
        <v>0.70050761421319796</v>
      </c>
      <c r="Q51">
        <v>0.81656804733727806</v>
      </c>
      <c r="R51" t="s">
        <v>60</v>
      </c>
      <c r="S51" t="s">
        <v>204</v>
      </c>
      <c r="T51" t="s">
        <v>205</v>
      </c>
      <c r="U51" t="b">
        <v>0</v>
      </c>
      <c r="V51" t="s">
        <v>63</v>
      </c>
      <c r="W51">
        <v>64.5</v>
      </c>
    </row>
    <row r="52" spans="1:23" hidden="1" x14ac:dyDescent="0.3">
      <c r="A52" t="s">
        <v>52</v>
      </c>
      <c r="B52" t="s">
        <v>53</v>
      </c>
      <c r="C52" t="s">
        <v>17</v>
      </c>
      <c r="D52" t="s">
        <v>18</v>
      </c>
      <c r="E52" t="s">
        <v>19</v>
      </c>
      <c r="F52" t="s">
        <v>54</v>
      </c>
      <c r="G52" t="s">
        <v>303</v>
      </c>
      <c r="H52" t="s">
        <v>262</v>
      </c>
      <c r="I52" t="s">
        <v>5</v>
      </c>
      <c r="J52" t="s">
        <v>304</v>
      </c>
      <c r="K52" t="s">
        <v>305</v>
      </c>
      <c r="L52" t="s">
        <v>265</v>
      </c>
      <c r="M52">
        <v>50</v>
      </c>
      <c r="N52" t="b">
        <v>0</v>
      </c>
      <c r="O52">
        <v>0.7379912663755458</v>
      </c>
      <c r="P52">
        <v>0.71610169491525422</v>
      </c>
      <c r="Q52">
        <v>0.76126126126126126</v>
      </c>
      <c r="R52" t="s">
        <v>60</v>
      </c>
      <c r="S52" t="s">
        <v>306</v>
      </c>
      <c r="T52" t="s">
        <v>307</v>
      </c>
      <c r="U52" t="b">
        <v>0</v>
      </c>
      <c r="V52" t="s">
        <v>63</v>
      </c>
      <c r="W52">
        <v>65.7</v>
      </c>
    </row>
    <row r="53" spans="1:23" hidden="1" x14ac:dyDescent="0.3">
      <c r="A53" t="s">
        <v>52</v>
      </c>
      <c r="B53" t="s">
        <v>53</v>
      </c>
      <c r="C53" t="s">
        <v>17</v>
      </c>
      <c r="D53" t="s">
        <v>18</v>
      </c>
      <c r="E53" t="s">
        <v>19</v>
      </c>
      <c r="F53" t="s">
        <v>363</v>
      </c>
      <c r="G53" t="s">
        <v>406</v>
      </c>
      <c r="H53" t="s">
        <v>365</v>
      </c>
      <c r="I53" t="s">
        <v>13</v>
      </c>
      <c r="J53" t="s">
        <v>407</v>
      </c>
      <c r="K53" t="s">
        <v>408</v>
      </c>
      <c r="L53" t="s">
        <v>368</v>
      </c>
      <c r="M53">
        <v>50</v>
      </c>
      <c r="N53" t="b">
        <v>0</v>
      </c>
      <c r="O53">
        <v>0.77568134171907743</v>
      </c>
      <c r="P53">
        <v>0.74898785425101211</v>
      </c>
      <c r="Q53">
        <v>0.80434782608695654</v>
      </c>
      <c r="R53" t="s">
        <v>60</v>
      </c>
      <c r="S53" t="s">
        <v>409</v>
      </c>
      <c r="T53" t="s">
        <v>410</v>
      </c>
      <c r="U53" t="b">
        <v>0</v>
      </c>
      <c r="V53" t="s">
        <v>63</v>
      </c>
      <c r="W53">
        <v>254.2</v>
      </c>
    </row>
    <row r="54" spans="1:23" hidden="1" x14ac:dyDescent="0.3">
      <c r="A54" t="s">
        <v>52</v>
      </c>
      <c r="B54" t="s">
        <v>53</v>
      </c>
      <c r="C54" t="s">
        <v>17</v>
      </c>
      <c r="D54" t="s">
        <v>18</v>
      </c>
      <c r="E54" t="s">
        <v>19</v>
      </c>
      <c r="F54" t="s">
        <v>363</v>
      </c>
      <c r="G54" t="s">
        <v>508</v>
      </c>
      <c r="H54" t="s">
        <v>467</v>
      </c>
      <c r="I54" t="s">
        <v>9</v>
      </c>
      <c r="J54" t="s">
        <v>509</v>
      </c>
      <c r="K54" t="s">
        <v>510</v>
      </c>
      <c r="L54" t="s">
        <v>470</v>
      </c>
      <c r="M54">
        <v>50</v>
      </c>
      <c r="N54" t="b">
        <v>0</v>
      </c>
      <c r="O54">
        <v>0.80691642651296835</v>
      </c>
      <c r="P54">
        <v>0.7865168539325843</v>
      </c>
      <c r="Q54">
        <v>0.82840236686390534</v>
      </c>
      <c r="R54" t="s">
        <v>60</v>
      </c>
      <c r="S54" t="s">
        <v>511</v>
      </c>
      <c r="T54" t="s">
        <v>512</v>
      </c>
      <c r="U54" t="b">
        <v>0</v>
      </c>
      <c r="V54" t="s">
        <v>63</v>
      </c>
      <c r="W54">
        <v>316.3</v>
      </c>
    </row>
    <row r="55" spans="1:23" hidden="1" x14ac:dyDescent="0.3">
      <c r="A55" t="s">
        <v>52</v>
      </c>
      <c r="B55" t="s">
        <v>53</v>
      </c>
      <c r="C55" t="s">
        <v>17</v>
      </c>
      <c r="D55" t="s">
        <v>18</v>
      </c>
      <c r="E55" t="s">
        <v>19</v>
      </c>
      <c r="F55" t="s">
        <v>363</v>
      </c>
      <c r="G55" t="s">
        <v>610</v>
      </c>
      <c r="H55" t="s">
        <v>569</v>
      </c>
      <c r="I55" t="s">
        <v>11</v>
      </c>
      <c r="J55" t="s">
        <v>611</v>
      </c>
      <c r="K55" t="s">
        <v>612</v>
      </c>
      <c r="L55" t="s">
        <v>572</v>
      </c>
      <c r="M55">
        <v>50</v>
      </c>
      <c r="N55" t="b">
        <v>0</v>
      </c>
      <c r="O55">
        <v>0.80260303687635581</v>
      </c>
      <c r="P55">
        <v>0.77405857740585771</v>
      </c>
      <c r="Q55">
        <v>0.83333333333333337</v>
      </c>
      <c r="R55" t="s">
        <v>60</v>
      </c>
      <c r="S55" t="s">
        <v>613</v>
      </c>
      <c r="T55" t="s">
        <v>614</v>
      </c>
      <c r="U55" t="b">
        <v>0</v>
      </c>
      <c r="V55" t="s">
        <v>63</v>
      </c>
      <c r="W55">
        <v>235.6</v>
      </c>
    </row>
    <row r="56" spans="1:23" hidden="1" x14ac:dyDescent="0.3">
      <c r="A56" t="s">
        <v>52</v>
      </c>
      <c r="B56" t="s">
        <v>53</v>
      </c>
      <c r="C56" t="s">
        <v>17</v>
      </c>
      <c r="D56" t="s">
        <v>18</v>
      </c>
      <c r="E56" t="s">
        <v>19</v>
      </c>
      <c r="F56" t="s">
        <v>54</v>
      </c>
      <c r="G56" t="s">
        <v>104</v>
      </c>
      <c r="H56" t="s">
        <v>56</v>
      </c>
      <c r="I56" t="s">
        <v>7</v>
      </c>
      <c r="J56" t="s">
        <v>105</v>
      </c>
      <c r="K56" t="s">
        <v>106</v>
      </c>
      <c r="L56" t="s">
        <v>59</v>
      </c>
      <c r="M56">
        <v>51</v>
      </c>
      <c r="N56" t="b">
        <v>1</v>
      </c>
      <c r="O56">
        <v>0.66933867735470953</v>
      </c>
      <c r="P56">
        <v>0.620817843866171</v>
      </c>
      <c r="Q56">
        <v>0.72608695652173916</v>
      </c>
      <c r="R56" t="s">
        <v>60</v>
      </c>
      <c r="S56" t="s">
        <v>107</v>
      </c>
      <c r="T56" t="s">
        <v>108</v>
      </c>
      <c r="U56" t="b">
        <v>0</v>
      </c>
      <c r="V56" t="s">
        <v>63</v>
      </c>
      <c r="W56">
        <v>183.9</v>
      </c>
    </row>
    <row r="57" spans="1:23" hidden="1" x14ac:dyDescent="0.3">
      <c r="A57" t="s">
        <v>52</v>
      </c>
      <c r="B57" t="s">
        <v>53</v>
      </c>
      <c r="C57" t="s">
        <v>17</v>
      </c>
      <c r="D57" t="s">
        <v>18</v>
      </c>
      <c r="E57" t="s">
        <v>19</v>
      </c>
      <c r="F57" t="s">
        <v>54</v>
      </c>
      <c r="G57" t="s">
        <v>206</v>
      </c>
      <c r="H57" t="s">
        <v>160</v>
      </c>
      <c r="I57" t="s">
        <v>3</v>
      </c>
      <c r="J57" t="s">
        <v>207</v>
      </c>
      <c r="K57" t="s">
        <v>208</v>
      </c>
      <c r="L57" t="s">
        <v>163</v>
      </c>
      <c r="M57">
        <v>51</v>
      </c>
      <c r="N57" t="b">
        <v>0</v>
      </c>
      <c r="O57">
        <v>0.75409836065573765</v>
      </c>
      <c r="P57">
        <v>0.70050761421319796</v>
      </c>
      <c r="Q57">
        <v>0.81656804733727806</v>
      </c>
      <c r="R57" t="s">
        <v>60</v>
      </c>
      <c r="S57" t="s">
        <v>209</v>
      </c>
      <c r="T57" t="s">
        <v>210</v>
      </c>
      <c r="U57" t="b">
        <v>0</v>
      </c>
      <c r="V57" t="s">
        <v>63</v>
      </c>
      <c r="W57">
        <v>63.4</v>
      </c>
    </row>
    <row r="58" spans="1:23" hidden="1" x14ac:dyDescent="0.3">
      <c r="A58" t="s">
        <v>52</v>
      </c>
      <c r="B58" t="s">
        <v>53</v>
      </c>
      <c r="C58" t="s">
        <v>17</v>
      </c>
      <c r="D58" t="s">
        <v>18</v>
      </c>
      <c r="E58" t="s">
        <v>19</v>
      </c>
      <c r="F58" t="s">
        <v>54</v>
      </c>
      <c r="G58" t="s">
        <v>308</v>
      </c>
      <c r="H58" t="s">
        <v>262</v>
      </c>
      <c r="I58" t="s">
        <v>5</v>
      </c>
      <c r="J58" t="s">
        <v>309</v>
      </c>
      <c r="K58" t="s">
        <v>310</v>
      </c>
      <c r="L58" t="s">
        <v>265</v>
      </c>
      <c r="M58">
        <v>51</v>
      </c>
      <c r="N58" t="b">
        <v>0</v>
      </c>
      <c r="O58">
        <v>0.7379912663755458</v>
      </c>
      <c r="P58">
        <v>0.71610169491525422</v>
      </c>
      <c r="Q58">
        <v>0.76126126126126126</v>
      </c>
      <c r="R58" t="s">
        <v>60</v>
      </c>
      <c r="S58" t="s">
        <v>311</v>
      </c>
      <c r="T58" t="s">
        <v>312</v>
      </c>
      <c r="U58" t="b">
        <v>0</v>
      </c>
      <c r="V58" t="s">
        <v>63</v>
      </c>
      <c r="W58">
        <v>65.400000000000006</v>
      </c>
    </row>
    <row r="59" spans="1:23" hidden="1" x14ac:dyDescent="0.3">
      <c r="A59" t="s">
        <v>52</v>
      </c>
      <c r="B59" t="s">
        <v>53</v>
      </c>
      <c r="C59" t="s">
        <v>17</v>
      </c>
      <c r="D59" t="s">
        <v>18</v>
      </c>
      <c r="E59" t="s">
        <v>19</v>
      </c>
      <c r="F59" t="s">
        <v>363</v>
      </c>
      <c r="G59" t="s">
        <v>411</v>
      </c>
      <c r="H59" t="s">
        <v>365</v>
      </c>
      <c r="I59" t="s">
        <v>13</v>
      </c>
      <c r="J59" t="s">
        <v>412</v>
      </c>
      <c r="K59" t="s">
        <v>413</v>
      </c>
      <c r="L59" t="s">
        <v>368</v>
      </c>
      <c r="M59">
        <v>51</v>
      </c>
      <c r="N59" t="b">
        <v>0</v>
      </c>
      <c r="O59">
        <v>0.77244258872651361</v>
      </c>
      <c r="P59">
        <v>0.74297188755020083</v>
      </c>
      <c r="Q59">
        <v>0.80434782608695654</v>
      </c>
      <c r="R59" t="s">
        <v>60</v>
      </c>
      <c r="S59" t="s">
        <v>414</v>
      </c>
      <c r="T59" t="s">
        <v>415</v>
      </c>
      <c r="U59" t="b">
        <v>0</v>
      </c>
      <c r="V59" t="s">
        <v>63</v>
      </c>
      <c r="W59">
        <v>298.39999999999998</v>
      </c>
    </row>
    <row r="60" spans="1:23" hidden="1" x14ac:dyDescent="0.3">
      <c r="A60" t="s">
        <v>52</v>
      </c>
      <c r="B60" t="s">
        <v>53</v>
      </c>
      <c r="C60" t="s">
        <v>17</v>
      </c>
      <c r="D60" t="s">
        <v>18</v>
      </c>
      <c r="E60" t="s">
        <v>19</v>
      </c>
      <c r="F60" t="s">
        <v>363</v>
      </c>
      <c r="G60" t="s">
        <v>513</v>
      </c>
      <c r="H60" t="s">
        <v>467</v>
      </c>
      <c r="I60" t="s">
        <v>9</v>
      </c>
      <c r="J60" t="s">
        <v>514</v>
      </c>
      <c r="K60" t="s">
        <v>515</v>
      </c>
      <c r="L60" t="s">
        <v>470</v>
      </c>
      <c r="M60">
        <v>51</v>
      </c>
      <c r="N60" t="b">
        <v>0</v>
      </c>
      <c r="O60">
        <v>0.8045325779036826</v>
      </c>
      <c r="P60">
        <v>0.77173913043478259</v>
      </c>
      <c r="Q60">
        <v>0.84023668639053251</v>
      </c>
      <c r="R60" t="s">
        <v>60</v>
      </c>
      <c r="S60" t="s">
        <v>516</v>
      </c>
      <c r="T60" t="s">
        <v>517</v>
      </c>
      <c r="U60" t="b">
        <v>0</v>
      </c>
      <c r="V60" t="s">
        <v>63</v>
      </c>
      <c r="W60">
        <v>255</v>
      </c>
    </row>
    <row r="61" spans="1:23" hidden="1" x14ac:dyDescent="0.3">
      <c r="A61" t="s">
        <v>52</v>
      </c>
      <c r="B61" t="s">
        <v>53</v>
      </c>
      <c r="C61" t="s">
        <v>17</v>
      </c>
      <c r="D61" t="s">
        <v>18</v>
      </c>
      <c r="E61" t="s">
        <v>19</v>
      </c>
      <c r="F61" t="s">
        <v>363</v>
      </c>
      <c r="G61" t="s">
        <v>615</v>
      </c>
      <c r="H61" t="s">
        <v>569</v>
      </c>
      <c r="I61" t="s">
        <v>11</v>
      </c>
      <c r="J61" t="s">
        <v>616</v>
      </c>
      <c r="K61" t="s">
        <v>617</v>
      </c>
      <c r="L61" t="s">
        <v>572</v>
      </c>
      <c r="M61">
        <v>51</v>
      </c>
      <c r="N61" t="b">
        <v>0</v>
      </c>
      <c r="O61">
        <v>0.82666666666666655</v>
      </c>
      <c r="P61">
        <v>0.81578947368421051</v>
      </c>
      <c r="Q61">
        <v>0.83783783783783783</v>
      </c>
      <c r="R61" t="s">
        <v>60</v>
      </c>
      <c r="S61" t="s">
        <v>618</v>
      </c>
      <c r="T61" t="s">
        <v>619</v>
      </c>
      <c r="U61" t="b">
        <v>0</v>
      </c>
      <c r="V61" t="s">
        <v>63</v>
      </c>
      <c r="W61">
        <v>209.3</v>
      </c>
    </row>
    <row r="62" spans="1:23" hidden="1" x14ac:dyDescent="0.3">
      <c r="A62" t="s">
        <v>52</v>
      </c>
      <c r="B62" t="s">
        <v>53</v>
      </c>
      <c r="C62" t="s">
        <v>17</v>
      </c>
      <c r="D62" t="s">
        <v>18</v>
      </c>
      <c r="E62" t="s">
        <v>19</v>
      </c>
      <c r="F62" t="s">
        <v>54</v>
      </c>
      <c r="G62" t="s">
        <v>109</v>
      </c>
      <c r="H62" t="s">
        <v>56</v>
      </c>
      <c r="I62" t="s">
        <v>7</v>
      </c>
      <c r="J62" t="s">
        <v>110</v>
      </c>
      <c r="K62" t="s">
        <v>111</v>
      </c>
      <c r="L62" t="s">
        <v>59</v>
      </c>
      <c r="M62">
        <v>52</v>
      </c>
      <c r="N62" t="b">
        <v>1</v>
      </c>
      <c r="O62">
        <v>0.66933867735470953</v>
      </c>
      <c r="P62">
        <v>0.620817843866171</v>
      </c>
      <c r="Q62">
        <v>0.72608695652173916</v>
      </c>
      <c r="R62" t="s">
        <v>60</v>
      </c>
      <c r="S62" t="s">
        <v>112</v>
      </c>
      <c r="T62" t="s">
        <v>113</v>
      </c>
      <c r="U62" t="b">
        <v>0</v>
      </c>
      <c r="V62" t="s">
        <v>63</v>
      </c>
      <c r="W62">
        <v>170.9</v>
      </c>
    </row>
    <row r="63" spans="1:23" hidden="1" x14ac:dyDescent="0.3">
      <c r="A63" t="s">
        <v>52</v>
      </c>
      <c r="B63" t="s">
        <v>53</v>
      </c>
      <c r="C63" t="s">
        <v>17</v>
      </c>
      <c r="D63" t="s">
        <v>18</v>
      </c>
      <c r="E63" t="s">
        <v>19</v>
      </c>
      <c r="F63" t="s">
        <v>54</v>
      </c>
      <c r="G63" t="s">
        <v>211</v>
      </c>
      <c r="H63" t="s">
        <v>160</v>
      </c>
      <c r="I63" t="s">
        <v>3</v>
      </c>
      <c r="J63" t="s">
        <v>212</v>
      </c>
      <c r="K63" t="s">
        <v>213</v>
      </c>
      <c r="L63" t="s">
        <v>163</v>
      </c>
      <c r="M63">
        <v>52</v>
      </c>
      <c r="N63" t="b">
        <v>0</v>
      </c>
      <c r="O63">
        <v>0.75409836065573765</v>
      </c>
      <c r="P63">
        <v>0.70050761421319796</v>
      </c>
      <c r="Q63">
        <v>0.81656804733727806</v>
      </c>
      <c r="R63" t="s">
        <v>60</v>
      </c>
      <c r="S63" t="s">
        <v>214</v>
      </c>
      <c r="T63" t="s">
        <v>215</v>
      </c>
      <c r="U63" t="b">
        <v>0</v>
      </c>
      <c r="V63" t="s">
        <v>63</v>
      </c>
      <c r="W63">
        <v>63.3</v>
      </c>
    </row>
    <row r="64" spans="1:23" hidden="1" x14ac:dyDescent="0.3">
      <c r="A64" t="s">
        <v>52</v>
      </c>
      <c r="B64" t="s">
        <v>53</v>
      </c>
      <c r="C64" t="s">
        <v>17</v>
      </c>
      <c r="D64" t="s">
        <v>18</v>
      </c>
      <c r="E64" t="s">
        <v>19</v>
      </c>
      <c r="F64" t="s">
        <v>54</v>
      </c>
      <c r="G64" t="s">
        <v>313</v>
      </c>
      <c r="H64" t="s">
        <v>262</v>
      </c>
      <c r="I64" t="s">
        <v>5</v>
      </c>
      <c r="J64" t="s">
        <v>314</v>
      </c>
      <c r="K64" t="s">
        <v>315</v>
      </c>
      <c r="L64" t="s">
        <v>265</v>
      </c>
      <c r="M64">
        <v>52</v>
      </c>
      <c r="N64" t="b">
        <v>0</v>
      </c>
      <c r="O64">
        <v>0.7379912663755458</v>
      </c>
      <c r="P64">
        <v>0.71610169491525422</v>
      </c>
      <c r="Q64">
        <v>0.76126126126126126</v>
      </c>
      <c r="R64" t="s">
        <v>60</v>
      </c>
      <c r="S64" t="s">
        <v>316</v>
      </c>
      <c r="T64" t="s">
        <v>317</v>
      </c>
      <c r="U64" t="b">
        <v>0</v>
      </c>
      <c r="V64" t="s">
        <v>63</v>
      </c>
      <c r="W64">
        <v>65.3</v>
      </c>
    </row>
    <row r="65" spans="1:23" hidden="1" x14ac:dyDescent="0.3">
      <c r="A65" t="s">
        <v>52</v>
      </c>
      <c r="B65" t="s">
        <v>53</v>
      </c>
      <c r="C65" t="s">
        <v>17</v>
      </c>
      <c r="D65" t="s">
        <v>18</v>
      </c>
      <c r="E65" t="s">
        <v>19</v>
      </c>
      <c r="F65" t="s">
        <v>363</v>
      </c>
      <c r="G65" t="s">
        <v>416</v>
      </c>
      <c r="H65" t="s">
        <v>365</v>
      </c>
      <c r="I65" t="s">
        <v>13</v>
      </c>
      <c r="J65" t="s">
        <v>417</v>
      </c>
      <c r="K65" t="s">
        <v>418</v>
      </c>
      <c r="L65" t="s">
        <v>368</v>
      </c>
      <c r="M65">
        <v>52</v>
      </c>
      <c r="N65" t="b">
        <v>0</v>
      </c>
      <c r="O65">
        <v>0.78189300411522633</v>
      </c>
      <c r="P65">
        <v>0.7421875</v>
      </c>
      <c r="Q65">
        <v>0.82608695652173914</v>
      </c>
      <c r="R65" t="s">
        <v>60</v>
      </c>
      <c r="S65" t="s">
        <v>419</v>
      </c>
      <c r="T65" t="s">
        <v>420</v>
      </c>
      <c r="U65" t="b">
        <v>0</v>
      </c>
      <c r="V65" t="s">
        <v>63</v>
      </c>
      <c r="W65">
        <v>267.8</v>
      </c>
    </row>
    <row r="66" spans="1:23" hidden="1" x14ac:dyDescent="0.3">
      <c r="A66" t="s">
        <v>52</v>
      </c>
      <c r="B66" t="s">
        <v>53</v>
      </c>
      <c r="C66" t="s">
        <v>17</v>
      </c>
      <c r="D66" t="s">
        <v>18</v>
      </c>
      <c r="E66" t="s">
        <v>19</v>
      </c>
      <c r="F66" t="s">
        <v>363</v>
      </c>
      <c r="G66" t="s">
        <v>518</v>
      </c>
      <c r="H66" t="s">
        <v>467</v>
      </c>
      <c r="I66" t="s">
        <v>9</v>
      </c>
      <c r="J66" t="s">
        <v>519</v>
      </c>
      <c r="K66" t="s">
        <v>520</v>
      </c>
      <c r="L66" t="s">
        <v>470</v>
      </c>
      <c r="M66">
        <v>52</v>
      </c>
      <c r="N66" t="b">
        <v>0</v>
      </c>
      <c r="O66">
        <v>0.78840579710144931</v>
      </c>
      <c r="P66">
        <v>0.77272727272727271</v>
      </c>
      <c r="Q66">
        <v>0.80473372781065089</v>
      </c>
      <c r="R66" t="s">
        <v>60</v>
      </c>
      <c r="S66" t="s">
        <v>521</v>
      </c>
      <c r="T66" t="s">
        <v>522</v>
      </c>
      <c r="U66" t="b">
        <v>0</v>
      </c>
      <c r="V66" t="s">
        <v>63</v>
      </c>
      <c r="W66">
        <v>254.7</v>
      </c>
    </row>
    <row r="67" spans="1:23" hidden="1" x14ac:dyDescent="0.3">
      <c r="A67" t="s">
        <v>52</v>
      </c>
      <c r="B67" t="s">
        <v>53</v>
      </c>
      <c r="C67" t="s">
        <v>17</v>
      </c>
      <c r="D67" t="s">
        <v>18</v>
      </c>
      <c r="E67" t="s">
        <v>19</v>
      </c>
      <c r="F67" t="s">
        <v>363</v>
      </c>
      <c r="G67" t="s">
        <v>620</v>
      </c>
      <c r="H67" t="s">
        <v>569</v>
      </c>
      <c r="I67" t="s">
        <v>11</v>
      </c>
      <c r="J67" t="s">
        <v>621</v>
      </c>
      <c r="K67" t="s">
        <v>622</v>
      </c>
      <c r="L67" t="s">
        <v>572</v>
      </c>
      <c r="M67">
        <v>52</v>
      </c>
      <c r="N67" t="b">
        <v>0</v>
      </c>
      <c r="O67">
        <v>0.81758241758241768</v>
      </c>
      <c r="P67">
        <v>0.79828326180257514</v>
      </c>
      <c r="Q67">
        <v>0.83783783783783783</v>
      </c>
      <c r="R67" t="s">
        <v>60</v>
      </c>
      <c r="S67" t="s">
        <v>623</v>
      </c>
      <c r="T67" t="s">
        <v>624</v>
      </c>
      <c r="U67" t="b">
        <v>0</v>
      </c>
      <c r="V67" t="s">
        <v>63</v>
      </c>
      <c r="W67">
        <v>235.2</v>
      </c>
    </row>
    <row r="68" spans="1:23" hidden="1" x14ac:dyDescent="0.3">
      <c r="A68" t="s">
        <v>52</v>
      </c>
      <c r="B68" t="s">
        <v>53</v>
      </c>
      <c r="C68" t="s">
        <v>17</v>
      </c>
      <c r="D68" t="s">
        <v>18</v>
      </c>
      <c r="E68" t="s">
        <v>19</v>
      </c>
      <c r="F68" t="s">
        <v>54</v>
      </c>
      <c r="G68" t="s">
        <v>114</v>
      </c>
      <c r="H68" t="s">
        <v>56</v>
      </c>
      <c r="I68" t="s">
        <v>7</v>
      </c>
      <c r="J68" t="s">
        <v>115</v>
      </c>
      <c r="K68" t="s">
        <v>116</v>
      </c>
      <c r="L68" t="s">
        <v>59</v>
      </c>
      <c r="M68">
        <v>53</v>
      </c>
      <c r="N68" t="b">
        <v>1</v>
      </c>
      <c r="O68">
        <v>0.66933867735470953</v>
      </c>
      <c r="P68">
        <v>0.620817843866171</v>
      </c>
      <c r="Q68">
        <v>0.72608695652173916</v>
      </c>
      <c r="R68" t="s">
        <v>60</v>
      </c>
      <c r="S68" t="s">
        <v>117</v>
      </c>
      <c r="T68" t="s">
        <v>118</v>
      </c>
      <c r="U68" t="b">
        <v>0</v>
      </c>
      <c r="V68" t="s">
        <v>63</v>
      </c>
      <c r="W68">
        <v>145</v>
      </c>
    </row>
    <row r="69" spans="1:23" hidden="1" x14ac:dyDescent="0.3">
      <c r="A69" t="s">
        <v>52</v>
      </c>
      <c r="B69" t="s">
        <v>53</v>
      </c>
      <c r="C69" t="s">
        <v>17</v>
      </c>
      <c r="D69" t="s">
        <v>18</v>
      </c>
      <c r="E69" t="s">
        <v>19</v>
      </c>
      <c r="F69" t="s">
        <v>54</v>
      </c>
      <c r="G69" t="s">
        <v>216</v>
      </c>
      <c r="H69" t="s">
        <v>160</v>
      </c>
      <c r="I69" t="s">
        <v>3</v>
      </c>
      <c r="J69" t="s">
        <v>217</v>
      </c>
      <c r="K69" t="s">
        <v>218</v>
      </c>
      <c r="L69" t="s">
        <v>163</v>
      </c>
      <c r="M69">
        <v>53</v>
      </c>
      <c r="N69" t="b">
        <v>0</v>
      </c>
      <c r="O69">
        <v>0.75409836065573765</v>
      </c>
      <c r="P69">
        <v>0.70050761421319796</v>
      </c>
      <c r="Q69">
        <v>0.81656804733727806</v>
      </c>
      <c r="R69" t="s">
        <v>60</v>
      </c>
      <c r="S69" t="s">
        <v>219</v>
      </c>
      <c r="T69" t="s">
        <v>220</v>
      </c>
      <c r="U69" t="b">
        <v>0</v>
      </c>
      <c r="V69" t="s">
        <v>63</v>
      </c>
      <c r="W69">
        <v>53.4</v>
      </c>
    </row>
    <row r="70" spans="1:23" hidden="1" x14ac:dyDescent="0.3">
      <c r="A70" t="s">
        <v>52</v>
      </c>
      <c r="B70" t="s">
        <v>53</v>
      </c>
      <c r="C70" t="s">
        <v>17</v>
      </c>
      <c r="D70" t="s">
        <v>18</v>
      </c>
      <c r="E70" t="s">
        <v>19</v>
      </c>
      <c r="F70" t="s">
        <v>54</v>
      </c>
      <c r="G70" t="s">
        <v>318</v>
      </c>
      <c r="H70" t="s">
        <v>262</v>
      </c>
      <c r="I70" t="s">
        <v>5</v>
      </c>
      <c r="J70" t="s">
        <v>319</v>
      </c>
      <c r="K70" t="s">
        <v>320</v>
      </c>
      <c r="L70" t="s">
        <v>265</v>
      </c>
      <c r="M70">
        <v>53</v>
      </c>
      <c r="N70" t="b">
        <v>0</v>
      </c>
      <c r="O70">
        <v>0.7379912663755458</v>
      </c>
      <c r="P70">
        <v>0.71610169491525422</v>
      </c>
      <c r="Q70">
        <v>0.76126126126126126</v>
      </c>
      <c r="R70" t="s">
        <v>60</v>
      </c>
      <c r="S70" t="s">
        <v>321</v>
      </c>
      <c r="T70" t="s">
        <v>322</v>
      </c>
      <c r="U70" t="b">
        <v>0</v>
      </c>
      <c r="V70" t="s">
        <v>63</v>
      </c>
      <c r="W70">
        <v>66</v>
      </c>
    </row>
    <row r="71" spans="1:23" hidden="1" x14ac:dyDescent="0.3">
      <c r="A71" t="s">
        <v>52</v>
      </c>
      <c r="B71" t="s">
        <v>53</v>
      </c>
      <c r="C71" t="s">
        <v>17</v>
      </c>
      <c r="D71" t="s">
        <v>18</v>
      </c>
      <c r="E71" t="s">
        <v>19</v>
      </c>
      <c r="F71" t="s">
        <v>363</v>
      </c>
      <c r="G71" t="s">
        <v>421</v>
      </c>
      <c r="H71" t="s">
        <v>365</v>
      </c>
      <c r="I71" t="s">
        <v>13</v>
      </c>
      <c r="J71" t="s">
        <v>422</v>
      </c>
      <c r="K71" t="s">
        <v>423</v>
      </c>
      <c r="L71" t="s">
        <v>368</v>
      </c>
      <c r="M71">
        <v>53</v>
      </c>
      <c r="N71" t="b">
        <v>0</v>
      </c>
      <c r="O71">
        <v>0.78151260504201681</v>
      </c>
      <c r="P71">
        <v>0.75609756097560976</v>
      </c>
      <c r="Q71">
        <v>0.80869565217391304</v>
      </c>
      <c r="R71" t="s">
        <v>60</v>
      </c>
      <c r="S71" t="s">
        <v>424</v>
      </c>
      <c r="T71" t="s">
        <v>425</v>
      </c>
      <c r="U71" t="b">
        <v>0</v>
      </c>
      <c r="V71" t="s">
        <v>63</v>
      </c>
      <c r="W71">
        <v>298.10000000000002</v>
      </c>
    </row>
    <row r="72" spans="1:23" hidden="1" x14ac:dyDescent="0.3">
      <c r="A72" t="s">
        <v>52</v>
      </c>
      <c r="B72" t="s">
        <v>53</v>
      </c>
      <c r="C72" t="s">
        <v>17</v>
      </c>
      <c r="D72" t="s">
        <v>18</v>
      </c>
      <c r="E72" t="s">
        <v>19</v>
      </c>
      <c r="F72" t="s">
        <v>363</v>
      </c>
      <c r="G72" t="s">
        <v>523</v>
      </c>
      <c r="H72" t="s">
        <v>467</v>
      </c>
      <c r="I72" t="s">
        <v>9</v>
      </c>
      <c r="J72" t="s">
        <v>524</v>
      </c>
      <c r="K72" t="s">
        <v>525</v>
      </c>
      <c r="L72" t="s">
        <v>470</v>
      </c>
      <c r="M72">
        <v>53</v>
      </c>
      <c r="N72" t="b">
        <v>0</v>
      </c>
      <c r="O72">
        <v>0.82857142857142851</v>
      </c>
      <c r="P72">
        <v>0.80110497237569056</v>
      </c>
      <c r="Q72">
        <v>0.85798816568047342</v>
      </c>
      <c r="R72" t="s">
        <v>60</v>
      </c>
      <c r="S72" t="s">
        <v>526</v>
      </c>
      <c r="T72" t="s">
        <v>527</v>
      </c>
      <c r="U72" t="b">
        <v>0</v>
      </c>
      <c r="V72" t="s">
        <v>63</v>
      </c>
      <c r="W72">
        <v>284.8</v>
      </c>
    </row>
    <row r="73" spans="1:23" hidden="1" x14ac:dyDescent="0.3">
      <c r="A73" t="s">
        <v>52</v>
      </c>
      <c r="B73" t="s">
        <v>53</v>
      </c>
      <c r="C73" t="s">
        <v>17</v>
      </c>
      <c r="D73" t="s">
        <v>18</v>
      </c>
      <c r="E73" t="s">
        <v>19</v>
      </c>
      <c r="F73" t="s">
        <v>363</v>
      </c>
      <c r="G73" t="s">
        <v>625</v>
      </c>
      <c r="H73" t="s">
        <v>569</v>
      </c>
      <c r="I73" t="s">
        <v>11</v>
      </c>
      <c r="J73" t="s">
        <v>626</v>
      </c>
      <c r="K73" t="s">
        <v>627</v>
      </c>
      <c r="L73" t="s">
        <v>572</v>
      </c>
      <c r="M73">
        <v>53</v>
      </c>
      <c r="N73" t="b">
        <v>0</v>
      </c>
      <c r="O73">
        <v>0.80353200883002218</v>
      </c>
      <c r="P73">
        <v>0.78787878787878785</v>
      </c>
      <c r="Q73">
        <v>0.81981981981981977</v>
      </c>
      <c r="R73" t="s">
        <v>60</v>
      </c>
      <c r="S73" t="s">
        <v>628</v>
      </c>
      <c r="T73" t="s">
        <v>629</v>
      </c>
      <c r="U73" t="b">
        <v>0</v>
      </c>
      <c r="V73" t="s">
        <v>63</v>
      </c>
      <c r="W73">
        <v>195.9</v>
      </c>
    </row>
    <row r="74" spans="1:23" hidden="1" x14ac:dyDescent="0.3">
      <c r="A74" t="s">
        <v>52</v>
      </c>
      <c r="B74" t="s">
        <v>53</v>
      </c>
      <c r="C74" t="s">
        <v>17</v>
      </c>
      <c r="D74" t="s">
        <v>18</v>
      </c>
      <c r="E74" t="s">
        <v>19</v>
      </c>
      <c r="F74" t="s">
        <v>54</v>
      </c>
      <c r="G74" t="s">
        <v>119</v>
      </c>
      <c r="H74" t="s">
        <v>56</v>
      </c>
      <c r="I74" t="s">
        <v>7</v>
      </c>
      <c r="J74" t="s">
        <v>120</v>
      </c>
      <c r="K74" t="s">
        <v>121</v>
      </c>
      <c r="L74" t="s">
        <v>59</v>
      </c>
      <c r="M74">
        <v>54</v>
      </c>
      <c r="N74" t="b">
        <v>1</v>
      </c>
      <c r="O74">
        <v>0.66933867735470953</v>
      </c>
      <c r="P74">
        <v>0.620817843866171</v>
      </c>
      <c r="Q74">
        <v>0.72608695652173916</v>
      </c>
      <c r="R74" t="s">
        <v>60</v>
      </c>
      <c r="S74" t="s">
        <v>122</v>
      </c>
      <c r="T74" t="s">
        <v>123</v>
      </c>
      <c r="U74" t="b">
        <v>0</v>
      </c>
      <c r="V74" t="s">
        <v>63</v>
      </c>
      <c r="W74">
        <v>72.900000000000006</v>
      </c>
    </row>
    <row r="75" spans="1:23" hidden="1" x14ac:dyDescent="0.3">
      <c r="A75" t="s">
        <v>52</v>
      </c>
      <c r="B75" t="s">
        <v>53</v>
      </c>
      <c r="C75" t="s">
        <v>17</v>
      </c>
      <c r="D75" t="s">
        <v>18</v>
      </c>
      <c r="E75" t="s">
        <v>19</v>
      </c>
      <c r="F75" t="s">
        <v>54</v>
      </c>
      <c r="G75" t="s">
        <v>221</v>
      </c>
      <c r="H75" t="s">
        <v>160</v>
      </c>
      <c r="I75" t="s">
        <v>3</v>
      </c>
      <c r="J75" t="s">
        <v>222</v>
      </c>
      <c r="K75" t="s">
        <v>223</v>
      </c>
      <c r="L75" t="s">
        <v>163</v>
      </c>
      <c r="M75">
        <v>54</v>
      </c>
      <c r="N75" t="b">
        <v>0</v>
      </c>
      <c r="O75">
        <v>0.75409836065573765</v>
      </c>
      <c r="P75">
        <v>0.70050761421319796</v>
      </c>
      <c r="Q75">
        <v>0.81656804733727806</v>
      </c>
      <c r="R75" t="s">
        <v>60</v>
      </c>
      <c r="S75" t="s">
        <v>224</v>
      </c>
      <c r="T75" t="s">
        <v>225</v>
      </c>
      <c r="U75" t="b">
        <v>0</v>
      </c>
      <c r="V75" t="s">
        <v>63</v>
      </c>
      <c r="W75">
        <v>63.4</v>
      </c>
    </row>
    <row r="76" spans="1:23" hidden="1" x14ac:dyDescent="0.3">
      <c r="A76" t="s">
        <v>52</v>
      </c>
      <c r="B76" t="s">
        <v>53</v>
      </c>
      <c r="C76" t="s">
        <v>17</v>
      </c>
      <c r="D76" t="s">
        <v>18</v>
      </c>
      <c r="E76" t="s">
        <v>19</v>
      </c>
      <c r="F76" t="s">
        <v>54</v>
      </c>
      <c r="G76" t="s">
        <v>323</v>
      </c>
      <c r="H76" t="s">
        <v>262</v>
      </c>
      <c r="I76" t="s">
        <v>5</v>
      </c>
      <c r="J76" t="s">
        <v>324</v>
      </c>
      <c r="K76" t="s">
        <v>325</v>
      </c>
      <c r="L76" t="s">
        <v>265</v>
      </c>
      <c r="M76">
        <v>54</v>
      </c>
      <c r="N76" t="b">
        <v>0</v>
      </c>
      <c r="O76">
        <v>0.7379912663755458</v>
      </c>
      <c r="P76">
        <v>0.71610169491525422</v>
      </c>
      <c r="Q76">
        <v>0.76126126126126126</v>
      </c>
      <c r="R76" t="s">
        <v>60</v>
      </c>
      <c r="S76" t="s">
        <v>326</v>
      </c>
      <c r="T76" t="s">
        <v>327</v>
      </c>
      <c r="U76" t="b">
        <v>0</v>
      </c>
      <c r="V76" t="s">
        <v>63</v>
      </c>
      <c r="W76">
        <v>65.400000000000006</v>
      </c>
    </row>
    <row r="77" spans="1:23" hidden="1" x14ac:dyDescent="0.3">
      <c r="A77" t="s">
        <v>52</v>
      </c>
      <c r="B77" t="s">
        <v>53</v>
      </c>
      <c r="C77" t="s">
        <v>17</v>
      </c>
      <c r="D77" t="s">
        <v>18</v>
      </c>
      <c r="E77" t="s">
        <v>19</v>
      </c>
      <c r="F77" t="s">
        <v>363</v>
      </c>
      <c r="G77" t="s">
        <v>426</v>
      </c>
      <c r="H77" t="s">
        <v>365</v>
      </c>
      <c r="I77" t="s">
        <v>13</v>
      </c>
      <c r="J77" t="s">
        <v>427</v>
      </c>
      <c r="K77" t="s">
        <v>428</v>
      </c>
      <c r="L77" t="s">
        <v>368</v>
      </c>
      <c r="M77">
        <v>54</v>
      </c>
      <c r="N77" t="b">
        <v>0</v>
      </c>
      <c r="O77">
        <v>0.79583333333333317</v>
      </c>
      <c r="P77">
        <v>0.76400000000000001</v>
      </c>
      <c r="Q77">
        <v>0.83043478260869563</v>
      </c>
      <c r="R77" t="s">
        <v>60</v>
      </c>
      <c r="S77" t="s">
        <v>429</v>
      </c>
      <c r="T77" t="s">
        <v>430</v>
      </c>
      <c r="U77" t="b">
        <v>0</v>
      </c>
      <c r="V77" t="s">
        <v>63</v>
      </c>
      <c r="W77">
        <v>316</v>
      </c>
    </row>
    <row r="78" spans="1:23" hidden="1" x14ac:dyDescent="0.3">
      <c r="A78" t="s">
        <v>52</v>
      </c>
      <c r="B78" t="s">
        <v>53</v>
      </c>
      <c r="C78" t="s">
        <v>17</v>
      </c>
      <c r="D78" t="s">
        <v>18</v>
      </c>
      <c r="E78" t="s">
        <v>19</v>
      </c>
      <c r="F78" t="s">
        <v>363</v>
      </c>
      <c r="G78" t="s">
        <v>528</v>
      </c>
      <c r="H78" t="s">
        <v>467</v>
      </c>
      <c r="I78" t="s">
        <v>9</v>
      </c>
      <c r="J78" t="s">
        <v>529</v>
      </c>
      <c r="K78" t="s">
        <v>530</v>
      </c>
      <c r="L78" t="s">
        <v>470</v>
      </c>
      <c r="M78">
        <v>54</v>
      </c>
      <c r="N78" t="b">
        <v>0</v>
      </c>
      <c r="O78">
        <v>0.8089887640449438</v>
      </c>
      <c r="P78">
        <v>0.77005347593582885</v>
      </c>
      <c r="Q78">
        <v>0.85207100591715978</v>
      </c>
      <c r="R78" t="s">
        <v>60</v>
      </c>
      <c r="S78" t="s">
        <v>531</v>
      </c>
      <c r="T78" t="s">
        <v>532</v>
      </c>
      <c r="U78" t="b">
        <v>0</v>
      </c>
      <c r="V78" t="s">
        <v>63</v>
      </c>
      <c r="W78">
        <v>275.89999999999998</v>
      </c>
    </row>
    <row r="79" spans="1:23" hidden="1" x14ac:dyDescent="0.3">
      <c r="A79" t="s">
        <v>52</v>
      </c>
      <c r="B79" t="s">
        <v>53</v>
      </c>
      <c r="C79" t="s">
        <v>17</v>
      </c>
      <c r="D79" t="s">
        <v>18</v>
      </c>
      <c r="E79" t="s">
        <v>19</v>
      </c>
      <c r="F79" t="s">
        <v>363</v>
      </c>
      <c r="G79" t="s">
        <v>630</v>
      </c>
      <c r="H79" t="s">
        <v>569</v>
      </c>
      <c r="I79" t="s">
        <v>11</v>
      </c>
      <c r="J79" t="s">
        <v>631</v>
      </c>
      <c r="K79" t="s">
        <v>632</v>
      </c>
      <c r="L79" t="s">
        <v>572</v>
      </c>
      <c r="M79">
        <v>54</v>
      </c>
      <c r="N79" t="b">
        <v>0</v>
      </c>
      <c r="O79">
        <v>0.8080357142857143</v>
      </c>
      <c r="P79">
        <v>0.80088495575221241</v>
      </c>
      <c r="Q79">
        <v>0.81531531531531531</v>
      </c>
      <c r="R79" t="s">
        <v>60</v>
      </c>
      <c r="S79" t="s">
        <v>633</v>
      </c>
      <c r="T79" t="s">
        <v>634</v>
      </c>
      <c r="U79" t="b">
        <v>0</v>
      </c>
      <c r="V79" t="s">
        <v>63</v>
      </c>
      <c r="W79">
        <v>223.3</v>
      </c>
    </row>
    <row r="80" spans="1:23" hidden="1" x14ac:dyDescent="0.3">
      <c r="A80" t="s">
        <v>52</v>
      </c>
      <c r="B80" t="s">
        <v>53</v>
      </c>
      <c r="C80" t="s">
        <v>17</v>
      </c>
      <c r="D80" t="s">
        <v>18</v>
      </c>
      <c r="E80" t="s">
        <v>19</v>
      </c>
      <c r="F80" t="s">
        <v>54</v>
      </c>
      <c r="G80" t="s">
        <v>124</v>
      </c>
      <c r="H80" t="s">
        <v>56</v>
      </c>
      <c r="I80" t="s">
        <v>7</v>
      </c>
      <c r="J80" t="s">
        <v>125</v>
      </c>
      <c r="K80" t="s">
        <v>126</v>
      </c>
      <c r="L80" t="s">
        <v>59</v>
      </c>
      <c r="M80">
        <v>55</v>
      </c>
      <c r="N80" t="b">
        <v>1</v>
      </c>
      <c r="O80">
        <v>0.66933867735470953</v>
      </c>
      <c r="P80">
        <v>0.620817843866171</v>
      </c>
      <c r="Q80">
        <v>0.72608695652173916</v>
      </c>
      <c r="R80" t="s">
        <v>60</v>
      </c>
      <c r="S80" t="s">
        <v>127</v>
      </c>
      <c r="T80" t="s">
        <v>128</v>
      </c>
      <c r="U80" t="b">
        <v>0</v>
      </c>
      <c r="V80" t="s">
        <v>63</v>
      </c>
      <c r="W80">
        <v>74.7</v>
      </c>
    </row>
    <row r="81" spans="1:23" hidden="1" x14ac:dyDescent="0.3">
      <c r="A81" t="s">
        <v>52</v>
      </c>
      <c r="B81" t="s">
        <v>53</v>
      </c>
      <c r="C81" t="s">
        <v>17</v>
      </c>
      <c r="D81" t="s">
        <v>18</v>
      </c>
      <c r="E81" t="s">
        <v>19</v>
      </c>
      <c r="F81" t="s">
        <v>54</v>
      </c>
      <c r="G81" t="s">
        <v>226</v>
      </c>
      <c r="H81" t="s">
        <v>160</v>
      </c>
      <c r="I81" t="s">
        <v>3</v>
      </c>
      <c r="J81" t="s">
        <v>227</v>
      </c>
      <c r="K81" t="s">
        <v>228</v>
      </c>
      <c r="L81" t="s">
        <v>163</v>
      </c>
      <c r="M81">
        <v>55</v>
      </c>
      <c r="N81" t="b">
        <v>0</v>
      </c>
      <c r="O81">
        <v>0.75409836065573765</v>
      </c>
      <c r="P81">
        <v>0.70050761421319796</v>
      </c>
      <c r="Q81">
        <v>0.81656804733727806</v>
      </c>
      <c r="R81" t="s">
        <v>60</v>
      </c>
      <c r="S81" t="s">
        <v>229</v>
      </c>
      <c r="T81" t="s">
        <v>230</v>
      </c>
      <c r="U81" t="b">
        <v>0</v>
      </c>
      <c r="V81" t="s">
        <v>63</v>
      </c>
      <c r="W81">
        <v>63.2</v>
      </c>
    </row>
    <row r="82" spans="1:23" hidden="1" x14ac:dyDescent="0.3">
      <c r="A82" t="s">
        <v>52</v>
      </c>
      <c r="B82" t="s">
        <v>53</v>
      </c>
      <c r="C82" t="s">
        <v>17</v>
      </c>
      <c r="D82" t="s">
        <v>18</v>
      </c>
      <c r="E82" t="s">
        <v>19</v>
      </c>
      <c r="F82" t="s">
        <v>54</v>
      </c>
      <c r="G82" t="s">
        <v>328</v>
      </c>
      <c r="H82" t="s">
        <v>262</v>
      </c>
      <c r="I82" t="s">
        <v>5</v>
      </c>
      <c r="J82" t="s">
        <v>329</v>
      </c>
      <c r="K82" t="s">
        <v>330</v>
      </c>
      <c r="L82" t="s">
        <v>265</v>
      </c>
      <c r="M82">
        <v>55</v>
      </c>
      <c r="N82" t="b">
        <v>0</v>
      </c>
      <c r="O82">
        <v>0.7379912663755458</v>
      </c>
      <c r="P82">
        <v>0.71610169491525422</v>
      </c>
      <c r="Q82">
        <v>0.76126126126126126</v>
      </c>
      <c r="R82" t="s">
        <v>60</v>
      </c>
      <c r="S82" t="s">
        <v>331</v>
      </c>
      <c r="T82" t="s">
        <v>332</v>
      </c>
      <c r="U82" t="b">
        <v>0</v>
      </c>
      <c r="V82" t="s">
        <v>63</v>
      </c>
      <c r="W82">
        <v>65.900000000000006</v>
      </c>
    </row>
    <row r="83" spans="1:23" hidden="1" x14ac:dyDescent="0.3">
      <c r="A83" t="s">
        <v>52</v>
      </c>
      <c r="B83" t="s">
        <v>53</v>
      </c>
      <c r="C83" t="s">
        <v>17</v>
      </c>
      <c r="D83" t="s">
        <v>18</v>
      </c>
      <c r="E83" t="s">
        <v>19</v>
      </c>
      <c r="F83" t="s">
        <v>363</v>
      </c>
      <c r="G83" t="s">
        <v>431</v>
      </c>
      <c r="H83" t="s">
        <v>365</v>
      </c>
      <c r="I83" t="s">
        <v>13</v>
      </c>
      <c r="J83" t="s">
        <v>432</v>
      </c>
      <c r="K83" t="s">
        <v>433</v>
      </c>
      <c r="L83" t="s">
        <v>368</v>
      </c>
      <c r="M83">
        <v>55</v>
      </c>
      <c r="N83" t="b">
        <v>0</v>
      </c>
      <c r="O83">
        <v>0.76923076923076916</v>
      </c>
      <c r="P83">
        <v>0.73705179282868527</v>
      </c>
      <c r="Q83">
        <v>0.80434782608695654</v>
      </c>
      <c r="R83" t="s">
        <v>60</v>
      </c>
      <c r="S83" t="s">
        <v>434</v>
      </c>
      <c r="T83" t="s">
        <v>435</v>
      </c>
      <c r="U83" t="b">
        <v>0</v>
      </c>
      <c r="V83" t="s">
        <v>63</v>
      </c>
      <c r="W83">
        <v>325.5</v>
      </c>
    </row>
    <row r="84" spans="1:23" hidden="1" x14ac:dyDescent="0.3">
      <c r="A84" t="s">
        <v>52</v>
      </c>
      <c r="B84" t="s">
        <v>53</v>
      </c>
      <c r="C84" t="s">
        <v>17</v>
      </c>
      <c r="D84" t="s">
        <v>18</v>
      </c>
      <c r="E84" t="s">
        <v>19</v>
      </c>
      <c r="F84" t="s">
        <v>363</v>
      </c>
      <c r="G84" t="s">
        <v>533</v>
      </c>
      <c r="H84" t="s">
        <v>467</v>
      </c>
      <c r="I84" t="s">
        <v>9</v>
      </c>
      <c r="J84" t="s">
        <v>534</v>
      </c>
      <c r="K84" t="s">
        <v>535</v>
      </c>
      <c r="L84" t="s">
        <v>470</v>
      </c>
      <c r="M84">
        <v>55</v>
      </c>
      <c r="N84" t="b">
        <v>0</v>
      </c>
      <c r="O84">
        <v>0.79320113314447593</v>
      </c>
      <c r="P84">
        <v>0.76086956521739135</v>
      </c>
      <c r="Q84">
        <v>0.82840236686390534</v>
      </c>
      <c r="R84" t="s">
        <v>60</v>
      </c>
      <c r="S84" t="s">
        <v>536</v>
      </c>
      <c r="T84" t="s">
        <v>537</v>
      </c>
      <c r="U84" t="b">
        <v>0</v>
      </c>
      <c r="V84" t="s">
        <v>63</v>
      </c>
      <c r="W84">
        <v>187.9</v>
      </c>
    </row>
    <row r="85" spans="1:23" hidden="1" x14ac:dyDescent="0.3">
      <c r="A85" t="s">
        <v>52</v>
      </c>
      <c r="B85" t="s">
        <v>53</v>
      </c>
      <c r="C85" t="s">
        <v>17</v>
      </c>
      <c r="D85" t="s">
        <v>18</v>
      </c>
      <c r="E85" t="s">
        <v>19</v>
      </c>
      <c r="F85" t="s">
        <v>363</v>
      </c>
      <c r="G85" t="s">
        <v>635</v>
      </c>
      <c r="H85" t="s">
        <v>569</v>
      </c>
      <c r="I85" t="s">
        <v>11</v>
      </c>
      <c r="J85" t="s">
        <v>636</v>
      </c>
      <c r="K85" t="s">
        <v>637</v>
      </c>
      <c r="L85" t="s">
        <v>572</v>
      </c>
      <c r="M85">
        <v>55</v>
      </c>
      <c r="N85" t="b">
        <v>0</v>
      </c>
      <c r="O85">
        <v>0.81236203090507719</v>
      </c>
      <c r="P85">
        <v>0.79653679653679654</v>
      </c>
      <c r="Q85">
        <v>0.8288288288288288</v>
      </c>
      <c r="R85" t="s">
        <v>60</v>
      </c>
      <c r="S85" t="s">
        <v>638</v>
      </c>
      <c r="T85" t="s">
        <v>639</v>
      </c>
      <c r="U85" t="b">
        <v>0</v>
      </c>
      <c r="V85" t="s">
        <v>63</v>
      </c>
      <c r="W85">
        <v>207.5</v>
      </c>
    </row>
    <row r="86" spans="1:23" hidden="1" x14ac:dyDescent="0.3">
      <c r="A86" t="s">
        <v>52</v>
      </c>
      <c r="B86" t="s">
        <v>53</v>
      </c>
      <c r="C86" t="s">
        <v>17</v>
      </c>
      <c r="D86" t="s">
        <v>18</v>
      </c>
      <c r="E86" t="s">
        <v>19</v>
      </c>
      <c r="F86" t="s">
        <v>54</v>
      </c>
      <c r="G86" t="s">
        <v>129</v>
      </c>
      <c r="H86" t="s">
        <v>56</v>
      </c>
      <c r="I86" t="s">
        <v>7</v>
      </c>
      <c r="J86" t="s">
        <v>130</v>
      </c>
      <c r="K86" t="s">
        <v>131</v>
      </c>
      <c r="L86" t="s">
        <v>59</v>
      </c>
      <c r="M86">
        <v>56</v>
      </c>
      <c r="N86" t="b">
        <v>1</v>
      </c>
      <c r="O86">
        <v>0.66933867735470953</v>
      </c>
      <c r="P86">
        <v>0.620817843866171</v>
      </c>
      <c r="Q86">
        <v>0.72608695652173916</v>
      </c>
      <c r="R86" t="s">
        <v>60</v>
      </c>
      <c r="S86" t="s">
        <v>132</v>
      </c>
      <c r="T86" t="s">
        <v>133</v>
      </c>
      <c r="U86" t="b">
        <v>0</v>
      </c>
      <c r="V86" t="s">
        <v>63</v>
      </c>
      <c r="W86">
        <v>73</v>
      </c>
    </row>
    <row r="87" spans="1:23" hidden="1" x14ac:dyDescent="0.3">
      <c r="A87" t="s">
        <v>52</v>
      </c>
      <c r="B87" t="s">
        <v>53</v>
      </c>
      <c r="C87" t="s">
        <v>17</v>
      </c>
      <c r="D87" t="s">
        <v>18</v>
      </c>
      <c r="E87" t="s">
        <v>19</v>
      </c>
      <c r="F87" t="s">
        <v>54</v>
      </c>
      <c r="G87" t="s">
        <v>231</v>
      </c>
      <c r="H87" t="s">
        <v>160</v>
      </c>
      <c r="I87" t="s">
        <v>3</v>
      </c>
      <c r="J87" t="s">
        <v>232</v>
      </c>
      <c r="K87" t="s">
        <v>233</v>
      </c>
      <c r="L87" t="s">
        <v>163</v>
      </c>
      <c r="M87">
        <v>56</v>
      </c>
      <c r="N87" t="b">
        <v>0</v>
      </c>
      <c r="O87">
        <v>0.75409836065573765</v>
      </c>
      <c r="P87">
        <v>0.70050761421319796</v>
      </c>
      <c r="Q87">
        <v>0.81656804733727806</v>
      </c>
      <c r="R87" t="s">
        <v>60</v>
      </c>
      <c r="S87" t="s">
        <v>234</v>
      </c>
      <c r="T87" t="s">
        <v>235</v>
      </c>
      <c r="U87" t="b">
        <v>0</v>
      </c>
      <c r="V87" t="s">
        <v>63</v>
      </c>
      <c r="W87">
        <v>63.9</v>
      </c>
    </row>
    <row r="88" spans="1:23" hidden="1" x14ac:dyDescent="0.3">
      <c r="A88" t="s">
        <v>52</v>
      </c>
      <c r="B88" t="s">
        <v>53</v>
      </c>
      <c r="C88" t="s">
        <v>17</v>
      </c>
      <c r="D88" t="s">
        <v>18</v>
      </c>
      <c r="E88" t="s">
        <v>19</v>
      </c>
      <c r="F88" t="s">
        <v>54</v>
      </c>
      <c r="G88" t="s">
        <v>333</v>
      </c>
      <c r="H88" t="s">
        <v>262</v>
      </c>
      <c r="I88" t="s">
        <v>5</v>
      </c>
      <c r="J88" t="s">
        <v>334</v>
      </c>
      <c r="K88" t="s">
        <v>335</v>
      </c>
      <c r="L88" t="s">
        <v>265</v>
      </c>
      <c r="M88">
        <v>56</v>
      </c>
      <c r="N88" t="b">
        <v>0</v>
      </c>
      <c r="O88">
        <v>0.7379912663755458</v>
      </c>
      <c r="P88">
        <v>0.71610169491525422</v>
      </c>
      <c r="Q88">
        <v>0.76126126126126126</v>
      </c>
      <c r="R88" t="s">
        <v>60</v>
      </c>
      <c r="S88" t="s">
        <v>336</v>
      </c>
      <c r="T88" t="s">
        <v>337</v>
      </c>
      <c r="U88" t="b">
        <v>0</v>
      </c>
      <c r="V88" t="s">
        <v>63</v>
      </c>
      <c r="W88">
        <v>65</v>
      </c>
    </row>
    <row r="89" spans="1:23" hidden="1" x14ac:dyDescent="0.3">
      <c r="A89" t="s">
        <v>52</v>
      </c>
      <c r="B89" t="s">
        <v>53</v>
      </c>
      <c r="C89" t="s">
        <v>17</v>
      </c>
      <c r="D89" t="s">
        <v>18</v>
      </c>
      <c r="E89" t="s">
        <v>19</v>
      </c>
      <c r="F89" t="s">
        <v>363</v>
      </c>
      <c r="G89" t="s">
        <v>436</v>
      </c>
      <c r="H89" t="s">
        <v>365</v>
      </c>
      <c r="I89" t="s">
        <v>13</v>
      </c>
      <c r="J89" t="s">
        <v>437</v>
      </c>
      <c r="K89" t="s">
        <v>438</v>
      </c>
      <c r="L89" t="s">
        <v>368</v>
      </c>
      <c r="M89">
        <v>56</v>
      </c>
      <c r="N89" t="b">
        <v>0</v>
      </c>
      <c r="O89">
        <v>0.7857142857142857</v>
      </c>
      <c r="P89">
        <v>0.76016260162601623</v>
      </c>
      <c r="Q89">
        <v>0.81304347826086953</v>
      </c>
      <c r="R89" t="s">
        <v>60</v>
      </c>
      <c r="S89" t="s">
        <v>439</v>
      </c>
      <c r="T89" t="s">
        <v>440</v>
      </c>
      <c r="U89" t="b">
        <v>0</v>
      </c>
      <c r="V89" t="s">
        <v>63</v>
      </c>
      <c r="W89">
        <v>271.60000000000002</v>
      </c>
    </row>
    <row r="90" spans="1:23" hidden="1" x14ac:dyDescent="0.3">
      <c r="A90" t="s">
        <v>52</v>
      </c>
      <c r="B90" t="s">
        <v>53</v>
      </c>
      <c r="C90" t="s">
        <v>17</v>
      </c>
      <c r="D90" t="s">
        <v>18</v>
      </c>
      <c r="E90" t="s">
        <v>19</v>
      </c>
      <c r="F90" t="s">
        <v>363</v>
      </c>
      <c r="G90" t="s">
        <v>538</v>
      </c>
      <c r="H90" t="s">
        <v>467</v>
      </c>
      <c r="I90" t="s">
        <v>9</v>
      </c>
      <c r="J90" t="s">
        <v>539</v>
      </c>
      <c r="K90" t="s">
        <v>540</v>
      </c>
      <c r="L90" t="s">
        <v>470</v>
      </c>
      <c r="M90">
        <v>56</v>
      </c>
      <c r="N90" t="b">
        <v>0</v>
      </c>
      <c r="O90">
        <v>0.7988826815642458</v>
      </c>
      <c r="P90">
        <v>0.75661375661375663</v>
      </c>
      <c r="Q90">
        <v>0.84615384615384615</v>
      </c>
      <c r="R90" t="s">
        <v>60</v>
      </c>
      <c r="S90" t="s">
        <v>541</v>
      </c>
      <c r="T90" t="s">
        <v>542</v>
      </c>
      <c r="U90" t="b">
        <v>0</v>
      </c>
      <c r="V90" t="s">
        <v>63</v>
      </c>
      <c r="W90">
        <v>327.3</v>
      </c>
    </row>
    <row r="91" spans="1:23" hidden="1" x14ac:dyDescent="0.3">
      <c r="A91" t="s">
        <v>52</v>
      </c>
      <c r="B91" t="s">
        <v>53</v>
      </c>
      <c r="C91" t="s">
        <v>17</v>
      </c>
      <c r="D91" t="s">
        <v>18</v>
      </c>
      <c r="E91" t="s">
        <v>19</v>
      </c>
      <c r="F91" t="s">
        <v>363</v>
      </c>
      <c r="G91" t="s">
        <v>640</v>
      </c>
      <c r="H91" t="s">
        <v>569</v>
      </c>
      <c r="I91" t="s">
        <v>11</v>
      </c>
      <c r="J91" t="s">
        <v>641</v>
      </c>
      <c r="K91" t="s">
        <v>642</v>
      </c>
      <c r="L91" t="s">
        <v>572</v>
      </c>
      <c r="M91">
        <v>56</v>
      </c>
      <c r="N91" t="b">
        <v>0</v>
      </c>
      <c r="O91">
        <v>0.81333333333333346</v>
      </c>
      <c r="P91">
        <v>0.80263157894736847</v>
      </c>
      <c r="Q91">
        <v>0.82432432432432434</v>
      </c>
      <c r="R91" t="s">
        <v>60</v>
      </c>
      <c r="S91" t="s">
        <v>643</v>
      </c>
      <c r="T91" t="s">
        <v>644</v>
      </c>
      <c r="U91" t="b">
        <v>0</v>
      </c>
      <c r="V91" t="s">
        <v>63</v>
      </c>
      <c r="W91">
        <v>224</v>
      </c>
    </row>
    <row r="92" spans="1:23" hidden="1" x14ac:dyDescent="0.3">
      <c r="A92" t="s">
        <v>52</v>
      </c>
      <c r="B92" t="s">
        <v>53</v>
      </c>
      <c r="C92" t="s">
        <v>17</v>
      </c>
      <c r="D92" t="s">
        <v>18</v>
      </c>
      <c r="E92" t="s">
        <v>19</v>
      </c>
      <c r="F92" t="s">
        <v>54</v>
      </c>
      <c r="G92" t="s">
        <v>134</v>
      </c>
      <c r="H92" t="s">
        <v>56</v>
      </c>
      <c r="I92" t="s">
        <v>7</v>
      </c>
      <c r="J92" t="s">
        <v>135</v>
      </c>
      <c r="K92" t="s">
        <v>136</v>
      </c>
      <c r="L92" t="s">
        <v>59</v>
      </c>
      <c r="M92">
        <v>57</v>
      </c>
      <c r="N92" t="b">
        <v>1</v>
      </c>
      <c r="O92">
        <v>0.66933867735470953</v>
      </c>
      <c r="P92">
        <v>0.620817843866171</v>
      </c>
      <c r="Q92">
        <v>0.72608695652173916</v>
      </c>
      <c r="R92" t="s">
        <v>60</v>
      </c>
      <c r="S92" t="s">
        <v>137</v>
      </c>
      <c r="T92" t="s">
        <v>138</v>
      </c>
      <c r="U92" t="b">
        <v>0</v>
      </c>
      <c r="V92" t="s">
        <v>63</v>
      </c>
      <c r="W92">
        <v>77</v>
      </c>
    </row>
    <row r="93" spans="1:23" hidden="1" x14ac:dyDescent="0.3">
      <c r="A93" t="s">
        <v>52</v>
      </c>
      <c r="B93" t="s">
        <v>53</v>
      </c>
      <c r="C93" t="s">
        <v>17</v>
      </c>
      <c r="D93" t="s">
        <v>18</v>
      </c>
      <c r="E93" t="s">
        <v>19</v>
      </c>
      <c r="F93" t="s">
        <v>54</v>
      </c>
      <c r="G93" t="s">
        <v>236</v>
      </c>
      <c r="H93" t="s">
        <v>160</v>
      </c>
      <c r="I93" t="s">
        <v>3</v>
      </c>
      <c r="J93" t="s">
        <v>237</v>
      </c>
      <c r="K93" t="s">
        <v>238</v>
      </c>
      <c r="L93" t="s">
        <v>163</v>
      </c>
      <c r="M93">
        <v>57</v>
      </c>
      <c r="N93" t="b">
        <v>0</v>
      </c>
      <c r="O93">
        <v>0.75409836065573765</v>
      </c>
      <c r="P93">
        <v>0.70050761421319796</v>
      </c>
      <c r="Q93">
        <v>0.81656804733727806</v>
      </c>
      <c r="R93" t="s">
        <v>60</v>
      </c>
      <c r="S93" t="s">
        <v>239</v>
      </c>
      <c r="T93" t="s">
        <v>240</v>
      </c>
      <c r="U93" t="b">
        <v>0</v>
      </c>
      <c r="V93" t="s">
        <v>63</v>
      </c>
      <c r="W93">
        <v>64.3</v>
      </c>
    </row>
    <row r="94" spans="1:23" hidden="1" x14ac:dyDescent="0.3">
      <c r="A94" t="s">
        <v>52</v>
      </c>
      <c r="B94" t="s">
        <v>53</v>
      </c>
      <c r="C94" t="s">
        <v>17</v>
      </c>
      <c r="D94" t="s">
        <v>18</v>
      </c>
      <c r="E94" t="s">
        <v>19</v>
      </c>
      <c r="F94" t="s">
        <v>54</v>
      </c>
      <c r="G94" t="s">
        <v>338</v>
      </c>
      <c r="H94" t="s">
        <v>262</v>
      </c>
      <c r="I94" t="s">
        <v>5</v>
      </c>
      <c r="J94" t="s">
        <v>339</v>
      </c>
      <c r="K94" t="s">
        <v>340</v>
      </c>
      <c r="L94" t="s">
        <v>265</v>
      </c>
      <c r="M94">
        <v>57</v>
      </c>
      <c r="N94" t="b">
        <v>0</v>
      </c>
      <c r="O94">
        <v>0.7379912663755458</v>
      </c>
      <c r="P94">
        <v>0.71610169491525422</v>
      </c>
      <c r="Q94">
        <v>0.76126126126126126</v>
      </c>
      <c r="R94" t="s">
        <v>60</v>
      </c>
      <c r="S94" t="s">
        <v>341</v>
      </c>
      <c r="T94" t="s">
        <v>342</v>
      </c>
      <c r="U94" t="b">
        <v>0</v>
      </c>
      <c r="V94" t="s">
        <v>63</v>
      </c>
      <c r="W94">
        <v>65</v>
      </c>
    </row>
    <row r="95" spans="1:23" hidden="1" x14ac:dyDescent="0.3">
      <c r="A95" t="s">
        <v>52</v>
      </c>
      <c r="B95" t="s">
        <v>53</v>
      </c>
      <c r="C95" t="s">
        <v>17</v>
      </c>
      <c r="D95" t="s">
        <v>18</v>
      </c>
      <c r="E95" t="s">
        <v>19</v>
      </c>
      <c r="F95" t="s">
        <v>363</v>
      </c>
      <c r="G95" t="s">
        <v>441</v>
      </c>
      <c r="H95" t="s">
        <v>365</v>
      </c>
      <c r="I95" t="s">
        <v>13</v>
      </c>
      <c r="J95" t="s">
        <v>442</v>
      </c>
      <c r="K95" t="s">
        <v>443</v>
      </c>
      <c r="L95" t="s">
        <v>368</v>
      </c>
      <c r="M95">
        <v>57</v>
      </c>
      <c r="N95" t="b">
        <v>0</v>
      </c>
      <c r="O95">
        <v>0.77338877338877343</v>
      </c>
      <c r="P95">
        <v>0.74103585657370519</v>
      </c>
      <c r="Q95">
        <v>0.80869565217391304</v>
      </c>
      <c r="R95" t="s">
        <v>60</v>
      </c>
      <c r="S95" t="s">
        <v>444</v>
      </c>
      <c r="T95" t="s">
        <v>445</v>
      </c>
      <c r="U95" t="b">
        <v>0</v>
      </c>
      <c r="V95" t="s">
        <v>63</v>
      </c>
      <c r="W95">
        <v>330.2</v>
      </c>
    </row>
    <row r="96" spans="1:23" hidden="1" x14ac:dyDescent="0.3">
      <c r="A96" t="s">
        <v>52</v>
      </c>
      <c r="B96" t="s">
        <v>53</v>
      </c>
      <c r="C96" t="s">
        <v>17</v>
      </c>
      <c r="D96" t="s">
        <v>18</v>
      </c>
      <c r="E96" t="s">
        <v>19</v>
      </c>
      <c r="F96" t="s">
        <v>363</v>
      </c>
      <c r="G96" t="s">
        <v>543</v>
      </c>
      <c r="H96" t="s">
        <v>467</v>
      </c>
      <c r="I96" t="s">
        <v>9</v>
      </c>
      <c r="J96" t="s">
        <v>544</v>
      </c>
      <c r="K96" t="s">
        <v>545</v>
      </c>
      <c r="L96" t="s">
        <v>470</v>
      </c>
      <c r="M96">
        <v>57</v>
      </c>
      <c r="N96" t="b">
        <v>0</v>
      </c>
      <c r="O96">
        <v>0.8045325779036826</v>
      </c>
      <c r="P96">
        <v>0.77173913043478259</v>
      </c>
      <c r="Q96">
        <v>0.84023668639053251</v>
      </c>
      <c r="R96" t="s">
        <v>60</v>
      </c>
      <c r="S96" t="s">
        <v>546</v>
      </c>
      <c r="T96" t="s">
        <v>547</v>
      </c>
      <c r="U96" t="b">
        <v>0</v>
      </c>
      <c r="V96" t="s">
        <v>63</v>
      </c>
      <c r="W96">
        <v>196.2</v>
      </c>
    </row>
    <row r="97" spans="1:23" hidden="1" x14ac:dyDescent="0.3">
      <c r="A97" t="s">
        <v>52</v>
      </c>
      <c r="B97" t="s">
        <v>53</v>
      </c>
      <c r="C97" t="s">
        <v>17</v>
      </c>
      <c r="D97" t="s">
        <v>18</v>
      </c>
      <c r="E97" t="s">
        <v>19</v>
      </c>
      <c r="F97" t="s">
        <v>363</v>
      </c>
      <c r="G97" t="s">
        <v>645</v>
      </c>
      <c r="H97" t="s">
        <v>569</v>
      </c>
      <c r="I97" t="s">
        <v>11</v>
      </c>
      <c r="J97" t="s">
        <v>646</v>
      </c>
      <c r="K97" t="s">
        <v>647</v>
      </c>
      <c r="L97" t="s">
        <v>572</v>
      </c>
      <c r="M97">
        <v>57</v>
      </c>
      <c r="N97" t="b">
        <v>0</v>
      </c>
      <c r="O97">
        <v>0.81596452328159641</v>
      </c>
      <c r="P97">
        <v>0.80349344978165937</v>
      </c>
      <c r="Q97">
        <v>0.8288288288288288</v>
      </c>
      <c r="R97" t="s">
        <v>60</v>
      </c>
      <c r="S97" t="s">
        <v>648</v>
      </c>
      <c r="T97" t="s">
        <v>649</v>
      </c>
      <c r="U97" t="b">
        <v>0</v>
      </c>
      <c r="V97" t="s">
        <v>63</v>
      </c>
      <c r="W97">
        <v>196.3</v>
      </c>
    </row>
    <row r="98" spans="1:23" hidden="1" x14ac:dyDescent="0.3">
      <c r="A98" t="s">
        <v>52</v>
      </c>
      <c r="B98" t="s">
        <v>53</v>
      </c>
      <c r="C98" t="s">
        <v>17</v>
      </c>
      <c r="D98" t="s">
        <v>18</v>
      </c>
      <c r="E98" t="s">
        <v>19</v>
      </c>
      <c r="F98" t="s">
        <v>54</v>
      </c>
      <c r="G98" t="s">
        <v>139</v>
      </c>
      <c r="H98" t="s">
        <v>56</v>
      </c>
      <c r="I98" t="s">
        <v>7</v>
      </c>
      <c r="J98" t="s">
        <v>140</v>
      </c>
      <c r="K98" t="s">
        <v>141</v>
      </c>
      <c r="L98" t="s">
        <v>59</v>
      </c>
      <c r="M98">
        <v>58</v>
      </c>
      <c r="N98" t="b">
        <v>1</v>
      </c>
      <c r="O98">
        <v>0.66933867735470953</v>
      </c>
      <c r="P98">
        <v>0.620817843866171</v>
      </c>
      <c r="Q98">
        <v>0.72608695652173916</v>
      </c>
      <c r="R98" t="s">
        <v>60</v>
      </c>
      <c r="S98" t="s">
        <v>142</v>
      </c>
      <c r="T98" t="s">
        <v>143</v>
      </c>
      <c r="U98" t="b">
        <v>0</v>
      </c>
      <c r="V98" t="s">
        <v>63</v>
      </c>
      <c r="W98">
        <v>73.2</v>
      </c>
    </row>
    <row r="99" spans="1:23" hidden="1" x14ac:dyDescent="0.3">
      <c r="A99" t="s">
        <v>52</v>
      </c>
      <c r="B99" t="s">
        <v>53</v>
      </c>
      <c r="C99" t="s">
        <v>17</v>
      </c>
      <c r="D99" t="s">
        <v>18</v>
      </c>
      <c r="E99" t="s">
        <v>19</v>
      </c>
      <c r="F99" t="s">
        <v>54</v>
      </c>
      <c r="G99" t="s">
        <v>241</v>
      </c>
      <c r="H99" t="s">
        <v>160</v>
      </c>
      <c r="I99" t="s">
        <v>3</v>
      </c>
      <c r="J99" t="s">
        <v>242</v>
      </c>
      <c r="K99" t="s">
        <v>243</v>
      </c>
      <c r="L99" t="s">
        <v>163</v>
      </c>
      <c r="M99">
        <v>58</v>
      </c>
      <c r="N99" t="b">
        <v>0</v>
      </c>
      <c r="O99">
        <v>0.75409836065573765</v>
      </c>
      <c r="P99">
        <v>0.70050761421319796</v>
      </c>
      <c r="Q99">
        <v>0.81656804733727806</v>
      </c>
      <c r="R99" t="s">
        <v>60</v>
      </c>
      <c r="S99" t="s">
        <v>244</v>
      </c>
      <c r="T99" t="s">
        <v>245</v>
      </c>
      <c r="U99" t="b">
        <v>0</v>
      </c>
      <c r="V99" t="s">
        <v>63</v>
      </c>
      <c r="W99">
        <v>63.7</v>
      </c>
    </row>
    <row r="100" spans="1:23" hidden="1" x14ac:dyDescent="0.3">
      <c r="A100" t="s">
        <v>52</v>
      </c>
      <c r="B100" t="s">
        <v>53</v>
      </c>
      <c r="C100" t="s">
        <v>17</v>
      </c>
      <c r="D100" t="s">
        <v>18</v>
      </c>
      <c r="E100" t="s">
        <v>19</v>
      </c>
      <c r="F100" t="s">
        <v>54</v>
      </c>
      <c r="G100" t="s">
        <v>343</v>
      </c>
      <c r="H100" t="s">
        <v>262</v>
      </c>
      <c r="I100" t="s">
        <v>5</v>
      </c>
      <c r="J100" t="s">
        <v>344</v>
      </c>
      <c r="K100" t="s">
        <v>345</v>
      </c>
      <c r="L100" t="s">
        <v>265</v>
      </c>
      <c r="M100">
        <v>58</v>
      </c>
      <c r="N100" t="b">
        <v>0</v>
      </c>
      <c r="O100">
        <v>0.7379912663755458</v>
      </c>
      <c r="P100">
        <v>0.71610169491525422</v>
      </c>
      <c r="Q100">
        <v>0.76126126126126126</v>
      </c>
      <c r="R100" t="s">
        <v>60</v>
      </c>
      <c r="S100" t="s">
        <v>346</v>
      </c>
      <c r="T100" t="s">
        <v>347</v>
      </c>
      <c r="U100" t="b">
        <v>0</v>
      </c>
      <c r="V100" t="s">
        <v>63</v>
      </c>
      <c r="W100">
        <v>65.099999999999994</v>
      </c>
    </row>
    <row r="101" spans="1:23" hidden="1" x14ac:dyDescent="0.3">
      <c r="A101" t="s">
        <v>52</v>
      </c>
      <c r="B101" t="s">
        <v>53</v>
      </c>
      <c r="C101" t="s">
        <v>17</v>
      </c>
      <c r="D101" t="s">
        <v>18</v>
      </c>
      <c r="E101" t="s">
        <v>19</v>
      </c>
      <c r="F101" t="s">
        <v>363</v>
      </c>
      <c r="G101" t="s">
        <v>446</v>
      </c>
      <c r="H101" t="s">
        <v>365</v>
      </c>
      <c r="I101" t="s">
        <v>13</v>
      </c>
      <c r="J101" t="s">
        <v>447</v>
      </c>
      <c r="K101" t="s">
        <v>448</v>
      </c>
      <c r="L101" t="s">
        <v>368</v>
      </c>
      <c r="M101">
        <v>58</v>
      </c>
      <c r="N101" t="b">
        <v>0</v>
      </c>
      <c r="O101">
        <v>0.79833679833679827</v>
      </c>
      <c r="P101">
        <v>0.76494023904382469</v>
      </c>
      <c r="Q101">
        <v>0.83478260869565213</v>
      </c>
      <c r="R101" t="s">
        <v>60</v>
      </c>
      <c r="S101" t="s">
        <v>449</v>
      </c>
      <c r="T101" t="s">
        <v>450</v>
      </c>
      <c r="U101" t="b">
        <v>0</v>
      </c>
      <c r="V101" t="s">
        <v>63</v>
      </c>
      <c r="W101">
        <v>282.7</v>
      </c>
    </row>
    <row r="102" spans="1:23" hidden="1" x14ac:dyDescent="0.3">
      <c r="A102" t="s">
        <v>52</v>
      </c>
      <c r="B102" t="s">
        <v>53</v>
      </c>
      <c r="C102" t="s">
        <v>17</v>
      </c>
      <c r="D102" t="s">
        <v>18</v>
      </c>
      <c r="E102" t="s">
        <v>19</v>
      </c>
      <c r="F102" t="s">
        <v>363</v>
      </c>
      <c r="G102" t="s">
        <v>548</v>
      </c>
      <c r="H102" t="s">
        <v>467</v>
      </c>
      <c r="I102" t="s">
        <v>9</v>
      </c>
      <c r="J102" t="s">
        <v>549</v>
      </c>
      <c r="K102" t="s">
        <v>550</v>
      </c>
      <c r="L102" t="s">
        <v>470</v>
      </c>
      <c r="M102">
        <v>58</v>
      </c>
      <c r="N102" t="b">
        <v>0</v>
      </c>
      <c r="O102">
        <v>0.80563380281690145</v>
      </c>
      <c r="P102">
        <v>0.76881720430107525</v>
      </c>
      <c r="Q102">
        <v>0.84615384615384615</v>
      </c>
      <c r="R102" t="s">
        <v>60</v>
      </c>
      <c r="S102" t="s">
        <v>551</v>
      </c>
      <c r="T102" t="s">
        <v>552</v>
      </c>
      <c r="U102" t="b">
        <v>0</v>
      </c>
      <c r="V102" t="s">
        <v>63</v>
      </c>
      <c r="W102">
        <v>196.9</v>
      </c>
    </row>
    <row r="103" spans="1:23" hidden="1" x14ac:dyDescent="0.3">
      <c r="A103" t="s">
        <v>52</v>
      </c>
      <c r="B103" t="s">
        <v>53</v>
      </c>
      <c r="C103" t="s">
        <v>17</v>
      </c>
      <c r="D103" t="s">
        <v>18</v>
      </c>
      <c r="E103" t="s">
        <v>19</v>
      </c>
      <c r="F103" t="s">
        <v>363</v>
      </c>
      <c r="G103" t="s">
        <v>650</v>
      </c>
      <c r="H103" t="s">
        <v>569</v>
      </c>
      <c r="I103" t="s">
        <v>11</v>
      </c>
      <c r="J103" t="s">
        <v>651</v>
      </c>
      <c r="K103" t="s">
        <v>652</v>
      </c>
      <c r="L103" t="s">
        <v>572</v>
      </c>
      <c r="M103">
        <v>58</v>
      </c>
      <c r="N103" t="b">
        <v>0</v>
      </c>
      <c r="O103">
        <v>0.80610021786492381</v>
      </c>
      <c r="P103">
        <v>0.78059071729957807</v>
      </c>
      <c r="Q103">
        <v>0.83333333333333337</v>
      </c>
      <c r="R103" t="s">
        <v>60</v>
      </c>
      <c r="S103" t="s">
        <v>653</v>
      </c>
      <c r="T103" t="s">
        <v>654</v>
      </c>
      <c r="U103" t="b">
        <v>0</v>
      </c>
      <c r="V103" t="s">
        <v>63</v>
      </c>
      <c r="W103">
        <v>195.4</v>
      </c>
    </row>
    <row r="104" spans="1:23" hidden="1" x14ac:dyDescent="0.3">
      <c r="A104" t="s">
        <v>52</v>
      </c>
      <c r="B104" t="s">
        <v>53</v>
      </c>
      <c r="C104" t="s">
        <v>17</v>
      </c>
      <c r="D104" t="s">
        <v>18</v>
      </c>
      <c r="E104" t="s">
        <v>19</v>
      </c>
      <c r="F104" t="s">
        <v>54</v>
      </c>
      <c r="G104" t="s">
        <v>144</v>
      </c>
      <c r="H104" t="s">
        <v>56</v>
      </c>
      <c r="I104" t="s">
        <v>7</v>
      </c>
      <c r="J104" t="s">
        <v>145</v>
      </c>
      <c r="K104" t="s">
        <v>146</v>
      </c>
      <c r="L104" t="s">
        <v>59</v>
      </c>
      <c r="M104">
        <v>59</v>
      </c>
      <c r="N104" t="b">
        <v>1</v>
      </c>
      <c r="O104">
        <v>0.66933867735470953</v>
      </c>
      <c r="P104">
        <v>0.620817843866171</v>
      </c>
      <c r="Q104">
        <v>0.72608695652173916</v>
      </c>
      <c r="R104" t="s">
        <v>60</v>
      </c>
      <c r="S104" t="s">
        <v>147</v>
      </c>
      <c r="T104" t="s">
        <v>148</v>
      </c>
      <c r="U104" t="b">
        <v>0</v>
      </c>
      <c r="V104" t="s">
        <v>63</v>
      </c>
      <c r="W104">
        <v>68</v>
      </c>
    </row>
    <row r="105" spans="1:23" hidden="1" x14ac:dyDescent="0.3">
      <c r="A105" t="s">
        <v>52</v>
      </c>
      <c r="B105" t="s">
        <v>53</v>
      </c>
      <c r="C105" t="s">
        <v>17</v>
      </c>
      <c r="D105" t="s">
        <v>18</v>
      </c>
      <c r="E105" t="s">
        <v>19</v>
      </c>
      <c r="F105" t="s">
        <v>54</v>
      </c>
      <c r="G105" t="s">
        <v>246</v>
      </c>
      <c r="H105" t="s">
        <v>160</v>
      </c>
      <c r="I105" t="s">
        <v>3</v>
      </c>
      <c r="J105" t="s">
        <v>247</v>
      </c>
      <c r="K105" t="s">
        <v>248</v>
      </c>
      <c r="L105" t="s">
        <v>163</v>
      </c>
      <c r="M105">
        <v>59</v>
      </c>
      <c r="N105" t="b">
        <v>0</v>
      </c>
      <c r="O105">
        <v>0.75409836065573765</v>
      </c>
      <c r="P105">
        <v>0.70050761421319796</v>
      </c>
      <c r="Q105">
        <v>0.81656804733727806</v>
      </c>
      <c r="R105" t="s">
        <v>60</v>
      </c>
      <c r="S105" t="s">
        <v>249</v>
      </c>
      <c r="T105" t="s">
        <v>250</v>
      </c>
      <c r="U105" t="b">
        <v>0</v>
      </c>
      <c r="V105" t="s">
        <v>63</v>
      </c>
      <c r="W105">
        <v>64.2</v>
      </c>
    </row>
    <row r="106" spans="1:23" hidden="1" x14ac:dyDescent="0.3">
      <c r="A106" t="s">
        <v>52</v>
      </c>
      <c r="B106" t="s">
        <v>53</v>
      </c>
      <c r="C106" t="s">
        <v>17</v>
      </c>
      <c r="D106" t="s">
        <v>18</v>
      </c>
      <c r="E106" t="s">
        <v>19</v>
      </c>
      <c r="F106" t="s">
        <v>54</v>
      </c>
      <c r="G106" t="s">
        <v>348</v>
      </c>
      <c r="H106" t="s">
        <v>262</v>
      </c>
      <c r="I106" t="s">
        <v>5</v>
      </c>
      <c r="J106" t="s">
        <v>349</v>
      </c>
      <c r="K106" t="s">
        <v>350</v>
      </c>
      <c r="L106" t="s">
        <v>265</v>
      </c>
      <c r="M106">
        <v>59</v>
      </c>
      <c r="N106" t="b">
        <v>0</v>
      </c>
      <c r="O106">
        <v>0.7379912663755458</v>
      </c>
      <c r="P106">
        <v>0.71610169491525422</v>
      </c>
      <c r="Q106">
        <v>0.76126126126126126</v>
      </c>
      <c r="R106" t="s">
        <v>60</v>
      </c>
      <c r="S106" t="s">
        <v>351</v>
      </c>
      <c r="T106" t="s">
        <v>352</v>
      </c>
      <c r="U106" t="b">
        <v>0</v>
      </c>
      <c r="V106" t="s">
        <v>63</v>
      </c>
      <c r="W106">
        <v>64.900000000000006</v>
      </c>
    </row>
    <row r="107" spans="1:23" hidden="1" x14ac:dyDescent="0.3">
      <c r="A107" t="s">
        <v>52</v>
      </c>
      <c r="B107" t="s">
        <v>53</v>
      </c>
      <c r="C107" t="s">
        <v>17</v>
      </c>
      <c r="D107" t="s">
        <v>18</v>
      </c>
      <c r="E107" t="s">
        <v>19</v>
      </c>
      <c r="F107" t="s">
        <v>363</v>
      </c>
      <c r="G107" t="s">
        <v>451</v>
      </c>
      <c r="H107" t="s">
        <v>365</v>
      </c>
      <c r="I107" t="s">
        <v>13</v>
      </c>
      <c r="J107" t="s">
        <v>452</v>
      </c>
      <c r="K107" t="s">
        <v>453</v>
      </c>
      <c r="L107" t="s">
        <v>368</v>
      </c>
      <c r="M107">
        <v>59</v>
      </c>
      <c r="N107" t="b">
        <v>0</v>
      </c>
      <c r="O107">
        <v>0.76890756302521002</v>
      </c>
      <c r="P107">
        <v>0.74390243902439024</v>
      </c>
      <c r="Q107">
        <v>0.79565217391304344</v>
      </c>
      <c r="R107" t="s">
        <v>60</v>
      </c>
      <c r="S107" t="s">
        <v>454</v>
      </c>
      <c r="T107" t="s">
        <v>455</v>
      </c>
      <c r="U107" t="b">
        <v>0</v>
      </c>
      <c r="V107" t="s">
        <v>63</v>
      </c>
      <c r="W107">
        <v>318.8</v>
      </c>
    </row>
    <row r="108" spans="1:23" hidden="1" x14ac:dyDescent="0.3">
      <c r="A108" t="s">
        <v>52</v>
      </c>
      <c r="B108" t="s">
        <v>53</v>
      </c>
      <c r="C108" t="s">
        <v>17</v>
      </c>
      <c r="D108" t="s">
        <v>18</v>
      </c>
      <c r="E108" t="s">
        <v>19</v>
      </c>
      <c r="F108" t="s">
        <v>363</v>
      </c>
      <c r="G108" t="s">
        <v>553</v>
      </c>
      <c r="H108" t="s">
        <v>467</v>
      </c>
      <c r="I108" t="s">
        <v>9</v>
      </c>
      <c r="J108" t="s">
        <v>554</v>
      </c>
      <c r="K108" t="s">
        <v>555</v>
      </c>
      <c r="L108" t="s">
        <v>470</v>
      </c>
      <c r="M108">
        <v>59</v>
      </c>
      <c r="N108" t="b">
        <v>0</v>
      </c>
      <c r="O108">
        <v>0.8</v>
      </c>
      <c r="P108">
        <v>0.77348066298342544</v>
      </c>
      <c r="Q108">
        <v>0.82840236686390534</v>
      </c>
      <c r="R108" t="s">
        <v>60</v>
      </c>
      <c r="S108" t="s">
        <v>556</v>
      </c>
      <c r="T108" t="s">
        <v>557</v>
      </c>
      <c r="U108" t="b">
        <v>0</v>
      </c>
      <c r="V108" t="s">
        <v>63</v>
      </c>
      <c r="W108">
        <v>239.9</v>
      </c>
    </row>
    <row r="109" spans="1:23" hidden="1" x14ac:dyDescent="0.3">
      <c r="A109" t="s">
        <v>52</v>
      </c>
      <c r="B109" t="s">
        <v>53</v>
      </c>
      <c r="C109" t="s">
        <v>17</v>
      </c>
      <c r="D109" t="s">
        <v>18</v>
      </c>
      <c r="E109" t="s">
        <v>19</v>
      </c>
      <c r="F109" t="s">
        <v>363</v>
      </c>
      <c r="G109" t="s">
        <v>655</v>
      </c>
      <c r="H109" t="s">
        <v>569</v>
      </c>
      <c r="I109" t="s">
        <v>11</v>
      </c>
      <c r="J109" t="s">
        <v>656</v>
      </c>
      <c r="K109" t="s">
        <v>657</v>
      </c>
      <c r="L109" t="s">
        <v>572</v>
      </c>
      <c r="M109">
        <v>59</v>
      </c>
      <c r="N109" t="b">
        <v>0</v>
      </c>
      <c r="O109">
        <v>0.81481481481481477</v>
      </c>
      <c r="P109">
        <v>0.83809523809523812</v>
      </c>
      <c r="Q109">
        <v>0.7927927927927928</v>
      </c>
      <c r="R109" t="s">
        <v>60</v>
      </c>
      <c r="S109" t="s">
        <v>658</v>
      </c>
      <c r="T109" t="s">
        <v>659</v>
      </c>
      <c r="U109" t="b">
        <v>0</v>
      </c>
      <c r="V109" t="s">
        <v>63</v>
      </c>
      <c r="W109">
        <v>259.8</v>
      </c>
    </row>
    <row r="110" spans="1:23" hidden="1" x14ac:dyDescent="0.3">
      <c r="A110" t="s">
        <v>52</v>
      </c>
      <c r="B110" t="s">
        <v>53</v>
      </c>
      <c r="C110" t="s">
        <v>17</v>
      </c>
      <c r="D110" t="s">
        <v>18</v>
      </c>
      <c r="E110" t="s">
        <v>19</v>
      </c>
      <c r="F110" t="s">
        <v>54</v>
      </c>
      <c r="G110" t="s">
        <v>149</v>
      </c>
      <c r="H110" t="s">
        <v>56</v>
      </c>
      <c r="I110" t="s">
        <v>7</v>
      </c>
      <c r="J110" t="s">
        <v>150</v>
      </c>
      <c r="K110" t="s">
        <v>151</v>
      </c>
      <c r="L110" t="s">
        <v>59</v>
      </c>
      <c r="M110">
        <v>60</v>
      </c>
      <c r="N110" t="b">
        <v>1</v>
      </c>
      <c r="O110">
        <v>0.66933867735470953</v>
      </c>
      <c r="P110">
        <v>0.620817843866171</v>
      </c>
      <c r="Q110">
        <v>0.72608695652173916</v>
      </c>
      <c r="R110" t="s">
        <v>60</v>
      </c>
      <c r="S110" t="s">
        <v>152</v>
      </c>
      <c r="T110" t="s">
        <v>153</v>
      </c>
      <c r="U110" t="b">
        <v>0</v>
      </c>
      <c r="V110" t="s">
        <v>63</v>
      </c>
      <c r="W110">
        <v>65.900000000000006</v>
      </c>
    </row>
    <row r="111" spans="1:23" hidden="1" x14ac:dyDescent="0.3">
      <c r="A111" t="s">
        <v>52</v>
      </c>
      <c r="B111" t="s">
        <v>53</v>
      </c>
      <c r="C111" t="s">
        <v>17</v>
      </c>
      <c r="D111" t="s">
        <v>18</v>
      </c>
      <c r="E111" t="s">
        <v>19</v>
      </c>
      <c r="F111" t="s">
        <v>54</v>
      </c>
      <c r="G111" t="s">
        <v>251</v>
      </c>
      <c r="H111" t="s">
        <v>160</v>
      </c>
      <c r="I111" t="s">
        <v>3</v>
      </c>
      <c r="J111" t="s">
        <v>252</v>
      </c>
      <c r="K111" t="s">
        <v>253</v>
      </c>
      <c r="L111" t="s">
        <v>163</v>
      </c>
      <c r="M111">
        <v>60</v>
      </c>
      <c r="N111" t="b">
        <v>0</v>
      </c>
      <c r="O111">
        <v>0.75409836065573765</v>
      </c>
      <c r="P111">
        <v>0.70050761421319796</v>
      </c>
      <c r="Q111">
        <v>0.81656804733727806</v>
      </c>
      <c r="R111" t="s">
        <v>60</v>
      </c>
      <c r="S111" t="s">
        <v>254</v>
      </c>
      <c r="T111" t="s">
        <v>255</v>
      </c>
      <c r="U111" t="b">
        <v>0</v>
      </c>
      <c r="V111" t="s">
        <v>63</v>
      </c>
      <c r="W111">
        <v>64.099999999999994</v>
      </c>
    </row>
    <row r="112" spans="1:23" hidden="1" x14ac:dyDescent="0.3">
      <c r="A112" t="s">
        <v>52</v>
      </c>
      <c r="B112" t="s">
        <v>53</v>
      </c>
      <c r="C112" t="s">
        <v>17</v>
      </c>
      <c r="D112" t="s">
        <v>18</v>
      </c>
      <c r="E112" t="s">
        <v>19</v>
      </c>
      <c r="F112" t="s">
        <v>54</v>
      </c>
      <c r="G112" t="s">
        <v>353</v>
      </c>
      <c r="H112" t="s">
        <v>262</v>
      </c>
      <c r="I112" t="s">
        <v>5</v>
      </c>
      <c r="J112" t="s">
        <v>354</v>
      </c>
      <c r="K112" t="s">
        <v>355</v>
      </c>
      <c r="L112" t="s">
        <v>265</v>
      </c>
      <c r="M112">
        <v>60</v>
      </c>
      <c r="N112" t="b">
        <v>0</v>
      </c>
      <c r="O112">
        <v>0.7379912663755458</v>
      </c>
      <c r="P112">
        <v>0.71610169491525422</v>
      </c>
      <c r="Q112">
        <v>0.76126126126126126</v>
      </c>
      <c r="R112" t="s">
        <v>60</v>
      </c>
      <c r="S112" t="s">
        <v>356</v>
      </c>
      <c r="T112" t="s">
        <v>357</v>
      </c>
      <c r="U112" t="b">
        <v>0</v>
      </c>
      <c r="V112" t="s">
        <v>63</v>
      </c>
      <c r="W112">
        <v>65.599999999999994</v>
      </c>
    </row>
    <row r="113" spans="1:23" hidden="1" x14ac:dyDescent="0.3">
      <c r="A113" t="s">
        <v>52</v>
      </c>
      <c r="B113" t="s">
        <v>53</v>
      </c>
      <c r="C113" t="s">
        <v>17</v>
      </c>
      <c r="D113" t="s">
        <v>18</v>
      </c>
      <c r="E113" t="s">
        <v>19</v>
      </c>
      <c r="F113" t="s">
        <v>363</v>
      </c>
      <c r="G113" t="s">
        <v>456</v>
      </c>
      <c r="H113" t="s">
        <v>365</v>
      </c>
      <c r="I113" t="s">
        <v>13</v>
      </c>
      <c r="J113" t="s">
        <v>457</v>
      </c>
      <c r="K113" t="s">
        <v>458</v>
      </c>
      <c r="L113" t="s">
        <v>368</v>
      </c>
      <c r="M113">
        <v>60</v>
      </c>
      <c r="N113" t="b">
        <v>0</v>
      </c>
      <c r="O113">
        <v>0.78825995807127891</v>
      </c>
      <c r="P113">
        <v>0.76113360323886636</v>
      </c>
      <c r="Q113">
        <v>0.81739130434782614</v>
      </c>
      <c r="R113" t="s">
        <v>60</v>
      </c>
      <c r="S113" t="s">
        <v>459</v>
      </c>
      <c r="T113" t="s">
        <v>460</v>
      </c>
      <c r="U113" t="b">
        <v>0</v>
      </c>
      <c r="V113" t="s">
        <v>63</v>
      </c>
      <c r="W113">
        <v>328</v>
      </c>
    </row>
    <row r="114" spans="1:23" hidden="1" x14ac:dyDescent="0.3">
      <c r="A114" t="s">
        <v>52</v>
      </c>
      <c r="B114" t="s">
        <v>53</v>
      </c>
      <c r="C114" t="s">
        <v>17</v>
      </c>
      <c r="D114" t="s">
        <v>18</v>
      </c>
      <c r="E114" t="s">
        <v>19</v>
      </c>
      <c r="F114" t="s">
        <v>363</v>
      </c>
      <c r="G114" t="s">
        <v>558</v>
      </c>
      <c r="H114" t="s">
        <v>467</v>
      </c>
      <c r="I114" t="s">
        <v>9</v>
      </c>
      <c r="J114" t="s">
        <v>559</v>
      </c>
      <c r="K114" t="s">
        <v>560</v>
      </c>
      <c r="L114" t="s">
        <v>470</v>
      </c>
      <c r="M114">
        <v>60</v>
      </c>
      <c r="N114" t="b">
        <v>0</v>
      </c>
      <c r="O114">
        <v>0.78770949720670402</v>
      </c>
      <c r="P114">
        <v>0.74603174603174605</v>
      </c>
      <c r="Q114">
        <v>0.83431952662721898</v>
      </c>
      <c r="R114" t="s">
        <v>60</v>
      </c>
      <c r="S114" t="s">
        <v>561</v>
      </c>
      <c r="T114" t="s">
        <v>562</v>
      </c>
      <c r="U114" t="b">
        <v>0</v>
      </c>
      <c r="V114" t="s">
        <v>63</v>
      </c>
      <c r="W114">
        <v>212.2</v>
      </c>
    </row>
    <row r="115" spans="1:23" hidden="1" x14ac:dyDescent="0.3">
      <c r="A115" t="s">
        <v>52</v>
      </c>
      <c r="B115" t="s">
        <v>53</v>
      </c>
      <c r="C115" t="s">
        <v>17</v>
      </c>
      <c r="D115" t="s">
        <v>18</v>
      </c>
      <c r="E115" t="s">
        <v>19</v>
      </c>
      <c r="F115" t="s">
        <v>363</v>
      </c>
      <c r="G115" t="s">
        <v>660</v>
      </c>
      <c r="H115" t="s">
        <v>569</v>
      </c>
      <c r="I115" t="s">
        <v>11</v>
      </c>
      <c r="J115" t="s">
        <v>661</v>
      </c>
      <c r="K115" t="s">
        <v>662</v>
      </c>
      <c r="L115" t="s">
        <v>572</v>
      </c>
      <c r="M115">
        <v>60</v>
      </c>
      <c r="N115" t="b">
        <v>0</v>
      </c>
      <c r="O115">
        <v>0.80090497737556554</v>
      </c>
      <c r="P115">
        <v>0.80454545454545456</v>
      </c>
      <c r="Q115">
        <v>0.79729729729729726</v>
      </c>
      <c r="R115" t="s">
        <v>60</v>
      </c>
      <c r="S115" t="s">
        <v>663</v>
      </c>
      <c r="T115" t="s">
        <v>664</v>
      </c>
      <c r="U115" t="b">
        <v>0</v>
      </c>
      <c r="V115" t="s">
        <v>63</v>
      </c>
      <c r="W115">
        <v>265.2</v>
      </c>
    </row>
    <row r="116" spans="1:23" hidden="1" x14ac:dyDescent="0.3">
      <c r="A116" t="s">
        <v>52</v>
      </c>
      <c r="B116" t="s">
        <v>53</v>
      </c>
      <c r="C116" t="s">
        <v>17</v>
      </c>
      <c r="D116" t="s">
        <v>18</v>
      </c>
      <c r="E116" t="s">
        <v>19</v>
      </c>
      <c r="F116" t="s">
        <v>54</v>
      </c>
      <c r="G116" t="s">
        <v>154</v>
      </c>
      <c r="H116" t="s">
        <v>56</v>
      </c>
      <c r="I116" t="s">
        <v>7</v>
      </c>
      <c r="J116" t="s">
        <v>155</v>
      </c>
      <c r="K116" t="s">
        <v>156</v>
      </c>
      <c r="L116" t="s">
        <v>59</v>
      </c>
      <c r="M116">
        <v>61</v>
      </c>
      <c r="N116" t="b">
        <v>1</v>
      </c>
      <c r="O116">
        <v>0.66933867735470953</v>
      </c>
      <c r="P116">
        <v>0.620817843866171</v>
      </c>
      <c r="Q116">
        <v>0.72608695652173916</v>
      </c>
      <c r="R116" t="s">
        <v>60</v>
      </c>
      <c r="S116" t="s">
        <v>157</v>
      </c>
      <c r="T116" t="s">
        <v>158</v>
      </c>
      <c r="U116" t="b">
        <v>0</v>
      </c>
      <c r="V116" t="s">
        <v>63</v>
      </c>
      <c r="W116">
        <v>65.5</v>
      </c>
    </row>
    <row r="117" spans="1:23" hidden="1" x14ac:dyDescent="0.3">
      <c r="A117" t="s">
        <v>52</v>
      </c>
      <c r="B117" t="s">
        <v>53</v>
      </c>
      <c r="C117" t="s">
        <v>17</v>
      </c>
      <c r="D117" t="s">
        <v>18</v>
      </c>
      <c r="E117" t="s">
        <v>19</v>
      </c>
      <c r="F117" t="s">
        <v>54</v>
      </c>
      <c r="G117" t="s">
        <v>256</v>
      </c>
      <c r="H117" t="s">
        <v>160</v>
      </c>
      <c r="I117" t="s">
        <v>3</v>
      </c>
      <c r="J117" t="s">
        <v>257</v>
      </c>
      <c r="K117" t="s">
        <v>258</v>
      </c>
      <c r="L117" t="s">
        <v>163</v>
      </c>
      <c r="M117">
        <v>61</v>
      </c>
      <c r="N117" t="b">
        <v>0</v>
      </c>
      <c r="O117">
        <v>0.75409836065573765</v>
      </c>
      <c r="P117">
        <v>0.70050761421319796</v>
      </c>
      <c r="Q117">
        <v>0.81656804733727806</v>
      </c>
      <c r="R117" t="s">
        <v>60</v>
      </c>
      <c r="S117" t="s">
        <v>259</v>
      </c>
      <c r="T117" t="s">
        <v>260</v>
      </c>
      <c r="U117" t="b">
        <v>0</v>
      </c>
      <c r="V117" t="s">
        <v>63</v>
      </c>
      <c r="W117">
        <v>63.5</v>
      </c>
    </row>
    <row r="118" spans="1:23" hidden="1" x14ac:dyDescent="0.3">
      <c r="A118" t="s">
        <v>52</v>
      </c>
      <c r="B118" t="s">
        <v>53</v>
      </c>
      <c r="C118" t="s">
        <v>17</v>
      </c>
      <c r="D118" t="s">
        <v>18</v>
      </c>
      <c r="E118" t="s">
        <v>19</v>
      </c>
      <c r="F118" t="s">
        <v>54</v>
      </c>
      <c r="G118" t="s">
        <v>358</v>
      </c>
      <c r="H118" t="s">
        <v>262</v>
      </c>
      <c r="I118" t="s">
        <v>5</v>
      </c>
      <c r="J118" t="s">
        <v>359</v>
      </c>
      <c r="K118" t="s">
        <v>360</v>
      </c>
      <c r="L118" t="s">
        <v>265</v>
      </c>
      <c r="M118">
        <v>61</v>
      </c>
      <c r="N118" t="b">
        <v>0</v>
      </c>
      <c r="O118">
        <v>0.7379912663755458</v>
      </c>
      <c r="P118">
        <v>0.71610169491525422</v>
      </c>
      <c r="Q118">
        <v>0.76126126126126126</v>
      </c>
      <c r="R118" t="s">
        <v>60</v>
      </c>
      <c r="S118" t="s">
        <v>361</v>
      </c>
      <c r="T118" t="s">
        <v>362</v>
      </c>
      <c r="U118" t="b">
        <v>0</v>
      </c>
      <c r="V118" t="s">
        <v>63</v>
      </c>
      <c r="W118">
        <v>65.3</v>
      </c>
    </row>
    <row r="119" spans="1:23" hidden="1" x14ac:dyDescent="0.3">
      <c r="A119" t="s">
        <v>52</v>
      </c>
      <c r="B119" t="s">
        <v>53</v>
      </c>
      <c r="C119" t="s">
        <v>17</v>
      </c>
      <c r="D119" t="s">
        <v>18</v>
      </c>
      <c r="E119" t="s">
        <v>19</v>
      </c>
      <c r="F119" t="s">
        <v>363</v>
      </c>
      <c r="G119" t="s">
        <v>461</v>
      </c>
      <c r="H119" t="s">
        <v>365</v>
      </c>
      <c r="I119" t="s">
        <v>13</v>
      </c>
      <c r="J119" t="s">
        <v>462</v>
      </c>
      <c r="K119" t="s">
        <v>463</v>
      </c>
      <c r="L119" t="s">
        <v>368</v>
      </c>
      <c r="M119">
        <v>61</v>
      </c>
      <c r="N119" t="b">
        <v>0</v>
      </c>
      <c r="O119">
        <v>0.7583333333333333</v>
      </c>
      <c r="P119">
        <v>0.72799999999999998</v>
      </c>
      <c r="Q119">
        <v>0.79130434782608694</v>
      </c>
      <c r="R119" t="s">
        <v>60</v>
      </c>
      <c r="S119" t="s">
        <v>464</v>
      </c>
      <c r="T119" t="s">
        <v>465</v>
      </c>
      <c r="U119" t="b">
        <v>0</v>
      </c>
      <c r="V119" t="s">
        <v>63</v>
      </c>
      <c r="W119">
        <v>282.7</v>
      </c>
    </row>
    <row r="120" spans="1:23" hidden="1" x14ac:dyDescent="0.3">
      <c r="A120" t="s">
        <v>52</v>
      </c>
      <c r="B120" t="s">
        <v>53</v>
      </c>
      <c r="C120" t="s">
        <v>17</v>
      </c>
      <c r="D120" t="s">
        <v>18</v>
      </c>
      <c r="E120" t="s">
        <v>19</v>
      </c>
      <c r="F120" t="s">
        <v>363</v>
      </c>
      <c r="G120" t="s">
        <v>563</v>
      </c>
      <c r="H120" t="s">
        <v>467</v>
      </c>
      <c r="I120" t="s">
        <v>9</v>
      </c>
      <c r="J120" t="s">
        <v>564</v>
      </c>
      <c r="K120" t="s">
        <v>565</v>
      </c>
      <c r="L120" t="s">
        <v>470</v>
      </c>
      <c r="M120">
        <v>61</v>
      </c>
      <c r="N120" t="b">
        <v>0</v>
      </c>
      <c r="O120">
        <v>0.81714285714285706</v>
      </c>
      <c r="P120">
        <v>0.79005524861878451</v>
      </c>
      <c r="Q120">
        <v>0.84615384615384615</v>
      </c>
      <c r="R120" t="s">
        <v>60</v>
      </c>
      <c r="S120" t="s">
        <v>566</v>
      </c>
      <c r="T120" t="s">
        <v>567</v>
      </c>
      <c r="U120" t="b">
        <v>0</v>
      </c>
      <c r="V120" t="s">
        <v>63</v>
      </c>
      <c r="W120">
        <v>208.4</v>
      </c>
    </row>
    <row r="121" spans="1:23" hidden="1" x14ac:dyDescent="0.3">
      <c r="A121" t="s">
        <v>52</v>
      </c>
      <c r="B121" t="s">
        <v>53</v>
      </c>
      <c r="C121" t="s">
        <v>17</v>
      </c>
      <c r="D121" t="s">
        <v>18</v>
      </c>
      <c r="E121" t="s">
        <v>19</v>
      </c>
      <c r="F121" t="s">
        <v>363</v>
      </c>
      <c r="G121" t="s">
        <v>665</v>
      </c>
      <c r="H121" t="s">
        <v>569</v>
      </c>
      <c r="I121" t="s">
        <v>11</v>
      </c>
      <c r="J121" t="s">
        <v>666</v>
      </c>
      <c r="K121" t="s">
        <v>667</v>
      </c>
      <c r="L121" t="s">
        <v>572</v>
      </c>
      <c r="M121">
        <v>61</v>
      </c>
      <c r="N121" t="b">
        <v>0</v>
      </c>
      <c r="O121">
        <v>0.80525164113785563</v>
      </c>
      <c r="P121">
        <v>0.78297872340425534</v>
      </c>
      <c r="Q121">
        <v>0.8288288288288288</v>
      </c>
      <c r="R121" t="s">
        <v>60</v>
      </c>
      <c r="S121" t="s">
        <v>668</v>
      </c>
      <c r="T121" t="s">
        <v>669</v>
      </c>
      <c r="U121" t="b">
        <v>0</v>
      </c>
      <c r="V121" t="s">
        <v>63</v>
      </c>
      <c r="W121">
        <v>263.7</v>
      </c>
    </row>
    <row r="122" spans="1:23" hidden="1" x14ac:dyDescent="0.3">
      <c r="A122" t="s">
        <v>52</v>
      </c>
      <c r="B122" t="s">
        <v>53</v>
      </c>
      <c r="C122" t="s">
        <v>17</v>
      </c>
      <c r="D122" t="s">
        <v>20</v>
      </c>
      <c r="E122" t="s">
        <v>21</v>
      </c>
      <c r="F122" t="s">
        <v>54</v>
      </c>
      <c r="G122" t="s">
        <v>55</v>
      </c>
      <c r="H122" t="s">
        <v>56</v>
      </c>
      <c r="I122" t="s">
        <v>7</v>
      </c>
      <c r="J122" t="s">
        <v>57</v>
      </c>
      <c r="K122" t="s">
        <v>58</v>
      </c>
      <c r="L122" t="s">
        <v>59</v>
      </c>
      <c r="M122">
        <v>42</v>
      </c>
      <c r="N122" t="b">
        <v>1</v>
      </c>
      <c r="O122">
        <v>0.7489539748953975</v>
      </c>
      <c r="R122" t="s">
        <v>670</v>
      </c>
      <c r="S122" t="s">
        <v>671</v>
      </c>
      <c r="T122" t="s">
        <v>672</v>
      </c>
      <c r="U122" t="b">
        <v>1</v>
      </c>
      <c r="V122" t="s">
        <v>63</v>
      </c>
      <c r="W122">
        <v>0.6</v>
      </c>
    </row>
    <row r="123" spans="1:23" hidden="1" x14ac:dyDescent="0.3">
      <c r="A123" t="s">
        <v>52</v>
      </c>
      <c r="B123" t="s">
        <v>53</v>
      </c>
      <c r="C123" t="s">
        <v>17</v>
      </c>
      <c r="D123" t="s">
        <v>20</v>
      </c>
      <c r="E123" t="s">
        <v>21</v>
      </c>
      <c r="F123" t="s">
        <v>54</v>
      </c>
      <c r="G123" t="s">
        <v>64</v>
      </c>
      <c r="H123" t="s">
        <v>56</v>
      </c>
      <c r="I123" t="s">
        <v>7</v>
      </c>
      <c r="J123" t="s">
        <v>65</v>
      </c>
      <c r="K123" t="s">
        <v>66</v>
      </c>
      <c r="L123" t="s">
        <v>59</v>
      </c>
      <c r="M123">
        <v>43</v>
      </c>
      <c r="N123" t="b">
        <v>1</v>
      </c>
      <c r="O123">
        <v>0.71910112359550549</v>
      </c>
      <c r="R123" t="s">
        <v>670</v>
      </c>
      <c r="S123" t="s">
        <v>673</v>
      </c>
      <c r="T123" t="s">
        <v>674</v>
      </c>
      <c r="U123" t="b">
        <v>1</v>
      </c>
      <c r="V123" t="s">
        <v>63</v>
      </c>
      <c r="W123">
        <v>1</v>
      </c>
    </row>
    <row r="124" spans="1:23" hidden="1" x14ac:dyDescent="0.3">
      <c r="A124" t="s">
        <v>52</v>
      </c>
      <c r="B124" t="s">
        <v>53</v>
      </c>
      <c r="C124" t="s">
        <v>17</v>
      </c>
      <c r="D124" t="s">
        <v>20</v>
      </c>
      <c r="E124" t="s">
        <v>21</v>
      </c>
      <c r="F124" t="s">
        <v>54</v>
      </c>
      <c r="G124" t="s">
        <v>69</v>
      </c>
      <c r="H124" t="s">
        <v>56</v>
      </c>
      <c r="I124" t="s">
        <v>7</v>
      </c>
      <c r="J124" t="s">
        <v>70</v>
      </c>
      <c r="K124" t="s">
        <v>71</v>
      </c>
      <c r="L124" t="s">
        <v>59</v>
      </c>
      <c r="M124">
        <v>44</v>
      </c>
      <c r="N124" t="b">
        <v>1</v>
      </c>
      <c r="O124">
        <v>0.70229007633587781</v>
      </c>
      <c r="R124" t="s">
        <v>670</v>
      </c>
      <c r="S124" t="s">
        <v>675</v>
      </c>
      <c r="T124" t="s">
        <v>676</v>
      </c>
      <c r="U124" t="b">
        <v>1</v>
      </c>
      <c r="V124" t="s">
        <v>63</v>
      </c>
      <c r="W124">
        <v>0.7</v>
      </c>
    </row>
    <row r="125" spans="1:23" hidden="1" x14ac:dyDescent="0.3">
      <c r="A125" t="s">
        <v>52</v>
      </c>
      <c r="B125" t="s">
        <v>53</v>
      </c>
      <c r="C125" t="s">
        <v>17</v>
      </c>
      <c r="D125" t="s">
        <v>20</v>
      </c>
      <c r="E125" t="s">
        <v>21</v>
      </c>
      <c r="F125" t="s">
        <v>54</v>
      </c>
      <c r="G125" t="s">
        <v>74</v>
      </c>
      <c r="H125" t="s">
        <v>56</v>
      </c>
      <c r="I125" t="s">
        <v>7</v>
      </c>
      <c r="J125" t="s">
        <v>75</v>
      </c>
      <c r="K125" t="s">
        <v>76</v>
      </c>
      <c r="L125" t="s">
        <v>59</v>
      </c>
      <c r="M125">
        <v>45</v>
      </c>
      <c r="N125" t="b">
        <v>1</v>
      </c>
      <c r="O125">
        <v>0.72881355932203395</v>
      </c>
      <c r="R125" t="s">
        <v>670</v>
      </c>
      <c r="S125" t="s">
        <v>677</v>
      </c>
      <c r="T125" t="s">
        <v>678</v>
      </c>
      <c r="U125" t="b">
        <v>1</v>
      </c>
      <c r="V125" t="s">
        <v>63</v>
      </c>
      <c r="W125">
        <v>1</v>
      </c>
    </row>
    <row r="126" spans="1:23" hidden="1" x14ac:dyDescent="0.3">
      <c r="A126" t="s">
        <v>52</v>
      </c>
      <c r="B126" t="s">
        <v>53</v>
      </c>
      <c r="C126" t="s">
        <v>17</v>
      </c>
      <c r="D126" t="s">
        <v>20</v>
      </c>
      <c r="E126" t="s">
        <v>21</v>
      </c>
      <c r="F126" t="s">
        <v>54</v>
      </c>
      <c r="G126" t="s">
        <v>79</v>
      </c>
      <c r="H126" t="s">
        <v>56</v>
      </c>
      <c r="I126" t="s">
        <v>7</v>
      </c>
      <c r="J126" t="s">
        <v>80</v>
      </c>
      <c r="K126" t="s">
        <v>81</v>
      </c>
      <c r="L126" t="s">
        <v>59</v>
      </c>
      <c r="M126">
        <v>46</v>
      </c>
      <c r="N126" t="b">
        <v>1</v>
      </c>
      <c r="O126">
        <v>0.69767441860465118</v>
      </c>
      <c r="R126" t="s">
        <v>670</v>
      </c>
      <c r="S126" t="s">
        <v>679</v>
      </c>
      <c r="T126" t="s">
        <v>680</v>
      </c>
      <c r="U126" t="b">
        <v>1</v>
      </c>
      <c r="V126" t="s">
        <v>63</v>
      </c>
      <c r="W126">
        <v>0.7</v>
      </c>
    </row>
    <row r="127" spans="1:23" hidden="1" x14ac:dyDescent="0.3">
      <c r="A127" t="s">
        <v>52</v>
      </c>
      <c r="B127" t="s">
        <v>53</v>
      </c>
      <c r="C127" t="s">
        <v>17</v>
      </c>
      <c r="D127" t="s">
        <v>20</v>
      </c>
      <c r="E127" t="s">
        <v>21</v>
      </c>
      <c r="F127" t="s">
        <v>54</v>
      </c>
      <c r="G127" t="s">
        <v>84</v>
      </c>
      <c r="H127" t="s">
        <v>56</v>
      </c>
      <c r="I127" t="s">
        <v>7</v>
      </c>
      <c r="J127" t="s">
        <v>85</v>
      </c>
      <c r="K127" t="s">
        <v>86</v>
      </c>
      <c r="L127" t="s">
        <v>59</v>
      </c>
      <c r="M127">
        <v>47</v>
      </c>
      <c r="N127" t="b">
        <v>1</v>
      </c>
      <c r="O127">
        <v>0.75527426160337552</v>
      </c>
      <c r="R127" t="s">
        <v>670</v>
      </c>
      <c r="S127" t="s">
        <v>681</v>
      </c>
      <c r="T127" t="s">
        <v>682</v>
      </c>
      <c r="U127" t="b">
        <v>1</v>
      </c>
      <c r="V127" t="s">
        <v>63</v>
      </c>
      <c r="W127">
        <v>1</v>
      </c>
    </row>
    <row r="128" spans="1:23" hidden="1" x14ac:dyDescent="0.3">
      <c r="A128" t="s">
        <v>52</v>
      </c>
      <c r="B128" t="s">
        <v>53</v>
      </c>
      <c r="C128" t="s">
        <v>17</v>
      </c>
      <c r="D128" t="s">
        <v>20</v>
      </c>
      <c r="E128" t="s">
        <v>21</v>
      </c>
      <c r="F128" t="s">
        <v>54</v>
      </c>
      <c r="G128" t="s">
        <v>89</v>
      </c>
      <c r="H128" t="s">
        <v>56</v>
      </c>
      <c r="I128" t="s">
        <v>7</v>
      </c>
      <c r="J128" t="s">
        <v>90</v>
      </c>
      <c r="K128" t="s">
        <v>91</v>
      </c>
      <c r="L128" t="s">
        <v>59</v>
      </c>
      <c r="M128">
        <v>48</v>
      </c>
      <c r="N128" t="b">
        <v>1</v>
      </c>
      <c r="O128">
        <v>0.73221757322175729</v>
      </c>
      <c r="R128" t="s">
        <v>670</v>
      </c>
      <c r="S128" t="s">
        <v>683</v>
      </c>
      <c r="T128" t="s">
        <v>684</v>
      </c>
      <c r="U128" t="b">
        <v>1</v>
      </c>
      <c r="V128" t="s">
        <v>63</v>
      </c>
      <c r="W128">
        <v>0.8</v>
      </c>
    </row>
    <row r="129" spans="1:23" hidden="1" x14ac:dyDescent="0.3">
      <c r="A129" t="s">
        <v>52</v>
      </c>
      <c r="B129" t="s">
        <v>53</v>
      </c>
      <c r="C129" t="s">
        <v>17</v>
      </c>
      <c r="D129" t="s">
        <v>20</v>
      </c>
      <c r="E129" t="s">
        <v>21</v>
      </c>
      <c r="F129" t="s">
        <v>54</v>
      </c>
      <c r="G129" t="s">
        <v>94</v>
      </c>
      <c r="H129" t="s">
        <v>56</v>
      </c>
      <c r="I129" t="s">
        <v>7</v>
      </c>
      <c r="J129" t="s">
        <v>95</v>
      </c>
      <c r="K129" t="s">
        <v>96</v>
      </c>
      <c r="L129" t="s">
        <v>59</v>
      </c>
      <c r="M129">
        <v>49</v>
      </c>
      <c r="N129" t="b">
        <v>1</v>
      </c>
      <c r="O129">
        <v>0.73486430062630481</v>
      </c>
      <c r="R129" t="s">
        <v>670</v>
      </c>
      <c r="S129" t="s">
        <v>685</v>
      </c>
      <c r="T129" t="s">
        <v>686</v>
      </c>
      <c r="U129" t="b">
        <v>1</v>
      </c>
      <c r="V129" t="s">
        <v>63</v>
      </c>
      <c r="W129">
        <v>0.9</v>
      </c>
    </row>
    <row r="130" spans="1:23" hidden="1" x14ac:dyDescent="0.3">
      <c r="A130" t="s">
        <v>52</v>
      </c>
      <c r="B130" t="s">
        <v>53</v>
      </c>
      <c r="C130" t="s">
        <v>17</v>
      </c>
      <c r="D130" t="s">
        <v>20</v>
      </c>
      <c r="E130" t="s">
        <v>21</v>
      </c>
      <c r="F130" t="s">
        <v>54</v>
      </c>
      <c r="G130" t="s">
        <v>99</v>
      </c>
      <c r="H130" t="s">
        <v>56</v>
      </c>
      <c r="I130" t="s">
        <v>7</v>
      </c>
      <c r="J130" t="s">
        <v>100</v>
      </c>
      <c r="K130" t="s">
        <v>101</v>
      </c>
      <c r="L130" t="s">
        <v>59</v>
      </c>
      <c r="M130">
        <v>50</v>
      </c>
      <c r="N130" t="b">
        <v>1</v>
      </c>
      <c r="O130">
        <v>0.7489539748953975</v>
      </c>
      <c r="R130" t="s">
        <v>670</v>
      </c>
      <c r="S130" t="s">
        <v>687</v>
      </c>
      <c r="T130" t="s">
        <v>688</v>
      </c>
      <c r="U130" t="b">
        <v>1</v>
      </c>
      <c r="V130" t="s">
        <v>63</v>
      </c>
      <c r="W130">
        <v>0.7</v>
      </c>
    </row>
    <row r="131" spans="1:23" hidden="1" x14ac:dyDescent="0.3">
      <c r="A131" t="s">
        <v>52</v>
      </c>
      <c r="B131" t="s">
        <v>53</v>
      </c>
      <c r="C131" t="s">
        <v>17</v>
      </c>
      <c r="D131" t="s">
        <v>20</v>
      </c>
      <c r="E131" t="s">
        <v>21</v>
      </c>
      <c r="F131" t="s">
        <v>54</v>
      </c>
      <c r="G131" t="s">
        <v>104</v>
      </c>
      <c r="H131" t="s">
        <v>56</v>
      </c>
      <c r="I131" t="s">
        <v>7</v>
      </c>
      <c r="J131" t="s">
        <v>105</v>
      </c>
      <c r="K131" t="s">
        <v>106</v>
      </c>
      <c r="L131" t="s">
        <v>59</v>
      </c>
      <c r="M131">
        <v>51</v>
      </c>
      <c r="N131" t="b">
        <v>1</v>
      </c>
      <c r="O131">
        <v>0.71398747390396666</v>
      </c>
      <c r="R131" t="s">
        <v>670</v>
      </c>
      <c r="S131" t="s">
        <v>689</v>
      </c>
      <c r="T131" t="s">
        <v>690</v>
      </c>
      <c r="U131" t="b">
        <v>1</v>
      </c>
      <c r="V131" t="s">
        <v>63</v>
      </c>
      <c r="W131">
        <v>1</v>
      </c>
    </row>
    <row r="132" spans="1:23" hidden="1" x14ac:dyDescent="0.3">
      <c r="A132" t="s">
        <v>52</v>
      </c>
      <c r="B132" t="s">
        <v>53</v>
      </c>
      <c r="C132" t="s">
        <v>17</v>
      </c>
      <c r="D132" t="s">
        <v>20</v>
      </c>
      <c r="E132" t="s">
        <v>21</v>
      </c>
      <c r="F132" t="s">
        <v>54</v>
      </c>
      <c r="G132" t="s">
        <v>109</v>
      </c>
      <c r="H132" t="s">
        <v>56</v>
      </c>
      <c r="I132" t="s">
        <v>7</v>
      </c>
      <c r="J132" t="s">
        <v>110</v>
      </c>
      <c r="K132" t="s">
        <v>111</v>
      </c>
      <c r="L132" t="s">
        <v>59</v>
      </c>
      <c r="M132">
        <v>52</v>
      </c>
      <c r="N132" t="b">
        <v>1</v>
      </c>
      <c r="O132">
        <v>0.71092077087794436</v>
      </c>
      <c r="R132" t="s">
        <v>670</v>
      </c>
      <c r="S132" t="s">
        <v>691</v>
      </c>
      <c r="T132" t="s">
        <v>692</v>
      </c>
      <c r="U132" t="b">
        <v>1</v>
      </c>
      <c r="V132" t="s">
        <v>63</v>
      </c>
      <c r="W132">
        <v>0.7</v>
      </c>
    </row>
    <row r="133" spans="1:23" hidden="1" x14ac:dyDescent="0.3">
      <c r="A133" t="s">
        <v>52</v>
      </c>
      <c r="B133" t="s">
        <v>53</v>
      </c>
      <c r="C133" t="s">
        <v>17</v>
      </c>
      <c r="D133" t="s">
        <v>20</v>
      </c>
      <c r="E133" t="s">
        <v>21</v>
      </c>
      <c r="F133" t="s">
        <v>54</v>
      </c>
      <c r="G133" t="s">
        <v>114</v>
      </c>
      <c r="H133" t="s">
        <v>56</v>
      </c>
      <c r="I133" t="s">
        <v>7</v>
      </c>
      <c r="J133" t="s">
        <v>115</v>
      </c>
      <c r="K133" t="s">
        <v>116</v>
      </c>
      <c r="L133" t="s">
        <v>59</v>
      </c>
      <c r="M133">
        <v>53</v>
      </c>
      <c r="N133" t="b">
        <v>1</v>
      </c>
      <c r="O133">
        <v>0.74369747899159655</v>
      </c>
      <c r="R133" t="s">
        <v>670</v>
      </c>
      <c r="S133" t="s">
        <v>693</v>
      </c>
      <c r="T133" t="s">
        <v>694</v>
      </c>
      <c r="U133" t="b">
        <v>1</v>
      </c>
      <c r="V133" t="s">
        <v>63</v>
      </c>
      <c r="W133">
        <v>0.9</v>
      </c>
    </row>
    <row r="134" spans="1:23" hidden="1" x14ac:dyDescent="0.3">
      <c r="A134" t="s">
        <v>52</v>
      </c>
      <c r="B134" t="s">
        <v>53</v>
      </c>
      <c r="C134" t="s">
        <v>17</v>
      </c>
      <c r="D134" t="s">
        <v>20</v>
      </c>
      <c r="E134" t="s">
        <v>21</v>
      </c>
      <c r="F134" t="s">
        <v>54</v>
      </c>
      <c r="G134" t="s">
        <v>119</v>
      </c>
      <c r="H134" t="s">
        <v>56</v>
      </c>
      <c r="I134" t="s">
        <v>7</v>
      </c>
      <c r="J134" t="s">
        <v>120</v>
      </c>
      <c r="K134" t="s">
        <v>121</v>
      </c>
      <c r="L134" t="s">
        <v>59</v>
      </c>
      <c r="M134">
        <v>54</v>
      </c>
      <c r="N134" t="b">
        <v>1</v>
      </c>
      <c r="O134">
        <v>0.7396694214876034</v>
      </c>
      <c r="R134" t="s">
        <v>670</v>
      </c>
      <c r="S134" t="s">
        <v>695</v>
      </c>
      <c r="T134" t="s">
        <v>696</v>
      </c>
      <c r="U134" t="b">
        <v>1</v>
      </c>
      <c r="V134" t="s">
        <v>63</v>
      </c>
      <c r="W134">
        <v>0.6</v>
      </c>
    </row>
    <row r="135" spans="1:23" hidden="1" x14ac:dyDescent="0.3">
      <c r="A135" t="s">
        <v>52</v>
      </c>
      <c r="B135" t="s">
        <v>53</v>
      </c>
      <c r="C135" t="s">
        <v>17</v>
      </c>
      <c r="D135" t="s">
        <v>20</v>
      </c>
      <c r="E135" t="s">
        <v>21</v>
      </c>
      <c r="F135" t="s">
        <v>54</v>
      </c>
      <c r="G135" t="s">
        <v>124</v>
      </c>
      <c r="H135" t="s">
        <v>56</v>
      </c>
      <c r="I135" t="s">
        <v>7</v>
      </c>
      <c r="J135" t="s">
        <v>125</v>
      </c>
      <c r="K135" t="s">
        <v>126</v>
      </c>
      <c r="L135" t="s">
        <v>59</v>
      </c>
      <c r="M135">
        <v>55</v>
      </c>
      <c r="N135" t="b">
        <v>1</v>
      </c>
      <c r="O135">
        <v>0.71035940803382658</v>
      </c>
      <c r="R135" t="s">
        <v>670</v>
      </c>
      <c r="S135" t="s">
        <v>697</v>
      </c>
      <c r="T135" t="s">
        <v>698</v>
      </c>
      <c r="U135" t="b">
        <v>1</v>
      </c>
      <c r="V135" t="s">
        <v>63</v>
      </c>
      <c r="W135">
        <v>0.8</v>
      </c>
    </row>
    <row r="136" spans="1:23" hidden="1" x14ac:dyDescent="0.3">
      <c r="A136" t="s">
        <v>52</v>
      </c>
      <c r="B136" t="s">
        <v>53</v>
      </c>
      <c r="C136" t="s">
        <v>17</v>
      </c>
      <c r="D136" t="s">
        <v>20</v>
      </c>
      <c r="E136" t="s">
        <v>21</v>
      </c>
      <c r="F136" t="s">
        <v>54</v>
      </c>
      <c r="G136" t="s">
        <v>129</v>
      </c>
      <c r="H136" t="s">
        <v>56</v>
      </c>
      <c r="I136" t="s">
        <v>7</v>
      </c>
      <c r="J136" t="s">
        <v>130</v>
      </c>
      <c r="K136" t="s">
        <v>131</v>
      </c>
      <c r="L136" t="s">
        <v>59</v>
      </c>
      <c r="M136">
        <v>56</v>
      </c>
      <c r="N136" t="b">
        <v>1</v>
      </c>
      <c r="O136">
        <v>0.70809792843691155</v>
      </c>
      <c r="R136" t="s">
        <v>670</v>
      </c>
      <c r="S136" t="s">
        <v>699</v>
      </c>
      <c r="T136" t="s">
        <v>700</v>
      </c>
      <c r="U136" t="b">
        <v>1</v>
      </c>
      <c r="V136" t="s">
        <v>63</v>
      </c>
      <c r="W136">
        <v>0.7</v>
      </c>
    </row>
    <row r="137" spans="1:23" hidden="1" x14ac:dyDescent="0.3">
      <c r="A137" t="s">
        <v>52</v>
      </c>
      <c r="B137" t="s">
        <v>53</v>
      </c>
      <c r="C137" t="s">
        <v>17</v>
      </c>
      <c r="D137" t="s">
        <v>20</v>
      </c>
      <c r="E137" t="s">
        <v>21</v>
      </c>
      <c r="F137" t="s">
        <v>54</v>
      </c>
      <c r="G137" t="s">
        <v>134</v>
      </c>
      <c r="H137" t="s">
        <v>56</v>
      </c>
      <c r="I137" t="s">
        <v>7</v>
      </c>
      <c r="J137" t="s">
        <v>135</v>
      </c>
      <c r="K137" t="s">
        <v>136</v>
      </c>
      <c r="L137" t="s">
        <v>59</v>
      </c>
      <c r="M137">
        <v>57</v>
      </c>
      <c r="N137" t="b">
        <v>1</v>
      </c>
      <c r="O137">
        <v>0.77113402061855674</v>
      </c>
      <c r="R137" t="s">
        <v>670</v>
      </c>
      <c r="S137" t="s">
        <v>701</v>
      </c>
      <c r="T137" t="s">
        <v>702</v>
      </c>
      <c r="U137" t="b">
        <v>1</v>
      </c>
      <c r="V137" t="s">
        <v>63</v>
      </c>
      <c r="W137">
        <v>0.9</v>
      </c>
    </row>
    <row r="138" spans="1:23" hidden="1" x14ac:dyDescent="0.3">
      <c r="A138" t="s">
        <v>52</v>
      </c>
      <c r="B138" t="s">
        <v>53</v>
      </c>
      <c r="C138" t="s">
        <v>17</v>
      </c>
      <c r="D138" t="s">
        <v>20</v>
      </c>
      <c r="E138" t="s">
        <v>21</v>
      </c>
      <c r="F138" t="s">
        <v>54</v>
      </c>
      <c r="G138" t="s">
        <v>139</v>
      </c>
      <c r="H138" t="s">
        <v>56</v>
      </c>
      <c r="I138" t="s">
        <v>7</v>
      </c>
      <c r="J138" t="s">
        <v>140</v>
      </c>
      <c r="K138" t="s">
        <v>141</v>
      </c>
      <c r="L138" t="s">
        <v>59</v>
      </c>
      <c r="M138">
        <v>58</v>
      </c>
      <c r="N138" t="b">
        <v>1</v>
      </c>
      <c r="O138">
        <v>0.77113402061855674</v>
      </c>
      <c r="R138" t="s">
        <v>670</v>
      </c>
      <c r="S138" t="s">
        <v>703</v>
      </c>
      <c r="T138" t="s">
        <v>704</v>
      </c>
      <c r="U138" t="b">
        <v>1</v>
      </c>
      <c r="V138" t="s">
        <v>63</v>
      </c>
      <c r="W138">
        <v>0.6</v>
      </c>
    </row>
    <row r="139" spans="1:23" hidden="1" x14ac:dyDescent="0.3">
      <c r="A139" t="s">
        <v>52</v>
      </c>
      <c r="B139" t="s">
        <v>53</v>
      </c>
      <c r="C139" t="s">
        <v>17</v>
      </c>
      <c r="D139" t="s">
        <v>20</v>
      </c>
      <c r="E139" t="s">
        <v>21</v>
      </c>
      <c r="F139" t="s">
        <v>54</v>
      </c>
      <c r="G139" t="s">
        <v>144</v>
      </c>
      <c r="H139" t="s">
        <v>56</v>
      </c>
      <c r="I139" t="s">
        <v>7</v>
      </c>
      <c r="J139" t="s">
        <v>145</v>
      </c>
      <c r="K139" t="s">
        <v>146</v>
      </c>
      <c r="L139" t="s">
        <v>59</v>
      </c>
      <c r="M139">
        <v>59</v>
      </c>
      <c r="N139" t="b">
        <v>1</v>
      </c>
      <c r="O139">
        <v>0.76763485477178428</v>
      </c>
      <c r="R139" t="s">
        <v>670</v>
      </c>
      <c r="S139" t="s">
        <v>705</v>
      </c>
      <c r="T139" t="s">
        <v>706</v>
      </c>
      <c r="U139" t="b">
        <v>1</v>
      </c>
      <c r="V139" t="s">
        <v>63</v>
      </c>
      <c r="W139">
        <v>0.6</v>
      </c>
    </row>
    <row r="140" spans="1:23" hidden="1" x14ac:dyDescent="0.3">
      <c r="A140" t="s">
        <v>52</v>
      </c>
      <c r="B140" t="s">
        <v>53</v>
      </c>
      <c r="C140" t="s">
        <v>17</v>
      </c>
      <c r="D140" t="s">
        <v>20</v>
      </c>
      <c r="E140" t="s">
        <v>21</v>
      </c>
      <c r="F140" t="s">
        <v>54</v>
      </c>
      <c r="G140" t="s">
        <v>149</v>
      </c>
      <c r="H140" t="s">
        <v>56</v>
      </c>
      <c r="I140" t="s">
        <v>7</v>
      </c>
      <c r="J140" t="s">
        <v>150</v>
      </c>
      <c r="K140" t="s">
        <v>151</v>
      </c>
      <c r="L140" t="s">
        <v>59</v>
      </c>
      <c r="M140">
        <v>60</v>
      </c>
      <c r="N140" t="b">
        <v>1</v>
      </c>
      <c r="O140">
        <v>0.69979296066252594</v>
      </c>
      <c r="R140" t="s">
        <v>670</v>
      </c>
      <c r="S140" t="s">
        <v>707</v>
      </c>
      <c r="T140" t="s">
        <v>708</v>
      </c>
      <c r="U140" t="b">
        <v>1</v>
      </c>
      <c r="V140" t="s">
        <v>63</v>
      </c>
      <c r="W140">
        <v>0.9</v>
      </c>
    </row>
    <row r="141" spans="1:23" hidden="1" x14ac:dyDescent="0.3">
      <c r="A141" t="s">
        <v>52</v>
      </c>
      <c r="B141" t="s">
        <v>53</v>
      </c>
      <c r="C141" t="s">
        <v>17</v>
      </c>
      <c r="D141" t="s">
        <v>20</v>
      </c>
      <c r="E141" t="s">
        <v>21</v>
      </c>
      <c r="F141" t="s">
        <v>54</v>
      </c>
      <c r="G141" t="s">
        <v>154</v>
      </c>
      <c r="H141" t="s">
        <v>56</v>
      </c>
      <c r="I141" t="s">
        <v>7</v>
      </c>
      <c r="J141" t="s">
        <v>155</v>
      </c>
      <c r="K141" t="s">
        <v>156</v>
      </c>
      <c r="L141" t="s">
        <v>59</v>
      </c>
      <c r="M141">
        <v>61</v>
      </c>
      <c r="N141" t="b">
        <v>1</v>
      </c>
      <c r="O141">
        <v>0.71666666666666667</v>
      </c>
      <c r="R141" t="s">
        <v>670</v>
      </c>
      <c r="S141" t="s">
        <v>709</v>
      </c>
      <c r="T141" t="s">
        <v>710</v>
      </c>
      <c r="U141" t="b">
        <v>1</v>
      </c>
      <c r="V141" t="s">
        <v>63</v>
      </c>
      <c r="W141">
        <v>0.7</v>
      </c>
    </row>
    <row r="142" spans="1:23" hidden="1" x14ac:dyDescent="0.3">
      <c r="A142" t="s">
        <v>52</v>
      </c>
      <c r="B142" t="s">
        <v>53</v>
      </c>
      <c r="C142" t="s">
        <v>17</v>
      </c>
      <c r="D142" t="s">
        <v>20</v>
      </c>
      <c r="E142" t="s">
        <v>21</v>
      </c>
      <c r="F142" t="s">
        <v>54</v>
      </c>
      <c r="G142" t="s">
        <v>159</v>
      </c>
      <c r="H142" t="s">
        <v>160</v>
      </c>
      <c r="I142" t="s">
        <v>3</v>
      </c>
      <c r="J142" t="s">
        <v>161</v>
      </c>
      <c r="K142" t="s">
        <v>162</v>
      </c>
      <c r="L142" t="s">
        <v>163</v>
      </c>
      <c r="M142">
        <v>42</v>
      </c>
      <c r="N142" t="b">
        <v>0</v>
      </c>
      <c r="O142">
        <v>0.71508379888268159</v>
      </c>
      <c r="R142" t="s">
        <v>670</v>
      </c>
      <c r="S142" t="s">
        <v>711</v>
      </c>
      <c r="T142" t="s">
        <v>712</v>
      </c>
      <c r="U142" t="b">
        <v>1</v>
      </c>
      <c r="V142" t="s">
        <v>63</v>
      </c>
      <c r="W142">
        <v>0.8</v>
      </c>
    </row>
    <row r="143" spans="1:23" hidden="1" x14ac:dyDescent="0.3">
      <c r="A143" t="s">
        <v>52</v>
      </c>
      <c r="B143" t="s">
        <v>53</v>
      </c>
      <c r="C143" t="s">
        <v>17</v>
      </c>
      <c r="D143" t="s">
        <v>20</v>
      </c>
      <c r="E143" t="s">
        <v>21</v>
      </c>
      <c r="F143" t="s">
        <v>54</v>
      </c>
      <c r="G143" t="s">
        <v>166</v>
      </c>
      <c r="H143" t="s">
        <v>160</v>
      </c>
      <c r="I143" t="s">
        <v>3</v>
      </c>
      <c r="J143" t="s">
        <v>167</v>
      </c>
      <c r="K143" t="s">
        <v>168</v>
      </c>
      <c r="L143" t="s">
        <v>163</v>
      </c>
      <c r="M143">
        <v>43</v>
      </c>
      <c r="N143" t="b">
        <v>0</v>
      </c>
      <c r="O143">
        <v>0.72972972972972971</v>
      </c>
      <c r="R143" t="s">
        <v>670</v>
      </c>
      <c r="S143" t="s">
        <v>713</v>
      </c>
      <c r="T143" t="s">
        <v>714</v>
      </c>
      <c r="U143" t="b">
        <v>1</v>
      </c>
      <c r="V143" t="s">
        <v>63</v>
      </c>
      <c r="W143">
        <v>0.6</v>
      </c>
    </row>
    <row r="144" spans="1:23" hidden="1" x14ac:dyDescent="0.3">
      <c r="A144" t="s">
        <v>52</v>
      </c>
      <c r="B144" t="s">
        <v>53</v>
      </c>
      <c r="C144" t="s">
        <v>17</v>
      </c>
      <c r="D144" t="s">
        <v>20</v>
      </c>
      <c r="E144" t="s">
        <v>21</v>
      </c>
      <c r="F144" t="s">
        <v>54</v>
      </c>
      <c r="G144" t="s">
        <v>171</v>
      </c>
      <c r="H144" t="s">
        <v>160</v>
      </c>
      <c r="I144" t="s">
        <v>3</v>
      </c>
      <c r="J144" t="s">
        <v>172</v>
      </c>
      <c r="K144" t="s">
        <v>173</v>
      </c>
      <c r="L144" t="s">
        <v>163</v>
      </c>
      <c r="M144">
        <v>44</v>
      </c>
      <c r="N144" t="b">
        <v>0</v>
      </c>
      <c r="O144">
        <v>0.73087818696883866</v>
      </c>
      <c r="R144" t="s">
        <v>670</v>
      </c>
      <c r="S144" t="s">
        <v>715</v>
      </c>
      <c r="T144" t="s">
        <v>716</v>
      </c>
      <c r="U144" t="b">
        <v>1</v>
      </c>
      <c r="V144" t="s">
        <v>63</v>
      </c>
      <c r="W144">
        <v>0.6</v>
      </c>
    </row>
    <row r="145" spans="1:23" hidden="1" x14ac:dyDescent="0.3">
      <c r="A145" t="s">
        <v>52</v>
      </c>
      <c r="B145" t="s">
        <v>53</v>
      </c>
      <c r="C145" t="s">
        <v>17</v>
      </c>
      <c r="D145" t="s">
        <v>20</v>
      </c>
      <c r="E145" t="s">
        <v>21</v>
      </c>
      <c r="F145" t="s">
        <v>54</v>
      </c>
      <c r="G145" t="s">
        <v>176</v>
      </c>
      <c r="H145" t="s">
        <v>160</v>
      </c>
      <c r="I145" t="s">
        <v>3</v>
      </c>
      <c r="J145" t="s">
        <v>177</v>
      </c>
      <c r="K145" t="s">
        <v>178</v>
      </c>
      <c r="L145" t="s">
        <v>163</v>
      </c>
      <c r="M145">
        <v>45</v>
      </c>
      <c r="N145" t="b">
        <v>0</v>
      </c>
      <c r="O145">
        <v>0.73369565217391308</v>
      </c>
      <c r="R145" t="s">
        <v>670</v>
      </c>
      <c r="S145" t="s">
        <v>717</v>
      </c>
      <c r="T145" t="s">
        <v>718</v>
      </c>
      <c r="U145" t="b">
        <v>1</v>
      </c>
      <c r="V145" t="s">
        <v>63</v>
      </c>
      <c r="W145">
        <v>0.6</v>
      </c>
    </row>
    <row r="146" spans="1:23" hidden="1" x14ac:dyDescent="0.3">
      <c r="A146" t="s">
        <v>52</v>
      </c>
      <c r="B146" t="s">
        <v>53</v>
      </c>
      <c r="C146" t="s">
        <v>17</v>
      </c>
      <c r="D146" t="s">
        <v>20</v>
      </c>
      <c r="E146" t="s">
        <v>21</v>
      </c>
      <c r="F146" t="s">
        <v>54</v>
      </c>
      <c r="G146" t="s">
        <v>181</v>
      </c>
      <c r="H146" t="s">
        <v>160</v>
      </c>
      <c r="I146" t="s">
        <v>3</v>
      </c>
      <c r="J146" t="s">
        <v>182</v>
      </c>
      <c r="K146" t="s">
        <v>183</v>
      </c>
      <c r="L146" t="s">
        <v>163</v>
      </c>
      <c r="M146">
        <v>46</v>
      </c>
      <c r="N146" t="b">
        <v>0</v>
      </c>
      <c r="O146">
        <v>0.72628726287262879</v>
      </c>
      <c r="R146" t="s">
        <v>670</v>
      </c>
      <c r="S146" t="s">
        <v>719</v>
      </c>
      <c r="T146" t="s">
        <v>720</v>
      </c>
      <c r="U146" t="b">
        <v>1</v>
      </c>
      <c r="V146" t="s">
        <v>63</v>
      </c>
      <c r="W146">
        <v>0.6</v>
      </c>
    </row>
    <row r="147" spans="1:23" hidden="1" x14ac:dyDescent="0.3">
      <c r="A147" t="s">
        <v>52</v>
      </c>
      <c r="B147" t="s">
        <v>53</v>
      </c>
      <c r="C147" t="s">
        <v>17</v>
      </c>
      <c r="D147" t="s">
        <v>20</v>
      </c>
      <c r="E147" t="s">
        <v>21</v>
      </c>
      <c r="F147" t="s">
        <v>54</v>
      </c>
      <c r="G147" t="s">
        <v>186</v>
      </c>
      <c r="H147" t="s">
        <v>160</v>
      </c>
      <c r="I147" t="s">
        <v>3</v>
      </c>
      <c r="J147" t="s">
        <v>187</v>
      </c>
      <c r="K147" t="s">
        <v>188</v>
      </c>
      <c r="L147" t="s">
        <v>163</v>
      </c>
      <c r="M147">
        <v>47</v>
      </c>
      <c r="N147" t="b">
        <v>0</v>
      </c>
      <c r="O147">
        <v>0.75</v>
      </c>
      <c r="R147" t="s">
        <v>670</v>
      </c>
      <c r="S147" t="s">
        <v>721</v>
      </c>
      <c r="T147" t="s">
        <v>722</v>
      </c>
      <c r="U147" t="b">
        <v>1</v>
      </c>
      <c r="V147" t="s">
        <v>63</v>
      </c>
      <c r="W147">
        <v>0.9</v>
      </c>
    </row>
    <row r="148" spans="1:23" hidden="1" x14ac:dyDescent="0.3">
      <c r="A148" t="s">
        <v>52</v>
      </c>
      <c r="B148" t="s">
        <v>53</v>
      </c>
      <c r="C148" t="s">
        <v>17</v>
      </c>
      <c r="D148" t="s">
        <v>20</v>
      </c>
      <c r="E148" t="s">
        <v>21</v>
      </c>
      <c r="F148" t="s">
        <v>54</v>
      </c>
      <c r="G148" t="s">
        <v>191</v>
      </c>
      <c r="H148" t="s">
        <v>160</v>
      </c>
      <c r="I148" t="s">
        <v>3</v>
      </c>
      <c r="J148" t="s">
        <v>192</v>
      </c>
      <c r="K148" t="s">
        <v>193</v>
      </c>
      <c r="L148" t="s">
        <v>163</v>
      </c>
      <c r="M148">
        <v>48</v>
      </c>
      <c r="N148" t="b">
        <v>0</v>
      </c>
      <c r="O148">
        <v>0.6875</v>
      </c>
      <c r="R148" t="s">
        <v>670</v>
      </c>
      <c r="S148" t="s">
        <v>723</v>
      </c>
      <c r="T148" t="s">
        <v>724</v>
      </c>
      <c r="U148" t="b">
        <v>1</v>
      </c>
      <c r="V148" t="s">
        <v>63</v>
      </c>
      <c r="W148">
        <v>0.9</v>
      </c>
    </row>
    <row r="149" spans="1:23" hidden="1" x14ac:dyDescent="0.3">
      <c r="A149" t="s">
        <v>52</v>
      </c>
      <c r="B149" t="s">
        <v>53</v>
      </c>
      <c r="C149" t="s">
        <v>17</v>
      </c>
      <c r="D149" t="s">
        <v>20</v>
      </c>
      <c r="E149" t="s">
        <v>21</v>
      </c>
      <c r="F149" t="s">
        <v>54</v>
      </c>
      <c r="G149" t="s">
        <v>196</v>
      </c>
      <c r="H149" t="s">
        <v>160</v>
      </c>
      <c r="I149" t="s">
        <v>3</v>
      </c>
      <c r="J149" t="s">
        <v>197</v>
      </c>
      <c r="K149" t="s">
        <v>198</v>
      </c>
      <c r="L149" t="s">
        <v>163</v>
      </c>
      <c r="M149">
        <v>49</v>
      </c>
      <c r="N149" t="b">
        <v>0</v>
      </c>
      <c r="O149">
        <v>0.75766016713091933</v>
      </c>
      <c r="R149" t="s">
        <v>670</v>
      </c>
      <c r="S149" t="s">
        <v>725</v>
      </c>
      <c r="T149" t="s">
        <v>726</v>
      </c>
      <c r="U149" t="b">
        <v>1</v>
      </c>
      <c r="V149" t="s">
        <v>63</v>
      </c>
      <c r="W149">
        <v>0.6</v>
      </c>
    </row>
    <row r="150" spans="1:23" hidden="1" x14ac:dyDescent="0.3">
      <c r="A150" t="s">
        <v>52</v>
      </c>
      <c r="B150" t="s">
        <v>53</v>
      </c>
      <c r="C150" t="s">
        <v>17</v>
      </c>
      <c r="D150" t="s">
        <v>20</v>
      </c>
      <c r="E150" t="s">
        <v>21</v>
      </c>
      <c r="F150" t="s">
        <v>54</v>
      </c>
      <c r="G150" t="s">
        <v>201</v>
      </c>
      <c r="H150" t="s">
        <v>160</v>
      </c>
      <c r="I150" t="s">
        <v>3</v>
      </c>
      <c r="J150" t="s">
        <v>202</v>
      </c>
      <c r="K150" t="s">
        <v>203</v>
      </c>
      <c r="L150" t="s">
        <v>163</v>
      </c>
      <c r="M150">
        <v>50</v>
      </c>
      <c r="N150" t="b">
        <v>0</v>
      </c>
      <c r="O150">
        <v>0.71264367816091956</v>
      </c>
      <c r="R150" t="s">
        <v>670</v>
      </c>
      <c r="S150" t="s">
        <v>727</v>
      </c>
      <c r="T150" t="s">
        <v>728</v>
      </c>
      <c r="U150" t="b">
        <v>1</v>
      </c>
      <c r="V150" t="s">
        <v>63</v>
      </c>
      <c r="W150">
        <v>0.7</v>
      </c>
    </row>
    <row r="151" spans="1:23" hidden="1" x14ac:dyDescent="0.3">
      <c r="A151" t="s">
        <v>52</v>
      </c>
      <c r="B151" t="s">
        <v>53</v>
      </c>
      <c r="C151" t="s">
        <v>17</v>
      </c>
      <c r="D151" t="s">
        <v>20</v>
      </c>
      <c r="E151" t="s">
        <v>21</v>
      </c>
      <c r="F151" t="s">
        <v>54</v>
      </c>
      <c r="G151" t="s">
        <v>206</v>
      </c>
      <c r="H151" t="s">
        <v>160</v>
      </c>
      <c r="I151" t="s">
        <v>3</v>
      </c>
      <c r="J151" t="s">
        <v>207</v>
      </c>
      <c r="K151" t="s">
        <v>208</v>
      </c>
      <c r="L151" t="s">
        <v>163</v>
      </c>
      <c r="M151">
        <v>51</v>
      </c>
      <c r="N151" t="b">
        <v>0</v>
      </c>
      <c r="O151">
        <v>0.70270270270270274</v>
      </c>
      <c r="R151" t="s">
        <v>670</v>
      </c>
      <c r="S151" t="s">
        <v>729</v>
      </c>
      <c r="T151" t="s">
        <v>730</v>
      </c>
      <c r="U151" t="b">
        <v>1</v>
      </c>
      <c r="V151" t="s">
        <v>63</v>
      </c>
      <c r="W151">
        <v>0.6</v>
      </c>
    </row>
    <row r="152" spans="1:23" hidden="1" x14ac:dyDescent="0.3">
      <c r="A152" t="s">
        <v>52</v>
      </c>
      <c r="B152" t="s">
        <v>53</v>
      </c>
      <c r="C152" t="s">
        <v>17</v>
      </c>
      <c r="D152" t="s">
        <v>20</v>
      </c>
      <c r="E152" t="s">
        <v>21</v>
      </c>
      <c r="F152" t="s">
        <v>54</v>
      </c>
      <c r="G152" t="s">
        <v>211</v>
      </c>
      <c r="H152" t="s">
        <v>160</v>
      </c>
      <c r="I152" t="s">
        <v>3</v>
      </c>
      <c r="J152" t="s">
        <v>212</v>
      </c>
      <c r="K152" t="s">
        <v>213</v>
      </c>
      <c r="L152" t="s">
        <v>163</v>
      </c>
      <c r="M152">
        <v>52</v>
      </c>
      <c r="N152" t="b">
        <v>0</v>
      </c>
      <c r="O152">
        <v>0.71544715447154472</v>
      </c>
      <c r="R152" t="s">
        <v>670</v>
      </c>
      <c r="S152" t="s">
        <v>731</v>
      </c>
      <c r="T152" t="s">
        <v>732</v>
      </c>
      <c r="U152" t="b">
        <v>1</v>
      </c>
      <c r="V152" t="s">
        <v>63</v>
      </c>
      <c r="W152">
        <v>0.6</v>
      </c>
    </row>
    <row r="153" spans="1:23" hidden="1" x14ac:dyDescent="0.3">
      <c r="A153" t="s">
        <v>52</v>
      </c>
      <c r="B153" t="s">
        <v>53</v>
      </c>
      <c r="C153" t="s">
        <v>17</v>
      </c>
      <c r="D153" t="s">
        <v>20</v>
      </c>
      <c r="E153" t="s">
        <v>21</v>
      </c>
      <c r="F153" t="s">
        <v>54</v>
      </c>
      <c r="G153" t="s">
        <v>216</v>
      </c>
      <c r="H153" t="s">
        <v>160</v>
      </c>
      <c r="I153" t="s">
        <v>3</v>
      </c>
      <c r="J153" t="s">
        <v>217</v>
      </c>
      <c r="K153" t="s">
        <v>218</v>
      </c>
      <c r="L153" t="s">
        <v>163</v>
      </c>
      <c r="M153">
        <v>53</v>
      </c>
      <c r="N153" t="b">
        <v>0</v>
      </c>
      <c r="O153">
        <v>0.67055393586005829</v>
      </c>
      <c r="R153" t="s">
        <v>670</v>
      </c>
      <c r="S153" t="s">
        <v>733</v>
      </c>
      <c r="T153" t="s">
        <v>734</v>
      </c>
      <c r="U153" t="b">
        <v>1</v>
      </c>
      <c r="V153" t="s">
        <v>63</v>
      </c>
      <c r="W153">
        <v>0.6</v>
      </c>
    </row>
    <row r="154" spans="1:23" hidden="1" x14ac:dyDescent="0.3">
      <c r="A154" t="s">
        <v>52</v>
      </c>
      <c r="B154" t="s">
        <v>53</v>
      </c>
      <c r="C154" t="s">
        <v>17</v>
      </c>
      <c r="D154" t="s">
        <v>20</v>
      </c>
      <c r="E154" t="s">
        <v>21</v>
      </c>
      <c r="F154" t="s">
        <v>54</v>
      </c>
      <c r="G154" t="s">
        <v>221</v>
      </c>
      <c r="H154" t="s">
        <v>160</v>
      </c>
      <c r="I154" t="s">
        <v>3</v>
      </c>
      <c r="J154" t="s">
        <v>222</v>
      </c>
      <c r="K154" t="s">
        <v>223</v>
      </c>
      <c r="L154" t="s">
        <v>163</v>
      </c>
      <c r="M154">
        <v>54</v>
      </c>
      <c r="N154" t="b">
        <v>0</v>
      </c>
      <c r="O154">
        <v>0.74585635359116031</v>
      </c>
      <c r="R154" t="s">
        <v>670</v>
      </c>
      <c r="S154" t="s">
        <v>735</v>
      </c>
      <c r="T154" t="s">
        <v>736</v>
      </c>
      <c r="U154" t="b">
        <v>1</v>
      </c>
      <c r="V154" t="s">
        <v>63</v>
      </c>
      <c r="W154">
        <v>0.6</v>
      </c>
    </row>
    <row r="155" spans="1:23" hidden="1" x14ac:dyDescent="0.3">
      <c r="A155" t="s">
        <v>52</v>
      </c>
      <c r="B155" t="s">
        <v>53</v>
      </c>
      <c r="C155" t="s">
        <v>17</v>
      </c>
      <c r="D155" t="s">
        <v>20</v>
      </c>
      <c r="E155" t="s">
        <v>21</v>
      </c>
      <c r="F155" t="s">
        <v>54</v>
      </c>
      <c r="G155" t="s">
        <v>226</v>
      </c>
      <c r="H155" t="s">
        <v>160</v>
      </c>
      <c r="I155" t="s">
        <v>3</v>
      </c>
      <c r="J155" t="s">
        <v>227</v>
      </c>
      <c r="K155" t="s">
        <v>228</v>
      </c>
      <c r="L155" t="s">
        <v>163</v>
      </c>
      <c r="M155">
        <v>55</v>
      </c>
      <c r="N155" t="b">
        <v>0</v>
      </c>
      <c r="O155">
        <v>0.67582417582417575</v>
      </c>
      <c r="R155" t="s">
        <v>670</v>
      </c>
      <c r="S155" t="s">
        <v>737</v>
      </c>
      <c r="T155" t="s">
        <v>738</v>
      </c>
      <c r="U155" t="b">
        <v>1</v>
      </c>
      <c r="V155" t="s">
        <v>63</v>
      </c>
      <c r="W155">
        <v>0.6</v>
      </c>
    </row>
    <row r="156" spans="1:23" hidden="1" x14ac:dyDescent="0.3">
      <c r="A156" t="s">
        <v>52</v>
      </c>
      <c r="B156" t="s">
        <v>53</v>
      </c>
      <c r="C156" t="s">
        <v>17</v>
      </c>
      <c r="D156" t="s">
        <v>20</v>
      </c>
      <c r="E156" t="s">
        <v>21</v>
      </c>
      <c r="F156" t="s">
        <v>54</v>
      </c>
      <c r="G156" t="s">
        <v>231</v>
      </c>
      <c r="H156" t="s">
        <v>160</v>
      </c>
      <c r="I156" t="s">
        <v>3</v>
      </c>
      <c r="J156" t="s">
        <v>232</v>
      </c>
      <c r="K156" t="s">
        <v>233</v>
      </c>
      <c r="L156" t="s">
        <v>163</v>
      </c>
      <c r="M156">
        <v>56</v>
      </c>
      <c r="N156" t="b">
        <v>0</v>
      </c>
      <c r="O156">
        <v>0.74117647058823533</v>
      </c>
      <c r="R156" t="s">
        <v>670</v>
      </c>
      <c r="S156" t="s">
        <v>739</v>
      </c>
      <c r="T156" t="s">
        <v>740</v>
      </c>
      <c r="U156" t="b">
        <v>1</v>
      </c>
      <c r="V156" t="s">
        <v>63</v>
      </c>
      <c r="W156">
        <v>0.6</v>
      </c>
    </row>
    <row r="157" spans="1:23" hidden="1" x14ac:dyDescent="0.3">
      <c r="A157" t="s">
        <v>52</v>
      </c>
      <c r="B157" t="s">
        <v>53</v>
      </c>
      <c r="C157" t="s">
        <v>17</v>
      </c>
      <c r="D157" t="s">
        <v>20</v>
      </c>
      <c r="E157" t="s">
        <v>21</v>
      </c>
      <c r="F157" t="s">
        <v>54</v>
      </c>
      <c r="G157" t="s">
        <v>236</v>
      </c>
      <c r="H157" t="s">
        <v>160</v>
      </c>
      <c r="I157" t="s">
        <v>3</v>
      </c>
      <c r="J157" t="s">
        <v>237</v>
      </c>
      <c r="K157" t="s">
        <v>238</v>
      </c>
      <c r="L157" t="s">
        <v>163</v>
      </c>
      <c r="M157">
        <v>57</v>
      </c>
      <c r="N157" t="b">
        <v>0</v>
      </c>
      <c r="O157">
        <v>0.76966292134831471</v>
      </c>
      <c r="R157" t="s">
        <v>670</v>
      </c>
      <c r="S157" t="s">
        <v>741</v>
      </c>
      <c r="T157" t="s">
        <v>742</v>
      </c>
      <c r="U157" t="b">
        <v>1</v>
      </c>
      <c r="V157" t="s">
        <v>63</v>
      </c>
      <c r="W157">
        <v>0.6</v>
      </c>
    </row>
    <row r="158" spans="1:23" hidden="1" x14ac:dyDescent="0.3">
      <c r="A158" t="s">
        <v>52</v>
      </c>
      <c r="B158" t="s">
        <v>53</v>
      </c>
      <c r="C158" t="s">
        <v>17</v>
      </c>
      <c r="D158" t="s">
        <v>20</v>
      </c>
      <c r="E158" t="s">
        <v>21</v>
      </c>
      <c r="F158" t="s">
        <v>54</v>
      </c>
      <c r="G158" t="s">
        <v>241</v>
      </c>
      <c r="H158" t="s">
        <v>160</v>
      </c>
      <c r="I158" t="s">
        <v>3</v>
      </c>
      <c r="J158" t="s">
        <v>242</v>
      </c>
      <c r="K158" t="s">
        <v>243</v>
      </c>
      <c r="L158" t="s">
        <v>163</v>
      </c>
      <c r="M158">
        <v>58</v>
      </c>
      <c r="N158" t="b">
        <v>0</v>
      </c>
      <c r="O158">
        <v>0.75346260387811625</v>
      </c>
      <c r="R158" t="s">
        <v>670</v>
      </c>
      <c r="S158" t="s">
        <v>743</v>
      </c>
      <c r="T158" t="s">
        <v>744</v>
      </c>
      <c r="U158" t="b">
        <v>1</v>
      </c>
      <c r="V158" t="s">
        <v>63</v>
      </c>
      <c r="W158">
        <v>0.6</v>
      </c>
    </row>
    <row r="159" spans="1:23" hidden="1" x14ac:dyDescent="0.3">
      <c r="A159" t="s">
        <v>52</v>
      </c>
      <c r="B159" t="s">
        <v>53</v>
      </c>
      <c r="C159" t="s">
        <v>17</v>
      </c>
      <c r="D159" t="s">
        <v>20</v>
      </c>
      <c r="E159" t="s">
        <v>21</v>
      </c>
      <c r="F159" t="s">
        <v>54</v>
      </c>
      <c r="G159" t="s">
        <v>246</v>
      </c>
      <c r="H159" t="s">
        <v>160</v>
      </c>
      <c r="I159" t="s">
        <v>3</v>
      </c>
      <c r="J159" t="s">
        <v>247</v>
      </c>
      <c r="K159" t="s">
        <v>248</v>
      </c>
      <c r="L159" t="s">
        <v>163</v>
      </c>
      <c r="M159">
        <v>59</v>
      </c>
      <c r="N159" t="b">
        <v>0</v>
      </c>
      <c r="O159">
        <v>0.7567567567567568</v>
      </c>
      <c r="R159" t="s">
        <v>670</v>
      </c>
      <c r="S159" t="s">
        <v>745</v>
      </c>
      <c r="T159" t="s">
        <v>746</v>
      </c>
      <c r="U159" t="b">
        <v>1</v>
      </c>
      <c r="V159" t="s">
        <v>63</v>
      </c>
      <c r="W159">
        <v>0.6</v>
      </c>
    </row>
    <row r="160" spans="1:23" hidden="1" x14ac:dyDescent="0.3">
      <c r="A160" t="s">
        <v>52</v>
      </c>
      <c r="B160" t="s">
        <v>53</v>
      </c>
      <c r="C160" t="s">
        <v>17</v>
      </c>
      <c r="D160" t="s">
        <v>20</v>
      </c>
      <c r="E160" t="s">
        <v>21</v>
      </c>
      <c r="F160" t="s">
        <v>54</v>
      </c>
      <c r="G160" t="s">
        <v>251</v>
      </c>
      <c r="H160" t="s">
        <v>160</v>
      </c>
      <c r="I160" t="s">
        <v>3</v>
      </c>
      <c r="J160" t="s">
        <v>252</v>
      </c>
      <c r="K160" t="s">
        <v>253</v>
      </c>
      <c r="L160" t="s">
        <v>163</v>
      </c>
      <c r="M160">
        <v>60</v>
      </c>
      <c r="N160" t="b">
        <v>0</v>
      </c>
      <c r="O160">
        <v>0.73170731707317083</v>
      </c>
      <c r="R160" t="s">
        <v>670</v>
      </c>
      <c r="S160" t="s">
        <v>747</v>
      </c>
      <c r="T160" t="s">
        <v>748</v>
      </c>
      <c r="U160" t="b">
        <v>1</v>
      </c>
      <c r="V160" t="s">
        <v>63</v>
      </c>
      <c r="W160">
        <v>0.6</v>
      </c>
    </row>
    <row r="161" spans="1:23" hidden="1" x14ac:dyDescent="0.3">
      <c r="A161" t="s">
        <v>52</v>
      </c>
      <c r="B161" t="s">
        <v>53</v>
      </c>
      <c r="C161" t="s">
        <v>17</v>
      </c>
      <c r="D161" t="s">
        <v>20</v>
      </c>
      <c r="E161" t="s">
        <v>21</v>
      </c>
      <c r="F161" t="s">
        <v>54</v>
      </c>
      <c r="G161" t="s">
        <v>256</v>
      </c>
      <c r="H161" t="s">
        <v>160</v>
      </c>
      <c r="I161" t="s">
        <v>3</v>
      </c>
      <c r="J161" t="s">
        <v>257</v>
      </c>
      <c r="K161" t="s">
        <v>258</v>
      </c>
      <c r="L161" t="s">
        <v>163</v>
      </c>
      <c r="M161">
        <v>61</v>
      </c>
      <c r="N161" t="b">
        <v>0</v>
      </c>
      <c r="O161">
        <v>0.73043478260869554</v>
      </c>
      <c r="R161" t="s">
        <v>670</v>
      </c>
      <c r="S161" t="s">
        <v>749</v>
      </c>
      <c r="T161" t="s">
        <v>750</v>
      </c>
      <c r="U161" t="b">
        <v>1</v>
      </c>
      <c r="V161" t="s">
        <v>63</v>
      </c>
      <c r="W161">
        <v>0.6</v>
      </c>
    </row>
    <row r="162" spans="1:23" hidden="1" x14ac:dyDescent="0.3">
      <c r="A162" t="s">
        <v>52</v>
      </c>
      <c r="B162" t="s">
        <v>53</v>
      </c>
      <c r="C162" t="s">
        <v>17</v>
      </c>
      <c r="D162" t="s">
        <v>20</v>
      </c>
      <c r="E162" t="s">
        <v>21</v>
      </c>
      <c r="F162" t="s">
        <v>54</v>
      </c>
      <c r="G162" t="s">
        <v>261</v>
      </c>
      <c r="H162" t="s">
        <v>262</v>
      </c>
      <c r="I162" t="s">
        <v>5</v>
      </c>
      <c r="J162" t="s">
        <v>263</v>
      </c>
      <c r="K162" t="s">
        <v>264</v>
      </c>
      <c r="L162" t="s">
        <v>265</v>
      </c>
      <c r="M162">
        <v>42</v>
      </c>
      <c r="N162" t="b">
        <v>0</v>
      </c>
      <c r="O162">
        <v>0.75918367346938764</v>
      </c>
      <c r="R162" t="s">
        <v>670</v>
      </c>
      <c r="S162" t="s">
        <v>751</v>
      </c>
      <c r="T162" t="s">
        <v>752</v>
      </c>
      <c r="U162" t="b">
        <v>1</v>
      </c>
      <c r="V162" t="s">
        <v>63</v>
      </c>
      <c r="W162">
        <v>0.6</v>
      </c>
    </row>
    <row r="163" spans="1:23" hidden="1" x14ac:dyDescent="0.3">
      <c r="A163" t="s">
        <v>52</v>
      </c>
      <c r="B163" t="s">
        <v>53</v>
      </c>
      <c r="C163" t="s">
        <v>17</v>
      </c>
      <c r="D163" t="s">
        <v>20</v>
      </c>
      <c r="E163" t="s">
        <v>21</v>
      </c>
      <c r="F163" t="s">
        <v>54</v>
      </c>
      <c r="G163" t="s">
        <v>268</v>
      </c>
      <c r="H163" t="s">
        <v>262</v>
      </c>
      <c r="I163" t="s">
        <v>5</v>
      </c>
      <c r="J163" t="s">
        <v>269</v>
      </c>
      <c r="K163" t="s">
        <v>270</v>
      </c>
      <c r="L163" t="s">
        <v>265</v>
      </c>
      <c r="M163">
        <v>43</v>
      </c>
      <c r="N163" t="b">
        <v>0</v>
      </c>
      <c r="O163">
        <v>0.79039301310043675</v>
      </c>
      <c r="R163" t="s">
        <v>670</v>
      </c>
      <c r="S163" t="s">
        <v>753</v>
      </c>
      <c r="T163" t="s">
        <v>754</v>
      </c>
      <c r="U163" t="b">
        <v>1</v>
      </c>
      <c r="V163" t="s">
        <v>63</v>
      </c>
      <c r="W163">
        <v>0.6</v>
      </c>
    </row>
    <row r="164" spans="1:23" hidden="1" x14ac:dyDescent="0.3">
      <c r="A164" t="s">
        <v>52</v>
      </c>
      <c r="B164" t="s">
        <v>53</v>
      </c>
      <c r="C164" t="s">
        <v>17</v>
      </c>
      <c r="D164" t="s">
        <v>20</v>
      </c>
      <c r="E164" t="s">
        <v>21</v>
      </c>
      <c r="F164" t="s">
        <v>54</v>
      </c>
      <c r="G164" t="s">
        <v>273</v>
      </c>
      <c r="H164" t="s">
        <v>262</v>
      </c>
      <c r="I164" t="s">
        <v>5</v>
      </c>
      <c r="J164" t="s">
        <v>274</v>
      </c>
      <c r="K164" t="s">
        <v>275</v>
      </c>
      <c r="L164" t="s">
        <v>265</v>
      </c>
      <c r="M164">
        <v>44</v>
      </c>
      <c r="N164" t="b">
        <v>0</v>
      </c>
      <c r="O164">
        <v>0.76086956521739124</v>
      </c>
      <c r="R164" t="s">
        <v>670</v>
      </c>
      <c r="S164" t="s">
        <v>755</v>
      </c>
      <c r="T164" t="s">
        <v>756</v>
      </c>
      <c r="U164" t="b">
        <v>1</v>
      </c>
      <c r="V164" t="s">
        <v>63</v>
      </c>
      <c r="W164">
        <v>0.6</v>
      </c>
    </row>
    <row r="165" spans="1:23" hidden="1" x14ac:dyDescent="0.3">
      <c r="A165" t="s">
        <v>52</v>
      </c>
      <c r="B165" t="s">
        <v>53</v>
      </c>
      <c r="C165" t="s">
        <v>17</v>
      </c>
      <c r="D165" t="s">
        <v>20</v>
      </c>
      <c r="E165" t="s">
        <v>21</v>
      </c>
      <c r="F165" t="s">
        <v>54</v>
      </c>
      <c r="G165" t="s">
        <v>278</v>
      </c>
      <c r="H165" t="s">
        <v>262</v>
      </c>
      <c r="I165" t="s">
        <v>5</v>
      </c>
      <c r="J165" t="s">
        <v>279</v>
      </c>
      <c r="K165" t="s">
        <v>280</v>
      </c>
      <c r="L165" t="s">
        <v>265</v>
      </c>
      <c r="M165">
        <v>45</v>
      </c>
      <c r="N165" t="b">
        <v>0</v>
      </c>
      <c r="O165">
        <v>0.75050709939148064</v>
      </c>
      <c r="R165" t="s">
        <v>670</v>
      </c>
      <c r="S165" t="s">
        <v>757</v>
      </c>
      <c r="T165" t="s">
        <v>758</v>
      </c>
      <c r="U165" t="b">
        <v>1</v>
      </c>
      <c r="V165" t="s">
        <v>63</v>
      </c>
      <c r="W165">
        <v>0.6</v>
      </c>
    </row>
    <row r="166" spans="1:23" hidden="1" x14ac:dyDescent="0.3">
      <c r="A166" t="s">
        <v>52</v>
      </c>
      <c r="B166" t="s">
        <v>53</v>
      </c>
      <c r="C166" t="s">
        <v>17</v>
      </c>
      <c r="D166" t="s">
        <v>20</v>
      </c>
      <c r="E166" t="s">
        <v>21</v>
      </c>
      <c r="F166" t="s">
        <v>54</v>
      </c>
      <c r="G166" t="s">
        <v>283</v>
      </c>
      <c r="H166" t="s">
        <v>262</v>
      </c>
      <c r="I166" t="s">
        <v>5</v>
      </c>
      <c r="J166" t="s">
        <v>284</v>
      </c>
      <c r="K166" t="s">
        <v>285</v>
      </c>
      <c r="L166" t="s">
        <v>265</v>
      </c>
      <c r="M166">
        <v>46</v>
      </c>
      <c r="N166" t="b">
        <v>0</v>
      </c>
      <c r="O166">
        <v>0.70040485829959509</v>
      </c>
      <c r="R166" t="s">
        <v>670</v>
      </c>
      <c r="S166" t="s">
        <v>759</v>
      </c>
      <c r="T166" t="s">
        <v>760</v>
      </c>
      <c r="U166" t="b">
        <v>1</v>
      </c>
      <c r="V166" t="s">
        <v>63</v>
      </c>
      <c r="W166">
        <v>0.6</v>
      </c>
    </row>
    <row r="167" spans="1:23" hidden="1" x14ac:dyDescent="0.3">
      <c r="A167" t="s">
        <v>52</v>
      </c>
      <c r="B167" t="s">
        <v>53</v>
      </c>
      <c r="C167" t="s">
        <v>17</v>
      </c>
      <c r="D167" t="s">
        <v>20</v>
      </c>
      <c r="E167" t="s">
        <v>21</v>
      </c>
      <c r="F167" t="s">
        <v>54</v>
      </c>
      <c r="G167" t="s">
        <v>288</v>
      </c>
      <c r="H167" t="s">
        <v>262</v>
      </c>
      <c r="I167" t="s">
        <v>5</v>
      </c>
      <c r="J167" t="s">
        <v>289</v>
      </c>
      <c r="K167" t="s">
        <v>290</v>
      </c>
      <c r="L167" t="s">
        <v>265</v>
      </c>
      <c r="M167">
        <v>47</v>
      </c>
      <c r="N167" t="b">
        <v>0</v>
      </c>
      <c r="O167">
        <v>0.76310272536687629</v>
      </c>
      <c r="R167" t="s">
        <v>670</v>
      </c>
      <c r="S167" t="s">
        <v>761</v>
      </c>
      <c r="T167" t="s">
        <v>762</v>
      </c>
      <c r="U167" t="b">
        <v>1</v>
      </c>
      <c r="V167" t="s">
        <v>63</v>
      </c>
      <c r="W167">
        <v>0.6</v>
      </c>
    </row>
    <row r="168" spans="1:23" hidden="1" x14ac:dyDescent="0.3">
      <c r="A168" t="s">
        <v>52</v>
      </c>
      <c r="B168" t="s">
        <v>53</v>
      </c>
      <c r="C168" t="s">
        <v>17</v>
      </c>
      <c r="D168" t="s">
        <v>20</v>
      </c>
      <c r="E168" t="s">
        <v>21</v>
      </c>
      <c r="F168" t="s">
        <v>54</v>
      </c>
      <c r="G168" t="s">
        <v>293</v>
      </c>
      <c r="H168" t="s">
        <v>262</v>
      </c>
      <c r="I168" t="s">
        <v>5</v>
      </c>
      <c r="J168" t="s">
        <v>294</v>
      </c>
      <c r="K168" t="s">
        <v>295</v>
      </c>
      <c r="L168" t="s">
        <v>265</v>
      </c>
      <c r="M168">
        <v>48</v>
      </c>
      <c r="N168" t="b">
        <v>0</v>
      </c>
      <c r="O168">
        <v>0.78774617067833708</v>
      </c>
      <c r="R168" t="s">
        <v>670</v>
      </c>
      <c r="S168" t="s">
        <v>763</v>
      </c>
      <c r="T168" t="s">
        <v>764</v>
      </c>
      <c r="U168" t="b">
        <v>1</v>
      </c>
      <c r="V168" t="s">
        <v>63</v>
      </c>
      <c r="W168">
        <v>0.6</v>
      </c>
    </row>
    <row r="169" spans="1:23" hidden="1" x14ac:dyDescent="0.3">
      <c r="A169" t="s">
        <v>52</v>
      </c>
      <c r="B169" t="s">
        <v>53</v>
      </c>
      <c r="C169" t="s">
        <v>17</v>
      </c>
      <c r="D169" t="s">
        <v>20</v>
      </c>
      <c r="E169" t="s">
        <v>21</v>
      </c>
      <c r="F169" t="s">
        <v>54</v>
      </c>
      <c r="G169" t="s">
        <v>298</v>
      </c>
      <c r="H169" t="s">
        <v>262</v>
      </c>
      <c r="I169" t="s">
        <v>5</v>
      </c>
      <c r="J169" t="s">
        <v>299</v>
      </c>
      <c r="K169" t="s">
        <v>300</v>
      </c>
      <c r="L169" t="s">
        <v>265</v>
      </c>
      <c r="M169">
        <v>49</v>
      </c>
      <c r="N169" t="b">
        <v>0</v>
      </c>
      <c r="O169">
        <v>0.76483516483516489</v>
      </c>
      <c r="R169" t="s">
        <v>670</v>
      </c>
      <c r="S169" t="s">
        <v>765</v>
      </c>
      <c r="T169" t="s">
        <v>766</v>
      </c>
      <c r="U169" t="b">
        <v>1</v>
      </c>
      <c r="V169" t="s">
        <v>63</v>
      </c>
      <c r="W169">
        <v>0.6</v>
      </c>
    </row>
    <row r="170" spans="1:23" hidden="1" x14ac:dyDescent="0.3">
      <c r="A170" t="s">
        <v>52</v>
      </c>
      <c r="B170" t="s">
        <v>53</v>
      </c>
      <c r="C170" t="s">
        <v>17</v>
      </c>
      <c r="D170" t="s">
        <v>20</v>
      </c>
      <c r="E170" t="s">
        <v>21</v>
      </c>
      <c r="F170" t="s">
        <v>54</v>
      </c>
      <c r="G170" t="s">
        <v>303</v>
      </c>
      <c r="H170" t="s">
        <v>262</v>
      </c>
      <c r="I170" t="s">
        <v>5</v>
      </c>
      <c r="J170" t="s">
        <v>304</v>
      </c>
      <c r="K170" t="s">
        <v>305</v>
      </c>
      <c r="L170" t="s">
        <v>265</v>
      </c>
      <c r="M170">
        <v>50</v>
      </c>
      <c r="N170" t="b">
        <v>0</v>
      </c>
      <c r="O170">
        <v>0.77391304347826084</v>
      </c>
      <c r="R170" t="s">
        <v>670</v>
      </c>
      <c r="S170" t="s">
        <v>767</v>
      </c>
      <c r="T170" t="s">
        <v>768</v>
      </c>
      <c r="U170" t="b">
        <v>1</v>
      </c>
      <c r="V170" t="s">
        <v>63</v>
      </c>
      <c r="W170">
        <v>0.6</v>
      </c>
    </row>
    <row r="171" spans="1:23" hidden="1" x14ac:dyDescent="0.3">
      <c r="A171" t="s">
        <v>52</v>
      </c>
      <c r="B171" t="s">
        <v>53</v>
      </c>
      <c r="C171" t="s">
        <v>17</v>
      </c>
      <c r="D171" t="s">
        <v>20</v>
      </c>
      <c r="E171" t="s">
        <v>21</v>
      </c>
      <c r="F171" t="s">
        <v>54</v>
      </c>
      <c r="G171" t="s">
        <v>308</v>
      </c>
      <c r="H171" t="s">
        <v>262</v>
      </c>
      <c r="I171" t="s">
        <v>5</v>
      </c>
      <c r="J171" t="s">
        <v>309</v>
      </c>
      <c r="K171" t="s">
        <v>310</v>
      </c>
      <c r="L171" t="s">
        <v>265</v>
      </c>
      <c r="M171">
        <v>51</v>
      </c>
      <c r="N171" t="b">
        <v>0</v>
      </c>
      <c r="O171">
        <v>0.73770491803278682</v>
      </c>
      <c r="R171" t="s">
        <v>670</v>
      </c>
      <c r="S171" t="s">
        <v>769</v>
      </c>
      <c r="T171" t="s">
        <v>770</v>
      </c>
      <c r="U171" t="b">
        <v>1</v>
      </c>
      <c r="V171" t="s">
        <v>63</v>
      </c>
      <c r="W171">
        <v>0.6</v>
      </c>
    </row>
    <row r="172" spans="1:23" hidden="1" x14ac:dyDescent="0.3">
      <c r="A172" t="s">
        <v>52</v>
      </c>
      <c r="B172" t="s">
        <v>53</v>
      </c>
      <c r="C172" t="s">
        <v>17</v>
      </c>
      <c r="D172" t="s">
        <v>20</v>
      </c>
      <c r="E172" t="s">
        <v>21</v>
      </c>
      <c r="F172" t="s">
        <v>54</v>
      </c>
      <c r="G172" t="s">
        <v>313</v>
      </c>
      <c r="H172" t="s">
        <v>262</v>
      </c>
      <c r="I172" t="s">
        <v>5</v>
      </c>
      <c r="J172" t="s">
        <v>314</v>
      </c>
      <c r="K172" t="s">
        <v>315</v>
      </c>
      <c r="L172" t="s">
        <v>265</v>
      </c>
      <c r="M172">
        <v>52</v>
      </c>
      <c r="N172" t="b">
        <v>0</v>
      </c>
      <c r="O172">
        <v>0.78004535147392295</v>
      </c>
      <c r="R172" t="s">
        <v>670</v>
      </c>
      <c r="S172" t="s">
        <v>771</v>
      </c>
      <c r="T172" t="s">
        <v>772</v>
      </c>
      <c r="U172" t="b">
        <v>1</v>
      </c>
      <c r="V172" t="s">
        <v>63</v>
      </c>
      <c r="W172">
        <v>0.8</v>
      </c>
    </row>
    <row r="173" spans="1:23" hidden="1" x14ac:dyDescent="0.3">
      <c r="A173" t="s">
        <v>52</v>
      </c>
      <c r="B173" t="s">
        <v>53</v>
      </c>
      <c r="C173" t="s">
        <v>17</v>
      </c>
      <c r="D173" t="s">
        <v>20</v>
      </c>
      <c r="E173" t="s">
        <v>21</v>
      </c>
      <c r="F173" t="s">
        <v>54</v>
      </c>
      <c r="G173" t="s">
        <v>318</v>
      </c>
      <c r="H173" t="s">
        <v>262</v>
      </c>
      <c r="I173" t="s">
        <v>5</v>
      </c>
      <c r="J173" t="s">
        <v>319</v>
      </c>
      <c r="K173" t="s">
        <v>320</v>
      </c>
      <c r="L173" t="s">
        <v>265</v>
      </c>
      <c r="M173">
        <v>53</v>
      </c>
      <c r="N173" t="b">
        <v>0</v>
      </c>
      <c r="O173">
        <v>0.75565610859728505</v>
      </c>
      <c r="R173" t="s">
        <v>670</v>
      </c>
      <c r="S173" t="s">
        <v>773</v>
      </c>
      <c r="T173" t="s">
        <v>774</v>
      </c>
      <c r="U173" t="b">
        <v>1</v>
      </c>
      <c r="V173" t="s">
        <v>63</v>
      </c>
      <c r="W173">
        <v>0.6</v>
      </c>
    </row>
    <row r="174" spans="1:23" hidden="1" x14ac:dyDescent="0.3">
      <c r="A174" t="s">
        <v>52</v>
      </c>
      <c r="B174" t="s">
        <v>53</v>
      </c>
      <c r="C174" t="s">
        <v>17</v>
      </c>
      <c r="D174" t="s">
        <v>20</v>
      </c>
      <c r="E174" t="s">
        <v>21</v>
      </c>
      <c r="F174" t="s">
        <v>54</v>
      </c>
      <c r="G174" t="s">
        <v>323</v>
      </c>
      <c r="H174" t="s">
        <v>262</v>
      </c>
      <c r="I174" t="s">
        <v>5</v>
      </c>
      <c r="J174" t="s">
        <v>324</v>
      </c>
      <c r="K174" t="s">
        <v>325</v>
      </c>
      <c r="L174" t="s">
        <v>265</v>
      </c>
      <c r="M174">
        <v>54</v>
      </c>
      <c r="N174" t="b">
        <v>0</v>
      </c>
      <c r="O174">
        <v>0.73641851106639844</v>
      </c>
      <c r="R174" t="s">
        <v>670</v>
      </c>
      <c r="S174" t="s">
        <v>775</v>
      </c>
      <c r="T174" t="s">
        <v>776</v>
      </c>
      <c r="U174" t="b">
        <v>1</v>
      </c>
      <c r="V174" t="s">
        <v>63</v>
      </c>
      <c r="W174">
        <v>0.6</v>
      </c>
    </row>
    <row r="175" spans="1:23" hidden="1" x14ac:dyDescent="0.3">
      <c r="A175" t="s">
        <v>52</v>
      </c>
      <c r="B175" t="s">
        <v>53</v>
      </c>
      <c r="C175" t="s">
        <v>17</v>
      </c>
      <c r="D175" t="s">
        <v>20</v>
      </c>
      <c r="E175" t="s">
        <v>21</v>
      </c>
      <c r="F175" t="s">
        <v>54</v>
      </c>
      <c r="G175" t="s">
        <v>328</v>
      </c>
      <c r="H175" t="s">
        <v>262</v>
      </c>
      <c r="I175" t="s">
        <v>5</v>
      </c>
      <c r="J175" t="s">
        <v>329</v>
      </c>
      <c r="K175" t="s">
        <v>330</v>
      </c>
      <c r="L175" t="s">
        <v>265</v>
      </c>
      <c r="M175">
        <v>55</v>
      </c>
      <c r="N175" t="b">
        <v>0</v>
      </c>
      <c r="O175">
        <v>0.73360655737704916</v>
      </c>
      <c r="R175" t="s">
        <v>670</v>
      </c>
      <c r="S175" t="s">
        <v>777</v>
      </c>
      <c r="T175" t="s">
        <v>778</v>
      </c>
      <c r="U175" t="b">
        <v>1</v>
      </c>
      <c r="V175" t="s">
        <v>63</v>
      </c>
      <c r="W175">
        <v>0.6</v>
      </c>
    </row>
    <row r="176" spans="1:23" hidden="1" x14ac:dyDescent="0.3">
      <c r="A176" t="s">
        <v>52</v>
      </c>
      <c r="B176" t="s">
        <v>53</v>
      </c>
      <c r="C176" t="s">
        <v>17</v>
      </c>
      <c r="D176" t="s">
        <v>20</v>
      </c>
      <c r="E176" t="s">
        <v>21</v>
      </c>
      <c r="F176" t="s">
        <v>54</v>
      </c>
      <c r="G176" t="s">
        <v>333</v>
      </c>
      <c r="H176" t="s">
        <v>262</v>
      </c>
      <c r="I176" t="s">
        <v>5</v>
      </c>
      <c r="J176" t="s">
        <v>334</v>
      </c>
      <c r="K176" t="s">
        <v>335</v>
      </c>
      <c r="L176" t="s">
        <v>265</v>
      </c>
      <c r="M176">
        <v>56</v>
      </c>
      <c r="N176" t="b">
        <v>0</v>
      </c>
      <c r="O176">
        <v>0.77333333333333343</v>
      </c>
      <c r="R176" t="s">
        <v>670</v>
      </c>
      <c r="S176" t="s">
        <v>779</v>
      </c>
      <c r="T176" t="s">
        <v>780</v>
      </c>
      <c r="U176" t="b">
        <v>1</v>
      </c>
      <c r="V176" t="s">
        <v>63</v>
      </c>
      <c r="W176">
        <v>0.6</v>
      </c>
    </row>
    <row r="177" spans="1:23" hidden="1" x14ac:dyDescent="0.3">
      <c r="A177" t="s">
        <v>52</v>
      </c>
      <c r="B177" t="s">
        <v>53</v>
      </c>
      <c r="C177" t="s">
        <v>17</v>
      </c>
      <c r="D177" t="s">
        <v>20</v>
      </c>
      <c r="E177" t="s">
        <v>21</v>
      </c>
      <c r="F177" t="s">
        <v>54</v>
      </c>
      <c r="G177" t="s">
        <v>338</v>
      </c>
      <c r="H177" t="s">
        <v>262</v>
      </c>
      <c r="I177" t="s">
        <v>5</v>
      </c>
      <c r="J177" t="s">
        <v>339</v>
      </c>
      <c r="K177" t="s">
        <v>340</v>
      </c>
      <c r="L177" t="s">
        <v>265</v>
      </c>
      <c r="M177">
        <v>57</v>
      </c>
      <c r="N177" t="b">
        <v>0</v>
      </c>
      <c r="O177">
        <v>0.79649890590809624</v>
      </c>
      <c r="R177" t="s">
        <v>670</v>
      </c>
      <c r="S177" t="s">
        <v>781</v>
      </c>
      <c r="T177" t="s">
        <v>782</v>
      </c>
      <c r="U177" t="b">
        <v>1</v>
      </c>
      <c r="V177" t="s">
        <v>63</v>
      </c>
      <c r="W177">
        <v>0.6</v>
      </c>
    </row>
    <row r="178" spans="1:23" hidden="1" x14ac:dyDescent="0.3">
      <c r="A178" t="s">
        <v>52</v>
      </c>
      <c r="B178" t="s">
        <v>53</v>
      </c>
      <c r="C178" t="s">
        <v>17</v>
      </c>
      <c r="D178" t="s">
        <v>20</v>
      </c>
      <c r="E178" t="s">
        <v>21</v>
      </c>
      <c r="F178" t="s">
        <v>54</v>
      </c>
      <c r="G178" t="s">
        <v>343</v>
      </c>
      <c r="H178" t="s">
        <v>262</v>
      </c>
      <c r="I178" t="s">
        <v>5</v>
      </c>
      <c r="J178" t="s">
        <v>344</v>
      </c>
      <c r="K178" t="s">
        <v>345</v>
      </c>
      <c r="L178" t="s">
        <v>265</v>
      </c>
      <c r="M178">
        <v>58</v>
      </c>
      <c r="N178" t="b">
        <v>0</v>
      </c>
      <c r="O178">
        <v>0.77060133630289529</v>
      </c>
      <c r="R178" t="s">
        <v>670</v>
      </c>
      <c r="S178" t="s">
        <v>783</v>
      </c>
      <c r="T178" t="s">
        <v>784</v>
      </c>
      <c r="U178" t="b">
        <v>1</v>
      </c>
      <c r="V178" t="s">
        <v>63</v>
      </c>
      <c r="W178">
        <v>0.6</v>
      </c>
    </row>
    <row r="179" spans="1:23" hidden="1" x14ac:dyDescent="0.3">
      <c r="A179" t="s">
        <v>52</v>
      </c>
      <c r="B179" t="s">
        <v>53</v>
      </c>
      <c r="C179" t="s">
        <v>17</v>
      </c>
      <c r="D179" t="s">
        <v>20</v>
      </c>
      <c r="E179" t="s">
        <v>21</v>
      </c>
      <c r="F179" t="s">
        <v>54</v>
      </c>
      <c r="G179" t="s">
        <v>348</v>
      </c>
      <c r="H179" t="s">
        <v>262</v>
      </c>
      <c r="I179" t="s">
        <v>5</v>
      </c>
      <c r="J179" t="s">
        <v>349</v>
      </c>
      <c r="K179" t="s">
        <v>350</v>
      </c>
      <c r="L179" t="s">
        <v>265</v>
      </c>
      <c r="M179">
        <v>59</v>
      </c>
      <c r="N179" t="b">
        <v>0</v>
      </c>
      <c r="O179">
        <v>0.77777777777777779</v>
      </c>
      <c r="R179" t="s">
        <v>670</v>
      </c>
      <c r="S179" t="s">
        <v>785</v>
      </c>
      <c r="T179" t="s">
        <v>786</v>
      </c>
      <c r="U179" t="b">
        <v>1</v>
      </c>
      <c r="V179" t="s">
        <v>63</v>
      </c>
      <c r="W179">
        <v>0.6</v>
      </c>
    </row>
    <row r="180" spans="1:23" hidden="1" x14ac:dyDescent="0.3">
      <c r="A180" t="s">
        <v>52</v>
      </c>
      <c r="B180" t="s">
        <v>53</v>
      </c>
      <c r="C180" t="s">
        <v>17</v>
      </c>
      <c r="D180" t="s">
        <v>20</v>
      </c>
      <c r="E180" t="s">
        <v>21</v>
      </c>
      <c r="F180" t="s">
        <v>54</v>
      </c>
      <c r="G180" t="s">
        <v>353</v>
      </c>
      <c r="H180" t="s">
        <v>262</v>
      </c>
      <c r="I180" t="s">
        <v>5</v>
      </c>
      <c r="J180" t="s">
        <v>354</v>
      </c>
      <c r="K180" t="s">
        <v>355</v>
      </c>
      <c r="L180" t="s">
        <v>265</v>
      </c>
      <c r="M180">
        <v>60</v>
      </c>
      <c r="N180" t="b">
        <v>0</v>
      </c>
      <c r="O180">
        <v>0.80088495575221241</v>
      </c>
      <c r="R180" t="s">
        <v>670</v>
      </c>
      <c r="S180" t="s">
        <v>787</v>
      </c>
      <c r="T180" t="s">
        <v>788</v>
      </c>
      <c r="U180" t="b">
        <v>1</v>
      </c>
      <c r="V180" t="s">
        <v>63</v>
      </c>
      <c r="W180">
        <v>0.6</v>
      </c>
    </row>
    <row r="181" spans="1:23" hidden="1" x14ac:dyDescent="0.3">
      <c r="A181" t="s">
        <v>52</v>
      </c>
      <c r="B181" t="s">
        <v>53</v>
      </c>
      <c r="C181" t="s">
        <v>17</v>
      </c>
      <c r="D181" t="s">
        <v>20</v>
      </c>
      <c r="E181" t="s">
        <v>21</v>
      </c>
      <c r="F181" t="s">
        <v>54</v>
      </c>
      <c r="G181" t="s">
        <v>358</v>
      </c>
      <c r="H181" t="s">
        <v>262</v>
      </c>
      <c r="I181" t="s">
        <v>5</v>
      </c>
      <c r="J181" t="s">
        <v>359</v>
      </c>
      <c r="K181" t="s">
        <v>360</v>
      </c>
      <c r="L181" t="s">
        <v>265</v>
      </c>
      <c r="M181">
        <v>61</v>
      </c>
      <c r="N181" t="b">
        <v>0</v>
      </c>
      <c r="O181">
        <v>0.7702407002188183</v>
      </c>
      <c r="R181" t="s">
        <v>670</v>
      </c>
      <c r="S181" t="s">
        <v>789</v>
      </c>
      <c r="T181" t="s">
        <v>790</v>
      </c>
      <c r="U181" t="b">
        <v>1</v>
      </c>
      <c r="V181" t="s">
        <v>63</v>
      </c>
      <c r="W181">
        <v>0.7</v>
      </c>
    </row>
    <row r="182" spans="1:23" hidden="1" x14ac:dyDescent="0.3">
      <c r="A182" t="s">
        <v>52</v>
      </c>
      <c r="B182" t="s">
        <v>53</v>
      </c>
      <c r="C182" t="s">
        <v>17</v>
      </c>
      <c r="D182" t="s">
        <v>20</v>
      </c>
      <c r="E182" t="s">
        <v>21</v>
      </c>
      <c r="F182" t="s">
        <v>363</v>
      </c>
      <c r="G182" t="s">
        <v>364</v>
      </c>
      <c r="H182" t="s">
        <v>365</v>
      </c>
      <c r="I182" t="s">
        <v>13</v>
      </c>
      <c r="J182" t="s">
        <v>366</v>
      </c>
      <c r="K182" t="s">
        <v>367</v>
      </c>
      <c r="L182" t="s">
        <v>368</v>
      </c>
      <c r="M182">
        <v>42</v>
      </c>
      <c r="N182" t="b">
        <v>0</v>
      </c>
      <c r="O182">
        <v>0.80254777070063688</v>
      </c>
      <c r="R182" t="s">
        <v>670</v>
      </c>
      <c r="S182" t="s">
        <v>791</v>
      </c>
      <c r="T182" t="s">
        <v>792</v>
      </c>
      <c r="U182" t="b">
        <v>1</v>
      </c>
      <c r="V182" t="s">
        <v>63</v>
      </c>
      <c r="W182">
        <v>0.8</v>
      </c>
    </row>
    <row r="183" spans="1:23" hidden="1" x14ac:dyDescent="0.3">
      <c r="A183" t="s">
        <v>52</v>
      </c>
      <c r="B183" t="s">
        <v>53</v>
      </c>
      <c r="C183" t="s">
        <v>17</v>
      </c>
      <c r="D183" t="s">
        <v>20</v>
      </c>
      <c r="E183" t="s">
        <v>21</v>
      </c>
      <c r="F183" t="s">
        <v>363</v>
      </c>
      <c r="G183" t="s">
        <v>371</v>
      </c>
      <c r="H183" t="s">
        <v>365</v>
      </c>
      <c r="I183" t="s">
        <v>13</v>
      </c>
      <c r="J183" t="s">
        <v>372</v>
      </c>
      <c r="K183" t="s">
        <v>373</v>
      </c>
      <c r="L183" t="s">
        <v>368</v>
      </c>
      <c r="M183">
        <v>43</v>
      </c>
      <c r="N183" t="b">
        <v>0</v>
      </c>
      <c r="O183">
        <v>0.79503105590062106</v>
      </c>
      <c r="R183" t="s">
        <v>670</v>
      </c>
      <c r="S183" t="s">
        <v>793</v>
      </c>
      <c r="T183" t="s">
        <v>794</v>
      </c>
      <c r="U183" t="b">
        <v>1</v>
      </c>
      <c r="V183" t="s">
        <v>63</v>
      </c>
      <c r="W183">
        <v>0.8</v>
      </c>
    </row>
    <row r="184" spans="1:23" hidden="1" x14ac:dyDescent="0.3">
      <c r="A184" t="s">
        <v>52</v>
      </c>
      <c r="B184" t="s">
        <v>53</v>
      </c>
      <c r="C184" t="s">
        <v>17</v>
      </c>
      <c r="D184" t="s">
        <v>20</v>
      </c>
      <c r="E184" t="s">
        <v>21</v>
      </c>
      <c r="F184" t="s">
        <v>363</v>
      </c>
      <c r="G184" t="s">
        <v>376</v>
      </c>
      <c r="H184" t="s">
        <v>365</v>
      </c>
      <c r="I184" t="s">
        <v>13</v>
      </c>
      <c r="J184" t="s">
        <v>377</v>
      </c>
      <c r="K184" t="s">
        <v>378</v>
      </c>
      <c r="L184" t="s">
        <v>368</v>
      </c>
      <c r="M184">
        <v>44</v>
      </c>
      <c r="N184" t="b">
        <v>0</v>
      </c>
      <c r="O184">
        <v>0.77868852459016391</v>
      </c>
      <c r="R184" t="s">
        <v>670</v>
      </c>
      <c r="S184" t="s">
        <v>795</v>
      </c>
      <c r="T184" t="s">
        <v>796</v>
      </c>
      <c r="U184" t="b">
        <v>1</v>
      </c>
      <c r="V184" t="s">
        <v>63</v>
      </c>
      <c r="W184">
        <v>0.8</v>
      </c>
    </row>
    <row r="185" spans="1:23" hidden="1" x14ac:dyDescent="0.3">
      <c r="A185" t="s">
        <v>52</v>
      </c>
      <c r="B185" t="s">
        <v>53</v>
      </c>
      <c r="C185" t="s">
        <v>17</v>
      </c>
      <c r="D185" t="s">
        <v>20</v>
      </c>
      <c r="E185" t="s">
        <v>21</v>
      </c>
      <c r="F185" t="s">
        <v>363</v>
      </c>
      <c r="G185" t="s">
        <v>381</v>
      </c>
      <c r="H185" t="s">
        <v>365</v>
      </c>
      <c r="I185" t="s">
        <v>13</v>
      </c>
      <c r="J185" t="s">
        <v>382</v>
      </c>
      <c r="K185" t="s">
        <v>383</v>
      </c>
      <c r="L185" t="s">
        <v>368</v>
      </c>
      <c r="M185">
        <v>45</v>
      </c>
      <c r="N185" t="b">
        <v>0</v>
      </c>
      <c r="O185">
        <v>0.79917184265010344</v>
      </c>
      <c r="R185" t="s">
        <v>670</v>
      </c>
      <c r="S185" t="s">
        <v>797</v>
      </c>
      <c r="T185" t="s">
        <v>798</v>
      </c>
      <c r="U185" t="b">
        <v>1</v>
      </c>
      <c r="V185" t="s">
        <v>63</v>
      </c>
      <c r="W185">
        <v>0.6</v>
      </c>
    </row>
    <row r="186" spans="1:23" hidden="1" x14ac:dyDescent="0.3">
      <c r="A186" t="s">
        <v>52</v>
      </c>
      <c r="B186" t="s">
        <v>53</v>
      </c>
      <c r="C186" t="s">
        <v>17</v>
      </c>
      <c r="D186" t="s">
        <v>20</v>
      </c>
      <c r="E186" t="s">
        <v>21</v>
      </c>
      <c r="F186" t="s">
        <v>363</v>
      </c>
      <c r="G186" t="s">
        <v>386</v>
      </c>
      <c r="H186" t="s">
        <v>365</v>
      </c>
      <c r="I186" t="s">
        <v>13</v>
      </c>
      <c r="J186" t="s">
        <v>387</v>
      </c>
      <c r="K186" t="s">
        <v>388</v>
      </c>
      <c r="L186" t="s">
        <v>368</v>
      </c>
      <c r="M186">
        <v>46</v>
      </c>
      <c r="N186" t="b">
        <v>0</v>
      </c>
      <c r="O186">
        <v>0.77215189873417733</v>
      </c>
      <c r="R186" t="s">
        <v>670</v>
      </c>
      <c r="S186" t="s">
        <v>799</v>
      </c>
      <c r="T186" t="s">
        <v>800</v>
      </c>
      <c r="U186" t="b">
        <v>1</v>
      </c>
      <c r="V186" t="s">
        <v>63</v>
      </c>
      <c r="W186">
        <v>0.6</v>
      </c>
    </row>
    <row r="187" spans="1:23" hidden="1" x14ac:dyDescent="0.3">
      <c r="A187" t="s">
        <v>52</v>
      </c>
      <c r="B187" t="s">
        <v>53</v>
      </c>
      <c r="C187" t="s">
        <v>17</v>
      </c>
      <c r="D187" t="s">
        <v>20</v>
      </c>
      <c r="E187" t="s">
        <v>21</v>
      </c>
      <c r="F187" t="s">
        <v>363</v>
      </c>
      <c r="G187" t="s">
        <v>391</v>
      </c>
      <c r="H187" t="s">
        <v>365</v>
      </c>
      <c r="I187" t="s">
        <v>13</v>
      </c>
      <c r="J187" t="s">
        <v>392</v>
      </c>
      <c r="K187" t="s">
        <v>393</v>
      </c>
      <c r="L187" t="s">
        <v>368</v>
      </c>
      <c r="M187">
        <v>47</v>
      </c>
      <c r="N187" t="b">
        <v>0</v>
      </c>
      <c r="O187">
        <v>0.79508196721311475</v>
      </c>
      <c r="R187" t="s">
        <v>670</v>
      </c>
      <c r="S187" t="s">
        <v>801</v>
      </c>
      <c r="T187" t="s">
        <v>802</v>
      </c>
      <c r="U187" t="b">
        <v>1</v>
      </c>
      <c r="V187" t="s">
        <v>63</v>
      </c>
      <c r="W187">
        <v>0.6</v>
      </c>
    </row>
    <row r="188" spans="1:23" hidden="1" x14ac:dyDescent="0.3">
      <c r="A188" t="s">
        <v>52</v>
      </c>
      <c r="B188" t="s">
        <v>53</v>
      </c>
      <c r="C188" t="s">
        <v>17</v>
      </c>
      <c r="D188" t="s">
        <v>20</v>
      </c>
      <c r="E188" t="s">
        <v>21</v>
      </c>
      <c r="F188" t="s">
        <v>363</v>
      </c>
      <c r="G188" t="s">
        <v>396</v>
      </c>
      <c r="H188" t="s">
        <v>365</v>
      </c>
      <c r="I188" t="s">
        <v>13</v>
      </c>
      <c r="J188" t="s">
        <v>397</v>
      </c>
      <c r="K188" t="s">
        <v>398</v>
      </c>
      <c r="L188" t="s">
        <v>368</v>
      </c>
      <c r="M188">
        <v>48</v>
      </c>
      <c r="N188" t="b">
        <v>0</v>
      </c>
      <c r="O188">
        <v>0.79032258064516137</v>
      </c>
      <c r="R188" t="s">
        <v>670</v>
      </c>
      <c r="S188" t="s">
        <v>803</v>
      </c>
      <c r="T188" t="s">
        <v>804</v>
      </c>
      <c r="U188" t="b">
        <v>1</v>
      </c>
      <c r="V188" t="s">
        <v>63</v>
      </c>
      <c r="W188">
        <v>0.7</v>
      </c>
    </row>
    <row r="189" spans="1:23" hidden="1" x14ac:dyDescent="0.3">
      <c r="A189" t="s">
        <v>52</v>
      </c>
      <c r="B189" t="s">
        <v>53</v>
      </c>
      <c r="C189" t="s">
        <v>17</v>
      </c>
      <c r="D189" t="s">
        <v>20</v>
      </c>
      <c r="E189" t="s">
        <v>21</v>
      </c>
      <c r="F189" t="s">
        <v>363</v>
      </c>
      <c r="G189" t="s">
        <v>401</v>
      </c>
      <c r="H189" t="s">
        <v>365</v>
      </c>
      <c r="I189" t="s">
        <v>13</v>
      </c>
      <c r="J189" t="s">
        <v>402</v>
      </c>
      <c r="K189" t="s">
        <v>403</v>
      </c>
      <c r="L189" t="s">
        <v>368</v>
      </c>
      <c r="M189">
        <v>49</v>
      </c>
      <c r="N189" t="b">
        <v>0</v>
      </c>
      <c r="O189">
        <v>0.77618069815195079</v>
      </c>
      <c r="R189" t="s">
        <v>670</v>
      </c>
      <c r="S189" t="s">
        <v>805</v>
      </c>
      <c r="T189" t="s">
        <v>806</v>
      </c>
      <c r="U189" t="b">
        <v>1</v>
      </c>
      <c r="V189" t="s">
        <v>63</v>
      </c>
      <c r="W189">
        <v>0.6</v>
      </c>
    </row>
    <row r="190" spans="1:23" hidden="1" x14ac:dyDescent="0.3">
      <c r="A190" t="s">
        <v>52</v>
      </c>
      <c r="B190" t="s">
        <v>53</v>
      </c>
      <c r="C190" t="s">
        <v>17</v>
      </c>
      <c r="D190" t="s">
        <v>20</v>
      </c>
      <c r="E190" t="s">
        <v>21</v>
      </c>
      <c r="F190" t="s">
        <v>363</v>
      </c>
      <c r="G190" t="s">
        <v>406</v>
      </c>
      <c r="H190" t="s">
        <v>365</v>
      </c>
      <c r="I190" t="s">
        <v>13</v>
      </c>
      <c r="J190" t="s">
        <v>407</v>
      </c>
      <c r="K190" t="s">
        <v>408</v>
      </c>
      <c r="L190" t="s">
        <v>368</v>
      </c>
      <c r="M190">
        <v>50</v>
      </c>
      <c r="N190" t="b">
        <v>0</v>
      </c>
      <c r="O190">
        <v>0.78936605316973407</v>
      </c>
      <c r="R190" t="s">
        <v>670</v>
      </c>
      <c r="S190" t="s">
        <v>807</v>
      </c>
      <c r="T190" t="s">
        <v>808</v>
      </c>
      <c r="U190" t="b">
        <v>1</v>
      </c>
      <c r="V190" t="s">
        <v>63</v>
      </c>
      <c r="W190">
        <v>0.7</v>
      </c>
    </row>
    <row r="191" spans="1:23" hidden="1" x14ac:dyDescent="0.3">
      <c r="A191" t="s">
        <v>52</v>
      </c>
      <c r="B191" t="s">
        <v>53</v>
      </c>
      <c r="C191" t="s">
        <v>17</v>
      </c>
      <c r="D191" t="s">
        <v>20</v>
      </c>
      <c r="E191" t="s">
        <v>21</v>
      </c>
      <c r="F191" t="s">
        <v>363</v>
      </c>
      <c r="G191" t="s">
        <v>411</v>
      </c>
      <c r="H191" t="s">
        <v>365</v>
      </c>
      <c r="I191" t="s">
        <v>13</v>
      </c>
      <c r="J191" t="s">
        <v>412</v>
      </c>
      <c r="K191" t="s">
        <v>413</v>
      </c>
      <c r="L191" t="s">
        <v>368</v>
      </c>
      <c r="M191">
        <v>51</v>
      </c>
      <c r="N191" t="b">
        <v>0</v>
      </c>
      <c r="O191">
        <v>0.78189300411522644</v>
      </c>
      <c r="R191" t="s">
        <v>670</v>
      </c>
      <c r="S191" t="s">
        <v>809</v>
      </c>
      <c r="T191" t="s">
        <v>810</v>
      </c>
      <c r="U191" t="b">
        <v>1</v>
      </c>
      <c r="V191" t="s">
        <v>63</v>
      </c>
      <c r="W191">
        <v>0.6</v>
      </c>
    </row>
    <row r="192" spans="1:23" hidden="1" x14ac:dyDescent="0.3">
      <c r="A192" t="s">
        <v>52</v>
      </c>
      <c r="B192" t="s">
        <v>53</v>
      </c>
      <c r="C192" t="s">
        <v>17</v>
      </c>
      <c r="D192" t="s">
        <v>20</v>
      </c>
      <c r="E192" t="s">
        <v>21</v>
      </c>
      <c r="F192" t="s">
        <v>363</v>
      </c>
      <c r="G192" t="s">
        <v>416</v>
      </c>
      <c r="H192" t="s">
        <v>365</v>
      </c>
      <c r="I192" t="s">
        <v>13</v>
      </c>
      <c r="J192" t="s">
        <v>417</v>
      </c>
      <c r="K192" t="s">
        <v>418</v>
      </c>
      <c r="L192" t="s">
        <v>368</v>
      </c>
      <c r="M192">
        <v>52</v>
      </c>
      <c r="N192" t="b">
        <v>0</v>
      </c>
      <c r="O192">
        <v>0.79331941544885176</v>
      </c>
      <c r="R192" t="s">
        <v>670</v>
      </c>
      <c r="S192" t="s">
        <v>811</v>
      </c>
      <c r="T192" t="s">
        <v>812</v>
      </c>
      <c r="U192" t="b">
        <v>1</v>
      </c>
      <c r="V192" t="s">
        <v>63</v>
      </c>
      <c r="W192">
        <v>0.6</v>
      </c>
    </row>
    <row r="193" spans="1:23" hidden="1" x14ac:dyDescent="0.3">
      <c r="A193" t="s">
        <v>52</v>
      </c>
      <c r="B193" t="s">
        <v>53</v>
      </c>
      <c r="C193" t="s">
        <v>17</v>
      </c>
      <c r="D193" t="s">
        <v>20</v>
      </c>
      <c r="E193" t="s">
        <v>21</v>
      </c>
      <c r="F193" t="s">
        <v>363</v>
      </c>
      <c r="G193" t="s">
        <v>421</v>
      </c>
      <c r="H193" t="s">
        <v>365</v>
      </c>
      <c r="I193" t="s">
        <v>13</v>
      </c>
      <c r="J193" t="s">
        <v>422</v>
      </c>
      <c r="K193" t="s">
        <v>423</v>
      </c>
      <c r="L193" t="s">
        <v>368</v>
      </c>
      <c r="M193">
        <v>53</v>
      </c>
      <c r="N193" t="b">
        <v>0</v>
      </c>
      <c r="O193">
        <v>0.78787878787878785</v>
      </c>
      <c r="R193" t="s">
        <v>670</v>
      </c>
      <c r="S193" t="s">
        <v>813</v>
      </c>
      <c r="T193" t="s">
        <v>814</v>
      </c>
      <c r="U193" t="b">
        <v>1</v>
      </c>
      <c r="V193" t="s">
        <v>63</v>
      </c>
      <c r="W193">
        <v>0.6</v>
      </c>
    </row>
    <row r="194" spans="1:23" hidden="1" x14ac:dyDescent="0.3">
      <c r="A194" t="s">
        <v>52</v>
      </c>
      <c r="B194" t="s">
        <v>53</v>
      </c>
      <c r="C194" t="s">
        <v>17</v>
      </c>
      <c r="D194" t="s">
        <v>20</v>
      </c>
      <c r="E194" t="s">
        <v>21</v>
      </c>
      <c r="F194" t="s">
        <v>363</v>
      </c>
      <c r="G194" t="s">
        <v>426</v>
      </c>
      <c r="H194" t="s">
        <v>365</v>
      </c>
      <c r="I194" t="s">
        <v>13</v>
      </c>
      <c r="J194" t="s">
        <v>427</v>
      </c>
      <c r="K194" t="s">
        <v>428</v>
      </c>
      <c r="L194" t="s">
        <v>368</v>
      </c>
      <c r="M194">
        <v>54</v>
      </c>
      <c r="N194" t="b">
        <v>0</v>
      </c>
      <c r="O194">
        <v>0.7983706720977598</v>
      </c>
      <c r="R194" t="s">
        <v>670</v>
      </c>
      <c r="S194" t="s">
        <v>815</v>
      </c>
      <c r="T194" t="s">
        <v>816</v>
      </c>
      <c r="U194" t="b">
        <v>1</v>
      </c>
      <c r="V194" t="s">
        <v>63</v>
      </c>
      <c r="W194">
        <v>0.6</v>
      </c>
    </row>
    <row r="195" spans="1:23" hidden="1" x14ac:dyDescent="0.3">
      <c r="A195" t="s">
        <v>52</v>
      </c>
      <c r="B195" t="s">
        <v>53</v>
      </c>
      <c r="C195" t="s">
        <v>17</v>
      </c>
      <c r="D195" t="s">
        <v>20</v>
      </c>
      <c r="E195" t="s">
        <v>21</v>
      </c>
      <c r="F195" t="s">
        <v>363</v>
      </c>
      <c r="G195" t="s">
        <v>431</v>
      </c>
      <c r="H195" t="s">
        <v>365</v>
      </c>
      <c r="I195" t="s">
        <v>13</v>
      </c>
      <c r="J195" t="s">
        <v>432</v>
      </c>
      <c r="K195" t="s">
        <v>433</v>
      </c>
      <c r="L195" t="s">
        <v>368</v>
      </c>
      <c r="M195">
        <v>55</v>
      </c>
      <c r="N195" t="b">
        <v>0</v>
      </c>
      <c r="O195">
        <v>0.78099173553719015</v>
      </c>
      <c r="R195" t="s">
        <v>670</v>
      </c>
      <c r="S195" t="s">
        <v>817</v>
      </c>
      <c r="T195" t="s">
        <v>818</v>
      </c>
      <c r="U195" t="b">
        <v>1</v>
      </c>
      <c r="V195" t="s">
        <v>63</v>
      </c>
      <c r="W195">
        <v>0.6</v>
      </c>
    </row>
    <row r="196" spans="1:23" hidden="1" x14ac:dyDescent="0.3">
      <c r="A196" t="s">
        <v>52</v>
      </c>
      <c r="B196" t="s">
        <v>53</v>
      </c>
      <c r="C196" t="s">
        <v>17</v>
      </c>
      <c r="D196" t="s">
        <v>20</v>
      </c>
      <c r="E196" t="s">
        <v>21</v>
      </c>
      <c r="F196" t="s">
        <v>363</v>
      </c>
      <c r="G196" t="s">
        <v>436</v>
      </c>
      <c r="H196" t="s">
        <v>365</v>
      </c>
      <c r="I196" t="s">
        <v>13</v>
      </c>
      <c r="J196" t="s">
        <v>437</v>
      </c>
      <c r="K196" t="s">
        <v>438</v>
      </c>
      <c r="L196" t="s">
        <v>368</v>
      </c>
      <c r="M196">
        <v>56</v>
      </c>
      <c r="N196" t="b">
        <v>0</v>
      </c>
      <c r="O196">
        <v>0.79508196721311475</v>
      </c>
      <c r="R196" t="s">
        <v>670</v>
      </c>
      <c r="S196" t="s">
        <v>819</v>
      </c>
      <c r="T196" t="s">
        <v>820</v>
      </c>
      <c r="U196" t="b">
        <v>1</v>
      </c>
      <c r="V196" t="s">
        <v>63</v>
      </c>
      <c r="W196">
        <v>0.6</v>
      </c>
    </row>
    <row r="197" spans="1:23" hidden="1" x14ac:dyDescent="0.3">
      <c r="A197" t="s">
        <v>52</v>
      </c>
      <c r="B197" t="s">
        <v>53</v>
      </c>
      <c r="C197" t="s">
        <v>17</v>
      </c>
      <c r="D197" t="s">
        <v>20</v>
      </c>
      <c r="E197" t="s">
        <v>21</v>
      </c>
      <c r="F197" t="s">
        <v>363</v>
      </c>
      <c r="G197" t="s">
        <v>441</v>
      </c>
      <c r="H197" t="s">
        <v>365</v>
      </c>
      <c r="I197" t="s">
        <v>13</v>
      </c>
      <c r="J197" t="s">
        <v>442</v>
      </c>
      <c r="K197" t="s">
        <v>443</v>
      </c>
      <c r="L197" t="s">
        <v>368</v>
      </c>
      <c r="M197">
        <v>57</v>
      </c>
      <c r="N197" t="b">
        <v>0</v>
      </c>
      <c r="O197">
        <v>0.80082135523613973</v>
      </c>
      <c r="R197" t="s">
        <v>670</v>
      </c>
      <c r="S197" t="s">
        <v>821</v>
      </c>
      <c r="T197" t="s">
        <v>822</v>
      </c>
      <c r="U197" t="b">
        <v>1</v>
      </c>
      <c r="V197" t="s">
        <v>63</v>
      </c>
      <c r="W197">
        <v>0.6</v>
      </c>
    </row>
    <row r="198" spans="1:23" hidden="1" x14ac:dyDescent="0.3">
      <c r="A198" t="s">
        <v>52</v>
      </c>
      <c r="B198" t="s">
        <v>53</v>
      </c>
      <c r="C198" t="s">
        <v>17</v>
      </c>
      <c r="D198" t="s">
        <v>20</v>
      </c>
      <c r="E198" t="s">
        <v>21</v>
      </c>
      <c r="F198" t="s">
        <v>363</v>
      </c>
      <c r="G198" t="s">
        <v>446</v>
      </c>
      <c r="H198" t="s">
        <v>365</v>
      </c>
      <c r="I198" t="s">
        <v>13</v>
      </c>
      <c r="J198" t="s">
        <v>447</v>
      </c>
      <c r="K198" t="s">
        <v>448</v>
      </c>
      <c r="L198" t="s">
        <v>368</v>
      </c>
      <c r="M198">
        <v>58</v>
      </c>
      <c r="N198" t="b">
        <v>0</v>
      </c>
      <c r="O198">
        <v>0.76701030927835068</v>
      </c>
      <c r="R198" t="s">
        <v>670</v>
      </c>
      <c r="S198" t="s">
        <v>823</v>
      </c>
      <c r="T198" t="s">
        <v>824</v>
      </c>
      <c r="U198" t="b">
        <v>1</v>
      </c>
      <c r="V198" t="s">
        <v>63</v>
      </c>
      <c r="W198">
        <v>0.6</v>
      </c>
    </row>
    <row r="199" spans="1:23" hidden="1" x14ac:dyDescent="0.3">
      <c r="A199" t="s">
        <v>52</v>
      </c>
      <c r="B199" t="s">
        <v>53</v>
      </c>
      <c r="C199" t="s">
        <v>17</v>
      </c>
      <c r="D199" t="s">
        <v>20</v>
      </c>
      <c r="E199" t="s">
        <v>21</v>
      </c>
      <c r="F199" t="s">
        <v>363</v>
      </c>
      <c r="G199" t="s">
        <v>451</v>
      </c>
      <c r="H199" t="s">
        <v>365</v>
      </c>
      <c r="I199" t="s">
        <v>13</v>
      </c>
      <c r="J199" t="s">
        <v>452</v>
      </c>
      <c r="K199" t="s">
        <v>453</v>
      </c>
      <c r="L199" t="s">
        <v>368</v>
      </c>
      <c r="M199">
        <v>59</v>
      </c>
      <c r="N199" t="b">
        <v>0</v>
      </c>
      <c r="O199">
        <v>0.79831932773109249</v>
      </c>
      <c r="R199" t="s">
        <v>670</v>
      </c>
      <c r="S199" t="s">
        <v>825</v>
      </c>
      <c r="T199" t="s">
        <v>826</v>
      </c>
      <c r="U199" t="b">
        <v>1</v>
      </c>
      <c r="V199" t="s">
        <v>63</v>
      </c>
      <c r="W199">
        <v>0.7</v>
      </c>
    </row>
    <row r="200" spans="1:23" hidden="1" x14ac:dyDescent="0.3">
      <c r="A200" t="s">
        <v>52</v>
      </c>
      <c r="B200" t="s">
        <v>53</v>
      </c>
      <c r="C200" t="s">
        <v>17</v>
      </c>
      <c r="D200" t="s">
        <v>20</v>
      </c>
      <c r="E200" t="s">
        <v>21</v>
      </c>
      <c r="F200" t="s">
        <v>363</v>
      </c>
      <c r="G200" t="s">
        <v>456</v>
      </c>
      <c r="H200" t="s">
        <v>365</v>
      </c>
      <c r="I200" t="s">
        <v>13</v>
      </c>
      <c r="J200" t="s">
        <v>457</v>
      </c>
      <c r="K200" t="s">
        <v>458</v>
      </c>
      <c r="L200" t="s">
        <v>368</v>
      </c>
      <c r="M200">
        <v>60</v>
      </c>
      <c r="N200" t="b">
        <v>0</v>
      </c>
      <c r="O200">
        <v>0.79253112033195017</v>
      </c>
      <c r="R200" t="s">
        <v>670</v>
      </c>
      <c r="S200" t="s">
        <v>827</v>
      </c>
      <c r="T200" t="s">
        <v>828</v>
      </c>
      <c r="U200" t="b">
        <v>1</v>
      </c>
      <c r="V200" t="s">
        <v>63</v>
      </c>
      <c r="W200">
        <v>0.6</v>
      </c>
    </row>
    <row r="201" spans="1:23" hidden="1" x14ac:dyDescent="0.3">
      <c r="A201" t="s">
        <v>52</v>
      </c>
      <c r="B201" t="s">
        <v>53</v>
      </c>
      <c r="C201" t="s">
        <v>17</v>
      </c>
      <c r="D201" t="s">
        <v>20</v>
      </c>
      <c r="E201" t="s">
        <v>21</v>
      </c>
      <c r="F201" t="s">
        <v>363</v>
      </c>
      <c r="G201" t="s">
        <v>461</v>
      </c>
      <c r="H201" t="s">
        <v>365</v>
      </c>
      <c r="I201" t="s">
        <v>13</v>
      </c>
      <c r="J201" t="s">
        <v>462</v>
      </c>
      <c r="K201" t="s">
        <v>463</v>
      </c>
      <c r="L201" t="s">
        <v>368</v>
      </c>
      <c r="M201">
        <v>61</v>
      </c>
      <c r="N201" t="b">
        <v>0</v>
      </c>
      <c r="O201">
        <v>0.78600823045267498</v>
      </c>
      <c r="R201" t="s">
        <v>670</v>
      </c>
      <c r="S201" t="s">
        <v>829</v>
      </c>
      <c r="T201" t="s">
        <v>830</v>
      </c>
      <c r="U201" t="b">
        <v>1</v>
      </c>
      <c r="V201" t="s">
        <v>63</v>
      </c>
      <c r="W201">
        <v>0.8</v>
      </c>
    </row>
    <row r="202" spans="1:23" hidden="1" x14ac:dyDescent="0.3">
      <c r="A202" t="s">
        <v>52</v>
      </c>
      <c r="B202" t="s">
        <v>53</v>
      </c>
      <c r="C202" t="s">
        <v>17</v>
      </c>
      <c r="D202" t="s">
        <v>20</v>
      </c>
      <c r="E202" t="s">
        <v>21</v>
      </c>
      <c r="F202" t="s">
        <v>363</v>
      </c>
      <c r="G202" t="s">
        <v>466</v>
      </c>
      <c r="H202" t="s">
        <v>467</v>
      </c>
      <c r="I202" t="s">
        <v>9</v>
      </c>
      <c r="J202" t="s">
        <v>468</v>
      </c>
      <c r="K202" t="s">
        <v>469</v>
      </c>
      <c r="L202" t="s">
        <v>470</v>
      </c>
      <c r="M202">
        <v>42</v>
      </c>
      <c r="N202" t="b">
        <v>0</v>
      </c>
      <c r="O202">
        <v>0.79420289855072468</v>
      </c>
      <c r="R202" t="s">
        <v>670</v>
      </c>
      <c r="S202" t="s">
        <v>831</v>
      </c>
      <c r="T202" t="s">
        <v>832</v>
      </c>
      <c r="U202" t="b">
        <v>1</v>
      </c>
      <c r="V202" t="s">
        <v>63</v>
      </c>
      <c r="W202">
        <v>0.8</v>
      </c>
    </row>
    <row r="203" spans="1:23" hidden="1" x14ac:dyDescent="0.3">
      <c r="A203" t="s">
        <v>52</v>
      </c>
      <c r="B203" t="s">
        <v>53</v>
      </c>
      <c r="C203" t="s">
        <v>17</v>
      </c>
      <c r="D203" t="s">
        <v>20</v>
      </c>
      <c r="E203" t="s">
        <v>21</v>
      </c>
      <c r="F203" t="s">
        <v>363</v>
      </c>
      <c r="G203" t="s">
        <v>473</v>
      </c>
      <c r="H203" t="s">
        <v>467</v>
      </c>
      <c r="I203" t="s">
        <v>9</v>
      </c>
      <c r="J203" t="s">
        <v>474</v>
      </c>
      <c r="K203" t="s">
        <v>475</v>
      </c>
      <c r="L203" t="s">
        <v>470</v>
      </c>
      <c r="M203">
        <v>43</v>
      </c>
      <c r="N203" t="b">
        <v>0</v>
      </c>
      <c r="O203">
        <v>0.81791044776119404</v>
      </c>
      <c r="R203" t="s">
        <v>670</v>
      </c>
      <c r="S203" t="s">
        <v>833</v>
      </c>
      <c r="T203" t="s">
        <v>834</v>
      </c>
      <c r="U203" t="b">
        <v>1</v>
      </c>
      <c r="V203" t="s">
        <v>63</v>
      </c>
      <c r="W203">
        <v>0.6</v>
      </c>
    </row>
    <row r="204" spans="1:23" hidden="1" x14ac:dyDescent="0.3">
      <c r="A204" t="s">
        <v>52</v>
      </c>
      <c r="B204" t="s">
        <v>53</v>
      </c>
      <c r="C204" t="s">
        <v>17</v>
      </c>
      <c r="D204" t="s">
        <v>20</v>
      </c>
      <c r="E204" t="s">
        <v>21</v>
      </c>
      <c r="F204" t="s">
        <v>363</v>
      </c>
      <c r="G204" t="s">
        <v>478</v>
      </c>
      <c r="H204" t="s">
        <v>467</v>
      </c>
      <c r="I204" t="s">
        <v>9</v>
      </c>
      <c r="J204" t="s">
        <v>479</v>
      </c>
      <c r="K204" t="s">
        <v>480</v>
      </c>
      <c r="L204" t="s">
        <v>470</v>
      </c>
      <c r="M204">
        <v>44</v>
      </c>
      <c r="N204" t="b">
        <v>0</v>
      </c>
      <c r="O204">
        <v>0.8125</v>
      </c>
      <c r="R204" t="s">
        <v>670</v>
      </c>
      <c r="S204" t="s">
        <v>835</v>
      </c>
      <c r="T204" t="s">
        <v>836</v>
      </c>
      <c r="U204" t="b">
        <v>1</v>
      </c>
      <c r="V204" t="s">
        <v>63</v>
      </c>
      <c r="W204">
        <v>0.6</v>
      </c>
    </row>
    <row r="205" spans="1:23" hidden="1" x14ac:dyDescent="0.3">
      <c r="A205" t="s">
        <v>52</v>
      </c>
      <c r="B205" t="s">
        <v>53</v>
      </c>
      <c r="C205" t="s">
        <v>17</v>
      </c>
      <c r="D205" t="s">
        <v>20</v>
      </c>
      <c r="E205" t="s">
        <v>21</v>
      </c>
      <c r="F205" t="s">
        <v>363</v>
      </c>
      <c r="G205" t="s">
        <v>483</v>
      </c>
      <c r="H205" t="s">
        <v>467</v>
      </c>
      <c r="I205" t="s">
        <v>9</v>
      </c>
      <c r="J205" t="s">
        <v>484</v>
      </c>
      <c r="K205" t="s">
        <v>485</v>
      </c>
      <c r="L205" t="s">
        <v>470</v>
      </c>
      <c r="M205">
        <v>45</v>
      </c>
      <c r="N205" t="b">
        <v>0</v>
      </c>
      <c r="O205">
        <v>0.78309859154929573</v>
      </c>
      <c r="R205" t="s">
        <v>670</v>
      </c>
      <c r="S205" t="s">
        <v>837</v>
      </c>
      <c r="T205" t="s">
        <v>838</v>
      </c>
      <c r="U205" t="b">
        <v>1</v>
      </c>
      <c r="V205" t="s">
        <v>63</v>
      </c>
      <c r="W205">
        <v>0.6</v>
      </c>
    </row>
    <row r="206" spans="1:23" hidden="1" x14ac:dyDescent="0.3">
      <c r="A206" t="s">
        <v>52</v>
      </c>
      <c r="B206" t="s">
        <v>53</v>
      </c>
      <c r="C206" t="s">
        <v>17</v>
      </c>
      <c r="D206" t="s">
        <v>20</v>
      </c>
      <c r="E206" t="s">
        <v>21</v>
      </c>
      <c r="F206" t="s">
        <v>363</v>
      </c>
      <c r="G206" t="s">
        <v>488</v>
      </c>
      <c r="H206" t="s">
        <v>467</v>
      </c>
      <c r="I206" t="s">
        <v>9</v>
      </c>
      <c r="J206" t="s">
        <v>489</v>
      </c>
      <c r="K206" t="s">
        <v>490</v>
      </c>
      <c r="L206" t="s">
        <v>470</v>
      </c>
      <c r="M206">
        <v>46</v>
      </c>
      <c r="N206" t="b">
        <v>0</v>
      </c>
      <c r="O206">
        <v>0.783625730994152</v>
      </c>
      <c r="R206" t="s">
        <v>670</v>
      </c>
      <c r="S206" t="s">
        <v>839</v>
      </c>
      <c r="T206" t="s">
        <v>840</v>
      </c>
      <c r="U206" t="b">
        <v>1</v>
      </c>
      <c r="V206" t="s">
        <v>63</v>
      </c>
      <c r="W206">
        <v>0.6</v>
      </c>
    </row>
    <row r="207" spans="1:23" hidden="1" x14ac:dyDescent="0.3">
      <c r="A207" t="s">
        <v>52</v>
      </c>
      <c r="B207" t="s">
        <v>53</v>
      </c>
      <c r="C207" t="s">
        <v>17</v>
      </c>
      <c r="D207" t="s">
        <v>20</v>
      </c>
      <c r="E207" t="s">
        <v>21</v>
      </c>
      <c r="F207" t="s">
        <v>363</v>
      </c>
      <c r="G207" t="s">
        <v>493</v>
      </c>
      <c r="H207" t="s">
        <v>467</v>
      </c>
      <c r="I207" t="s">
        <v>9</v>
      </c>
      <c r="J207" t="s">
        <v>494</v>
      </c>
      <c r="K207" t="s">
        <v>495</v>
      </c>
      <c r="L207" t="s">
        <v>470</v>
      </c>
      <c r="M207">
        <v>47</v>
      </c>
      <c r="N207" t="b">
        <v>0</v>
      </c>
      <c r="O207">
        <v>0.77906976744186052</v>
      </c>
      <c r="R207" t="s">
        <v>670</v>
      </c>
      <c r="S207" t="s">
        <v>841</v>
      </c>
      <c r="T207" t="s">
        <v>842</v>
      </c>
      <c r="U207" t="b">
        <v>1</v>
      </c>
      <c r="V207" t="s">
        <v>63</v>
      </c>
      <c r="W207">
        <v>0.7</v>
      </c>
    </row>
    <row r="208" spans="1:23" hidden="1" x14ac:dyDescent="0.3">
      <c r="A208" t="s">
        <v>52</v>
      </c>
      <c r="B208" t="s">
        <v>53</v>
      </c>
      <c r="C208" t="s">
        <v>17</v>
      </c>
      <c r="D208" t="s">
        <v>20</v>
      </c>
      <c r="E208" t="s">
        <v>21</v>
      </c>
      <c r="F208" t="s">
        <v>363</v>
      </c>
      <c r="G208" t="s">
        <v>498</v>
      </c>
      <c r="H208" t="s">
        <v>467</v>
      </c>
      <c r="I208" t="s">
        <v>9</v>
      </c>
      <c r="J208" t="s">
        <v>499</v>
      </c>
      <c r="K208" t="s">
        <v>500</v>
      </c>
      <c r="L208" t="s">
        <v>470</v>
      </c>
      <c r="M208">
        <v>48</v>
      </c>
      <c r="N208" t="b">
        <v>0</v>
      </c>
      <c r="O208">
        <v>0.80790960451977401</v>
      </c>
      <c r="R208" t="s">
        <v>670</v>
      </c>
      <c r="S208" t="s">
        <v>843</v>
      </c>
      <c r="T208" t="s">
        <v>844</v>
      </c>
      <c r="U208" t="b">
        <v>1</v>
      </c>
      <c r="V208" t="s">
        <v>63</v>
      </c>
      <c r="W208">
        <v>0.6</v>
      </c>
    </row>
    <row r="209" spans="1:23" hidden="1" x14ac:dyDescent="0.3">
      <c r="A209" t="s">
        <v>52</v>
      </c>
      <c r="B209" t="s">
        <v>53</v>
      </c>
      <c r="C209" t="s">
        <v>17</v>
      </c>
      <c r="D209" t="s">
        <v>20</v>
      </c>
      <c r="E209" t="s">
        <v>21</v>
      </c>
      <c r="F209" t="s">
        <v>363</v>
      </c>
      <c r="G209" t="s">
        <v>503</v>
      </c>
      <c r="H209" t="s">
        <v>467</v>
      </c>
      <c r="I209" t="s">
        <v>9</v>
      </c>
      <c r="J209" t="s">
        <v>504</v>
      </c>
      <c r="K209" t="s">
        <v>505</v>
      </c>
      <c r="L209" t="s">
        <v>470</v>
      </c>
      <c r="M209">
        <v>49</v>
      </c>
      <c r="N209" t="b">
        <v>0</v>
      </c>
      <c r="O209">
        <v>0.81609195402298851</v>
      </c>
      <c r="R209" t="s">
        <v>670</v>
      </c>
      <c r="S209" t="s">
        <v>845</v>
      </c>
      <c r="T209" t="s">
        <v>846</v>
      </c>
      <c r="U209" t="b">
        <v>1</v>
      </c>
      <c r="V209" t="s">
        <v>63</v>
      </c>
      <c r="W209">
        <v>0.6</v>
      </c>
    </row>
    <row r="210" spans="1:23" hidden="1" x14ac:dyDescent="0.3">
      <c r="A210" t="s">
        <v>52</v>
      </c>
      <c r="B210" t="s">
        <v>53</v>
      </c>
      <c r="C210" t="s">
        <v>17</v>
      </c>
      <c r="D210" t="s">
        <v>20</v>
      </c>
      <c r="E210" t="s">
        <v>21</v>
      </c>
      <c r="F210" t="s">
        <v>363</v>
      </c>
      <c r="G210" t="s">
        <v>508</v>
      </c>
      <c r="H210" t="s">
        <v>467</v>
      </c>
      <c r="I210" t="s">
        <v>9</v>
      </c>
      <c r="J210" t="s">
        <v>509</v>
      </c>
      <c r="K210" t="s">
        <v>510</v>
      </c>
      <c r="L210" t="s">
        <v>470</v>
      </c>
      <c r="M210">
        <v>50</v>
      </c>
      <c r="N210" t="b">
        <v>0</v>
      </c>
      <c r="O210">
        <v>0.78717201166180761</v>
      </c>
      <c r="R210" t="s">
        <v>670</v>
      </c>
      <c r="S210" t="s">
        <v>847</v>
      </c>
      <c r="T210" t="s">
        <v>848</v>
      </c>
      <c r="U210" t="b">
        <v>1</v>
      </c>
      <c r="V210" t="s">
        <v>63</v>
      </c>
      <c r="W210">
        <v>0.6</v>
      </c>
    </row>
    <row r="211" spans="1:23" hidden="1" x14ac:dyDescent="0.3">
      <c r="A211" t="s">
        <v>52</v>
      </c>
      <c r="B211" t="s">
        <v>53</v>
      </c>
      <c r="C211" t="s">
        <v>17</v>
      </c>
      <c r="D211" t="s">
        <v>20</v>
      </c>
      <c r="E211" t="s">
        <v>21</v>
      </c>
      <c r="F211" t="s">
        <v>363</v>
      </c>
      <c r="G211" t="s">
        <v>513</v>
      </c>
      <c r="H211" t="s">
        <v>467</v>
      </c>
      <c r="I211" t="s">
        <v>9</v>
      </c>
      <c r="J211" t="s">
        <v>514</v>
      </c>
      <c r="K211" t="s">
        <v>515</v>
      </c>
      <c r="L211" t="s">
        <v>470</v>
      </c>
      <c r="M211">
        <v>51</v>
      </c>
      <c r="N211" t="b">
        <v>0</v>
      </c>
      <c r="O211">
        <v>0.83139534883720922</v>
      </c>
      <c r="R211" t="s">
        <v>670</v>
      </c>
      <c r="S211" t="s">
        <v>849</v>
      </c>
      <c r="T211" t="s">
        <v>850</v>
      </c>
      <c r="U211" t="b">
        <v>1</v>
      </c>
      <c r="V211" t="s">
        <v>63</v>
      </c>
      <c r="W211">
        <v>0.7</v>
      </c>
    </row>
    <row r="212" spans="1:23" hidden="1" x14ac:dyDescent="0.3">
      <c r="A212" t="s">
        <v>52</v>
      </c>
      <c r="B212" t="s">
        <v>53</v>
      </c>
      <c r="C212" t="s">
        <v>17</v>
      </c>
      <c r="D212" t="s">
        <v>20</v>
      </c>
      <c r="E212" t="s">
        <v>21</v>
      </c>
      <c r="F212" t="s">
        <v>363</v>
      </c>
      <c r="G212" t="s">
        <v>518</v>
      </c>
      <c r="H212" t="s">
        <v>467</v>
      </c>
      <c r="I212" t="s">
        <v>9</v>
      </c>
      <c r="J212" t="s">
        <v>519</v>
      </c>
      <c r="K212" t="s">
        <v>520</v>
      </c>
      <c r="L212" t="s">
        <v>470</v>
      </c>
      <c r="M212">
        <v>52</v>
      </c>
      <c r="N212" t="b">
        <v>0</v>
      </c>
      <c r="O212">
        <v>0.77744807121661719</v>
      </c>
      <c r="R212" t="s">
        <v>670</v>
      </c>
      <c r="S212" t="s">
        <v>851</v>
      </c>
      <c r="T212" t="s">
        <v>852</v>
      </c>
      <c r="U212" t="b">
        <v>1</v>
      </c>
      <c r="V212" t="s">
        <v>63</v>
      </c>
      <c r="W212">
        <v>0.6</v>
      </c>
    </row>
    <row r="213" spans="1:23" hidden="1" x14ac:dyDescent="0.3">
      <c r="A213" t="s">
        <v>52</v>
      </c>
      <c r="B213" t="s">
        <v>53</v>
      </c>
      <c r="C213" t="s">
        <v>17</v>
      </c>
      <c r="D213" t="s">
        <v>20</v>
      </c>
      <c r="E213" t="s">
        <v>21</v>
      </c>
      <c r="F213" t="s">
        <v>363</v>
      </c>
      <c r="G213" t="s">
        <v>523</v>
      </c>
      <c r="H213" t="s">
        <v>467</v>
      </c>
      <c r="I213" t="s">
        <v>9</v>
      </c>
      <c r="J213" t="s">
        <v>524</v>
      </c>
      <c r="K213" t="s">
        <v>525</v>
      </c>
      <c r="L213" t="s">
        <v>470</v>
      </c>
      <c r="M213">
        <v>53</v>
      </c>
      <c r="N213" t="b">
        <v>0</v>
      </c>
      <c r="O213">
        <v>0.77809798270893371</v>
      </c>
      <c r="R213" t="s">
        <v>670</v>
      </c>
      <c r="S213" t="s">
        <v>853</v>
      </c>
      <c r="T213" t="s">
        <v>854</v>
      </c>
      <c r="U213" t="b">
        <v>1</v>
      </c>
      <c r="V213" t="s">
        <v>63</v>
      </c>
      <c r="W213">
        <v>0.6</v>
      </c>
    </row>
    <row r="214" spans="1:23" hidden="1" x14ac:dyDescent="0.3">
      <c r="A214" t="s">
        <v>52</v>
      </c>
      <c r="B214" t="s">
        <v>53</v>
      </c>
      <c r="C214" t="s">
        <v>17</v>
      </c>
      <c r="D214" t="s">
        <v>20</v>
      </c>
      <c r="E214" t="s">
        <v>21</v>
      </c>
      <c r="F214" t="s">
        <v>363</v>
      </c>
      <c r="G214" t="s">
        <v>528</v>
      </c>
      <c r="H214" t="s">
        <v>467</v>
      </c>
      <c r="I214" t="s">
        <v>9</v>
      </c>
      <c r="J214" t="s">
        <v>529</v>
      </c>
      <c r="K214" t="s">
        <v>530</v>
      </c>
      <c r="L214" t="s">
        <v>470</v>
      </c>
      <c r="M214">
        <v>54</v>
      </c>
      <c r="N214" t="b">
        <v>0</v>
      </c>
      <c r="O214">
        <v>0.8128654970760234</v>
      </c>
      <c r="R214" t="s">
        <v>670</v>
      </c>
      <c r="S214" t="s">
        <v>855</v>
      </c>
      <c r="T214" t="s">
        <v>856</v>
      </c>
      <c r="U214" t="b">
        <v>1</v>
      </c>
      <c r="V214" t="s">
        <v>63</v>
      </c>
      <c r="W214">
        <v>0.6</v>
      </c>
    </row>
    <row r="215" spans="1:23" hidden="1" x14ac:dyDescent="0.3">
      <c r="A215" t="s">
        <v>52</v>
      </c>
      <c r="B215" t="s">
        <v>53</v>
      </c>
      <c r="C215" t="s">
        <v>17</v>
      </c>
      <c r="D215" t="s">
        <v>20</v>
      </c>
      <c r="E215" t="s">
        <v>21</v>
      </c>
      <c r="F215" t="s">
        <v>363</v>
      </c>
      <c r="G215" t="s">
        <v>533</v>
      </c>
      <c r="H215" t="s">
        <v>467</v>
      </c>
      <c r="I215" t="s">
        <v>9</v>
      </c>
      <c r="J215" t="s">
        <v>534</v>
      </c>
      <c r="K215" t="s">
        <v>535</v>
      </c>
      <c r="L215" t="s">
        <v>470</v>
      </c>
      <c r="M215">
        <v>55</v>
      </c>
      <c r="N215" t="b">
        <v>0</v>
      </c>
      <c r="O215">
        <v>0.819484240687679</v>
      </c>
      <c r="R215" t="s">
        <v>670</v>
      </c>
      <c r="S215" t="s">
        <v>857</v>
      </c>
      <c r="T215" t="s">
        <v>858</v>
      </c>
      <c r="U215" t="b">
        <v>1</v>
      </c>
      <c r="V215" t="s">
        <v>63</v>
      </c>
      <c r="W215">
        <v>0.8</v>
      </c>
    </row>
    <row r="216" spans="1:23" hidden="1" x14ac:dyDescent="0.3">
      <c r="A216" t="s">
        <v>52</v>
      </c>
      <c r="B216" t="s">
        <v>53</v>
      </c>
      <c r="C216" t="s">
        <v>17</v>
      </c>
      <c r="D216" t="s">
        <v>20</v>
      </c>
      <c r="E216" t="s">
        <v>21</v>
      </c>
      <c r="F216" t="s">
        <v>363</v>
      </c>
      <c r="G216" t="s">
        <v>538</v>
      </c>
      <c r="H216" t="s">
        <v>467</v>
      </c>
      <c r="I216" t="s">
        <v>9</v>
      </c>
      <c r="J216" t="s">
        <v>539</v>
      </c>
      <c r="K216" t="s">
        <v>540</v>
      </c>
      <c r="L216" t="s">
        <v>470</v>
      </c>
      <c r="M216">
        <v>56</v>
      </c>
      <c r="N216" t="b">
        <v>0</v>
      </c>
      <c r="O216">
        <v>0.81176470588235294</v>
      </c>
      <c r="R216" t="s">
        <v>670</v>
      </c>
      <c r="S216" t="s">
        <v>859</v>
      </c>
      <c r="T216" t="s">
        <v>860</v>
      </c>
      <c r="U216" t="b">
        <v>1</v>
      </c>
      <c r="V216" t="s">
        <v>63</v>
      </c>
      <c r="W216">
        <v>0.6</v>
      </c>
    </row>
    <row r="217" spans="1:23" hidden="1" x14ac:dyDescent="0.3">
      <c r="A217" t="s">
        <v>52</v>
      </c>
      <c r="B217" t="s">
        <v>53</v>
      </c>
      <c r="C217" t="s">
        <v>17</v>
      </c>
      <c r="D217" t="s">
        <v>20</v>
      </c>
      <c r="E217" t="s">
        <v>21</v>
      </c>
      <c r="F217" t="s">
        <v>363</v>
      </c>
      <c r="G217" t="s">
        <v>543</v>
      </c>
      <c r="H217" t="s">
        <v>467</v>
      </c>
      <c r="I217" t="s">
        <v>9</v>
      </c>
      <c r="J217" t="s">
        <v>544</v>
      </c>
      <c r="K217" t="s">
        <v>545</v>
      </c>
      <c r="L217" t="s">
        <v>470</v>
      </c>
      <c r="M217">
        <v>57</v>
      </c>
      <c r="N217" t="b">
        <v>0</v>
      </c>
      <c r="O217">
        <v>0.79310344827586199</v>
      </c>
      <c r="R217" t="s">
        <v>670</v>
      </c>
      <c r="S217" t="s">
        <v>861</v>
      </c>
      <c r="T217" t="s">
        <v>862</v>
      </c>
      <c r="U217" t="b">
        <v>1</v>
      </c>
      <c r="V217" t="s">
        <v>63</v>
      </c>
      <c r="W217">
        <v>0.6</v>
      </c>
    </row>
    <row r="218" spans="1:23" hidden="1" x14ac:dyDescent="0.3">
      <c r="A218" t="s">
        <v>52</v>
      </c>
      <c r="B218" t="s">
        <v>53</v>
      </c>
      <c r="C218" t="s">
        <v>17</v>
      </c>
      <c r="D218" t="s">
        <v>20</v>
      </c>
      <c r="E218" t="s">
        <v>21</v>
      </c>
      <c r="F218" t="s">
        <v>363</v>
      </c>
      <c r="G218" t="s">
        <v>548</v>
      </c>
      <c r="H218" t="s">
        <v>467</v>
      </c>
      <c r="I218" t="s">
        <v>9</v>
      </c>
      <c r="J218" t="s">
        <v>549</v>
      </c>
      <c r="K218" t="s">
        <v>550</v>
      </c>
      <c r="L218" t="s">
        <v>470</v>
      </c>
      <c r="M218">
        <v>58</v>
      </c>
      <c r="N218" t="b">
        <v>0</v>
      </c>
      <c r="O218">
        <v>0.79656160458452729</v>
      </c>
      <c r="R218" t="s">
        <v>670</v>
      </c>
      <c r="S218" t="s">
        <v>863</v>
      </c>
      <c r="T218" t="s">
        <v>864</v>
      </c>
      <c r="U218" t="b">
        <v>1</v>
      </c>
      <c r="V218" t="s">
        <v>63</v>
      </c>
      <c r="W218">
        <v>0.6</v>
      </c>
    </row>
    <row r="219" spans="1:23" hidden="1" x14ac:dyDescent="0.3">
      <c r="A219" t="s">
        <v>52</v>
      </c>
      <c r="B219" t="s">
        <v>53</v>
      </c>
      <c r="C219" t="s">
        <v>17</v>
      </c>
      <c r="D219" t="s">
        <v>20</v>
      </c>
      <c r="E219" t="s">
        <v>21</v>
      </c>
      <c r="F219" t="s">
        <v>363</v>
      </c>
      <c r="G219" t="s">
        <v>553</v>
      </c>
      <c r="H219" t="s">
        <v>467</v>
      </c>
      <c r="I219" t="s">
        <v>9</v>
      </c>
      <c r="J219" t="s">
        <v>554</v>
      </c>
      <c r="K219" t="s">
        <v>555</v>
      </c>
      <c r="L219" t="s">
        <v>470</v>
      </c>
      <c r="M219">
        <v>59</v>
      </c>
      <c r="N219" t="b">
        <v>0</v>
      </c>
      <c r="O219">
        <v>0.77058823529411757</v>
      </c>
      <c r="R219" t="s">
        <v>670</v>
      </c>
      <c r="S219" t="s">
        <v>865</v>
      </c>
      <c r="T219" t="s">
        <v>866</v>
      </c>
      <c r="U219" t="b">
        <v>1</v>
      </c>
      <c r="V219" t="s">
        <v>63</v>
      </c>
      <c r="W219">
        <v>0.6</v>
      </c>
    </row>
    <row r="220" spans="1:23" hidden="1" x14ac:dyDescent="0.3">
      <c r="A220" t="s">
        <v>52</v>
      </c>
      <c r="B220" t="s">
        <v>53</v>
      </c>
      <c r="C220" t="s">
        <v>17</v>
      </c>
      <c r="D220" t="s">
        <v>20</v>
      </c>
      <c r="E220" t="s">
        <v>21</v>
      </c>
      <c r="F220" t="s">
        <v>363</v>
      </c>
      <c r="G220" t="s">
        <v>558</v>
      </c>
      <c r="H220" t="s">
        <v>467</v>
      </c>
      <c r="I220" t="s">
        <v>9</v>
      </c>
      <c r="J220" t="s">
        <v>559</v>
      </c>
      <c r="K220" t="s">
        <v>560</v>
      </c>
      <c r="L220" t="s">
        <v>470</v>
      </c>
      <c r="M220">
        <v>60</v>
      </c>
      <c r="N220" t="b">
        <v>0</v>
      </c>
      <c r="O220">
        <v>0.78840579710144931</v>
      </c>
      <c r="R220" t="s">
        <v>670</v>
      </c>
      <c r="S220" t="s">
        <v>867</v>
      </c>
      <c r="T220" t="s">
        <v>868</v>
      </c>
      <c r="U220" t="b">
        <v>1</v>
      </c>
      <c r="V220" t="s">
        <v>63</v>
      </c>
      <c r="W220">
        <v>0.6</v>
      </c>
    </row>
    <row r="221" spans="1:23" hidden="1" x14ac:dyDescent="0.3">
      <c r="A221" t="s">
        <v>52</v>
      </c>
      <c r="B221" t="s">
        <v>53</v>
      </c>
      <c r="C221" t="s">
        <v>17</v>
      </c>
      <c r="D221" t="s">
        <v>20</v>
      </c>
      <c r="E221" t="s">
        <v>21</v>
      </c>
      <c r="F221" t="s">
        <v>363</v>
      </c>
      <c r="G221" t="s">
        <v>563</v>
      </c>
      <c r="H221" t="s">
        <v>467</v>
      </c>
      <c r="I221" t="s">
        <v>9</v>
      </c>
      <c r="J221" t="s">
        <v>564</v>
      </c>
      <c r="K221" t="s">
        <v>565</v>
      </c>
      <c r="L221" t="s">
        <v>470</v>
      </c>
      <c r="M221">
        <v>61</v>
      </c>
      <c r="N221" t="b">
        <v>0</v>
      </c>
      <c r="O221">
        <v>0.78409090909090906</v>
      </c>
      <c r="R221" t="s">
        <v>670</v>
      </c>
      <c r="S221" t="s">
        <v>869</v>
      </c>
      <c r="T221" t="s">
        <v>870</v>
      </c>
      <c r="U221" t="b">
        <v>1</v>
      </c>
      <c r="V221" t="s">
        <v>63</v>
      </c>
      <c r="W221">
        <v>0.8</v>
      </c>
    </row>
    <row r="222" spans="1:23" hidden="1" x14ac:dyDescent="0.3">
      <c r="A222" t="s">
        <v>52</v>
      </c>
      <c r="B222" t="s">
        <v>53</v>
      </c>
      <c r="C222" t="s">
        <v>17</v>
      </c>
      <c r="D222" t="s">
        <v>20</v>
      </c>
      <c r="E222" t="s">
        <v>21</v>
      </c>
      <c r="F222" t="s">
        <v>363</v>
      </c>
      <c r="G222" t="s">
        <v>568</v>
      </c>
      <c r="H222" t="s">
        <v>569</v>
      </c>
      <c r="I222" t="s">
        <v>11</v>
      </c>
      <c r="J222" t="s">
        <v>570</v>
      </c>
      <c r="K222" t="s">
        <v>571</v>
      </c>
      <c r="L222" t="s">
        <v>572</v>
      </c>
      <c r="M222">
        <v>42</v>
      </c>
      <c r="N222" t="b">
        <v>0</v>
      </c>
      <c r="O222">
        <v>0.81481481481481477</v>
      </c>
      <c r="R222" t="s">
        <v>670</v>
      </c>
      <c r="S222" t="s">
        <v>871</v>
      </c>
      <c r="T222" t="s">
        <v>872</v>
      </c>
      <c r="U222" t="b">
        <v>1</v>
      </c>
      <c r="V222" t="s">
        <v>63</v>
      </c>
      <c r="W222">
        <v>0.6</v>
      </c>
    </row>
    <row r="223" spans="1:23" hidden="1" x14ac:dyDescent="0.3">
      <c r="A223" t="s">
        <v>52</v>
      </c>
      <c r="B223" t="s">
        <v>53</v>
      </c>
      <c r="C223" t="s">
        <v>17</v>
      </c>
      <c r="D223" t="s">
        <v>20</v>
      </c>
      <c r="E223" t="s">
        <v>21</v>
      </c>
      <c r="F223" t="s">
        <v>363</v>
      </c>
      <c r="G223" t="s">
        <v>575</v>
      </c>
      <c r="H223" t="s">
        <v>569</v>
      </c>
      <c r="I223" t="s">
        <v>11</v>
      </c>
      <c r="J223" t="s">
        <v>576</v>
      </c>
      <c r="K223" t="s">
        <v>577</v>
      </c>
      <c r="L223" t="s">
        <v>572</v>
      </c>
      <c r="M223">
        <v>43</v>
      </c>
      <c r="N223" t="b">
        <v>0</v>
      </c>
      <c r="O223">
        <v>0.82683982683982682</v>
      </c>
      <c r="R223" t="s">
        <v>670</v>
      </c>
      <c r="S223" t="s">
        <v>873</v>
      </c>
      <c r="T223" t="s">
        <v>874</v>
      </c>
      <c r="U223" t="b">
        <v>1</v>
      </c>
      <c r="V223" t="s">
        <v>63</v>
      </c>
      <c r="W223">
        <v>0.6</v>
      </c>
    </row>
    <row r="224" spans="1:23" hidden="1" x14ac:dyDescent="0.3">
      <c r="A224" t="s">
        <v>52</v>
      </c>
      <c r="B224" t="s">
        <v>53</v>
      </c>
      <c r="C224" t="s">
        <v>17</v>
      </c>
      <c r="D224" t="s">
        <v>20</v>
      </c>
      <c r="E224" t="s">
        <v>21</v>
      </c>
      <c r="F224" t="s">
        <v>363</v>
      </c>
      <c r="G224" t="s">
        <v>580</v>
      </c>
      <c r="H224" t="s">
        <v>569</v>
      </c>
      <c r="I224" t="s">
        <v>11</v>
      </c>
      <c r="J224" t="s">
        <v>581</v>
      </c>
      <c r="K224" t="s">
        <v>582</v>
      </c>
      <c r="L224" t="s">
        <v>572</v>
      </c>
      <c r="M224">
        <v>44</v>
      </c>
      <c r="N224" t="b">
        <v>0</v>
      </c>
      <c r="O224">
        <v>0.82119205298013254</v>
      </c>
      <c r="R224" t="s">
        <v>670</v>
      </c>
      <c r="S224" t="s">
        <v>875</v>
      </c>
      <c r="T224" t="s">
        <v>876</v>
      </c>
      <c r="U224" t="b">
        <v>1</v>
      </c>
      <c r="V224" t="s">
        <v>63</v>
      </c>
      <c r="W224">
        <v>0.6</v>
      </c>
    </row>
    <row r="225" spans="1:23" hidden="1" x14ac:dyDescent="0.3">
      <c r="A225" t="s">
        <v>52</v>
      </c>
      <c r="B225" t="s">
        <v>53</v>
      </c>
      <c r="C225" t="s">
        <v>17</v>
      </c>
      <c r="D225" t="s">
        <v>20</v>
      </c>
      <c r="E225" t="s">
        <v>21</v>
      </c>
      <c r="F225" t="s">
        <v>363</v>
      </c>
      <c r="G225" t="s">
        <v>585</v>
      </c>
      <c r="H225" t="s">
        <v>569</v>
      </c>
      <c r="I225" t="s">
        <v>11</v>
      </c>
      <c r="J225" t="s">
        <v>586</v>
      </c>
      <c r="K225" t="s">
        <v>587</v>
      </c>
      <c r="L225" t="s">
        <v>572</v>
      </c>
      <c r="M225">
        <v>45</v>
      </c>
      <c r="N225" t="b">
        <v>0</v>
      </c>
      <c r="O225">
        <v>0.82608695652173925</v>
      </c>
      <c r="R225" t="s">
        <v>670</v>
      </c>
      <c r="S225" t="s">
        <v>877</v>
      </c>
      <c r="T225" t="s">
        <v>878</v>
      </c>
      <c r="U225" t="b">
        <v>1</v>
      </c>
      <c r="V225" t="s">
        <v>63</v>
      </c>
      <c r="W225">
        <v>0.6</v>
      </c>
    </row>
    <row r="226" spans="1:23" hidden="1" x14ac:dyDescent="0.3">
      <c r="A226" t="s">
        <v>52</v>
      </c>
      <c r="B226" t="s">
        <v>53</v>
      </c>
      <c r="C226" t="s">
        <v>17</v>
      </c>
      <c r="D226" t="s">
        <v>20</v>
      </c>
      <c r="E226" t="s">
        <v>21</v>
      </c>
      <c r="F226" t="s">
        <v>363</v>
      </c>
      <c r="G226" t="s">
        <v>590</v>
      </c>
      <c r="H226" t="s">
        <v>569</v>
      </c>
      <c r="I226" t="s">
        <v>11</v>
      </c>
      <c r="J226" t="s">
        <v>591</v>
      </c>
      <c r="K226" t="s">
        <v>592</v>
      </c>
      <c r="L226" t="s">
        <v>572</v>
      </c>
      <c r="M226">
        <v>46</v>
      </c>
      <c r="N226" t="b">
        <v>0</v>
      </c>
      <c r="O226">
        <v>0.83002207505518755</v>
      </c>
      <c r="R226" t="s">
        <v>670</v>
      </c>
      <c r="S226" t="s">
        <v>879</v>
      </c>
      <c r="T226" t="s">
        <v>880</v>
      </c>
      <c r="U226" t="b">
        <v>1</v>
      </c>
      <c r="V226" t="s">
        <v>63</v>
      </c>
      <c r="W226">
        <v>0.6</v>
      </c>
    </row>
    <row r="227" spans="1:23" hidden="1" x14ac:dyDescent="0.3">
      <c r="A227" t="s">
        <v>52</v>
      </c>
      <c r="B227" t="s">
        <v>53</v>
      </c>
      <c r="C227" t="s">
        <v>17</v>
      </c>
      <c r="D227" t="s">
        <v>20</v>
      </c>
      <c r="E227" t="s">
        <v>21</v>
      </c>
      <c r="F227" t="s">
        <v>363</v>
      </c>
      <c r="G227" t="s">
        <v>595</v>
      </c>
      <c r="H227" t="s">
        <v>569</v>
      </c>
      <c r="I227" t="s">
        <v>11</v>
      </c>
      <c r="J227" t="s">
        <v>596</v>
      </c>
      <c r="K227" t="s">
        <v>597</v>
      </c>
      <c r="L227" t="s">
        <v>572</v>
      </c>
      <c r="M227">
        <v>47</v>
      </c>
      <c r="N227" t="b">
        <v>0</v>
      </c>
      <c r="O227">
        <v>0.82926829268292679</v>
      </c>
      <c r="R227" t="s">
        <v>670</v>
      </c>
      <c r="S227" t="s">
        <v>881</v>
      </c>
      <c r="T227" t="s">
        <v>882</v>
      </c>
      <c r="U227" t="b">
        <v>1</v>
      </c>
      <c r="V227" t="s">
        <v>63</v>
      </c>
      <c r="W227">
        <v>0.6</v>
      </c>
    </row>
    <row r="228" spans="1:23" hidden="1" x14ac:dyDescent="0.3">
      <c r="A228" t="s">
        <v>52</v>
      </c>
      <c r="B228" t="s">
        <v>53</v>
      </c>
      <c r="C228" t="s">
        <v>17</v>
      </c>
      <c r="D228" t="s">
        <v>20</v>
      </c>
      <c r="E228" t="s">
        <v>21</v>
      </c>
      <c r="F228" t="s">
        <v>363</v>
      </c>
      <c r="G228" t="s">
        <v>600</v>
      </c>
      <c r="H228" t="s">
        <v>569</v>
      </c>
      <c r="I228" t="s">
        <v>11</v>
      </c>
      <c r="J228" t="s">
        <v>601</v>
      </c>
      <c r="K228" t="s">
        <v>602</v>
      </c>
      <c r="L228" t="s">
        <v>572</v>
      </c>
      <c r="M228">
        <v>48</v>
      </c>
      <c r="N228" t="b">
        <v>0</v>
      </c>
      <c r="O228">
        <v>0.81917211328976047</v>
      </c>
      <c r="R228" t="s">
        <v>670</v>
      </c>
      <c r="S228" t="s">
        <v>883</v>
      </c>
      <c r="T228" t="s">
        <v>884</v>
      </c>
      <c r="U228" t="b">
        <v>1</v>
      </c>
      <c r="V228" t="s">
        <v>63</v>
      </c>
      <c r="W228">
        <v>0.6</v>
      </c>
    </row>
    <row r="229" spans="1:23" hidden="1" x14ac:dyDescent="0.3">
      <c r="A229" t="s">
        <v>52</v>
      </c>
      <c r="B229" t="s">
        <v>53</v>
      </c>
      <c r="C229" t="s">
        <v>17</v>
      </c>
      <c r="D229" t="s">
        <v>20</v>
      </c>
      <c r="E229" t="s">
        <v>21</v>
      </c>
      <c r="F229" t="s">
        <v>363</v>
      </c>
      <c r="G229" t="s">
        <v>605</v>
      </c>
      <c r="H229" t="s">
        <v>569</v>
      </c>
      <c r="I229" t="s">
        <v>11</v>
      </c>
      <c r="J229" t="s">
        <v>606</v>
      </c>
      <c r="K229" t="s">
        <v>607</v>
      </c>
      <c r="L229" t="s">
        <v>572</v>
      </c>
      <c r="M229">
        <v>49</v>
      </c>
      <c r="N229" t="b">
        <v>0</v>
      </c>
      <c r="O229">
        <v>0.82300884955752207</v>
      </c>
      <c r="R229" t="s">
        <v>670</v>
      </c>
      <c r="S229" t="s">
        <v>885</v>
      </c>
      <c r="T229" t="s">
        <v>886</v>
      </c>
      <c r="U229" t="b">
        <v>1</v>
      </c>
      <c r="V229" t="s">
        <v>63</v>
      </c>
      <c r="W229">
        <v>0.6</v>
      </c>
    </row>
    <row r="230" spans="1:23" hidden="1" x14ac:dyDescent="0.3">
      <c r="A230" t="s">
        <v>52</v>
      </c>
      <c r="B230" t="s">
        <v>53</v>
      </c>
      <c r="C230" t="s">
        <v>17</v>
      </c>
      <c r="D230" t="s">
        <v>20</v>
      </c>
      <c r="E230" t="s">
        <v>21</v>
      </c>
      <c r="F230" t="s">
        <v>363</v>
      </c>
      <c r="G230" t="s">
        <v>610</v>
      </c>
      <c r="H230" t="s">
        <v>569</v>
      </c>
      <c r="I230" t="s">
        <v>11</v>
      </c>
      <c r="J230" t="s">
        <v>611</v>
      </c>
      <c r="K230" t="s">
        <v>612</v>
      </c>
      <c r="L230" t="s">
        <v>572</v>
      </c>
      <c r="M230">
        <v>50</v>
      </c>
      <c r="N230" t="b">
        <v>0</v>
      </c>
      <c r="O230">
        <v>0.81838074398249461</v>
      </c>
      <c r="R230" t="s">
        <v>670</v>
      </c>
      <c r="S230" t="s">
        <v>887</v>
      </c>
      <c r="T230" t="s">
        <v>888</v>
      </c>
      <c r="U230" t="b">
        <v>1</v>
      </c>
      <c r="V230" t="s">
        <v>63</v>
      </c>
      <c r="W230">
        <v>0.6</v>
      </c>
    </row>
    <row r="231" spans="1:23" hidden="1" x14ac:dyDescent="0.3">
      <c r="A231" t="s">
        <v>52</v>
      </c>
      <c r="B231" t="s">
        <v>53</v>
      </c>
      <c r="C231" t="s">
        <v>17</v>
      </c>
      <c r="D231" t="s">
        <v>20</v>
      </c>
      <c r="E231" t="s">
        <v>21</v>
      </c>
      <c r="F231" t="s">
        <v>363</v>
      </c>
      <c r="G231" t="s">
        <v>615</v>
      </c>
      <c r="H231" t="s">
        <v>569</v>
      </c>
      <c r="I231" t="s">
        <v>11</v>
      </c>
      <c r="J231" t="s">
        <v>616</v>
      </c>
      <c r="K231" t="s">
        <v>617</v>
      </c>
      <c r="L231" t="s">
        <v>572</v>
      </c>
      <c r="M231">
        <v>51</v>
      </c>
      <c r="N231" t="b">
        <v>0</v>
      </c>
      <c r="O231">
        <v>0.81545064377682408</v>
      </c>
      <c r="R231" t="s">
        <v>670</v>
      </c>
      <c r="S231" t="s">
        <v>889</v>
      </c>
      <c r="T231" t="s">
        <v>890</v>
      </c>
      <c r="U231" t="b">
        <v>1</v>
      </c>
      <c r="V231" t="s">
        <v>63</v>
      </c>
      <c r="W231">
        <v>0.6</v>
      </c>
    </row>
    <row r="232" spans="1:23" hidden="1" x14ac:dyDescent="0.3">
      <c r="A232" t="s">
        <v>52</v>
      </c>
      <c r="B232" t="s">
        <v>53</v>
      </c>
      <c r="C232" t="s">
        <v>17</v>
      </c>
      <c r="D232" t="s">
        <v>20</v>
      </c>
      <c r="E232" t="s">
        <v>21</v>
      </c>
      <c r="F232" t="s">
        <v>363</v>
      </c>
      <c r="G232" t="s">
        <v>620</v>
      </c>
      <c r="H232" t="s">
        <v>569</v>
      </c>
      <c r="I232" t="s">
        <v>11</v>
      </c>
      <c r="J232" t="s">
        <v>621</v>
      </c>
      <c r="K232" t="s">
        <v>622</v>
      </c>
      <c r="L232" t="s">
        <v>572</v>
      </c>
      <c r="M232">
        <v>52</v>
      </c>
      <c r="N232" t="b">
        <v>0</v>
      </c>
      <c r="O232">
        <v>0.82197802197802183</v>
      </c>
      <c r="R232" t="s">
        <v>670</v>
      </c>
      <c r="S232" t="s">
        <v>891</v>
      </c>
      <c r="T232" t="s">
        <v>892</v>
      </c>
      <c r="U232" t="b">
        <v>1</v>
      </c>
      <c r="V232" t="s">
        <v>63</v>
      </c>
      <c r="W232">
        <v>0.6</v>
      </c>
    </row>
    <row r="233" spans="1:23" hidden="1" x14ac:dyDescent="0.3">
      <c r="A233" t="s">
        <v>52</v>
      </c>
      <c r="B233" t="s">
        <v>53</v>
      </c>
      <c r="C233" t="s">
        <v>17</v>
      </c>
      <c r="D233" t="s">
        <v>20</v>
      </c>
      <c r="E233" t="s">
        <v>21</v>
      </c>
      <c r="F233" t="s">
        <v>363</v>
      </c>
      <c r="G233" t="s">
        <v>625</v>
      </c>
      <c r="H233" t="s">
        <v>569</v>
      </c>
      <c r="I233" t="s">
        <v>11</v>
      </c>
      <c r="J233" t="s">
        <v>626</v>
      </c>
      <c r="K233" t="s">
        <v>627</v>
      </c>
      <c r="L233" t="s">
        <v>572</v>
      </c>
      <c r="M233">
        <v>53</v>
      </c>
      <c r="N233" t="b">
        <v>0</v>
      </c>
      <c r="O233">
        <v>0.80345572354211658</v>
      </c>
      <c r="R233" t="s">
        <v>670</v>
      </c>
      <c r="S233" t="s">
        <v>893</v>
      </c>
      <c r="T233" t="s">
        <v>894</v>
      </c>
      <c r="U233" t="b">
        <v>1</v>
      </c>
      <c r="V233" t="s">
        <v>63</v>
      </c>
      <c r="W233">
        <v>0.6</v>
      </c>
    </row>
    <row r="234" spans="1:23" hidden="1" x14ac:dyDescent="0.3">
      <c r="A234" t="s">
        <v>52</v>
      </c>
      <c r="B234" t="s">
        <v>53</v>
      </c>
      <c r="C234" t="s">
        <v>17</v>
      </c>
      <c r="D234" t="s">
        <v>20</v>
      </c>
      <c r="E234" t="s">
        <v>21</v>
      </c>
      <c r="F234" t="s">
        <v>363</v>
      </c>
      <c r="G234" t="s">
        <v>630</v>
      </c>
      <c r="H234" t="s">
        <v>569</v>
      </c>
      <c r="I234" t="s">
        <v>11</v>
      </c>
      <c r="J234" t="s">
        <v>631</v>
      </c>
      <c r="K234" t="s">
        <v>632</v>
      </c>
      <c r="L234" t="s">
        <v>572</v>
      </c>
      <c r="M234">
        <v>54</v>
      </c>
      <c r="N234" t="b">
        <v>0</v>
      </c>
      <c r="O234">
        <v>0.82637362637362632</v>
      </c>
      <c r="R234" t="s">
        <v>670</v>
      </c>
      <c r="S234" t="s">
        <v>895</v>
      </c>
      <c r="T234" t="s">
        <v>896</v>
      </c>
      <c r="U234" t="b">
        <v>1</v>
      </c>
      <c r="V234" t="s">
        <v>63</v>
      </c>
      <c r="W234">
        <v>0.6</v>
      </c>
    </row>
    <row r="235" spans="1:23" hidden="1" x14ac:dyDescent="0.3">
      <c r="A235" t="s">
        <v>52</v>
      </c>
      <c r="B235" t="s">
        <v>53</v>
      </c>
      <c r="C235" t="s">
        <v>17</v>
      </c>
      <c r="D235" t="s">
        <v>20</v>
      </c>
      <c r="E235" t="s">
        <v>21</v>
      </c>
      <c r="F235" t="s">
        <v>363</v>
      </c>
      <c r="G235" t="s">
        <v>635</v>
      </c>
      <c r="H235" t="s">
        <v>569</v>
      </c>
      <c r="I235" t="s">
        <v>11</v>
      </c>
      <c r="J235" t="s">
        <v>636</v>
      </c>
      <c r="K235" t="s">
        <v>637</v>
      </c>
      <c r="L235" t="s">
        <v>572</v>
      </c>
      <c r="M235">
        <v>55</v>
      </c>
      <c r="N235" t="b">
        <v>0</v>
      </c>
      <c r="O235">
        <v>0.82959641255605376</v>
      </c>
      <c r="R235" t="s">
        <v>670</v>
      </c>
      <c r="S235" t="s">
        <v>897</v>
      </c>
      <c r="T235" t="s">
        <v>898</v>
      </c>
      <c r="U235" t="b">
        <v>1</v>
      </c>
      <c r="V235" t="s">
        <v>63</v>
      </c>
      <c r="W235">
        <v>0.6</v>
      </c>
    </row>
    <row r="236" spans="1:23" hidden="1" x14ac:dyDescent="0.3">
      <c r="A236" t="s">
        <v>52</v>
      </c>
      <c r="B236" t="s">
        <v>53</v>
      </c>
      <c r="C236" t="s">
        <v>17</v>
      </c>
      <c r="D236" t="s">
        <v>20</v>
      </c>
      <c r="E236" t="s">
        <v>21</v>
      </c>
      <c r="F236" t="s">
        <v>363</v>
      </c>
      <c r="G236" t="s">
        <v>640</v>
      </c>
      <c r="H236" t="s">
        <v>569</v>
      </c>
      <c r="I236" t="s">
        <v>11</v>
      </c>
      <c r="J236" t="s">
        <v>641</v>
      </c>
      <c r="K236" t="s">
        <v>642</v>
      </c>
      <c r="L236" t="s">
        <v>572</v>
      </c>
      <c r="M236">
        <v>56</v>
      </c>
      <c r="N236" t="b">
        <v>0</v>
      </c>
      <c r="O236">
        <v>0.83116883116883122</v>
      </c>
      <c r="R236" t="s">
        <v>670</v>
      </c>
      <c r="S236" t="s">
        <v>899</v>
      </c>
      <c r="T236" t="s">
        <v>900</v>
      </c>
      <c r="U236" t="b">
        <v>1</v>
      </c>
      <c r="V236" t="s">
        <v>63</v>
      </c>
      <c r="W236">
        <v>0.6</v>
      </c>
    </row>
    <row r="237" spans="1:23" hidden="1" x14ac:dyDescent="0.3">
      <c r="A237" t="s">
        <v>52</v>
      </c>
      <c r="B237" t="s">
        <v>53</v>
      </c>
      <c r="C237" t="s">
        <v>17</v>
      </c>
      <c r="D237" t="s">
        <v>20</v>
      </c>
      <c r="E237" t="s">
        <v>21</v>
      </c>
      <c r="F237" t="s">
        <v>363</v>
      </c>
      <c r="G237" t="s">
        <v>645</v>
      </c>
      <c r="H237" t="s">
        <v>569</v>
      </c>
      <c r="I237" t="s">
        <v>11</v>
      </c>
      <c r="J237" t="s">
        <v>646</v>
      </c>
      <c r="K237" t="s">
        <v>647</v>
      </c>
      <c r="L237" t="s">
        <v>572</v>
      </c>
      <c r="M237">
        <v>57</v>
      </c>
      <c r="N237" t="b">
        <v>0</v>
      </c>
      <c r="O237">
        <v>0.83628318584070793</v>
      </c>
      <c r="R237" t="s">
        <v>670</v>
      </c>
      <c r="S237" t="s">
        <v>901</v>
      </c>
      <c r="T237" t="s">
        <v>902</v>
      </c>
      <c r="U237" t="b">
        <v>1</v>
      </c>
      <c r="V237" t="s">
        <v>63</v>
      </c>
      <c r="W237">
        <v>0.6</v>
      </c>
    </row>
    <row r="238" spans="1:23" hidden="1" x14ac:dyDescent="0.3">
      <c r="A238" t="s">
        <v>52</v>
      </c>
      <c r="B238" t="s">
        <v>53</v>
      </c>
      <c r="C238" t="s">
        <v>17</v>
      </c>
      <c r="D238" t="s">
        <v>20</v>
      </c>
      <c r="E238" t="s">
        <v>21</v>
      </c>
      <c r="F238" t="s">
        <v>363</v>
      </c>
      <c r="G238" t="s">
        <v>650</v>
      </c>
      <c r="H238" t="s">
        <v>569</v>
      </c>
      <c r="I238" t="s">
        <v>11</v>
      </c>
      <c r="J238" t="s">
        <v>651</v>
      </c>
      <c r="K238" t="s">
        <v>652</v>
      </c>
      <c r="L238" t="s">
        <v>572</v>
      </c>
      <c r="M238">
        <v>58</v>
      </c>
      <c r="N238" t="b">
        <v>0</v>
      </c>
      <c r="O238">
        <v>0.83856502242152464</v>
      </c>
      <c r="R238" t="s">
        <v>670</v>
      </c>
      <c r="S238" t="s">
        <v>903</v>
      </c>
      <c r="T238" t="s">
        <v>904</v>
      </c>
      <c r="U238" t="b">
        <v>1</v>
      </c>
      <c r="V238" t="s">
        <v>63</v>
      </c>
      <c r="W238">
        <v>0.6</v>
      </c>
    </row>
    <row r="239" spans="1:23" hidden="1" x14ac:dyDescent="0.3">
      <c r="A239" t="s">
        <v>52</v>
      </c>
      <c r="B239" t="s">
        <v>53</v>
      </c>
      <c r="C239" t="s">
        <v>17</v>
      </c>
      <c r="D239" t="s">
        <v>20</v>
      </c>
      <c r="E239" t="s">
        <v>21</v>
      </c>
      <c r="F239" t="s">
        <v>363</v>
      </c>
      <c r="G239" t="s">
        <v>655</v>
      </c>
      <c r="H239" t="s">
        <v>569</v>
      </c>
      <c r="I239" t="s">
        <v>11</v>
      </c>
      <c r="J239" t="s">
        <v>656</v>
      </c>
      <c r="K239" t="s">
        <v>657</v>
      </c>
      <c r="L239" t="s">
        <v>572</v>
      </c>
      <c r="M239">
        <v>59</v>
      </c>
      <c r="N239" t="b">
        <v>0</v>
      </c>
      <c r="O239">
        <v>0.82683982683982682</v>
      </c>
      <c r="R239" t="s">
        <v>670</v>
      </c>
      <c r="S239" t="s">
        <v>905</v>
      </c>
      <c r="T239" t="s">
        <v>906</v>
      </c>
      <c r="U239" t="b">
        <v>1</v>
      </c>
      <c r="V239" t="s">
        <v>63</v>
      </c>
      <c r="W239">
        <v>0</v>
      </c>
    </row>
    <row r="240" spans="1:23" hidden="1" x14ac:dyDescent="0.3">
      <c r="A240" t="s">
        <v>52</v>
      </c>
      <c r="B240" t="s">
        <v>53</v>
      </c>
      <c r="C240" t="s">
        <v>17</v>
      </c>
      <c r="D240" t="s">
        <v>20</v>
      </c>
      <c r="E240" t="s">
        <v>21</v>
      </c>
      <c r="F240" t="s">
        <v>363</v>
      </c>
      <c r="G240" t="s">
        <v>660</v>
      </c>
      <c r="H240" t="s">
        <v>569</v>
      </c>
      <c r="I240" t="s">
        <v>11</v>
      </c>
      <c r="J240" t="s">
        <v>661</v>
      </c>
      <c r="K240" t="s">
        <v>662</v>
      </c>
      <c r="L240" t="s">
        <v>572</v>
      </c>
      <c r="M240">
        <v>60</v>
      </c>
      <c r="N240" t="b">
        <v>0</v>
      </c>
      <c r="O240">
        <v>0.81222707423580787</v>
      </c>
      <c r="R240" t="s">
        <v>670</v>
      </c>
      <c r="S240" t="s">
        <v>907</v>
      </c>
      <c r="T240" t="s">
        <v>908</v>
      </c>
      <c r="U240" t="b">
        <v>1</v>
      </c>
      <c r="V240" t="s">
        <v>63</v>
      </c>
      <c r="W240">
        <v>0</v>
      </c>
    </row>
    <row r="241" spans="1:23" hidden="1" x14ac:dyDescent="0.3">
      <c r="A241" t="s">
        <v>52</v>
      </c>
      <c r="B241" t="s">
        <v>53</v>
      </c>
      <c r="C241" t="s">
        <v>17</v>
      </c>
      <c r="D241" t="s">
        <v>20</v>
      </c>
      <c r="E241" t="s">
        <v>21</v>
      </c>
      <c r="F241" t="s">
        <v>363</v>
      </c>
      <c r="G241" t="s">
        <v>665</v>
      </c>
      <c r="H241" t="s">
        <v>569</v>
      </c>
      <c r="I241" t="s">
        <v>11</v>
      </c>
      <c r="J241" t="s">
        <v>666</v>
      </c>
      <c r="K241" t="s">
        <v>667</v>
      </c>
      <c r="L241" t="s">
        <v>572</v>
      </c>
      <c r="M241">
        <v>61</v>
      </c>
      <c r="N241" t="b">
        <v>0</v>
      </c>
      <c r="O241">
        <v>0.81127982646420826</v>
      </c>
      <c r="R241" t="s">
        <v>670</v>
      </c>
      <c r="S241" t="s">
        <v>909</v>
      </c>
      <c r="T241" t="s">
        <v>910</v>
      </c>
      <c r="U241" t="b">
        <v>1</v>
      </c>
      <c r="V241" t="s">
        <v>63</v>
      </c>
      <c r="W241">
        <v>0</v>
      </c>
    </row>
    <row r="242" spans="1:23" hidden="1" x14ac:dyDescent="0.3">
      <c r="A242" t="s">
        <v>52</v>
      </c>
      <c r="B242" t="s">
        <v>53</v>
      </c>
      <c r="C242" t="s">
        <v>17</v>
      </c>
      <c r="D242" t="s">
        <v>22</v>
      </c>
      <c r="E242" t="s">
        <v>23</v>
      </c>
      <c r="F242" t="s">
        <v>54</v>
      </c>
      <c r="G242" t="s">
        <v>55</v>
      </c>
      <c r="H242" t="s">
        <v>56</v>
      </c>
      <c r="I242" t="s">
        <v>7</v>
      </c>
      <c r="J242" t="s">
        <v>57</v>
      </c>
      <c r="K242" t="s">
        <v>58</v>
      </c>
      <c r="L242" t="s">
        <v>59</v>
      </c>
      <c r="M242">
        <v>42</v>
      </c>
      <c r="N242" t="b">
        <v>1</v>
      </c>
      <c r="O242">
        <v>0.75156576200417535</v>
      </c>
      <c r="P242">
        <v>0.72289156626506024</v>
      </c>
      <c r="Q242">
        <v>0.78260869565217395</v>
      </c>
      <c r="R242" t="s">
        <v>60</v>
      </c>
      <c r="S242" t="s">
        <v>911</v>
      </c>
      <c r="T242" t="s">
        <v>912</v>
      </c>
      <c r="U242" t="b">
        <v>1</v>
      </c>
      <c r="V242" t="s">
        <v>63</v>
      </c>
      <c r="W242">
        <v>4.2</v>
      </c>
    </row>
    <row r="243" spans="1:23" hidden="1" x14ac:dyDescent="0.3">
      <c r="A243" t="s">
        <v>52</v>
      </c>
      <c r="B243" t="s">
        <v>53</v>
      </c>
      <c r="C243" t="s">
        <v>17</v>
      </c>
      <c r="D243" t="s">
        <v>22</v>
      </c>
      <c r="E243" t="s">
        <v>23</v>
      </c>
      <c r="F243" t="s">
        <v>54</v>
      </c>
      <c r="G243" t="s">
        <v>64</v>
      </c>
      <c r="H243" t="s">
        <v>56</v>
      </c>
      <c r="I243" t="s">
        <v>7</v>
      </c>
      <c r="J243" t="s">
        <v>65</v>
      </c>
      <c r="K243" t="s">
        <v>66</v>
      </c>
      <c r="L243" t="s">
        <v>59</v>
      </c>
      <c r="M243">
        <v>43</v>
      </c>
      <c r="N243" t="b">
        <v>1</v>
      </c>
      <c r="O243">
        <v>0.73094170403587444</v>
      </c>
      <c r="P243">
        <v>0.75462962962962965</v>
      </c>
      <c r="Q243">
        <v>0.70869565217391306</v>
      </c>
      <c r="R243" t="s">
        <v>60</v>
      </c>
      <c r="S243" t="s">
        <v>913</v>
      </c>
      <c r="T243" t="s">
        <v>914</v>
      </c>
      <c r="U243" t="b">
        <v>1</v>
      </c>
      <c r="V243" t="s">
        <v>63</v>
      </c>
      <c r="W243">
        <v>2.2999999999999998</v>
      </c>
    </row>
    <row r="244" spans="1:23" hidden="1" x14ac:dyDescent="0.3">
      <c r="A244" t="s">
        <v>52</v>
      </c>
      <c r="B244" t="s">
        <v>53</v>
      </c>
      <c r="C244" t="s">
        <v>17</v>
      </c>
      <c r="D244" t="s">
        <v>22</v>
      </c>
      <c r="E244" t="s">
        <v>23</v>
      </c>
      <c r="F244" t="s">
        <v>54</v>
      </c>
      <c r="G244" t="s">
        <v>69</v>
      </c>
      <c r="H244" t="s">
        <v>56</v>
      </c>
      <c r="I244" t="s">
        <v>7</v>
      </c>
      <c r="J244" t="s">
        <v>70</v>
      </c>
      <c r="K244" t="s">
        <v>71</v>
      </c>
      <c r="L244" t="s">
        <v>59</v>
      </c>
      <c r="M244">
        <v>44</v>
      </c>
      <c r="N244" t="b">
        <v>1</v>
      </c>
      <c r="O244">
        <v>0.71102661596958183</v>
      </c>
      <c r="P244">
        <v>0.6317567567567568</v>
      </c>
      <c r="Q244">
        <v>0.81304347826086953</v>
      </c>
      <c r="R244" t="s">
        <v>60</v>
      </c>
      <c r="S244" t="s">
        <v>915</v>
      </c>
      <c r="T244" t="s">
        <v>916</v>
      </c>
      <c r="U244" t="b">
        <v>1</v>
      </c>
      <c r="V244" t="s">
        <v>63</v>
      </c>
      <c r="W244">
        <v>1.9</v>
      </c>
    </row>
    <row r="245" spans="1:23" hidden="1" x14ac:dyDescent="0.3">
      <c r="A245" t="s">
        <v>52</v>
      </c>
      <c r="B245" t="s">
        <v>53</v>
      </c>
      <c r="C245" t="s">
        <v>17</v>
      </c>
      <c r="D245" t="s">
        <v>22</v>
      </c>
      <c r="E245" t="s">
        <v>23</v>
      </c>
      <c r="F245" t="s">
        <v>54</v>
      </c>
      <c r="G245" t="s">
        <v>74</v>
      </c>
      <c r="H245" t="s">
        <v>56</v>
      </c>
      <c r="I245" t="s">
        <v>7</v>
      </c>
      <c r="J245" t="s">
        <v>75</v>
      </c>
      <c r="K245" t="s">
        <v>76</v>
      </c>
      <c r="L245" t="s">
        <v>59</v>
      </c>
      <c r="M245">
        <v>45</v>
      </c>
      <c r="N245" t="b">
        <v>1</v>
      </c>
      <c r="O245">
        <v>0.73572938689217759</v>
      </c>
      <c r="P245">
        <v>0.71604938271604934</v>
      </c>
      <c r="Q245">
        <v>0.75652173913043474</v>
      </c>
      <c r="R245" t="s">
        <v>60</v>
      </c>
      <c r="S245" t="s">
        <v>917</v>
      </c>
      <c r="T245" t="s">
        <v>918</v>
      </c>
      <c r="U245" t="b">
        <v>1</v>
      </c>
      <c r="V245" t="s">
        <v>63</v>
      </c>
      <c r="W245">
        <v>2.4</v>
      </c>
    </row>
    <row r="246" spans="1:23" hidden="1" x14ac:dyDescent="0.3">
      <c r="A246" t="s">
        <v>52</v>
      </c>
      <c r="B246" t="s">
        <v>53</v>
      </c>
      <c r="C246" t="s">
        <v>17</v>
      </c>
      <c r="D246" t="s">
        <v>22</v>
      </c>
      <c r="E246" t="s">
        <v>23</v>
      </c>
      <c r="F246" t="s">
        <v>54</v>
      </c>
      <c r="G246" t="s">
        <v>79</v>
      </c>
      <c r="H246" t="s">
        <v>56</v>
      </c>
      <c r="I246" t="s">
        <v>7</v>
      </c>
      <c r="J246" t="s">
        <v>80</v>
      </c>
      <c r="K246" t="s">
        <v>81</v>
      </c>
      <c r="L246" t="s">
        <v>59</v>
      </c>
      <c r="M246">
        <v>46</v>
      </c>
      <c r="N246" t="b">
        <v>1</v>
      </c>
      <c r="O246">
        <v>0.70315789473684209</v>
      </c>
      <c r="P246">
        <v>0.68163265306122445</v>
      </c>
      <c r="Q246">
        <v>0.72608695652173916</v>
      </c>
      <c r="R246" t="s">
        <v>60</v>
      </c>
      <c r="S246" t="s">
        <v>919</v>
      </c>
      <c r="T246" t="s">
        <v>920</v>
      </c>
      <c r="U246" t="b">
        <v>1</v>
      </c>
      <c r="V246" t="s">
        <v>63</v>
      </c>
      <c r="W246">
        <v>2.2999999999999998</v>
      </c>
    </row>
    <row r="247" spans="1:23" hidden="1" x14ac:dyDescent="0.3">
      <c r="A247" t="s">
        <v>52</v>
      </c>
      <c r="B247" t="s">
        <v>53</v>
      </c>
      <c r="C247" t="s">
        <v>17</v>
      </c>
      <c r="D247" t="s">
        <v>22</v>
      </c>
      <c r="E247" t="s">
        <v>23</v>
      </c>
      <c r="F247" t="s">
        <v>54</v>
      </c>
      <c r="G247" t="s">
        <v>84</v>
      </c>
      <c r="H247" t="s">
        <v>56</v>
      </c>
      <c r="I247" t="s">
        <v>7</v>
      </c>
      <c r="J247" t="s">
        <v>85</v>
      </c>
      <c r="K247" t="s">
        <v>86</v>
      </c>
      <c r="L247" t="s">
        <v>59</v>
      </c>
      <c r="M247">
        <v>47</v>
      </c>
      <c r="N247" t="b">
        <v>1</v>
      </c>
      <c r="O247">
        <v>0.76050420168067223</v>
      </c>
      <c r="P247">
        <v>0.73577235772357719</v>
      </c>
      <c r="Q247">
        <v>0.78695652173913044</v>
      </c>
      <c r="R247" t="s">
        <v>60</v>
      </c>
      <c r="S247" t="s">
        <v>921</v>
      </c>
      <c r="T247" t="s">
        <v>922</v>
      </c>
      <c r="U247" t="b">
        <v>1</v>
      </c>
      <c r="V247" t="s">
        <v>63</v>
      </c>
      <c r="W247">
        <v>1.4</v>
      </c>
    </row>
    <row r="248" spans="1:23" hidden="1" x14ac:dyDescent="0.3">
      <c r="A248" t="s">
        <v>52</v>
      </c>
      <c r="B248" t="s">
        <v>53</v>
      </c>
      <c r="C248" t="s">
        <v>17</v>
      </c>
      <c r="D248" t="s">
        <v>22</v>
      </c>
      <c r="E248" t="s">
        <v>23</v>
      </c>
      <c r="F248" t="s">
        <v>54</v>
      </c>
      <c r="G248" t="s">
        <v>89</v>
      </c>
      <c r="H248" t="s">
        <v>56</v>
      </c>
      <c r="I248" t="s">
        <v>7</v>
      </c>
      <c r="J248" t="s">
        <v>90</v>
      </c>
      <c r="K248" t="s">
        <v>91</v>
      </c>
      <c r="L248" t="s">
        <v>59</v>
      </c>
      <c r="M248">
        <v>48</v>
      </c>
      <c r="N248" t="b">
        <v>1</v>
      </c>
      <c r="O248">
        <v>0.73903966597077242</v>
      </c>
      <c r="P248">
        <v>0.71084337349397586</v>
      </c>
      <c r="Q248">
        <v>0.76956521739130435</v>
      </c>
      <c r="R248" t="s">
        <v>60</v>
      </c>
      <c r="S248" t="s">
        <v>923</v>
      </c>
      <c r="T248" t="s">
        <v>924</v>
      </c>
      <c r="U248" t="b">
        <v>1</v>
      </c>
      <c r="V248" t="s">
        <v>63</v>
      </c>
      <c r="W248">
        <v>1.4</v>
      </c>
    </row>
    <row r="249" spans="1:23" hidden="1" x14ac:dyDescent="0.3">
      <c r="A249" t="s">
        <v>52</v>
      </c>
      <c r="B249" t="s">
        <v>53</v>
      </c>
      <c r="C249" t="s">
        <v>17</v>
      </c>
      <c r="D249" t="s">
        <v>22</v>
      </c>
      <c r="E249" t="s">
        <v>23</v>
      </c>
      <c r="F249" t="s">
        <v>54</v>
      </c>
      <c r="G249" t="s">
        <v>94</v>
      </c>
      <c r="H249" t="s">
        <v>56</v>
      </c>
      <c r="I249" t="s">
        <v>7</v>
      </c>
      <c r="J249" t="s">
        <v>95</v>
      </c>
      <c r="K249" t="s">
        <v>96</v>
      </c>
      <c r="L249" t="s">
        <v>59</v>
      </c>
      <c r="M249">
        <v>49</v>
      </c>
      <c r="N249" t="b">
        <v>1</v>
      </c>
      <c r="O249">
        <v>0.74166666666666659</v>
      </c>
      <c r="P249">
        <v>0.71199999999999997</v>
      </c>
      <c r="Q249">
        <v>0.77391304347826084</v>
      </c>
      <c r="R249" t="s">
        <v>60</v>
      </c>
      <c r="S249" t="s">
        <v>925</v>
      </c>
      <c r="T249" t="s">
        <v>926</v>
      </c>
      <c r="U249" t="b">
        <v>1</v>
      </c>
      <c r="V249" t="s">
        <v>63</v>
      </c>
      <c r="W249">
        <v>1.4</v>
      </c>
    </row>
    <row r="250" spans="1:23" hidden="1" x14ac:dyDescent="0.3">
      <c r="A250" t="s">
        <v>52</v>
      </c>
      <c r="B250" t="s">
        <v>53</v>
      </c>
      <c r="C250" t="s">
        <v>17</v>
      </c>
      <c r="D250" t="s">
        <v>22</v>
      </c>
      <c r="E250" t="s">
        <v>23</v>
      </c>
      <c r="F250" t="s">
        <v>54</v>
      </c>
      <c r="G250" t="s">
        <v>99</v>
      </c>
      <c r="H250" t="s">
        <v>56</v>
      </c>
      <c r="I250" t="s">
        <v>7</v>
      </c>
      <c r="J250" t="s">
        <v>100</v>
      </c>
      <c r="K250" t="s">
        <v>101</v>
      </c>
      <c r="L250" t="s">
        <v>59</v>
      </c>
      <c r="M250">
        <v>50</v>
      </c>
      <c r="N250" t="b">
        <v>1</v>
      </c>
      <c r="O250">
        <v>0.75991649269311057</v>
      </c>
      <c r="P250">
        <v>0.73092369477911645</v>
      </c>
      <c r="Q250">
        <v>0.79130434782608694</v>
      </c>
      <c r="R250" t="s">
        <v>60</v>
      </c>
      <c r="S250" t="s">
        <v>927</v>
      </c>
      <c r="T250" t="s">
        <v>928</v>
      </c>
      <c r="U250" t="b">
        <v>1</v>
      </c>
      <c r="V250" t="s">
        <v>63</v>
      </c>
      <c r="W250">
        <v>1.4</v>
      </c>
    </row>
    <row r="251" spans="1:23" hidden="1" x14ac:dyDescent="0.3">
      <c r="A251" t="s">
        <v>52</v>
      </c>
      <c r="B251" t="s">
        <v>53</v>
      </c>
      <c r="C251" t="s">
        <v>17</v>
      </c>
      <c r="D251" t="s">
        <v>22</v>
      </c>
      <c r="E251" t="s">
        <v>23</v>
      </c>
      <c r="F251" t="s">
        <v>54</v>
      </c>
      <c r="G251" t="s">
        <v>104</v>
      </c>
      <c r="H251" t="s">
        <v>56</v>
      </c>
      <c r="I251" t="s">
        <v>7</v>
      </c>
      <c r="J251" t="s">
        <v>105</v>
      </c>
      <c r="K251" t="s">
        <v>106</v>
      </c>
      <c r="L251" t="s">
        <v>59</v>
      </c>
      <c r="M251">
        <v>51</v>
      </c>
      <c r="N251" t="b">
        <v>1</v>
      </c>
      <c r="O251">
        <v>0.71666666666666667</v>
      </c>
      <c r="P251">
        <v>0.68799999999999994</v>
      </c>
      <c r="Q251">
        <v>0.74782608695652175</v>
      </c>
      <c r="R251" t="s">
        <v>60</v>
      </c>
      <c r="S251" t="s">
        <v>929</v>
      </c>
      <c r="T251" t="s">
        <v>930</v>
      </c>
      <c r="U251" t="b">
        <v>1</v>
      </c>
      <c r="V251" t="s">
        <v>63</v>
      </c>
      <c r="W251">
        <v>1.8</v>
      </c>
    </row>
    <row r="252" spans="1:23" hidden="1" x14ac:dyDescent="0.3">
      <c r="A252" t="s">
        <v>52</v>
      </c>
      <c r="B252" t="s">
        <v>53</v>
      </c>
      <c r="C252" t="s">
        <v>17</v>
      </c>
      <c r="D252" t="s">
        <v>22</v>
      </c>
      <c r="E252" t="s">
        <v>23</v>
      </c>
      <c r="F252" t="s">
        <v>54</v>
      </c>
      <c r="G252" t="s">
        <v>109</v>
      </c>
      <c r="H252" t="s">
        <v>56</v>
      </c>
      <c r="I252" t="s">
        <v>7</v>
      </c>
      <c r="J252" t="s">
        <v>110</v>
      </c>
      <c r="K252" t="s">
        <v>111</v>
      </c>
      <c r="L252" t="s">
        <v>59</v>
      </c>
      <c r="M252">
        <v>52</v>
      </c>
      <c r="N252" t="b">
        <v>1</v>
      </c>
      <c r="O252">
        <v>0.72649572649572658</v>
      </c>
      <c r="P252">
        <v>0.7142857142857143</v>
      </c>
      <c r="Q252">
        <v>0.73913043478260865</v>
      </c>
      <c r="R252" t="s">
        <v>60</v>
      </c>
      <c r="S252" t="s">
        <v>931</v>
      </c>
      <c r="T252" t="s">
        <v>932</v>
      </c>
      <c r="U252" t="b">
        <v>1</v>
      </c>
      <c r="V252" t="s">
        <v>63</v>
      </c>
      <c r="W252">
        <v>1.6</v>
      </c>
    </row>
    <row r="253" spans="1:23" hidden="1" x14ac:dyDescent="0.3">
      <c r="A253" t="s">
        <v>52</v>
      </c>
      <c r="B253" t="s">
        <v>53</v>
      </c>
      <c r="C253" t="s">
        <v>17</v>
      </c>
      <c r="D253" t="s">
        <v>22</v>
      </c>
      <c r="E253" t="s">
        <v>23</v>
      </c>
      <c r="F253" t="s">
        <v>54</v>
      </c>
      <c r="G253" t="s">
        <v>114</v>
      </c>
      <c r="H253" t="s">
        <v>56</v>
      </c>
      <c r="I253" t="s">
        <v>7</v>
      </c>
      <c r="J253" t="s">
        <v>115</v>
      </c>
      <c r="K253" t="s">
        <v>116</v>
      </c>
      <c r="L253" t="s">
        <v>59</v>
      </c>
      <c r="M253">
        <v>53</v>
      </c>
      <c r="N253" t="b">
        <v>1</v>
      </c>
      <c r="O253">
        <v>0.74633123689727465</v>
      </c>
      <c r="P253">
        <v>0.72064777327935226</v>
      </c>
      <c r="Q253">
        <v>0.77391304347826084</v>
      </c>
      <c r="R253" t="s">
        <v>60</v>
      </c>
      <c r="S253" t="s">
        <v>933</v>
      </c>
      <c r="T253" t="s">
        <v>934</v>
      </c>
      <c r="U253" t="b">
        <v>1</v>
      </c>
      <c r="V253" t="s">
        <v>63</v>
      </c>
      <c r="W253">
        <v>1.3</v>
      </c>
    </row>
    <row r="254" spans="1:23" hidden="1" x14ac:dyDescent="0.3">
      <c r="A254" t="s">
        <v>52</v>
      </c>
      <c r="B254" t="s">
        <v>53</v>
      </c>
      <c r="C254" t="s">
        <v>17</v>
      </c>
      <c r="D254" t="s">
        <v>22</v>
      </c>
      <c r="E254" t="s">
        <v>23</v>
      </c>
      <c r="F254" t="s">
        <v>54</v>
      </c>
      <c r="G254" t="s">
        <v>119</v>
      </c>
      <c r="H254" t="s">
        <v>56</v>
      </c>
      <c r="I254" t="s">
        <v>7</v>
      </c>
      <c r="J254" t="s">
        <v>120</v>
      </c>
      <c r="K254" t="s">
        <v>121</v>
      </c>
      <c r="L254" t="s">
        <v>59</v>
      </c>
      <c r="M254">
        <v>54</v>
      </c>
      <c r="N254" t="b">
        <v>1</v>
      </c>
      <c r="O254">
        <v>0.7463917525773196</v>
      </c>
      <c r="P254">
        <v>0.70980392156862748</v>
      </c>
      <c r="Q254">
        <v>0.78695652173913044</v>
      </c>
      <c r="R254" t="s">
        <v>60</v>
      </c>
      <c r="S254" t="s">
        <v>935</v>
      </c>
      <c r="T254" t="s">
        <v>936</v>
      </c>
      <c r="U254" t="b">
        <v>1</v>
      </c>
      <c r="V254" t="s">
        <v>63</v>
      </c>
      <c r="W254">
        <v>1.5</v>
      </c>
    </row>
    <row r="255" spans="1:23" hidden="1" x14ac:dyDescent="0.3">
      <c r="A255" t="s">
        <v>52</v>
      </c>
      <c r="B255" t="s">
        <v>53</v>
      </c>
      <c r="C255" t="s">
        <v>17</v>
      </c>
      <c r="D255" t="s">
        <v>22</v>
      </c>
      <c r="E255" t="s">
        <v>23</v>
      </c>
      <c r="F255" t="s">
        <v>54</v>
      </c>
      <c r="G255" t="s">
        <v>124</v>
      </c>
      <c r="H255" t="s">
        <v>56</v>
      </c>
      <c r="I255" t="s">
        <v>7</v>
      </c>
      <c r="J255" t="s">
        <v>125</v>
      </c>
      <c r="K255" t="s">
        <v>126</v>
      </c>
      <c r="L255" t="s">
        <v>59</v>
      </c>
      <c r="M255">
        <v>55</v>
      </c>
      <c r="N255" t="b">
        <v>1</v>
      </c>
      <c r="O255">
        <v>0.71308016877637137</v>
      </c>
      <c r="P255">
        <v>0.69262295081967218</v>
      </c>
      <c r="Q255">
        <v>0.73478260869565215</v>
      </c>
      <c r="R255" t="s">
        <v>60</v>
      </c>
      <c r="S255" t="s">
        <v>937</v>
      </c>
      <c r="T255" t="s">
        <v>938</v>
      </c>
      <c r="U255" t="b">
        <v>1</v>
      </c>
      <c r="V255" t="s">
        <v>63</v>
      </c>
      <c r="W255">
        <v>1.4</v>
      </c>
    </row>
    <row r="256" spans="1:23" hidden="1" x14ac:dyDescent="0.3">
      <c r="A256" t="s">
        <v>52</v>
      </c>
      <c r="B256" t="s">
        <v>53</v>
      </c>
      <c r="C256" t="s">
        <v>17</v>
      </c>
      <c r="D256" t="s">
        <v>22</v>
      </c>
      <c r="E256" t="s">
        <v>23</v>
      </c>
      <c r="F256" t="s">
        <v>54</v>
      </c>
      <c r="G256" t="s">
        <v>129</v>
      </c>
      <c r="H256" t="s">
        <v>56</v>
      </c>
      <c r="I256" t="s">
        <v>7</v>
      </c>
      <c r="J256" t="s">
        <v>130</v>
      </c>
      <c r="K256" t="s">
        <v>131</v>
      </c>
      <c r="L256" t="s">
        <v>59</v>
      </c>
      <c r="M256">
        <v>56</v>
      </c>
      <c r="N256" t="b">
        <v>1</v>
      </c>
      <c r="O256">
        <v>0.71052631578947378</v>
      </c>
      <c r="P256">
        <v>0.6258278145695364</v>
      </c>
      <c r="Q256">
        <v>0.82173913043478264</v>
      </c>
      <c r="R256" t="s">
        <v>60</v>
      </c>
      <c r="S256" t="s">
        <v>939</v>
      </c>
      <c r="T256" t="s">
        <v>940</v>
      </c>
      <c r="U256" t="b">
        <v>1</v>
      </c>
      <c r="V256" t="s">
        <v>63</v>
      </c>
      <c r="W256">
        <v>1.4</v>
      </c>
    </row>
    <row r="257" spans="1:23" hidden="1" x14ac:dyDescent="0.3">
      <c r="A257" t="s">
        <v>52</v>
      </c>
      <c r="B257" t="s">
        <v>53</v>
      </c>
      <c r="C257" t="s">
        <v>17</v>
      </c>
      <c r="D257" t="s">
        <v>22</v>
      </c>
      <c r="E257" t="s">
        <v>23</v>
      </c>
      <c r="F257" t="s">
        <v>54</v>
      </c>
      <c r="G257" t="s">
        <v>134</v>
      </c>
      <c r="H257" t="s">
        <v>56</v>
      </c>
      <c r="I257" t="s">
        <v>7</v>
      </c>
      <c r="J257" t="s">
        <v>135</v>
      </c>
      <c r="K257" t="s">
        <v>136</v>
      </c>
      <c r="L257" t="s">
        <v>59</v>
      </c>
      <c r="M257">
        <v>57</v>
      </c>
      <c r="N257" t="b">
        <v>1</v>
      </c>
      <c r="O257">
        <v>0.78189300411522633</v>
      </c>
      <c r="P257">
        <v>0.7421875</v>
      </c>
      <c r="Q257">
        <v>0.82608695652173914</v>
      </c>
      <c r="R257" t="s">
        <v>60</v>
      </c>
      <c r="S257" t="s">
        <v>941</v>
      </c>
      <c r="T257" t="s">
        <v>942</v>
      </c>
      <c r="U257" t="b">
        <v>1</v>
      </c>
      <c r="V257" t="s">
        <v>63</v>
      </c>
      <c r="W257">
        <v>2</v>
      </c>
    </row>
    <row r="258" spans="1:23" hidden="1" x14ac:dyDescent="0.3">
      <c r="A258" t="s">
        <v>52</v>
      </c>
      <c r="B258" t="s">
        <v>53</v>
      </c>
      <c r="C258" t="s">
        <v>17</v>
      </c>
      <c r="D258" t="s">
        <v>22</v>
      </c>
      <c r="E258" t="s">
        <v>23</v>
      </c>
      <c r="F258" t="s">
        <v>54</v>
      </c>
      <c r="G258" t="s">
        <v>139</v>
      </c>
      <c r="H258" t="s">
        <v>56</v>
      </c>
      <c r="I258" t="s">
        <v>7</v>
      </c>
      <c r="J258" t="s">
        <v>140</v>
      </c>
      <c r="K258" t="s">
        <v>141</v>
      </c>
      <c r="L258" t="s">
        <v>59</v>
      </c>
      <c r="M258">
        <v>58</v>
      </c>
      <c r="N258" t="b">
        <v>1</v>
      </c>
      <c r="O258">
        <v>0.7777777777777779</v>
      </c>
      <c r="P258">
        <v>0.73828125</v>
      </c>
      <c r="Q258">
        <v>0.82173913043478264</v>
      </c>
      <c r="R258" t="s">
        <v>60</v>
      </c>
      <c r="S258" t="s">
        <v>943</v>
      </c>
      <c r="T258" t="s">
        <v>944</v>
      </c>
      <c r="U258" t="b">
        <v>1</v>
      </c>
      <c r="V258" t="s">
        <v>63</v>
      </c>
      <c r="W258">
        <v>1.4</v>
      </c>
    </row>
    <row r="259" spans="1:23" hidden="1" x14ac:dyDescent="0.3">
      <c r="A259" t="s">
        <v>52</v>
      </c>
      <c r="B259" t="s">
        <v>53</v>
      </c>
      <c r="C259" t="s">
        <v>17</v>
      </c>
      <c r="D259" t="s">
        <v>22</v>
      </c>
      <c r="E259" t="s">
        <v>23</v>
      </c>
      <c r="F259" t="s">
        <v>54</v>
      </c>
      <c r="G259" t="s">
        <v>144</v>
      </c>
      <c r="H259" t="s">
        <v>56</v>
      </c>
      <c r="I259" t="s">
        <v>7</v>
      </c>
      <c r="J259" t="s">
        <v>145</v>
      </c>
      <c r="K259" t="s">
        <v>146</v>
      </c>
      <c r="L259" t="s">
        <v>59</v>
      </c>
      <c r="M259">
        <v>59</v>
      </c>
      <c r="N259" t="b">
        <v>1</v>
      </c>
      <c r="O259">
        <v>0.77018633540372661</v>
      </c>
      <c r="P259">
        <v>0.7351778656126482</v>
      </c>
      <c r="Q259">
        <v>0.80869565217391304</v>
      </c>
      <c r="R259" t="s">
        <v>60</v>
      </c>
      <c r="S259" t="s">
        <v>945</v>
      </c>
      <c r="T259" t="s">
        <v>946</v>
      </c>
      <c r="U259" t="b">
        <v>1</v>
      </c>
      <c r="V259" t="s">
        <v>63</v>
      </c>
      <c r="W259">
        <v>1.4</v>
      </c>
    </row>
    <row r="260" spans="1:23" hidden="1" x14ac:dyDescent="0.3">
      <c r="A260" t="s">
        <v>52</v>
      </c>
      <c r="B260" t="s">
        <v>53</v>
      </c>
      <c r="C260" t="s">
        <v>17</v>
      </c>
      <c r="D260" t="s">
        <v>22</v>
      </c>
      <c r="E260" t="s">
        <v>23</v>
      </c>
      <c r="F260" t="s">
        <v>54</v>
      </c>
      <c r="G260" t="s">
        <v>149</v>
      </c>
      <c r="H260" t="s">
        <v>56</v>
      </c>
      <c r="I260" t="s">
        <v>7</v>
      </c>
      <c r="J260" t="s">
        <v>150</v>
      </c>
      <c r="K260" t="s">
        <v>151</v>
      </c>
      <c r="L260" t="s">
        <v>59</v>
      </c>
      <c r="M260">
        <v>60</v>
      </c>
      <c r="N260" t="b">
        <v>1</v>
      </c>
      <c r="O260">
        <v>0.70661157024793397</v>
      </c>
      <c r="P260">
        <v>0.67322834645669294</v>
      </c>
      <c r="Q260">
        <v>0.74347826086956526</v>
      </c>
      <c r="R260" t="s">
        <v>60</v>
      </c>
      <c r="S260" t="s">
        <v>947</v>
      </c>
      <c r="T260" t="s">
        <v>948</v>
      </c>
      <c r="U260" t="b">
        <v>1</v>
      </c>
      <c r="V260" t="s">
        <v>63</v>
      </c>
      <c r="W260">
        <v>1.4</v>
      </c>
    </row>
    <row r="261" spans="1:23" hidden="1" x14ac:dyDescent="0.3">
      <c r="A261" t="s">
        <v>52</v>
      </c>
      <c r="B261" t="s">
        <v>53</v>
      </c>
      <c r="C261" t="s">
        <v>17</v>
      </c>
      <c r="D261" t="s">
        <v>22</v>
      </c>
      <c r="E261" t="s">
        <v>23</v>
      </c>
      <c r="F261" t="s">
        <v>54</v>
      </c>
      <c r="G261" t="s">
        <v>154</v>
      </c>
      <c r="H261" t="s">
        <v>56</v>
      </c>
      <c r="I261" t="s">
        <v>7</v>
      </c>
      <c r="J261" t="s">
        <v>155</v>
      </c>
      <c r="K261" t="s">
        <v>156</v>
      </c>
      <c r="L261" t="s">
        <v>59</v>
      </c>
      <c r="M261">
        <v>61</v>
      </c>
      <c r="N261" t="b">
        <v>1</v>
      </c>
      <c r="O261">
        <v>0.71933471933471926</v>
      </c>
      <c r="P261">
        <v>0.68924302788844627</v>
      </c>
      <c r="Q261">
        <v>0.75217391304347825</v>
      </c>
      <c r="R261" t="s">
        <v>60</v>
      </c>
      <c r="S261" t="s">
        <v>949</v>
      </c>
      <c r="T261" t="s">
        <v>950</v>
      </c>
      <c r="U261" t="b">
        <v>1</v>
      </c>
      <c r="V261" t="s">
        <v>63</v>
      </c>
      <c r="W261">
        <v>1.4</v>
      </c>
    </row>
    <row r="262" spans="1:23" hidden="1" x14ac:dyDescent="0.3">
      <c r="A262" t="s">
        <v>52</v>
      </c>
      <c r="B262" t="s">
        <v>53</v>
      </c>
      <c r="C262" t="s">
        <v>17</v>
      </c>
      <c r="D262" t="s">
        <v>22</v>
      </c>
      <c r="E262" t="s">
        <v>23</v>
      </c>
      <c r="F262" t="s">
        <v>54</v>
      </c>
      <c r="G262" t="s">
        <v>159</v>
      </c>
      <c r="H262" t="s">
        <v>160</v>
      </c>
      <c r="I262" t="s">
        <v>3</v>
      </c>
      <c r="J262" t="s">
        <v>161</v>
      </c>
      <c r="K262" t="s">
        <v>162</v>
      </c>
      <c r="L262" t="s">
        <v>163</v>
      </c>
      <c r="M262">
        <v>42</v>
      </c>
      <c r="N262" t="b">
        <v>0</v>
      </c>
      <c r="O262">
        <v>0.71823204419889486</v>
      </c>
      <c r="P262">
        <v>0.67357512953367871</v>
      </c>
      <c r="Q262">
        <v>0.76923076923076927</v>
      </c>
      <c r="R262" t="s">
        <v>60</v>
      </c>
      <c r="S262" t="s">
        <v>951</v>
      </c>
      <c r="T262" t="s">
        <v>952</v>
      </c>
      <c r="U262" t="b">
        <v>1</v>
      </c>
      <c r="V262" t="s">
        <v>63</v>
      </c>
      <c r="W262">
        <v>1.3</v>
      </c>
    </row>
    <row r="263" spans="1:23" hidden="1" x14ac:dyDescent="0.3">
      <c r="A263" t="s">
        <v>52</v>
      </c>
      <c r="B263" t="s">
        <v>53</v>
      </c>
      <c r="C263" t="s">
        <v>17</v>
      </c>
      <c r="D263" t="s">
        <v>22</v>
      </c>
      <c r="E263" t="s">
        <v>23</v>
      </c>
      <c r="F263" t="s">
        <v>54</v>
      </c>
      <c r="G263" t="s">
        <v>166</v>
      </c>
      <c r="H263" t="s">
        <v>160</v>
      </c>
      <c r="I263" t="s">
        <v>3</v>
      </c>
      <c r="J263" t="s">
        <v>167</v>
      </c>
      <c r="K263" t="s">
        <v>168</v>
      </c>
      <c r="L263" t="s">
        <v>163</v>
      </c>
      <c r="M263">
        <v>43</v>
      </c>
      <c r="N263" t="b">
        <v>0</v>
      </c>
      <c r="O263">
        <v>0.74193548387096764</v>
      </c>
      <c r="P263">
        <v>0.67980295566502458</v>
      </c>
      <c r="Q263">
        <v>0.81656804733727806</v>
      </c>
      <c r="R263" t="s">
        <v>60</v>
      </c>
      <c r="S263" t="s">
        <v>953</v>
      </c>
      <c r="T263" t="s">
        <v>954</v>
      </c>
      <c r="U263" t="b">
        <v>1</v>
      </c>
      <c r="V263" t="s">
        <v>63</v>
      </c>
      <c r="W263">
        <v>1.7</v>
      </c>
    </row>
    <row r="264" spans="1:23" hidden="1" x14ac:dyDescent="0.3">
      <c r="A264" t="s">
        <v>52</v>
      </c>
      <c r="B264" t="s">
        <v>53</v>
      </c>
      <c r="C264" t="s">
        <v>17</v>
      </c>
      <c r="D264" t="s">
        <v>22</v>
      </c>
      <c r="E264" t="s">
        <v>23</v>
      </c>
      <c r="F264" t="s">
        <v>54</v>
      </c>
      <c r="G264" t="s">
        <v>171</v>
      </c>
      <c r="H264" t="s">
        <v>160</v>
      </c>
      <c r="I264" t="s">
        <v>3</v>
      </c>
      <c r="J264" t="s">
        <v>172</v>
      </c>
      <c r="K264" t="s">
        <v>173</v>
      </c>
      <c r="L264" t="s">
        <v>163</v>
      </c>
      <c r="M264">
        <v>44</v>
      </c>
      <c r="N264" t="b">
        <v>0</v>
      </c>
      <c r="O264">
        <v>0.73802816901408441</v>
      </c>
      <c r="P264">
        <v>0.70430107526881724</v>
      </c>
      <c r="Q264">
        <v>0.7751479289940828</v>
      </c>
      <c r="R264" t="s">
        <v>60</v>
      </c>
      <c r="S264" t="s">
        <v>955</v>
      </c>
      <c r="T264" t="s">
        <v>956</v>
      </c>
      <c r="U264" t="b">
        <v>1</v>
      </c>
      <c r="V264" t="s">
        <v>63</v>
      </c>
      <c r="W264">
        <v>1.3</v>
      </c>
    </row>
    <row r="265" spans="1:23" hidden="1" x14ac:dyDescent="0.3">
      <c r="A265" t="s">
        <v>52</v>
      </c>
      <c r="B265" t="s">
        <v>53</v>
      </c>
      <c r="C265" t="s">
        <v>17</v>
      </c>
      <c r="D265" t="s">
        <v>22</v>
      </c>
      <c r="E265" t="s">
        <v>23</v>
      </c>
      <c r="F265" t="s">
        <v>54</v>
      </c>
      <c r="G265" t="s">
        <v>176</v>
      </c>
      <c r="H265" t="s">
        <v>160</v>
      </c>
      <c r="I265" t="s">
        <v>3</v>
      </c>
      <c r="J265" t="s">
        <v>177</v>
      </c>
      <c r="K265" t="s">
        <v>178</v>
      </c>
      <c r="L265" t="s">
        <v>163</v>
      </c>
      <c r="M265">
        <v>45</v>
      </c>
      <c r="N265" t="b">
        <v>0</v>
      </c>
      <c r="O265">
        <v>0.74054054054054053</v>
      </c>
      <c r="P265">
        <v>0.68159203980099503</v>
      </c>
      <c r="Q265">
        <v>0.81065088757396453</v>
      </c>
      <c r="R265" t="s">
        <v>60</v>
      </c>
      <c r="S265" t="s">
        <v>957</v>
      </c>
      <c r="T265" t="s">
        <v>958</v>
      </c>
      <c r="U265" t="b">
        <v>1</v>
      </c>
      <c r="V265" t="s">
        <v>63</v>
      </c>
      <c r="W265">
        <v>1.3</v>
      </c>
    </row>
    <row r="266" spans="1:23" hidden="1" x14ac:dyDescent="0.3">
      <c r="A266" t="s">
        <v>52</v>
      </c>
      <c r="B266" t="s">
        <v>53</v>
      </c>
      <c r="C266" t="s">
        <v>17</v>
      </c>
      <c r="D266" t="s">
        <v>22</v>
      </c>
      <c r="E266" t="s">
        <v>23</v>
      </c>
      <c r="F266" t="s">
        <v>54</v>
      </c>
      <c r="G266" t="s">
        <v>181</v>
      </c>
      <c r="H266" t="s">
        <v>160</v>
      </c>
      <c r="I266" t="s">
        <v>3</v>
      </c>
      <c r="J266" t="s">
        <v>182</v>
      </c>
      <c r="K266" t="s">
        <v>183</v>
      </c>
      <c r="L266" t="s">
        <v>163</v>
      </c>
      <c r="M266">
        <v>46</v>
      </c>
      <c r="N266" t="b">
        <v>0</v>
      </c>
      <c r="O266">
        <v>0.73854447439353099</v>
      </c>
      <c r="P266">
        <v>0.67821782178217827</v>
      </c>
      <c r="Q266">
        <v>0.81065088757396453</v>
      </c>
      <c r="R266" t="s">
        <v>60</v>
      </c>
      <c r="S266" t="s">
        <v>959</v>
      </c>
      <c r="T266" t="s">
        <v>960</v>
      </c>
      <c r="U266" t="b">
        <v>1</v>
      </c>
      <c r="V266" t="s">
        <v>63</v>
      </c>
      <c r="W266">
        <v>1.4</v>
      </c>
    </row>
    <row r="267" spans="1:23" hidden="1" x14ac:dyDescent="0.3">
      <c r="A267" t="s">
        <v>52</v>
      </c>
      <c r="B267" t="s">
        <v>53</v>
      </c>
      <c r="C267" t="s">
        <v>17</v>
      </c>
      <c r="D267" t="s">
        <v>22</v>
      </c>
      <c r="E267" t="s">
        <v>23</v>
      </c>
      <c r="F267" t="s">
        <v>54</v>
      </c>
      <c r="G267" t="s">
        <v>186</v>
      </c>
      <c r="H267" t="s">
        <v>160</v>
      </c>
      <c r="I267" t="s">
        <v>3</v>
      </c>
      <c r="J267" t="s">
        <v>187</v>
      </c>
      <c r="K267" t="s">
        <v>188</v>
      </c>
      <c r="L267" t="s">
        <v>163</v>
      </c>
      <c r="M267">
        <v>47</v>
      </c>
      <c r="N267" t="b">
        <v>0</v>
      </c>
      <c r="O267">
        <v>0.76243093922651928</v>
      </c>
      <c r="P267">
        <v>0.71502590673575128</v>
      </c>
      <c r="Q267">
        <v>0.81656804733727806</v>
      </c>
      <c r="R267" t="s">
        <v>60</v>
      </c>
      <c r="S267" t="s">
        <v>961</v>
      </c>
      <c r="T267" t="s">
        <v>962</v>
      </c>
      <c r="U267" t="b">
        <v>1</v>
      </c>
      <c r="V267" t="s">
        <v>63</v>
      </c>
      <c r="W267">
        <v>1.3</v>
      </c>
    </row>
    <row r="268" spans="1:23" hidden="1" x14ac:dyDescent="0.3">
      <c r="A268" t="s">
        <v>52</v>
      </c>
      <c r="B268" t="s">
        <v>53</v>
      </c>
      <c r="C268" t="s">
        <v>17</v>
      </c>
      <c r="D268" t="s">
        <v>22</v>
      </c>
      <c r="E268" t="s">
        <v>23</v>
      </c>
      <c r="F268" t="s">
        <v>54</v>
      </c>
      <c r="G268" t="s">
        <v>191</v>
      </c>
      <c r="H268" t="s">
        <v>160</v>
      </c>
      <c r="I268" t="s">
        <v>3</v>
      </c>
      <c r="J268" t="s">
        <v>192</v>
      </c>
      <c r="K268" t="s">
        <v>193</v>
      </c>
      <c r="L268" t="s">
        <v>163</v>
      </c>
      <c r="M268">
        <v>48</v>
      </c>
      <c r="N268" t="b">
        <v>0</v>
      </c>
      <c r="O268">
        <v>0.69662921348314599</v>
      </c>
      <c r="P268">
        <v>0.66310160427807485</v>
      </c>
      <c r="Q268">
        <v>0.73372781065088755</v>
      </c>
      <c r="R268" t="s">
        <v>60</v>
      </c>
      <c r="S268" t="s">
        <v>963</v>
      </c>
      <c r="T268" t="s">
        <v>964</v>
      </c>
      <c r="U268" t="b">
        <v>1</v>
      </c>
      <c r="V268" t="s">
        <v>63</v>
      </c>
      <c r="W268">
        <v>1.3</v>
      </c>
    </row>
    <row r="269" spans="1:23" hidden="1" x14ac:dyDescent="0.3">
      <c r="A269" t="s">
        <v>52</v>
      </c>
      <c r="B269" t="s">
        <v>53</v>
      </c>
      <c r="C269" t="s">
        <v>17</v>
      </c>
      <c r="D269" t="s">
        <v>22</v>
      </c>
      <c r="E269" t="s">
        <v>23</v>
      </c>
      <c r="F269" t="s">
        <v>54</v>
      </c>
      <c r="G269" t="s">
        <v>196</v>
      </c>
      <c r="H269" t="s">
        <v>160</v>
      </c>
      <c r="I269" t="s">
        <v>3</v>
      </c>
      <c r="J269" t="s">
        <v>197</v>
      </c>
      <c r="K269" t="s">
        <v>198</v>
      </c>
      <c r="L269" t="s">
        <v>163</v>
      </c>
      <c r="M269">
        <v>49</v>
      </c>
      <c r="N269" t="b">
        <v>0</v>
      </c>
      <c r="O269">
        <v>0.75900277008310246</v>
      </c>
      <c r="P269">
        <v>0.71354166666666663</v>
      </c>
      <c r="Q269">
        <v>0.81065088757396453</v>
      </c>
      <c r="R269" t="s">
        <v>60</v>
      </c>
      <c r="S269" t="s">
        <v>965</v>
      </c>
      <c r="T269" t="s">
        <v>966</v>
      </c>
      <c r="U269" t="b">
        <v>1</v>
      </c>
      <c r="V269" t="s">
        <v>63</v>
      </c>
      <c r="W269">
        <v>1.3</v>
      </c>
    </row>
    <row r="270" spans="1:23" hidden="1" x14ac:dyDescent="0.3">
      <c r="A270" t="s">
        <v>52</v>
      </c>
      <c r="B270" t="s">
        <v>53</v>
      </c>
      <c r="C270" t="s">
        <v>17</v>
      </c>
      <c r="D270" t="s">
        <v>22</v>
      </c>
      <c r="E270" t="s">
        <v>23</v>
      </c>
      <c r="F270" t="s">
        <v>54</v>
      </c>
      <c r="G270" t="s">
        <v>201</v>
      </c>
      <c r="H270" t="s">
        <v>160</v>
      </c>
      <c r="I270" t="s">
        <v>3</v>
      </c>
      <c r="J270" t="s">
        <v>202</v>
      </c>
      <c r="K270" t="s">
        <v>203</v>
      </c>
      <c r="L270" t="s">
        <v>163</v>
      </c>
      <c r="M270">
        <v>50</v>
      </c>
      <c r="N270" t="b">
        <v>0</v>
      </c>
      <c r="O270">
        <v>0.72571428571428576</v>
      </c>
      <c r="P270">
        <v>0.7016574585635359</v>
      </c>
      <c r="Q270">
        <v>0.75147928994082835</v>
      </c>
      <c r="R270" t="s">
        <v>60</v>
      </c>
      <c r="S270" t="s">
        <v>967</v>
      </c>
      <c r="T270" t="s">
        <v>968</v>
      </c>
      <c r="U270" t="b">
        <v>1</v>
      </c>
      <c r="V270" t="s">
        <v>63</v>
      </c>
      <c r="W270">
        <v>1.7</v>
      </c>
    </row>
    <row r="271" spans="1:23" hidden="1" x14ac:dyDescent="0.3">
      <c r="A271" t="s">
        <v>52</v>
      </c>
      <c r="B271" t="s">
        <v>53</v>
      </c>
      <c r="C271" t="s">
        <v>17</v>
      </c>
      <c r="D271" t="s">
        <v>22</v>
      </c>
      <c r="E271" t="s">
        <v>23</v>
      </c>
      <c r="F271" t="s">
        <v>54</v>
      </c>
      <c r="G271" t="s">
        <v>206</v>
      </c>
      <c r="H271" t="s">
        <v>160</v>
      </c>
      <c r="I271" t="s">
        <v>3</v>
      </c>
      <c r="J271" t="s">
        <v>207</v>
      </c>
      <c r="K271" t="s">
        <v>208</v>
      </c>
      <c r="L271" t="s">
        <v>163</v>
      </c>
      <c r="M271">
        <v>51</v>
      </c>
      <c r="N271" t="b">
        <v>0</v>
      </c>
      <c r="O271">
        <v>0.70430107526881713</v>
      </c>
      <c r="P271">
        <v>0.64532019704433496</v>
      </c>
      <c r="Q271">
        <v>0.7751479289940828</v>
      </c>
      <c r="R271" t="s">
        <v>60</v>
      </c>
      <c r="S271" t="s">
        <v>969</v>
      </c>
      <c r="T271" t="s">
        <v>970</v>
      </c>
      <c r="U271" t="b">
        <v>1</v>
      </c>
      <c r="V271" t="s">
        <v>63</v>
      </c>
      <c r="W271">
        <v>1.3</v>
      </c>
    </row>
    <row r="272" spans="1:23" hidden="1" x14ac:dyDescent="0.3">
      <c r="A272" t="s">
        <v>52</v>
      </c>
      <c r="B272" t="s">
        <v>53</v>
      </c>
      <c r="C272" t="s">
        <v>17</v>
      </c>
      <c r="D272" t="s">
        <v>22</v>
      </c>
      <c r="E272" t="s">
        <v>23</v>
      </c>
      <c r="F272" t="s">
        <v>54</v>
      </c>
      <c r="G272" t="s">
        <v>211</v>
      </c>
      <c r="H272" t="s">
        <v>160</v>
      </c>
      <c r="I272" t="s">
        <v>3</v>
      </c>
      <c r="J272" t="s">
        <v>212</v>
      </c>
      <c r="K272" t="s">
        <v>213</v>
      </c>
      <c r="L272" t="s">
        <v>163</v>
      </c>
      <c r="M272">
        <v>52</v>
      </c>
      <c r="N272" t="b">
        <v>0</v>
      </c>
      <c r="O272">
        <v>0.72776280323450138</v>
      </c>
      <c r="P272">
        <v>0.66831683168316836</v>
      </c>
      <c r="Q272">
        <v>0.79881656804733725</v>
      </c>
      <c r="R272" t="s">
        <v>60</v>
      </c>
      <c r="S272" t="s">
        <v>971</v>
      </c>
      <c r="T272" t="s">
        <v>972</v>
      </c>
      <c r="U272" t="b">
        <v>1</v>
      </c>
      <c r="V272" t="s">
        <v>63</v>
      </c>
      <c r="W272">
        <v>1.3</v>
      </c>
    </row>
    <row r="273" spans="1:23" hidden="1" x14ac:dyDescent="0.3">
      <c r="A273" t="s">
        <v>52</v>
      </c>
      <c r="B273" t="s">
        <v>53</v>
      </c>
      <c r="C273" t="s">
        <v>17</v>
      </c>
      <c r="D273" t="s">
        <v>22</v>
      </c>
      <c r="E273" t="s">
        <v>23</v>
      </c>
      <c r="F273" t="s">
        <v>54</v>
      </c>
      <c r="G273" t="s">
        <v>216</v>
      </c>
      <c r="H273" t="s">
        <v>160</v>
      </c>
      <c r="I273" t="s">
        <v>3</v>
      </c>
      <c r="J273" t="s">
        <v>217</v>
      </c>
      <c r="K273" t="s">
        <v>218</v>
      </c>
      <c r="L273" t="s">
        <v>163</v>
      </c>
      <c r="M273">
        <v>53</v>
      </c>
      <c r="N273" t="b">
        <v>0</v>
      </c>
      <c r="O273">
        <v>0.67630057803468213</v>
      </c>
      <c r="P273">
        <v>0.66101694915254239</v>
      </c>
      <c r="Q273">
        <v>0.69230769230769229</v>
      </c>
      <c r="R273" t="s">
        <v>60</v>
      </c>
      <c r="S273" t="s">
        <v>973</v>
      </c>
      <c r="T273" t="s">
        <v>974</v>
      </c>
      <c r="U273" t="b">
        <v>1</v>
      </c>
      <c r="V273" t="s">
        <v>63</v>
      </c>
      <c r="W273">
        <v>1.3</v>
      </c>
    </row>
    <row r="274" spans="1:23" hidden="1" x14ac:dyDescent="0.3">
      <c r="A274" t="s">
        <v>52</v>
      </c>
      <c r="B274" t="s">
        <v>53</v>
      </c>
      <c r="C274" t="s">
        <v>17</v>
      </c>
      <c r="D274" t="s">
        <v>22</v>
      </c>
      <c r="E274" t="s">
        <v>23</v>
      </c>
      <c r="F274" t="s">
        <v>54</v>
      </c>
      <c r="G274" t="s">
        <v>221</v>
      </c>
      <c r="H274" t="s">
        <v>160</v>
      </c>
      <c r="I274" t="s">
        <v>3</v>
      </c>
      <c r="J274" t="s">
        <v>222</v>
      </c>
      <c r="K274" t="s">
        <v>223</v>
      </c>
      <c r="L274" t="s">
        <v>163</v>
      </c>
      <c r="M274">
        <v>54</v>
      </c>
      <c r="N274" t="b">
        <v>0</v>
      </c>
      <c r="O274">
        <v>0.75274725274725274</v>
      </c>
      <c r="P274">
        <v>0.70256410256410251</v>
      </c>
      <c r="Q274">
        <v>0.81065088757396453</v>
      </c>
      <c r="R274" t="s">
        <v>60</v>
      </c>
      <c r="S274" t="s">
        <v>975</v>
      </c>
      <c r="T274" t="s">
        <v>976</v>
      </c>
      <c r="U274" t="b">
        <v>1</v>
      </c>
      <c r="V274" t="s">
        <v>63</v>
      </c>
      <c r="W274">
        <v>1.3</v>
      </c>
    </row>
    <row r="275" spans="1:23" hidden="1" x14ac:dyDescent="0.3">
      <c r="A275" t="s">
        <v>52</v>
      </c>
      <c r="B275" t="s">
        <v>53</v>
      </c>
      <c r="C275" t="s">
        <v>17</v>
      </c>
      <c r="D275" t="s">
        <v>22</v>
      </c>
      <c r="E275" t="s">
        <v>23</v>
      </c>
      <c r="F275" t="s">
        <v>54</v>
      </c>
      <c r="G275" t="s">
        <v>226</v>
      </c>
      <c r="H275" t="s">
        <v>160</v>
      </c>
      <c r="I275" t="s">
        <v>3</v>
      </c>
      <c r="J275" t="s">
        <v>227</v>
      </c>
      <c r="K275" t="s">
        <v>228</v>
      </c>
      <c r="L275" t="s">
        <v>163</v>
      </c>
      <c r="M275">
        <v>55</v>
      </c>
      <c r="N275" t="b">
        <v>0</v>
      </c>
      <c r="O275">
        <v>0.67759562841530063</v>
      </c>
      <c r="P275">
        <v>0.62944162436548223</v>
      </c>
      <c r="Q275">
        <v>0.73372781065088755</v>
      </c>
      <c r="R275" t="s">
        <v>60</v>
      </c>
      <c r="S275" t="s">
        <v>977</v>
      </c>
      <c r="T275" t="s">
        <v>978</v>
      </c>
      <c r="U275" t="b">
        <v>1</v>
      </c>
      <c r="V275" t="s">
        <v>63</v>
      </c>
      <c r="W275">
        <v>1.3</v>
      </c>
    </row>
    <row r="276" spans="1:23" hidden="1" x14ac:dyDescent="0.3">
      <c r="A276" t="s">
        <v>52</v>
      </c>
      <c r="B276" t="s">
        <v>53</v>
      </c>
      <c r="C276" t="s">
        <v>17</v>
      </c>
      <c r="D276" t="s">
        <v>22</v>
      </c>
      <c r="E276" t="s">
        <v>23</v>
      </c>
      <c r="F276" t="s">
        <v>54</v>
      </c>
      <c r="G276" t="s">
        <v>231</v>
      </c>
      <c r="H276" t="s">
        <v>160</v>
      </c>
      <c r="I276" t="s">
        <v>3</v>
      </c>
      <c r="J276" t="s">
        <v>232</v>
      </c>
      <c r="K276" t="s">
        <v>233</v>
      </c>
      <c r="L276" t="s">
        <v>163</v>
      </c>
      <c r="M276">
        <v>56</v>
      </c>
      <c r="N276" t="b">
        <v>0</v>
      </c>
      <c r="O276">
        <v>0.74853801169590639</v>
      </c>
      <c r="P276">
        <v>0.73988439306358378</v>
      </c>
      <c r="Q276">
        <v>0.75739644970414199</v>
      </c>
      <c r="R276" t="s">
        <v>60</v>
      </c>
      <c r="S276" t="s">
        <v>979</v>
      </c>
      <c r="T276" t="s">
        <v>980</v>
      </c>
      <c r="U276" t="b">
        <v>1</v>
      </c>
      <c r="V276" t="s">
        <v>63</v>
      </c>
      <c r="W276">
        <v>1.3</v>
      </c>
    </row>
    <row r="277" spans="1:23" hidden="1" x14ac:dyDescent="0.3">
      <c r="A277" t="s">
        <v>52</v>
      </c>
      <c r="B277" t="s">
        <v>53</v>
      </c>
      <c r="C277" t="s">
        <v>17</v>
      </c>
      <c r="D277" t="s">
        <v>22</v>
      </c>
      <c r="E277" t="s">
        <v>23</v>
      </c>
      <c r="F277" t="s">
        <v>54</v>
      </c>
      <c r="G277" t="s">
        <v>236</v>
      </c>
      <c r="H277" t="s">
        <v>160</v>
      </c>
      <c r="I277" t="s">
        <v>3</v>
      </c>
      <c r="J277" t="s">
        <v>237</v>
      </c>
      <c r="K277" t="s">
        <v>238</v>
      </c>
      <c r="L277" t="s">
        <v>163</v>
      </c>
      <c r="M277">
        <v>57</v>
      </c>
      <c r="N277" t="b">
        <v>0</v>
      </c>
      <c r="O277">
        <v>0.78212290502793291</v>
      </c>
      <c r="P277">
        <v>0.7407407407407407</v>
      </c>
      <c r="Q277">
        <v>0.82840236686390534</v>
      </c>
      <c r="R277" t="s">
        <v>60</v>
      </c>
      <c r="S277" t="s">
        <v>981</v>
      </c>
      <c r="T277" t="s">
        <v>982</v>
      </c>
      <c r="U277" t="b">
        <v>1</v>
      </c>
      <c r="V277" t="s">
        <v>63</v>
      </c>
      <c r="W277">
        <v>1.6</v>
      </c>
    </row>
    <row r="278" spans="1:23" hidden="1" x14ac:dyDescent="0.3">
      <c r="A278" t="s">
        <v>52</v>
      </c>
      <c r="B278" t="s">
        <v>53</v>
      </c>
      <c r="C278" t="s">
        <v>17</v>
      </c>
      <c r="D278" t="s">
        <v>22</v>
      </c>
      <c r="E278" t="s">
        <v>23</v>
      </c>
      <c r="F278" t="s">
        <v>54</v>
      </c>
      <c r="G278" t="s">
        <v>241</v>
      </c>
      <c r="H278" t="s">
        <v>160</v>
      </c>
      <c r="I278" t="s">
        <v>3</v>
      </c>
      <c r="J278" t="s">
        <v>242</v>
      </c>
      <c r="K278" t="s">
        <v>243</v>
      </c>
      <c r="L278" t="s">
        <v>163</v>
      </c>
      <c r="M278">
        <v>58</v>
      </c>
      <c r="N278" t="b">
        <v>0</v>
      </c>
      <c r="O278">
        <v>0.75824175824175832</v>
      </c>
      <c r="P278">
        <v>0.70769230769230773</v>
      </c>
      <c r="Q278">
        <v>0.81656804733727806</v>
      </c>
      <c r="R278" t="s">
        <v>60</v>
      </c>
      <c r="S278" t="s">
        <v>983</v>
      </c>
      <c r="T278" t="s">
        <v>984</v>
      </c>
      <c r="U278" t="b">
        <v>1</v>
      </c>
      <c r="V278" t="s">
        <v>63</v>
      </c>
      <c r="W278">
        <v>1.3</v>
      </c>
    </row>
    <row r="279" spans="1:23" hidden="1" x14ac:dyDescent="0.3">
      <c r="A279" t="s">
        <v>52</v>
      </c>
      <c r="B279" t="s">
        <v>53</v>
      </c>
      <c r="C279" t="s">
        <v>17</v>
      </c>
      <c r="D279" t="s">
        <v>22</v>
      </c>
      <c r="E279" t="s">
        <v>23</v>
      </c>
      <c r="F279" t="s">
        <v>54</v>
      </c>
      <c r="G279" t="s">
        <v>246</v>
      </c>
      <c r="H279" t="s">
        <v>160</v>
      </c>
      <c r="I279" t="s">
        <v>3</v>
      </c>
      <c r="J279" t="s">
        <v>247</v>
      </c>
      <c r="K279" t="s">
        <v>248</v>
      </c>
      <c r="L279" t="s">
        <v>163</v>
      </c>
      <c r="M279">
        <v>59</v>
      </c>
      <c r="N279" t="b">
        <v>0</v>
      </c>
      <c r="O279">
        <v>0.76344086021505375</v>
      </c>
      <c r="P279">
        <v>0.69950738916256161</v>
      </c>
      <c r="Q279">
        <v>0.84023668639053251</v>
      </c>
      <c r="R279" t="s">
        <v>60</v>
      </c>
      <c r="S279" t="s">
        <v>985</v>
      </c>
      <c r="T279" t="s">
        <v>986</v>
      </c>
      <c r="U279" t="b">
        <v>1</v>
      </c>
      <c r="V279" t="s">
        <v>63</v>
      </c>
      <c r="W279">
        <v>1.3</v>
      </c>
    </row>
    <row r="280" spans="1:23" hidden="1" x14ac:dyDescent="0.3">
      <c r="A280" t="s">
        <v>52</v>
      </c>
      <c r="B280" t="s">
        <v>53</v>
      </c>
      <c r="C280" t="s">
        <v>17</v>
      </c>
      <c r="D280" t="s">
        <v>22</v>
      </c>
      <c r="E280" t="s">
        <v>23</v>
      </c>
      <c r="F280" t="s">
        <v>54</v>
      </c>
      <c r="G280" t="s">
        <v>251</v>
      </c>
      <c r="H280" t="s">
        <v>160</v>
      </c>
      <c r="I280" t="s">
        <v>3</v>
      </c>
      <c r="J280" t="s">
        <v>252</v>
      </c>
      <c r="K280" t="s">
        <v>253</v>
      </c>
      <c r="L280" t="s">
        <v>163</v>
      </c>
      <c r="M280">
        <v>60</v>
      </c>
      <c r="N280" t="b">
        <v>0</v>
      </c>
      <c r="O280">
        <v>0.7331536388140163</v>
      </c>
      <c r="P280">
        <v>0.67326732673267331</v>
      </c>
      <c r="Q280">
        <v>0.80473372781065089</v>
      </c>
      <c r="R280" t="s">
        <v>60</v>
      </c>
      <c r="S280" t="s">
        <v>987</v>
      </c>
      <c r="T280" t="s">
        <v>988</v>
      </c>
      <c r="U280" t="b">
        <v>1</v>
      </c>
      <c r="V280" t="s">
        <v>63</v>
      </c>
      <c r="W280">
        <v>1.5</v>
      </c>
    </row>
    <row r="281" spans="1:23" hidden="1" x14ac:dyDescent="0.3">
      <c r="A281" t="s">
        <v>52</v>
      </c>
      <c r="B281" t="s">
        <v>53</v>
      </c>
      <c r="C281" t="s">
        <v>17</v>
      </c>
      <c r="D281" t="s">
        <v>22</v>
      </c>
      <c r="E281" t="s">
        <v>23</v>
      </c>
      <c r="F281" t="s">
        <v>54</v>
      </c>
      <c r="G281" t="s">
        <v>256</v>
      </c>
      <c r="H281" t="s">
        <v>160</v>
      </c>
      <c r="I281" t="s">
        <v>3</v>
      </c>
      <c r="J281" t="s">
        <v>257</v>
      </c>
      <c r="K281" t="s">
        <v>258</v>
      </c>
      <c r="L281" t="s">
        <v>163</v>
      </c>
      <c r="M281">
        <v>61</v>
      </c>
      <c r="N281" t="b">
        <v>0</v>
      </c>
      <c r="O281">
        <v>0.74351585014409216</v>
      </c>
      <c r="P281">
        <v>0.7247191011235955</v>
      </c>
      <c r="Q281">
        <v>0.76331360946745563</v>
      </c>
      <c r="R281" t="s">
        <v>60</v>
      </c>
      <c r="S281" t="s">
        <v>989</v>
      </c>
      <c r="T281" t="s">
        <v>990</v>
      </c>
      <c r="U281" t="b">
        <v>1</v>
      </c>
      <c r="V281" t="s">
        <v>63</v>
      </c>
      <c r="W281">
        <v>1.3</v>
      </c>
    </row>
    <row r="282" spans="1:23" hidden="1" x14ac:dyDescent="0.3">
      <c r="A282" t="s">
        <v>52</v>
      </c>
      <c r="B282" t="s">
        <v>53</v>
      </c>
      <c r="C282" t="s">
        <v>17</v>
      </c>
      <c r="D282" t="s">
        <v>22</v>
      </c>
      <c r="E282" t="s">
        <v>23</v>
      </c>
      <c r="F282" t="s">
        <v>54</v>
      </c>
      <c r="G282" t="s">
        <v>261</v>
      </c>
      <c r="H282" t="s">
        <v>262</v>
      </c>
      <c r="I282" t="s">
        <v>5</v>
      </c>
      <c r="J282" t="s">
        <v>263</v>
      </c>
      <c r="K282" t="s">
        <v>264</v>
      </c>
      <c r="L282" t="s">
        <v>265</v>
      </c>
      <c r="M282">
        <v>42</v>
      </c>
      <c r="N282" t="b">
        <v>0</v>
      </c>
      <c r="O282">
        <v>0.75918367346938764</v>
      </c>
      <c r="P282">
        <v>0.69402985074626866</v>
      </c>
      <c r="Q282">
        <v>0.83783783783783783</v>
      </c>
      <c r="R282" t="s">
        <v>60</v>
      </c>
      <c r="S282" t="s">
        <v>991</v>
      </c>
      <c r="T282" t="s">
        <v>992</v>
      </c>
      <c r="U282" t="b">
        <v>1</v>
      </c>
      <c r="V282" t="s">
        <v>63</v>
      </c>
      <c r="W282">
        <v>1.4</v>
      </c>
    </row>
    <row r="283" spans="1:23" hidden="1" x14ac:dyDescent="0.3">
      <c r="A283" t="s">
        <v>52</v>
      </c>
      <c r="B283" t="s">
        <v>53</v>
      </c>
      <c r="C283" t="s">
        <v>17</v>
      </c>
      <c r="D283" t="s">
        <v>22</v>
      </c>
      <c r="E283" t="s">
        <v>23</v>
      </c>
      <c r="F283" t="s">
        <v>54</v>
      </c>
      <c r="G283" t="s">
        <v>268</v>
      </c>
      <c r="H283" t="s">
        <v>262</v>
      </c>
      <c r="I283" t="s">
        <v>5</v>
      </c>
      <c r="J283" t="s">
        <v>269</v>
      </c>
      <c r="K283" t="s">
        <v>270</v>
      </c>
      <c r="L283" t="s">
        <v>265</v>
      </c>
      <c r="M283">
        <v>43</v>
      </c>
      <c r="N283" t="b">
        <v>0</v>
      </c>
      <c r="O283">
        <v>0.79475982532751088</v>
      </c>
      <c r="P283">
        <v>0.77118644067796616</v>
      </c>
      <c r="Q283">
        <v>0.81981981981981977</v>
      </c>
      <c r="R283" t="s">
        <v>60</v>
      </c>
      <c r="S283" t="s">
        <v>993</v>
      </c>
      <c r="T283" t="s">
        <v>994</v>
      </c>
      <c r="U283" t="b">
        <v>1</v>
      </c>
      <c r="V283" t="s">
        <v>63</v>
      </c>
      <c r="W283">
        <v>1.7</v>
      </c>
    </row>
    <row r="284" spans="1:23" hidden="1" x14ac:dyDescent="0.3">
      <c r="A284" t="s">
        <v>52</v>
      </c>
      <c r="B284" t="s">
        <v>53</v>
      </c>
      <c r="C284" t="s">
        <v>17</v>
      </c>
      <c r="D284" t="s">
        <v>22</v>
      </c>
      <c r="E284" t="s">
        <v>23</v>
      </c>
      <c r="F284" t="s">
        <v>54</v>
      </c>
      <c r="G284" t="s">
        <v>273</v>
      </c>
      <c r="H284" t="s">
        <v>262</v>
      </c>
      <c r="I284" t="s">
        <v>5</v>
      </c>
      <c r="J284" t="s">
        <v>274</v>
      </c>
      <c r="K284" t="s">
        <v>275</v>
      </c>
      <c r="L284" t="s">
        <v>265</v>
      </c>
      <c r="M284">
        <v>44</v>
      </c>
      <c r="N284" t="b">
        <v>0</v>
      </c>
      <c r="O284">
        <v>0.76521739130434785</v>
      </c>
      <c r="P284">
        <v>0.73949579831932777</v>
      </c>
      <c r="Q284">
        <v>0.7927927927927928</v>
      </c>
      <c r="R284" t="s">
        <v>60</v>
      </c>
      <c r="S284" t="s">
        <v>995</v>
      </c>
      <c r="T284" t="s">
        <v>996</v>
      </c>
      <c r="U284" t="b">
        <v>1</v>
      </c>
      <c r="V284" t="s">
        <v>63</v>
      </c>
      <c r="W284">
        <v>1.4</v>
      </c>
    </row>
    <row r="285" spans="1:23" hidden="1" x14ac:dyDescent="0.3">
      <c r="A285" t="s">
        <v>52</v>
      </c>
      <c r="B285" t="s">
        <v>53</v>
      </c>
      <c r="C285" t="s">
        <v>17</v>
      </c>
      <c r="D285" t="s">
        <v>22</v>
      </c>
      <c r="E285" t="s">
        <v>23</v>
      </c>
      <c r="F285" t="s">
        <v>54</v>
      </c>
      <c r="G285" t="s">
        <v>278</v>
      </c>
      <c r="H285" t="s">
        <v>262</v>
      </c>
      <c r="I285" t="s">
        <v>5</v>
      </c>
      <c r="J285" t="s">
        <v>279</v>
      </c>
      <c r="K285" t="s">
        <v>280</v>
      </c>
      <c r="L285" t="s">
        <v>265</v>
      </c>
      <c r="M285">
        <v>45</v>
      </c>
      <c r="N285" t="b">
        <v>0</v>
      </c>
      <c r="O285">
        <v>0.75456389452332673</v>
      </c>
      <c r="P285">
        <v>0.68634686346863472</v>
      </c>
      <c r="Q285">
        <v>0.83783783783783783</v>
      </c>
      <c r="R285" t="s">
        <v>60</v>
      </c>
      <c r="S285" t="s">
        <v>997</v>
      </c>
      <c r="T285" t="s">
        <v>998</v>
      </c>
      <c r="U285" t="b">
        <v>1</v>
      </c>
      <c r="V285" t="s">
        <v>63</v>
      </c>
      <c r="W285">
        <v>1.4</v>
      </c>
    </row>
    <row r="286" spans="1:23" hidden="1" x14ac:dyDescent="0.3">
      <c r="A286" t="s">
        <v>52</v>
      </c>
      <c r="B286" t="s">
        <v>53</v>
      </c>
      <c r="C286" t="s">
        <v>17</v>
      </c>
      <c r="D286" t="s">
        <v>22</v>
      </c>
      <c r="E286" t="s">
        <v>23</v>
      </c>
      <c r="F286" t="s">
        <v>54</v>
      </c>
      <c r="G286" t="s">
        <v>283</v>
      </c>
      <c r="H286" t="s">
        <v>262</v>
      </c>
      <c r="I286" t="s">
        <v>5</v>
      </c>
      <c r="J286" t="s">
        <v>284</v>
      </c>
      <c r="K286" t="s">
        <v>285</v>
      </c>
      <c r="L286" t="s">
        <v>265</v>
      </c>
      <c r="M286">
        <v>46</v>
      </c>
      <c r="N286" t="b">
        <v>0</v>
      </c>
      <c r="O286">
        <v>0.70040485829959509</v>
      </c>
      <c r="P286">
        <v>0.63602941176470584</v>
      </c>
      <c r="Q286">
        <v>0.77927927927927931</v>
      </c>
      <c r="R286" t="s">
        <v>60</v>
      </c>
      <c r="S286" t="s">
        <v>999</v>
      </c>
      <c r="T286" t="s">
        <v>1000</v>
      </c>
      <c r="U286" t="b">
        <v>1</v>
      </c>
      <c r="V286" t="s">
        <v>63</v>
      </c>
      <c r="W286">
        <v>1.4</v>
      </c>
    </row>
    <row r="287" spans="1:23" hidden="1" x14ac:dyDescent="0.3">
      <c r="A287" t="s">
        <v>52</v>
      </c>
      <c r="B287" t="s">
        <v>53</v>
      </c>
      <c r="C287" t="s">
        <v>17</v>
      </c>
      <c r="D287" t="s">
        <v>22</v>
      </c>
      <c r="E287" t="s">
        <v>23</v>
      </c>
      <c r="F287" t="s">
        <v>54</v>
      </c>
      <c r="G287" t="s">
        <v>288</v>
      </c>
      <c r="H287" t="s">
        <v>262</v>
      </c>
      <c r="I287" t="s">
        <v>5</v>
      </c>
      <c r="J287" t="s">
        <v>289</v>
      </c>
      <c r="K287" t="s">
        <v>290</v>
      </c>
      <c r="L287" t="s">
        <v>265</v>
      </c>
      <c r="M287">
        <v>47</v>
      </c>
      <c r="N287" t="b">
        <v>0</v>
      </c>
      <c r="O287">
        <v>0.75471698113207553</v>
      </c>
      <c r="P287">
        <v>0.70588235294117652</v>
      </c>
      <c r="Q287">
        <v>0.81081081081081086</v>
      </c>
      <c r="R287" t="s">
        <v>60</v>
      </c>
      <c r="S287" t="s">
        <v>1001</v>
      </c>
      <c r="T287" t="s">
        <v>1002</v>
      </c>
      <c r="U287" t="b">
        <v>1</v>
      </c>
      <c r="V287" t="s">
        <v>63</v>
      </c>
      <c r="W287">
        <v>1.4</v>
      </c>
    </row>
    <row r="288" spans="1:23" hidden="1" x14ac:dyDescent="0.3">
      <c r="A288" t="s">
        <v>52</v>
      </c>
      <c r="B288" t="s">
        <v>53</v>
      </c>
      <c r="C288" t="s">
        <v>17</v>
      </c>
      <c r="D288" t="s">
        <v>22</v>
      </c>
      <c r="E288" t="s">
        <v>23</v>
      </c>
      <c r="F288" t="s">
        <v>54</v>
      </c>
      <c r="G288" t="s">
        <v>293</v>
      </c>
      <c r="H288" t="s">
        <v>262</v>
      </c>
      <c r="I288" t="s">
        <v>5</v>
      </c>
      <c r="J288" t="s">
        <v>294</v>
      </c>
      <c r="K288" t="s">
        <v>295</v>
      </c>
      <c r="L288" t="s">
        <v>265</v>
      </c>
      <c r="M288">
        <v>48</v>
      </c>
      <c r="N288" t="b">
        <v>0</v>
      </c>
      <c r="O288">
        <v>0.79212253829321666</v>
      </c>
      <c r="P288">
        <v>0.77021276595744681</v>
      </c>
      <c r="Q288">
        <v>0.81531531531531531</v>
      </c>
      <c r="R288" t="s">
        <v>60</v>
      </c>
      <c r="S288" t="s">
        <v>1003</v>
      </c>
      <c r="T288" t="s">
        <v>1004</v>
      </c>
      <c r="U288" t="b">
        <v>1</v>
      </c>
      <c r="V288" t="s">
        <v>63</v>
      </c>
      <c r="W288">
        <v>1.4</v>
      </c>
    </row>
    <row r="289" spans="1:23" hidden="1" x14ac:dyDescent="0.3">
      <c r="A289" t="s">
        <v>52</v>
      </c>
      <c r="B289" t="s">
        <v>53</v>
      </c>
      <c r="C289" t="s">
        <v>17</v>
      </c>
      <c r="D289" t="s">
        <v>22</v>
      </c>
      <c r="E289" t="s">
        <v>23</v>
      </c>
      <c r="F289" t="s">
        <v>54</v>
      </c>
      <c r="G289" t="s">
        <v>298</v>
      </c>
      <c r="H289" t="s">
        <v>262</v>
      </c>
      <c r="I289" t="s">
        <v>5</v>
      </c>
      <c r="J289" t="s">
        <v>299</v>
      </c>
      <c r="K289" t="s">
        <v>300</v>
      </c>
      <c r="L289" t="s">
        <v>265</v>
      </c>
      <c r="M289">
        <v>49</v>
      </c>
      <c r="N289" t="b">
        <v>0</v>
      </c>
      <c r="O289">
        <v>0.76483516483516489</v>
      </c>
      <c r="P289">
        <v>0.74678111587982832</v>
      </c>
      <c r="Q289">
        <v>0.78378378378378377</v>
      </c>
      <c r="R289" t="s">
        <v>60</v>
      </c>
      <c r="S289" t="s">
        <v>1005</v>
      </c>
      <c r="T289" t="s">
        <v>1006</v>
      </c>
      <c r="U289" t="b">
        <v>1</v>
      </c>
      <c r="V289" t="s">
        <v>63</v>
      </c>
      <c r="W289">
        <v>1.4</v>
      </c>
    </row>
    <row r="290" spans="1:23" hidden="1" x14ac:dyDescent="0.3">
      <c r="A290" t="s">
        <v>52</v>
      </c>
      <c r="B290" t="s">
        <v>53</v>
      </c>
      <c r="C290" t="s">
        <v>17</v>
      </c>
      <c r="D290" t="s">
        <v>22</v>
      </c>
      <c r="E290" t="s">
        <v>23</v>
      </c>
      <c r="F290" t="s">
        <v>54</v>
      </c>
      <c r="G290" t="s">
        <v>303</v>
      </c>
      <c r="H290" t="s">
        <v>262</v>
      </c>
      <c r="I290" t="s">
        <v>5</v>
      </c>
      <c r="J290" t="s">
        <v>304</v>
      </c>
      <c r="K290" t="s">
        <v>305</v>
      </c>
      <c r="L290" t="s">
        <v>265</v>
      </c>
      <c r="M290">
        <v>50</v>
      </c>
      <c r="N290" t="b">
        <v>0</v>
      </c>
      <c r="O290">
        <v>0.77391304347826084</v>
      </c>
      <c r="P290">
        <v>0.74789915966386555</v>
      </c>
      <c r="Q290">
        <v>0.80180180180180183</v>
      </c>
      <c r="R290" t="s">
        <v>60</v>
      </c>
      <c r="S290" t="s">
        <v>1007</v>
      </c>
      <c r="T290" t="s">
        <v>1008</v>
      </c>
      <c r="U290" t="b">
        <v>1</v>
      </c>
      <c r="V290" t="s">
        <v>63</v>
      </c>
      <c r="W290">
        <v>1.8</v>
      </c>
    </row>
    <row r="291" spans="1:23" hidden="1" x14ac:dyDescent="0.3">
      <c r="A291" t="s">
        <v>52</v>
      </c>
      <c r="B291" t="s">
        <v>53</v>
      </c>
      <c r="C291" t="s">
        <v>17</v>
      </c>
      <c r="D291" t="s">
        <v>22</v>
      </c>
      <c r="E291" t="s">
        <v>23</v>
      </c>
      <c r="F291" t="s">
        <v>54</v>
      </c>
      <c r="G291" t="s">
        <v>308</v>
      </c>
      <c r="H291" t="s">
        <v>262</v>
      </c>
      <c r="I291" t="s">
        <v>5</v>
      </c>
      <c r="J291" t="s">
        <v>309</v>
      </c>
      <c r="K291" t="s">
        <v>310</v>
      </c>
      <c r="L291" t="s">
        <v>265</v>
      </c>
      <c r="M291">
        <v>51</v>
      </c>
      <c r="N291" t="b">
        <v>0</v>
      </c>
      <c r="O291">
        <v>0.74180327868852458</v>
      </c>
      <c r="P291">
        <v>0.68045112781954886</v>
      </c>
      <c r="Q291">
        <v>0.81531531531531531</v>
      </c>
      <c r="R291" t="s">
        <v>60</v>
      </c>
      <c r="S291" t="s">
        <v>1009</v>
      </c>
      <c r="T291" t="s">
        <v>1010</v>
      </c>
      <c r="U291" t="b">
        <v>1</v>
      </c>
      <c r="V291" t="s">
        <v>63</v>
      </c>
      <c r="W291">
        <v>1.4</v>
      </c>
    </row>
    <row r="292" spans="1:23" hidden="1" x14ac:dyDescent="0.3">
      <c r="A292" t="s">
        <v>52</v>
      </c>
      <c r="B292" t="s">
        <v>53</v>
      </c>
      <c r="C292" t="s">
        <v>17</v>
      </c>
      <c r="D292" t="s">
        <v>22</v>
      </c>
      <c r="E292" t="s">
        <v>23</v>
      </c>
      <c r="F292" t="s">
        <v>54</v>
      </c>
      <c r="G292" t="s">
        <v>313</v>
      </c>
      <c r="H292" t="s">
        <v>262</v>
      </c>
      <c r="I292" t="s">
        <v>5</v>
      </c>
      <c r="J292" t="s">
        <v>314</v>
      </c>
      <c r="K292" t="s">
        <v>315</v>
      </c>
      <c r="L292" t="s">
        <v>265</v>
      </c>
      <c r="M292">
        <v>52</v>
      </c>
      <c r="N292" t="b">
        <v>0</v>
      </c>
      <c r="O292">
        <v>0.78458049886621317</v>
      </c>
      <c r="P292">
        <v>0.78995433789954339</v>
      </c>
      <c r="Q292">
        <v>0.77927927927927931</v>
      </c>
      <c r="R292" t="s">
        <v>60</v>
      </c>
      <c r="S292" t="s">
        <v>1011</v>
      </c>
      <c r="T292" t="s">
        <v>1012</v>
      </c>
      <c r="U292" t="b">
        <v>1</v>
      </c>
      <c r="V292" t="s">
        <v>63</v>
      </c>
      <c r="W292">
        <v>1.4</v>
      </c>
    </row>
    <row r="293" spans="1:23" hidden="1" x14ac:dyDescent="0.3">
      <c r="A293" t="s">
        <v>52</v>
      </c>
      <c r="B293" t="s">
        <v>53</v>
      </c>
      <c r="C293" t="s">
        <v>17</v>
      </c>
      <c r="D293" t="s">
        <v>22</v>
      </c>
      <c r="E293" t="s">
        <v>23</v>
      </c>
      <c r="F293" t="s">
        <v>54</v>
      </c>
      <c r="G293" t="s">
        <v>318</v>
      </c>
      <c r="H293" t="s">
        <v>262</v>
      </c>
      <c r="I293" t="s">
        <v>5</v>
      </c>
      <c r="J293" t="s">
        <v>319</v>
      </c>
      <c r="K293" t="s">
        <v>320</v>
      </c>
      <c r="L293" t="s">
        <v>265</v>
      </c>
      <c r="M293">
        <v>53</v>
      </c>
      <c r="N293" t="b">
        <v>0</v>
      </c>
      <c r="O293">
        <v>0.75565610859728505</v>
      </c>
      <c r="P293">
        <v>0.75909090909090904</v>
      </c>
      <c r="Q293">
        <v>0.75225225225225223</v>
      </c>
      <c r="R293" t="s">
        <v>60</v>
      </c>
      <c r="S293" t="s">
        <v>1013</v>
      </c>
      <c r="T293" t="s">
        <v>1014</v>
      </c>
      <c r="U293" t="b">
        <v>1</v>
      </c>
      <c r="V293" t="s">
        <v>63</v>
      </c>
      <c r="W293">
        <v>1.4</v>
      </c>
    </row>
    <row r="294" spans="1:23" hidden="1" x14ac:dyDescent="0.3">
      <c r="A294" t="s">
        <v>52</v>
      </c>
      <c r="B294" t="s">
        <v>53</v>
      </c>
      <c r="C294" t="s">
        <v>17</v>
      </c>
      <c r="D294" t="s">
        <v>22</v>
      </c>
      <c r="E294" t="s">
        <v>23</v>
      </c>
      <c r="F294" t="s">
        <v>54</v>
      </c>
      <c r="G294" t="s">
        <v>323</v>
      </c>
      <c r="H294" t="s">
        <v>262</v>
      </c>
      <c r="I294" t="s">
        <v>5</v>
      </c>
      <c r="J294" t="s">
        <v>324</v>
      </c>
      <c r="K294" t="s">
        <v>325</v>
      </c>
      <c r="L294" t="s">
        <v>265</v>
      </c>
      <c r="M294">
        <v>54</v>
      </c>
      <c r="N294" t="b">
        <v>0</v>
      </c>
      <c r="O294">
        <v>0.74044265593561365</v>
      </c>
      <c r="P294">
        <v>0.66909090909090907</v>
      </c>
      <c r="Q294">
        <v>0.8288288288288288</v>
      </c>
      <c r="R294" t="s">
        <v>60</v>
      </c>
      <c r="S294" t="s">
        <v>1015</v>
      </c>
      <c r="T294" t="s">
        <v>1016</v>
      </c>
      <c r="U294" t="b">
        <v>1</v>
      </c>
      <c r="V294" t="s">
        <v>63</v>
      </c>
      <c r="W294">
        <v>1.5</v>
      </c>
    </row>
    <row r="295" spans="1:23" hidden="1" x14ac:dyDescent="0.3">
      <c r="A295" t="s">
        <v>52</v>
      </c>
      <c r="B295" t="s">
        <v>53</v>
      </c>
      <c r="C295" t="s">
        <v>17</v>
      </c>
      <c r="D295" t="s">
        <v>22</v>
      </c>
      <c r="E295" t="s">
        <v>23</v>
      </c>
      <c r="F295" t="s">
        <v>54</v>
      </c>
      <c r="G295" t="s">
        <v>328</v>
      </c>
      <c r="H295" t="s">
        <v>262</v>
      </c>
      <c r="I295" t="s">
        <v>5</v>
      </c>
      <c r="J295" t="s">
        <v>329</v>
      </c>
      <c r="K295" t="s">
        <v>330</v>
      </c>
      <c r="L295" t="s">
        <v>265</v>
      </c>
      <c r="M295">
        <v>55</v>
      </c>
      <c r="N295" t="b">
        <v>0</v>
      </c>
      <c r="O295">
        <v>0.72801635991820024</v>
      </c>
      <c r="P295">
        <v>0.66666666666666663</v>
      </c>
      <c r="Q295">
        <v>0.80180180180180183</v>
      </c>
      <c r="R295" t="s">
        <v>60</v>
      </c>
      <c r="S295" t="s">
        <v>1017</v>
      </c>
      <c r="T295" t="s">
        <v>1018</v>
      </c>
      <c r="U295" t="b">
        <v>1</v>
      </c>
      <c r="V295" t="s">
        <v>63</v>
      </c>
      <c r="W295">
        <v>1.3</v>
      </c>
    </row>
    <row r="296" spans="1:23" hidden="1" x14ac:dyDescent="0.3">
      <c r="A296" t="s">
        <v>52</v>
      </c>
      <c r="B296" t="s">
        <v>53</v>
      </c>
      <c r="C296" t="s">
        <v>17</v>
      </c>
      <c r="D296" t="s">
        <v>22</v>
      </c>
      <c r="E296" t="s">
        <v>23</v>
      </c>
      <c r="F296" t="s">
        <v>54</v>
      </c>
      <c r="G296" t="s">
        <v>333</v>
      </c>
      <c r="H296" t="s">
        <v>262</v>
      </c>
      <c r="I296" t="s">
        <v>5</v>
      </c>
      <c r="J296" t="s">
        <v>334</v>
      </c>
      <c r="K296" t="s">
        <v>335</v>
      </c>
      <c r="L296" t="s">
        <v>265</v>
      </c>
      <c r="M296">
        <v>56</v>
      </c>
      <c r="N296" t="b">
        <v>0</v>
      </c>
      <c r="O296">
        <v>0.76718403547671832</v>
      </c>
      <c r="P296">
        <v>0.75545851528384278</v>
      </c>
      <c r="Q296">
        <v>0.77927927927927931</v>
      </c>
      <c r="R296" t="s">
        <v>60</v>
      </c>
      <c r="S296" t="s">
        <v>1019</v>
      </c>
      <c r="T296" t="s">
        <v>1020</v>
      </c>
      <c r="U296" t="b">
        <v>1</v>
      </c>
      <c r="V296" t="s">
        <v>63</v>
      </c>
      <c r="W296">
        <v>1.7</v>
      </c>
    </row>
    <row r="297" spans="1:23" hidden="1" x14ac:dyDescent="0.3">
      <c r="A297" t="s">
        <v>52</v>
      </c>
      <c r="B297" t="s">
        <v>53</v>
      </c>
      <c r="C297" t="s">
        <v>17</v>
      </c>
      <c r="D297" t="s">
        <v>22</v>
      </c>
      <c r="E297" t="s">
        <v>23</v>
      </c>
      <c r="F297" t="s">
        <v>54</v>
      </c>
      <c r="G297" t="s">
        <v>338</v>
      </c>
      <c r="H297" t="s">
        <v>262</v>
      </c>
      <c r="I297" t="s">
        <v>5</v>
      </c>
      <c r="J297" t="s">
        <v>339</v>
      </c>
      <c r="K297" t="s">
        <v>340</v>
      </c>
      <c r="L297" t="s">
        <v>265</v>
      </c>
      <c r="M297">
        <v>57</v>
      </c>
      <c r="N297" t="b">
        <v>0</v>
      </c>
      <c r="O297">
        <v>0.79039301310043675</v>
      </c>
      <c r="P297">
        <v>0.76694915254237284</v>
      </c>
      <c r="Q297">
        <v>0.81531531531531531</v>
      </c>
      <c r="R297" t="s">
        <v>60</v>
      </c>
      <c r="S297" t="s">
        <v>1021</v>
      </c>
      <c r="T297" t="s">
        <v>1022</v>
      </c>
      <c r="U297" t="b">
        <v>1</v>
      </c>
      <c r="V297" t="s">
        <v>63</v>
      </c>
      <c r="W297">
        <v>1.4</v>
      </c>
    </row>
    <row r="298" spans="1:23" hidden="1" x14ac:dyDescent="0.3">
      <c r="A298" t="s">
        <v>52</v>
      </c>
      <c r="B298" t="s">
        <v>53</v>
      </c>
      <c r="C298" t="s">
        <v>17</v>
      </c>
      <c r="D298" t="s">
        <v>22</v>
      </c>
      <c r="E298" t="s">
        <v>23</v>
      </c>
      <c r="F298" t="s">
        <v>54</v>
      </c>
      <c r="G298" t="s">
        <v>343</v>
      </c>
      <c r="H298" t="s">
        <v>262</v>
      </c>
      <c r="I298" t="s">
        <v>5</v>
      </c>
      <c r="J298" t="s">
        <v>344</v>
      </c>
      <c r="K298" t="s">
        <v>345</v>
      </c>
      <c r="L298" t="s">
        <v>265</v>
      </c>
      <c r="M298">
        <v>58</v>
      </c>
      <c r="N298" t="b">
        <v>0</v>
      </c>
      <c r="O298">
        <v>0.76169265033407574</v>
      </c>
      <c r="P298">
        <v>0.75330396475770922</v>
      </c>
      <c r="Q298">
        <v>0.77027027027027029</v>
      </c>
      <c r="R298" t="s">
        <v>60</v>
      </c>
      <c r="S298" t="s">
        <v>1023</v>
      </c>
      <c r="T298" t="s">
        <v>1024</v>
      </c>
      <c r="U298" t="b">
        <v>1</v>
      </c>
      <c r="V298" t="s">
        <v>63</v>
      </c>
      <c r="W298">
        <v>1.4</v>
      </c>
    </row>
    <row r="299" spans="1:23" hidden="1" x14ac:dyDescent="0.3">
      <c r="A299" t="s">
        <v>52</v>
      </c>
      <c r="B299" t="s">
        <v>53</v>
      </c>
      <c r="C299" t="s">
        <v>17</v>
      </c>
      <c r="D299" t="s">
        <v>22</v>
      </c>
      <c r="E299" t="s">
        <v>23</v>
      </c>
      <c r="F299" t="s">
        <v>54</v>
      </c>
      <c r="G299" t="s">
        <v>348</v>
      </c>
      <c r="H299" t="s">
        <v>262</v>
      </c>
      <c r="I299" t="s">
        <v>5</v>
      </c>
      <c r="J299" t="s">
        <v>349</v>
      </c>
      <c r="K299" t="s">
        <v>350</v>
      </c>
      <c r="L299" t="s">
        <v>265</v>
      </c>
      <c r="M299">
        <v>59</v>
      </c>
      <c r="N299" t="b">
        <v>0</v>
      </c>
      <c r="O299">
        <v>0.78205128205128194</v>
      </c>
      <c r="P299">
        <v>0.74390243902439024</v>
      </c>
      <c r="Q299">
        <v>0.82432432432432434</v>
      </c>
      <c r="R299" t="s">
        <v>60</v>
      </c>
      <c r="S299" t="s">
        <v>1025</v>
      </c>
      <c r="T299" t="s">
        <v>1026</v>
      </c>
      <c r="U299" t="b">
        <v>1</v>
      </c>
      <c r="V299" t="s">
        <v>63</v>
      </c>
      <c r="W299">
        <v>1.4</v>
      </c>
    </row>
    <row r="300" spans="1:23" hidden="1" x14ac:dyDescent="0.3">
      <c r="A300" t="s">
        <v>52</v>
      </c>
      <c r="B300" t="s">
        <v>53</v>
      </c>
      <c r="C300" t="s">
        <v>17</v>
      </c>
      <c r="D300" t="s">
        <v>22</v>
      </c>
      <c r="E300" t="s">
        <v>23</v>
      </c>
      <c r="F300" t="s">
        <v>54</v>
      </c>
      <c r="G300" t="s">
        <v>353</v>
      </c>
      <c r="H300" t="s">
        <v>262</v>
      </c>
      <c r="I300" t="s">
        <v>5</v>
      </c>
      <c r="J300" t="s">
        <v>354</v>
      </c>
      <c r="K300" t="s">
        <v>355</v>
      </c>
      <c r="L300" t="s">
        <v>265</v>
      </c>
      <c r="M300">
        <v>60</v>
      </c>
      <c r="N300" t="b">
        <v>0</v>
      </c>
      <c r="O300">
        <v>0.79295154185022021</v>
      </c>
      <c r="P300">
        <v>0.77586206896551724</v>
      </c>
      <c r="Q300">
        <v>0.81081081081081086</v>
      </c>
      <c r="R300" t="s">
        <v>60</v>
      </c>
      <c r="S300" t="s">
        <v>1027</v>
      </c>
      <c r="T300" t="s">
        <v>1028</v>
      </c>
      <c r="U300" t="b">
        <v>1</v>
      </c>
      <c r="V300" t="s">
        <v>63</v>
      </c>
      <c r="W300">
        <v>1.4</v>
      </c>
    </row>
    <row r="301" spans="1:23" hidden="1" x14ac:dyDescent="0.3">
      <c r="A301" t="s">
        <v>52</v>
      </c>
      <c r="B301" t="s">
        <v>53</v>
      </c>
      <c r="C301" t="s">
        <v>17</v>
      </c>
      <c r="D301" t="s">
        <v>22</v>
      </c>
      <c r="E301" t="s">
        <v>23</v>
      </c>
      <c r="F301" t="s">
        <v>54</v>
      </c>
      <c r="G301" t="s">
        <v>358</v>
      </c>
      <c r="H301" t="s">
        <v>262</v>
      </c>
      <c r="I301" t="s">
        <v>5</v>
      </c>
      <c r="J301" t="s">
        <v>359</v>
      </c>
      <c r="K301" t="s">
        <v>360</v>
      </c>
      <c r="L301" t="s">
        <v>265</v>
      </c>
      <c r="M301">
        <v>61</v>
      </c>
      <c r="N301" t="b">
        <v>0</v>
      </c>
      <c r="O301">
        <v>0.7746170678336981</v>
      </c>
      <c r="P301">
        <v>0.7531914893617021</v>
      </c>
      <c r="Q301">
        <v>0.79729729729729726</v>
      </c>
      <c r="R301" t="s">
        <v>60</v>
      </c>
      <c r="S301" t="s">
        <v>1029</v>
      </c>
      <c r="T301" t="s">
        <v>1030</v>
      </c>
      <c r="U301" t="b">
        <v>1</v>
      </c>
      <c r="V301" t="s">
        <v>63</v>
      </c>
      <c r="W301">
        <v>1.4</v>
      </c>
    </row>
    <row r="302" spans="1:23" hidden="1" x14ac:dyDescent="0.3">
      <c r="A302" t="s">
        <v>52</v>
      </c>
      <c r="B302" t="s">
        <v>53</v>
      </c>
      <c r="C302" t="s">
        <v>17</v>
      </c>
      <c r="D302" t="s">
        <v>22</v>
      </c>
      <c r="E302" t="s">
        <v>23</v>
      </c>
      <c r="F302" t="s">
        <v>363</v>
      </c>
      <c r="G302" t="s">
        <v>364</v>
      </c>
      <c r="H302" t="s">
        <v>365</v>
      </c>
      <c r="I302" t="s">
        <v>13</v>
      </c>
      <c r="J302" t="s">
        <v>366</v>
      </c>
      <c r="K302" t="s">
        <v>367</v>
      </c>
      <c r="L302" t="s">
        <v>368</v>
      </c>
      <c r="M302">
        <v>42</v>
      </c>
      <c r="N302" t="b">
        <v>0</v>
      </c>
      <c r="O302">
        <v>0.79915433403805503</v>
      </c>
      <c r="P302">
        <v>0.77777777777777779</v>
      </c>
      <c r="Q302">
        <v>0.82173913043478264</v>
      </c>
      <c r="R302" t="s">
        <v>60</v>
      </c>
      <c r="S302" t="s">
        <v>1031</v>
      </c>
      <c r="T302" t="s">
        <v>1032</v>
      </c>
      <c r="U302" t="b">
        <v>1</v>
      </c>
      <c r="V302" t="s">
        <v>63</v>
      </c>
      <c r="W302">
        <v>1.8</v>
      </c>
    </row>
    <row r="303" spans="1:23" hidden="1" x14ac:dyDescent="0.3">
      <c r="A303" t="s">
        <v>52</v>
      </c>
      <c r="B303" t="s">
        <v>53</v>
      </c>
      <c r="C303" t="s">
        <v>17</v>
      </c>
      <c r="D303" t="s">
        <v>22</v>
      </c>
      <c r="E303" t="s">
        <v>23</v>
      </c>
      <c r="F303" t="s">
        <v>363</v>
      </c>
      <c r="G303" t="s">
        <v>371</v>
      </c>
      <c r="H303" t="s">
        <v>365</v>
      </c>
      <c r="I303" t="s">
        <v>13</v>
      </c>
      <c r="J303" t="s">
        <v>372</v>
      </c>
      <c r="K303" t="s">
        <v>373</v>
      </c>
      <c r="L303" t="s">
        <v>368</v>
      </c>
      <c r="M303">
        <v>43</v>
      </c>
      <c r="N303" t="b">
        <v>0</v>
      </c>
      <c r="O303">
        <v>0.79587628865979387</v>
      </c>
      <c r="P303">
        <v>0.75686274509803919</v>
      </c>
      <c r="Q303">
        <v>0.83913043478260874</v>
      </c>
      <c r="R303" t="s">
        <v>60</v>
      </c>
      <c r="S303" t="s">
        <v>1033</v>
      </c>
      <c r="T303" t="s">
        <v>1034</v>
      </c>
      <c r="U303" t="b">
        <v>1</v>
      </c>
      <c r="V303" t="s">
        <v>63</v>
      </c>
      <c r="W303">
        <v>1.4</v>
      </c>
    </row>
    <row r="304" spans="1:23" hidden="1" x14ac:dyDescent="0.3">
      <c r="A304" t="s">
        <v>52</v>
      </c>
      <c r="B304" t="s">
        <v>53</v>
      </c>
      <c r="C304" t="s">
        <v>17</v>
      </c>
      <c r="D304" t="s">
        <v>22</v>
      </c>
      <c r="E304" t="s">
        <v>23</v>
      </c>
      <c r="F304" t="s">
        <v>363</v>
      </c>
      <c r="G304" t="s">
        <v>376</v>
      </c>
      <c r="H304" t="s">
        <v>365</v>
      </c>
      <c r="I304" t="s">
        <v>13</v>
      </c>
      <c r="J304" t="s">
        <v>377</v>
      </c>
      <c r="K304" t="s">
        <v>378</v>
      </c>
      <c r="L304" t="s">
        <v>368</v>
      </c>
      <c r="M304">
        <v>44</v>
      </c>
      <c r="N304" t="b">
        <v>0</v>
      </c>
      <c r="O304">
        <v>0.78936605316973429</v>
      </c>
      <c r="P304">
        <v>0.74517374517374513</v>
      </c>
      <c r="Q304">
        <v>0.83913043478260874</v>
      </c>
      <c r="R304" t="s">
        <v>60</v>
      </c>
      <c r="S304" t="s">
        <v>1035</v>
      </c>
      <c r="T304" t="s">
        <v>1036</v>
      </c>
      <c r="U304" t="b">
        <v>1</v>
      </c>
      <c r="V304" t="s">
        <v>63</v>
      </c>
      <c r="W304">
        <v>1.4</v>
      </c>
    </row>
    <row r="305" spans="1:23" hidden="1" x14ac:dyDescent="0.3">
      <c r="A305" t="s">
        <v>52</v>
      </c>
      <c r="B305" t="s">
        <v>53</v>
      </c>
      <c r="C305" t="s">
        <v>17</v>
      </c>
      <c r="D305" t="s">
        <v>22</v>
      </c>
      <c r="E305" t="s">
        <v>23</v>
      </c>
      <c r="F305" t="s">
        <v>363</v>
      </c>
      <c r="G305" t="s">
        <v>381</v>
      </c>
      <c r="H305" t="s">
        <v>365</v>
      </c>
      <c r="I305" t="s">
        <v>13</v>
      </c>
      <c r="J305" t="s">
        <v>382</v>
      </c>
      <c r="K305" t="s">
        <v>383</v>
      </c>
      <c r="L305" t="s">
        <v>368</v>
      </c>
      <c r="M305">
        <v>45</v>
      </c>
      <c r="N305" t="b">
        <v>0</v>
      </c>
      <c r="O305">
        <v>0.79175257731958748</v>
      </c>
      <c r="P305">
        <v>0.75294117647058822</v>
      </c>
      <c r="Q305">
        <v>0.83478260869565213</v>
      </c>
      <c r="R305" t="s">
        <v>60</v>
      </c>
      <c r="S305" t="s">
        <v>1037</v>
      </c>
      <c r="T305" t="s">
        <v>1038</v>
      </c>
      <c r="U305" t="b">
        <v>1</v>
      </c>
      <c r="V305" t="s">
        <v>63</v>
      </c>
      <c r="W305">
        <v>1.4</v>
      </c>
    </row>
    <row r="306" spans="1:23" hidden="1" x14ac:dyDescent="0.3">
      <c r="A306" t="s">
        <v>52</v>
      </c>
      <c r="B306" t="s">
        <v>53</v>
      </c>
      <c r="C306" t="s">
        <v>17</v>
      </c>
      <c r="D306" t="s">
        <v>22</v>
      </c>
      <c r="E306" t="s">
        <v>23</v>
      </c>
      <c r="F306" t="s">
        <v>363</v>
      </c>
      <c r="G306" t="s">
        <v>386</v>
      </c>
      <c r="H306" t="s">
        <v>365</v>
      </c>
      <c r="I306" t="s">
        <v>13</v>
      </c>
      <c r="J306" t="s">
        <v>387</v>
      </c>
      <c r="K306" t="s">
        <v>388</v>
      </c>
      <c r="L306" t="s">
        <v>368</v>
      </c>
      <c r="M306">
        <v>46</v>
      </c>
      <c r="N306" t="b">
        <v>0</v>
      </c>
      <c r="O306">
        <v>0.77894736842105261</v>
      </c>
      <c r="P306">
        <v>0.75510204081632648</v>
      </c>
      <c r="Q306">
        <v>0.80434782608695654</v>
      </c>
      <c r="R306" t="s">
        <v>60</v>
      </c>
      <c r="S306" t="s">
        <v>1039</v>
      </c>
      <c r="T306" t="s">
        <v>1040</v>
      </c>
      <c r="U306" t="b">
        <v>1</v>
      </c>
      <c r="V306" t="s">
        <v>63</v>
      </c>
      <c r="W306">
        <v>1.3</v>
      </c>
    </row>
    <row r="307" spans="1:23" hidden="1" x14ac:dyDescent="0.3">
      <c r="A307" t="s">
        <v>52</v>
      </c>
      <c r="B307" t="s">
        <v>53</v>
      </c>
      <c r="C307" t="s">
        <v>17</v>
      </c>
      <c r="D307" t="s">
        <v>22</v>
      </c>
      <c r="E307" t="s">
        <v>23</v>
      </c>
      <c r="F307" t="s">
        <v>363</v>
      </c>
      <c r="G307" t="s">
        <v>391</v>
      </c>
      <c r="H307" t="s">
        <v>365</v>
      </c>
      <c r="I307" t="s">
        <v>13</v>
      </c>
      <c r="J307" t="s">
        <v>392</v>
      </c>
      <c r="K307" t="s">
        <v>393</v>
      </c>
      <c r="L307" t="s">
        <v>368</v>
      </c>
      <c r="M307">
        <v>47</v>
      </c>
      <c r="N307" t="b">
        <v>0</v>
      </c>
      <c r="O307">
        <v>0.7975460122699386</v>
      </c>
      <c r="P307">
        <v>0.75289575289575295</v>
      </c>
      <c r="Q307">
        <v>0.84782608695652173</v>
      </c>
      <c r="R307" t="s">
        <v>60</v>
      </c>
      <c r="S307" t="s">
        <v>1041</v>
      </c>
      <c r="T307" t="s">
        <v>1042</v>
      </c>
      <c r="U307" t="b">
        <v>1</v>
      </c>
      <c r="V307" t="s">
        <v>63</v>
      </c>
      <c r="W307">
        <v>1.4</v>
      </c>
    </row>
    <row r="308" spans="1:23" hidden="1" x14ac:dyDescent="0.3">
      <c r="A308" t="s">
        <v>52</v>
      </c>
      <c r="B308" t="s">
        <v>53</v>
      </c>
      <c r="C308" t="s">
        <v>17</v>
      </c>
      <c r="D308" t="s">
        <v>22</v>
      </c>
      <c r="E308" t="s">
        <v>23</v>
      </c>
      <c r="F308" t="s">
        <v>363</v>
      </c>
      <c r="G308" t="s">
        <v>396</v>
      </c>
      <c r="H308" t="s">
        <v>365</v>
      </c>
      <c r="I308" t="s">
        <v>13</v>
      </c>
      <c r="J308" t="s">
        <v>397</v>
      </c>
      <c r="K308" t="s">
        <v>398</v>
      </c>
      <c r="L308" t="s">
        <v>368</v>
      </c>
      <c r="M308">
        <v>48</v>
      </c>
      <c r="N308" t="b">
        <v>0</v>
      </c>
      <c r="O308">
        <v>0.8008048289738432</v>
      </c>
      <c r="P308">
        <v>0.74531835205992514</v>
      </c>
      <c r="Q308">
        <v>0.86521739130434783</v>
      </c>
      <c r="R308" t="s">
        <v>60</v>
      </c>
      <c r="S308" t="s">
        <v>1043</v>
      </c>
      <c r="T308" t="s">
        <v>1044</v>
      </c>
      <c r="U308" t="b">
        <v>1</v>
      </c>
      <c r="V308" t="s">
        <v>63</v>
      </c>
      <c r="W308">
        <v>1.4</v>
      </c>
    </row>
    <row r="309" spans="1:23" hidden="1" x14ac:dyDescent="0.3">
      <c r="A309" t="s">
        <v>52</v>
      </c>
      <c r="B309" t="s">
        <v>53</v>
      </c>
      <c r="C309" t="s">
        <v>17</v>
      </c>
      <c r="D309" t="s">
        <v>22</v>
      </c>
      <c r="E309" t="s">
        <v>23</v>
      </c>
      <c r="F309" t="s">
        <v>363</v>
      </c>
      <c r="G309" t="s">
        <v>401</v>
      </c>
      <c r="H309" t="s">
        <v>365</v>
      </c>
      <c r="I309" t="s">
        <v>13</v>
      </c>
      <c r="J309" t="s">
        <v>402</v>
      </c>
      <c r="K309" t="s">
        <v>403</v>
      </c>
      <c r="L309" t="s">
        <v>368</v>
      </c>
      <c r="M309">
        <v>49</v>
      </c>
      <c r="N309" t="b">
        <v>0</v>
      </c>
      <c r="O309">
        <v>0.77300613496932513</v>
      </c>
      <c r="P309">
        <v>0.72972972972972971</v>
      </c>
      <c r="Q309">
        <v>0.82173913043478264</v>
      </c>
      <c r="R309" t="s">
        <v>60</v>
      </c>
      <c r="S309" t="s">
        <v>1045</v>
      </c>
      <c r="T309" t="s">
        <v>1046</v>
      </c>
      <c r="U309" t="b">
        <v>1</v>
      </c>
      <c r="V309" t="s">
        <v>63</v>
      </c>
      <c r="W309">
        <v>1.9</v>
      </c>
    </row>
    <row r="310" spans="1:23" hidden="1" x14ac:dyDescent="0.3">
      <c r="A310" t="s">
        <v>52</v>
      </c>
      <c r="B310" t="s">
        <v>53</v>
      </c>
      <c r="C310" t="s">
        <v>17</v>
      </c>
      <c r="D310" t="s">
        <v>22</v>
      </c>
      <c r="E310" t="s">
        <v>23</v>
      </c>
      <c r="F310" t="s">
        <v>363</v>
      </c>
      <c r="G310" t="s">
        <v>406</v>
      </c>
      <c r="H310" t="s">
        <v>365</v>
      </c>
      <c r="I310" t="s">
        <v>13</v>
      </c>
      <c r="J310" t="s">
        <v>407</v>
      </c>
      <c r="K310" t="s">
        <v>408</v>
      </c>
      <c r="L310" t="s">
        <v>368</v>
      </c>
      <c r="M310">
        <v>50</v>
      </c>
      <c r="N310" t="b">
        <v>0</v>
      </c>
      <c r="O310">
        <v>0.79183673469387761</v>
      </c>
      <c r="P310">
        <v>0.74615384615384617</v>
      </c>
      <c r="Q310">
        <v>0.84347826086956523</v>
      </c>
      <c r="R310" t="s">
        <v>60</v>
      </c>
      <c r="S310" t="s">
        <v>1047</v>
      </c>
      <c r="T310" t="s">
        <v>1048</v>
      </c>
      <c r="U310" t="b">
        <v>1</v>
      </c>
      <c r="V310" t="s">
        <v>63</v>
      </c>
      <c r="W310">
        <v>1.4</v>
      </c>
    </row>
    <row r="311" spans="1:23" hidden="1" x14ac:dyDescent="0.3">
      <c r="A311" t="s">
        <v>52</v>
      </c>
      <c r="B311" t="s">
        <v>53</v>
      </c>
      <c r="C311" t="s">
        <v>17</v>
      </c>
      <c r="D311" t="s">
        <v>22</v>
      </c>
      <c r="E311" t="s">
        <v>23</v>
      </c>
      <c r="F311" t="s">
        <v>363</v>
      </c>
      <c r="G311" t="s">
        <v>411</v>
      </c>
      <c r="H311" t="s">
        <v>365</v>
      </c>
      <c r="I311" t="s">
        <v>13</v>
      </c>
      <c r="J311" t="s">
        <v>412</v>
      </c>
      <c r="K311" t="s">
        <v>413</v>
      </c>
      <c r="L311" t="s">
        <v>368</v>
      </c>
      <c r="M311">
        <v>51</v>
      </c>
      <c r="N311" t="b">
        <v>0</v>
      </c>
      <c r="O311">
        <v>0.78439425051334699</v>
      </c>
      <c r="P311">
        <v>0.74319066147859925</v>
      </c>
      <c r="Q311">
        <v>0.83043478260869563</v>
      </c>
      <c r="R311" t="s">
        <v>60</v>
      </c>
      <c r="S311" t="s">
        <v>1049</v>
      </c>
      <c r="T311" t="s">
        <v>1050</v>
      </c>
      <c r="U311" t="b">
        <v>1</v>
      </c>
      <c r="V311" t="s">
        <v>63</v>
      </c>
      <c r="W311">
        <v>1.5</v>
      </c>
    </row>
    <row r="312" spans="1:23" hidden="1" x14ac:dyDescent="0.3">
      <c r="A312" t="s">
        <v>52</v>
      </c>
      <c r="B312" t="s">
        <v>53</v>
      </c>
      <c r="C312" t="s">
        <v>17</v>
      </c>
      <c r="D312" t="s">
        <v>22</v>
      </c>
      <c r="E312" t="s">
        <v>23</v>
      </c>
      <c r="F312" t="s">
        <v>363</v>
      </c>
      <c r="G312" t="s">
        <v>416</v>
      </c>
      <c r="H312" t="s">
        <v>365</v>
      </c>
      <c r="I312" t="s">
        <v>13</v>
      </c>
      <c r="J312" t="s">
        <v>417</v>
      </c>
      <c r="K312" t="s">
        <v>418</v>
      </c>
      <c r="L312" t="s">
        <v>368</v>
      </c>
      <c r="M312">
        <v>52</v>
      </c>
      <c r="N312" t="b">
        <v>0</v>
      </c>
      <c r="O312">
        <v>0.79002079002079006</v>
      </c>
      <c r="P312">
        <v>0.75697211155378485</v>
      </c>
      <c r="Q312">
        <v>0.82608695652173914</v>
      </c>
      <c r="R312" t="s">
        <v>60</v>
      </c>
      <c r="S312" t="s">
        <v>1051</v>
      </c>
      <c r="T312" t="s">
        <v>1052</v>
      </c>
      <c r="U312" t="b">
        <v>1</v>
      </c>
      <c r="V312" t="s">
        <v>63</v>
      </c>
      <c r="W312">
        <v>1.4</v>
      </c>
    </row>
    <row r="313" spans="1:23" hidden="1" x14ac:dyDescent="0.3">
      <c r="A313" t="s">
        <v>52</v>
      </c>
      <c r="B313" t="s">
        <v>53</v>
      </c>
      <c r="C313" t="s">
        <v>17</v>
      </c>
      <c r="D313" t="s">
        <v>22</v>
      </c>
      <c r="E313" t="s">
        <v>23</v>
      </c>
      <c r="F313" t="s">
        <v>363</v>
      </c>
      <c r="G313" t="s">
        <v>421</v>
      </c>
      <c r="H313" t="s">
        <v>365</v>
      </c>
      <c r="I313" t="s">
        <v>13</v>
      </c>
      <c r="J313" t="s">
        <v>422</v>
      </c>
      <c r="K313" t="s">
        <v>423</v>
      </c>
      <c r="L313" t="s">
        <v>368</v>
      </c>
      <c r="M313">
        <v>53</v>
      </c>
      <c r="N313" t="b">
        <v>0</v>
      </c>
      <c r="O313">
        <v>0.79032258064516114</v>
      </c>
      <c r="P313">
        <v>0.73684210526315785</v>
      </c>
      <c r="Q313">
        <v>0.85217391304347823</v>
      </c>
      <c r="R313" t="s">
        <v>60</v>
      </c>
      <c r="S313" t="s">
        <v>1053</v>
      </c>
      <c r="T313" t="s">
        <v>1054</v>
      </c>
      <c r="U313" t="b">
        <v>1</v>
      </c>
      <c r="V313" t="s">
        <v>63</v>
      </c>
      <c r="W313">
        <v>1.4</v>
      </c>
    </row>
    <row r="314" spans="1:23" hidden="1" x14ac:dyDescent="0.3">
      <c r="A314" t="s">
        <v>52</v>
      </c>
      <c r="B314" t="s">
        <v>53</v>
      </c>
      <c r="C314" t="s">
        <v>17</v>
      </c>
      <c r="D314" t="s">
        <v>22</v>
      </c>
      <c r="E314" t="s">
        <v>23</v>
      </c>
      <c r="F314" t="s">
        <v>363</v>
      </c>
      <c r="G314" t="s">
        <v>426</v>
      </c>
      <c r="H314" t="s">
        <v>365</v>
      </c>
      <c r="I314" t="s">
        <v>13</v>
      </c>
      <c r="J314" t="s">
        <v>427</v>
      </c>
      <c r="K314" t="s">
        <v>428</v>
      </c>
      <c r="L314" t="s">
        <v>368</v>
      </c>
      <c r="M314">
        <v>54</v>
      </c>
      <c r="N314" t="b">
        <v>0</v>
      </c>
      <c r="O314">
        <v>0.80487804878048785</v>
      </c>
      <c r="P314">
        <v>0.75572519083969469</v>
      </c>
      <c r="Q314">
        <v>0.86086956521739133</v>
      </c>
      <c r="R314" t="s">
        <v>60</v>
      </c>
      <c r="S314" t="s">
        <v>1055</v>
      </c>
      <c r="T314" t="s">
        <v>1056</v>
      </c>
      <c r="U314" t="b">
        <v>1</v>
      </c>
      <c r="V314" t="s">
        <v>63</v>
      </c>
      <c r="W314">
        <v>1.4</v>
      </c>
    </row>
    <row r="315" spans="1:23" hidden="1" x14ac:dyDescent="0.3">
      <c r="A315" t="s">
        <v>52</v>
      </c>
      <c r="B315" t="s">
        <v>53</v>
      </c>
      <c r="C315" t="s">
        <v>17</v>
      </c>
      <c r="D315" t="s">
        <v>22</v>
      </c>
      <c r="E315" t="s">
        <v>23</v>
      </c>
      <c r="F315" t="s">
        <v>363</v>
      </c>
      <c r="G315" t="s">
        <v>431</v>
      </c>
      <c r="H315" t="s">
        <v>365</v>
      </c>
      <c r="I315" t="s">
        <v>13</v>
      </c>
      <c r="J315" t="s">
        <v>432</v>
      </c>
      <c r="K315" t="s">
        <v>433</v>
      </c>
      <c r="L315" t="s">
        <v>368</v>
      </c>
      <c r="M315">
        <v>55</v>
      </c>
      <c r="N315" t="b">
        <v>0</v>
      </c>
      <c r="O315">
        <v>0.76543209876543217</v>
      </c>
      <c r="P315">
        <v>0.7265625</v>
      </c>
      <c r="Q315">
        <v>0.80869565217391304</v>
      </c>
      <c r="R315" t="s">
        <v>60</v>
      </c>
      <c r="S315" t="s">
        <v>1057</v>
      </c>
      <c r="T315" t="s">
        <v>1058</v>
      </c>
      <c r="U315" t="b">
        <v>1</v>
      </c>
      <c r="V315" t="s">
        <v>63</v>
      </c>
      <c r="W315">
        <v>1.4</v>
      </c>
    </row>
    <row r="316" spans="1:23" hidden="1" x14ac:dyDescent="0.3">
      <c r="A316" t="s">
        <v>52</v>
      </c>
      <c r="B316" t="s">
        <v>53</v>
      </c>
      <c r="C316" t="s">
        <v>17</v>
      </c>
      <c r="D316" t="s">
        <v>22</v>
      </c>
      <c r="E316" t="s">
        <v>23</v>
      </c>
      <c r="F316" t="s">
        <v>363</v>
      </c>
      <c r="G316" t="s">
        <v>436</v>
      </c>
      <c r="H316" t="s">
        <v>365</v>
      </c>
      <c r="I316" t="s">
        <v>13</v>
      </c>
      <c r="J316" t="s">
        <v>437</v>
      </c>
      <c r="K316" t="s">
        <v>438</v>
      </c>
      <c r="L316" t="s">
        <v>368</v>
      </c>
      <c r="M316">
        <v>56</v>
      </c>
      <c r="N316" t="b">
        <v>0</v>
      </c>
      <c r="O316">
        <v>0.7975460122699386</v>
      </c>
      <c r="P316">
        <v>0.75289575289575295</v>
      </c>
      <c r="Q316">
        <v>0.84782608695652173</v>
      </c>
      <c r="R316" t="s">
        <v>60</v>
      </c>
      <c r="S316" t="s">
        <v>1059</v>
      </c>
      <c r="T316" t="s">
        <v>1060</v>
      </c>
      <c r="U316" t="b">
        <v>1</v>
      </c>
      <c r="V316" t="s">
        <v>63</v>
      </c>
      <c r="W316">
        <v>1.8</v>
      </c>
    </row>
    <row r="317" spans="1:23" hidden="1" x14ac:dyDescent="0.3">
      <c r="A317" t="s">
        <v>52</v>
      </c>
      <c r="B317" t="s">
        <v>53</v>
      </c>
      <c r="C317" t="s">
        <v>17</v>
      </c>
      <c r="D317" t="s">
        <v>22</v>
      </c>
      <c r="E317" t="s">
        <v>23</v>
      </c>
      <c r="F317" t="s">
        <v>363</v>
      </c>
      <c r="G317" t="s">
        <v>441</v>
      </c>
      <c r="H317" t="s">
        <v>365</v>
      </c>
      <c r="I317" t="s">
        <v>13</v>
      </c>
      <c r="J317" t="s">
        <v>442</v>
      </c>
      <c r="K317" t="s">
        <v>443</v>
      </c>
      <c r="L317" t="s">
        <v>368</v>
      </c>
      <c r="M317">
        <v>57</v>
      </c>
      <c r="N317" t="b">
        <v>0</v>
      </c>
      <c r="O317">
        <v>0.80327868852459017</v>
      </c>
      <c r="P317">
        <v>0.75968992248062017</v>
      </c>
      <c r="Q317">
        <v>0.85217391304347823</v>
      </c>
      <c r="R317" t="s">
        <v>60</v>
      </c>
      <c r="S317" t="s">
        <v>1061</v>
      </c>
      <c r="T317" t="s">
        <v>1062</v>
      </c>
      <c r="U317" t="b">
        <v>1</v>
      </c>
      <c r="V317" t="s">
        <v>63</v>
      </c>
      <c r="W317">
        <v>1.4</v>
      </c>
    </row>
    <row r="318" spans="1:23" hidden="1" x14ac:dyDescent="0.3">
      <c r="A318" t="s">
        <v>52</v>
      </c>
      <c r="B318" t="s">
        <v>53</v>
      </c>
      <c r="C318" t="s">
        <v>17</v>
      </c>
      <c r="D318" t="s">
        <v>22</v>
      </c>
      <c r="E318" t="s">
        <v>23</v>
      </c>
      <c r="F318" t="s">
        <v>363</v>
      </c>
      <c r="G318" t="s">
        <v>446</v>
      </c>
      <c r="H318" t="s">
        <v>365</v>
      </c>
      <c r="I318" t="s">
        <v>13</v>
      </c>
      <c r="J318" t="s">
        <v>447</v>
      </c>
      <c r="K318" t="s">
        <v>448</v>
      </c>
      <c r="L318" t="s">
        <v>368</v>
      </c>
      <c r="M318">
        <v>58</v>
      </c>
      <c r="N318" t="b">
        <v>0</v>
      </c>
      <c r="O318">
        <v>0.76954732510288071</v>
      </c>
      <c r="P318">
        <v>0.73046875</v>
      </c>
      <c r="Q318">
        <v>0.81304347826086953</v>
      </c>
      <c r="R318" t="s">
        <v>60</v>
      </c>
      <c r="S318" t="s">
        <v>1063</v>
      </c>
      <c r="T318" t="s">
        <v>1064</v>
      </c>
      <c r="U318" t="b">
        <v>1</v>
      </c>
      <c r="V318" t="s">
        <v>63</v>
      </c>
      <c r="W318">
        <v>1.4</v>
      </c>
    </row>
    <row r="319" spans="1:23" hidden="1" x14ac:dyDescent="0.3">
      <c r="A319" t="s">
        <v>52</v>
      </c>
      <c r="B319" t="s">
        <v>53</v>
      </c>
      <c r="C319" t="s">
        <v>17</v>
      </c>
      <c r="D319" t="s">
        <v>22</v>
      </c>
      <c r="E319" t="s">
        <v>23</v>
      </c>
      <c r="F319" t="s">
        <v>363</v>
      </c>
      <c r="G319" t="s">
        <v>451</v>
      </c>
      <c r="H319" t="s">
        <v>365</v>
      </c>
      <c r="I319" t="s">
        <v>13</v>
      </c>
      <c r="J319" t="s">
        <v>452</v>
      </c>
      <c r="K319" t="s">
        <v>453</v>
      </c>
      <c r="L319" t="s">
        <v>368</v>
      </c>
      <c r="M319">
        <v>59</v>
      </c>
      <c r="N319" t="b">
        <v>0</v>
      </c>
      <c r="O319">
        <v>0.80083857442348005</v>
      </c>
      <c r="P319">
        <v>0.77327935222672062</v>
      </c>
      <c r="Q319">
        <v>0.83043478260869563</v>
      </c>
      <c r="R319" t="s">
        <v>60</v>
      </c>
      <c r="S319" t="s">
        <v>1065</v>
      </c>
      <c r="T319" t="s">
        <v>1066</v>
      </c>
      <c r="U319" t="b">
        <v>1</v>
      </c>
      <c r="V319" t="s">
        <v>63</v>
      </c>
      <c r="W319">
        <v>1.4</v>
      </c>
    </row>
    <row r="320" spans="1:23" hidden="1" x14ac:dyDescent="0.3">
      <c r="A320" t="s">
        <v>52</v>
      </c>
      <c r="B320" t="s">
        <v>53</v>
      </c>
      <c r="C320" t="s">
        <v>17</v>
      </c>
      <c r="D320" t="s">
        <v>22</v>
      </c>
      <c r="E320" t="s">
        <v>23</v>
      </c>
      <c r="F320" t="s">
        <v>363</v>
      </c>
      <c r="G320" t="s">
        <v>456</v>
      </c>
      <c r="H320" t="s">
        <v>365</v>
      </c>
      <c r="I320" t="s">
        <v>13</v>
      </c>
      <c r="J320" t="s">
        <v>457</v>
      </c>
      <c r="K320" t="s">
        <v>458</v>
      </c>
      <c r="L320" t="s">
        <v>368</v>
      </c>
      <c r="M320">
        <v>60</v>
      </c>
      <c r="N320" t="b">
        <v>0</v>
      </c>
      <c r="O320">
        <v>0.78762886597938142</v>
      </c>
      <c r="P320">
        <v>0.74901960784313726</v>
      </c>
      <c r="Q320">
        <v>0.83043478260869563</v>
      </c>
      <c r="R320" t="s">
        <v>60</v>
      </c>
      <c r="S320" t="s">
        <v>1067</v>
      </c>
      <c r="T320" t="s">
        <v>1068</v>
      </c>
      <c r="U320" t="b">
        <v>1</v>
      </c>
      <c r="V320" t="s">
        <v>63</v>
      </c>
      <c r="W320">
        <v>1.4</v>
      </c>
    </row>
    <row r="321" spans="1:23" hidden="1" x14ac:dyDescent="0.3">
      <c r="A321" t="s">
        <v>52</v>
      </c>
      <c r="B321" t="s">
        <v>53</v>
      </c>
      <c r="C321" t="s">
        <v>17</v>
      </c>
      <c r="D321" t="s">
        <v>22</v>
      </c>
      <c r="E321" t="s">
        <v>23</v>
      </c>
      <c r="F321" t="s">
        <v>363</v>
      </c>
      <c r="G321" t="s">
        <v>461</v>
      </c>
      <c r="H321" t="s">
        <v>365</v>
      </c>
      <c r="I321" t="s">
        <v>13</v>
      </c>
      <c r="J321" t="s">
        <v>462</v>
      </c>
      <c r="K321" t="s">
        <v>463</v>
      </c>
      <c r="L321" t="s">
        <v>368</v>
      </c>
      <c r="M321">
        <v>61</v>
      </c>
      <c r="N321" t="b">
        <v>0</v>
      </c>
      <c r="O321">
        <v>0.78688524590163933</v>
      </c>
      <c r="P321">
        <v>0.7441860465116279</v>
      </c>
      <c r="Q321">
        <v>0.83478260869565213</v>
      </c>
      <c r="R321" t="s">
        <v>60</v>
      </c>
      <c r="S321" t="s">
        <v>1069</v>
      </c>
      <c r="T321" t="s">
        <v>1070</v>
      </c>
      <c r="U321" t="b">
        <v>1</v>
      </c>
      <c r="V321" t="s">
        <v>63</v>
      </c>
      <c r="W321">
        <v>1.3</v>
      </c>
    </row>
    <row r="322" spans="1:23" hidden="1" x14ac:dyDescent="0.3">
      <c r="A322" t="s">
        <v>52</v>
      </c>
      <c r="B322" t="s">
        <v>53</v>
      </c>
      <c r="C322" t="s">
        <v>17</v>
      </c>
      <c r="D322" t="s">
        <v>22</v>
      </c>
      <c r="E322" t="s">
        <v>23</v>
      </c>
      <c r="F322" t="s">
        <v>363</v>
      </c>
      <c r="G322" t="s">
        <v>466</v>
      </c>
      <c r="H322" t="s">
        <v>467</v>
      </c>
      <c r="I322" t="s">
        <v>9</v>
      </c>
      <c r="J322" t="s">
        <v>468</v>
      </c>
      <c r="K322" t="s">
        <v>469</v>
      </c>
      <c r="L322" t="s">
        <v>470</v>
      </c>
      <c r="M322">
        <v>42</v>
      </c>
      <c r="N322" t="b">
        <v>0</v>
      </c>
      <c r="O322">
        <v>0.80115273775216145</v>
      </c>
      <c r="P322">
        <v>0.7808988764044944</v>
      </c>
      <c r="Q322">
        <v>0.8224852071005917</v>
      </c>
      <c r="R322" t="s">
        <v>60</v>
      </c>
      <c r="S322" t="s">
        <v>1071</v>
      </c>
      <c r="T322" t="s">
        <v>1072</v>
      </c>
      <c r="U322" t="b">
        <v>1</v>
      </c>
      <c r="V322" t="s">
        <v>63</v>
      </c>
      <c r="W322">
        <v>1.7</v>
      </c>
    </row>
    <row r="323" spans="1:23" hidden="1" x14ac:dyDescent="0.3">
      <c r="A323" t="s">
        <v>52</v>
      </c>
      <c r="B323" t="s">
        <v>53</v>
      </c>
      <c r="C323" t="s">
        <v>17</v>
      </c>
      <c r="D323" t="s">
        <v>22</v>
      </c>
      <c r="E323" t="s">
        <v>23</v>
      </c>
      <c r="F323" t="s">
        <v>363</v>
      </c>
      <c r="G323" t="s">
        <v>473</v>
      </c>
      <c r="H323" t="s">
        <v>467</v>
      </c>
      <c r="I323" t="s">
        <v>9</v>
      </c>
      <c r="J323" t="s">
        <v>474</v>
      </c>
      <c r="K323" t="s">
        <v>475</v>
      </c>
      <c r="L323" t="s">
        <v>470</v>
      </c>
      <c r="M323">
        <v>43</v>
      </c>
      <c r="N323" t="b">
        <v>0</v>
      </c>
      <c r="O323">
        <v>0.82492581602373893</v>
      </c>
      <c r="P323">
        <v>0.82738095238095233</v>
      </c>
      <c r="Q323">
        <v>0.8224852071005917</v>
      </c>
      <c r="R323" t="s">
        <v>60</v>
      </c>
      <c r="S323" t="s">
        <v>1073</v>
      </c>
      <c r="T323" t="s">
        <v>1074</v>
      </c>
      <c r="U323" t="b">
        <v>1</v>
      </c>
      <c r="V323" t="s">
        <v>63</v>
      </c>
      <c r="W323">
        <v>1.3</v>
      </c>
    </row>
    <row r="324" spans="1:23" hidden="1" x14ac:dyDescent="0.3">
      <c r="A324" t="s">
        <v>52</v>
      </c>
      <c r="B324" t="s">
        <v>53</v>
      </c>
      <c r="C324" t="s">
        <v>17</v>
      </c>
      <c r="D324" t="s">
        <v>22</v>
      </c>
      <c r="E324" t="s">
        <v>23</v>
      </c>
      <c r="F324" t="s">
        <v>363</v>
      </c>
      <c r="G324" t="s">
        <v>478</v>
      </c>
      <c r="H324" t="s">
        <v>467</v>
      </c>
      <c r="I324" t="s">
        <v>9</v>
      </c>
      <c r="J324" t="s">
        <v>479</v>
      </c>
      <c r="K324" t="s">
        <v>480</v>
      </c>
      <c r="L324" t="s">
        <v>470</v>
      </c>
      <c r="M324">
        <v>44</v>
      </c>
      <c r="N324" t="b">
        <v>0</v>
      </c>
      <c r="O324">
        <v>0.80790960451977401</v>
      </c>
      <c r="P324">
        <v>0.77297297297297296</v>
      </c>
      <c r="Q324">
        <v>0.84615384615384615</v>
      </c>
      <c r="R324" t="s">
        <v>60</v>
      </c>
      <c r="S324" t="s">
        <v>1075</v>
      </c>
      <c r="T324" t="s">
        <v>1076</v>
      </c>
      <c r="U324" t="b">
        <v>1</v>
      </c>
      <c r="V324" t="s">
        <v>63</v>
      </c>
      <c r="W324">
        <v>1.3</v>
      </c>
    </row>
    <row r="325" spans="1:23" hidden="1" x14ac:dyDescent="0.3">
      <c r="A325" t="s">
        <v>52</v>
      </c>
      <c r="B325" t="s">
        <v>53</v>
      </c>
      <c r="C325" t="s">
        <v>17</v>
      </c>
      <c r="D325" t="s">
        <v>22</v>
      </c>
      <c r="E325" t="s">
        <v>23</v>
      </c>
      <c r="F325" t="s">
        <v>363</v>
      </c>
      <c r="G325" t="s">
        <v>483</v>
      </c>
      <c r="H325" t="s">
        <v>467</v>
      </c>
      <c r="I325" t="s">
        <v>9</v>
      </c>
      <c r="J325" t="s">
        <v>484</v>
      </c>
      <c r="K325" t="s">
        <v>485</v>
      </c>
      <c r="L325" t="s">
        <v>470</v>
      </c>
      <c r="M325">
        <v>45</v>
      </c>
      <c r="N325" t="b">
        <v>0</v>
      </c>
      <c r="O325">
        <v>0.79551820728291323</v>
      </c>
      <c r="P325">
        <v>0.75531914893617025</v>
      </c>
      <c r="Q325">
        <v>0.84023668639053251</v>
      </c>
      <c r="R325" t="s">
        <v>60</v>
      </c>
      <c r="S325" t="s">
        <v>1077</v>
      </c>
      <c r="T325" t="s">
        <v>1078</v>
      </c>
      <c r="U325" t="b">
        <v>1</v>
      </c>
      <c r="V325" t="s">
        <v>63</v>
      </c>
      <c r="W325">
        <v>1.3</v>
      </c>
    </row>
    <row r="326" spans="1:23" hidden="1" x14ac:dyDescent="0.3">
      <c r="A326" t="s">
        <v>52</v>
      </c>
      <c r="B326" t="s">
        <v>53</v>
      </c>
      <c r="C326" t="s">
        <v>17</v>
      </c>
      <c r="D326" t="s">
        <v>22</v>
      </c>
      <c r="E326" t="s">
        <v>23</v>
      </c>
      <c r="F326" t="s">
        <v>363</v>
      </c>
      <c r="G326" t="s">
        <v>488</v>
      </c>
      <c r="H326" t="s">
        <v>467</v>
      </c>
      <c r="I326" t="s">
        <v>9</v>
      </c>
      <c r="J326" t="s">
        <v>489</v>
      </c>
      <c r="K326" t="s">
        <v>490</v>
      </c>
      <c r="L326" t="s">
        <v>470</v>
      </c>
      <c r="M326">
        <v>46</v>
      </c>
      <c r="N326" t="b">
        <v>0</v>
      </c>
      <c r="O326">
        <v>0.79069767441860461</v>
      </c>
      <c r="P326">
        <v>0.77714285714285714</v>
      </c>
      <c r="Q326">
        <v>0.80473372781065089</v>
      </c>
      <c r="R326" t="s">
        <v>60</v>
      </c>
      <c r="S326" t="s">
        <v>1079</v>
      </c>
      <c r="T326" t="s">
        <v>1080</v>
      </c>
      <c r="U326" t="b">
        <v>1</v>
      </c>
      <c r="V326" t="s">
        <v>63</v>
      </c>
      <c r="W326">
        <v>1.3</v>
      </c>
    </row>
    <row r="327" spans="1:23" hidden="1" x14ac:dyDescent="0.3">
      <c r="A327" t="s">
        <v>52</v>
      </c>
      <c r="B327" t="s">
        <v>53</v>
      </c>
      <c r="C327" t="s">
        <v>17</v>
      </c>
      <c r="D327" t="s">
        <v>22</v>
      </c>
      <c r="E327" t="s">
        <v>23</v>
      </c>
      <c r="F327" t="s">
        <v>363</v>
      </c>
      <c r="G327" t="s">
        <v>493</v>
      </c>
      <c r="H327" t="s">
        <v>467</v>
      </c>
      <c r="I327" t="s">
        <v>9</v>
      </c>
      <c r="J327" t="s">
        <v>494</v>
      </c>
      <c r="K327" t="s">
        <v>495</v>
      </c>
      <c r="L327" t="s">
        <v>470</v>
      </c>
      <c r="M327">
        <v>47</v>
      </c>
      <c r="N327" t="b">
        <v>0</v>
      </c>
      <c r="O327">
        <v>0.79190751445086704</v>
      </c>
      <c r="P327">
        <v>0.77401129943502822</v>
      </c>
      <c r="Q327">
        <v>0.81065088757396453</v>
      </c>
      <c r="R327" t="s">
        <v>60</v>
      </c>
      <c r="S327" t="s">
        <v>1081</v>
      </c>
      <c r="T327" t="s">
        <v>1082</v>
      </c>
      <c r="U327" t="b">
        <v>1</v>
      </c>
      <c r="V327" t="s">
        <v>63</v>
      </c>
      <c r="W327">
        <v>1.2</v>
      </c>
    </row>
    <row r="328" spans="1:23" hidden="1" x14ac:dyDescent="0.3">
      <c r="A328" t="s">
        <v>52</v>
      </c>
      <c r="B328" t="s">
        <v>53</v>
      </c>
      <c r="C328" t="s">
        <v>17</v>
      </c>
      <c r="D328" t="s">
        <v>22</v>
      </c>
      <c r="E328" t="s">
        <v>23</v>
      </c>
      <c r="F328" t="s">
        <v>363</v>
      </c>
      <c r="G328" t="s">
        <v>498</v>
      </c>
      <c r="H328" t="s">
        <v>467</v>
      </c>
      <c r="I328" t="s">
        <v>9</v>
      </c>
      <c r="J328" t="s">
        <v>499</v>
      </c>
      <c r="K328" t="s">
        <v>500</v>
      </c>
      <c r="L328" t="s">
        <v>470</v>
      </c>
      <c r="M328">
        <v>48</v>
      </c>
      <c r="N328" t="b">
        <v>0</v>
      </c>
      <c r="O328">
        <v>0.81460674157303359</v>
      </c>
      <c r="P328">
        <v>0.77540106951871657</v>
      </c>
      <c r="Q328">
        <v>0.85798816568047342</v>
      </c>
      <c r="R328" t="s">
        <v>60</v>
      </c>
      <c r="S328" t="s">
        <v>1083</v>
      </c>
      <c r="T328" t="s">
        <v>1084</v>
      </c>
      <c r="U328" t="b">
        <v>1</v>
      </c>
      <c r="V328" t="s">
        <v>63</v>
      </c>
      <c r="W328">
        <v>1.9</v>
      </c>
    </row>
    <row r="329" spans="1:23" hidden="1" x14ac:dyDescent="0.3">
      <c r="A329" t="s">
        <v>52</v>
      </c>
      <c r="B329" t="s">
        <v>53</v>
      </c>
      <c r="C329" t="s">
        <v>17</v>
      </c>
      <c r="D329" t="s">
        <v>22</v>
      </c>
      <c r="E329" t="s">
        <v>23</v>
      </c>
      <c r="F329" t="s">
        <v>363</v>
      </c>
      <c r="G329" t="s">
        <v>503</v>
      </c>
      <c r="H329" t="s">
        <v>467</v>
      </c>
      <c r="I329" t="s">
        <v>9</v>
      </c>
      <c r="J329" t="s">
        <v>504</v>
      </c>
      <c r="K329" t="s">
        <v>505</v>
      </c>
      <c r="L329" t="s">
        <v>470</v>
      </c>
      <c r="M329">
        <v>49</v>
      </c>
      <c r="N329" t="b">
        <v>0</v>
      </c>
      <c r="O329">
        <v>0.8114285714285715</v>
      </c>
      <c r="P329">
        <v>0.78453038674033149</v>
      </c>
      <c r="Q329">
        <v>0.84023668639053251</v>
      </c>
      <c r="R329" t="s">
        <v>60</v>
      </c>
      <c r="S329" t="s">
        <v>1085</v>
      </c>
      <c r="T329" t="s">
        <v>1086</v>
      </c>
      <c r="U329" t="b">
        <v>1</v>
      </c>
      <c r="V329" t="s">
        <v>63</v>
      </c>
      <c r="W329">
        <v>1.3</v>
      </c>
    </row>
    <row r="330" spans="1:23" hidden="1" x14ac:dyDescent="0.3">
      <c r="A330" t="s">
        <v>52</v>
      </c>
      <c r="B330" t="s">
        <v>53</v>
      </c>
      <c r="C330" t="s">
        <v>17</v>
      </c>
      <c r="D330" t="s">
        <v>22</v>
      </c>
      <c r="E330" t="s">
        <v>23</v>
      </c>
      <c r="F330" t="s">
        <v>363</v>
      </c>
      <c r="G330" t="s">
        <v>508</v>
      </c>
      <c r="H330" t="s">
        <v>467</v>
      </c>
      <c r="I330" t="s">
        <v>9</v>
      </c>
      <c r="J330" t="s">
        <v>509</v>
      </c>
      <c r="K330" t="s">
        <v>510</v>
      </c>
      <c r="L330" t="s">
        <v>470</v>
      </c>
      <c r="M330">
        <v>50</v>
      </c>
      <c r="N330" t="b">
        <v>0</v>
      </c>
      <c r="O330">
        <v>0.8</v>
      </c>
      <c r="P330">
        <v>0.78409090909090906</v>
      </c>
      <c r="Q330">
        <v>0.81656804733727806</v>
      </c>
      <c r="R330" t="s">
        <v>60</v>
      </c>
      <c r="S330" t="s">
        <v>1087</v>
      </c>
      <c r="T330" t="s">
        <v>1088</v>
      </c>
      <c r="U330" t="b">
        <v>1</v>
      </c>
      <c r="V330" t="s">
        <v>63</v>
      </c>
      <c r="W330">
        <v>1.3</v>
      </c>
    </row>
    <row r="331" spans="1:23" hidden="1" x14ac:dyDescent="0.3">
      <c r="A331" t="s">
        <v>52</v>
      </c>
      <c r="B331" t="s">
        <v>53</v>
      </c>
      <c r="C331" t="s">
        <v>17</v>
      </c>
      <c r="D331" t="s">
        <v>22</v>
      </c>
      <c r="E331" t="s">
        <v>23</v>
      </c>
      <c r="F331" t="s">
        <v>363</v>
      </c>
      <c r="G331" t="s">
        <v>513</v>
      </c>
      <c r="H331" t="s">
        <v>467</v>
      </c>
      <c r="I331" t="s">
        <v>9</v>
      </c>
      <c r="J331" t="s">
        <v>514</v>
      </c>
      <c r="K331" t="s">
        <v>515</v>
      </c>
      <c r="L331" t="s">
        <v>470</v>
      </c>
      <c r="M331">
        <v>51</v>
      </c>
      <c r="N331" t="b">
        <v>0</v>
      </c>
      <c r="O331">
        <v>0.8439306358381502</v>
      </c>
      <c r="P331">
        <v>0.82485875706214684</v>
      </c>
      <c r="Q331">
        <v>0.86390532544378695</v>
      </c>
      <c r="R331" t="s">
        <v>60</v>
      </c>
      <c r="S331" t="s">
        <v>1089</v>
      </c>
      <c r="T331" t="s">
        <v>1090</v>
      </c>
      <c r="U331" t="b">
        <v>1</v>
      </c>
      <c r="V331" t="s">
        <v>63</v>
      </c>
      <c r="W331">
        <v>1.3</v>
      </c>
    </row>
    <row r="332" spans="1:23" hidden="1" x14ac:dyDescent="0.3">
      <c r="A332" t="s">
        <v>52</v>
      </c>
      <c r="B332" t="s">
        <v>53</v>
      </c>
      <c r="C332" t="s">
        <v>17</v>
      </c>
      <c r="D332" t="s">
        <v>22</v>
      </c>
      <c r="E332" t="s">
        <v>23</v>
      </c>
      <c r="F332" t="s">
        <v>363</v>
      </c>
      <c r="G332" t="s">
        <v>518</v>
      </c>
      <c r="H332" t="s">
        <v>467</v>
      </c>
      <c r="I332" t="s">
        <v>9</v>
      </c>
      <c r="J332" t="s">
        <v>519</v>
      </c>
      <c r="K332" t="s">
        <v>520</v>
      </c>
      <c r="L332" t="s">
        <v>470</v>
      </c>
      <c r="M332">
        <v>52</v>
      </c>
      <c r="N332" t="b">
        <v>0</v>
      </c>
      <c r="O332">
        <v>0.79646017699115035</v>
      </c>
      <c r="P332">
        <v>0.79411764705882348</v>
      </c>
      <c r="Q332">
        <v>0.79881656804733725</v>
      </c>
      <c r="R332" t="s">
        <v>60</v>
      </c>
      <c r="S332" t="s">
        <v>1091</v>
      </c>
      <c r="T332" t="s">
        <v>1092</v>
      </c>
      <c r="U332" t="b">
        <v>1</v>
      </c>
      <c r="V332" t="s">
        <v>63</v>
      </c>
      <c r="W332">
        <v>1.3</v>
      </c>
    </row>
    <row r="333" spans="1:23" hidden="1" x14ac:dyDescent="0.3">
      <c r="A333" t="s">
        <v>52</v>
      </c>
      <c r="B333" t="s">
        <v>53</v>
      </c>
      <c r="C333" t="s">
        <v>17</v>
      </c>
      <c r="D333" t="s">
        <v>22</v>
      </c>
      <c r="E333" t="s">
        <v>23</v>
      </c>
      <c r="F333" t="s">
        <v>363</v>
      </c>
      <c r="G333" t="s">
        <v>523</v>
      </c>
      <c r="H333" t="s">
        <v>467</v>
      </c>
      <c r="I333" t="s">
        <v>9</v>
      </c>
      <c r="J333" t="s">
        <v>524</v>
      </c>
      <c r="K333" t="s">
        <v>525</v>
      </c>
      <c r="L333" t="s">
        <v>470</v>
      </c>
      <c r="M333">
        <v>53</v>
      </c>
      <c r="N333" t="b">
        <v>0</v>
      </c>
      <c r="O333">
        <v>0.79083094555873923</v>
      </c>
      <c r="P333">
        <v>0.76666666666666672</v>
      </c>
      <c r="Q333">
        <v>0.81656804733727806</v>
      </c>
      <c r="R333" t="s">
        <v>60</v>
      </c>
      <c r="S333" t="s">
        <v>1093</v>
      </c>
      <c r="T333" t="s">
        <v>1094</v>
      </c>
      <c r="U333" t="b">
        <v>1</v>
      </c>
      <c r="V333" t="s">
        <v>63</v>
      </c>
      <c r="W333">
        <v>1.5</v>
      </c>
    </row>
    <row r="334" spans="1:23" hidden="1" x14ac:dyDescent="0.3">
      <c r="A334" t="s">
        <v>52</v>
      </c>
      <c r="B334" t="s">
        <v>53</v>
      </c>
      <c r="C334" t="s">
        <v>17</v>
      </c>
      <c r="D334" t="s">
        <v>22</v>
      </c>
      <c r="E334" t="s">
        <v>23</v>
      </c>
      <c r="F334" t="s">
        <v>363</v>
      </c>
      <c r="G334" t="s">
        <v>528</v>
      </c>
      <c r="H334" t="s">
        <v>467</v>
      </c>
      <c r="I334" t="s">
        <v>9</v>
      </c>
      <c r="J334" t="s">
        <v>529</v>
      </c>
      <c r="K334" t="s">
        <v>530</v>
      </c>
      <c r="L334" t="s">
        <v>470</v>
      </c>
      <c r="M334">
        <v>54</v>
      </c>
      <c r="N334" t="b">
        <v>0</v>
      </c>
      <c r="O334">
        <v>0.82558139534883723</v>
      </c>
      <c r="P334">
        <v>0.81142857142857139</v>
      </c>
      <c r="Q334">
        <v>0.84023668639053251</v>
      </c>
      <c r="R334" t="s">
        <v>60</v>
      </c>
      <c r="S334" t="s">
        <v>1095</v>
      </c>
      <c r="T334" t="s">
        <v>1096</v>
      </c>
      <c r="U334" t="b">
        <v>1</v>
      </c>
      <c r="V334" t="s">
        <v>63</v>
      </c>
      <c r="W334">
        <v>1.2</v>
      </c>
    </row>
    <row r="335" spans="1:23" hidden="1" x14ac:dyDescent="0.3">
      <c r="A335" t="s">
        <v>52</v>
      </c>
      <c r="B335" t="s">
        <v>53</v>
      </c>
      <c r="C335" t="s">
        <v>17</v>
      </c>
      <c r="D335" t="s">
        <v>22</v>
      </c>
      <c r="E335" t="s">
        <v>23</v>
      </c>
      <c r="F335" t="s">
        <v>363</v>
      </c>
      <c r="G335" t="s">
        <v>533</v>
      </c>
      <c r="H335" t="s">
        <v>467</v>
      </c>
      <c r="I335" t="s">
        <v>9</v>
      </c>
      <c r="J335" t="s">
        <v>534</v>
      </c>
      <c r="K335" t="s">
        <v>535</v>
      </c>
      <c r="L335" t="s">
        <v>470</v>
      </c>
      <c r="M335">
        <v>55</v>
      </c>
      <c r="N335" t="b">
        <v>0</v>
      </c>
      <c r="O335">
        <v>0.82051282051282048</v>
      </c>
      <c r="P335">
        <v>0.79120879120879117</v>
      </c>
      <c r="Q335">
        <v>0.85207100591715978</v>
      </c>
      <c r="R335" t="s">
        <v>60</v>
      </c>
      <c r="S335" t="s">
        <v>1097</v>
      </c>
      <c r="T335" t="s">
        <v>1098</v>
      </c>
      <c r="U335" t="b">
        <v>1</v>
      </c>
      <c r="V335" t="s">
        <v>63</v>
      </c>
      <c r="W335">
        <v>1.9</v>
      </c>
    </row>
    <row r="336" spans="1:23" hidden="1" x14ac:dyDescent="0.3">
      <c r="A336" t="s">
        <v>52</v>
      </c>
      <c r="B336" t="s">
        <v>53</v>
      </c>
      <c r="C336" t="s">
        <v>17</v>
      </c>
      <c r="D336" t="s">
        <v>22</v>
      </c>
      <c r="E336" t="s">
        <v>23</v>
      </c>
      <c r="F336" t="s">
        <v>363</v>
      </c>
      <c r="G336" t="s">
        <v>538</v>
      </c>
      <c r="H336" t="s">
        <v>467</v>
      </c>
      <c r="I336" t="s">
        <v>9</v>
      </c>
      <c r="J336" t="s">
        <v>539</v>
      </c>
      <c r="K336" t="s">
        <v>540</v>
      </c>
      <c r="L336" t="s">
        <v>470</v>
      </c>
      <c r="M336">
        <v>56</v>
      </c>
      <c r="N336" t="b">
        <v>0</v>
      </c>
      <c r="O336">
        <v>0.82456140350877183</v>
      </c>
      <c r="P336">
        <v>0.81502890173410403</v>
      </c>
      <c r="Q336">
        <v>0.83431952662721898</v>
      </c>
      <c r="R336" t="s">
        <v>60</v>
      </c>
      <c r="S336" t="s">
        <v>1099</v>
      </c>
      <c r="T336" t="s">
        <v>1100</v>
      </c>
      <c r="U336" t="b">
        <v>1</v>
      </c>
      <c r="V336" t="s">
        <v>63</v>
      </c>
      <c r="W336">
        <v>1.3</v>
      </c>
    </row>
    <row r="337" spans="1:23" hidden="1" x14ac:dyDescent="0.3">
      <c r="A337" t="s">
        <v>52</v>
      </c>
      <c r="B337" t="s">
        <v>53</v>
      </c>
      <c r="C337" t="s">
        <v>17</v>
      </c>
      <c r="D337" t="s">
        <v>22</v>
      </c>
      <c r="E337" t="s">
        <v>23</v>
      </c>
      <c r="F337" t="s">
        <v>363</v>
      </c>
      <c r="G337" t="s">
        <v>543</v>
      </c>
      <c r="H337" t="s">
        <v>467</v>
      </c>
      <c r="I337" t="s">
        <v>9</v>
      </c>
      <c r="J337" t="s">
        <v>544</v>
      </c>
      <c r="K337" t="s">
        <v>545</v>
      </c>
      <c r="L337" t="s">
        <v>470</v>
      </c>
      <c r="M337">
        <v>57</v>
      </c>
      <c r="N337" t="b">
        <v>0</v>
      </c>
      <c r="O337">
        <v>0.80571428571428572</v>
      </c>
      <c r="P337">
        <v>0.77900552486187846</v>
      </c>
      <c r="Q337">
        <v>0.83431952662721898</v>
      </c>
      <c r="R337" t="s">
        <v>60</v>
      </c>
      <c r="S337" t="s">
        <v>1101</v>
      </c>
      <c r="T337" t="s">
        <v>1102</v>
      </c>
      <c r="U337" t="b">
        <v>1</v>
      </c>
      <c r="V337" t="s">
        <v>63</v>
      </c>
      <c r="W337">
        <v>1.3</v>
      </c>
    </row>
    <row r="338" spans="1:23" hidden="1" x14ac:dyDescent="0.3">
      <c r="A338" t="s">
        <v>52</v>
      </c>
      <c r="B338" t="s">
        <v>53</v>
      </c>
      <c r="C338" t="s">
        <v>17</v>
      </c>
      <c r="D338" t="s">
        <v>22</v>
      </c>
      <c r="E338" t="s">
        <v>23</v>
      </c>
      <c r="F338" t="s">
        <v>363</v>
      </c>
      <c r="G338" t="s">
        <v>548</v>
      </c>
      <c r="H338" t="s">
        <v>467</v>
      </c>
      <c r="I338" t="s">
        <v>9</v>
      </c>
      <c r="J338" t="s">
        <v>549</v>
      </c>
      <c r="K338" t="s">
        <v>550</v>
      </c>
      <c r="L338" t="s">
        <v>470</v>
      </c>
      <c r="M338">
        <v>58</v>
      </c>
      <c r="N338" t="b">
        <v>0</v>
      </c>
      <c r="O338">
        <v>0.80341880341880345</v>
      </c>
      <c r="P338">
        <v>0.77472527472527475</v>
      </c>
      <c r="Q338">
        <v>0.83431952662721898</v>
      </c>
      <c r="R338" t="s">
        <v>60</v>
      </c>
      <c r="S338" t="s">
        <v>1103</v>
      </c>
      <c r="T338" t="s">
        <v>1104</v>
      </c>
      <c r="U338" t="b">
        <v>1</v>
      </c>
      <c r="V338" t="s">
        <v>63</v>
      </c>
      <c r="W338">
        <v>1.3</v>
      </c>
    </row>
    <row r="339" spans="1:23" hidden="1" x14ac:dyDescent="0.3">
      <c r="A339" t="s">
        <v>52</v>
      </c>
      <c r="B339" t="s">
        <v>53</v>
      </c>
      <c r="C339" t="s">
        <v>17</v>
      </c>
      <c r="D339" t="s">
        <v>22</v>
      </c>
      <c r="E339" t="s">
        <v>23</v>
      </c>
      <c r="F339" t="s">
        <v>363</v>
      </c>
      <c r="G339" t="s">
        <v>553</v>
      </c>
      <c r="H339" t="s">
        <v>467</v>
      </c>
      <c r="I339" t="s">
        <v>9</v>
      </c>
      <c r="J339" t="s">
        <v>554</v>
      </c>
      <c r="K339" t="s">
        <v>555</v>
      </c>
      <c r="L339" t="s">
        <v>470</v>
      </c>
      <c r="M339">
        <v>59</v>
      </c>
      <c r="N339" t="b">
        <v>0</v>
      </c>
      <c r="O339">
        <v>0.77192982456140358</v>
      </c>
      <c r="P339">
        <v>0.76300578034682076</v>
      </c>
      <c r="Q339">
        <v>0.78106508875739644</v>
      </c>
      <c r="R339" t="s">
        <v>60</v>
      </c>
      <c r="S339" t="s">
        <v>1105</v>
      </c>
      <c r="T339" t="s">
        <v>1106</v>
      </c>
      <c r="U339" t="b">
        <v>1</v>
      </c>
      <c r="V339" t="s">
        <v>63</v>
      </c>
      <c r="W339">
        <v>1.5</v>
      </c>
    </row>
    <row r="340" spans="1:23" hidden="1" x14ac:dyDescent="0.3">
      <c r="A340" t="s">
        <v>52</v>
      </c>
      <c r="B340" t="s">
        <v>53</v>
      </c>
      <c r="C340" t="s">
        <v>17</v>
      </c>
      <c r="D340" t="s">
        <v>22</v>
      </c>
      <c r="E340" t="s">
        <v>23</v>
      </c>
      <c r="F340" t="s">
        <v>363</v>
      </c>
      <c r="G340" t="s">
        <v>558</v>
      </c>
      <c r="H340" t="s">
        <v>467</v>
      </c>
      <c r="I340" t="s">
        <v>9</v>
      </c>
      <c r="J340" t="s">
        <v>559</v>
      </c>
      <c r="K340" t="s">
        <v>560</v>
      </c>
      <c r="L340" t="s">
        <v>470</v>
      </c>
      <c r="M340">
        <v>60</v>
      </c>
      <c r="N340" t="b">
        <v>0</v>
      </c>
      <c r="O340">
        <v>0.78962536023054752</v>
      </c>
      <c r="P340">
        <v>0.7696629213483146</v>
      </c>
      <c r="Q340">
        <v>0.81065088757396453</v>
      </c>
      <c r="R340" t="s">
        <v>60</v>
      </c>
      <c r="S340" t="s">
        <v>1107</v>
      </c>
      <c r="T340" t="s">
        <v>1108</v>
      </c>
      <c r="U340" t="b">
        <v>1</v>
      </c>
      <c r="V340" t="s">
        <v>63</v>
      </c>
      <c r="W340">
        <v>1.2</v>
      </c>
    </row>
    <row r="341" spans="1:23" hidden="1" x14ac:dyDescent="0.3">
      <c r="A341" t="s">
        <v>52</v>
      </c>
      <c r="B341" t="s">
        <v>53</v>
      </c>
      <c r="C341" t="s">
        <v>17</v>
      </c>
      <c r="D341" t="s">
        <v>22</v>
      </c>
      <c r="E341" t="s">
        <v>23</v>
      </c>
      <c r="F341" t="s">
        <v>363</v>
      </c>
      <c r="G341" t="s">
        <v>563</v>
      </c>
      <c r="H341" t="s">
        <v>467</v>
      </c>
      <c r="I341" t="s">
        <v>9</v>
      </c>
      <c r="J341" t="s">
        <v>564</v>
      </c>
      <c r="K341" t="s">
        <v>565</v>
      </c>
      <c r="L341" t="s">
        <v>470</v>
      </c>
      <c r="M341">
        <v>61</v>
      </c>
      <c r="N341" t="b">
        <v>0</v>
      </c>
      <c r="O341">
        <v>0.79096045197740117</v>
      </c>
      <c r="P341">
        <v>0.7567567567567568</v>
      </c>
      <c r="Q341">
        <v>0.82840236686390534</v>
      </c>
      <c r="R341" t="s">
        <v>60</v>
      </c>
      <c r="S341" t="s">
        <v>1109</v>
      </c>
      <c r="T341" t="s">
        <v>1110</v>
      </c>
      <c r="U341" t="b">
        <v>1</v>
      </c>
      <c r="V341" t="s">
        <v>63</v>
      </c>
      <c r="W341">
        <v>1.3</v>
      </c>
    </row>
    <row r="342" spans="1:23" hidden="1" x14ac:dyDescent="0.3">
      <c r="A342" t="s">
        <v>52</v>
      </c>
      <c r="B342" t="s">
        <v>53</v>
      </c>
      <c r="C342" t="s">
        <v>17</v>
      </c>
      <c r="D342" t="s">
        <v>22</v>
      </c>
      <c r="E342" t="s">
        <v>23</v>
      </c>
      <c r="F342" t="s">
        <v>363</v>
      </c>
      <c r="G342" t="s">
        <v>568</v>
      </c>
      <c r="H342" t="s">
        <v>569</v>
      </c>
      <c r="I342" t="s">
        <v>11</v>
      </c>
      <c r="J342" t="s">
        <v>570</v>
      </c>
      <c r="K342" t="s">
        <v>571</v>
      </c>
      <c r="L342" t="s">
        <v>572</v>
      </c>
      <c r="M342">
        <v>42</v>
      </c>
      <c r="N342" t="b">
        <v>0</v>
      </c>
      <c r="O342">
        <v>0.82352941176470584</v>
      </c>
      <c r="P342">
        <v>0.79746835443037978</v>
      </c>
      <c r="Q342">
        <v>0.85135135135135132</v>
      </c>
      <c r="R342" t="s">
        <v>60</v>
      </c>
      <c r="S342" t="s">
        <v>1111</v>
      </c>
      <c r="T342" t="s">
        <v>1112</v>
      </c>
      <c r="U342" t="b">
        <v>1</v>
      </c>
      <c r="V342" t="s">
        <v>63</v>
      </c>
      <c r="W342">
        <v>1.8</v>
      </c>
    </row>
    <row r="343" spans="1:23" hidden="1" x14ac:dyDescent="0.3">
      <c r="A343" t="s">
        <v>52</v>
      </c>
      <c r="B343" t="s">
        <v>53</v>
      </c>
      <c r="C343" t="s">
        <v>17</v>
      </c>
      <c r="D343" t="s">
        <v>22</v>
      </c>
      <c r="E343" t="s">
        <v>23</v>
      </c>
      <c r="F343" t="s">
        <v>363</v>
      </c>
      <c r="G343" t="s">
        <v>575</v>
      </c>
      <c r="H343" t="s">
        <v>569</v>
      </c>
      <c r="I343" t="s">
        <v>11</v>
      </c>
      <c r="J343" t="s">
        <v>576</v>
      </c>
      <c r="K343" t="s">
        <v>577</v>
      </c>
      <c r="L343" t="s">
        <v>572</v>
      </c>
      <c r="M343">
        <v>43</v>
      </c>
      <c r="N343" t="b">
        <v>0</v>
      </c>
      <c r="O343">
        <v>0.83116883116883122</v>
      </c>
      <c r="P343">
        <v>0.8</v>
      </c>
      <c r="Q343">
        <v>0.86486486486486491</v>
      </c>
      <c r="R343" t="s">
        <v>60</v>
      </c>
      <c r="S343" t="s">
        <v>1113</v>
      </c>
      <c r="T343" t="s">
        <v>1114</v>
      </c>
      <c r="U343" t="b">
        <v>1</v>
      </c>
      <c r="V343" t="s">
        <v>63</v>
      </c>
      <c r="W343">
        <v>1.4</v>
      </c>
    </row>
    <row r="344" spans="1:23" hidden="1" x14ac:dyDescent="0.3">
      <c r="A344" t="s">
        <v>52</v>
      </c>
      <c r="B344" t="s">
        <v>53</v>
      </c>
      <c r="C344" t="s">
        <v>17</v>
      </c>
      <c r="D344" t="s">
        <v>22</v>
      </c>
      <c r="E344" t="s">
        <v>23</v>
      </c>
      <c r="F344" t="s">
        <v>363</v>
      </c>
      <c r="G344" t="s">
        <v>580</v>
      </c>
      <c r="H344" t="s">
        <v>569</v>
      </c>
      <c r="I344" t="s">
        <v>11</v>
      </c>
      <c r="J344" t="s">
        <v>581</v>
      </c>
      <c r="K344" t="s">
        <v>582</v>
      </c>
      <c r="L344" t="s">
        <v>572</v>
      </c>
      <c r="M344">
        <v>44</v>
      </c>
      <c r="N344" t="b">
        <v>0</v>
      </c>
      <c r="O344">
        <v>0.82560706401766004</v>
      </c>
      <c r="P344">
        <v>0.80952380952380953</v>
      </c>
      <c r="Q344">
        <v>0.84234234234234229</v>
      </c>
      <c r="R344" t="s">
        <v>60</v>
      </c>
      <c r="S344" t="s">
        <v>1115</v>
      </c>
      <c r="T344" t="s">
        <v>1116</v>
      </c>
      <c r="U344" t="b">
        <v>1</v>
      </c>
      <c r="V344" t="s">
        <v>63</v>
      </c>
      <c r="W344">
        <v>1.6</v>
      </c>
    </row>
    <row r="345" spans="1:23" hidden="1" x14ac:dyDescent="0.3">
      <c r="A345" t="s">
        <v>52</v>
      </c>
      <c r="B345" t="s">
        <v>53</v>
      </c>
      <c r="C345" t="s">
        <v>17</v>
      </c>
      <c r="D345" t="s">
        <v>22</v>
      </c>
      <c r="E345" t="s">
        <v>23</v>
      </c>
      <c r="F345" t="s">
        <v>363</v>
      </c>
      <c r="G345" t="s">
        <v>585</v>
      </c>
      <c r="H345" t="s">
        <v>569</v>
      </c>
      <c r="I345" t="s">
        <v>11</v>
      </c>
      <c r="J345" t="s">
        <v>586</v>
      </c>
      <c r="K345" t="s">
        <v>587</v>
      </c>
      <c r="L345" t="s">
        <v>572</v>
      </c>
      <c r="M345">
        <v>45</v>
      </c>
      <c r="N345" t="b">
        <v>0</v>
      </c>
      <c r="O345">
        <v>0.82608695652173925</v>
      </c>
      <c r="P345">
        <v>0.79831932773109249</v>
      </c>
      <c r="Q345">
        <v>0.85585585585585588</v>
      </c>
      <c r="R345" t="s">
        <v>60</v>
      </c>
      <c r="S345" t="s">
        <v>1117</v>
      </c>
      <c r="T345" t="s">
        <v>1118</v>
      </c>
      <c r="U345" t="b">
        <v>1</v>
      </c>
      <c r="V345" t="s">
        <v>63</v>
      </c>
      <c r="W345">
        <v>1.4</v>
      </c>
    </row>
    <row r="346" spans="1:23" hidden="1" x14ac:dyDescent="0.3">
      <c r="A346" t="s">
        <v>52</v>
      </c>
      <c r="B346" t="s">
        <v>53</v>
      </c>
      <c r="C346" t="s">
        <v>17</v>
      </c>
      <c r="D346" t="s">
        <v>22</v>
      </c>
      <c r="E346" t="s">
        <v>23</v>
      </c>
      <c r="F346" t="s">
        <v>363</v>
      </c>
      <c r="G346" t="s">
        <v>590</v>
      </c>
      <c r="H346" t="s">
        <v>569</v>
      </c>
      <c r="I346" t="s">
        <v>11</v>
      </c>
      <c r="J346" t="s">
        <v>591</v>
      </c>
      <c r="K346" t="s">
        <v>592</v>
      </c>
      <c r="L346" t="s">
        <v>572</v>
      </c>
      <c r="M346">
        <v>46</v>
      </c>
      <c r="N346" t="b">
        <v>0</v>
      </c>
      <c r="O346">
        <v>0.83885209713024289</v>
      </c>
      <c r="P346">
        <v>0.82251082251082253</v>
      </c>
      <c r="Q346">
        <v>0.85585585585585588</v>
      </c>
      <c r="R346" t="s">
        <v>60</v>
      </c>
      <c r="S346" t="s">
        <v>1119</v>
      </c>
      <c r="T346" t="s">
        <v>1120</v>
      </c>
      <c r="U346" t="b">
        <v>1</v>
      </c>
      <c r="V346" t="s">
        <v>63</v>
      </c>
      <c r="W346">
        <v>1.5</v>
      </c>
    </row>
    <row r="347" spans="1:23" hidden="1" x14ac:dyDescent="0.3">
      <c r="A347" t="s">
        <v>52</v>
      </c>
      <c r="B347" t="s">
        <v>53</v>
      </c>
      <c r="C347" t="s">
        <v>17</v>
      </c>
      <c r="D347" t="s">
        <v>22</v>
      </c>
      <c r="E347" t="s">
        <v>23</v>
      </c>
      <c r="F347" t="s">
        <v>363</v>
      </c>
      <c r="G347" t="s">
        <v>595</v>
      </c>
      <c r="H347" t="s">
        <v>569</v>
      </c>
      <c r="I347" t="s">
        <v>11</v>
      </c>
      <c r="J347" t="s">
        <v>596</v>
      </c>
      <c r="K347" t="s">
        <v>597</v>
      </c>
      <c r="L347" t="s">
        <v>572</v>
      </c>
      <c r="M347">
        <v>47</v>
      </c>
      <c r="N347" t="b">
        <v>0</v>
      </c>
      <c r="O347">
        <v>0.82926829268292679</v>
      </c>
      <c r="P347">
        <v>0.81659388646288211</v>
      </c>
      <c r="Q347">
        <v>0.84234234234234229</v>
      </c>
      <c r="R347" t="s">
        <v>60</v>
      </c>
      <c r="S347" t="s">
        <v>1121</v>
      </c>
      <c r="T347" t="s">
        <v>1122</v>
      </c>
      <c r="U347" t="b">
        <v>1</v>
      </c>
      <c r="V347" t="s">
        <v>63</v>
      </c>
      <c r="W347">
        <v>1.3</v>
      </c>
    </row>
    <row r="348" spans="1:23" hidden="1" x14ac:dyDescent="0.3">
      <c r="A348" t="s">
        <v>52</v>
      </c>
      <c r="B348" t="s">
        <v>53</v>
      </c>
      <c r="C348" t="s">
        <v>17</v>
      </c>
      <c r="D348" t="s">
        <v>22</v>
      </c>
      <c r="E348" t="s">
        <v>23</v>
      </c>
      <c r="F348" t="s">
        <v>363</v>
      </c>
      <c r="G348" t="s">
        <v>600</v>
      </c>
      <c r="H348" t="s">
        <v>569</v>
      </c>
      <c r="I348" t="s">
        <v>11</v>
      </c>
      <c r="J348" t="s">
        <v>601</v>
      </c>
      <c r="K348" t="s">
        <v>602</v>
      </c>
      <c r="L348" t="s">
        <v>572</v>
      </c>
      <c r="M348">
        <v>48</v>
      </c>
      <c r="N348" t="b">
        <v>0</v>
      </c>
      <c r="O348">
        <v>0.82352941176470584</v>
      </c>
      <c r="P348">
        <v>0.79746835443037978</v>
      </c>
      <c r="Q348">
        <v>0.85135135135135132</v>
      </c>
      <c r="R348" t="s">
        <v>60</v>
      </c>
      <c r="S348" t="s">
        <v>1123</v>
      </c>
      <c r="T348" t="s">
        <v>1124</v>
      </c>
      <c r="U348" t="b">
        <v>1</v>
      </c>
      <c r="V348" t="s">
        <v>63</v>
      </c>
      <c r="W348">
        <v>1.8</v>
      </c>
    </row>
    <row r="349" spans="1:23" hidden="1" x14ac:dyDescent="0.3">
      <c r="A349" t="s">
        <v>52</v>
      </c>
      <c r="B349" t="s">
        <v>53</v>
      </c>
      <c r="C349" t="s">
        <v>17</v>
      </c>
      <c r="D349" t="s">
        <v>22</v>
      </c>
      <c r="E349" t="s">
        <v>23</v>
      </c>
      <c r="F349" t="s">
        <v>363</v>
      </c>
      <c r="G349" t="s">
        <v>605</v>
      </c>
      <c r="H349" t="s">
        <v>569</v>
      </c>
      <c r="I349" t="s">
        <v>11</v>
      </c>
      <c r="J349" t="s">
        <v>606</v>
      </c>
      <c r="K349" t="s">
        <v>607</v>
      </c>
      <c r="L349" t="s">
        <v>572</v>
      </c>
      <c r="M349">
        <v>49</v>
      </c>
      <c r="N349" t="b">
        <v>0</v>
      </c>
      <c r="O349">
        <v>0.82300884955752207</v>
      </c>
      <c r="P349">
        <v>0.80869565217391304</v>
      </c>
      <c r="Q349">
        <v>0.83783783783783783</v>
      </c>
      <c r="R349" t="s">
        <v>60</v>
      </c>
      <c r="S349" t="s">
        <v>1125</v>
      </c>
      <c r="T349" t="s">
        <v>1126</v>
      </c>
      <c r="U349" t="b">
        <v>1</v>
      </c>
      <c r="V349" t="s">
        <v>63</v>
      </c>
      <c r="W349">
        <v>1.4</v>
      </c>
    </row>
    <row r="350" spans="1:23" hidden="1" x14ac:dyDescent="0.3">
      <c r="A350" t="s">
        <v>52</v>
      </c>
      <c r="B350" t="s">
        <v>53</v>
      </c>
      <c r="C350" t="s">
        <v>17</v>
      </c>
      <c r="D350" t="s">
        <v>22</v>
      </c>
      <c r="E350" t="s">
        <v>23</v>
      </c>
      <c r="F350" t="s">
        <v>363</v>
      </c>
      <c r="G350" t="s">
        <v>610</v>
      </c>
      <c r="H350" t="s">
        <v>569</v>
      </c>
      <c r="I350" t="s">
        <v>11</v>
      </c>
      <c r="J350" t="s">
        <v>611</v>
      </c>
      <c r="K350" t="s">
        <v>612</v>
      </c>
      <c r="L350" t="s">
        <v>572</v>
      </c>
      <c r="M350">
        <v>50</v>
      </c>
      <c r="N350" t="b">
        <v>0</v>
      </c>
      <c r="O350">
        <v>0.82275711159737419</v>
      </c>
      <c r="P350">
        <v>0.8</v>
      </c>
      <c r="Q350">
        <v>0.84684684684684686</v>
      </c>
      <c r="R350" t="s">
        <v>60</v>
      </c>
      <c r="S350" t="s">
        <v>1127</v>
      </c>
      <c r="T350" t="s">
        <v>1128</v>
      </c>
      <c r="U350" t="b">
        <v>1</v>
      </c>
      <c r="V350" t="s">
        <v>63</v>
      </c>
      <c r="W350">
        <v>1.4</v>
      </c>
    </row>
    <row r="351" spans="1:23" hidden="1" x14ac:dyDescent="0.3">
      <c r="A351" t="s">
        <v>52</v>
      </c>
      <c r="B351" t="s">
        <v>53</v>
      </c>
      <c r="C351" t="s">
        <v>17</v>
      </c>
      <c r="D351" t="s">
        <v>22</v>
      </c>
      <c r="E351" t="s">
        <v>23</v>
      </c>
      <c r="F351" t="s">
        <v>363</v>
      </c>
      <c r="G351" t="s">
        <v>615</v>
      </c>
      <c r="H351" t="s">
        <v>569</v>
      </c>
      <c r="I351" t="s">
        <v>11</v>
      </c>
      <c r="J351" t="s">
        <v>616</v>
      </c>
      <c r="K351" t="s">
        <v>617</v>
      </c>
      <c r="L351" t="s">
        <v>572</v>
      </c>
      <c r="M351">
        <v>51</v>
      </c>
      <c r="N351" t="b">
        <v>0</v>
      </c>
      <c r="O351">
        <v>0.81545064377682408</v>
      </c>
      <c r="P351">
        <v>0.77868852459016391</v>
      </c>
      <c r="Q351">
        <v>0.85585585585585588</v>
      </c>
      <c r="R351" t="s">
        <v>60</v>
      </c>
      <c r="S351" t="s">
        <v>1129</v>
      </c>
      <c r="T351" t="s">
        <v>1130</v>
      </c>
      <c r="U351" t="b">
        <v>1</v>
      </c>
      <c r="V351" t="s">
        <v>63</v>
      </c>
      <c r="W351">
        <v>1.4</v>
      </c>
    </row>
    <row r="352" spans="1:23" hidden="1" x14ac:dyDescent="0.3">
      <c r="A352" t="s">
        <v>52</v>
      </c>
      <c r="B352" t="s">
        <v>53</v>
      </c>
      <c r="C352" t="s">
        <v>17</v>
      </c>
      <c r="D352" t="s">
        <v>22</v>
      </c>
      <c r="E352" t="s">
        <v>23</v>
      </c>
      <c r="F352" t="s">
        <v>363</v>
      </c>
      <c r="G352" t="s">
        <v>620</v>
      </c>
      <c r="H352" t="s">
        <v>569</v>
      </c>
      <c r="I352" t="s">
        <v>11</v>
      </c>
      <c r="J352" t="s">
        <v>621</v>
      </c>
      <c r="K352" t="s">
        <v>622</v>
      </c>
      <c r="L352" t="s">
        <v>572</v>
      </c>
      <c r="M352">
        <v>52</v>
      </c>
      <c r="N352" t="b">
        <v>0</v>
      </c>
      <c r="O352">
        <v>0.82197802197802183</v>
      </c>
      <c r="P352">
        <v>0.80257510729613735</v>
      </c>
      <c r="Q352">
        <v>0.84234234234234229</v>
      </c>
      <c r="R352" t="s">
        <v>60</v>
      </c>
      <c r="S352" t="s">
        <v>1131</v>
      </c>
      <c r="T352" t="s">
        <v>1132</v>
      </c>
      <c r="U352" t="b">
        <v>1</v>
      </c>
      <c r="V352" t="s">
        <v>63</v>
      </c>
      <c r="W352">
        <v>1.4</v>
      </c>
    </row>
    <row r="353" spans="1:23" hidden="1" x14ac:dyDescent="0.3">
      <c r="A353" t="s">
        <v>52</v>
      </c>
      <c r="B353" t="s">
        <v>53</v>
      </c>
      <c r="C353" t="s">
        <v>17</v>
      </c>
      <c r="D353" t="s">
        <v>22</v>
      </c>
      <c r="E353" t="s">
        <v>23</v>
      </c>
      <c r="F353" t="s">
        <v>363</v>
      </c>
      <c r="G353" t="s">
        <v>625</v>
      </c>
      <c r="H353" t="s">
        <v>569</v>
      </c>
      <c r="I353" t="s">
        <v>11</v>
      </c>
      <c r="J353" t="s">
        <v>626</v>
      </c>
      <c r="K353" t="s">
        <v>627</v>
      </c>
      <c r="L353" t="s">
        <v>572</v>
      </c>
      <c r="M353">
        <v>53</v>
      </c>
      <c r="N353" t="b">
        <v>0</v>
      </c>
      <c r="O353">
        <v>0.8120950323974081</v>
      </c>
      <c r="P353">
        <v>0.78008298755186722</v>
      </c>
      <c r="Q353">
        <v>0.84684684684684686</v>
      </c>
      <c r="R353" t="s">
        <v>60</v>
      </c>
      <c r="S353" t="s">
        <v>1133</v>
      </c>
      <c r="T353" t="s">
        <v>1134</v>
      </c>
      <c r="U353" t="b">
        <v>1</v>
      </c>
      <c r="V353" t="s">
        <v>63</v>
      </c>
      <c r="W353">
        <v>1.4</v>
      </c>
    </row>
    <row r="354" spans="1:23" hidden="1" x14ac:dyDescent="0.3">
      <c r="A354" t="s">
        <v>52</v>
      </c>
      <c r="B354" t="s">
        <v>53</v>
      </c>
      <c r="C354" t="s">
        <v>17</v>
      </c>
      <c r="D354" t="s">
        <v>22</v>
      </c>
      <c r="E354" t="s">
        <v>23</v>
      </c>
      <c r="F354" t="s">
        <v>363</v>
      </c>
      <c r="G354" t="s">
        <v>630</v>
      </c>
      <c r="H354" t="s">
        <v>569</v>
      </c>
      <c r="I354" t="s">
        <v>11</v>
      </c>
      <c r="J354" t="s">
        <v>631</v>
      </c>
      <c r="K354" t="s">
        <v>632</v>
      </c>
      <c r="L354" t="s">
        <v>572</v>
      </c>
      <c r="M354">
        <v>54</v>
      </c>
      <c r="N354" t="b">
        <v>0</v>
      </c>
      <c r="O354">
        <v>0.8307692307692307</v>
      </c>
      <c r="P354">
        <v>0.81115879828326176</v>
      </c>
      <c r="Q354">
        <v>0.85135135135135132</v>
      </c>
      <c r="R354" t="s">
        <v>60</v>
      </c>
      <c r="S354" t="s">
        <v>1135</v>
      </c>
      <c r="T354" t="s">
        <v>1136</v>
      </c>
      <c r="U354" t="b">
        <v>1</v>
      </c>
      <c r="V354" t="s">
        <v>63</v>
      </c>
      <c r="W354">
        <v>1.4</v>
      </c>
    </row>
    <row r="355" spans="1:23" hidden="1" x14ac:dyDescent="0.3">
      <c r="A355" t="s">
        <v>52</v>
      </c>
      <c r="B355" t="s">
        <v>53</v>
      </c>
      <c r="C355" t="s">
        <v>17</v>
      </c>
      <c r="D355" t="s">
        <v>22</v>
      </c>
      <c r="E355" t="s">
        <v>23</v>
      </c>
      <c r="F355" t="s">
        <v>363</v>
      </c>
      <c r="G355" t="s">
        <v>635</v>
      </c>
      <c r="H355" t="s">
        <v>569</v>
      </c>
      <c r="I355" t="s">
        <v>11</v>
      </c>
      <c r="J355" t="s">
        <v>636</v>
      </c>
      <c r="K355" t="s">
        <v>637</v>
      </c>
      <c r="L355" t="s">
        <v>572</v>
      </c>
      <c r="M355">
        <v>55</v>
      </c>
      <c r="N355" t="b">
        <v>0</v>
      </c>
      <c r="O355">
        <v>0.83408071748878931</v>
      </c>
      <c r="P355">
        <v>0.8303571428571429</v>
      </c>
      <c r="Q355">
        <v>0.83783783783783783</v>
      </c>
      <c r="R355" t="s">
        <v>60</v>
      </c>
      <c r="S355" t="s">
        <v>1137</v>
      </c>
      <c r="T355" t="s">
        <v>1138</v>
      </c>
      <c r="U355" t="b">
        <v>1</v>
      </c>
      <c r="V355" t="s">
        <v>63</v>
      </c>
      <c r="W355">
        <v>1.8</v>
      </c>
    </row>
    <row r="356" spans="1:23" hidden="1" x14ac:dyDescent="0.3">
      <c r="A356" t="s">
        <v>52</v>
      </c>
      <c r="B356" t="s">
        <v>53</v>
      </c>
      <c r="C356" t="s">
        <v>17</v>
      </c>
      <c r="D356" t="s">
        <v>22</v>
      </c>
      <c r="E356" t="s">
        <v>23</v>
      </c>
      <c r="F356" t="s">
        <v>363</v>
      </c>
      <c r="G356" t="s">
        <v>640</v>
      </c>
      <c r="H356" t="s">
        <v>569</v>
      </c>
      <c r="I356" t="s">
        <v>11</v>
      </c>
      <c r="J356" t="s">
        <v>641</v>
      </c>
      <c r="K356" t="s">
        <v>642</v>
      </c>
      <c r="L356" t="s">
        <v>572</v>
      </c>
      <c r="M356">
        <v>56</v>
      </c>
      <c r="N356" t="b">
        <v>0</v>
      </c>
      <c r="O356">
        <v>0.83549783549783552</v>
      </c>
      <c r="P356">
        <v>0.8041666666666667</v>
      </c>
      <c r="Q356">
        <v>0.86936936936936937</v>
      </c>
      <c r="R356" t="s">
        <v>60</v>
      </c>
      <c r="S356" t="s">
        <v>1139</v>
      </c>
      <c r="T356" t="s">
        <v>1140</v>
      </c>
      <c r="U356" t="b">
        <v>1</v>
      </c>
      <c r="V356" t="s">
        <v>63</v>
      </c>
      <c r="W356">
        <v>1.4</v>
      </c>
    </row>
    <row r="357" spans="1:23" hidden="1" x14ac:dyDescent="0.3">
      <c r="A357" t="s">
        <v>52</v>
      </c>
      <c r="B357" t="s">
        <v>53</v>
      </c>
      <c r="C357" t="s">
        <v>17</v>
      </c>
      <c r="D357" t="s">
        <v>22</v>
      </c>
      <c r="E357" t="s">
        <v>23</v>
      </c>
      <c r="F357" t="s">
        <v>363</v>
      </c>
      <c r="G357" t="s">
        <v>645</v>
      </c>
      <c r="H357" t="s">
        <v>569</v>
      </c>
      <c r="I357" t="s">
        <v>11</v>
      </c>
      <c r="J357" t="s">
        <v>646</v>
      </c>
      <c r="K357" t="s">
        <v>647</v>
      </c>
      <c r="L357" t="s">
        <v>572</v>
      </c>
      <c r="M357">
        <v>57</v>
      </c>
      <c r="N357" t="b">
        <v>0</v>
      </c>
      <c r="O357">
        <v>0.84513274336283184</v>
      </c>
      <c r="P357">
        <v>0.83043478260869563</v>
      </c>
      <c r="Q357">
        <v>0.86036036036036034</v>
      </c>
      <c r="R357" t="s">
        <v>60</v>
      </c>
      <c r="S357" t="s">
        <v>1141</v>
      </c>
      <c r="T357" t="s">
        <v>1142</v>
      </c>
      <c r="U357" t="b">
        <v>1</v>
      </c>
      <c r="V357" t="s">
        <v>63</v>
      </c>
      <c r="W357">
        <v>1.4</v>
      </c>
    </row>
    <row r="358" spans="1:23" hidden="1" x14ac:dyDescent="0.3">
      <c r="A358" t="s">
        <v>52</v>
      </c>
      <c r="B358" t="s">
        <v>53</v>
      </c>
      <c r="C358" t="s">
        <v>17</v>
      </c>
      <c r="D358" t="s">
        <v>22</v>
      </c>
      <c r="E358" t="s">
        <v>23</v>
      </c>
      <c r="F358" t="s">
        <v>363</v>
      </c>
      <c r="G358" t="s">
        <v>650</v>
      </c>
      <c r="H358" t="s">
        <v>569</v>
      </c>
      <c r="I358" t="s">
        <v>11</v>
      </c>
      <c r="J358" t="s">
        <v>651</v>
      </c>
      <c r="K358" t="s">
        <v>652</v>
      </c>
      <c r="L358" t="s">
        <v>572</v>
      </c>
      <c r="M358">
        <v>58</v>
      </c>
      <c r="N358" t="b">
        <v>0</v>
      </c>
      <c r="O358">
        <v>0.84304932735426019</v>
      </c>
      <c r="P358">
        <v>0.8392857142857143</v>
      </c>
      <c r="Q358">
        <v>0.84684684684684686</v>
      </c>
      <c r="R358" t="s">
        <v>60</v>
      </c>
      <c r="S358" t="s">
        <v>1143</v>
      </c>
      <c r="T358" t="s">
        <v>1144</v>
      </c>
      <c r="U358" t="b">
        <v>1</v>
      </c>
      <c r="V358" t="s">
        <v>63</v>
      </c>
      <c r="W358">
        <v>1.4</v>
      </c>
    </row>
    <row r="359" spans="1:23" hidden="1" x14ac:dyDescent="0.3">
      <c r="A359" t="s">
        <v>52</v>
      </c>
      <c r="B359" t="s">
        <v>53</v>
      </c>
      <c r="C359" t="s">
        <v>17</v>
      </c>
      <c r="D359" t="s">
        <v>22</v>
      </c>
      <c r="E359" t="s">
        <v>23</v>
      </c>
      <c r="F359" t="s">
        <v>363</v>
      </c>
      <c r="G359" t="s">
        <v>655</v>
      </c>
      <c r="H359" t="s">
        <v>569</v>
      </c>
      <c r="I359" t="s">
        <v>11</v>
      </c>
      <c r="J359" t="s">
        <v>656</v>
      </c>
      <c r="K359" t="s">
        <v>657</v>
      </c>
      <c r="L359" t="s">
        <v>572</v>
      </c>
      <c r="M359">
        <v>59</v>
      </c>
      <c r="N359" t="b">
        <v>0</v>
      </c>
      <c r="O359">
        <v>0.83549783549783552</v>
      </c>
      <c r="P359">
        <v>0.8041666666666667</v>
      </c>
      <c r="Q359">
        <v>0.86936936936936937</v>
      </c>
      <c r="R359" t="s">
        <v>60</v>
      </c>
      <c r="S359" t="s">
        <v>1143</v>
      </c>
      <c r="T359" t="s">
        <v>1145</v>
      </c>
      <c r="U359" t="b">
        <v>1</v>
      </c>
      <c r="V359" t="s">
        <v>63</v>
      </c>
      <c r="W359">
        <v>0.8</v>
      </c>
    </row>
    <row r="360" spans="1:23" hidden="1" x14ac:dyDescent="0.3">
      <c r="A360" t="s">
        <v>52</v>
      </c>
      <c r="B360" t="s">
        <v>53</v>
      </c>
      <c r="C360" t="s">
        <v>17</v>
      </c>
      <c r="D360" t="s">
        <v>22</v>
      </c>
      <c r="E360" t="s">
        <v>23</v>
      </c>
      <c r="F360" t="s">
        <v>363</v>
      </c>
      <c r="G360" t="s">
        <v>660</v>
      </c>
      <c r="H360" t="s">
        <v>569</v>
      </c>
      <c r="I360" t="s">
        <v>11</v>
      </c>
      <c r="J360" t="s">
        <v>661</v>
      </c>
      <c r="K360" t="s">
        <v>662</v>
      </c>
      <c r="L360" t="s">
        <v>572</v>
      </c>
      <c r="M360">
        <v>60</v>
      </c>
      <c r="N360" t="b">
        <v>0</v>
      </c>
      <c r="O360">
        <v>0.82096069868995636</v>
      </c>
      <c r="P360">
        <v>0.79661016949152541</v>
      </c>
      <c r="Q360">
        <v>0.84684684684684686</v>
      </c>
      <c r="R360" t="s">
        <v>60</v>
      </c>
      <c r="S360" t="s">
        <v>1146</v>
      </c>
      <c r="T360" t="s">
        <v>1147</v>
      </c>
      <c r="U360" t="b">
        <v>1</v>
      </c>
      <c r="V360" t="s">
        <v>63</v>
      </c>
      <c r="W360">
        <v>1.2</v>
      </c>
    </row>
    <row r="361" spans="1:23" hidden="1" x14ac:dyDescent="0.3">
      <c r="A361" t="s">
        <v>52</v>
      </c>
      <c r="B361" t="s">
        <v>53</v>
      </c>
      <c r="C361" t="s">
        <v>17</v>
      </c>
      <c r="D361" t="s">
        <v>22</v>
      </c>
      <c r="E361" t="s">
        <v>23</v>
      </c>
      <c r="F361" t="s">
        <v>363</v>
      </c>
      <c r="G361" t="s">
        <v>665</v>
      </c>
      <c r="H361" t="s">
        <v>569</v>
      </c>
      <c r="I361" t="s">
        <v>11</v>
      </c>
      <c r="J361" t="s">
        <v>666</v>
      </c>
      <c r="K361" t="s">
        <v>667</v>
      </c>
      <c r="L361" t="s">
        <v>572</v>
      </c>
      <c r="M361">
        <v>61</v>
      </c>
      <c r="N361" t="b">
        <v>0</v>
      </c>
      <c r="O361">
        <v>0.81561822125813455</v>
      </c>
      <c r="P361">
        <v>0.78661087866108792</v>
      </c>
      <c r="Q361">
        <v>0.84684684684684686</v>
      </c>
      <c r="R361" t="s">
        <v>60</v>
      </c>
      <c r="S361" t="s">
        <v>1146</v>
      </c>
      <c r="T361" t="s">
        <v>1148</v>
      </c>
      <c r="U361" t="b">
        <v>1</v>
      </c>
      <c r="V361" t="s">
        <v>63</v>
      </c>
      <c r="W361">
        <v>0.8</v>
      </c>
    </row>
    <row r="362" spans="1:23" hidden="1" x14ac:dyDescent="0.3">
      <c r="A362" t="s">
        <v>52</v>
      </c>
      <c r="B362" t="s">
        <v>53</v>
      </c>
      <c r="C362" t="s">
        <v>17</v>
      </c>
      <c r="D362" t="s">
        <v>24</v>
      </c>
      <c r="E362" t="s">
        <v>25</v>
      </c>
      <c r="F362" t="s">
        <v>54</v>
      </c>
      <c r="G362" t="s">
        <v>55</v>
      </c>
      <c r="H362" t="s">
        <v>56</v>
      </c>
      <c r="I362" t="s">
        <v>7</v>
      </c>
      <c r="J362" t="s">
        <v>57</v>
      </c>
      <c r="K362" t="s">
        <v>58</v>
      </c>
      <c r="L362" t="s">
        <v>59</v>
      </c>
      <c r="M362">
        <v>42</v>
      </c>
      <c r="N362" t="b">
        <v>1</v>
      </c>
      <c r="O362">
        <v>0.71458773784355178</v>
      </c>
      <c r="P362">
        <v>0.69547325102880664</v>
      </c>
      <c r="Q362">
        <v>0.73478260869565215</v>
      </c>
      <c r="R362" t="s">
        <v>60</v>
      </c>
      <c r="S362" t="s">
        <v>1149</v>
      </c>
      <c r="T362" t="s">
        <v>1150</v>
      </c>
      <c r="U362" t="b">
        <v>1</v>
      </c>
      <c r="V362" t="s">
        <v>63</v>
      </c>
      <c r="W362">
        <v>3.6</v>
      </c>
    </row>
    <row r="363" spans="1:23" hidden="1" x14ac:dyDescent="0.3">
      <c r="A363" t="s">
        <v>52</v>
      </c>
      <c r="B363" t="s">
        <v>53</v>
      </c>
      <c r="C363" t="s">
        <v>17</v>
      </c>
      <c r="D363" t="s">
        <v>24</v>
      </c>
      <c r="E363" t="s">
        <v>25</v>
      </c>
      <c r="F363" t="s">
        <v>54</v>
      </c>
      <c r="G363" t="s">
        <v>64</v>
      </c>
      <c r="H363" t="s">
        <v>56</v>
      </c>
      <c r="I363" t="s">
        <v>7</v>
      </c>
      <c r="J363" t="s">
        <v>65</v>
      </c>
      <c r="K363" t="s">
        <v>66</v>
      </c>
      <c r="L363" t="s">
        <v>59</v>
      </c>
      <c r="M363">
        <v>43</v>
      </c>
      <c r="N363" t="b">
        <v>1</v>
      </c>
      <c r="O363">
        <v>0.67099567099567103</v>
      </c>
      <c r="P363">
        <v>0.6681034482758621</v>
      </c>
      <c r="Q363">
        <v>0.67391304347826086</v>
      </c>
      <c r="R363" t="s">
        <v>60</v>
      </c>
      <c r="S363" t="s">
        <v>1151</v>
      </c>
      <c r="T363" t="s">
        <v>1152</v>
      </c>
      <c r="U363" t="b">
        <v>1</v>
      </c>
      <c r="V363" t="s">
        <v>63</v>
      </c>
      <c r="W363">
        <v>1.9</v>
      </c>
    </row>
    <row r="364" spans="1:23" hidden="1" x14ac:dyDescent="0.3">
      <c r="A364" t="s">
        <v>52</v>
      </c>
      <c r="B364" t="s">
        <v>53</v>
      </c>
      <c r="C364" t="s">
        <v>17</v>
      </c>
      <c r="D364" t="s">
        <v>24</v>
      </c>
      <c r="E364" t="s">
        <v>25</v>
      </c>
      <c r="F364" t="s">
        <v>54</v>
      </c>
      <c r="G364" t="s">
        <v>69</v>
      </c>
      <c r="H364" t="s">
        <v>56</v>
      </c>
      <c r="I364" t="s">
        <v>7</v>
      </c>
      <c r="J364" t="s">
        <v>70</v>
      </c>
      <c r="K364" t="s">
        <v>71</v>
      </c>
      <c r="L364" t="s">
        <v>59</v>
      </c>
      <c r="M364">
        <v>44</v>
      </c>
      <c r="N364" t="b">
        <v>1</v>
      </c>
      <c r="O364">
        <v>0.68965517241379304</v>
      </c>
      <c r="P364">
        <v>0.64638783269961975</v>
      </c>
      <c r="Q364">
        <v>0.73913043478260865</v>
      </c>
      <c r="R364" t="s">
        <v>60</v>
      </c>
      <c r="S364" t="s">
        <v>1153</v>
      </c>
      <c r="T364" t="s">
        <v>1154</v>
      </c>
      <c r="U364" t="b">
        <v>1</v>
      </c>
      <c r="V364" t="s">
        <v>63</v>
      </c>
      <c r="W364">
        <v>2.2000000000000002</v>
      </c>
    </row>
    <row r="365" spans="1:23" hidden="1" x14ac:dyDescent="0.3">
      <c r="A365" t="s">
        <v>52</v>
      </c>
      <c r="B365" t="s">
        <v>53</v>
      </c>
      <c r="C365" t="s">
        <v>17</v>
      </c>
      <c r="D365" t="s">
        <v>24</v>
      </c>
      <c r="E365" t="s">
        <v>25</v>
      </c>
      <c r="F365" t="s">
        <v>54</v>
      </c>
      <c r="G365" t="s">
        <v>74</v>
      </c>
      <c r="H365" t="s">
        <v>56</v>
      </c>
      <c r="I365" t="s">
        <v>7</v>
      </c>
      <c r="J365" t="s">
        <v>75</v>
      </c>
      <c r="K365" t="s">
        <v>76</v>
      </c>
      <c r="L365" t="s">
        <v>59</v>
      </c>
      <c r="M365">
        <v>45</v>
      </c>
      <c r="N365" t="b">
        <v>1</v>
      </c>
      <c r="O365">
        <v>0.69915254237288138</v>
      </c>
      <c r="P365">
        <v>0.68181818181818177</v>
      </c>
      <c r="Q365">
        <v>0.71739130434782605</v>
      </c>
      <c r="R365" t="s">
        <v>60</v>
      </c>
      <c r="S365" t="s">
        <v>1155</v>
      </c>
      <c r="T365" t="s">
        <v>1156</v>
      </c>
      <c r="U365" t="b">
        <v>1</v>
      </c>
      <c r="V365" t="s">
        <v>63</v>
      </c>
      <c r="W365">
        <v>1.9</v>
      </c>
    </row>
    <row r="366" spans="1:23" hidden="1" x14ac:dyDescent="0.3">
      <c r="A366" t="s">
        <v>52</v>
      </c>
      <c r="B366" t="s">
        <v>53</v>
      </c>
      <c r="C366" t="s">
        <v>17</v>
      </c>
      <c r="D366" t="s">
        <v>24</v>
      </c>
      <c r="E366" t="s">
        <v>25</v>
      </c>
      <c r="F366" t="s">
        <v>54</v>
      </c>
      <c r="G366" t="s">
        <v>79</v>
      </c>
      <c r="H366" t="s">
        <v>56</v>
      </c>
      <c r="I366" t="s">
        <v>7</v>
      </c>
      <c r="J366" t="s">
        <v>80</v>
      </c>
      <c r="K366" t="s">
        <v>81</v>
      </c>
      <c r="L366" t="s">
        <v>59</v>
      </c>
      <c r="M366">
        <v>46</v>
      </c>
      <c r="N366" t="b">
        <v>1</v>
      </c>
      <c r="O366">
        <v>0.67653276955602526</v>
      </c>
      <c r="P366">
        <v>0.65843621399176955</v>
      </c>
      <c r="Q366">
        <v>0.69565217391304346</v>
      </c>
      <c r="R366" t="s">
        <v>60</v>
      </c>
      <c r="S366" t="s">
        <v>1157</v>
      </c>
      <c r="T366" t="s">
        <v>1158</v>
      </c>
      <c r="U366" t="b">
        <v>1</v>
      </c>
      <c r="V366" t="s">
        <v>63</v>
      </c>
      <c r="W366">
        <v>1.9</v>
      </c>
    </row>
    <row r="367" spans="1:23" hidden="1" x14ac:dyDescent="0.3">
      <c r="A367" t="s">
        <v>52</v>
      </c>
      <c r="B367" t="s">
        <v>53</v>
      </c>
      <c r="C367" t="s">
        <v>17</v>
      </c>
      <c r="D367" t="s">
        <v>24</v>
      </c>
      <c r="E367" t="s">
        <v>25</v>
      </c>
      <c r="F367" t="s">
        <v>54</v>
      </c>
      <c r="G367" t="s">
        <v>84</v>
      </c>
      <c r="H367" t="s">
        <v>56</v>
      </c>
      <c r="I367" t="s">
        <v>7</v>
      </c>
      <c r="J367" t="s">
        <v>85</v>
      </c>
      <c r="K367" t="s">
        <v>86</v>
      </c>
      <c r="L367" t="s">
        <v>59</v>
      </c>
      <c r="M367">
        <v>47</v>
      </c>
      <c r="N367" t="b">
        <v>1</v>
      </c>
      <c r="O367">
        <v>0.67634854771784236</v>
      </c>
      <c r="P367">
        <v>0.64682539682539686</v>
      </c>
      <c r="Q367">
        <v>0.70869565217391306</v>
      </c>
      <c r="R367" t="s">
        <v>60</v>
      </c>
      <c r="S367" t="s">
        <v>1159</v>
      </c>
      <c r="T367" t="s">
        <v>1160</v>
      </c>
      <c r="U367" t="b">
        <v>1</v>
      </c>
      <c r="V367" t="s">
        <v>63</v>
      </c>
      <c r="W367">
        <v>2.2999999999999998</v>
      </c>
    </row>
    <row r="368" spans="1:23" hidden="1" x14ac:dyDescent="0.3">
      <c r="A368" t="s">
        <v>52</v>
      </c>
      <c r="B368" t="s">
        <v>53</v>
      </c>
      <c r="C368" t="s">
        <v>17</v>
      </c>
      <c r="D368" t="s">
        <v>24</v>
      </c>
      <c r="E368" t="s">
        <v>25</v>
      </c>
      <c r="F368" t="s">
        <v>54</v>
      </c>
      <c r="G368" t="s">
        <v>89</v>
      </c>
      <c r="H368" t="s">
        <v>56</v>
      </c>
      <c r="I368" t="s">
        <v>7</v>
      </c>
      <c r="J368" t="s">
        <v>90</v>
      </c>
      <c r="K368" t="s">
        <v>91</v>
      </c>
      <c r="L368" t="s">
        <v>59</v>
      </c>
      <c r="M368">
        <v>48</v>
      </c>
      <c r="N368" t="b">
        <v>1</v>
      </c>
      <c r="O368">
        <v>0.67230443974630028</v>
      </c>
      <c r="P368">
        <v>0.65432098765432101</v>
      </c>
      <c r="Q368">
        <v>0.69130434782608696</v>
      </c>
      <c r="R368" t="s">
        <v>60</v>
      </c>
      <c r="S368" t="s">
        <v>1161</v>
      </c>
      <c r="T368" t="s">
        <v>1162</v>
      </c>
      <c r="U368" t="b">
        <v>1</v>
      </c>
      <c r="V368" t="s">
        <v>63</v>
      </c>
      <c r="W368">
        <v>1.9</v>
      </c>
    </row>
    <row r="369" spans="1:23" hidden="1" x14ac:dyDescent="0.3">
      <c r="A369" t="s">
        <v>52</v>
      </c>
      <c r="B369" t="s">
        <v>53</v>
      </c>
      <c r="C369" t="s">
        <v>17</v>
      </c>
      <c r="D369" t="s">
        <v>24</v>
      </c>
      <c r="E369" t="s">
        <v>25</v>
      </c>
      <c r="F369" t="s">
        <v>54</v>
      </c>
      <c r="G369" t="s">
        <v>94</v>
      </c>
      <c r="H369" t="s">
        <v>56</v>
      </c>
      <c r="I369" t="s">
        <v>7</v>
      </c>
      <c r="J369" t="s">
        <v>95</v>
      </c>
      <c r="K369" t="s">
        <v>96</v>
      </c>
      <c r="L369" t="s">
        <v>59</v>
      </c>
      <c r="M369">
        <v>49</v>
      </c>
      <c r="N369" t="b">
        <v>1</v>
      </c>
      <c r="O369">
        <v>0.6929460580912864</v>
      </c>
      <c r="P369">
        <v>0.66269841269841268</v>
      </c>
      <c r="Q369">
        <v>0.72608695652173916</v>
      </c>
      <c r="R369" t="s">
        <v>60</v>
      </c>
      <c r="S369" t="s">
        <v>1163</v>
      </c>
      <c r="T369" t="s">
        <v>1164</v>
      </c>
      <c r="U369" t="b">
        <v>1</v>
      </c>
      <c r="V369" t="s">
        <v>63</v>
      </c>
      <c r="W369">
        <v>1.9</v>
      </c>
    </row>
    <row r="370" spans="1:23" hidden="1" x14ac:dyDescent="0.3">
      <c r="A370" t="s">
        <v>52</v>
      </c>
      <c r="B370" t="s">
        <v>53</v>
      </c>
      <c r="C370" t="s">
        <v>17</v>
      </c>
      <c r="D370" t="s">
        <v>24</v>
      </c>
      <c r="E370" t="s">
        <v>25</v>
      </c>
      <c r="F370" t="s">
        <v>54</v>
      </c>
      <c r="G370" t="s">
        <v>99</v>
      </c>
      <c r="H370" t="s">
        <v>56</v>
      </c>
      <c r="I370" t="s">
        <v>7</v>
      </c>
      <c r="J370" t="s">
        <v>100</v>
      </c>
      <c r="K370" t="s">
        <v>101</v>
      </c>
      <c r="L370" t="s">
        <v>59</v>
      </c>
      <c r="M370">
        <v>50</v>
      </c>
      <c r="N370" t="b">
        <v>1</v>
      </c>
      <c r="O370">
        <v>0.68464730290456433</v>
      </c>
      <c r="P370">
        <v>0.65476190476190477</v>
      </c>
      <c r="Q370">
        <v>0.71739130434782605</v>
      </c>
      <c r="R370" t="s">
        <v>60</v>
      </c>
      <c r="S370" t="s">
        <v>1165</v>
      </c>
      <c r="T370" t="s">
        <v>1166</v>
      </c>
      <c r="U370" t="b">
        <v>1</v>
      </c>
      <c r="V370" t="s">
        <v>63</v>
      </c>
      <c r="W370">
        <v>2.2000000000000002</v>
      </c>
    </row>
    <row r="371" spans="1:23" hidden="1" x14ac:dyDescent="0.3">
      <c r="A371" t="s">
        <v>52</v>
      </c>
      <c r="B371" t="s">
        <v>53</v>
      </c>
      <c r="C371" t="s">
        <v>17</v>
      </c>
      <c r="D371" t="s">
        <v>24</v>
      </c>
      <c r="E371" t="s">
        <v>25</v>
      </c>
      <c r="F371" t="s">
        <v>54</v>
      </c>
      <c r="G371" t="s">
        <v>104</v>
      </c>
      <c r="H371" t="s">
        <v>56</v>
      </c>
      <c r="I371" t="s">
        <v>7</v>
      </c>
      <c r="J371" t="s">
        <v>105</v>
      </c>
      <c r="K371" t="s">
        <v>106</v>
      </c>
      <c r="L371" t="s">
        <v>59</v>
      </c>
      <c r="M371">
        <v>51</v>
      </c>
      <c r="N371" t="b">
        <v>1</v>
      </c>
      <c r="O371">
        <v>0.69083155650319827</v>
      </c>
      <c r="P371">
        <v>0.67782426778242677</v>
      </c>
      <c r="Q371">
        <v>0.70434782608695656</v>
      </c>
      <c r="R371" t="s">
        <v>60</v>
      </c>
      <c r="S371" t="s">
        <v>1167</v>
      </c>
      <c r="T371" t="s">
        <v>1168</v>
      </c>
      <c r="U371" t="b">
        <v>1</v>
      </c>
      <c r="V371" t="s">
        <v>63</v>
      </c>
      <c r="W371">
        <v>1.9</v>
      </c>
    </row>
    <row r="372" spans="1:23" hidden="1" x14ac:dyDescent="0.3">
      <c r="A372" t="s">
        <v>52</v>
      </c>
      <c r="B372" t="s">
        <v>53</v>
      </c>
      <c r="C372" t="s">
        <v>17</v>
      </c>
      <c r="D372" t="s">
        <v>24</v>
      </c>
      <c r="E372" t="s">
        <v>25</v>
      </c>
      <c r="F372" t="s">
        <v>54</v>
      </c>
      <c r="G372" t="s">
        <v>109</v>
      </c>
      <c r="H372" t="s">
        <v>56</v>
      </c>
      <c r="I372" t="s">
        <v>7</v>
      </c>
      <c r="J372" t="s">
        <v>110</v>
      </c>
      <c r="K372" t="s">
        <v>111</v>
      </c>
      <c r="L372" t="s">
        <v>59</v>
      </c>
      <c r="M372">
        <v>52</v>
      </c>
      <c r="N372" t="b">
        <v>1</v>
      </c>
      <c r="O372">
        <v>0.70464135021097052</v>
      </c>
      <c r="P372">
        <v>0.68442622950819676</v>
      </c>
      <c r="Q372">
        <v>0.72608695652173916</v>
      </c>
      <c r="R372" t="s">
        <v>60</v>
      </c>
      <c r="S372" t="s">
        <v>1169</v>
      </c>
      <c r="T372" t="s">
        <v>1170</v>
      </c>
      <c r="U372" t="b">
        <v>1</v>
      </c>
      <c r="V372" t="s">
        <v>63</v>
      </c>
      <c r="W372">
        <v>1.9</v>
      </c>
    </row>
    <row r="373" spans="1:23" hidden="1" x14ac:dyDescent="0.3">
      <c r="A373" t="s">
        <v>52</v>
      </c>
      <c r="B373" t="s">
        <v>53</v>
      </c>
      <c r="C373" t="s">
        <v>17</v>
      </c>
      <c r="D373" t="s">
        <v>24</v>
      </c>
      <c r="E373" t="s">
        <v>25</v>
      </c>
      <c r="F373" t="s">
        <v>54</v>
      </c>
      <c r="G373" t="s">
        <v>114</v>
      </c>
      <c r="H373" t="s">
        <v>56</v>
      </c>
      <c r="I373" t="s">
        <v>7</v>
      </c>
      <c r="J373" t="s">
        <v>115</v>
      </c>
      <c r="K373" t="s">
        <v>116</v>
      </c>
      <c r="L373" t="s">
        <v>59</v>
      </c>
      <c r="M373">
        <v>53</v>
      </c>
      <c r="N373" t="b">
        <v>1</v>
      </c>
      <c r="O373">
        <v>0.66666666666666674</v>
      </c>
      <c r="P373">
        <v>0.64754098360655743</v>
      </c>
      <c r="Q373">
        <v>0.68695652173913047</v>
      </c>
      <c r="R373" t="s">
        <v>60</v>
      </c>
      <c r="S373" t="s">
        <v>1171</v>
      </c>
      <c r="T373" t="s">
        <v>1172</v>
      </c>
      <c r="U373" t="b">
        <v>1</v>
      </c>
      <c r="V373" t="s">
        <v>63</v>
      </c>
      <c r="W373">
        <v>2.2999999999999998</v>
      </c>
    </row>
    <row r="374" spans="1:23" hidden="1" x14ac:dyDescent="0.3">
      <c r="A374" t="s">
        <v>52</v>
      </c>
      <c r="B374" t="s">
        <v>53</v>
      </c>
      <c r="C374" t="s">
        <v>17</v>
      </c>
      <c r="D374" t="s">
        <v>24</v>
      </c>
      <c r="E374" t="s">
        <v>25</v>
      </c>
      <c r="F374" t="s">
        <v>54</v>
      </c>
      <c r="G374" t="s">
        <v>119</v>
      </c>
      <c r="H374" t="s">
        <v>56</v>
      </c>
      <c r="I374" t="s">
        <v>7</v>
      </c>
      <c r="J374" t="s">
        <v>120</v>
      </c>
      <c r="K374" t="s">
        <v>121</v>
      </c>
      <c r="L374" t="s">
        <v>59</v>
      </c>
      <c r="M374">
        <v>54</v>
      </c>
      <c r="N374" t="b">
        <v>1</v>
      </c>
      <c r="O374">
        <v>0.68607068607068611</v>
      </c>
      <c r="P374">
        <v>0.65737051792828682</v>
      </c>
      <c r="Q374">
        <v>0.71739130434782605</v>
      </c>
      <c r="R374" t="s">
        <v>60</v>
      </c>
      <c r="S374" t="s">
        <v>1173</v>
      </c>
      <c r="T374" t="s">
        <v>1174</v>
      </c>
      <c r="U374" t="b">
        <v>1</v>
      </c>
      <c r="V374" t="s">
        <v>63</v>
      </c>
      <c r="W374">
        <v>1.9</v>
      </c>
    </row>
    <row r="375" spans="1:23" hidden="1" x14ac:dyDescent="0.3">
      <c r="A375" t="s">
        <v>52</v>
      </c>
      <c r="B375" t="s">
        <v>53</v>
      </c>
      <c r="C375" t="s">
        <v>17</v>
      </c>
      <c r="D375" t="s">
        <v>24</v>
      </c>
      <c r="E375" t="s">
        <v>25</v>
      </c>
      <c r="F375" t="s">
        <v>54</v>
      </c>
      <c r="G375" t="s">
        <v>124</v>
      </c>
      <c r="H375" t="s">
        <v>56</v>
      </c>
      <c r="I375" t="s">
        <v>7</v>
      </c>
      <c r="J375" t="s">
        <v>125</v>
      </c>
      <c r="K375" t="s">
        <v>126</v>
      </c>
      <c r="L375" t="s">
        <v>59</v>
      </c>
      <c r="M375">
        <v>55</v>
      </c>
      <c r="N375" t="b">
        <v>1</v>
      </c>
      <c r="O375">
        <v>0.69230769230769229</v>
      </c>
      <c r="P375">
        <v>0.68067226890756305</v>
      </c>
      <c r="Q375">
        <v>0.70434782608695656</v>
      </c>
      <c r="R375" t="s">
        <v>60</v>
      </c>
      <c r="S375" t="s">
        <v>1175</v>
      </c>
      <c r="T375" t="s">
        <v>1176</v>
      </c>
      <c r="U375" t="b">
        <v>1</v>
      </c>
      <c r="V375" t="s">
        <v>63</v>
      </c>
      <c r="W375">
        <v>1.9</v>
      </c>
    </row>
    <row r="376" spans="1:23" hidden="1" x14ac:dyDescent="0.3">
      <c r="A376" t="s">
        <v>52</v>
      </c>
      <c r="B376" t="s">
        <v>53</v>
      </c>
      <c r="C376" t="s">
        <v>17</v>
      </c>
      <c r="D376" t="s">
        <v>24</v>
      </c>
      <c r="E376" t="s">
        <v>25</v>
      </c>
      <c r="F376" t="s">
        <v>54</v>
      </c>
      <c r="G376" t="s">
        <v>129</v>
      </c>
      <c r="H376" t="s">
        <v>56</v>
      </c>
      <c r="I376" t="s">
        <v>7</v>
      </c>
      <c r="J376" t="s">
        <v>130</v>
      </c>
      <c r="K376" t="s">
        <v>131</v>
      </c>
      <c r="L376" t="s">
        <v>59</v>
      </c>
      <c r="M376">
        <v>56</v>
      </c>
      <c r="N376" t="b">
        <v>1</v>
      </c>
      <c r="O376">
        <v>0.67474747474747476</v>
      </c>
      <c r="P376">
        <v>0.63018867924528299</v>
      </c>
      <c r="Q376">
        <v>0.72608695652173916</v>
      </c>
      <c r="R376" t="s">
        <v>60</v>
      </c>
      <c r="S376" t="s">
        <v>1177</v>
      </c>
      <c r="T376" t="s">
        <v>1178</v>
      </c>
      <c r="U376" t="b">
        <v>1</v>
      </c>
      <c r="V376" t="s">
        <v>63</v>
      </c>
      <c r="W376">
        <v>2.2999999999999998</v>
      </c>
    </row>
    <row r="377" spans="1:23" hidden="1" x14ac:dyDescent="0.3">
      <c r="A377" t="s">
        <v>52</v>
      </c>
      <c r="B377" t="s">
        <v>53</v>
      </c>
      <c r="C377" t="s">
        <v>17</v>
      </c>
      <c r="D377" t="s">
        <v>24</v>
      </c>
      <c r="E377" t="s">
        <v>25</v>
      </c>
      <c r="F377" t="s">
        <v>54</v>
      </c>
      <c r="G377" t="s">
        <v>134</v>
      </c>
      <c r="H377" t="s">
        <v>56</v>
      </c>
      <c r="I377" t="s">
        <v>7</v>
      </c>
      <c r="J377" t="s">
        <v>135</v>
      </c>
      <c r="K377" t="s">
        <v>136</v>
      </c>
      <c r="L377" t="s">
        <v>59</v>
      </c>
      <c r="M377">
        <v>57</v>
      </c>
      <c r="N377" t="b">
        <v>1</v>
      </c>
      <c r="O377">
        <v>0.70636550308008217</v>
      </c>
      <c r="P377">
        <v>0.66926070038910501</v>
      </c>
      <c r="Q377">
        <v>0.74782608695652175</v>
      </c>
      <c r="R377" t="s">
        <v>60</v>
      </c>
      <c r="S377" t="s">
        <v>1179</v>
      </c>
      <c r="T377" t="s">
        <v>1180</v>
      </c>
      <c r="U377" t="b">
        <v>1</v>
      </c>
      <c r="V377" t="s">
        <v>63</v>
      </c>
      <c r="W377">
        <v>1.8</v>
      </c>
    </row>
    <row r="378" spans="1:23" hidden="1" x14ac:dyDescent="0.3">
      <c r="A378" t="s">
        <v>52</v>
      </c>
      <c r="B378" t="s">
        <v>53</v>
      </c>
      <c r="C378" t="s">
        <v>17</v>
      </c>
      <c r="D378" t="s">
        <v>24</v>
      </c>
      <c r="E378" t="s">
        <v>25</v>
      </c>
      <c r="F378" t="s">
        <v>54</v>
      </c>
      <c r="G378" t="s">
        <v>139</v>
      </c>
      <c r="H378" t="s">
        <v>56</v>
      </c>
      <c r="I378" t="s">
        <v>7</v>
      </c>
      <c r="J378" t="s">
        <v>140</v>
      </c>
      <c r="K378" t="s">
        <v>141</v>
      </c>
      <c r="L378" t="s">
        <v>59</v>
      </c>
      <c r="M378">
        <v>58</v>
      </c>
      <c r="N378" t="b">
        <v>1</v>
      </c>
      <c r="O378">
        <v>0.69547325102880653</v>
      </c>
      <c r="P378">
        <v>0.66015625</v>
      </c>
      <c r="Q378">
        <v>0.73478260869565215</v>
      </c>
      <c r="R378" t="s">
        <v>60</v>
      </c>
      <c r="S378" t="s">
        <v>1181</v>
      </c>
      <c r="T378" t="s">
        <v>1182</v>
      </c>
      <c r="U378" t="b">
        <v>1</v>
      </c>
      <c r="V378" t="s">
        <v>63</v>
      </c>
      <c r="W378">
        <v>1.8</v>
      </c>
    </row>
    <row r="379" spans="1:23" hidden="1" x14ac:dyDescent="0.3">
      <c r="A379" t="s">
        <v>52</v>
      </c>
      <c r="B379" t="s">
        <v>53</v>
      </c>
      <c r="C379" t="s">
        <v>17</v>
      </c>
      <c r="D379" t="s">
        <v>24</v>
      </c>
      <c r="E379" t="s">
        <v>25</v>
      </c>
      <c r="F379" t="s">
        <v>54</v>
      </c>
      <c r="G379" t="s">
        <v>144</v>
      </c>
      <c r="H379" t="s">
        <v>56</v>
      </c>
      <c r="I379" t="s">
        <v>7</v>
      </c>
      <c r="J379" t="s">
        <v>145</v>
      </c>
      <c r="K379" t="s">
        <v>146</v>
      </c>
      <c r="L379" t="s">
        <v>59</v>
      </c>
      <c r="M379">
        <v>59</v>
      </c>
      <c r="N379" t="b">
        <v>1</v>
      </c>
      <c r="O379">
        <v>0.69278350515463916</v>
      </c>
      <c r="P379">
        <v>0.6588235294117647</v>
      </c>
      <c r="Q379">
        <v>0.73043478260869565</v>
      </c>
      <c r="R379" t="s">
        <v>60</v>
      </c>
      <c r="S379" t="s">
        <v>1183</v>
      </c>
      <c r="T379" t="s">
        <v>1184</v>
      </c>
      <c r="U379" t="b">
        <v>1</v>
      </c>
      <c r="V379" t="s">
        <v>63</v>
      </c>
      <c r="W379">
        <v>2.4</v>
      </c>
    </row>
    <row r="380" spans="1:23" hidden="1" x14ac:dyDescent="0.3">
      <c r="A380" t="s">
        <v>52</v>
      </c>
      <c r="B380" t="s">
        <v>53</v>
      </c>
      <c r="C380" t="s">
        <v>17</v>
      </c>
      <c r="D380" t="s">
        <v>24</v>
      </c>
      <c r="E380" t="s">
        <v>25</v>
      </c>
      <c r="F380" t="s">
        <v>54</v>
      </c>
      <c r="G380" t="s">
        <v>149</v>
      </c>
      <c r="H380" t="s">
        <v>56</v>
      </c>
      <c r="I380" t="s">
        <v>7</v>
      </c>
      <c r="J380" t="s">
        <v>150</v>
      </c>
      <c r="K380" t="s">
        <v>151</v>
      </c>
      <c r="L380" t="s">
        <v>59</v>
      </c>
      <c r="M380">
        <v>60</v>
      </c>
      <c r="N380" t="b">
        <v>1</v>
      </c>
      <c r="O380">
        <v>0.6652542372881356</v>
      </c>
      <c r="P380">
        <v>0.64876033057851235</v>
      </c>
      <c r="Q380">
        <v>0.68260869565217386</v>
      </c>
      <c r="R380" t="s">
        <v>60</v>
      </c>
      <c r="S380" t="s">
        <v>1185</v>
      </c>
      <c r="T380" t="s">
        <v>1186</v>
      </c>
      <c r="U380" t="b">
        <v>1</v>
      </c>
      <c r="V380" t="s">
        <v>63</v>
      </c>
      <c r="W380">
        <v>1.8</v>
      </c>
    </row>
    <row r="381" spans="1:23" hidden="1" x14ac:dyDescent="0.3">
      <c r="A381" t="s">
        <v>52</v>
      </c>
      <c r="B381" t="s">
        <v>53</v>
      </c>
      <c r="C381" t="s">
        <v>17</v>
      </c>
      <c r="D381" t="s">
        <v>24</v>
      </c>
      <c r="E381" t="s">
        <v>25</v>
      </c>
      <c r="F381" t="s">
        <v>54</v>
      </c>
      <c r="G381" t="s">
        <v>154</v>
      </c>
      <c r="H381" t="s">
        <v>56</v>
      </c>
      <c r="I381" t="s">
        <v>7</v>
      </c>
      <c r="J381" t="s">
        <v>155</v>
      </c>
      <c r="K381" t="s">
        <v>156</v>
      </c>
      <c r="L381" t="s">
        <v>59</v>
      </c>
      <c r="M381">
        <v>61</v>
      </c>
      <c r="N381" t="b">
        <v>1</v>
      </c>
      <c r="O381">
        <v>0.66945606694560678</v>
      </c>
      <c r="P381">
        <v>0.64516129032258063</v>
      </c>
      <c r="Q381">
        <v>0.69565217391304346</v>
      </c>
      <c r="R381" t="s">
        <v>60</v>
      </c>
      <c r="S381" t="s">
        <v>1187</v>
      </c>
      <c r="T381" t="s">
        <v>1188</v>
      </c>
      <c r="U381" t="b">
        <v>1</v>
      </c>
      <c r="V381" t="s">
        <v>63</v>
      </c>
      <c r="W381">
        <v>1.9</v>
      </c>
    </row>
    <row r="382" spans="1:23" hidden="1" x14ac:dyDescent="0.3">
      <c r="A382" t="s">
        <v>52</v>
      </c>
      <c r="B382" t="s">
        <v>53</v>
      </c>
      <c r="C382" t="s">
        <v>17</v>
      </c>
      <c r="D382" t="s">
        <v>24</v>
      </c>
      <c r="E382" t="s">
        <v>25</v>
      </c>
      <c r="F382" t="s">
        <v>54</v>
      </c>
      <c r="G382" t="s">
        <v>159</v>
      </c>
      <c r="H382" t="s">
        <v>160</v>
      </c>
      <c r="I382" t="s">
        <v>3</v>
      </c>
      <c r="J382" t="s">
        <v>161</v>
      </c>
      <c r="K382" t="s">
        <v>162</v>
      </c>
      <c r="L382" t="s">
        <v>163</v>
      </c>
      <c r="M382">
        <v>42</v>
      </c>
      <c r="N382" t="b">
        <v>0</v>
      </c>
      <c r="O382">
        <v>0.74509803921568629</v>
      </c>
      <c r="P382">
        <v>0.70744680851063835</v>
      </c>
      <c r="Q382">
        <v>0.78698224852071008</v>
      </c>
      <c r="R382" t="s">
        <v>60</v>
      </c>
      <c r="S382" t="s">
        <v>1189</v>
      </c>
      <c r="T382" t="s">
        <v>1190</v>
      </c>
      <c r="U382" t="b">
        <v>1</v>
      </c>
      <c r="V382" t="s">
        <v>63</v>
      </c>
      <c r="W382">
        <v>2.1</v>
      </c>
    </row>
    <row r="383" spans="1:23" hidden="1" x14ac:dyDescent="0.3">
      <c r="A383" t="s">
        <v>52</v>
      </c>
      <c r="B383" t="s">
        <v>53</v>
      </c>
      <c r="C383" t="s">
        <v>17</v>
      </c>
      <c r="D383" t="s">
        <v>24</v>
      </c>
      <c r="E383" t="s">
        <v>25</v>
      </c>
      <c r="F383" t="s">
        <v>54</v>
      </c>
      <c r="G383" t="s">
        <v>166</v>
      </c>
      <c r="H383" t="s">
        <v>160</v>
      </c>
      <c r="I383" t="s">
        <v>3</v>
      </c>
      <c r="J383" t="s">
        <v>167</v>
      </c>
      <c r="K383" t="s">
        <v>168</v>
      </c>
      <c r="L383" t="s">
        <v>163</v>
      </c>
      <c r="M383">
        <v>43</v>
      </c>
      <c r="N383" t="b">
        <v>0</v>
      </c>
      <c r="O383">
        <v>0.721763085399449</v>
      </c>
      <c r="P383">
        <v>0.67525773195876293</v>
      </c>
      <c r="Q383">
        <v>0.7751479289940828</v>
      </c>
      <c r="R383" t="s">
        <v>60</v>
      </c>
      <c r="S383" t="s">
        <v>1191</v>
      </c>
      <c r="T383" t="s">
        <v>1192</v>
      </c>
      <c r="U383" t="b">
        <v>1</v>
      </c>
      <c r="V383" t="s">
        <v>63</v>
      </c>
      <c r="W383">
        <v>1.7</v>
      </c>
    </row>
    <row r="384" spans="1:23" hidden="1" x14ac:dyDescent="0.3">
      <c r="A384" t="s">
        <v>52</v>
      </c>
      <c r="B384" t="s">
        <v>53</v>
      </c>
      <c r="C384" t="s">
        <v>17</v>
      </c>
      <c r="D384" t="s">
        <v>24</v>
      </c>
      <c r="E384" t="s">
        <v>25</v>
      </c>
      <c r="F384" t="s">
        <v>54</v>
      </c>
      <c r="G384" t="s">
        <v>171</v>
      </c>
      <c r="H384" t="s">
        <v>160</v>
      </c>
      <c r="I384" t="s">
        <v>3</v>
      </c>
      <c r="J384" t="s">
        <v>172</v>
      </c>
      <c r="K384" t="s">
        <v>173</v>
      </c>
      <c r="L384" t="s">
        <v>163</v>
      </c>
      <c r="M384">
        <v>44</v>
      </c>
      <c r="N384" t="b">
        <v>0</v>
      </c>
      <c r="O384">
        <v>0.75280898876404501</v>
      </c>
      <c r="P384">
        <v>0.71657754010695185</v>
      </c>
      <c r="Q384">
        <v>0.79289940828402372</v>
      </c>
      <c r="R384" t="s">
        <v>60</v>
      </c>
      <c r="S384" t="s">
        <v>1193</v>
      </c>
      <c r="T384" t="s">
        <v>1194</v>
      </c>
      <c r="U384" t="b">
        <v>1</v>
      </c>
      <c r="V384" t="s">
        <v>63</v>
      </c>
      <c r="W384">
        <v>1.7</v>
      </c>
    </row>
    <row r="385" spans="1:23" hidden="1" x14ac:dyDescent="0.3">
      <c r="A385" t="s">
        <v>52</v>
      </c>
      <c r="B385" t="s">
        <v>53</v>
      </c>
      <c r="C385" t="s">
        <v>17</v>
      </c>
      <c r="D385" t="s">
        <v>24</v>
      </c>
      <c r="E385" t="s">
        <v>25</v>
      </c>
      <c r="F385" t="s">
        <v>54</v>
      </c>
      <c r="G385" t="s">
        <v>176</v>
      </c>
      <c r="H385" t="s">
        <v>160</v>
      </c>
      <c r="I385" t="s">
        <v>3</v>
      </c>
      <c r="J385" t="s">
        <v>177</v>
      </c>
      <c r="K385" t="s">
        <v>178</v>
      </c>
      <c r="L385" t="s">
        <v>163</v>
      </c>
      <c r="M385">
        <v>45</v>
      </c>
      <c r="N385" t="b">
        <v>0</v>
      </c>
      <c r="O385">
        <v>0.74444444444444435</v>
      </c>
      <c r="P385">
        <v>0.70157068062827221</v>
      </c>
      <c r="Q385">
        <v>0.79289940828402372</v>
      </c>
      <c r="R385" t="s">
        <v>60</v>
      </c>
      <c r="S385" t="s">
        <v>1195</v>
      </c>
      <c r="T385" t="s">
        <v>1196</v>
      </c>
      <c r="U385" t="b">
        <v>1</v>
      </c>
      <c r="V385" t="s">
        <v>63</v>
      </c>
      <c r="W385">
        <v>2.1</v>
      </c>
    </row>
    <row r="386" spans="1:23" hidden="1" x14ac:dyDescent="0.3">
      <c r="A386" t="s">
        <v>52</v>
      </c>
      <c r="B386" t="s">
        <v>53</v>
      </c>
      <c r="C386" t="s">
        <v>17</v>
      </c>
      <c r="D386" t="s">
        <v>24</v>
      </c>
      <c r="E386" t="s">
        <v>25</v>
      </c>
      <c r="F386" t="s">
        <v>54</v>
      </c>
      <c r="G386" t="s">
        <v>181</v>
      </c>
      <c r="H386" t="s">
        <v>160</v>
      </c>
      <c r="I386" t="s">
        <v>3</v>
      </c>
      <c r="J386" t="s">
        <v>182</v>
      </c>
      <c r="K386" t="s">
        <v>183</v>
      </c>
      <c r="L386" t="s">
        <v>163</v>
      </c>
      <c r="M386">
        <v>46</v>
      </c>
      <c r="N386" t="b">
        <v>0</v>
      </c>
      <c r="O386">
        <v>0.73829201101928377</v>
      </c>
      <c r="P386">
        <v>0.69072164948453607</v>
      </c>
      <c r="Q386">
        <v>0.79289940828402372</v>
      </c>
      <c r="R386" t="s">
        <v>60</v>
      </c>
      <c r="S386" t="s">
        <v>1197</v>
      </c>
      <c r="T386" t="s">
        <v>1198</v>
      </c>
      <c r="U386" t="b">
        <v>1</v>
      </c>
      <c r="V386" t="s">
        <v>63</v>
      </c>
      <c r="W386">
        <v>1.7</v>
      </c>
    </row>
    <row r="387" spans="1:23" hidden="1" x14ac:dyDescent="0.3">
      <c r="A387" t="s">
        <v>52</v>
      </c>
      <c r="B387" t="s">
        <v>53</v>
      </c>
      <c r="C387" t="s">
        <v>17</v>
      </c>
      <c r="D387" t="s">
        <v>24</v>
      </c>
      <c r="E387" t="s">
        <v>25</v>
      </c>
      <c r="F387" t="s">
        <v>54</v>
      </c>
      <c r="G387" t="s">
        <v>186</v>
      </c>
      <c r="H387" t="s">
        <v>160</v>
      </c>
      <c r="I387" t="s">
        <v>3</v>
      </c>
      <c r="J387" t="s">
        <v>187</v>
      </c>
      <c r="K387" t="s">
        <v>188</v>
      </c>
      <c r="L387" t="s">
        <v>163</v>
      </c>
      <c r="M387">
        <v>47</v>
      </c>
      <c r="N387" t="b">
        <v>0</v>
      </c>
      <c r="O387">
        <v>0.74033149171270718</v>
      </c>
      <c r="P387">
        <v>0.69430051813471505</v>
      </c>
      <c r="Q387">
        <v>0.79289940828402372</v>
      </c>
      <c r="R387" t="s">
        <v>60</v>
      </c>
      <c r="S387" t="s">
        <v>1199</v>
      </c>
      <c r="T387" t="s">
        <v>1200</v>
      </c>
      <c r="U387" t="b">
        <v>1</v>
      </c>
      <c r="V387" t="s">
        <v>63</v>
      </c>
      <c r="W387">
        <v>1.7</v>
      </c>
    </row>
    <row r="388" spans="1:23" hidden="1" x14ac:dyDescent="0.3">
      <c r="A388" t="s">
        <v>52</v>
      </c>
      <c r="B388" t="s">
        <v>53</v>
      </c>
      <c r="C388" t="s">
        <v>17</v>
      </c>
      <c r="D388" t="s">
        <v>24</v>
      </c>
      <c r="E388" t="s">
        <v>25</v>
      </c>
      <c r="F388" t="s">
        <v>54</v>
      </c>
      <c r="G388" t="s">
        <v>191</v>
      </c>
      <c r="H388" t="s">
        <v>160</v>
      </c>
      <c r="I388" t="s">
        <v>3</v>
      </c>
      <c r="J388" t="s">
        <v>192</v>
      </c>
      <c r="K388" t="s">
        <v>193</v>
      </c>
      <c r="L388" t="s">
        <v>163</v>
      </c>
      <c r="M388">
        <v>48</v>
      </c>
      <c r="N388" t="b">
        <v>0</v>
      </c>
      <c r="O388">
        <v>0.73537604456824524</v>
      </c>
      <c r="P388">
        <v>0.69473684210526321</v>
      </c>
      <c r="Q388">
        <v>0.78106508875739644</v>
      </c>
      <c r="R388" t="s">
        <v>60</v>
      </c>
      <c r="S388" t="s">
        <v>1201</v>
      </c>
      <c r="T388" t="s">
        <v>1202</v>
      </c>
      <c r="U388" t="b">
        <v>1</v>
      </c>
      <c r="V388" t="s">
        <v>63</v>
      </c>
      <c r="W388">
        <v>1.7</v>
      </c>
    </row>
    <row r="389" spans="1:23" hidden="1" x14ac:dyDescent="0.3">
      <c r="A389" t="s">
        <v>52</v>
      </c>
      <c r="B389" t="s">
        <v>53</v>
      </c>
      <c r="C389" t="s">
        <v>17</v>
      </c>
      <c r="D389" t="s">
        <v>24</v>
      </c>
      <c r="E389" t="s">
        <v>25</v>
      </c>
      <c r="F389" t="s">
        <v>54</v>
      </c>
      <c r="G389" t="s">
        <v>196</v>
      </c>
      <c r="H389" t="s">
        <v>160</v>
      </c>
      <c r="I389" t="s">
        <v>3</v>
      </c>
      <c r="J389" t="s">
        <v>197</v>
      </c>
      <c r="K389" t="s">
        <v>198</v>
      </c>
      <c r="L389" t="s">
        <v>163</v>
      </c>
      <c r="M389">
        <v>49</v>
      </c>
      <c r="N389" t="b">
        <v>0</v>
      </c>
      <c r="O389">
        <v>0.75418994413407814</v>
      </c>
      <c r="P389">
        <v>0.7142857142857143</v>
      </c>
      <c r="Q389">
        <v>0.79881656804733725</v>
      </c>
      <c r="R389" t="s">
        <v>60</v>
      </c>
      <c r="S389" t="s">
        <v>1203</v>
      </c>
      <c r="T389" t="s">
        <v>1204</v>
      </c>
      <c r="U389" t="b">
        <v>1</v>
      </c>
      <c r="V389" t="s">
        <v>63</v>
      </c>
      <c r="W389">
        <v>2.1</v>
      </c>
    </row>
    <row r="390" spans="1:23" hidden="1" x14ac:dyDescent="0.3">
      <c r="A390" t="s">
        <v>52</v>
      </c>
      <c r="B390" t="s">
        <v>53</v>
      </c>
      <c r="C390" t="s">
        <v>17</v>
      </c>
      <c r="D390" t="s">
        <v>24</v>
      </c>
      <c r="E390" t="s">
        <v>25</v>
      </c>
      <c r="F390" t="s">
        <v>54</v>
      </c>
      <c r="G390" t="s">
        <v>201</v>
      </c>
      <c r="H390" t="s">
        <v>160</v>
      </c>
      <c r="I390" t="s">
        <v>3</v>
      </c>
      <c r="J390" t="s">
        <v>202</v>
      </c>
      <c r="K390" t="s">
        <v>203</v>
      </c>
      <c r="L390" t="s">
        <v>163</v>
      </c>
      <c r="M390">
        <v>50</v>
      </c>
      <c r="N390" t="b">
        <v>0</v>
      </c>
      <c r="O390">
        <v>0.73024523160762944</v>
      </c>
      <c r="P390">
        <v>0.6767676767676768</v>
      </c>
      <c r="Q390">
        <v>0.79289940828402372</v>
      </c>
      <c r="R390" t="s">
        <v>60</v>
      </c>
      <c r="S390" t="s">
        <v>1205</v>
      </c>
      <c r="T390" t="s">
        <v>1206</v>
      </c>
      <c r="U390" t="b">
        <v>1</v>
      </c>
      <c r="V390" t="s">
        <v>63</v>
      </c>
      <c r="W390">
        <v>1.7</v>
      </c>
    </row>
    <row r="391" spans="1:23" hidden="1" x14ac:dyDescent="0.3">
      <c r="A391" t="s">
        <v>52</v>
      </c>
      <c r="B391" t="s">
        <v>53</v>
      </c>
      <c r="C391" t="s">
        <v>17</v>
      </c>
      <c r="D391" t="s">
        <v>24</v>
      </c>
      <c r="E391" t="s">
        <v>25</v>
      </c>
      <c r="F391" t="s">
        <v>54</v>
      </c>
      <c r="G391" t="s">
        <v>206</v>
      </c>
      <c r="H391" t="s">
        <v>160</v>
      </c>
      <c r="I391" t="s">
        <v>3</v>
      </c>
      <c r="J391" t="s">
        <v>207</v>
      </c>
      <c r="K391" t="s">
        <v>208</v>
      </c>
      <c r="L391" t="s">
        <v>163</v>
      </c>
      <c r="M391">
        <v>51</v>
      </c>
      <c r="N391" t="b">
        <v>0</v>
      </c>
      <c r="O391">
        <v>0.72282608695652173</v>
      </c>
      <c r="P391">
        <v>0.66834170854271358</v>
      </c>
      <c r="Q391">
        <v>0.78698224852071008</v>
      </c>
      <c r="R391" t="s">
        <v>60</v>
      </c>
      <c r="S391" t="s">
        <v>1207</v>
      </c>
      <c r="T391" t="s">
        <v>1208</v>
      </c>
      <c r="U391" t="b">
        <v>1</v>
      </c>
      <c r="V391" t="s">
        <v>63</v>
      </c>
      <c r="W391">
        <v>1.7</v>
      </c>
    </row>
    <row r="392" spans="1:23" hidden="1" x14ac:dyDescent="0.3">
      <c r="A392" t="s">
        <v>52</v>
      </c>
      <c r="B392" t="s">
        <v>53</v>
      </c>
      <c r="C392" t="s">
        <v>17</v>
      </c>
      <c r="D392" t="s">
        <v>24</v>
      </c>
      <c r="E392" t="s">
        <v>25</v>
      </c>
      <c r="F392" t="s">
        <v>54</v>
      </c>
      <c r="G392" t="s">
        <v>211</v>
      </c>
      <c r="H392" t="s">
        <v>160</v>
      </c>
      <c r="I392" t="s">
        <v>3</v>
      </c>
      <c r="J392" t="s">
        <v>212</v>
      </c>
      <c r="K392" t="s">
        <v>213</v>
      </c>
      <c r="L392" t="s">
        <v>163</v>
      </c>
      <c r="M392">
        <v>52</v>
      </c>
      <c r="N392" t="b">
        <v>0</v>
      </c>
      <c r="O392">
        <v>0.72086720867208676</v>
      </c>
      <c r="P392">
        <v>0.66500000000000004</v>
      </c>
      <c r="Q392">
        <v>0.78698224852071008</v>
      </c>
      <c r="R392" t="s">
        <v>60</v>
      </c>
      <c r="S392" t="s">
        <v>1209</v>
      </c>
      <c r="T392" t="s">
        <v>1210</v>
      </c>
      <c r="U392" t="b">
        <v>1</v>
      </c>
      <c r="V392" t="s">
        <v>63</v>
      </c>
      <c r="W392">
        <v>1.7</v>
      </c>
    </row>
    <row r="393" spans="1:23" hidden="1" x14ac:dyDescent="0.3">
      <c r="A393" t="s">
        <v>52</v>
      </c>
      <c r="B393" t="s">
        <v>53</v>
      </c>
      <c r="C393" t="s">
        <v>17</v>
      </c>
      <c r="D393" t="s">
        <v>24</v>
      </c>
      <c r="E393" t="s">
        <v>25</v>
      </c>
      <c r="F393" t="s">
        <v>54</v>
      </c>
      <c r="G393" t="s">
        <v>216</v>
      </c>
      <c r="H393" t="s">
        <v>160</v>
      </c>
      <c r="I393" t="s">
        <v>3</v>
      </c>
      <c r="J393" t="s">
        <v>217</v>
      </c>
      <c r="K393" t="s">
        <v>218</v>
      </c>
      <c r="L393" t="s">
        <v>163</v>
      </c>
      <c r="M393">
        <v>53</v>
      </c>
      <c r="N393" t="b">
        <v>0</v>
      </c>
      <c r="O393">
        <v>0.75428571428571434</v>
      </c>
      <c r="P393">
        <v>0.72928176795580113</v>
      </c>
      <c r="Q393">
        <v>0.78106508875739644</v>
      </c>
      <c r="R393" t="s">
        <v>60</v>
      </c>
      <c r="S393" t="s">
        <v>1211</v>
      </c>
      <c r="T393" t="s">
        <v>1212</v>
      </c>
      <c r="U393" t="b">
        <v>1</v>
      </c>
      <c r="V393" t="s">
        <v>63</v>
      </c>
      <c r="W393">
        <v>2.1</v>
      </c>
    </row>
    <row r="394" spans="1:23" hidden="1" x14ac:dyDescent="0.3">
      <c r="A394" t="s">
        <v>52</v>
      </c>
      <c r="B394" t="s">
        <v>53</v>
      </c>
      <c r="C394" t="s">
        <v>17</v>
      </c>
      <c r="D394" t="s">
        <v>24</v>
      </c>
      <c r="E394" t="s">
        <v>25</v>
      </c>
      <c r="F394" t="s">
        <v>54</v>
      </c>
      <c r="G394" t="s">
        <v>221</v>
      </c>
      <c r="H394" t="s">
        <v>160</v>
      </c>
      <c r="I394" t="s">
        <v>3</v>
      </c>
      <c r="J394" t="s">
        <v>222</v>
      </c>
      <c r="K394" t="s">
        <v>223</v>
      </c>
      <c r="L394" t="s">
        <v>163</v>
      </c>
      <c r="M394">
        <v>54</v>
      </c>
      <c r="N394" t="b">
        <v>0</v>
      </c>
      <c r="O394">
        <v>0.74725274725274726</v>
      </c>
      <c r="P394">
        <v>0.6974358974358974</v>
      </c>
      <c r="Q394">
        <v>0.80473372781065089</v>
      </c>
      <c r="R394" t="s">
        <v>60</v>
      </c>
      <c r="S394" t="s">
        <v>1213</v>
      </c>
      <c r="T394" t="s">
        <v>1214</v>
      </c>
      <c r="U394" t="b">
        <v>1</v>
      </c>
      <c r="V394" t="s">
        <v>63</v>
      </c>
      <c r="W394">
        <v>1.7</v>
      </c>
    </row>
    <row r="395" spans="1:23" hidden="1" x14ac:dyDescent="0.3">
      <c r="A395" t="s">
        <v>52</v>
      </c>
      <c r="B395" t="s">
        <v>53</v>
      </c>
      <c r="C395" t="s">
        <v>17</v>
      </c>
      <c r="D395" t="s">
        <v>24</v>
      </c>
      <c r="E395" t="s">
        <v>25</v>
      </c>
      <c r="F395" t="s">
        <v>54</v>
      </c>
      <c r="G395" t="s">
        <v>226</v>
      </c>
      <c r="H395" t="s">
        <v>160</v>
      </c>
      <c r="I395" t="s">
        <v>3</v>
      </c>
      <c r="J395" t="s">
        <v>227</v>
      </c>
      <c r="K395" t="s">
        <v>228</v>
      </c>
      <c r="L395" t="s">
        <v>163</v>
      </c>
      <c r="M395">
        <v>55</v>
      </c>
      <c r="N395" t="b">
        <v>0</v>
      </c>
      <c r="O395">
        <v>0.73369565217391297</v>
      </c>
      <c r="P395">
        <v>0.67839195979899503</v>
      </c>
      <c r="Q395">
        <v>0.79881656804733725</v>
      </c>
      <c r="R395" t="s">
        <v>60</v>
      </c>
      <c r="S395" t="s">
        <v>1215</v>
      </c>
      <c r="T395" t="s">
        <v>1216</v>
      </c>
      <c r="U395" t="b">
        <v>1</v>
      </c>
      <c r="V395" t="s">
        <v>63</v>
      </c>
      <c r="W395">
        <v>1.7</v>
      </c>
    </row>
    <row r="396" spans="1:23" hidden="1" x14ac:dyDescent="0.3">
      <c r="A396" t="s">
        <v>52</v>
      </c>
      <c r="B396" t="s">
        <v>53</v>
      </c>
      <c r="C396" t="s">
        <v>17</v>
      </c>
      <c r="D396" t="s">
        <v>24</v>
      </c>
      <c r="E396" t="s">
        <v>25</v>
      </c>
      <c r="F396" t="s">
        <v>54</v>
      </c>
      <c r="G396" t="s">
        <v>231</v>
      </c>
      <c r="H396" t="s">
        <v>160</v>
      </c>
      <c r="I396" t="s">
        <v>3</v>
      </c>
      <c r="J396" t="s">
        <v>232</v>
      </c>
      <c r="K396" t="s">
        <v>233</v>
      </c>
      <c r="L396" t="s">
        <v>163</v>
      </c>
      <c r="M396">
        <v>56</v>
      </c>
      <c r="N396" t="b">
        <v>0</v>
      </c>
      <c r="O396">
        <v>0.72022160664819945</v>
      </c>
      <c r="P396">
        <v>0.67708333333333337</v>
      </c>
      <c r="Q396">
        <v>0.76923076923076927</v>
      </c>
      <c r="R396" t="s">
        <v>60</v>
      </c>
      <c r="S396" t="s">
        <v>1217</v>
      </c>
      <c r="T396" t="s">
        <v>1218</v>
      </c>
      <c r="U396" t="b">
        <v>1</v>
      </c>
      <c r="V396" t="s">
        <v>63</v>
      </c>
      <c r="W396">
        <v>2.1</v>
      </c>
    </row>
    <row r="397" spans="1:23" hidden="1" x14ac:dyDescent="0.3">
      <c r="A397" t="s">
        <v>52</v>
      </c>
      <c r="B397" t="s">
        <v>53</v>
      </c>
      <c r="C397" t="s">
        <v>17</v>
      </c>
      <c r="D397" t="s">
        <v>24</v>
      </c>
      <c r="E397" t="s">
        <v>25</v>
      </c>
      <c r="F397" t="s">
        <v>54</v>
      </c>
      <c r="G397" t="s">
        <v>236</v>
      </c>
      <c r="H397" t="s">
        <v>160</v>
      </c>
      <c r="I397" t="s">
        <v>3</v>
      </c>
      <c r="J397" t="s">
        <v>237</v>
      </c>
      <c r="K397" t="s">
        <v>238</v>
      </c>
      <c r="L397" t="s">
        <v>163</v>
      </c>
      <c r="M397">
        <v>57</v>
      </c>
      <c r="N397" t="b">
        <v>0</v>
      </c>
      <c r="O397">
        <v>0.7458563535911602</v>
      </c>
      <c r="P397">
        <v>0.69948186528497414</v>
      </c>
      <c r="Q397">
        <v>0.79881656804733725</v>
      </c>
      <c r="R397" t="s">
        <v>60</v>
      </c>
      <c r="S397" t="s">
        <v>1219</v>
      </c>
      <c r="T397" t="s">
        <v>1220</v>
      </c>
      <c r="U397" t="b">
        <v>1</v>
      </c>
      <c r="V397" t="s">
        <v>63</v>
      </c>
      <c r="W397">
        <v>1.7</v>
      </c>
    </row>
    <row r="398" spans="1:23" hidden="1" x14ac:dyDescent="0.3">
      <c r="A398" t="s">
        <v>52</v>
      </c>
      <c r="B398" t="s">
        <v>53</v>
      </c>
      <c r="C398" t="s">
        <v>17</v>
      </c>
      <c r="D398" t="s">
        <v>24</v>
      </c>
      <c r="E398" t="s">
        <v>25</v>
      </c>
      <c r="F398" t="s">
        <v>54</v>
      </c>
      <c r="G398" t="s">
        <v>241</v>
      </c>
      <c r="H398" t="s">
        <v>160</v>
      </c>
      <c r="I398" t="s">
        <v>3</v>
      </c>
      <c r="J398" t="s">
        <v>242</v>
      </c>
      <c r="K398" t="s">
        <v>243</v>
      </c>
      <c r="L398" t="s">
        <v>163</v>
      </c>
      <c r="M398">
        <v>58</v>
      </c>
      <c r="N398" t="b">
        <v>0</v>
      </c>
      <c r="O398">
        <v>0.74175824175824157</v>
      </c>
      <c r="P398">
        <v>0.69230769230769229</v>
      </c>
      <c r="Q398">
        <v>0.79881656804733725</v>
      </c>
      <c r="R398" t="s">
        <v>60</v>
      </c>
      <c r="S398" t="s">
        <v>1221</v>
      </c>
      <c r="T398" t="s">
        <v>1222</v>
      </c>
      <c r="U398" t="b">
        <v>1</v>
      </c>
      <c r="V398" t="s">
        <v>63</v>
      </c>
      <c r="W398">
        <v>1.7</v>
      </c>
    </row>
    <row r="399" spans="1:23" hidden="1" x14ac:dyDescent="0.3">
      <c r="A399" t="s">
        <v>52</v>
      </c>
      <c r="B399" t="s">
        <v>53</v>
      </c>
      <c r="C399" t="s">
        <v>17</v>
      </c>
      <c r="D399" t="s">
        <v>24</v>
      </c>
      <c r="E399" t="s">
        <v>25</v>
      </c>
      <c r="F399" t="s">
        <v>54</v>
      </c>
      <c r="G399" t="s">
        <v>246</v>
      </c>
      <c r="H399" t="s">
        <v>160</v>
      </c>
      <c r="I399" t="s">
        <v>3</v>
      </c>
      <c r="J399" t="s">
        <v>247</v>
      </c>
      <c r="K399" t="s">
        <v>248</v>
      </c>
      <c r="L399" t="s">
        <v>163</v>
      </c>
      <c r="M399">
        <v>59</v>
      </c>
      <c r="N399" t="b">
        <v>0</v>
      </c>
      <c r="O399">
        <v>0.73743016759776525</v>
      </c>
      <c r="P399">
        <v>0.69841269841269837</v>
      </c>
      <c r="Q399">
        <v>0.78106508875739644</v>
      </c>
      <c r="R399" t="s">
        <v>60</v>
      </c>
      <c r="S399" t="s">
        <v>1223</v>
      </c>
      <c r="T399" t="s">
        <v>1224</v>
      </c>
      <c r="U399" t="b">
        <v>1</v>
      </c>
      <c r="V399" t="s">
        <v>63</v>
      </c>
      <c r="W399">
        <v>1.9</v>
      </c>
    </row>
    <row r="400" spans="1:23" hidden="1" x14ac:dyDescent="0.3">
      <c r="A400" t="s">
        <v>52</v>
      </c>
      <c r="B400" t="s">
        <v>53</v>
      </c>
      <c r="C400" t="s">
        <v>17</v>
      </c>
      <c r="D400" t="s">
        <v>24</v>
      </c>
      <c r="E400" t="s">
        <v>25</v>
      </c>
      <c r="F400" t="s">
        <v>54</v>
      </c>
      <c r="G400" t="s">
        <v>251</v>
      </c>
      <c r="H400" t="s">
        <v>160</v>
      </c>
      <c r="I400" t="s">
        <v>3</v>
      </c>
      <c r="J400" t="s">
        <v>252</v>
      </c>
      <c r="K400" t="s">
        <v>253</v>
      </c>
      <c r="L400" t="s">
        <v>163</v>
      </c>
      <c r="M400">
        <v>60</v>
      </c>
      <c r="N400" t="b">
        <v>0</v>
      </c>
      <c r="O400">
        <v>0.73480662983425415</v>
      </c>
      <c r="P400">
        <v>0.68911917098445596</v>
      </c>
      <c r="Q400">
        <v>0.78698224852071008</v>
      </c>
      <c r="R400" t="s">
        <v>60</v>
      </c>
      <c r="S400" t="s">
        <v>1225</v>
      </c>
      <c r="T400" t="s">
        <v>1226</v>
      </c>
      <c r="U400" t="b">
        <v>1</v>
      </c>
      <c r="V400" t="s">
        <v>63</v>
      </c>
      <c r="W400">
        <v>2.1</v>
      </c>
    </row>
    <row r="401" spans="1:23" hidden="1" x14ac:dyDescent="0.3">
      <c r="A401" t="s">
        <v>52</v>
      </c>
      <c r="B401" t="s">
        <v>53</v>
      </c>
      <c r="C401" t="s">
        <v>17</v>
      </c>
      <c r="D401" t="s">
        <v>24</v>
      </c>
      <c r="E401" t="s">
        <v>25</v>
      </c>
      <c r="F401" t="s">
        <v>54</v>
      </c>
      <c r="G401" t="s">
        <v>256</v>
      </c>
      <c r="H401" t="s">
        <v>160</v>
      </c>
      <c r="I401" t="s">
        <v>3</v>
      </c>
      <c r="J401" t="s">
        <v>257</v>
      </c>
      <c r="K401" t="s">
        <v>258</v>
      </c>
      <c r="L401" t="s">
        <v>163</v>
      </c>
      <c r="M401">
        <v>61</v>
      </c>
      <c r="N401" t="b">
        <v>0</v>
      </c>
      <c r="O401">
        <v>0.73626373626373631</v>
      </c>
      <c r="P401">
        <v>0.68717948717948718</v>
      </c>
      <c r="Q401">
        <v>0.79289940828402372</v>
      </c>
      <c r="R401" t="s">
        <v>60</v>
      </c>
      <c r="S401" t="s">
        <v>1227</v>
      </c>
      <c r="T401" t="s">
        <v>1228</v>
      </c>
      <c r="U401" t="b">
        <v>1</v>
      </c>
      <c r="V401" t="s">
        <v>63</v>
      </c>
      <c r="W401">
        <v>1.7</v>
      </c>
    </row>
    <row r="402" spans="1:23" hidden="1" x14ac:dyDescent="0.3">
      <c r="A402" t="s">
        <v>52</v>
      </c>
      <c r="B402" t="s">
        <v>53</v>
      </c>
      <c r="C402" t="s">
        <v>17</v>
      </c>
      <c r="D402" t="s">
        <v>24</v>
      </c>
      <c r="E402" t="s">
        <v>25</v>
      </c>
      <c r="F402" t="s">
        <v>54</v>
      </c>
      <c r="G402" t="s">
        <v>261</v>
      </c>
      <c r="H402" t="s">
        <v>262</v>
      </c>
      <c r="I402" t="s">
        <v>5</v>
      </c>
      <c r="J402" t="s">
        <v>263</v>
      </c>
      <c r="K402" t="s">
        <v>264</v>
      </c>
      <c r="L402" t="s">
        <v>265</v>
      </c>
      <c r="M402">
        <v>42</v>
      </c>
      <c r="N402" t="b">
        <v>0</v>
      </c>
      <c r="O402">
        <v>0.74613686534216328</v>
      </c>
      <c r="P402">
        <v>0.73160173160173159</v>
      </c>
      <c r="Q402">
        <v>0.76126126126126126</v>
      </c>
      <c r="R402" t="s">
        <v>60</v>
      </c>
      <c r="S402" t="s">
        <v>1229</v>
      </c>
      <c r="T402" t="s">
        <v>1230</v>
      </c>
      <c r="U402" t="b">
        <v>1</v>
      </c>
      <c r="V402" t="s">
        <v>63</v>
      </c>
      <c r="W402">
        <v>1.9</v>
      </c>
    </row>
    <row r="403" spans="1:23" hidden="1" x14ac:dyDescent="0.3">
      <c r="A403" t="s">
        <v>52</v>
      </c>
      <c r="B403" t="s">
        <v>53</v>
      </c>
      <c r="C403" t="s">
        <v>17</v>
      </c>
      <c r="D403" t="s">
        <v>24</v>
      </c>
      <c r="E403" t="s">
        <v>25</v>
      </c>
      <c r="F403" t="s">
        <v>54</v>
      </c>
      <c r="G403" t="s">
        <v>268</v>
      </c>
      <c r="H403" t="s">
        <v>262</v>
      </c>
      <c r="I403" t="s">
        <v>5</v>
      </c>
      <c r="J403" t="s">
        <v>269</v>
      </c>
      <c r="K403" t="s">
        <v>270</v>
      </c>
      <c r="L403" t="s">
        <v>265</v>
      </c>
      <c r="M403">
        <v>43</v>
      </c>
      <c r="N403" t="b">
        <v>0</v>
      </c>
      <c r="O403">
        <v>0.7633928571428571</v>
      </c>
      <c r="P403">
        <v>0.75663716814159288</v>
      </c>
      <c r="Q403">
        <v>0.77027027027027029</v>
      </c>
      <c r="R403" t="s">
        <v>60</v>
      </c>
      <c r="S403" t="s">
        <v>1231</v>
      </c>
      <c r="T403" t="s">
        <v>1232</v>
      </c>
      <c r="U403" t="b">
        <v>1</v>
      </c>
      <c r="V403" t="s">
        <v>63</v>
      </c>
      <c r="W403">
        <v>2.2000000000000002</v>
      </c>
    </row>
    <row r="404" spans="1:23" hidden="1" x14ac:dyDescent="0.3">
      <c r="A404" t="s">
        <v>52</v>
      </c>
      <c r="B404" t="s">
        <v>53</v>
      </c>
      <c r="C404" t="s">
        <v>17</v>
      </c>
      <c r="D404" t="s">
        <v>24</v>
      </c>
      <c r="E404" t="s">
        <v>25</v>
      </c>
      <c r="F404" t="s">
        <v>54</v>
      </c>
      <c r="G404" t="s">
        <v>273</v>
      </c>
      <c r="H404" t="s">
        <v>262</v>
      </c>
      <c r="I404" t="s">
        <v>5</v>
      </c>
      <c r="J404" t="s">
        <v>274</v>
      </c>
      <c r="K404" t="s">
        <v>275</v>
      </c>
      <c r="L404" t="s">
        <v>265</v>
      </c>
      <c r="M404">
        <v>44</v>
      </c>
      <c r="N404" t="b">
        <v>0</v>
      </c>
      <c r="O404">
        <v>0.75000000000000011</v>
      </c>
      <c r="P404">
        <v>0.74336283185840712</v>
      </c>
      <c r="Q404">
        <v>0.7567567567567568</v>
      </c>
      <c r="R404" t="s">
        <v>60</v>
      </c>
      <c r="S404" t="s">
        <v>1233</v>
      </c>
      <c r="T404" t="s">
        <v>1234</v>
      </c>
      <c r="U404" t="b">
        <v>1</v>
      </c>
      <c r="V404" t="s">
        <v>63</v>
      </c>
      <c r="W404">
        <v>1.9</v>
      </c>
    </row>
    <row r="405" spans="1:23" hidden="1" x14ac:dyDescent="0.3">
      <c r="A405" t="s">
        <v>52</v>
      </c>
      <c r="B405" t="s">
        <v>53</v>
      </c>
      <c r="C405" t="s">
        <v>17</v>
      </c>
      <c r="D405" t="s">
        <v>24</v>
      </c>
      <c r="E405" t="s">
        <v>25</v>
      </c>
      <c r="F405" t="s">
        <v>54</v>
      </c>
      <c r="G405" t="s">
        <v>278</v>
      </c>
      <c r="H405" t="s">
        <v>262</v>
      </c>
      <c r="I405" t="s">
        <v>5</v>
      </c>
      <c r="J405" t="s">
        <v>279</v>
      </c>
      <c r="K405" t="s">
        <v>280</v>
      </c>
      <c r="L405" t="s">
        <v>265</v>
      </c>
      <c r="M405">
        <v>45</v>
      </c>
      <c r="N405" t="b">
        <v>0</v>
      </c>
      <c r="O405">
        <v>0.74172185430463577</v>
      </c>
      <c r="P405">
        <v>0.72727272727272729</v>
      </c>
      <c r="Q405">
        <v>0.7567567567567568</v>
      </c>
      <c r="R405" t="s">
        <v>60</v>
      </c>
      <c r="S405" t="s">
        <v>1235</v>
      </c>
      <c r="T405" t="s">
        <v>1236</v>
      </c>
      <c r="U405" t="b">
        <v>1</v>
      </c>
      <c r="V405" t="s">
        <v>63</v>
      </c>
      <c r="W405">
        <v>1.8</v>
      </c>
    </row>
    <row r="406" spans="1:23" hidden="1" x14ac:dyDescent="0.3">
      <c r="A406" t="s">
        <v>52</v>
      </c>
      <c r="B406" t="s">
        <v>53</v>
      </c>
      <c r="C406" t="s">
        <v>17</v>
      </c>
      <c r="D406" t="s">
        <v>24</v>
      </c>
      <c r="E406" t="s">
        <v>25</v>
      </c>
      <c r="F406" t="s">
        <v>54</v>
      </c>
      <c r="G406" t="s">
        <v>283</v>
      </c>
      <c r="H406" t="s">
        <v>262</v>
      </c>
      <c r="I406" t="s">
        <v>5</v>
      </c>
      <c r="J406" t="s">
        <v>284</v>
      </c>
      <c r="K406" t="s">
        <v>285</v>
      </c>
      <c r="L406" t="s">
        <v>265</v>
      </c>
      <c r="M406">
        <v>46</v>
      </c>
      <c r="N406" t="b">
        <v>0</v>
      </c>
      <c r="O406">
        <v>0.7155555555555555</v>
      </c>
      <c r="P406">
        <v>0.70614035087719296</v>
      </c>
      <c r="Q406">
        <v>0.72522522522522526</v>
      </c>
      <c r="R406" t="s">
        <v>60</v>
      </c>
      <c r="S406" t="s">
        <v>1237</v>
      </c>
      <c r="T406" t="s">
        <v>1238</v>
      </c>
      <c r="U406" t="b">
        <v>1</v>
      </c>
      <c r="V406" t="s">
        <v>63</v>
      </c>
      <c r="W406">
        <v>2.2999999999999998</v>
      </c>
    </row>
    <row r="407" spans="1:23" hidden="1" x14ac:dyDescent="0.3">
      <c r="A407" t="s">
        <v>52</v>
      </c>
      <c r="B407" t="s">
        <v>53</v>
      </c>
      <c r="C407" t="s">
        <v>17</v>
      </c>
      <c r="D407" t="s">
        <v>24</v>
      </c>
      <c r="E407" t="s">
        <v>25</v>
      </c>
      <c r="F407" t="s">
        <v>54</v>
      </c>
      <c r="G407" t="s">
        <v>288</v>
      </c>
      <c r="H407" t="s">
        <v>262</v>
      </c>
      <c r="I407" t="s">
        <v>5</v>
      </c>
      <c r="J407" t="s">
        <v>289</v>
      </c>
      <c r="K407" t="s">
        <v>290</v>
      </c>
      <c r="L407" t="s">
        <v>265</v>
      </c>
      <c r="M407">
        <v>47</v>
      </c>
      <c r="N407" t="b">
        <v>0</v>
      </c>
      <c r="O407">
        <v>0.73522975929978118</v>
      </c>
      <c r="P407">
        <v>0.71489361702127663</v>
      </c>
      <c r="Q407">
        <v>0.7567567567567568</v>
      </c>
      <c r="R407" t="s">
        <v>60</v>
      </c>
      <c r="S407" t="s">
        <v>1239</v>
      </c>
      <c r="T407" t="s">
        <v>1240</v>
      </c>
      <c r="U407" t="b">
        <v>1</v>
      </c>
      <c r="V407" t="s">
        <v>63</v>
      </c>
      <c r="W407">
        <v>1.9</v>
      </c>
    </row>
    <row r="408" spans="1:23" hidden="1" x14ac:dyDescent="0.3">
      <c r="A408" t="s">
        <v>52</v>
      </c>
      <c r="B408" t="s">
        <v>53</v>
      </c>
      <c r="C408" t="s">
        <v>17</v>
      </c>
      <c r="D408" t="s">
        <v>24</v>
      </c>
      <c r="E408" t="s">
        <v>25</v>
      </c>
      <c r="F408" t="s">
        <v>54</v>
      </c>
      <c r="G408" t="s">
        <v>293</v>
      </c>
      <c r="H408" t="s">
        <v>262</v>
      </c>
      <c r="I408" t="s">
        <v>5</v>
      </c>
      <c r="J408" t="s">
        <v>294</v>
      </c>
      <c r="K408" t="s">
        <v>295</v>
      </c>
      <c r="L408" t="s">
        <v>265</v>
      </c>
      <c r="M408">
        <v>48</v>
      </c>
      <c r="N408" t="b">
        <v>0</v>
      </c>
      <c r="O408">
        <v>0.76000000000000012</v>
      </c>
      <c r="P408">
        <v>0.75</v>
      </c>
      <c r="Q408">
        <v>0.77027027027027029</v>
      </c>
      <c r="R408" t="s">
        <v>60</v>
      </c>
      <c r="S408" t="s">
        <v>1241</v>
      </c>
      <c r="T408" t="s">
        <v>1242</v>
      </c>
      <c r="U408" t="b">
        <v>1</v>
      </c>
      <c r="V408" t="s">
        <v>63</v>
      </c>
      <c r="W408">
        <v>2.2000000000000002</v>
      </c>
    </row>
    <row r="409" spans="1:23" hidden="1" x14ac:dyDescent="0.3">
      <c r="A409" t="s">
        <v>52</v>
      </c>
      <c r="B409" t="s">
        <v>53</v>
      </c>
      <c r="C409" t="s">
        <v>17</v>
      </c>
      <c r="D409" t="s">
        <v>24</v>
      </c>
      <c r="E409" t="s">
        <v>25</v>
      </c>
      <c r="F409" t="s">
        <v>54</v>
      </c>
      <c r="G409" t="s">
        <v>298</v>
      </c>
      <c r="H409" t="s">
        <v>262</v>
      </c>
      <c r="I409" t="s">
        <v>5</v>
      </c>
      <c r="J409" t="s">
        <v>299</v>
      </c>
      <c r="K409" t="s">
        <v>300</v>
      </c>
      <c r="L409" t="s">
        <v>265</v>
      </c>
      <c r="M409">
        <v>49</v>
      </c>
      <c r="N409" t="b">
        <v>0</v>
      </c>
      <c r="O409">
        <v>0.73094170403587444</v>
      </c>
      <c r="P409">
        <v>0.7276785714285714</v>
      </c>
      <c r="Q409">
        <v>0.73423423423423428</v>
      </c>
      <c r="R409" t="s">
        <v>60</v>
      </c>
      <c r="S409" t="s">
        <v>1243</v>
      </c>
      <c r="T409" t="s">
        <v>1244</v>
      </c>
      <c r="U409" t="b">
        <v>1</v>
      </c>
      <c r="V409" t="s">
        <v>63</v>
      </c>
      <c r="W409">
        <v>1.9</v>
      </c>
    </row>
    <row r="410" spans="1:23" hidden="1" x14ac:dyDescent="0.3">
      <c r="A410" t="s">
        <v>52</v>
      </c>
      <c r="B410" t="s">
        <v>53</v>
      </c>
      <c r="C410" t="s">
        <v>17</v>
      </c>
      <c r="D410" t="s">
        <v>24</v>
      </c>
      <c r="E410" t="s">
        <v>25</v>
      </c>
      <c r="F410" t="s">
        <v>54</v>
      </c>
      <c r="G410" t="s">
        <v>303</v>
      </c>
      <c r="H410" t="s">
        <v>262</v>
      </c>
      <c r="I410" t="s">
        <v>5</v>
      </c>
      <c r="J410" t="s">
        <v>304</v>
      </c>
      <c r="K410" t="s">
        <v>305</v>
      </c>
      <c r="L410" t="s">
        <v>265</v>
      </c>
      <c r="M410">
        <v>50</v>
      </c>
      <c r="N410" t="b">
        <v>0</v>
      </c>
      <c r="O410">
        <v>0.77130044843049328</v>
      </c>
      <c r="P410">
        <v>0.7678571428571429</v>
      </c>
      <c r="Q410">
        <v>0.77477477477477474</v>
      </c>
      <c r="R410" t="s">
        <v>60</v>
      </c>
      <c r="S410" t="s">
        <v>1245</v>
      </c>
      <c r="T410" t="s">
        <v>1246</v>
      </c>
      <c r="U410" t="b">
        <v>1</v>
      </c>
      <c r="V410" t="s">
        <v>63</v>
      </c>
      <c r="W410">
        <v>1.9</v>
      </c>
    </row>
    <row r="411" spans="1:23" hidden="1" x14ac:dyDescent="0.3">
      <c r="A411" t="s">
        <v>52</v>
      </c>
      <c r="B411" t="s">
        <v>53</v>
      </c>
      <c r="C411" t="s">
        <v>17</v>
      </c>
      <c r="D411" t="s">
        <v>24</v>
      </c>
      <c r="E411" t="s">
        <v>25</v>
      </c>
      <c r="F411" t="s">
        <v>54</v>
      </c>
      <c r="G411" t="s">
        <v>308</v>
      </c>
      <c r="H411" t="s">
        <v>262</v>
      </c>
      <c r="I411" t="s">
        <v>5</v>
      </c>
      <c r="J411" t="s">
        <v>309</v>
      </c>
      <c r="K411" t="s">
        <v>310</v>
      </c>
      <c r="L411" t="s">
        <v>265</v>
      </c>
      <c r="M411">
        <v>51</v>
      </c>
      <c r="N411" t="b">
        <v>0</v>
      </c>
      <c r="O411">
        <v>0.75111111111111117</v>
      </c>
      <c r="P411">
        <v>0.74122807017543857</v>
      </c>
      <c r="Q411">
        <v>0.76126126126126126</v>
      </c>
      <c r="R411" t="s">
        <v>60</v>
      </c>
      <c r="S411" t="s">
        <v>1247</v>
      </c>
      <c r="T411" t="s">
        <v>1248</v>
      </c>
      <c r="U411" t="b">
        <v>1</v>
      </c>
      <c r="V411" t="s">
        <v>63</v>
      </c>
      <c r="W411">
        <v>2.2000000000000002</v>
      </c>
    </row>
    <row r="412" spans="1:23" hidden="1" x14ac:dyDescent="0.3">
      <c r="A412" t="s">
        <v>52</v>
      </c>
      <c r="B412" t="s">
        <v>53</v>
      </c>
      <c r="C412" t="s">
        <v>17</v>
      </c>
      <c r="D412" t="s">
        <v>24</v>
      </c>
      <c r="E412" t="s">
        <v>25</v>
      </c>
      <c r="F412" t="s">
        <v>54</v>
      </c>
      <c r="G412" t="s">
        <v>313</v>
      </c>
      <c r="H412" t="s">
        <v>262</v>
      </c>
      <c r="I412" t="s">
        <v>5</v>
      </c>
      <c r="J412" t="s">
        <v>314</v>
      </c>
      <c r="K412" t="s">
        <v>315</v>
      </c>
      <c r="L412" t="s">
        <v>265</v>
      </c>
      <c r="M412">
        <v>52</v>
      </c>
      <c r="N412" t="b">
        <v>0</v>
      </c>
      <c r="O412">
        <v>0.73922902494331066</v>
      </c>
      <c r="P412">
        <v>0.74429223744292239</v>
      </c>
      <c r="Q412">
        <v>0.73423423423423428</v>
      </c>
      <c r="R412" t="s">
        <v>60</v>
      </c>
      <c r="S412" t="s">
        <v>1249</v>
      </c>
      <c r="T412" t="s">
        <v>1250</v>
      </c>
      <c r="U412" t="b">
        <v>1</v>
      </c>
      <c r="V412" t="s">
        <v>63</v>
      </c>
      <c r="W412">
        <v>1.9</v>
      </c>
    </row>
    <row r="413" spans="1:23" hidden="1" x14ac:dyDescent="0.3">
      <c r="A413" t="s">
        <v>52</v>
      </c>
      <c r="B413" t="s">
        <v>53</v>
      </c>
      <c r="C413" t="s">
        <v>17</v>
      </c>
      <c r="D413" t="s">
        <v>24</v>
      </c>
      <c r="E413" t="s">
        <v>25</v>
      </c>
      <c r="F413" t="s">
        <v>54</v>
      </c>
      <c r="G413" t="s">
        <v>318</v>
      </c>
      <c r="H413" t="s">
        <v>262</v>
      </c>
      <c r="I413" t="s">
        <v>5</v>
      </c>
      <c r="J413" t="s">
        <v>319</v>
      </c>
      <c r="K413" t="s">
        <v>320</v>
      </c>
      <c r="L413" t="s">
        <v>265</v>
      </c>
      <c r="M413">
        <v>53</v>
      </c>
      <c r="N413" t="b">
        <v>0</v>
      </c>
      <c r="O413">
        <v>0.73137697516930023</v>
      </c>
      <c r="P413">
        <v>0.73303167420814475</v>
      </c>
      <c r="Q413">
        <v>0.72972972972972971</v>
      </c>
      <c r="R413" t="s">
        <v>60</v>
      </c>
      <c r="S413" t="s">
        <v>1251</v>
      </c>
      <c r="T413" t="s">
        <v>1252</v>
      </c>
      <c r="U413" t="b">
        <v>1</v>
      </c>
      <c r="V413" t="s">
        <v>63</v>
      </c>
      <c r="W413">
        <v>1.9</v>
      </c>
    </row>
    <row r="414" spans="1:23" hidden="1" x14ac:dyDescent="0.3">
      <c r="A414" t="s">
        <v>52</v>
      </c>
      <c r="B414" t="s">
        <v>53</v>
      </c>
      <c r="C414" t="s">
        <v>17</v>
      </c>
      <c r="D414" t="s">
        <v>24</v>
      </c>
      <c r="E414" t="s">
        <v>25</v>
      </c>
      <c r="F414" t="s">
        <v>54</v>
      </c>
      <c r="G414" t="s">
        <v>323</v>
      </c>
      <c r="H414" t="s">
        <v>262</v>
      </c>
      <c r="I414" t="s">
        <v>5</v>
      </c>
      <c r="J414" t="s">
        <v>324</v>
      </c>
      <c r="K414" t="s">
        <v>325</v>
      </c>
      <c r="L414" t="s">
        <v>265</v>
      </c>
      <c r="M414">
        <v>54</v>
      </c>
      <c r="N414" t="b">
        <v>0</v>
      </c>
      <c r="O414">
        <v>0.7340659340659339</v>
      </c>
      <c r="P414">
        <v>0.71673819742489275</v>
      </c>
      <c r="Q414">
        <v>0.75225225225225223</v>
      </c>
      <c r="R414" t="s">
        <v>60</v>
      </c>
      <c r="S414" t="s">
        <v>1253</v>
      </c>
      <c r="T414" t="s">
        <v>1254</v>
      </c>
      <c r="U414" t="b">
        <v>1</v>
      </c>
      <c r="V414" t="s">
        <v>63</v>
      </c>
      <c r="W414">
        <v>1.8</v>
      </c>
    </row>
    <row r="415" spans="1:23" hidden="1" x14ac:dyDescent="0.3">
      <c r="A415" t="s">
        <v>52</v>
      </c>
      <c r="B415" t="s">
        <v>53</v>
      </c>
      <c r="C415" t="s">
        <v>17</v>
      </c>
      <c r="D415" t="s">
        <v>24</v>
      </c>
      <c r="E415" t="s">
        <v>25</v>
      </c>
      <c r="F415" t="s">
        <v>54</v>
      </c>
      <c r="G415" t="s">
        <v>328</v>
      </c>
      <c r="H415" t="s">
        <v>262</v>
      </c>
      <c r="I415" t="s">
        <v>5</v>
      </c>
      <c r="J415" t="s">
        <v>329</v>
      </c>
      <c r="K415" t="s">
        <v>330</v>
      </c>
      <c r="L415" t="s">
        <v>265</v>
      </c>
      <c r="M415">
        <v>55</v>
      </c>
      <c r="N415" t="b">
        <v>0</v>
      </c>
      <c r="O415">
        <v>0.75278396436525619</v>
      </c>
      <c r="P415">
        <v>0.74449339207048459</v>
      </c>
      <c r="Q415">
        <v>0.76126126126126126</v>
      </c>
      <c r="R415" t="s">
        <v>60</v>
      </c>
      <c r="S415" t="s">
        <v>1255</v>
      </c>
      <c r="T415" t="s">
        <v>1256</v>
      </c>
      <c r="U415" t="b">
        <v>1</v>
      </c>
      <c r="V415" t="s">
        <v>63</v>
      </c>
      <c r="W415">
        <v>2.2999999999999998</v>
      </c>
    </row>
    <row r="416" spans="1:23" hidden="1" x14ac:dyDescent="0.3">
      <c r="A416" t="s">
        <v>52</v>
      </c>
      <c r="B416" t="s">
        <v>53</v>
      </c>
      <c r="C416" t="s">
        <v>17</v>
      </c>
      <c r="D416" t="s">
        <v>24</v>
      </c>
      <c r="E416" t="s">
        <v>25</v>
      </c>
      <c r="F416" t="s">
        <v>54</v>
      </c>
      <c r="G416" t="s">
        <v>333</v>
      </c>
      <c r="H416" t="s">
        <v>262</v>
      </c>
      <c r="I416" t="s">
        <v>5</v>
      </c>
      <c r="J416" t="s">
        <v>334</v>
      </c>
      <c r="K416" t="s">
        <v>335</v>
      </c>
      <c r="L416" t="s">
        <v>265</v>
      </c>
      <c r="M416">
        <v>56</v>
      </c>
      <c r="N416" t="b">
        <v>0</v>
      </c>
      <c r="O416">
        <v>0.7455357142857143</v>
      </c>
      <c r="P416">
        <v>0.73893805309734517</v>
      </c>
      <c r="Q416">
        <v>0.75225225225225223</v>
      </c>
      <c r="R416" t="s">
        <v>60</v>
      </c>
      <c r="S416" t="s">
        <v>1257</v>
      </c>
      <c r="T416" t="s">
        <v>1258</v>
      </c>
      <c r="U416" t="b">
        <v>1</v>
      </c>
      <c r="V416" t="s">
        <v>63</v>
      </c>
      <c r="W416">
        <v>1.9</v>
      </c>
    </row>
    <row r="417" spans="1:23" hidden="1" x14ac:dyDescent="0.3">
      <c r="A417" t="s">
        <v>52</v>
      </c>
      <c r="B417" t="s">
        <v>53</v>
      </c>
      <c r="C417" t="s">
        <v>17</v>
      </c>
      <c r="D417" t="s">
        <v>24</v>
      </c>
      <c r="E417" t="s">
        <v>25</v>
      </c>
      <c r="F417" t="s">
        <v>54</v>
      </c>
      <c r="G417" t="s">
        <v>338</v>
      </c>
      <c r="H417" t="s">
        <v>262</v>
      </c>
      <c r="I417" t="s">
        <v>5</v>
      </c>
      <c r="J417" t="s">
        <v>339</v>
      </c>
      <c r="K417" t="s">
        <v>340</v>
      </c>
      <c r="L417" t="s">
        <v>265</v>
      </c>
      <c r="M417">
        <v>57</v>
      </c>
      <c r="N417" t="b">
        <v>0</v>
      </c>
      <c r="O417">
        <v>0.75330396475770911</v>
      </c>
      <c r="P417">
        <v>0.73706896551724133</v>
      </c>
      <c r="Q417">
        <v>0.77027027027027029</v>
      </c>
      <c r="R417" t="s">
        <v>60</v>
      </c>
      <c r="S417" t="s">
        <v>1259</v>
      </c>
      <c r="T417" t="s">
        <v>1260</v>
      </c>
      <c r="U417" t="b">
        <v>1</v>
      </c>
      <c r="V417" t="s">
        <v>63</v>
      </c>
      <c r="W417">
        <v>1.9</v>
      </c>
    </row>
    <row r="418" spans="1:23" hidden="1" x14ac:dyDescent="0.3">
      <c r="A418" t="s">
        <v>52</v>
      </c>
      <c r="B418" t="s">
        <v>53</v>
      </c>
      <c r="C418" t="s">
        <v>17</v>
      </c>
      <c r="D418" t="s">
        <v>24</v>
      </c>
      <c r="E418" t="s">
        <v>25</v>
      </c>
      <c r="F418" t="s">
        <v>54</v>
      </c>
      <c r="G418" t="s">
        <v>343</v>
      </c>
      <c r="H418" t="s">
        <v>262</v>
      </c>
      <c r="I418" t="s">
        <v>5</v>
      </c>
      <c r="J418" t="s">
        <v>344</v>
      </c>
      <c r="K418" t="s">
        <v>345</v>
      </c>
      <c r="L418" t="s">
        <v>265</v>
      </c>
      <c r="M418">
        <v>58</v>
      </c>
      <c r="N418" t="b">
        <v>0</v>
      </c>
      <c r="O418">
        <v>0.74774774774774788</v>
      </c>
      <c r="P418">
        <v>0.74774774774774777</v>
      </c>
      <c r="Q418">
        <v>0.74774774774774777</v>
      </c>
      <c r="R418" t="s">
        <v>60</v>
      </c>
      <c r="S418" t="s">
        <v>1261</v>
      </c>
      <c r="T418" t="s">
        <v>1262</v>
      </c>
      <c r="U418" t="b">
        <v>1</v>
      </c>
      <c r="V418" t="s">
        <v>63</v>
      </c>
      <c r="W418">
        <v>2.2999999999999998</v>
      </c>
    </row>
    <row r="419" spans="1:23" hidden="1" x14ac:dyDescent="0.3">
      <c r="A419" t="s">
        <v>52</v>
      </c>
      <c r="B419" t="s">
        <v>53</v>
      </c>
      <c r="C419" t="s">
        <v>17</v>
      </c>
      <c r="D419" t="s">
        <v>24</v>
      </c>
      <c r="E419" t="s">
        <v>25</v>
      </c>
      <c r="F419" t="s">
        <v>54</v>
      </c>
      <c r="G419" t="s">
        <v>348</v>
      </c>
      <c r="H419" t="s">
        <v>262</v>
      </c>
      <c r="I419" t="s">
        <v>5</v>
      </c>
      <c r="J419" t="s">
        <v>349</v>
      </c>
      <c r="K419" t="s">
        <v>350</v>
      </c>
      <c r="L419" t="s">
        <v>265</v>
      </c>
      <c r="M419">
        <v>59</v>
      </c>
      <c r="N419" t="b">
        <v>0</v>
      </c>
      <c r="O419">
        <v>0.73451327433628311</v>
      </c>
      <c r="P419">
        <v>0.72173913043478266</v>
      </c>
      <c r="Q419">
        <v>0.74774774774774777</v>
      </c>
      <c r="R419" t="s">
        <v>60</v>
      </c>
      <c r="S419" t="s">
        <v>1263</v>
      </c>
      <c r="T419" t="s">
        <v>1264</v>
      </c>
      <c r="U419" t="b">
        <v>1</v>
      </c>
      <c r="V419" t="s">
        <v>63</v>
      </c>
      <c r="W419">
        <v>1.9</v>
      </c>
    </row>
    <row r="420" spans="1:23" hidden="1" x14ac:dyDescent="0.3">
      <c r="A420" t="s">
        <v>52</v>
      </c>
      <c r="B420" t="s">
        <v>53</v>
      </c>
      <c r="C420" t="s">
        <v>17</v>
      </c>
      <c r="D420" t="s">
        <v>24</v>
      </c>
      <c r="E420" t="s">
        <v>25</v>
      </c>
      <c r="F420" t="s">
        <v>54</v>
      </c>
      <c r="G420" t="s">
        <v>353</v>
      </c>
      <c r="H420" t="s">
        <v>262</v>
      </c>
      <c r="I420" t="s">
        <v>5</v>
      </c>
      <c r="J420" t="s">
        <v>354</v>
      </c>
      <c r="K420" t="s">
        <v>355</v>
      </c>
      <c r="L420" t="s">
        <v>265</v>
      </c>
      <c r="M420">
        <v>60</v>
      </c>
      <c r="N420" t="b">
        <v>0</v>
      </c>
      <c r="O420">
        <v>0.7589285714285714</v>
      </c>
      <c r="P420">
        <v>0.75221238938053092</v>
      </c>
      <c r="Q420">
        <v>0.76576576576576572</v>
      </c>
      <c r="R420" t="s">
        <v>60</v>
      </c>
      <c r="S420" t="s">
        <v>1265</v>
      </c>
      <c r="T420" t="s">
        <v>1266</v>
      </c>
      <c r="U420" t="b">
        <v>1</v>
      </c>
      <c r="V420" t="s">
        <v>63</v>
      </c>
      <c r="W420">
        <v>1.8</v>
      </c>
    </row>
    <row r="421" spans="1:23" hidden="1" x14ac:dyDescent="0.3">
      <c r="A421" t="s">
        <v>52</v>
      </c>
      <c r="B421" t="s">
        <v>53</v>
      </c>
      <c r="C421" t="s">
        <v>17</v>
      </c>
      <c r="D421" t="s">
        <v>24</v>
      </c>
      <c r="E421" t="s">
        <v>25</v>
      </c>
      <c r="F421" t="s">
        <v>54</v>
      </c>
      <c r="G421" t="s">
        <v>358</v>
      </c>
      <c r="H421" t="s">
        <v>262</v>
      </c>
      <c r="I421" t="s">
        <v>5</v>
      </c>
      <c r="J421" t="s">
        <v>359</v>
      </c>
      <c r="K421" t="s">
        <v>360</v>
      </c>
      <c r="L421" t="s">
        <v>265</v>
      </c>
      <c r="M421">
        <v>61</v>
      </c>
      <c r="N421" t="b">
        <v>0</v>
      </c>
      <c r="O421">
        <v>0.74660633484162897</v>
      </c>
      <c r="P421">
        <v>0.75</v>
      </c>
      <c r="Q421">
        <v>0.7432432432432432</v>
      </c>
      <c r="R421" t="s">
        <v>60</v>
      </c>
      <c r="S421" t="s">
        <v>1267</v>
      </c>
      <c r="T421" t="s">
        <v>1268</v>
      </c>
      <c r="U421" t="b">
        <v>1</v>
      </c>
      <c r="V421" t="s">
        <v>63</v>
      </c>
      <c r="W421">
        <v>2.2999999999999998</v>
      </c>
    </row>
    <row r="422" spans="1:23" hidden="1" x14ac:dyDescent="0.3">
      <c r="A422" t="s">
        <v>52</v>
      </c>
      <c r="B422" t="s">
        <v>53</v>
      </c>
      <c r="C422" t="s">
        <v>17</v>
      </c>
      <c r="D422" t="s">
        <v>24</v>
      </c>
      <c r="E422" t="s">
        <v>25</v>
      </c>
      <c r="F422" t="s">
        <v>363</v>
      </c>
      <c r="G422" t="s">
        <v>364</v>
      </c>
      <c r="H422" t="s">
        <v>365</v>
      </c>
      <c r="I422" t="s">
        <v>13</v>
      </c>
      <c r="J422" t="s">
        <v>366</v>
      </c>
      <c r="K422" t="s">
        <v>367</v>
      </c>
      <c r="L422" t="s">
        <v>368</v>
      </c>
      <c r="M422">
        <v>42</v>
      </c>
      <c r="N422" t="b">
        <v>0</v>
      </c>
      <c r="O422">
        <v>0.79916317991631802</v>
      </c>
      <c r="P422">
        <v>0.77016129032258063</v>
      </c>
      <c r="Q422">
        <v>0.83043478260869563</v>
      </c>
      <c r="R422" t="s">
        <v>60</v>
      </c>
      <c r="S422" t="s">
        <v>1269</v>
      </c>
      <c r="T422" t="s">
        <v>1270</v>
      </c>
      <c r="U422" t="b">
        <v>1</v>
      </c>
      <c r="V422" t="s">
        <v>63</v>
      </c>
      <c r="W422">
        <v>1.9</v>
      </c>
    </row>
    <row r="423" spans="1:23" hidden="1" x14ac:dyDescent="0.3">
      <c r="A423" t="s">
        <v>52</v>
      </c>
      <c r="B423" t="s">
        <v>53</v>
      </c>
      <c r="C423" t="s">
        <v>17</v>
      </c>
      <c r="D423" t="s">
        <v>24</v>
      </c>
      <c r="E423" t="s">
        <v>25</v>
      </c>
      <c r="F423" t="s">
        <v>363</v>
      </c>
      <c r="G423" t="s">
        <v>371</v>
      </c>
      <c r="H423" t="s">
        <v>365</v>
      </c>
      <c r="I423" t="s">
        <v>13</v>
      </c>
      <c r="J423" t="s">
        <v>372</v>
      </c>
      <c r="K423" t="s">
        <v>373</v>
      </c>
      <c r="L423" t="s">
        <v>368</v>
      </c>
      <c r="M423">
        <v>43</v>
      </c>
      <c r="N423" t="b">
        <v>0</v>
      </c>
      <c r="O423">
        <v>0.78059071729957807</v>
      </c>
      <c r="P423">
        <v>0.75819672131147542</v>
      </c>
      <c r="Q423">
        <v>0.80434782608695654</v>
      </c>
      <c r="R423" t="s">
        <v>60</v>
      </c>
      <c r="S423" t="s">
        <v>1271</v>
      </c>
      <c r="T423" t="s">
        <v>1272</v>
      </c>
      <c r="U423" t="b">
        <v>1</v>
      </c>
      <c r="V423" t="s">
        <v>63</v>
      </c>
      <c r="W423">
        <v>2.2000000000000002</v>
      </c>
    </row>
    <row r="424" spans="1:23" hidden="1" x14ac:dyDescent="0.3">
      <c r="A424" t="s">
        <v>52</v>
      </c>
      <c r="B424" t="s">
        <v>53</v>
      </c>
      <c r="C424" t="s">
        <v>17</v>
      </c>
      <c r="D424" t="s">
        <v>24</v>
      </c>
      <c r="E424" t="s">
        <v>25</v>
      </c>
      <c r="F424" t="s">
        <v>363</v>
      </c>
      <c r="G424" t="s">
        <v>376</v>
      </c>
      <c r="H424" t="s">
        <v>365</v>
      </c>
      <c r="I424" t="s">
        <v>13</v>
      </c>
      <c r="J424" t="s">
        <v>377</v>
      </c>
      <c r="K424" t="s">
        <v>378</v>
      </c>
      <c r="L424" t="s">
        <v>368</v>
      </c>
      <c r="M424">
        <v>44</v>
      </c>
      <c r="N424" t="b">
        <v>0</v>
      </c>
      <c r="O424">
        <v>0.7873684210526315</v>
      </c>
      <c r="P424">
        <v>0.76326530612244903</v>
      </c>
      <c r="Q424">
        <v>0.81304347826086953</v>
      </c>
      <c r="R424" t="s">
        <v>60</v>
      </c>
      <c r="S424" t="s">
        <v>1273</v>
      </c>
      <c r="T424" t="s">
        <v>1274</v>
      </c>
      <c r="U424" t="b">
        <v>1</v>
      </c>
      <c r="V424" t="s">
        <v>63</v>
      </c>
      <c r="W424">
        <v>1.9</v>
      </c>
    </row>
    <row r="425" spans="1:23" hidden="1" x14ac:dyDescent="0.3">
      <c r="A425" t="s">
        <v>52</v>
      </c>
      <c r="B425" t="s">
        <v>53</v>
      </c>
      <c r="C425" t="s">
        <v>17</v>
      </c>
      <c r="D425" t="s">
        <v>24</v>
      </c>
      <c r="E425" t="s">
        <v>25</v>
      </c>
      <c r="F425" t="s">
        <v>363</v>
      </c>
      <c r="G425" t="s">
        <v>381</v>
      </c>
      <c r="H425" t="s">
        <v>365</v>
      </c>
      <c r="I425" t="s">
        <v>13</v>
      </c>
      <c r="J425" t="s">
        <v>382</v>
      </c>
      <c r="K425" t="s">
        <v>383</v>
      </c>
      <c r="L425" t="s">
        <v>368</v>
      </c>
      <c r="M425">
        <v>45</v>
      </c>
      <c r="N425" t="b">
        <v>0</v>
      </c>
      <c r="O425">
        <v>0.79831932773109249</v>
      </c>
      <c r="P425">
        <v>0.77235772357723576</v>
      </c>
      <c r="Q425">
        <v>0.82608695652173914</v>
      </c>
      <c r="R425" t="s">
        <v>60</v>
      </c>
      <c r="S425" t="s">
        <v>1275</v>
      </c>
      <c r="T425" t="s">
        <v>1276</v>
      </c>
      <c r="U425" t="b">
        <v>1</v>
      </c>
      <c r="V425" t="s">
        <v>63</v>
      </c>
      <c r="W425">
        <v>1.9</v>
      </c>
    </row>
    <row r="426" spans="1:23" hidden="1" x14ac:dyDescent="0.3">
      <c r="A426" t="s">
        <v>52</v>
      </c>
      <c r="B426" t="s">
        <v>53</v>
      </c>
      <c r="C426" t="s">
        <v>17</v>
      </c>
      <c r="D426" t="s">
        <v>24</v>
      </c>
      <c r="E426" t="s">
        <v>25</v>
      </c>
      <c r="F426" t="s">
        <v>363</v>
      </c>
      <c r="G426" t="s">
        <v>386</v>
      </c>
      <c r="H426" t="s">
        <v>365</v>
      </c>
      <c r="I426" t="s">
        <v>13</v>
      </c>
      <c r="J426" t="s">
        <v>387</v>
      </c>
      <c r="K426" t="s">
        <v>388</v>
      </c>
      <c r="L426" t="s">
        <v>368</v>
      </c>
      <c r="M426">
        <v>46</v>
      </c>
      <c r="N426" t="b">
        <v>0</v>
      </c>
      <c r="O426">
        <v>0.79661016949152541</v>
      </c>
      <c r="P426">
        <v>0.77685950413223137</v>
      </c>
      <c r="Q426">
        <v>0.81739130434782614</v>
      </c>
      <c r="R426" t="s">
        <v>60</v>
      </c>
      <c r="S426" t="s">
        <v>1277</v>
      </c>
      <c r="T426" t="s">
        <v>1278</v>
      </c>
      <c r="U426" t="b">
        <v>1</v>
      </c>
      <c r="V426" t="s">
        <v>63</v>
      </c>
      <c r="W426">
        <v>2.1</v>
      </c>
    </row>
    <row r="427" spans="1:23" hidden="1" x14ac:dyDescent="0.3">
      <c r="A427" t="s">
        <v>52</v>
      </c>
      <c r="B427" t="s">
        <v>53</v>
      </c>
      <c r="C427" t="s">
        <v>17</v>
      </c>
      <c r="D427" t="s">
        <v>24</v>
      </c>
      <c r="E427" t="s">
        <v>25</v>
      </c>
      <c r="F427" t="s">
        <v>363</v>
      </c>
      <c r="G427" t="s">
        <v>391</v>
      </c>
      <c r="H427" t="s">
        <v>365</v>
      </c>
      <c r="I427" t="s">
        <v>13</v>
      </c>
      <c r="J427" t="s">
        <v>392</v>
      </c>
      <c r="K427" t="s">
        <v>393</v>
      </c>
      <c r="L427" t="s">
        <v>368</v>
      </c>
      <c r="M427">
        <v>47</v>
      </c>
      <c r="N427" t="b">
        <v>0</v>
      </c>
      <c r="O427">
        <v>0.79166666666666674</v>
      </c>
      <c r="P427">
        <v>0.76</v>
      </c>
      <c r="Q427">
        <v>0.82608695652173914</v>
      </c>
      <c r="R427" t="s">
        <v>60</v>
      </c>
      <c r="S427" t="s">
        <v>1279</v>
      </c>
      <c r="T427" t="s">
        <v>1280</v>
      </c>
      <c r="U427" t="b">
        <v>1</v>
      </c>
      <c r="V427" t="s">
        <v>63</v>
      </c>
      <c r="W427">
        <v>2.2999999999999998</v>
      </c>
    </row>
    <row r="428" spans="1:23" hidden="1" x14ac:dyDescent="0.3">
      <c r="A428" t="s">
        <v>52</v>
      </c>
      <c r="B428" t="s">
        <v>53</v>
      </c>
      <c r="C428" t="s">
        <v>17</v>
      </c>
      <c r="D428" t="s">
        <v>24</v>
      </c>
      <c r="E428" t="s">
        <v>25</v>
      </c>
      <c r="F428" t="s">
        <v>363</v>
      </c>
      <c r="G428" t="s">
        <v>396</v>
      </c>
      <c r="H428" t="s">
        <v>365</v>
      </c>
      <c r="I428" t="s">
        <v>13</v>
      </c>
      <c r="J428" t="s">
        <v>397</v>
      </c>
      <c r="K428" t="s">
        <v>398</v>
      </c>
      <c r="L428" t="s">
        <v>368</v>
      </c>
      <c r="M428">
        <v>48</v>
      </c>
      <c r="N428" t="b">
        <v>0</v>
      </c>
      <c r="O428">
        <v>0.78661087866108792</v>
      </c>
      <c r="P428">
        <v>0.75806451612903225</v>
      </c>
      <c r="Q428">
        <v>0.81739130434782614</v>
      </c>
      <c r="R428" t="s">
        <v>60</v>
      </c>
      <c r="S428" t="s">
        <v>1281</v>
      </c>
      <c r="T428" t="s">
        <v>1282</v>
      </c>
      <c r="U428" t="b">
        <v>1</v>
      </c>
      <c r="V428" t="s">
        <v>63</v>
      </c>
      <c r="W428">
        <v>1.9</v>
      </c>
    </row>
    <row r="429" spans="1:23" hidden="1" x14ac:dyDescent="0.3">
      <c r="A429" t="s">
        <v>52</v>
      </c>
      <c r="B429" t="s">
        <v>53</v>
      </c>
      <c r="C429" t="s">
        <v>17</v>
      </c>
      <c r="D429" t="s">
        <v>24</v>
      </c>
      <c r="E429" t="s">
        <v>25</v>
      </c>
      <c r="F429" t="s">
        <v>363</v>
      </c>
      <c r="G429" t="s">
        <v>401</v>
      </c>
      <c r="H429" t="s">
        <v>365</v>
      </c>
      <c r="I429" t="s">
        <v>13</v>
      </c>
      <c r="J429" t="s">
        <v>402</v>
      </c>
      <c r="K429" t="s">
        <v>403</v>
      </c>
      <c r="L429" t="s">
        <v>368</v>
      </c>
      <c r="M429">
        <v>49</v>
      </c>
      <c r="N429" t="b">
        <v>0</v>
      </c>
      <c r="O429">
        <v>0.7811158798283262</v>
      </c>
      <c r="P429">
        <v>0.77118644067796616</v>
      </c>
      <c r="Q429">
        <v>0.79130434782608694</v>
      </c>
      <c r="R429" t="s">
        <v>60</v>
      </c>
      <c r="S429" t="s">
        <v>1283</v>
      </c>
      <c r="T429" t="s">
        <v>1284</v>
      </c>
      <c r="U429" t="b">
        <v>1</v>
      </c>
      <c r="V429" t="s">
        <v>63</v>
      </c>
      <c r="W429">
        <v>2.1</v>
      </c>
    </row>
    <row r="430" spans="1:23" hidden="1" x14ac:dyDescent="0.3">
      <c r="A430" t="s">
        <v>52</v>
      </c>
      <c r="B430" t="s">
        <v>53</v>
      </c>
      <c r="C430" t="s">
        <v>17</v>
      </c>
      <c r="D430" t="s">
        <v>24</v>
      </c>
      <c r="E430" t="s">
        <v>25</v>
      </c>
      <c r="F430" t="s">
        <v>363</v>
      </c>
      <c r="G430" t="s">
        <v>406</v>
      </c>
      <c r="H430" t="s">
        <v>365</v>
      </c>
      <c r="I430" t="s">
        <v>13</v>
      </c>
      <c r="J430" t="s">
        <v>407</v>
      </c>
      <c r="K430" t="s">
        <v>408</v>
      </c>
      <c r="L430" t="s">
        <v>368</v>
      </c>
      <c r="M430">
        <v>50</v>
      </c>
      <c r="N430" t="b">
        <v>0</v>
      </c>
      <c r="O430">
        <v>0.78661087866108792</v>
      </c>
      <c r="P430">
        <v>0.75806451612903225</v>
      </c>
      <c r="Q430">
        <v>0.81739130434782614</v>
      </c>
      <c r="R430" t="s">
        <v>60</v>
      </c>
      <c r="S430" t="s">
        <v>1285</v>
      </c>
      <c r="T430" t="s">
        <v>1286</v>
      </c>
      <c r="U430" t="b">
        <v>1</v>
      </c>
      <c r="V430" t="s">
        <v>63</v>
      </c>
      <c r="W430">
        <v>2.2999999999999998</v>
      </c>
    </row>
    <row r="431" spans="1:23" hidden="1" x14ac:dyDescent="0.3">
      <c r="A431" t="s">
        <v>52</v>
      </c>
      <c r="B431" t="s">
        <v>53</v>
      </c>
      <c r="C431" t="s">
        <v>17</v>
      </c>
      <c r="D431" t="s">
        <v>24</v>
      </c>
      <c r="E431" t="s">
        <v>25</v>
      </c>
      <c r="F431" t="s">
        <v>363</v>
      </c>
      <c r="G431" t="s">
        <v>411</v>
      </c>
      <c r="H431" t="s">
        <v>365</v>
      </c>
      <c r="I431" t="s">
        <v>13</v>
      </c>
      <c r="J431" t="s">
        <v>412</v>
      </c>
      <c r="K431" t="s">
        <v>413</v>
      </c>
      <c r="L431" t="s">
        <v>368</v>
      </c>
      <c r="M431">
        <v>51</v>
      </c>
      <c r="N431" t="b">
        <v>0</v>
      </c>
      <c r="O431">
        <v>0.76666666666666661</v>
      </c>
      <c r="P431">
        <v>0.73599999999999999</v>
      </c>
      <c r="Q431">
        <v>0.8</v>
      </c>
      <c r="R431" t="s">
        <v>60</v>
      </c>
      <c r="S431" t="s">
        <v>1287</v>
      </c>
      <c r="T431" t="s">
        <v>1288</v>
      </c>
      <c r="U431" t="b">
        <v>1</v>
      </c>
      <c r="V431" t="s">
        <v>63</v>
      </c>
      <c r="W431">
        <v>1.8</v>
      </c>
    </row>
    <row r="432" spans="1:23" hidden="1" x14ac:dyDescent="0.3">
      <c r="A432" t="s">
        <v>52</v>
      </c>
      <c r="B432" t="s">
        <v>53</v>
      </c>
      <c r="C432" t="s">
        <v>17</v>
      </c>
      <c r="D432" t="s">
        <v>24</v>
      </c>
      <c r="E432" t="s">
        <v>25</v>
      </c>
      <c r="F432" t="s">
        <v>363</v>
      </c>
      <c r="G432" t="s">
        <v>416</v>
      </c>
      <c r="H432" t="s">
        <v>365</v>
      </c>
      <c r="I432" t="s">
        <v>13</v>
      </c>
      <c r="J432" t="s">
        <v>417</v>
      </c>
      <c r="K432" t="s">
        <v>418</v>
      </c>
      <c r="L432" t="s">
        <v>368</v>
      </c>
      <c r="M432">
        <v>52</v>
      </c>
      <c r="N432" t="b">
        <v>0</v>
      </c>
      <c r="O432">
        <v>0.78008298755186722</v>
      </c>
      <c r="P432">
        <v>0.74603174603174605</v>
      </c>
      <c r="Q432">
        <v>0.81739130434782614</v>
      </c>
      <c r="R432" t="s">
        <v>60</v>
      </c>
      <c r="S432" t="s">
        <v>1289</v>
      </c>
      <c r="T432" t="s">
        <v>1290</v>
      </c>
      <c r="U432" t="b">
        <v>1</v>
      </c>
      <c r="V432" t="s">
        <v>63</v>
      </c>
      <c r="W432">
        <v>1.9</v>
      </c>
    </row>
    <row r="433" spans="1:23" hidden="1" x14ac:dyDescent="0.3">
      <c r="A433" t="s">
        <v>52</v>
      </c>
      <c r="B433" t="s">
        <v>53</v>
      </c>
      <c r="C433" t="s">
        <v>17</v>
      </c>
      <c r="D433" t="s">
        <v>24</v>
      </c>
      <c r="E433" t="s">
        <v>25</v>
      </c>
      <c r="F433" t="s">
        <v>363</v>
      </c>
      <c r="G433" t="s">
        <v>421</v>
      </c>
      <c r="H433" t="s">
        <v>365</v>
      </c>
      <c r="I433" t="s">
        <v>13</v>
      </c>
      <c r="J433" t="s">
        <v>422</v>
      </c>
      <c r="K433" t="s">
        <v>423</v>
      </c>
      <c r="L433" t="s">
        <v>368</v>
      </c>
      <c r="M433">
        <v>53</v>
      </c>
      <c r="N433" t="b">
        <v>0</v>
      </c>
      <c r="O433">
        <v>0.8</v>
      </c>
      <c r="P433">
        <v>0.77551020408163263</v>
      </c>
      <c r="Q433">
        <v>0.82608695652173914</v>
      </c>
      <c r="R433" t="s">
        <v>60</v>
      </c>
      <c r="S433" t="s">
        <v>1291</v>
      </c>
      <c r="T433" t="s">
        <v>1292</v>
      </c>
      <c r="U433" t="b">
        <v>1</v>
      </c>
      <c r="V433" t="s">
        <v>63</v>
      </c>
      <c r="W433">
        <v>2.2999999999999998</v>
      </c>
    </row>
    <row r="434" spans="1:23" hidden="1" x14ac:dyDescent="0.3">
      <c r="A434" t="s">
        <v>52</v>
      </c>
      <c r="B434" t="s">
        <v>53</v>
      </c>
      <c r="C434" t="s">
        <v>17</v>
      </c>
      <c r="D434" t="s">
        <v>24</v>
      </c>
      <c r="E434" t="s">
        <v>25</v>
      </c>
      <c r="F434" t="s">
        <v>363</v>
      </c>
      <c r="G434" t="s">
        <v>426</v>
      </c>
      <c r="H434" t="s">
        <v>365</v>
      </c>
      <c r="I434" t="s">
        <v>13</v>
      </c>
      <c r="J434" t="s">
        <v>427</v>
      </c>
      <c r="K434" t="s">
        <v>428</v>
      </c>
      <c r="L434" t="s">
        <v>368</v>
      </c>
      <c r="M434">
        <v>54</v>
      </c>
      <c r="N434" t="b">
        <v>0</v>
      </c>
      <c r="O434">
        <v>0.80503144654088055</v>
      </c>
      <c r="P434">
        <v>0.77732793522267207</v>
      </c>
      <c r="Q434">
        <v>0.83478260869565213</v>
      </c>
      <c r="R434" t="s">
        <v>60</v>
      </c>
      <c r="S434" t="s">
        <v>1293</v>
      </c>
      <c r="T434" t="s">
        <v>1294</v>
      </c>
      <c r="U434" t="b">
        <v>1</v>
      </c>
      <c r="V434" t="s">
        <v>63</v>
      </c>
      <c r="W434">
        <v>1.9</v>
      </c>
    </row>
    <row r="435" spans="1:23" hidden="1" x14ac:dyDescent="0.3">
      <c r="A435" t="s">
        <v>52</v>
      </c>
      <c r="B435" t="s">
        <v>53</v>
      </c>
      <c r="C435" t="s">
        <v>17</v>
      </c>
      <c r="D435" t="s">
        <v>24</v>
      </c>
      <c r="E435" t="s">
        <v>25</v>
      </c>
      <c r="F435" t="s">
        <v>363</v>
      </c>
      <c r="G435" t="s">
        <v>431</v>
      </c>
      <c r="H435" t="s">
        <v>365</v>
      </c>
      <c r="I435" t="s">
        <v>13</v>
      </c>
      <c r="J435" t="s">
        <v>432</v>
      </c>
      <c r="K435" t="s">
        <v>433</v>
      </c>
      <c r="L435" t="s">
        <v>368</v>
      </c>
      <c r="M435">
        <v>55</v>
      </c>
      <c r="N435" t="b">
        <v>0</v>
      </c>
      <c r="O435">
        <v>0.78586278586278591</v>
      </c>
      <c r="P435">
        <v>0.75298804780876494</v>
      </c>
      <c r="Q435">
        <v>0.82173913043478264</v>
      </c>
      <c r="R435" t="s">
        <v>60</v>
      </c>
      <c r="S435" t="s">
        <v>1295</v>
      </c>
      <c r="T435" t="s">
        <v>1296</v>
      </c>
      <c r="U435" t="b">
        <v>1</v>
      </c>
      <c r="V435" t="s">
        <v>63</v>
      </c>
      <c r="W435">
        <v>1.9</v>
      </c>
    </row>
    <row r="436" spans="1:23" hidden="1" x14ac:dyDescent="0.3">
      <c r="A436" t="s">
        <v>52</v>
      </c>
      <c r="B436" t="s">
        <v>53</v>
      </c>
      <c r="C436" t="s">
        <v>17</v>
      </c>
      <c r="D436" t="s">
        <v>24</v>
      </c>
      <c r="E436" t="s">
        <v>25</v>
      </c>
      <c r="F436" t="s">
        <v>363</v>
      </c>
      <c r="G436" t="s">
        <v>436</v>
      </c>
      <c r="H436" t="s">
        <v>365</v>
      </c>
      <c r="I436" t="s">
        <v>13</v>
      </c>
      <c r="J436" t="s">
        <v>437</v>
      </c>
      <c r="K436" t="s">
        <v>438</v>
      </c>
      <c r="L436" t="s">
        <v>368</v>
      </c>
      <c r="M436">
        <v>56</v>
      </c>
      <c r="N436" t="b">
        <v>0</v>
      </c>
      <c r="O436">
        <v>0.7873684210526315</v>
      </c>
      <c r="P436">
        <v>0.76326530612244903</v>
      </c>
      <c r="Q436">
        <v>0.81304347826086953</v>
      </c>
      <c r="R436" t="s">
        <v>60</v>
      </c>
      <c r="S436" t="s">
        <v>1297</v>
      </c>
      <c r="T436" t="s">
        <v>1298</v>
      </c>
      <c r="U436" t="b">
        <v>1</v>
      </c>
      <c r="V436" t="s">
        <v>63</v>
      </c>
      <c r="W436">
        <v>2.2000000000000002</v>
      </c>
    </row>
    <row r="437" spans="1:23" hidden="1" x14ac:dyDescent="0.3">
      <c r="A437" t="s">
        <v>52</v>
      </c>
      <c r="B437" t="s">
        <v>53</v>
      </c>
      <c r="C437" t="s">
        <v>17</v>
      </c>
      <c r="D437" t="s">
        <v>24</v>
      </c>
      <c r="E437" t="s">
        <v>25</v>
      </c>
      <c r="F437" t="s">
        <v>363</v>
      </c>
      <c r="G437" t="s">
        <v>441</v>
      </c>
      <c r="H437" t="s">
        <v>365</v>
      </c>
      <c r="I437" t="s">
        <v>13</v>
      </c>
      <c r="J437" t="s">
        <v>442</v>
      </c>
      <c r="K437" t="s">
        <v>443</v>
      </c>
      <c r="L437" t="s">
        <v>368</v>
      </c>
      <c r="M437">
        <v>57</v>
      </c>
      <c r="N437" t="b">
        <v>0</v>
      </c>
      <c r="O437">
        <v>0.79245283018867918</v>
      </c>
      <c r="P437">
        <v>0.76518218623481782</v>
      </c>
      <c r="Q437">
        <v>0.82173913043478264</v>
      </c>
      <c r="R437" t="s">
        <v>60</v>
      </c>
      <c r="S437" t="s">
        <v>1299</v>
      </c>
      <c r="T437" t="s">
        <v>1300</v>
      </c>
      <c r="U437" t="b">
        <v>1</v>
      </c>
      <c r="V437" t="s">
        <v>63</v>
      </c>
      <c r="W437">
        <v>1.9</v>
      </c>
    </row>
    <row r="438" spans="1:23" hidden="1" x14ac:dyDescent="0.3">
      <c r="A438" t="s">
        <v>52</v>
      </c>
      <c r="B438" t="s">
        <v>53</v>
      </c>
      <c r="C438" t="s">
        <v>17</v>
      </c>
      <c r="D438" t="s">
        <v>24</v>
      </c>
      <c r="E438" t="s">
        <v>25</v>
      </c>
      <c r="F438" t="s">
        <v>363</v>
      </c>
      <c r="G438" t="s">
        <v>446</v>
      </c>
      <c r="H438" t="s">
        <v>365</v>
      </c>
      <c r="I438" t="s">
        <v>13</v>
      </c>
      <c r="J438" t="s">
        <v>447</v>
      </c>
      <c r="K438" t="s">
        <v>448</v>
      </c>
      <c r="L438" t="s">
        <v>368</v>
      </c>
      <c r="M438">
        <v>58</v>
      </c>
      <c r="N438" t="b">
        <v>0</v>
      </c>
      <c r="O438">
        <v>0.80082987551867213</v>
      </c>
      <c r="P438">
        <v>0.76587301587301593</v>
      </c>
      <c r="Q438">
        <v>0.83913043478260874</v>
      </c>
      <c r="R438" t="s">
        <v>60</v>
      </c>
      <c r="S438" t="s">
        <v>1301</v>
      </c>
      <c r="T438" t="s">
        <v>1302</v>
      </c>
      <c r="U438" t="b">
        <v>1</v>
      </c>
      <c r="V438" t="s">
        <v>63</v>
      </c>
      <c r="W438">
        <v>2.2000000000000002</v>
      </c>
    </row>
    <row r="439" spans="1:23" hidden="1" x14ac:dyDescent="0.3">
      <c r="A439" t="s">
        <v>52</v>
      </c>
      <c r="B439" t="s">
        <v>53</v>
      </c>
      <c r="C439" t="s">
        <v>17</v>
      </c>
      <c r="D439" t="s">
        <v>24</v>
      </c>
      <c r="E439" t="s">
        <v>25</v>
      </c>
      <c r="F439" t="s">
        <v>363</v>
      </c>
      <c r="G439" t="s">
        <v>451</v>
      </c>
      <c r="H439" t="s">
        <v>365</v>
      </c>
      <c r="I439" t="s">
        <v>13</v>
      </c>
      <c r="J439" t="s">
        <v>452</v>
      </c>
      <c r="K439" t="s">
        <v>453</v>
      </c>
      <c r="L439" t="s">
        <v>368</v>
      </c>
      <c r="M439">
        <v>59</v>
      </c>
      <c r="N439" t="b">
        <v>0</v>
      </c>
      <c r="O439">
        <v>0.76729559748427678</v>
      </c>
      <c r="P439">
        <v>0.74089068825910931</v>
      </c>
      <c r="Q439">
        <v>0.79565217391304344</v>
      </c>
      <c r="R439" t="s">
        <v>60</v>
      </c>
      <c r="S439" t="s">
        <v>1303</v>
      </c>
      <c r="T439" t="s">
        <v>1304</v>
      </c>
      <c r="U439" t="b">
        <v>1</v>
      </c>
      <c r="V439" t="s">
        <v>63</v>
      </c>
      <c r="W439">
        <v>1.9</v>
      </c>
    </row>
    <row r="440" spans="1:23" hidden="1" x14ac:dyDescent="0.3">
      <c r="A440" t="s">
        <v>52</v>
      </c>
      <c r="B440" t="s">
        <v>53</v>
      </c>
      <c r="C440" t="s">
        <v>17</v>
      </c>
      <c r="D440" t="s">
        <v>24</v>
      </c>
      <c r="E440" t="s">
        <v>25</v>
      </c>
      <c r="F440" t="s">
        <v>363</v>
      </c>
      <c r="G440" t="s">
        <v>456</v>
      </c>
      <c r="H440" t="s">
        <v>365</v>
      </c>
      <c r="I440" t="s">
        <v>13</v>
      </c>
      <c r="J440" t="s">
        <v>457</v>
      </c>
      <c r="K440" t="s">
        <v>458</v>
      </c>
      <c r="L440" t="s">
        <v>368</v>
      </c>
      <c r="M440">
        <v>60</v>
      </c>
      <c r="N440" t="b">
        <v>0</v>
      </c>
      <c r="O440">
        <v>0.79664570230607967</v>
      </c>
      <c r="P440">
        <v>0.76923076923076927</v>
      </c>
      <c r="Q440">
        <v>0.82608695652173914</v>
      </c>
      <c r="R440" t="s">
        <v>60</v>
      </c>
      <c r="S440" t="s">
        <v>1305</v>
      </c>
      <c r="T440" t="s">
        <v>1306</v>
      </c>
      <c r="U440" t="b">
        <v>1</v>
      </c>
      <c r="V440" t="s">
        <v>63</v>
      </c>
      <c r="W440">
        <v>1.9</v>
      </c>
    </row>
    <row r="441" spans="1:23" hidden="1" x14ac:dyDescent="0.3">
      <c r="A441" t="s">
        <v>52</v>
      </c>
      <c r="B441" t="s">
        <v>53</v>
      </c>
      <c r="C441" t="s">
        <v>17</v>
      </c>
      <c r="D441" t="s">
        <v>24</v>
      </c>
      <c r="E441" t="s">
        <v>25</v>
      </c>
      <c r="F441" t="s">
        <v>363</v>
      </c>
      <c r="G441" t="s">
        <v>461</v>
      </c>
      <c r="H441" t="s">
        <v>365</v>
      </c>
      <c r="I441" t="s">
        <v>13</v>
      </c>
      <c r="J441" t="s">
        <v>462</v>
      </c>
      <c r="K441" t="s">
        <v>463</v>
      </c>
      <c r="L441" t="s">
        <v>368</v>
      </c>
      <c r="M441">
        <v>61</v>
      </c>
      <c r="N441" t="b">
        <v>0</v>
      </c>
      <c r="O441">
        <v>0.77661795407098111</v>
      </c>
      <c r="P441">
        <v>0.74698795180722888</v>
      </c>
      <c r="Q441">
        <v>0.80869565217391304</v>
      </c>
      <c r="R441" t="s">
        <v>60</v>
      </c>
      <c r="S441" t="s">
        <v>1307</v>
      </c>
      <c r="T441" t="s">
        <v>1308</v>
      </c>
      <c r="U441" t="b">
        <v>1</v>
      </c>
      <c r="V441" t="s">
        <v>63</v>
      </c>
      <c r="W441">
        <v>2.1</v>
      </c>
    </row>
    <row r="442" spans="1:23" hidden="1" x14ac:dyDescent="0.3">
      <c r="A442" t="s">
        <v>52</v>
      </c>
      <c r="B442" t="s">
        <v>53</v>
      </c>
      <c r="C442" t="s">
        <v>17</v>
      </c>
      <c r="D442" t="s">
        <v>24</v>
      </c>
      <c r="E442" t="s">
        <v>25</v>
      </c>
      <c r="F442" t="s">
        <v>363</v>
      </c>
      <c r="G442" t="s">
        <v>466</v>
      </c>
      <c r="H442" t="s">
        <v>467</v>
      </c>
      <c r="I442" t="s">
        <v>9</v>
      </c>
      <c r="J442" t="s">
        <v>468</v>
      </c>
      <c r="K442" t="s">
        <v>469</v>
      </c>
      <c r="L442" t="s">
        <v>470</v>
      </c>
      <c r="M442">
        <v>42</v>
      </c>
      <c r="N442" t="b">
        <v>0</v>
      </c>
      <c r="O442">
        <v>0.80225988700564976</v>
      </c>
      <c r="P442">
        <v>0.76756756756756761</v>
      </c>
      <c r="Q442">
        <v>0.84023668639053251</v>
      </c>
      <c r="R442" t="s">
        <v>60</v>
      </c>
      <c r="S442" t="s">
        <v>1309</v>
      </c>
      <c r="T442" t="s">
        <v>1310</v>
      </c>
      <c r="U442" t="b">
        <v>1</v>
      </c>
      <c r="V442" t="s">
        <v>63</v>
      </c>
      <c r="W442">
        <v>2.1</v>
      </c>
    </row>
    <row r="443" spans="1:23" hidden="1" x14ac:dyDescent="0.3">
      <c r="A443" t="s">
        <v>52</v>
      </c>
      <c r="B443" t="s">
        <v>53</v>
      </c>
      <c r="C443" t="s">
        <v>17</v>
      </c>
      <c r="D443" t="s">
        <v>24</v>
      </c>
      <c r="E443" t="s">
        <v>25</v>
      </c>
      <c r="F443" t="s">
        <v>363</v>
      </c>
      <c r="G443" t="s">
        <v>473</v>
      </c>
      <c r="H443" t="s">
        <v>467</v>
      </c>
      <c r="I443" t="s">
        <v>9</v>
      </c>
      <c r="J443" t="s">
        <v>474</v>
      </c>
      <c r="K443" t="s">
        <v>475</v>
      </c>
      <c r="L443" t="s">
        <v>470</v>
      </c>
      <c r="M443">
        <v>43</v>
      </c>
      <c r="N443" t="b">
        <v>0</v>
      </c>
      <c r="O443">
        <v>0.81586402266288949</v>
      </c>
      <c r="P443">
        <v>0.78260869565217395</v>
      </c>
      <c r="Q443">
        <v>0.85207100591715978</v>
      </c>
      <c r="R443" t="s">
        <v>60</v>
      </c>
      <c r="S443" t="s">
        <v>1311</v>
      </c>
      <c r="T443" t="s">
        <v>1312</v>
      </c>
      <c r="U443" t="b">
        <v>1</v>
      </c>
      <c r="V443" t="s">
        <v>63</v>
      </c>
      <c r="W443">
        <v>1.7</v>
      </c>
    </row>
    <row r="444" spans="1:23" hidden="1" x14ac:dyDescent="0.3">
      <c r="A444" t="s">
        <v>52</v>
      </c>
      <c r="B444" t="s">
        <v>53</v>
      </c>
      <c r="C444" t="s">
        <v>17</v>
      </c>
      <c r="D444" t="s">
        <v>24</v>
      </c>
      <c r="E444" t="s">
        <v>25</v>
      </c>
      <c r="F444" t="s">
        <v>363</v>
      </c>
      <c r="G444" t="s">
        <v>478</v>
      </c>
      <c r="H444" t="s">
        <v>467</v>
      </c>
      <c r="I444" t="s">
        <v>9</v>
      </c>
      <c r="J444" t="s">
        <v>479</v>
      </c>
      <c r="K444" t="s">
        <v>480</v>
      </c>
      <c r="L444" t="s">
        <v>470</v>
      </c>
      <c r="M444">
        <v>44</v>
      </c>
      <c r="N444" t="b">
        <v>0</v>
      </c>
      <c r="O444">
        <v>0.80779944289693595</v>
      </c>
      <c r="P444">
        <v>0.76315789473684215</v>
      </c>
      <c r="Q444">
        <v>0.85798816568047342</v>
      </c>
      <c r="R444" t="s">
        <v>60</v>
      </c>
      <c r="S444" t="s">
        <v>1313</v>
      </c>
      <c r="T444" t="s">
        <v>1314</v>
      </c>
      <c r="U444" t="b">
        <v>1</v>
      </c>
      <c r="V444" t="s">
        <v>63</v>
      </c>
      <c r="W444">
        <v>1.7</v>
      </c>
    </row>
    <row r="445" spans="1:23" hidden="1" x14ac:dyDescent="0.3">
      <c r="A445" t="s">
        <v>52</v>
      </c>
      <c r="B445" t="s">
        <v>53</v>
      </c>
      <c r="C445" t="s">
        <v>17</v>
      </c>
      <c r="D445" t="s">
        <v>24</v>
      </c>
      <c r="E445" t="s">
        <v>25</v>
      </c>
      <c r="F445" t="s">
        <v>363</v>
      </c>
      <c r="G445" t="s">
        <v>483</v>
      </c>
      <c r="H445" t="s">
        <v>467</v>
      </c>
      <c r="I445" t="s">
        <v>9</v>
      </c>
      <c r="J445" t="s">
        <v>484</v>
      </c>
      <c r="K445" t="s">
        <v>485</v>
      </c>
      <c r="L445" t="s">
        <v>470</v>
      </c>
      <c r="M445">
        <v>45</v>
      </c>
      <c r="N445" t="b">
        <v>0</v>
      </c>
      <c r="O445">
        <v>0.8044692737430168</v>
      </c>
      <c r="P445">
        <v>0.76190476190476186</v>
      </c>
      <c r="Q445">
        <v>0.85207100591715978</v>
      </c>
      <c r="R445" t="s">
        <v>60</v>
      </c>
      <c r="S445" t="s">
        <v>1315</v>
      </c>
      <c r="T445" t="s">
        <v>1316</v>
      </c>
      <c r="U445" t="b">
        <v>1</v>
      </c>
      <c r="V445" t="s">
        <v>63</v>
      </c>
      <c r="W445">
        <v>2.1</v>
      </c>
    </row>
    <row r="446" spans="1:23" hidden="1" x14ac:dyDescent="0.3">
      <c r="A446" t="s">
        <v>52</v>
      </c>
      <c r="B446" t="s">
        <v>53</v>
      </c>
      <c r="C446" t="s">
        <v>17</v>
      </c>
      <c r="D446" t="s">
        <v>24</v>
      </c>
      <c r="E446" t="s">
        <v>25</v>
      </c>
      <c r="F446" t="s">
        <v>363</v>
      </c>
      <c r="G446" t="s">
        <v>488</v>
      </c>
      <c r="H446" t="s">
        <v>467</v>
      </c>
      <c r="I446" t="s">
        <v>9</v>
      </c>
      <c r="J446" t="s">
        <v>489</v>
      </c>
      <c r="K446" t="s">
        <v>490</v>
      </c>
      <c r="L446" t="s">
        <v>470</v>
      </c>
      <c r="M446">
        <v>46</v>
      </c>
      <c r="N446" t="b">
        <v>0</v>
      </c>
      <c r="O446">
        <v>0.79436619718309853</v>
      </c>
      <c r="P446">
        <v>0.75806451612903225</v>
      </c>
      <c r="Q446">
        <v>0.83431952662721898</v>
      </c>
      <c r="R446" t="s">
        <v>60</v>
      </c>
      <c r="S446" t="s">
        <v>1317</v>
      </c>
      <c r="T446" t="s">
        <v>1318</v>
      </c>
      <c r="U446" t="b">
        <v>1</v>
      </c>
      <c r="V446" t="s">
        <v>63</v>
      </c>
      <c r="W446">
        <v>1.7</v>
      </c>
    </row>
    <row r="447" spans="1:23" hidden="1" x14ac:dyDescent="0.3">
      <c r="A447" t="s">
        <v>52</v>
      </c>
      <c r="B447" t="s">
        <v>53</v>
      </c>
      <c r="C447" t="s">
        <v>17</v>
      </c>
      <c r="D447" t="s">
        <v>24</v>
      </c>
      <c r="E447" t="s">
        <v>25</v>
      </c>
      <c r="F447" t="s">
        <v>363</v>
      </c>
      <c r="G447" t="s">
        <v>493</v>
      </c>
      <c r="H447" t="s">
        <v>467</v>
      </c>
      <c r="I447" t="s">
        <v>9</v>
      </c>
      <c r="J447" t="s">
        <v>494</v>
      </c>
      <c r="K447" t="s">
        <v>495</v>
      </c>
      <c r="L447" t="s">
        <v>470</v>
      </c>
      <c r="M447">
        <v>47</v>
      </c>
      <c r="N447" t="b">
        <v>0</v>
      </c>
      <c r="O447">
        <v>0.78453038674033149</v>
      </c>
      <c r="P447">
        <v>0.73575129533678751</v>
      </c>
      <c r="Q447">
        <v>0.84023668639053251</v>
      </c>
      <c r="R447" t="s">
        <v>60</v>
      </c>
      <c r="S447" t="s">
        <v>1319</v>
      </c>
      <c r="T447" t="s">
        <v>1320</v>
      </c>
      <c r="U447" t="b">
        <v>1</v>
      </c>
      <c r="V447" t="s">
        <v>63</v>
      </c>
      <c r="W447">
        <v>1.7</v>
      </c>
    </row>
    <row r="448" spans="1:23" hidden="1" x14ac:dyDescent="0.3">
      <c r="A448" t="s">
        <v>52</v>
      </c>
      <c r="B448" t="s">
        <v>53</v>
      </c>
      <c r="C448" t="s">
        <v>17</v>
      </c>
      <c r="D448" t="s">
        <v>24</v>
      </c>
      <c r="E448" t="s">
        <v>25</v>
      </c>
      <c r="F448" t="s">
        <v>363</v>
      </c>
      <c r="G448" t="s">
        <v>498</v>
      </c>
      <c r="H448" t="s">
        <v>467</v>
      </c>
      <c r="I448" t="s">
        <v>9</v>
      </c>
      <c r="J448" t="s">
        <v>499</v>
      </c>
      <c r="K448" t="s">
        <v>500</v>
      </c>
      <c r="L448" t="s">
        <v>470</v>
      </c>
      <c r="M448">
        <v>48</v>
      </c>
      <c r="N448" t="b">
        <v>0</v>
      </c>
      <c r="O448">
        <v>0.82320441988950277</v>
      </c>
      <c r="P448">
        <v>0.772020725388601</v>
      </c>
      <c r="Q448">
        <v>0.88165680473372776</v>
      </c>
      <c r="R448" t="s">
        <v>60</v>
      </c>
      <c r="S448" t="s">
        <v>1321</v>
      </c>
      <c r="T448" t="s">
        <v>1322</v>
      </c>
      <c r="U448" t="b">
        <v>1</v>
      </c>
      <c r="V448" t="s">
        <v>63</v>
      </c>
      <c r="W448">
        <v>1.7</v>
      </c>
    </row>
    <row r="449" spans="1:23" hidden="1" x14ac:dyDescent="0.3">
      <c r="A449" t="s">
        <v>52</v>
      </c>
      <c r="B449" t="s">
        <v>53</v>
      </c>
      <c r="C449" t="s">
        <v>17</v>
      </c>
      <c r="D449" t="s">
        <v>24</v>
      </c>
      <c r="E449" t="s">
        <v>25</v>
      </c>
      <c r="F449" t="s">
        <v>363</v>
      </c>
      <c r="G449" t="s">
        <v>503</v>
      </c>
      <c r="H449" t="s">
        <v>467</v>
      </c>
      <c r="I449" t="s">
        <v>9</v>
      </c>
      <c r="J449" t="s">
        <v>504</v>
      </c>
      <c r="K449" t="s">
        <v>505</v>
      </c>
      <c r="L449" t="s">
        <v>470</v>
      </c>
      <c r="M449">
        <v>49</v>
      </c>
      <c r="N449" t="b">
        <v>0</v>
      </c>
      <c r="O449">
        <v>0.80790960451977401</v>
      </c>
      <c r="P449">
        <v>0.77297297297297296</v>
      </c>
      <c r="Q449">
        <v>0.84615384615384615</v>
      </c>
      <c r="R449" t="s">
        <v>60</v>
      </c>
      <c r="S449" t="s">
        <v>1323</v>
      </c>
      <c r="T449" t="s">
        <v>1324</v>
      </c>
      <c r="U449" t="b">
        <v>1</v>
      </c>
      <c r="V449" t="s">
        <v>63</v>
      </c>
      <c r="W449">
        <v>2.2000000000000002</v>
      </c>
    </row>
    <row r="450" spans="1:23" hidden="1" x14ac:dyDescent="0.3">
      <c r="A450" t="s">
        <v>52</v>
      </c>
      <c r="B450" t="s">
        <v>53</v>
      </c>
      <c r="C450" t="s">
        <v>17</v>
      </c>
      <c r="D450" t="s">
        <v>24</v>
      </c>
      <c r="E450" t="s">
        <v>25</v>
      </c>
      <c r="F450" t="s">
        <v>363</v>
      </c>
      <c r="G450" t="s">
        <v>508</v>
      </c>
      <c r="H450" t="s">
        <v>467</v>
      </c>
      <c r="I450" t="s">
        <v>9</v>
      </c>
      <c r="J450" t="s">
        <v>509</v>
      </c>
      <c r="K450" t="s">
        <v>510</v>
      </c>
      <c r="L450" t="s">
        <v>470</v>
      </c>
      <c r="M450">
        <v>50</v>
      </c>
      <c r="N450" t="b">
        <v>0</v>
      </c>
      <c r="O450">
        <v>0.80341880341880345</v>
      </c>
      <c r="P450">
        <v>0.77472527472527475</v>
      </c>
      <c r="Q450">
        <v>0.83431952662721898</v>
      </c>
      <c r="R450" t="s">
        <v>60</v>
      </c>
      <c r="S450" t="s">
        <v>1325</v>
      </c>
      <c r="T450" t="s">
        <v>1326</v>
      </c>
      <c r="U450" t="b">
        <v>1</v>
      </c>
      <c r="V450" t="s">
        <v>63</v>
      </c>
      <c r="W450">
        <v>1.7</v>
      </c>
    </row>
    <row r="451" spans="1:23" hidden="1" x14ac:dyDescent="0.3">
      <c r="A451" t="s">
        <v>52</v>
      </c>
      <c r="B451" t="s">
        <v>53</v>
      </c>
      <c r="C451" t="s">
        <v>17</v>
      </c>
      <c r="D451" t="s">
        <v>24</v>
      </c>
      <c r="E451" t="s">
        <v>25</v>
      </c>
      <c r="F451" t="s">
        <v>363</v>
      </c>
      <c r="G451" t="s">
        <v>513</v>
      </c>
      <c r="H451" t="s">
        <v>467</v>
      </c>
      <c r="I451" t="s">
        <v>9</v>
      </c>
      <c r="J451" t="s">
        <v>514</v>
      </c>
      <c r="K451" t="s">
        <v>515</v>
      </c>
      <c r="L451" t="s">
        <v>470</v>
      </c>
      <c r="M451">
        <v>51</v>
      </c>
      <c r="N451" t="b">
        <v>0</v>
      </c>
      <c r="O451">
        <v>0.81586402266288949</v>
      </c>
      <c r="P451">
        <v>0.78260869565217395</v>
      </c>
      <c r="Q451">
        <v>0.85207100591715978</v>
      </c>
      <c r="R451" t="s">
        <v>60</v>
      </c>
      <c r="S451" t="s">
        <v>1327</v>
      </c>
      <c r="T451" t="s">
        <v>1328</v>
      </c>
      <c r="U451" t="b">
        <v>1</v>
      </c>
      <c r="V451" t="s">
        <v>63</v>
      </c>
      <c r="W451">
        <v>1.7</v>
      </c>
    </row>
    <row r="452" spans="1:23" hidden="1" x14ac:dyDescent="0.3">
      <c r="A452" t="s">
        <v>52</v>
      </c>
      <c r="B452" t="s">
        <v>53</v>
      </c>
      <c r="C452" t="s">
        <v>17</v>
      </c>
      <c r="D452" t="s">
        <v>24</v>
      </c>
      <c r="E452" t="s">
        <v>25</v>
      </c>
      <c r="F452" t="s">
        <v>363</v>
      </c>
      <c r="G452" t="s">
        <v>518</v>
      </c>
      <c r="H452" t="s">
        <v>467</v>
      </c>
      <c r="I452" t="s">
        <v>9</v>
      </c>
      <c r="J452" t="s">
        <v>519</v>
      </c>
      <c r="K452" t="s">
        <v>520</v>
      </c>
      <c r="L452" t="s">
        <v>470</v>
      </c>
      <c r="M452">
        <v>52</v>
      </c>
      <c r="N452" t="b">
        <v>0</v>
      </c>
      <c r="O452">
        <v>0.79190751445086704</v>
      </c>
      <c r="P452">
        <v>0.77401129943502822</v>
      </c>
      <c r="Q452">
        <v>0.81065088757396453</v>
      </c>
      <c r="R452" t="s">
        <v>60</v>
      </c>
      <c r="S452" t="s">
        <v>1329</v>
      </c>
      <c r="T452" t="s">
        <v>1330</v>
      </c>
      <c r="U452" t="b">
        <v>1</v>
      </c>
      <c r="V452" t="s">
        <v>63</v>
      </c>
      <c r="W452">
        <v>2.1</v>
      </c>
    </row>
    <row r="453" spans="1:23" hidden="1" x14ac:dyDescent="0.3">
      <c r="A453" t="s">
        <v>52</v>
      </c>
      <c r="B453" t="s">
        <v>53</v>
      </c>
      <c r="C453" t="s">
        <v>17</v>
      </c>
      <c r="D453" t="s">
        <v>24</v>
      </c>
      <c r="E453" t="s">
        <v>25</v>
      </c>
      <c r="F453" t="s">
        <v>363</v>
      </c>
      <c r="G453" t="s">
        <v>523</v>
      </c>
      <c r="H453" t="s">
        <v>467</v>
      </c>
      <c r="I453" t="s">
        <v>9</v>
      </c>
      <c r="J453" t="s">
        <v>524</v>
      </c>
      <c r="K453" t="s">
        <v>525</v>
      </c>
      <c r="L453" t="s">
        <v>470</v>
      </c>
      <c r="M453">
        <v>53</v>
      </c>
      <c r="N453" t="b">
        <v>0</v>
      </c>
      <c r="O453">
        <v>0.80911680911680917</v>
      </c>
      <c r="P453">
        <v>0.78021978021978022</v>
      </c>
      <c r="Q453">
        <v>0.84023668639053251</v>
      </c>
      <c r="R453" t="s">
        <v>60</v>
      </c>
      <c r="S453" t="s">
        <v>1331</v>
      </c>
      <c r="T453" t="s">
        <v>1332</v>
      </c>
      <c r="U453" t="b">
        <v>1</v>
      </c>
      <c r="V453" t="s">
        <v>63</v>
      </c>
      <c r="W453">
        <v>1.7</v>
      </c>
    </row>
    <row r="454" spans="1:23" hidden="1" x14ac:dyDescent="0.3">
      <c r="A454" t="s">
        <v>52</v>
      </c>
      <c r="B454" t="s">
        <v>53</v>
      </c>
      <c r="C454" t="s">
        <v>17</v>
      </c>
      <c r="D454" t="s">
        <v>24</v>
      </c>
      <c r="E454" t="s">
        <v>25</v>
      </c>
      <c r="F454" t="s">
        <v>363</v>
      </c>
      <c r="G454" t="s">
        <v>528</v>
      </c>
      <c r="H454" t="s">
        <v>467</v>
      </c>
      <c r="I454" t="s">
        <v>9</v>
      </c>
      <c r="J454" t="s">
        <v>529</v>
      </c>
      <c r="K454" t="s">
        <v>530</v>
      </c>
      <c r="L454" t="s">
        <v>470</v>
      </c>
      <c r="M454">
        <v>54</v>
      </c>
      <c r="N454" t="b">
        <v>0</v>
      </c>
      <c r="O454">
        <v>0.8125</v>
      </c>
      <c r="P454">
        <v>0.78142076502732238</v>
      </c>
      <c r="Q454">
        <v>0.84615384615384615</v>
      </c>
      <c r="R454" t="s">
        <v>60</v>
      </c>
      <c r="S454" t="s">
        <v>1333</v>
      </c>
      <c r="T454" t="s">
        <v>1334</v>
      </c>
      <c r="U454" t="b">
        <v>1</v>
      </c>
      <c r="V454" t="s">
        <v>63</v>
      </c>
      <c r="W454">
        <v>1.7</v>
      </c>
    </row>
    <row r="455" spans="1:23" hidden="1" x14ac:dyDescent="0.3">
      <c r="A455" t="s">
        <v>52</v>
      </c>
      <c r="B455" t="s">
        <v>53</v>
      </c>
      <c r="C455" t="s">
        <v>17</v>
      </c>
      <c r="D455" t="s">
        <v>24</v>
      </c>
      <c r="E455" t="s">
        <v>25</v>
      </c>
      <c r="F455" t="s">
        <v>363</v>
      </c>
      <c r="G455" t="s">
        <v>533</v>
      </c>
      <c r="H455" t="s">
        <v>467</v>
      </c>
      <c r="I455" t="s">
        <v>9</v>
      </c>
      <c r="J455" t="s">
        <v>534</v>
      </c>
      <c r="K455" t="s">
        <v>535</v>
      </c>
      <c r="L455" t="s">
        <v>470</v>
      </c>
      <c r="M455">
        <v>55</v>
      </c>
      <c r="N455" t="b">
        <v>0</v>
      </c>
      <c r="O455">
        <v>0.82719546742209626</v>
      </c>
      <c r="P455">
        <v>0.79347826086956519</v>
      </c>
      <c r="Q455">
        <v>0.86390532544378695</v>
      </c>
      <c r="R455" t="s">
        <v>60</v>
      </c>
      <c r="S455" t="s">
        <v>1335</v>
      </c>
      <c r="T455" t="s">
        <v>1336</v>
      </c>
      <c r="U455" t="b">
        <v>1</v>
      </c>
      <c r="V455" t="s">
        <v>63</v>
      </c>
      <c r="W455">
        <v>1.9</v>
      </c>
    </row>
    <row r="456" spans="1:23" hidden="1" x14ac:dyDescent="0.3">
      <c r="A456" t="s">
        <v>52</v>
      </c>
      <c r="B456" t="s">
        <v>53</v>
      </c>
      <c r="C456" t="s">
        <v>17</v>
      </c>
      <c r="D456" t="s">
        <v>24</v>
      </c>
      <c r="E456" t="s">
        <v>25</v>
      </c>
      <c r="F456" t="s">
        <v>363</v>
      </c>
      <c r="G456" t="s">
        <v>538</v>
      </c>
      <c r="H456" t="s">
        <v>467</v>
      </c>
      <c r="I456" t="s">
        <v>9</v>
      </c>
      <c r="J456" t="s">
        <v>539</v>
      </c>
      <c r="K456" t="s">
        <v>540</v>
      </c>
      <c r="L456" t="s">
        <v>470</v>
      </c>
      <c r="M456">
        <v>56</v>
      </c>
      <c r="N456" t="b">
        <v>0</v>
      </c>
      <c r="O456">
        <v>0.8100558659217878</v>
      </c>
      <c r="P456">
        <v>0.76719576719576721</v>
      </c>
      <c r="Q456">
        <v>0.85798816568047342</v>
      </c>
      <c r="R456" t="s">
        <v>60</v>
      </c>
      <c r="S456" t="s">
        <v>1337</v>
      </c>
      <c r="T456" t="s">
        <v>1338</v>
      </c>
      <c r="U456" t="b">
        <v>1</v>
      </c>
      <c r="V456" t="s">
        <v>63</v>
      </c>
      <c r="W456">
        <v>2.2000000000000002</v>
      </c>
    </row>
    <row r="457" spans="1:23" hidden="1" x14ac:dyDescent="0.3">
      <c r="A457" t="s">
        <v>52</v>
      </c>
      <c r="B457" t="s">
        <v>53</v>
      </c>
      <c r="C457" t="s">
        <v>17</v>
      </c>
      <c r="D457" t="s">
        <v>24</v>
      </c>
      <c r="E457" t="s">
        <v>25</v>
      </c>
      <c r="F457" t="s">
        <v>363</v>
      </c>
      <c r="G457" t="s">
        <v>543</v>
      </c>
      <c r="H457" t="s">
        <v>467</v>
      </c>
      <c r="I457" t="s">
        <v>9</v>
      </c>
      <c r="J457" t="s">
        <v>544</v>
      </c>
      <c r="K457" t="s">
        <v>545</v>
      </c>
      <c r="L457" t="s">
        <v>470</v>
      </c>
      <c r="M457">
        <v>57</v>
      </c>
      <c r="N457" t="b">
        <v>0</v>
      </c>
      <c r="O457">
        <v>0.82485875706214684</v>
      </c>
      <c r="P457">
        <v>0.78918918918918923</v>
      </c>
      <c r="Q457">
        <v>0.86390532544378695</v>
      </c>
      <c r="R457" t="s">
        <v>60</v>
      </c>
      <c r="S457" t="s">
        <v>1339</v>
      </c>
      <c r="T457" t="s">
        <v>1340</v>
      </c>
      <c r="U457" t="b">
        <v>1</v>
      </c>
      <c r="V457" t="s">
        <v>63</v>
      </c>
      <c r="W457">
        <v>1.7</v>
      </c>
    </row>
    <row r="458" spans="1:23" hidden="1" x14ac:dyDescent="0.3">
      <c r="A458" t="s">
        <v>52</v>
      </c>
      <c r="B458" t="s">
        <v>53</v>
      </c>
      <c r="C458" t="s">
        <v>17</v>
      </c>
      <c r="D458" t="s">
        <v>24</v>
      </c>
      <c r="E458" t="s">
        <v>25</v>
      </c>
      <c r="F458" t="s">
        <v>363</v>
      </c>
      <c r="G458" t="s">
        <v>548</v>
      </c>
      <c r="H458" t="s">
        <v>467</v>
      </c>
      <c r="I458" t="s">
        <v>9</v>
      </c>
      <c r="J458" t="s">
        <v>549</v>
      </c>
      <c r="K458" t="s">
        <v>550</v>
      </c>
      <c r="L458" t="s">
        <v>470</v>
      </c>
      <c r="M458">
        <v>58</v>
      </c>
      <c r="N458" t="b">
        <v>0</v>
      </c>
      <c r="O458">
        <v>0.8045325779036826</v>
      </c>
      <c r="P458">
        <v>0.77173913043478259</v>
      </c>
      <c r="Q458">
        <v>0.84023668639053251</v>
      </c>
      <c r="R458" t="s">
        <v>60</v>
      </c>
      <c r="S458" t="s">
        <v>1341</v>
      </c>
      <c r="T458" t="s">
        <v>1342</v>
      </c>
      <c r="U458" t="b">
        <v>1</v>
      </c>
      <c r="V458" t="s">
        <v>63</v>
      </c>
      <c r="W458">
        <v>1.7</v>
      </c>
    </row>
    <row r="459" spans="1:23" hidden="1" x14ac:dyDescent="0.3">
      <c r="A459" t="s">
        <v>52</v>
      </c>
      <c r="B459" t="s">
        <v>53</v>
      </c>
      <c r="C459" t="s">
        <v>17</v>
      </c>
      <c r="D459" t="s">
        <v>24</v>
      </c>
      <c r="E459" t="s">
        <v>25</v>
      </c>
      <c r="F459" t="s">
        <v>363</v>
      </c>
      <c r="G459" t="s">
        <v>553</v>
      </c>
      <c r="H459" t="s">
        <v>467</v>
      </c>
      <c r="I459" t="s">
        <v>9</v>
      </c>
      <c r="J459" t="s">
        <v>554</v>
      </c>
      <c r="K459" t="s">
        <v>555</v>
      </c>
      <c r="L459" t="s">
        <v>470</v>
      </c>
      <c r="M459">
        <v>59</v>
      </c>
      <c r="N459" t="b">
        <v>0</v>
      </c>
      <c r="O459">
        <v>0.79545454545454541</v>
      </c>
      <c r="P459">
        <v>0.76502732240437155</v>
      </c>
      <c r="Q459">
        <v>0.82840236686390534</v>
      </c>
      <c r="R459" t="s">
        <v>60</v>
      </c>
      <c r="S459" t="s">
        <v>1343</v>
      </c>
      <c r="T459" t="s">
        <v>1344</v>
      </c>
      <c r="U459" t="b">
        <v>1</v>
      </c>
      <c r="V459" t="s">
        <v>63</v>
      </c>
      <c r="W459">
        <v>2.1</v>
      </c>
    </row>
    <row r="460" spans="1:23" hidden="1" x14ac:dyDescent="0.3">
      <c r="A460" t="s">
        <v>52</v>
      </c>
      <c r="B460" t="s">
        <v>53</v>
      </c>
      <c r="C460" t="s">
        <v>17</v>
      </c>
      <c r="D460" t="s">
        <v>24</v>
      </c>
      <c r="E460" t="s">
        <v>25</v>
      </c>
      <c r="F460" t="s">
        <v>363</v>
      </c>
      <c r="G460" t="s">
        <v>558</v>
      </c>
      <c r="H460" t="s">
        <v>467</v>
      </c>
      <c r="I460" t="s">
        <v>9</v>
      </c>
      <c r="J460" t="s">
        <v>559</v>
      </c>
      <c r="K460" t="s">
        <v>560</v>
      </c>
      <c r="L460" t="s">
        <v>470</v>
      </c>
      <c r="M460">
        <v>60</v>
      </c>
      <c r="N460" t="b">
        <v>0</v>
      </c>
      <c r="O460">
        <v>0.79999999999999982</v>
      </c>
      <c r="P460">
        <v>0.76344086021505375</v>
      </c>
      <c r="Q460">
        <v>0.84023668639053251</v>
      </c>
      <c r="R460" t="s">
        <v>60</v>
      </c>
      <c r="S460" t="s">
        <v>1345</v>
      </c>
      <c r="T460" t="s">
        <v>1346</v>
      </c>
      <c r="U460" t="b">
        <v>1</v>
      </c>
      <c r="V460" t="s">
        <v>63</v>
      </c>
      <c r="W460">
        <v>1.7</v>
      </c>
    </row>
    <row r="461" spans="1:23" hidden="1" x14ac:dyDescent="0.3">
      <c r="A461" t="s">
        <v>52</v>
      </c>
      <c r="B461" t="s">
        <v>53</v>
      </c>
      <c r="C461" t="s">
        <v>17</v>
      </c>
      <c r="D461" t="s">
        <v>24</v>
      </c>
      <c r="E461" t="s">
        <v>25</v>
      </c>
      <c r="F461" t="s">
        <v>363</v>
      </c>
      <c r="G461" t="s">
        <v>563</v>
      </c>
      <c r="H461" t="s">
        <v>467</v>
      </c>
      <c r="I461" t="s">
        <v>9</v>
      </c>
      <c r="J461" t="s">
        <v>564</v>
      </c>
      <c r="K461" t="s">
        <v>565</v>
      </c>
      <c r="L461" t="s">
        <v>470</v>
      </c>
      <c r="M461">
        <v>61</v>
      </c>
      <c r="N461" t="b">
        <v>0</v>
      </c>
      <c r="O461">
        <v>0.80113636363636365</v>
      </c>
      <c r="P461">
        <v>0.77049180327868849</v>
      </c>
      <c r="Q461">
        <v>0.83431952662721898</v>
      </c>
      <c r="R461" t="s">
        <v>60</v>
      </c>
      <c r="S461" t="s">
        <v>1347</v>
      </c>
      <c r="T461" t="s">
        <v>1348</v>
      </c>
      <c r="U461" t="b">
        <v>1</v>
      </c>
      <c r="V461" t="s">
        <v>63</v>
      </c>
      <c r="W461">
        <v>1.6</v>
      </c>
    </row>
    <row r="462" spans="1:23" hidden="1" x14ac:dyDescent="0.3">
      <c r="A462" t="s">
        <v>52</v>
      </c>
      <c r="B462" t="s">
        <v>53</v>
      </c>
      <c r="C462" t="s">
        <v>17</v>
      </c>
      <c r="D462" t="s">
        <v>24</v>
      </c>
      <c r="E462" t="s">
        <v>25</v>
      </c>
      <c r="F462" t="s">
        <v>363</v>
      </c>
      <c r="G462" t="s">
        <v>568</v>
      </c>
      <c r="H462" t="s">
        <v>569</v>
      </c>
      <c r="I462" t="s">
        <v>11</v>
      </c>
      <c r="J462" t="s">
        <v>570</v>
      </c>
      <c r="K462" t="s">
        <v>571</v>
      </c>
      <c r="L462" t="s">
        <v>572</v>
      </c>
      <c r="M462">
        <v>42</v>
      </c>
      <c r="N462" t="b">
        <v>0</v>
      </c>
      <c r="O462">
        <v>0.80088495575221241</v>
      </c>
      <c r="P462">
        <v>0.78695652173913044</v>
      </c>
      <c r="Q462">
        <v>0.81531531531531531</v>
      </c>
      <c r="R462" t="s">
        <v>60</v>
      </c>
      <c r="S462" t="s">
        <v>1349</v>
      </c>
      <c r="T462" t="s">
        <v>1350</v>
      </c>
      <c r="U462" t="b">
        <v>1</v>
      </c>
      <c r="V462" t="s">
        <v>63</v>
      </c>
      <c r="W462">
        <v>1.8</v>
      </c>
    </row>
    <row r="463" spans="1:23" hidden="1" x14ac:dyDescent="0.3">
      <c r="A463" t="s">
        <v>52</v>
      </c>
      <c r="B463" t="s">
        <v>53</v>
      </c>
      <c r="C463" t="s">
        <v>17</v>
      </c>
      <c r="D463" t="s">
        <v>24</v>
      </c>
      <c r="E463" t="s">
        <v>25</v>
      </c>
      <c r="F463" t="s">
        <v>363</v>
      </c>
      <c r="G463" t="s">
        <v>575</v>
      </c>
      <c r="H463" t="s">
        <v>569</v>
      </c>
      <c r="I463" t="s">
        <v>11</v>
      </c>
      <c r="J463" t="s">
        <v>576</v>
      </c>
      <c r="K463" t="s">
        <v>577</v>
      </c>
      <c r="L463" t="s">
        <v>572</v>
      </c>
      <c r="M463">
        <v>43</v>
      </c>
      <c r="N463" t="b">
        <v>0</v>
      </c>
      <c r="O463">
        <v>0.79028697571743911</v>
      </c>
      <c r="P463">
        <v>0.77489177489177485</v>
      </c>
      <c r="Q463">
        <v>0.80630630630630629</v>
      </c>
      <c r="R463" t="s">
        <v>60</v>
      </c>
      <c r="S463" t="s">
        <v>1351</v>
      </c>
      <c r="T463" t="s">
        <v>1352</v>
      </c>
      <c r="U463" t="b">
        <v>1</v>
      </c>
      <c r="V463" t="s">
        <v>63</v>
      </c>
      <c r="W463">
        <v>2.2999999999999998</v>
      </c>
    </row>
    <row r="464" spans="1:23" hidden="1" x14ac:dyDescent="0.3">
      <c r="A464" t="s">
        <v>52</v>
      </c>
      <c r="B464" t="s">
        <v>53</v>
      </c>
      <c r="C464" t="s">
        <v>17</v>
      </c>
      <c r="D464" t="s">
        <v>24</v>
      </c>
      <c r="E464" t="s">
        <v>25</v>
      </c>
      <c r="F464" t="s">
        <v>363</v>
      </c>
      <c r="G464" t="s">
        <v>580</v>
      </c>
      <c r="H464" t="s">
        <v>569</v>
      </c>
      <c r="I464" t="s">
        <v>11</v>
      </c>
      <c r="J464" t="s">
        <v>581</v>
      </c>
      <c r="K464" t="s">
        <v>582</v>
      </c>
      <c r="L464" t="s">
        <v>572</v>
      </c>
      <c r="M464">
        <v>44</v>
      </c>
      <c r="N464" t="b">
        <v>0</v>
      </c>
      <c r="O464">
        <v>0.80444444444444441</v>
      </c>
      <c r="P464">
        <v>0.79385964912280704</v>
      </c>
      <c r="Q464">
        <v>0.81531531531531531</v>
      </c>
      <c r="R464" t="s">
        <v>60</v>
      </c>
      <c r="S464" t="s">
        <v>1353</v>
      </c>
      <c r="T464" t="s">
        <v>1354</v>
      </c>
      <c r="U464" t="b">
        <v>1</v>
      </c>
      <c r="V464" t="s">
        <v>63</v>
      </c>
      <c r="W464">
        <v>1.9</v>
      </c>
    </row>
    <row r="465" spans="1:23" hidden="1" x14ac:dyDescent="0.3">
      <c r="A465" t="s">
        <v>52</v>
      </c>
      <c r="B465" t="s">
        <v>53</v>
      </c>
      <c r="C465" t="s">
        <v>17</v>
      </c>
      <c r="D465" t="s">
        <v>24</v>
      </c>
      <c r="E465" t="s">
        <v>25</v>
      </c>
      <c r="F465" t="s">
        <v>363</v>
      </c>
      <c r="G465" t="s">
        <v>585</v>
      </c>
      <c r="H465" t="s">
        <v>569</v>
      </c>
      <c r="I465" t="s">
        <v>11</v>
      </c>
      <c r="J465" t="s">
        <v>586</v>
      </c>
      <c r="K465" t="s">
        <v>587</v>
      </c>
      <c r="L465" t="s">
        <v>572</v>
      </c>
      <c r="M465">
        <v>45</v>
      </c>
      <c r="N465" t="b">
        <v>0</v>
      </c>
      <c r="O465">
        <v>0.79824561403508765</v>
      </c>
      <c r="P465">
        <v>0.77777777777777779</v>
      </c>
      <c r="Q465">
        <v>0.81981981981981977</v>
      </c>
      <c r="R465" t="s">
        <v>60</v>
      </c>
      <c r="S465" t="s">
        <v>1355</v>
      </c>
      <c r="T465" t="s">
        <v>1356</v>
      </c>
      <c r="U465" t="b">
        <v>1</v>
      </c>
      <c r="V465" t="s">
        <v>63</v>
      </c>
      <c r="W465">
        <v>1.8</v>
      </c>
    </row>
    <row r="466" spans="1:23" hidden="1" x14ac:dyDescent="0.3">
      <c r="A466" t="s">
        <v>52</v>
      </c>
      <c r="B466" t="s">
        <v>53</v>
      </c>
      <c r="C466" t="s">
        <v>17</v>
      </c>
      <c r="D466" t="s">
        <v>24</v>
      </c>
      <c r="E466" t="s">
        <v>25</v>
      </c>
      <c r="F466" t="s">
        <v>363</v>
      </c>
      <c r="G466" t="s">
        <v>590</v>
      </c>
      <c r="H466" t="s">
        <v>569</v>
      </c>
      <c r="I466" t="s">
        <v>11</v>
      </c>
      <c r="J466" t="s">
        <v>591</v>
      </c>
      <c r="K466" t="s">
        <v>592</v>
      </c>
      <c r="L466" t="s">
        <v>572</v>
      </c>
      <c r="M466">
        <v>46</v>
      </c>
      <c r="N466" t="b">
        <v>0</v>
      </c>
      <c r="O466">
        <v>0.81677704194260492</v>
      </c>
      <c r="P466">
        <v>0.80086580086580084</v>
      </c>
      <c r="Q466">
        <v>0.83333333333333337</v>
      </c>
      <c r="R466" t="s">
        <v>60</v>
      </c>
      <c r="S466" t="s">
        <v>1357</v>
      </c>
      <c r="T466" t="s">
        <v>1358</v>
      </c>
      <c r="U466" t="b">
        <v>1</v>
      </c>
      <c r="V466" t="s">
        <v>63</v>
      </c>
      <c r="W466">
        <v>2.2999999999999998</v>
      </c>
    </row>
    <row r="467" spans="1:23" hidden="1" x14ac:dyDescent="0.3">
      <c r="A467" t="s">
        <v>52</v>
      </c>
      <c r="B467" t="s">
        <v>53</v>
      </c>
      <c r="C467" t="s">
        <v>17</v>
      </c>
      <c r="D467" t="s">
        <v>24</v>
      </c>
      <c r="E467" t="s">
        <v>25</v>
      </c>
      <c r="F467" t="s">
        <v>363</v>
      </c>
      <c r="G467" t="s">
        <v>595</v>
      </c>
      <c r="H467" t="s">
        <v>569</v>
      </c>
      <c r="I467" t="s">
        <v>11</v>
      </c>
      <c r="J467" t="s">
        <v>596</v>
      </c>
      <c r="K467" t="s">
        <v>597</v>
      </c>
      <c r="L467" t="s">
        <v>572</v>
      </c>
      <c r="M467">
        <v>47</v>
      </c>
      <c r="N467" t="b">
        <v>0</v>
      </c>
      <c r="O467">
        <v>0.83628318584070793</v>
      </c>
      <c r="P467">
        <v>0.82173913043478264</v>
      </c>
      <c r="Q467">
        <v>0.85135135135135132</v>
      </c>
      <c r="R467" t="s">
        <v>60</v>
      </c>
      <c r="S467" t="s">
        <v>1359</v>
      </c>
      <c r="T467" t="s">
        <v>1360</v>
      </c>
      <c r="U467" t="b">
        <v>1</v>
      </c>
      <c r="V467" t="s">
        <v>63</v>
      </c>
      <c r="W467">
        <v>1.8</v>
      </c>
    </row>
    <row r="468" spans="1:23" hidden="1" x14ac:dyDescent="0.3">
      <c r="A468" t="s">
        <v>52</v>
      </c>
      <c r="B468" t="s">
        <v>53</v>
      </c>
      <c r="C468" t="s">
        <v>17</v>
      </c>
      <c r="D468" t="s">
        <v>24</v>
      </c>
      <c r="E468" t="s">
        <v>25</v>
      </c>
      <c r="F468" t="s">
        <v>363</v>
      </c>
      <c r="G468" t="s">
        <v>600</v>
      </c>
      <c r="H468" t="s">
        <v>569</v>
      </c>
      <c r="I468" t="s">
        <v>11</v>
      </c>
      <c r="J468" t="s">
        <v>601</v>
      </c>
      <c r="K468" t="s">
        <v>602</v>
      </c>
      <c r="L468" t="s">
        <v>572</v>
      </c>
      <c r="M468">
        <v>48</v>
      </c>
      <c r="N468" t="b">
        <v>0</v>
      </c>
      <c r="O468">
        <v>0.82405345211581293</v>
      </c>
      <c r="P468">
        <v>0.81497797356828194</v>
      </c>
      <c r="Q468">
        <v>0.83333333333333337</v>
      </c>
      <c r="R468" t="s">
        <v>60</v>
      </c>
      <c r="S468" t="s">
        <v>1361</v>
      </c>
      <c r="T468" t="s">
        <v>1362</v>
      </c>
      <c r="U468" t="b">
        <v>1</v>
      </c>
      <c r="V468" t="s">
        <v>63</v>
      </c>
      <c r="W468">
        <v>1.8</v>
      </c>
    </row>
    <row r="469" spans="1:23" hidden="1" x14ac:dyDescent="0.3">
      <c r="A469" t="s">
        <v>52</v>
      </c>
      <c r="B469" t="s">
        <v>53</v>
      </c>
      <c r="C469" t="s">
        <v>17</v>
      </c>
      <c r="D469" t="s">
        <v>24</v>
      </c>
      <c r="E469" t="s">
        <v>25</v>
      </c>
      <c r="F469" t="s">
        <v>363</v>
      </c>
      <c r="G469" t="s">
        <v>605</v>
      </c>
      <c r="H469" t="s">
        <v>569</v>
      </c>
      <c r="I469" t="s">
        <v>11</v>
      </c>
      <c r="J469" t="s">
        <v>606</v>
      </c>
      <c r="K469" t="s">
        <v>607</v>
      </c>
      <c r="L469" t="s">
        <v>572</v>
      </c>
      <c r="M469">
        <v>49</v>
      </c>
      <c r="N469" t="b">
        <v>0</v>
      </c>
      <c r="O469">
        <v>0.82456140350877194</v>
      </c>
      <c r="P469">
        <v>0.80341880341880345</v>
      </c>
      <c r="Q469">
        <v>0.84684684684684686</v>
      </c>
      <c r="R469" t="s">
        <v>60</v>
      </c>
      <c r="S469" t="s">
        <v>1363</v>
      </c>
      <c r="T469" t="s">
        <v>1364</v>
      </c>
      <c r="U469" t="b">
        <v>1</v>
      </c>
      <c r="V469" t="s">
        <v>63</v>
      </c>
      <c r="W469">
        <v>2.2999999999999998</v>
      </c>
    </row>
    <row r="470" spans="1:23" hidden="1" x14ac:dyDescent="0.3">
      <c r="A470" t="s">
        <v>52</v>
      </c>
      <c r="B470" t="s">
        <v>53</v>
      </c>
      <c r="C470" t="s">
        <v>17</v>
      </c>
      <c r="D470" t="s">
        <v>24</v>
      </c>
      <c r="E470" t="s">
        <v>25</v>
      </c>
      <c r="F470" t="s">
        <v>363</v>
      </c>
      <c r="G470" t="s">
        <v>610</v>
      </c>
      <c r="H470" t="s">
        <v>569</v>
      </c>
      <c r="I470" t="s">
        <v>11</v>
      </c>
      <c r="J470" t="s">
        <v>611</v>
      </c>
      <c r="K470" t="s">
        <v>612</v>
      </c>
      <c r="L470" t="s">
        <v>572</v>
      </c>
      <c r="M470">
        <v>50</v>
      </c>
      <c r="N470" t="b">
        <v>0</v>
      </c>
      <c r="O470">
        <v>0.81938325991189431</v>
      </c>
      <c r="P470">
        <v>0.80172413793103448</v>
      </c>
      <c r="Q470">
        <v>0.83783783783783783</v>
      </c>
      <c r="R470" t="s">
        <v>60</v>
      </c>
      <c r="S470" t="s">
        <v>1365</v>
      </c>
      <c r="T470" t="s">
        <v>1366</v>
      </c>
      <c r="U470" t="b">
        <v>1</v>
      </c>
      <c r="V470" t="s">
        <v>63</v>
      </c>
      <c r="W470">
        <v>1.9</v>
      </c>
    </row>
    <row r="471" spans="1:23" hidden="1" x14ac:dyDescent="0.3">
      <c r="A471" t="s">
        <v>52</v>
      </c>
      <c r="B471" t="s">
        <v>53</v>
      </c>
      <c r="C471" t="s">
        <v>17</v>
      </c>
      <c r="D471" t="s">
        <v>24</v>
      </c>
      <c r="E471" t="s">
        <v>25</v>
      </c>
      <c r="F471" t="s">
        <v>363</v>
      </c>
      <c r="G471" t="s">
        <v>615</v>
      </c>
      <c r="H471" t="s">
        <v>569</v>
      </c>
      <c r="I471" t="s">
        <v>11</v>
      </c>
      <c r="J471" t="s">
        <v>616</v>
      </c>
      <c r="K471" t="s">
        <v>617</v>
      </c>
      <c r="L471" t="s">
        <v>572</v>
      </c>
      <c r="M471">
        <v>51</v>
      </c>
      <c r="N471" t="b">
        <v>0</v>
      </c>
      <c r="O471">
        <v>0.82560706401766004</v>
      </c>
      <c r="P471">
        <v>0.80952380952380953</v>
      </c>
      <c r="Q471">
        <v>0.84234234234234229</v>
      </c>
      <c r="R471" t="s">
        <v>60</v>
      </c>
      <c r="S471" t="s">
        <v>1367</v>
      </c>
      <c r="T471" t="s">
        <v>1368</v>
      </c>
      <c r="U471" t="b">
        <v>1</v>
      </c>
      <c r="V471" t="s">
        <v>63</v>
      </c>
      <c r="W471">
        <v>1.8</v>
      </c>
    </row>
    <row r="472" spans="1:23" hidden="1" x14ac:dyDescent="0.3">
      <c r="A472" t="s">
        <v>52</v>
      </c>
      <c r="B472" t="s">
        <v>53</v>
      </c>
      <c r="C472" t="s">
        <v>17</v>
      </c>
      <c r="D472" t="s">
        <v>24</v>
      </c>
      <c r="E472" t="s">
        <v>25</v>
      </c>
      <c r="F472" t="s">
        <v>363</v>
      </c>
      <c r="G472" t="s">
        <v>620</v>
      </c>
      <c r="H472" t="s">
        <v>569</v>
      </c>
      <c r="I472" t="s">
        <v>11</v>
      </c>
      <c r="J472" t="s">
        <v>621</v>
      </c>
      <c r="K472" t="s">
        <v>622</v>
      </c>
      <c r="L472" t="s">
        <v>572</v>
      </c>
      <c r="M472">
        <v>52</v>
      </c>
      <c r="N472" t="b">
        <v>0</v>
      </c>
      <c r="O472">
        <v>0.82666666666666655</v>
      </c>
      <c r="P472">
        <v>0.81578947368421051</v>
      </c>
      <c r="Q472">
        <v>0.83783783783783783</v>
      </c>
      <c r="R472" t="s">
        <v>60</v>
      </c>
      <c r="S472" t="s">
        <v>1369</v>
      </c>
      <c r="T472" t="s">
        <v>1370</v>
      </c>
      <c r="U472" t="b">
        <v>1</v>
      </c>
      <c r="V472" t="s">
        <v>63</v>
      </c>
      <c r="W472">
        <v>2.2000000000000002</v>
      </c>
    </row>
    <row r="473" spans="1:23" hidden="1" x14ac:dyDescent="0.3">
      <c r="A473" t="s">
        <v>52</v>
      </c>
      <c r="B473" t="s">
        <v>53</v>
      </c>
      <c r="C473" t="s">
        <v>17</v>
      </c>
      <c r="D473" t="s">
        <v>24</v>
      </c>
      <c r="E473" t="s">
        <v>25</v>
      </c>
      <c r="F473" t="s">
        <v>363</v>
      </c>
      <c r="G473" t="s">
        <v>625</v>
      </c>
      <c r="H473" t="s">
        <v>569</v>
      </c>
      <c r="I473" t="s">
        <v>11</v>
      </c>
      <c r="J473" t="s">
        <v>626</v>
      </c>
      <c r="K473" t="s">
        <v>627</v>
      </c>
      <c r="L473" t="s">
        <v>572</v>
      </c>
      <c r="M473">
        <v>53</v>
      </c>
      <c r="N473" t="b">
        <v>0</v>
      </c>
      <c r="O473">
        <v>0.81415929203539827</v>
      </c>
      <c r="P473">
        <v>0.8</v>
      </c>
      <c r="Q473">
        <v>0.8288288288288288</v>
      </c>
      <c r="R473" t="s">
        <v>60</v>
      </c>
      <c r="S473" t="s">
        <v>1371</v>
      </c>
      <c r="T473" t="s">
        <v>1372</v>
      </c>
      <c r="U473" t="b">
        <v>1</v>
      </c>
      <c r="V473" t="s">
        <v>63</v>
      </c>
      <c r="W473">
        <v>1.9</v>
      </c>
    </row>
    <row r="474" spans="1:23" hidden="1" x14ac:dyDescent="0.3">
      <c r="A474" t="s">
        <v>52</v>
      </c>
      <c r="B474" t="s">
        <v>53</v>
      </c>
      <c r="C474" t="s">
        <v>17</v>
      </c>
      <c r="D474" t="s">
        <v>24</v>
      </c>
      <c r="E474" t="s">
        <v>25</v>
      </c>
      <c r="F474" t="s">
        <v>363</v>
      </c>
      <c r="G474" t="s">
        <v>630</v>
      </c>
      <c r="H474" t="s">
        <v>569</v>
      </c>
      <c r="I474" t="s">
        <v>11</v>
      </c>
      <c r="J474" t="s">
        <v>631</v>
      </c>
      <c r="K474" t="s">
        <v>632</v>
      </c>
      <c r="L474" t="s">
        <v>572</v>
      </c>
      <c r="M474">
        <v>54</v>
      </c>
      <c r="N474" t="b">
        <v>0</v>
      </c>
      <c r="O474">
        <v>0.81152993348115299</v>
      </c>
      <c r="P474">
        <v>0.79912663755458513</v>
      </c>
      <c r="Q474">
        <v>0.82432432432432434</v>
      </c>
      <c r="R474" t="s">
        <v>60</v>
      </c>
      <c r="S474" t="s">
        <v>1373</v>
      </c>
      <c r="T474" t="s">
        <v>1374</v>
      </c>
      <c r="U474" t="b">
        <v>1</v>
      </c>
      <c r="V474" t="s">
        <v>63</v>
      </c>
      <c r="W474">
        <v>1.9</v>
      </c>
    </row>
    <row r="475" spans="1:23" hidden="1" x14ac:dyDescent="0.3">
      <c r="A475" t="s">
        <v>52</v>
      </c>
      <c r="B475" t="s">
        <v>53</v>
      </c>
      <c r="C475" t="s">
        <v>17</v>
      </c>
      <c r="D475" t="s">
        <v>24</v>
      </c>
      <c r="E475" t="s">
        <v>25</v>
      </c>
      <c r="F475" t="s">
        <v>363</v>
      </c>
      <c r="G475" t="s">
        <v>635</v>
      </c>
      <c r="H475" t="s">
        <v>569</v>
      </c>
      <c r="I475" t="s">
        <v>11</v>
      </c>
      <c r="J475" t="s">
        <v>636</v>
      </c>
      <c r="K475" t="s">
        <v>637</v>
      </c>
      <c r="L475" t="s">
        <v>572</v>
      </c>
      <c r="M475">
        <v>55</v>
      </c>
      <c r="N475" t="b">
        <v>0</v>
      </c>
      <c r="O475">
        <v>0.80786026200873373</v>
      </c>
      <c r="P475">
        <v>0.78389830508474578</v>
      </c>
      <c r="Q475">
        <v>0.83333333333333337</v>
      </c>
      <c r="R475" t="s">
        <v>60</v>
      </c>
      <c r="S475" t="s">
        <v>1375</v>
      </c>
      <c r="T475" t="s">
        <v>1376</v>
      </c>
      <c r="U475" t="b">
        <v>1</v>
      </c>
      <c r="V475" t="s">
        <v>63</v>
      </c>
      <c r="W475">
        <v>2.2999999999999998</v>
      </c>
    </row>
    <row r="476" spans="1:23" hidden="1" x14ac:dyDescent="0.3">
      <c r="A476" t="s">
        <v>52</v>
      </c>
      <c r="B476" t="s">
        <v>53</v>
      </c>
      <c r="C476" t="s">
        <v>17</v>
      </c>
      <c r="D476" t="s">
        <v>24</v>
      </c>
      <c r="E476" t="s">
        <v>25</v>
      </c>
      <c r="F476" t="s">
        <v>363</v>
      </c>
      <c r="G476" t="s">
        <v>640</v>
      </c>
      <c r="H476" t="s">
        <v>569</v>
      </c>
      <c r="I476" t="s">
        <v>11</v>
      </c>
      <c r="J476" t="s">
        <v>641</v>
      </c>
      <c r="K476" t="s">
        <v>642</v>
      </c>
      <c r="L476" t="s">
        <v>572</v>
      </c>
      <c r="M476">
        <v>56</v>
      </c>
      <c r="N476" t="b">
        <v>0</v>
      </c>
      <c r="O476">
        <v>0.82222222222222219</v>
      </c>
      <c r="P476">
        <v>0.81140350877192979</v>
      </c>
      <c r="Q476">
        <v>0.83333333333333337</v>
      </c>
      <c r="R476" t="s">
        <v>60</v>
      </c>
      <c r="S476" t="s">
        <v>1377</v>
      </c>
      <c r="T476" t="s">
        <v>1378</v>
      </c>
      <c r="U476" t="b">
        <v>1</v>
      </c>
      <c r="V476" t="s">
        <v>63</v>
      </c>
      <c r="W476">
        <v>1.8</v>
      </c>
    </row>
    <row r="477" spans="1:23" hidden="1" x14ac:dyDescent="0.3">
      <c r="A477" t="s">
        <v>52</v>
      </c>
      <c r="B477" t="s">
        <v>53</v>
      </c>
      <c r="C477" t="s">
        <v>17</v>
      </c>
      <c r="D477" t="s">
        <v>24</v>
      </c>
      <c r="E477" t="s">
        <v>25</v>
      </c>
      <c r="F477" t="s">
        <v>363</v>
      </c>
      <c r="G477" t="s">
        <v>645</v>
      </c>
      <c r="H477" t="s">
        <v>569</v>
      </c>
      <c r="I477" t="s">
        <v>11</v>
      </c>
      <c r="J477" t="s">
        <v>646</v>
      </c>
      <c r="K477" t="s">
        <v>647</v>
      </c>
      <c r="L477" t="s">
        <v>572</v>
      </c>
      <c r="M477">
        <v>57</v>
      </c>
      <c r="N477" t="b">
        <v>0</v>
      </c>
      <c r="O477">
        <v>0.81415929203539827</v>
      </c>
      <c r="P477">
        <v>0.8</v>
      </c>
      <c r="Q477">
        <v>0.8288288288288288</v>
      </c>
      <c r="R477" t="s">
        <v>60</v>
      </c>
      <c r="S477" t="s">
        <v>1379</v>
      </c>
      <c r="T477" t="s">
        <v>1380</v>
      </c>
      <c r="U477" t="b">
        <v>1</v>
      </c>
      <c r="V477" t="s">
        <v>63</v>
      </c>
      <c r="W477">
        <v>2</v>
      </c>
    </row>
    <row r="478" spans="1:23" hidden="1" x14ac:dyDescent="0.3">
      <c r="A478" t="s">
        <v>52</v>
      </c>
      <c r="B478" t="s">
        <v>53</v>
      </c>
      <c r="C478" t="s">
        <v>17</v>
      </c>
      <c r="D478" t="s">
        <v>24</v>
      </c>
      <c r="E478" t="s">
        <v>25</v>
      </c>
      <c r="F478" t="s">
        <v>363</v>
      </c>
      <c r="G478" t="s">
        <v>650</v>
      </c>
      <c r="H478" t="s">
        <v>569</v>
      </c>
      <c r="I478" t="s">
        <v>11</v>
      </c>
      <c r="J478" t="s">
        <v>651</v>
      </c>
      <c r="K478" t="s">
        <v>652</v>
      </c>
      <c r="L478" t="s">
        <v>572</v>
      </c>
      <c r="M478">
        <v>58</v>
      </c>
      <c r="N478" t="b">
        <v>0</v>
      </c>
      <c r="O478">
        <v>0.80610021786492381</v>
      </c>
      <c r="P478">
        <v>0.78059071729957807</v>
      </c>
      <c r="Q478">
        <v>0.83333333333333337</v>
      </c>
      <c r="R478" t="s">
        <v>60</v>
      </c>
      <c r="S478" t="s">
        <v>1381</v>
      </c>
      <c r="T478" t="s">
        <v>1382</v>
      </c>
      <c r="U478" t="b">
        <v>1</v>
      </c>
      <c r="V478" t="s">
        <v>63</v>
      </c>
      <c r="W478">
        <v>2.2000000000000002</v>
      </c>
    </row>
    <row r="479" spans="1:23" hidden="1" x14ac:dyDescent="0.3">
      <c r="A479" t="s">
        <v>52</v>
      </c>
      <c r="B479" t="s">
        <v>53</v>
      </c>
      <c r="C479" t="s">
        <v>17</v>
      </c>
      <c r="D479" t="s">
        <v>24</v>
      </c>
      <c r="E479" t="s">
        <v>25</v>
      </c>
      <c r="F479" t="s">
        <v>363</v>
      </c>
      <c r="G479" t="s">
        <v>655</v>
      </c>
      <c r="H479" t="s">
        <v>569</v>
      </c>
      <c r="I479" t="s">
        <v>11</v>
      </c>
      <c r="J479" t="s">
        <v>656</v>
      </c>
      <c r="K479" t="s">
        <v>657</v>
      </c>
      <c r="L479" t="s">
        <v>572</v>
      </c>
      <c r="M479">
        <v>59</v>
      </c>
      <c r="N479" t="b">
        <v>0</v>
      </c>
      <c r="O479">
        <v>0.80645161290322576</v>
      </c>
      <c r="P479">
        <v>0.82547169811320753</v>
      </c>
      <c r="Q479">
        <v>0.78828828828828834</v>
      </c>
      <c r="R479" t="s">
        <v>60</v>
      </c>
      <c r="S479" t="s">
        <v>1383</v>
      </c>
      <c r="T479" t="s">
        <v>1384</v>
      </c>
      <c r="U479" t="b">
        <v>1</v>
      </c>
      <c r="V479" t="s">
        <v>63</v>
      </c>
      <c r="W479">
        <v>1.3</v>
      </c>
    </row>
    <row r="480" spans="1:23" hidden="1" x14ac:dyDescent="0.3">
      <c r="A480" t="s">
        <v>52</v>
      </c>
      <c r="B480" t="s">
        <v>53</v>
      </c>
      <c r="C480" t="s">
        <v>17</v>
      </c>
      <c r="D480" t="s">
        <v>24</v>
      </c>
      <c r="E480" t="s">
        <v>25</v>
      </c>
      <c r="F480" t="s">
        <v>363</v>
      </c>
      <c r="G480" t="s">
        <v>660</v>
      </c>
      <c r="H480" t="s">
        <v>569</v>
      </c>
      <c r="I480" t="s">
        <v>11</v>
      </c>
      <c r="J480" t="s">
        <v>661</v>
      </c>
      <c r="K480" t="s">
        <v>662</v>
      </c>
      <c r="L480" t="s">
        <v>572</v>
      </c>
      <c r="M480">
        <v>60</v>
      </c>
      <c r="N480" t="b">
        <v>0</v>
      </c>
      <c r="O480">
        <v>0.80536912751677858</v>
      </c>
      <c r="P480">
        <v>0.8</v>
      </c>
      <c r="Q480">
        <v>0.81081081081081086</v>
      </c>
      <c r="R480" t="s">
        <v>60</v>
      </c>
      <c r="S480" t="s">
        <v>1385</v>
      </c>
      <c r="T480" t="s">
        <v>1386</v>
      </c>
      <c r="U480" t="b">
        <v>1</v>
      </c>
      <c r="V480" t="s">
        <v>63</v>
      </c>
      <c r="W480">
        <v>1.3</v>
      </c>
    </row>
    <row r="481" spans="1:23" hidden="1" x14ac:dyDescent="0.3">
      <c r="A481" t="s">
        <v>52</v>
      </c>
      <c r="B481" t="s">
        <v>53</v>
      </c>
      <c r="C481" t="s">
        <v>17</v>
      </c>
      <c r="D481" t="s">
        <v>24</v>
      </c>
      <c r="E481" t="s">
        <v>25</v>
      </c>
      <c r="F481" t="s">
        <v>363</v>
      </c>
      <c r="G481" t="s">
        <v>665</v>
      </c>
      <c r="H481" t="s">
        <v>569</v>
      </c>
      <c r="I481" t="s">
        <v>11</v>
      </c>
      <c r="J481" t="s">
        <v>666</v>
      </c>
      <c r="K481" t="s">
        <v>667</v>
      </c>
      <c r="L481" t="s">
        <v>572</v>
      </c>
      <c r="M481">
        <v>61</v>
      </c>
      <c r="N481" t="b">
        <v>0</v>
      </c>
      <c r="O481">
        <v>0.82637362637362632</v>
      </c>
      <c r="P481">
        <v>0.80686695278969955</v>
      </c>
      <c r="Q481">
        <v>0.84684684684684686</v>
      </c>
      <c r="R481" t="s">
        <v>60</v>
      </c>
      <c r="S481" t="s">
        <v>1387</v>
      </c>
      <c r="T481" t="s">
        <v>1388</v>
      </c>
      <c r="U481" t="b">
        <v>1</v>
      </c>
      <c r="V481" t="s">
        <v>63</v>
      </c>
      <c r="W481">
        <v>1.7</v>
      </c>
    </row>
    <row r="482" spans="1:23" hidden="1" x14ac:dyDescent="0.3">
      <c r="A482" t="s">
        <v>52</v>
      </c>
      <c r="B482" t="s">
        <v>53</v>
      </c>
      <c r="C482" t="s">
        <v>17</v>
      </c>
      <c r="D482" t="s">
        <v>26</v>
      </c>
      <c r="E482" t="s">
        <v>27</v>
      </c>
      <c r="F482" t="s">
        <v>54</v>
      </c>
      <c r="G482" t="s">
        <v>55</v>
      </c>
      <c r="H482" t="s">
        <v>56</v>
      </c>
      <c r="I482" t="s">
        <v>7</v>
      </c>
      <c r="J482" t="s">
        <v>57</v>
      </c>
      <c r="K482" t="s">
        <v>58</v>
      </c>
      <c r="L482" t="s">
        <v>59</v>
      </c>
      <c r="M482">
        <v>42</v>
      </c>
      <c r="N482" t="b">
        <v>1</v>
      </c>
      <c r="O482">
        <v>0.80932203389830515</v>
      </c>
      <c r="P482">
        <v>0.78925619834710747</v>
      </c>
      <c r="Q482">
        <v>0.83043478260869563</v>
      </c>
      <c r="R482" t="s">
        <v>60</v>
      </c>
      <c r="S482" t="s">
        <v>1389</v>
      </c>
      <c r="T482" t="s">
        <v>1390</v>
      </c>
      <c r="U482" t="b">
        <v>1</v>
      </c>
      <c r="V482" t="s">
        <v>63</v>
      </c>
      <c r="W482">
        <v>2.4</v>
      </c>
    </row>
    <row r="483" spans="1:23" hidden="1" x14ac:dyDescent="0.3">
      <c r="A483" t="s">
        <v>52</v>
      </c>
      <c r="B483" t="s">
        <v>53</v>
      </c>
      <c r="C483" t="s">
        <v>17</v>
      </c>
      <c r="D483" t="s">
        <v>26</v>
      </c>
      <c r="E483" t="s">
        <v>27</v>
      </c>
      <c r="F483" t="s">
        <v>54</v>
      </c>
      <c r="G483" t="s">
        <v>64</v>
      </c>
      <c r="H483" t="s">
        <v>56</v>
      </c>
      <c r="I483" t="s">
        <v>7</v>
      </c>
      <c r="J483" t="s">
        <v>65</v>
      </c>
      <c r="K483" t="s">
        <v>66</v>
      </c>
      <c r="L483" t="s">
        <v>59</v>
      </c>
      <c r="M483">
        <v>43</v>
      </c>
      <c r="N483" t="b">
        <v>1</v>
      </c>
      <c r="O483">
        <v>0.76666666666666661</v>
      </c>
      <c r="P483">
        <v>0.73599999999999999</v>
      </c>
      <c r="Q483">
        <v>0.8</v>
      </c>
      <c r="R483" t="s">
        <v>60</v>
      </c>
      <c r="S483" t="s">
        <v>1391</v>
      </c>
      <c r="T483" t="s">
        <v>1392</v>
      </c>
      <c r="U483" t="b">
        <v>1</v>
      </c>
      <c r="V483" t="s">
        <v>63</v>
      </c>
      <c r="W483">
        <v>1.3</v>
      </c>
    </row>
    <row r="484" spans="1:23" hidden="1" x14ac:dyDescent="0.3">
      <c r="A484" t="s">
        <v>52</v>
      </c>
      <c r="B484" t="s">
        <v>53</v>
      </c>
      <c r="C484" t="s">
        <v>17</v>
      </c>
      <c r="D484" t="s">
        <v>26</v>
      </c>
      <c r="E484" t="s">
        <v>27</v>
      </c>
      <c r="F484" t="s">
        <v>54</v>
      </c>
      <c r="G484" t="s">
        <v>69</v>
      </c>
      <c r="H484" t="s">
        <v>56</v>
      </c>
      <c r="I484" t="s">
        <v>7</v>
      </c>
      <c r="J484" t="s">
        <v>70</v>
      </c>
      <c r="K484" t="s">
        <v>71</v>
      </c>
      <c r="L484" t="s">
        <v>59</v>
      </c>
      <c r="M484">
        <v>44</v>
      </c>
      <c r="N484" t="b">
        <v>1</v>
      </c>
      <c r="O484">
        <v>0.76639344262295073</v>
      </c>
      <c r="P484">
        <v>0.72480620155038755</v>
      </c>
      <c r="Q484">
        <v>0.81304347826086953</v>
      </c>
      <c r="R484" t="s">
        <v>60</v>
      </c>
      <c r="S484" t="s">
        <v>1393</v>
      </c>
      <c r="T484" t="s">
        <v>1394</v>
      </c>
      <c r="U484" t="b">
        <v>1</v>
      </c>
      <c r="V484" t="s">
        <v>63</v>
      </c>
      <c r="W484">
        <v>1.7</v>
      </c>
    </row>
    <row r="485" spans="1:23" hidden="1" x14ac:dyDescent="0.3">
      <c r="A485" t="s">
        <v>52</v>
      </c>
      <c r="B485" t="s">
        <v>53</v>
      </c>
      <c r="C485" t="s">
        <v>17</v>
      </c>
      <c r="D485" t="s">
        <v>26</v>
      </c>
      <c r="E485" t="s">
        <v>27</v>
      </c>
      <c r="F485" t="s">
        <v>54</v>
      </c>
      <c r="G485" t="s">
        <v>74</v>
      </c>
      <c r="H485" t="s">
        <v>56</v>
      </c>
      <c r="I485" t="s">
        <v>7</v>
      </c>
      <c r="J485" t="s">
        <v>75</v>
      </c>
      <c r="K485" t="s">
        <v>76</v>
      </c>
      <c r="L485" t="s">
        <v>59</v>
      </c>
      <c r="M485">
        <v>45</v>
      </c>
      <c r="N485" t="b">
        <v>1</v>
      </c>
      <c r="O485">
        <v>0.76033057851239683</v>
      </c>
      <c r="P485">
        <v>0.72440944881889768</v>
      </c>
      <c r="Q485">
        <v>0.8</v>
      </c>
      <c r="R485" t="s">
        <v>60</v>
      </c>
      <c r="S485" t="s">
        <v>1395</v>
      </c>
      <c r="T485" t="s">
        <v>1396</v>
      </c>
      <c r="U485" t="b">
        <v>1</v>
      </c>
      <c r="V485" t="s">
        <v>63</v>
      </c>
      <c r="W485">
        <v>1.3</v>
      </c>
    </row>
    <row r="486" spans="1:23" hidden="1" x14ac:dyDescent="0.3">
      <c r="A486" t="s">
        <v>52</v>
      </c>
      <c r="B486" t="s">
        <v>53</v>
      </c>
      <c r="C486" t="s">
        <v>17</v>
      </c>
      <c r="D486" t="s">
        <v>26</v>
      </c>
      <c r="E486" t="s">
        <v>27</v>
      </c>
      <c r="F486" t="s">
        <v>54</v>
      </c>
      <c r="G486" t="s">
        <v>79</v>
      </c>
      <c r="H486" t="s">
        <v>56</v>
      </c>
      <c r="I486" t="s">
        <v>7</v>
      </c>
      <c r="J486" t="s">
        <v>80</v>
      </c>
      <c r="K486" t="s">
        <v>81</v>
      </c>
      <c r="L486" t="s">
        <v>59</v>
      </c>
      <c r="M486">
        <v>46</v>
      </c>
      <c r="N486" t="b">
        <v>1</v>
      </c>
      <c r="O486">
        <v>0.73839662447257393</v>
      </c>
      <c r="P486">
        <v>0.71721311475409832</v>
      </c>
      <c r="Q486">
        <v>0.76086956521739135</v>
      </c>
      <c r="R486" t="s">
        <v>60</v>
      </c>
      <c r="S486" t="s">
        <v>1397</v>
      </c>
      <c r="T486" t="s">
        <v>1398</v>
      </c>
      <c r="U486" t="b">
        <v>1</v>
      </c>
      <c r="V486" t="s">
        <v>63</v>
      </c>
      <c r="W486">
        <v>1.7</v>
      </c>
    </row>
    <row r="487" spans="1:23" hidden="1" x14ac:dyDescent="0.3">
      <c r="A487" t="s">
        <v>52</v>
      </c>
      <c r="B487" t="s">
        <v>53</v>
      </c>
      <c r="C487" t="s">
        <v>17</v>
      </c>
      <c r="D487" t="s">
        <v>26</v>
      </c>
      <c r="E487" t="s">
        <v>27</v>
      </c>
      <c r="F487" t="s">
        <v>54</v>
      </c>
      <c r="G487" t="s">
        <v>84</v>
      </c>
      <c r="H487" t="s">
        <v>56</v>
      </c>
      <c r="I487" t="s">
        <v>7</v>
      </c>
      <c r="J487" t="s">
        <v>85</v>
      </c>
      <c r="K487" t="s">
        <v>86</v>
      </c>
      <c r="L487" t="s">
        <v>59</v>
      </c>
      <c r="M487">
        <v>47</v>
      </c>
      <c r="N487" t="b">
        <v>1</v>
      </c>
      <c r="O487">
        <v>0.78099173553719015</v>
      </c>
      <c r="P487">
        <v>0.74409448818897639</v>
      </c>
      <c r="Q487">
        <v>0.82173913043478264</v>
      </c>
      <c r="R487" t="s">
        <v>60</v>
      </c>
      <c r="S487" t="s">
        <v>1399</v>
      </c>
      <c r="T487" t="s">
        <v>1400</v>
      </c>
      <c r="U487" t="b">
        <v>1</v>
      </c>
      <c r="V487" t="s">
        <v>63</v>
      </c>
      <c r="W487">
        <v>1.3</v>
      </c>
    </row>
    <row r="488" spans="1:23" hidden="1" x14ac:dyDescent="0.3">
      <c r="A488" t="s">
        <v>52</v>
      </c>
      <c r="B488" t="s">
        <v>53</v>
      </c>
      <c r="C488" t="s">
        <v>17</v>
      </c>
      <c r="D488" t="s">
        <v>26</v>
      </c>
      <c r="E488" t="s">
        <v>27</v>
      </c>
      <c r="F488" t="s">
        <v>54</v>
      </c>
      <c r="G488" t="s">
        <v>89</v>
      </c>
      <c r="H488" t="s">
        <v>56</v>
      </c>
      <c r="I488" t="s">
        <v>7</v>
      </c>
      <c r="J488" t="s">
        <v>90</v>
      </c>
      <c r="K488" t="s">
        <v>91</v>
      </c>
      <c r="L488" t="s">
        <v>59</v>
      </c>
      <c r="M488">
        <v>48</v>
      </c>
      <c r="N488" t="b">
        <v>1</v>
      </c>
      <c r="O488">
        <v>0.76310272536687629</v>
      </c>
      <c r="P488">
        <v>0.73684210526315785</v>
      </c>
      <c r="Q488">
        <v>0.79130434782608694</v>
      </c>
      <c r="R488" t="s">
        <v>60</v>
      </c>
      <c r="S488" t="s">
        <v>1401</v>
      </c>
      <c r="T488" t="s">
        <v>1402</v>
      </c>
      <c r="U488" t="b">
        <v>1</v>
      </c>
      <c r="V488" t="s">
        <v>63</v>
      </c>
      <c r="W488">
        <v>1.3</v>
      </c>
    </row>
    <row r="489" spans="1:23" hidden="1" x14ac:dyDescent="0.3">
      <c r="A489" t="s">
        <v>52</v>
      </c>
      <c r="B489" t="s">
        <v>53</v>
      </c>
      <c r="C489" t="s">
        <v>17</v>
      </c>
      <c r="D489" t="s">
        <v>26</v>
      </c>
      <c r="E489" t="s">
        <v>27</v>
      </c>
      <c r="F489" t="s">
        <v>54</v>
      </c>
      <c r="G489" t="s">
        <v>94</v>
      </c>
      <c r="H489" t="s">
        <v>56</v>
      </c>
      <c r="I489" t="s">
        <v>7</v>
      </c>
      <c r="J489" t="s">
        <v>95</v>
      </c>
      <c r="K489" t="s">
        <v>96</v>
      </c>
      <c r="L489" t="s">
        <v>59</v>
      </c>
      <c r="M489">
        <v>49</v>
      </c>
      <c r="N489" t="b">
        <v>1</v>
      </c>
      <c r="O489">
        <v>0.75975359342915805</v>
      </c>
      <c r="P489">
        <v>0.71984435797665369</v>
      </c>
      <c r="Q489">
        <v>0.80434782608695654</v>
      </c>
      <c r="R489" t="s">
        <v>60</v>
      </c>
      <c r="S489" t="s">
        <v>1403</v>
      </c>
      <c r="T489" t="s">
        <v>1404</v>
      </c>
      <c r="U489" t="b">
        <v>1</v>
      </c>
      <c r="V489" t="s">
        <v>63</v>
      </c>
      <c r="W489">
        <v>1.7</v>
      </c>
    </row>
    <row r="490" spans="1:23" hidden="1" x14ac:dyDescent="0.3">
      <c r="A490" t="s">
        <v>52</v>
      </c>
      <c r="B490" t="s">
        <v>53</v>
      </c>
      <c r="C490" t="s">
        <v>17</v>
      </c>
      <c r="D490" t="s">
        <v>26</v>
      </c>
      <c r="E490" t="s">
        <v>27</v>
      </c>
      <c r="F490" t="s">
        <v>54</v>
      </c>
      <c r="G490" t="s">
        <v>99</v>
      </c>
      <c r="H490" t="s">
        <v>56</v>
      </c>
      <c r="I490" t="s">
        <v>7</v>
      </c>
      <c r="J490" t="s">
        <v>100</v>
      </c>
      <c r="K490" t="s">
        <v>101</v>
      </c>
      <c r="L490" t="s">
        <v>59</v>
      </c>
      <c r="M490">
        <v>50</v>
      </c>
      <c r="N490" t="b">
        <v>1</v>
      </c>
      <c r="O490">
        <v>0.76446280991735549</v>
      </c>
      <c r="P490">
        <v>0.72834645669291342</v>
      </c>
      <c r="Q490">
        <v>0.80434782608695654</v>
      </c>
      <c r="R490" t="s">
        <v>60</v>
      </c>
      <c r="S490" t="s">
        <v>1405</v>
      </c>
      <c r="T490" t="s">
        <v>1406</v>
      </c>
      <c r="U490" t="b">
        <v>1</v>
      </c>
      <c r="V490" t="s">
        <v>63</v>
      </c>
      <c r="W490">
        <v>1.3</v>
      </c>
    </row>
    <row r="491" spans="1:23" hidden="1" x14ac:dyDescent="0.3">
      <c r="A491" t="s">
        <v>52</v>
      </c>
      <c r="B491" t="s">
        <v>53</v>
      </c>
      <c r="C491" t="s">
        <v>17</v>
      </c>
      <c r="D491" t="s">
        <v>26</v>
      </c>
      <c r="E491" t="s">
        <v>27</v>
      </c>
      <c r="F491" t="s">
        <v>54</v>
      </c>
      <c r="G491" t="s">
        <v>104</v>
      </c>
      <c r="H491" t="s">
        <v>56</v>
      </c>
      <c r="I491" t="s">
        <v>7</v>
      </c>
      <c r="J491" t="s">
        <v>105</v>
      </c>
      <c r="K491" t="s">
        <v>106</v>
      </c>
      <c r="L491" t="s">
        <v>59</v>
      </c>
      <c r="M491">
        <v>51</v>
      </c>
      <c r="N491" t="b">
        <v>1</v>
      </c>
      <c r="O491">
        <v>0.77350427350427342</v>
      </c>
      <c r="P491">
        <v>0.76050420168067223</v>
      </c>
      <c r="Q491">
        <v>0.78695652173913044</v>
      </c>
      <c r="R491" t="s">
        <v>60</v>
      </c>
      <c r="S491" t="s">
        <v>1407</v>
      </c>
      <c r="T491" t="s">
        <v>1408</v>
      </c>
      <c r="U491" t="b">
        <v>1</v>
      </c>
      <c r="V491" t="s">
        <v>63</v>
      </c>
      <c r="W491">
        <v>1.3</v>
      </c>
    </row>
    <row r="492" spans="1:23" hidden="1" x14ac:dyDescent="0.3">
      <c r="A492" t="s">
        <v>52</v>
      </c>
      <c r="B492" t="s">
        <v>53</v>
      </c>
      <c r="C492" t="s">
        <v>17</v>
      </c>
      <c r="D492" t="s">
        <v>26</v>
      </c>
      <c r="E492" t="s">
        <v>27</v>
      </c>
      <c r="F492" t="s">
        <v>54</v>
      </c>
      <c r="G492" t="s">
        <v>109</v>
      </c>
      <c r="H492" t="s">
        <v>56</v>
      </c>
      <c r="I492" t="s">
        <v>7</v>
      </c>
      <c r="J492" t="s">
        <v>110</v>
      </c>
      <c r="K492" t="s">
        <v>111</v>
      </c>
      <c r="L492" t="s">
        <v>59</v>
      </c>
      <c r="M492">
        <v>52</v>
      </c>
      <c r="N492" t="b">
        <v>1</v>
      </c>
      <c r="O492">
        <v>0.7634854771784233</v>
      </c>
      <c r="P492">
        <v>0.73015873015873012</v>
      </c>
      <c r="Q492">
        <v>0.8</v>
      </c>
      <c r="R492" t="s">
        <v>60</v>
      </c>
      <c r="S492" t="s">
        <v>1409</v>
      </c>
      <c r="T492" t="s">
        <v>1410</v>
      </c>
      <c r="U492" t="b">
        <v>1</v>
      </c>
      <c r="V492" t="s">
        <v>63</v>
      </c>
      <c r="W492">
        <v>1.7</v>
      </c>
    </row>
    <row r="493" spans="1:23" hidden="1" x14ac:dyDescent="0.3">
      <c r="A493" t="s">
        <v>52</v>
      </c>
      <c r="B493" t="s">
        <v>53</v>
      </c>
      <c r="C493" t="s">
        <v>17</v>
      </c>
      <c r="D493" t="s">
        <v>26</v>
      </c>
      <c r="E493" t="s">
        <v>27</v>
      </c>
      <c r="F493" t="s">
        <v>54</v>
      </c>
      <c r="G493" t="s">
        <v>114</v>
      </c>
      <c r="H493" t="s">
        <v>56</v>
      </c>
      <c r="I493" t="s">
        <v>7</v>
      </c>
      <c r="J493" t="s">
        <v>115</v>
      </c>
      <c r="K493" t="s">
        <v>116</v>
      </c>
      <c r="L493" t="s">
        <v>59</v>
      </c>
      <c r="M493">
        <v>53</v>
      </c>
      <c r="N493" t="b">
        <v>1</v>
      </c>
      <c r="O493">
        <v>0.75000000000000011</v>
      </c>
      <c r="P493">
        <v>0.70930232558139539</v>
      </c>
      <c r="Q493">
        <v>0.79565217391304344</v>
      </c>
      <c r="R493" t="s">
        <v>60</v>
      </c>
      <c r="S493" t="s">
        <v>1411</v>
      </c>
      <c r="T493" t="s">
        <v>1412</v>
      </c>
      <c r="U493" t="b">
        <v>1</v>
      </c>
      <c r="V493" t="s">
        <v>63</v>
      </c>
      <c r="W493">
        <v>1.3</v>
      </c>
    </row>
    <row r="494" spans="1:23" hidden="1" x14ac:dyDescent="0.3">
      <c r="A494" t="s">
        <v>52</v>
      </c>
      <c r="B494" t="s">
        <v>53</v>
      </c>
      <c r="C494" t="s">
        <v>17</v>
      </c>
      <c r="D494" t="s">
        <v>26</v>
      </c>
      <c r="E494" t="s">
        <v>27</v>
      </c>
      <c r="F494" t="s">
        <v>54</v>
      </c>
      <c r="G494" t="s">
        <v>119</v>
      </c>
      <c r="H494" t="s">
        <v>56</v>
      </c>
      <c r="I494" t="s">
        <v>7</v>
      </c>
      <c r="J494" t="s">
        <v>120</v>
      </c>
      <c r="K494" t="s">
        <v>121</v>
      </c>
      <c r="L494" t="s">
        <v>59</v>
      </c>
      <c r="M494">
        <v>54</v>
      </c>
      <c r="N494" t="b">
        <v>1</v>
      </c>
      <c r="O494">
        <v>0.7583333333333333</v>
      </c>
      <c r="P494">
        <v>0.72799999999999998</v>
      </c>
      <c r="Q494">
        <v>0.79130434782608694</v>
      </c>
      <c r="R494" t="s">
        <v>60</v>
      </c>
      <c r="S494" t="s">
        <v>1413</v>
      </c>
      <c r="T494" t="s">
        <v>1414</v>
      </c>
      <c r="U494" t="b">
        <v>1</v>
      </c>
      <c r="V494" t="s">
        <v>63</v>
      </c>
      <c r="W494">
        <v>1.3</v>
      </c>
    </row>
    <row r="495" spans="1:23" hidden="1" x14ac:dyDescent="0.3">
      <c r="A495" t="s">
        <v>52</v>
      </c>
      <c r="B495" t="s">
        <v>53</v>
      </c>
      <c r="C495" t="s">
        <v>17</v>
      </c>
      <c r="D495" t="s">
        <v>26</v>
      </c>
      <c r="E495" t="s">
        <v>27</v>
      </c>
      <c r="F495" t="s">
        <v>54</v>
      </c>
      <c r="G495" t="s">
        <v>124</v>
      </c>
      <c r="H495" t="s">
        <v>56</v>
      </c>
      <c r="I495" t="s">
        <v>7</v>
      </c>
      <c r="J495" t="s">
        <v>125</v>
      </c>
      <c r="K495" t="s">
        <v>126</v>
      </c>
      <c r="L495" t="s">
        <v>59</v>
      </c>
      <c r="M495">
        <v>55</v>
      </c>
      <c r="N495" t="b">
        <v>1</v>
      </c>
      <c r="O495">
        <v>0.77310924369747902</v>
      </c>
      <c r="P495">
        <v>0.74796747967479671</v>
      </c>
      <c r="Q495">
        <v>0.8</v>
      </c>
      <c r="R495" t="s">
        <v>60</v>
      </c>
      <c r="S495" t="s">
        <v>1415</v>
      </c>
      <c r="T495" t="s">
        <v>1416</v>
      </c>
      <c r="U495" t="b">
        <v>1</v>
      </c>
      <c r="V495" t="s">
        <v>63</v>
      </c>
      <c r="W495">
        <v>1.7</v>
      </c>
    </row>
    <row r="496" spans="1:23" hidden="1" x14ac:dyDescent="0.3">
      <c r="A496" t="s">
        <v>52</v>
      </c>
      <c r="B496" t="s">
        <v>53</v>
      </c>
      <c r="C496" t="s">
        <v>17</v>
      </c>
      <c r="D496" t="s">
        <v>26</v>
      </c>
      <c r="E496" t="s">
        <v>27</v>
      </c>
      <c r="F496" t="s">
        <v>54</v>
      </c>
      <c r="G496" t="s">
        <v>129</v>
      </c>
      <c r="H496" t="s">
        <v>56</v>
      </c>
      <c r="I496" t="s">
        <v>7</v>
      </c>
      <c r="J496" t="s">
        <v>130</v>
      </c>
      <c r="K496" t="s">
        <v>131</v>
      </c>
      <c r="L496" t="s">
        <v>59</v>
      </c>
      <c r="M496">
        <v>56</v>
      </c>
      <c r="N496" t="b">
        <v>1</v>
      </c>
      <c r="O496">
        <v>0.78260869565217395</v>
      </c>
      <c r="P496">
        <v>0.74703557312252966</v>
      </c>
      <c r="Q496">
        <v>0.82173913043478264</v>
      </c>
      <c r="R496" t="s">
        <v>60</v>
      </c>
      <c r="S496" t="s">
        <v>1417</v>
      </c>
      <c r="T496" t="s">
        <v>1418</v>
      </c>
      <c r="U496" t="b">
        <v>1</v>
      </c>
      <c r="V496" t="s">
        <v>63</v>
      </c>
      <c r="W496">
        <v>1.3</v>
      </c>
    </row>
    <row r="497" spans="1:23" hidden="1" x14ac:dyDescent="0.3">
      <c r="A497" t="s">
        <v>52</v>
      </c>
      <c r="B497" t="s">
        <v>53</v>
      </c>
      <c r="C497" t="s">
        <v>17</v>
      </c>
      <c r="D497" t="s">
        <v>26</v>
      </c>
      <c r="E497" t="s">
        <v>27</v>
      </c>
      <c r="F497" t="s">
        <v>54</v>
      </c>
      <c r="G497" t="s">
        <v>134</v>
      </c>
      <c r="H497" t="s">
        <v>56</v>
      </c>
      <c r="I497" t="s">
        <v>7</v>
      </c>
      <c r="J497" t="s">
        <v>135</v>
      </c>
      <c r="K497" t="s">
        <v>136</v>
      </c>
      <c r="L497" t="s">
        <v>59</v>
      </c>
      <c r="M497">
        <v>57</v>
      </c>
      <c r="N497" t="b">
        <v>1</v>
      </c>
      <c r="O497">
        <v>0.75619834710743794</v>
      </c>
      <c r="P497">
        <v>0.72047244094488194</v>
      </c>
      <c r="Q497">
        <v>0.79565217391304344</v>
      </c>
      <c r="R497" t="s">
        <v>60</v>
      </c>
      <c r="S497" t="s">
        <v>1419</v>
      </c>
      <c r="T497" t="s">
        <v>1420</v>
      </c>
      <c r="U497" t="b">
        <v>1</v>
      </c>
      <c r="V497" t="s">
        <v>63</v>
      </c>
      <c r="W497">
        <v>1.3</v>
      </c>
    </row>
    <row r="498" spans="1:23" hidden="1" x14ac:dyDescent="0.3">
      <c r="A498" t="s">
        <v>52</v>
      </c>
      <c r="B498" t="s">
        <v>53</v>
      </c>
      <c r="C498" t="s">
        <v>17</v>
      </c>
      <c r="D498" t="s">
        <v>26</v>
      </c>
      <c r="E498" t="s">
        <v>27</v>
      </c>
      <c r="F498" t="s">
        <v>54</v>
      </c>
      <c r="G498" t="s">
        <v>139</v>
      </c>
      <c r="H498" t="s">
        <v>56</v>
      </c>
      <c r="I498" t="s">
        <v>7</v>
      </c>
      <c r="J498" t="s">
        <v>140</v>
      </c>
      <c r="K498" t="s">
        <v>141</v>
      </c>
      <c r="L498" t="s">
        <v>59</v>
      </c>
      <c r="M498">
        <v>58</v>
      </c>
      <c r="N498" t="b">
        <v>1</v>
      </c>
      <c r="O498">
        <v>0.76016260162601623</v>
      </c>
      <c r="P498">
        <v>0.7137404580152672</v>
      </c>
      <c r="Q498">
        <v>0.81304347826086953</v>
      </c>
      <c r="R498" t="s">
        <v>60</v>
      </c>
      <c r="S498" t="s">
        <v>1421</v>
      </c>
      <c r="T498" t="s">
        <v>1422</v>
      </c>
      <c r="U498" t="b">
        <v>1</v>
      </c>
      <c r="V498" t="s">
        <v>63</v>
      </c>
      <c r="W498">
        <v>1.7</v>
      </c>
    </row>
    <row r="499" spans="1:23" hidden="1" x14ac:dyDescent="0.3">
      <c r="A499" t="s">
        <v>52</v>
      </c>
      <c r="B499" t="s">
        <v>53</v>
      </c>
      <c r="C499" t="s">
        <v>17</v>
      </c>
      <c r="D499" t="s">
        <v>26</v>
      </c>
      <c r="E499" t="s">
        <v>27</v>
      </c>
      <c r="F499" t="s">
        <v>54</v>
      </c>
      <c r="G499" t="s">
        <v>144</v>
      </c>
      <c r="H499" t="s">
        <v>56</v>
      </c>
      <c r="I499" t="s">
        <v>7</v>
      </c>
      <c r="J499" t="s">
        <v>145</v>
      </c>
      <c r="K499" t="s">
        <v>146</v>
      </c>
      <c r="L499" t="s">
        <v>59</v>
      </c>
      <c r="M499">
        <v>59</v>
      </c>
      <c r="N499" t="b">
        <v>1</v>
      </c>
      <c r="O499">
        <v>0.78586278586278591</v>
      </c>
      <c r="P499">
        <v>0.75298804780876494</v>
      </c>
      <c r="Q499">
        <v>0.82173913043478264</v>
      </c>
      <c r="R499" t="s">
        <v>60</v>
      </c>
      <c r="S499" t="s">
        <v>1423</v>
      </c>
      <c r="T499" t="s">
        <v>1424</v>
      </c>
      <c r="U499" t="b">
        <v>1</v>
      </c>
      <c r="V499" t="s">
        <v>63</v>
      </c>
      <c r="W499">
        <v>1.3</v>
      </c>
    </row>
    <row r="500" spans="1:23" hidden="1" x14ac:dyDescent="0.3">
      <c r="A500" t="s">
        <v>52</v>
      </c>
      <c r="B500" t="s">
        <v>53</v>
      </c>
      <c r="C500" t="s">
        <v>17</v>
      </c>
      <c r="D500" t="s">
        <v>26</v>
      </c>
      <c r="E500" t="s">
        <v>27</v>
      </c>
      <c r="F500" t="s">
        <v>54</v>
      </c>
      <c r="G500" t="s">
        <v>149</v>
      </c>
      <c r="H500" t="s">
        <v>56</v>
      </c>
      <c r="I500" t="s">
        <v>7</v>
      </c>
      <c r="J500" t="s">
        <v>150</v>
      </c>
      <c r="K500" t="s">
        <v>151</v>
      </c>
      <c r="L500" t="s">
        <v>59</v>
      </c>
      <c r="M500">
        <v>60</v>
      </c>
      <c r="N500" t="b">
        <v>1</v>
      </c>
      <c r="O500">
        <v>0.75103734439834025</v>
      </c>
      <c r="P500">
        <v>0.71825396825396826</v>
      </c>
      <c r="Q500">
        <v>0.78695652173913044</v>
      </c>
      <c r="R500" t="s">
        <v>60</v>
      </c>
      <c r="S500" t="s">
        <v>1425</v>
      </c>
      <c r="T500" t="s">
        <v>1426</v>
      </c>
      <c r="U500" t="b">
        <v>1</v>
      </c>
      <c r="V500" t="s">
        <v>63</v>
      </c>
      <c r="W500">
        <v>1.3</v>
      </c>
    </row>
    <row r="501" spans="1:23" hidden="1" x14ac:dyDescent="0.3">
      <c r="A501" t="s">
        <v>52</v>
      </c>
      <c r="B501" t="s">
        <v>53</v>
      </c>
      <c r="C501" t="s">
        <v>17</v>
      </c>
      <c r="D501" t="s">
        <v>26</v>
      </c>
      <c r="E501" t="s">
        <v>27</v>
      </c>
      <c r="F501" t="s">
        <v>54</v>
      </c>
      <c r="G501" t="s">
        <v>154</v>
      </c>
      <c r="H501" t="s">
        <v>56</v>
      </c>
      <c r="I501" t="s">
        <v>7</v>
      </c>
      <c r="J501" t="s">
        <v>155</v>
      </c>
      <c r="K501" t="s">
        <v>156</v>
      </c>
      <c r="L501" t="s">
        <v>59</v>
      </c>
      <c r="M501">
        <v>61</v>
      </c>
      <c r="N501" t="b">
        <v>1</v>
      </c>
      <c r="O501">
        <v>0.75052410901467514</v>
      </c>
      <c r="P501">
        <v>0.7246963562753036</v>
      </c>
      <c r="Q501">
        <v>0.77826086956521734</v>
      </c>
      <c r="R501" t="s">
        <v>60</v>
      </c>
      <c r="S501" t="s">
        <v>1427</v>
      </c>
      <c r="T501" t="s">
        <v>1428</v>
      </c>
      <c r="U501" t="b">
        <v>1</v>
      </c>
      <c r="V501" t="s">
        <v>63</v>
      </c>
      <c r="W501">
        <v>1.7</v>
      </c>
    </row>
    <row r="502" spans="1:23" hidden="1" x14ac:dyDescent="0.3">
      <c r="A502" t="s">
        <v>52</v>
      </c>
      <c r="B502" t="s">
        <v>53</v>
      </c>
      <c r="C502" t="s">
        <v>17</v>
      </c>
      <c r="D502" t="s">
        <v>26</v>
      </c>
      <c r="E502" t="s">
        <v>27</v>
      </c>
      <c r="F502" t="s">
        <v>54</v>
      </c>
      <c r="G502" t="s">
        <v>159</v>
      </c>
      <c r="H502" t="s">
        <v>160</v>
      </c>
      <c r="I502" t="s">
        <v>3</v>
      </c>
      <c r="J502" t="s">
        <v>161</v>
      </c>
      <c r="K502" t="s">
        <v>162</v>
      </c>
      <c r="L502" t="s">
        <v>163</v>
      </c>
      <c r="M502">
        <v>42</v>
      </c>
      <c r="N502" t="b">
        <v>0</v>
      </c>
      <c r="O502">
        <v>0.82857142857142851</v>
      </c>
      <c r="P502">
        <v>0.80110497237569056</v>
      </c>
      <c r="Q502">
        <v>0.85798816568047342</v>
      </c>
      <c r="R502" t="s">
        <v>60</v>
      </c>
      <c r="S502" t="s">
        <v>1429</v>
      </c>
      <c r="T502" t="s">
        <v>1430</v>
      </c>
      <c r="U502" t="b">
        <v>1</v>
      </c>
      <c r="V502" t="s">
        <v>63</v>
      </c>
      <c r="W502">
        <v>1.1000000000000001</v>
      </c>
    </row>
    <row r="503" spans="1:23" hidden="1" x14ac:dyDescent="0.3">
      <c r="A503" t="s">
        <v>52</v>
      </c>
      <c r="B503" t="s">
        <v>53</v>
      </c>
      <c r="C503" t="s">
        <v>17</v>
      </c>
      <c r="D503" t="s">
        <v>26</v>
      </c>
      <c r="E503" t="s">
        <v>27</v>
      </c>
      <c r="F503" t="s">
        <v>54</v>
      </c>
      <c r="G503" t="s">
        <v>166</v>
      </c>
      <c r="H503" t="s">
        <v>160</v>
      </c>
      <c r="I503" t="s">
        <v>3</v>
      </c>
      <c r="J503" t="s">
        <v>167</v>
      </c>
      <c r="K503" t="s">
        <v>168</v>
      </c>
      <c r="L503" t="s">
        <v>163</v>
      </c>
      <c r="M503">
        <v>43</v>
      </c>
      <c r="N503" t="b">
        <v>0</v>
      </c>
      <c r="O503">
        <v>0.81714285714285706</v>
      </c>
      <c r="P503">
        <v>0.79005524861878451</v>
      </c>
      <c r="Q503">
        <v>0.84615384615384615</v>
      </c>
      <c r="R503" t="s">
        <v>60</v>
      </c>
      <c r="S503" t="s">
        <v>1431</v>
      </c>
      <c r="T503" t="s">
        <v>1432</v>
      </c>
      <c r="U503" t="b">
        <v>1</v>
      </c>
      <c r="V503" t="s">
        <v>63</v>
      </c>
      <c r="W503">
        <v>1.2</v>
      </c>
    </row>
    <row r="504" spans="1:23" hidden="1" x14ac:dyDescent="0.3">
      <c r="A504" t="s">
        <v>52</v>
      </c>
      <c r="B504" t="s">
        <v>53</v>
      </c>
      <c r="C504" t="s">
        <v>17</v>
      </c>
      <c r="D504" t="s">
        <v>26</v>
      </c>
      <c r="E504" t="s">
        <v>27</v>
      </c>
      <c r="F504" t="s">
        <v>54</v>
      </c>
      <c r="G504" t="s">
        <v>171</v>
      </c>
      <c r="H504" t="s">
        <v>160</v>
      </c>
      <c r="I504" t="s">
        <v>3</v>
      </c>
      <c r="J504" t="s">
        <v>172</v>
      </c>
      <c r="K504" t="s">
        <v>173</v>
      </c>
      <c r="L504" t="s">
        <v>163</v>
      </c>
      <c r="M504">
        <v>44</v>
      </c>
      <c r="N504" t="b">
        <v>0</v>
      </c>
      <c r="O504">
        <v>0.79436619718309853</v>
      </c>
      <c r="P504">
        <v>0.75806451612903225</v>
      </c>
      <c r="Q504">
        <v>0.83431952662721898</v>
      </c>
      <c r="R504" t="s">
        <v>60</v>
      </c>
      <c r="S504" t="s">
        <v>1433</v>
      </c>
      <c r="T504" t="s">
        <v>1434</v>
      </c>
      <c r="U504" t="b">
        <v>1</v>
      </c>
      <c r="V504" t="s">
        <v>63</v>
      </c>
      <c r="W504">
        <v>1.5</v>
      </c>
    </row>
    <row r="505" spans="1:23" hidden="1" x14ac:dyDescent="0.3">
      <c r="A505" t="s">
        <v>52</v>
      </c>
      <c r="B505" t="s">
        <v>53</v>
      </c>
      <c r="C505" t="s">
        <v>17</v>
      </c>
      <c r="D505" t="s">
        <v>26</v>
      </c>
      <c r="E505" t="s">
        <v>27</v>
      </c>
      <c r="F505" t="s">
        <v>54</v>
      </c>
      <c r="G505" t="s">
        <v>176</v>
      </c>
      <c r="H505" t="s">
        <v>160</v>
      </c>
      <c r="I505" t="s">
        <v>3</v>
      </c>
      <c r="J505" t="s">
        <v>177</v>
      </c>
      <c r="K505" t="s">
        <v>178</v>
      </c>
      <c r="L505" t="s">
        <v>163</v>
      </c>
      <c r="M505">
        <v>45</v>
      </c>
      <c r="N505" t="b">
        <v>0</v>
      </c>
      <c r="O505">
        <v>0.83286118980169965</v>
      </c>
      <c r="P505">
        <v>0.79891304347826086</v>
      </c>
      <c r="Q505">
        <v>0.86982248520710059</v>
      </c>
      <c r="R505" t="s">
        <v>60</v>
      </c>
      <c r="S505" t="s">
        <v>1435</v>
      </c>
      <c r="T505" t="s">
        <v>1436</v>
      </c>
      <c r="U505" t="b">
        <v>1</v>
      </c>
      <c r="V505" t="s">
        <v>63</v>
      </c>
      <c r="W505">
        <v>1.2</v>
      </c>
    </row>
    <row r="506" spans="1:23" hidden="1" x14ac:dyDescent="0.3">
      <c r="A506" t="s">
        <v>52</v>
      </c>
      <c r="B506" t="s">
        <v>53</v>
      </c>
      <c r="C506" t="s">
        <v>17</v>
      </c>
      <c r="D506" t="s">
        <v>26</v>
      </c>
      <c r="E506" t="s">
        <v>27</v>
      </c>
      <c r="F506" t="s">
        <v>54</v>
      </c>
      <c r="G506" t="s">
        <v>181</v>
      </c>
      <c r="H506" t="s">
        <v>160</v>
      </c>
      <c r="I506" t="s">
        <v>3</v>
      </c>
      <c r="J506" t="s">
        <v>182</v>
      </c>
      <c r="K506" t="s">
        <v>183</v>
      </c>
      <c r="L506" t="s">
        <v>163</v>
      </c>
      <c r="M506">
        <v>46</v>
      </c>
      <c r="N506" t="b">
        <v>0</v>
      </c>
      <c r="O506">
        <v>0.81019830028328621</v>
      </c>
      <c r="P506">
        <v>0.77717391304347827</v>
      </c>
      <c r="Q506">
        <v>0.84615384615384615</v>
      </c>
      <c r="R506" t="s">
        <v>60</v>
      </c>
      <c r="S506" t="s">
        <v>1437</v>
      </c>
      <c r="T506" t="s">
        <v>1438</v>
      </c>
      <c r="U506" t="b">
        <v>1</v>
      </c>
      <c r="V506" t="s">
        <v>63</v>
      </c>
      <c r="W506">
        <v>1.2</v>
      </c>
    </row>
    <row r="507" spans="1:23" hidden="1" x14ac:dyDescent="0.3">
      <c r="A507" t="s">
        <v>52</v>
      </c>
      <c r="B507" t="s">
        <v>53</v>
      </c>
      <c r="C507" t="s">
        <v>17</v>
      </c>
      <c r="D507" t="s">
        <v>26</v>
      </c>
      <c r="E507" t="s">
        <v>27</v>
      </c>
      <c r="F507" t="s">
        <v>54</v>
      </c>
      <c r="G507" t="s">
        <v>186</v>
      </c>
      <c r="H507" t="s">
        <v>160</v>
      </c>
      <c r="I507" t="s">
        <v>3</v>
      </c>
      <c r="J507" t="s">
        <v>187</v>
      </c>
      <c r="K507" t="s">
        <v>188</v>
      </c>
      <c r="L507" t="s">
        <v>163</v>
      </c>
      <c r="M507">
        <v>47</v>
      </c>
      <c r="N507" t="b">
        <v>0</v>
      </c>
      <c r="O507">
        <v>0.79772079772079774</v>
      </c>
      <c r="P507">
        <v>0.76923076923076927</v>
      </c>
      <c r="Q507">
        <v>0.82840236686390534</v>
      </c>
      <c r="R507" t="s">
        <v>60</v>
      </c>
      <c r="S507" t="s">
        <v>1439</v>
      </c>
      <c r="T507" t="s">
        <v>1440</v>
      </c>
      <c r="U507" t="b">
        <v>1</v>
      </c>
      <c r="V507" t="s">
        <v>63</v>
      </c>
      <c r="W507">
        <v>1.5</v>
      </c>
    </row>
    <row r="508" spans="1:23" hidden="1" x14ac:dyDescent="0.3">
      <c r="A508" t="s">
        <v>52</v>
      </c>
      <c r="B508" t="s">
        <v>53</v>
      </c>
      <c r="C508" t="s">
        <v>17</v>
      </c>
      <c r="D508" t="s">
        <v>26</v>
      </c>
      <c r="E508" t="s">
        <v>27</v>
      </c>
      <c r="F508" t="s">
        <v>54</v>
      </c>
      <c r="G508" t="s">
        <v>191</v>
      </c>
      <c r="H508" t="s">
        <v>160</v>
      </c>
      <c r="I508" t="s">
        <v>3</v>
      </c>
      <c r="J508" t="s">
        <v>192</v>
      </c>
      <c r="K508" t="s">
        <v>193</v>
      </c>
      <c r="L508" t="s">
        <v>163</v>
      </c>
      <c r="M508">
        <v>48</v>
      </c>
      <c r="N508" t="b">
        <v>0</v>
      </c>
      <c r="O508">
        <v>0.8089887640449438</v>
      </c>
      <c r="P508">
        <v>0.77005347593582885</v>
      </c>
      <c r="Q508">
        <v>0.85207100591715978</v>
      </c>
      <c r="R508" t="s">
        <v>60</v>
      </c>
      <c r="S508" t="s">
        <v>1441</v>
      </c>
      <c r="T508" t="s">
        <v>1442</v>
      </c>
      <c r="U508" t="b">
        <v>1</v>
      </c>
      <c r="V508" t="s">
        <v>63</v>
      </c>
      <c r="W508">
        <v>1.2</v>
      </c>
    </row>
    <row r="509" spans="1:23" hidden="1" x14ac:dyDescent="0.3">
      <c r="A509" t="s">
        <v>52</v>
      </c>
      <c r="B509" t="s">
        <v>53</v>
      </c>
      <c r="C509" t="s">
        <v>17</v>
      </c>
      <c r="D509" t="s">
        <v>26</v>
      </c>
      <c r="E509" t="s">
        <v>27</v>
      </c>
      <c r="F509" t="s">
        <v>54</v>
      </c>
      <c r="G509" t="s">
        <v>196</v>
      </c>
      <c r="H509" t="s">
        <v>160</v>
      </c>
      <c r="I509" t="s">
        <v>3</v>
      </c>
      <c r="J509" t="s">
        <v>197</v>
      </c>
      <c r="K509" t="s">
        <v>198</v>
      </c>
      <c r="L509" t="s">
        <v>163</v>
      </c>
      <c r="M509">
        <v>49</v>
      </c>
      <c r="N509" t="b">
        <v>0</v>
      </c>
      <c r="O509">
        <v>0.81818181818181823</v>
      </c>
      <c r="P509">
        <v>0.78688524590163933</v>
      </c>
      <c r="Q509">
        <v>0.85207100591715978</v>
      </c>
      <c r="R509" t="s">
        <v>60</v>
      </c>
      <c r="S509" t="s">
        <v>1443</v>
      </c>
      <c r="T509" t="s">
        <v>1444</v>
      </c>
      <c r="U509" t="b">
        <v>1</v>
      </c>
      <c r="V509" t="s">
        <v>63</v>
      </c>
      <c r="W509">
        <v>1.2</v>
      </c>
    </row>
    <row r="510" spans="1:23" hidden="1" x14ac:dyDescent="0.3">
      <c r="A510" t="s">
        <v>52</v>
      </c>
      <c r="B510" t="s">
        <v>53</v>
      </c>
      <c r="C510" t="s">
        <v>17</v>
      </c>
      <c r="D510" t="s">
        <v>26</v>
      </c>
      <c r="E510" t="s">
        <v>27</v>
      </c>
      <c r="F510" t="s">
        <v>54</v>
      </c>
      <c r="G510" t="s">
        <v>201</v>
      </c>
      <c r="H510" t="s">
        <v>160</v>
      </c>
      <c r="I510" t="s">
        <v>3</v>
      </c>
      <c r="J510" t="s">
        <v>202</v>
      </c>
      <c r="K510" t="s">
        <v>203</v>
      </c>
      <c r="L510" t="s">
        <v>163</v>
      </c>
      <c r="M510">
        <v>50</v>
      </c>
      <c r="N510" t="b">
        <v>0</v>
      </c>
      <c r="O510">
        <v>0.80681818181818177</v>
      </c>
      <c r="P510">
        <v>0.77595628415300544</v>
      </c>
      <c r="Q510">
        <v>0.84023668639053251</v>
      </c>
      <c r="R510" t="s">
        <v>60</v>
      </c>
      <c r="S510" t="s">
        <v>1445</v>
      </c>
      <c r="T510" t="s">
        <v>1446</v>
      </c>
      <c r="U510" t="b">
        <v>1</v>
      </c>
      <c r="V510" t="s">
        <v>63</v>
      </c>
      <c r="W510">
        <v>1.1000000000000001</v>
      </c>
    </row>
    <row r="511" spans="1:23" hidden="1" x14ac:dyDescent="0.3">
      <c r="A511" t="s">
        <v>52</v>
      </c>
      <c r="B511" t="s">
        <v>53</v>
      </c>
      <c r="C511" t="s">
        <v>17</v>
      </c>
      <c r="D511" t="s">
        <v>26</v>
      </c>
      <c r="E511" t="s">
        <v>27</v>
      </c>
      <c r="F511" t="s">
        <v>54</v>
      </c>
      <c r="G511" t="s">
        <v>206</v>
      </c>
      <c r="H511" t="s">
        <v>160</v>
      </c>
      <c r="I511" t="s">
        <v>3</v>
      </c>
      <c r="J511" t="s">
        <v>207</v>
      </c>
      <c r="K511" t="s">
        <v>208</v>
      </c>
      <c r="L511" t="s">
        <v>163</v>
      </c>
      <c r="M511">
        <v>51</v>
      </c>
      <c r="N511" t="b">
        <v>0</v>
      </c>
      <c r="O511">
        <v>0.8192090395480226</v>
      </c>
      <c r="P511">
        <v>0.78378378378378377</v>
      </c>
      <c r="Q511">
        <v>0.85798816568047342</v>
      </c>
      <c r="R511" t="s">
        <v>60</v>
      </c>
      <c r="S511" t="s">
        <v>1447</v>
      </c>
      <c r="T511" t="s">
        <v>1448</v>
      </c>
      <c r="U511" t="b">
        <v>1</v>
      </c>
      <c r="V511" t="s">
        <v>63</v>
      </c>
      <c r="W511">
        <v>1.5</v>
      </c>
    </row>
    <row r="512" spans="1:23" hidden="1" x14ac:dyDescent="0.3">
      <c r="A512" t="s">
        <v>52</v>
      </c>
      <c r="B512" t="s">
        <v>53</v>
      </c>
      <c r="C512" t="s">
        <v>17</v>
      </c>
      <c r="D512" t="s">
        <v>26</v>
      </c>
      <c r="E512" t="s">
        <v>27</v>
      </c>
      <c r="F512" t="s">
        <v>54</v>
      </c>
      <c r="G512" t="s">
        <v>211</v>
      </c>
      <c r="H512" t="s">
        <v>160</v>
      </c>
      <c r="I512" t="s">
        <v>3</v>
      </c>
      <c r="J512" t="s">
        <v>212</v>
      </c>
      <c r="K512" t="s">
        <v>213</v>
      </c>
      <c r="L512" t="s">
        <v>163</v>
      </c>
      <c r="M512">
        <v>52</v>
      </c>
      <c r="N512" t="b">
        <v>0</v>
      </c>
      <c r="O512">
        <v>0.82152974504249288</v>
      </c>
      <c r="P512">
        <v>0.78804347826086951</v>
      </c>
      <c r="Q512">
        <v>0.85798816568047342</v>
      </c>
      <c r="R512" t="s">
        <v>60</v>
      </c>
      <c r="S512" t="s">
        <v>1449</v>
      </c>
      <c r="T512" t="s">
        <v>1450</v>
      </c>
      <c r="U512" t="b">
        <v>1</v>
      </c>
      <c r="V512" t="s">
        <v>63</v>
      </c>
      <c r="W512">
        <v>1.2</v>
      </c>
    </row>
    <row r="513" spans="1:23" hidden="1" x14ac:dyDescent="0.3">
      <c r="A513" t="s">
        <v>52</v>
      </c>
      <c r="B513" t="s">
        <v>53</v>
      </c>
      <c r="C513" t="s">
        <v>17</v>
      </c>
      <c r="D513" t="s">
        <v>26</v>
      </c>
      <c r="E513" t="s">
        <v>27</v>
      </c>
      <c r="F513" t="s">
        <v>54</v>
      </c>
      <c r="G513" t="s">
        <v>216</v>
      </c>
      <c r="H513" t="s">
        <v>160</v>
      </c>
      <c r="I513" t="s">
        <v>3</v>
      </c>
      <c r="J513" t="s">
        <v>217</v>
      </c>
      <c r="K513" t="s">
        <v>218</v>
      </c>
      <c r="L513" t="s">
        <v>163</v>
      </c>
      <c r="M513">
        <v>53</v>
      </c>
      <c r="N513" t="b">
        <v>0</v>
      </c>
      <c r="O513">
        <v>0.81395348837209303</v>
      </c>
      <c r="P513">
        <v>0.8</v>
      </c>
      <c r="Q513">
        <v>0.82840236686390534</v>
      </c>
      <c r="R513" t="s">
        <v>60</v>
      </c>
      <c r="S513" t="s">
        <v>1451</v>
      </c>
      <c r="T513" t="s">
        <v>1452</v>
      </c>
      <c r="U513" t="b">
        <v>1</v>
      </c>
      <c r="V513" t="s">
        <v>63</v>
      </c>
      <c r="W513">
        <v>1.1000000000000001</v>
      </c>
    </row>
    <row r="514" spans="1:23" hidden="1" x14ac:dyDescent="0.3">
      <c r="A514" t="s">
        <v>52</v>
      </c>
      <c r="B514" t="s">
        <v>53</v>
      </c>
      <c r="C514" t="s">
        <v>17</v>
      </c>
      <c r="D514" t="s">
        <v>26</v>
      </c>
      <c r="E514" t="s">
        <v>27</v>
      </c>
      <c r="F514" t="s">
        <v>54</v>
      </c>
      <c r="G514" t="s">
        <v>221</v>
      </c>
      <c r="H514" t="s">
        <v>160</v>
      </c>
      <c r="I514" t="s">
        <v>3</v>
      </c>
      <c r="J514" t="s">
        <v>222</v>
      </c>
      <c r="K514" t="s">
        <v>223</v>
      </c>
      <c r="L514" t="s">
        <v>163</v>
      </c>
      <c r="M514">
        <v>54</v>
      </c>
      <c r="N514" t="b">
        <v>0</v>
      </c>
      <c r="O514">
        <v>0.79436619718309853</v>
      </c>
      <c r="P514">
        <v>0.75806451612903225</v>
      </c>
      <c r="Q514">
        <v>0.83431952662721898</v>
      </c>
      <c r="R514" t="s">
        <v>60</v>
      </c>
      <c r="S514" t="s">
        <v>1453</v>
      </c>
      <c r="T514" t="s">
        <v>1454</v>
      </c>
      <c r="U514" t="b">
        <v>1</v>
      </c>
      <c r="V514" t="s">
        <v>63</v>
      </c>
      <c r="W514">
        <v>1.6</v>
      </c>
    </row>
    <row r="515" spans="1:23" hidden="1" x14ac:dyDescent="0.3">
      <c r="A515" t="s">
        <v>52</v>
      </c>
      <c r="B515" t="s">
        <v>53</v>
      </c>
      <c r="C515" t="s">
        <v>17</v>
      </c>
      <c r="D515" t="s">
        <v>26</v>
      </c>
      <c r="E515" t="s">
        <v>27</v>
      </c>
      <c r="F515" t="s">
        <v>54</v>
      </c>
      <c r="G515" t="s">
        <v>226</v>
      </c>
      <c r="H515" t="s">
        <v>160</v>
      </c>
      <c r="I515" t="s">
        <v>3</v>
      </c>
      <c r="J515" t="s">
        <v>227</v>
      </c>
      <c r="K515" t="s">
        <v>228</v>
      </c>
      <c r="L515" t="s">
        <v>163</v>
      </c>
      <c r="M515">
        <v>55</v>
      </c>
      <c r="N515" t="b">
        <v>0</v>
      </c>
      <c r="O515">
        <v>0.7921348314606742</v>
      </c>
      <c r="P515">
        <v>0.75401069518716579</v>
      </c>
      <c r="Q515">
        <v>0.83431952662721898</v>
      </c>
      <c r="R515" t="s">
        <v>60</v>
      </c>
      <c r="S515" t="s">
        <v>1455</v>
      </c>
      <c r="T515" t="s">
        <v>1456</v>
      </c>
      <c r="U515" t="b">
        <v>1</v>
      </c>
      <c r="V515" t="s">
        <v>63</v>
      </c>
      <c r="W515">
        <v>1.2</v>
      </c>
    </row>
    <row r="516" spans="1:23" hidden="1" x14ac:dyDescent="0.3">
      <c r="A516" t="s">
        <v>52</v>
      </c>
      <c r="B516" t="s">
        <v>53</v>
      </c>
      <c r="C516" t="s">
        <v>17</v>
      </c>
      <c r="D516" t="s">
        <v>26</v>
      </c>
      <c r="E516" t="s">
        <v>27</v>
      </c>
      <c r="F516" t="s">
        <v>54</v>
      </c>
      <c r="G516" t="s">
        <v>231</v>
      </c>
      <c r="H516" t="s">
        <v>160</v>
      </c>
      <c r="I516" t="s">
        <v>3</v>
      </c>
      <c r="J516" t="s">
        <v>232</v>
      </c>
      <c r="K516" t="s">
        <v>233</v>
      </c>
      <c r="L516" t="s">
        <v>163</v>
      </c>
      <c r="M516">
        <v>56</v>
      </c>
      <c r="N516" t="b">
        <v>0</v>
      </c>
      <c r="O516">
        <v>0.80341880341880345</v>
      </c>
      <c r="P516">
        <v>0.77472527472527475</v>
      </c>
      <c r="Q516">
        <v>0.83431952662721898</v>
      </c>
      <c r="R516" t="s">
        <v>60</v>
      </c>
      <c r="S516" t="s">
        <v>1457</v>
      </c>
      <c r="T516" t="s">
        <v>1458</v>
      </c>
      <c r="U516" t="b">
        <v>1</v>
      </c>
      <c r="V516" t="s">
        <v>63</v>
      </c>
      <c r="W516">
        <v>1.2</v>
      </c>
    </row>
    <row r="517" spans="1:23" hidden="1" x14ac:dyDescent="0.3">
      <c r="A517" t="s">
        <v>52</v>
      </c>
      <c r="B517" t="s">
        <v>53</v>
      </c>
      <c r="C517" t="s">
        <v>17</v>
      </c>
      <c r="D517" t="s">
        <v>26</v>
      </c>
      <c r="E517" t="s">
        <v>27</v>
      </c>
      <c r="F517" t="s">
        <v>54</v>
      </c>
      <c r="G517" t="s">
        <v>236</v>
      </c>
      <c r="H517" t="s">
        <v>160</v>
      </c>
      <c r="I517" t="s">
        <v>3</v>
      </c>
      <c r="J517" t="s">
        <v>237</v>
      </c>
      <c r="K517" t="s">
        <v>238</v>
      </c>
      <c r="L517" t="s">
        <v>163</v>
      </c>
      <c r="M517">
        <v>57</v>
      </c>
      <c r="N517" t="b">
        <v>0</v>
      </c>
      <c r="O517">
        <v>0.82253521126760565</v>
      </c>
      <c r="P517">
        <v>0.78494623655913975</v>
      </c>
      <c r="Q517">
        <v>0.86390532544378695</v>
      </c>
      <c r="R517" t="s">
        <v>60</v>
      </c>
      <c r="S517" t="s">
        <v>1459</v>
      </c>
      <c r="T517" t="s">
        <v>1460</v>
      </c>
      <c r="U517" t="b">
        <v>1</v>
      </c>
      <c r="V517" t="s">
        <v>63</v>
      </c>
      <c r="W517">
        <v>1.1000000000000001</v>
      </c>
    </row>
    <row r="518" spans="1:23" hidden="1" x14ac:dyDescent="0.3">
      <c r="A518" t="s">
        <v>52</v>
      </c>
      <c r="B518" t="s">
        <v>53</v>
      </c>
      <c r="C518" t="s">
        <v>17</v>
      </c>
      <c r="D518" t="s">
        <v>26</v>
      </c>
      <c r="E518" t="s">
        <v>27</v>
      </c>
      <c r="F518" t="s">
        <v>54</v>
      </c>
      <c r="G518" t="s">
        <v>241</v>
      </c>
      <c r="H518" t="s">
        <v>160</v>
      </c>
      <c r="I518" t="s">
        <v>3</v>
      </c>
      <c r="J518" t="s">
        <v>242</v>
      </c>
      <c r="K518" t="s">
        <v>243</v>
      </c>
      <c r="L518" t="s">
        <v>163</v>
      </c>
      <c r="M518">
        <v>58</v>
      </c>
      <c r="N518" t="b">
        <v>0</v>
      </c>
      <c r="O518">
        <v>0.81714285714285706</v>
      </c>
      <c r="P518">
        <v>0.79005524861878451</v>
      </c>
      <c r="Q518">
        <v>0.84615384615384615</v>
      </c>
      <c r="R518" t="s">
        <v>60</v>
      </c>
      <c r="S518" t="s">
        <v>1461</v>
      </c>
      <c r="T518" t="s">
        <v>1462</v>
      </c>
      <c r="U518" t="b">
        <v>1</v>
      </c>
      <c r="V518" t="s">
        <v>63</v>
      </c>
      <c r="W518">
        <v>1.6</v>
      </c>
    </row>
    <row r="519" spans="1:23" hidden="1" x14ac:dyDescent="0.3">
      <c r="A519" t="s">
        <v>52</v>
      </c>
      <c r="B519" t="s">
        <v>53</v>
      </c>
      <c r="C519" t="s">
        <v>17</v>
      </c>
      <c r="D519" t="s">
        <v>26</v>
      </c>
      <c r="E519" t="s">
        <v>27</v>
      </c>
      <c r="F519" t="s">
        <v>54</v>
      </c>
      <c r="G519" t="s">
        <v>246</v>
      </c>
      <c r="H519" t="s">
        <v>160</v>
      </c>
      <c r="I519" t="s">
        <v>3</v>
      </c>
      <c r="J519" t="s">
        <v>247</v>
      </c>
      <c r="K519" t="s">
        <v>248</v>
      </c>
      <c r="L519" t="s">
        <v>163</v>
      </c>
      <c r="M519">
        <v>59</v>
      </c>
      <c r="N519" t="b">
        <v>0</v>
      </c>
      <c r="O519">
        <v>0.8045325779036826</v>
      </c>
      <c r="P519">
        <v>0.77173913043478259</v>
      </c>
      <c r="Q519">
        <v>0.84023668639053251</v>
      </c>
      <c r="R519" t="s">
        <v>60</v>
      </c>
      <c r="S519" t="s">
        <v>1463</v>
      </c>
      <c r="T519" t="s">
        <v>1464</v>
      </c>
      <c r="U519" t="b">
        <v>1</v>
      </c>
      <c r="V519" t="s">
        <v>63</v>
      </c>
      <c r="W519">
        <v>1.2</v>
      </c>
    </row>
    <row r="520" spans="1:23" hidden="1" x14ac:dyDescent="0.3">
      <c r="A520" t="s">
        <v>52</v>
      </c>
      <c r="B520" t="s">
        <v>53</v>
      </c>
      <c r="C520" t="s">
        <v>17</v>
      </c>
      <c r="D520" t="s">
        <v>26</v>
      </c>
      <c r="E520" t="s">
        <v>27</v>
      </c>
      <c r="F520" t="s">
        <v>54</v>
      </c>
      <c r="G520" t="s">
        <v>251</v>
      </c>
      <c r="H520" t="s">
        <v>160</v>
      </c>
      <c r="I520" t="s">
        <v>3</v>
      </c>
      <c r="J520" t="s">
        <v>252</v>
      </c>
      <c r="K520" t="s">
        <v>253</v>
      </c>
      <c r="L520" t="s">
        <v>163</v>
      </c>
      <c r="M520">
        <v>60</v>
      </c>
      <c r="N520" t="b">
        <v>0</v>
      </c>
      <c r="O520">
        <v>0.82816901408450705</v>
      </c>
      <c r="P520">
        <v>0.79032258064516125</v>
      </c>
      <c r="Q520">
        <v>0.86982248520710059</v>
      </c>
      <c r="R520" t="s">
        <v>60</v>
      </c>
      <c r="S520" t="s">
        <v>1465</v>
      </c>
      <c r="T520" t="s">
        <v>1466</v>
      </c>
      <c r="U520" t="b">
        <v>1</v>
      </c>
      <c r="V520" t="s">
        <v>63</v>
      </c>
      <c r="W520">
        <v>1.2</v>
      </c>
    </row>
    <row r="521" spans="1:23" hidden="1" x14ac:dyDescent="0.3">
      <c r="A521" t="s">
        <v>52</v>
      </c>
      <c r="B521" t="s">
        <v>53</v>
      </c>
      <c r="C521" t="s">
        <v>17</v>
      </c>
      <c r="D521" t="s">
        <v>26</v>
      </c>
      <c r="E521" t="s">
        <v>27</v>
      </c>
      <c r="F521" t="s">
        <v>54</v>
      </c>
      <c r="G521" t="s">
        <v>256</v>
      </c>
      <c r="H521" t="s">
        <v>160</v>
      </c>
      <c r="I521" t="s">
        <v>3</v>
      </c>
      <c r="J521" t="s">
        <v>257</v>
      </c>
      <c r="K521" t="s">
        <v>258</v>
      </c>
      <c r="L521" t="s">
        <v>163</v>
      </c>
      <c r="M521">
        <v>61</v>
      </c>
      <c r="N521" t="b">
        <v>0</v>
      </c>
      <c r="O521">
        <v>0.78873239436619724</v>
      </c>
      <c r="P521">
        <v>0.75268817204301075</v>
      </c>
      <c r="Q521">
        <v>0.82840236686390534</v>
      </c>
      <c r="R521" t="s">
        <v>60</v>
      </c>
      <c r="S521" t="s">
        <v>1467</v>
      </c>
      <c r="T521" t="s">
        <v>1468</v>
      </c>
      <c r="U521" t="b">
        <v>1</v>
      </c>
      <c r="V521" t="s">
        <v>63</v>
      </c>
      <c r="W521">
        <v>1.6</v>
      </c>
    </row>
    <row r="522" spans="1:23" hidden="1" x14ac:dyDescent="0.3">
      <c r="A522" t="s">
        <v>52</v>
      </c>
      <c r="B522" t="s">
        <v>53</v>
      </c>
      <c r="C522" t="s">
        <v>17</v>
      </c>
      <c r="D522" t="s">
        <v>26</v>
      </c>
      <c r="E522" t="s">
        <v>27</v>
      </c>
      <c r="F522" t="s">
        <v>54</v>
      </c>
      <c r="G522" t="s">
        <v>261</v>
      </c>
      <c r="H522" t="s">
        <v>262</v>
      </c>
      <c r="I522" t="s">
        <v>5</v>
      </c>
      <c r="J522" t="s">
        <v>263</v>
      </c>
      <c r="K522" t="s">
        <v>264</v>
      </c>
      <c r="L522" t="s">
        <v>265</v>
      </c>
      <c r="M522">
        <v>42</v>
      </c>
      <c r="N522" t="b">
        <v>0</v>
      </c>
      <c r="O522">
        <v>0.80525164113785563</v>
      </c>
      <c r="P522">
        <v>0.78297872340425534</v>
      </c>
      <c r="Q522">
        <v>0.8288288288288288</v>
      </c>
      <c r="R522" t="s">
        <v>60</v>
      </c>
      <c r="S522" t="s">
        <v>1469</v>
      </c>
      <c r="T522" t="s">
        <v>1470</v>
      </c>
      <c r="U522" t="b">
        <v>1</v>
      </c>
      <c r="V522" t="s">
        <v>63</v>
      </c>
      <c r="W522">
        <v>1.3</v>
      </c>
    </row>
    <row r="523" spans="1:23" hidden="1" x14ac:dyDescent="0.3">
      <c r="A523" t="s">
        <v>52</v>
      </c>
      <c r="B523" t="s">
        <v>53</v>
      </c>
      <c r="C523" t="s">
        <v>17</v>
      </c>
      <c r="D523" t="s">
        <v>26</v>
      </c>
      <c r="E523" t="s">
        <v>27</v>
      </c>
      <c r="F523" t="s">
        <v>54</v>
      </c>
      <c r="G523" t="s">
        <v>268</v>
      </c>
      <c r="H523" t="s">
        <v>262</v>
      </c>
      <c r="I523" t="s">
        <v>5</v>
      </c>
      <c r="J523" t="s">
        <v>269</v>
      </c>
      <c r="K523" t="s">
        <v>270</v>
      </c>
      <c r="L523" t="s">
        <v>265</v>
      </c>
      <c r="M523">
        <v>43</v>
      </c>
      <c r="N523" t="b">
        <v>0</v>
      </c>
      <c r="O523">
        <v>0.80616740088105721</v>
      </c>
      <c r="P523">
        <v>0.78879310344827591</v>
      </c>
      <c r="Q523">
        <v>0.82432432432432434</v>
      </c>
      <c r="R523" t="s">
        <v>60</v>
      </c>
      <c r="S523" t="s">
        <v>1471</v>
      </c>
      <c r="T523" t="s">
        <v>1472</v>
      </c>
      <c r="U523" t="b">
        <v>1</v>
      </c>
      <c r="V523" t="s">
        <v>63</v>
      </c>
      <c r="W523">
        <v>1.3</v>
      </c>
    </row>
    <row r="524" spans="1:23" hidden="1" x14ac:dyDescent="0.3">
      <c r="A524" t="s">
        <v>52</v>
      </c>
      <c r="B524" t="s">
        <v>53</v>
      </c>
      <c r="C524" t="s">
        <v>17</v>
      </c>
      <c r="D524" t="s">
        <v>26</v>
      </c>
      <c r="E524" t="s">
        <v>27</v>
      </c>
      <c r="F524" t="s">
        <v>54</v>
      </c>
      <c r="G524" t="s">
        <v>273</v>
      </c>
      <c r="H524" t="s">
        <v>262</v>
      </c>
      <c r="I524" t="s">
        <v>5</v>
      </c>
      <c r="J524" t="s">
        <v>274</v>
      </c>
      <c r="K524" t="s">
        <v>275</v>
      </c>
      <c r="L524" t="s">
        <v>265</v>
      </c>
      <c r="M524">
        <v>44</v>
      </c>
      <c r="N524" t="b">
        <v>0</v>
      </c>
      <c r="O524">
        <v>0.82039911308203983</v>
      </c>
      <c r="P524">
        <v>0.80786026200873362</v>
      </c>
      <c r="Q524">
        <v>0.83333333333333337</v>
      </c>
      <c r="R524" t="s">
        <v>60</v>
      </c>
      <c r="S524" t="s">
        <v>1473</v>
      </c>
      <c r="T524" t="s">
        <v>1474</v>
      </c>
      <c r="U524" t="b">
        <v>1</v>
      </c>
      <c r="V524" t="s">
        <v>63</v>
      </c>
      <c r="W524">
        <v>1.7</v>
      </c>
    </row>
    <row r="525" spans="1:23" hidden="1" x14ac:dyDescent="0.3">
      <c r="A525" t="s">
        <v>52</v>
      </c>
      <c r="B525" t="s">
        <v>53</v>
      </c>
      <c r="C525" t="s">
        <v>17</v>
      </c>
      <c r="D525" t="s">
        <v>26</v>
      </c>
      <c r="E525" t="s">
        <v>27</v>
      </c>
      <c r="F525" t="s">
        <v>54</v>
      </c>
      <c r="G525" t="s">
        <v>278</v>
      </c>
      <c r="H525" t="s">
        <v>262</v>
      </c>
      <c r="I525" t="s">
        <v>5</v>
      </c>
      <c r="J525" t="s">
        <v>279</v>
      </c>
      <c r="K525" t="s">
        <v>280</v>
      </c>
      <c r="L525" t="s">
        <v>265</v>
      </c>
      <c r="M525">
        <v>45</v>
      </c>
      <c r="N525" t="b">
        <v>0</v>
      </c>
      <c r="O525">
        <v>0.82119205298013254</v>
      </c>
      <c r="P525">
        <v>0.80519480519480524</v>
      </c>
      <c r="Q525">
        <v>0.83783783783783783</v>
      </c>
      <c r="R525" t="s">
        <v>60</v>
      </c>
      <c r="S525" t="s">
        <v>1475</v>
      </c>
      <c r="T525" t="s">
        <v>1476</v>
      </c>
      <c r="U525" t="b">
        <v>1</v>
      </c>
      <c r="V525" t="s">
        <v>63</v>
      </c>
      <c r="W525">
        <v>1.3</v>
      </c>
    </row>
    <row r="526" spans="1:23" hidden="1" x14ac:dyDescent="0.3">
      <c r="A526" t="s">
        <v>52</v>
      </c>
      <c r="B526" t="s">
        <v>53</v>
      </c>
      <c r="C526" t="s">
        <v>17</v>
      </c>
      <c r="D526" t="s">
        <v>26</v>
      </c>
      <c r="E526" t="s">
        <v>27</v>
      </c>
      <c r="F526" t="s">
        <v>54</v>
      </c>
      <c r="G526" t="s">
        <v>283</v>
      </c>
      <c r="H526" t="s">
        <v>262</v>
      </c>
      <c r="I526" t="s">
        <v>5</v>
      </c>
      <c r="J526" t="s">
        <v>284</v>
      </c>
      <c r="K526" t="s">
        <v>285</v>
      </c>
      <c r="L526" t="s">
        <v>265</v>
      </c>
      <c r="M526">
        <v>46</v>
      </c>
      <c r="N526" t="b">
        <v>0</v>
      </c>
      <c r="O526">
        <v>0.79120879120879117</v>
      </c>
      <c r="P526">
        <v>0.77253218884120167</v>
      </c>
      <c r="Q526">
        <v>0.81081081081081086</v>
      </c>
      <c r="R526" t="s">
        <v>60</v>
      </c>
      <c r="S526" t="s">
        <v>1477</v>
      </c>
      <c r="T526" t="s">
        <v>1478</v>
      </c>
      <c r="U526" t="b">
        <v>1</v>
      </c>
      <c r="V526" t="s">
        <v>63</v>
      </c>
      <c r="W526">
        <v>1.3</v>
      </c>
    </row>
    <row r="527" spans="1:23" hidden="1" x14ac:dyDescent="0.3">
      <c r="A527" t="s">
        <v>52</v>
      </c>
      <c r="B527" t="s">
        <v>53</v>
      </c>
      <c r="C527" t="s">
        <v>17</v>
      </c>
      <c r="D527" t="s">
        <v>26</v>
      </c>
      <c r="E527" t="s">
        <v>27</v>
      </c>
      <c r="F527" t="s">
        <v>54</v>
      </c>
      <c r="G527" t="s">
        <v>288</v>
      </c>
      <c r="H527" t="s">
        <v>262</v>
      </c>
      <c r="I527" t="s">
        <v>5</v>
      </c>
      <c r="J527" t="s">
        <v>289</v>
      </c>
      <c r="K527" t="s">
        <v>290</v>
      </c>
      <c r="L527" t="s">
        <v>265</v>
      </c>
      <c r="M527">
        <v>47</v>
      </c>
      <c r="N527" t="b">
        <v>0</v>
      </c>
      <c r="O527">
        <v>0.81677704194260492</v>
      </c>
      <c r="P527">
        <v>0.80086580086580084</v>
      </c>
      <c r="Q527">
        <v>0.83333333333333337</v>
      </c>
      <c r="R527" t="s">
        <v>60</v>
      </c>
      <c r="S527" t="s">
        <v>1479</v>
      </c>
      <c r="T527" t="s">
        <v>1480</v>
      </c>
      <c r="U527" t="b">
        <v>1</v>
      </c>
      <c r="V527" t="s">
        <v>63</v>
      </c>
      <c r="W527">
        <v>1.7</v>
      </c>
    </row>
    <row r="528" spans="1:23" hidden="1" x14ac:dyDescent="0.3">
      <c r="A528" t="s">
        <v>52</v>
      </c>
      <c r="B528" t="s">
        <v>53</v>
      </c>
      <c r="C528" t="s">
        <v>17</v>
      </c>
      <c r="D528" t="s">
        <v>26</v>
      </c>
      <c r="E528" t="s">
        <v>27</v>
      </c>
      <c r="F528" t="s">
        <v>54</v>
      </c>
      <c r="G528" t="s">
        <v>293</v>
      </c>
      <c r="H528" t="s">
        <v>262</v>
      </c>
      <c r="I528" t="s">
        <v>5</v>
      </c>
      <c r="J528" t="s">
        <v>294</v>
      </c>
      <c r="K528" t="s">
        <v>295</v>
      </c>
      <c r="L528" t="s">
        <v>265</v>
      </c>
      <c r="M528">
        <v>48</v>
      </c>
      <c r="N528" t="b">
        <v>0</v>
      </c>
      <c r="O528">
        <v>0.81677704194260492</v>
      </c>
      <c r="P528">
        <v>0.80086580086580084</v>
      </c>
      <c r="Q528">
        <v>0.83333333333333337</v>
      </c>
      <c r="R528" t="s">
        <v>60</v>
      </c>
      <c r="S528" t="s">
        <v>1481</v>
      </c>
      <c r="T528" t="s">
        <v>1482</v>
      </c>
      <c r="U528" t="b">
        <v>1</v>
      </c>
      <c r="V528" t="s">
        <v>63</v>
      </c>
      <c r="W528">
        <v>1.3</v>
      </c>
    </row>
    <row r="529" spans="1:23" hidden="1" x14ac:dyDescent="0.3">
      <c r="A529" t="s">
        <v>52</v>
      </c>
      <c r="B529" t="s">
        <v>53</v>
      </c>
      <c r="C529" t="s">
        <v>17</v>
      </c>
      <c r="D529" t="s">
        <v>26</v>
      </c>
      <c r="E529" t="s">
        <v>27</v>
      </c>
      <c r="F529" t="s">
        <v>54</v>
      </c>
      <c r="G529" t="s">
        <v>298</v>
      </c>
      <c r="H529" t="s">
        <v>262</v>
      </c>
      <c r="I529" t="s">
        <v>5</v>
      </c>
      <c r="J529" t="s">
        <v>299</v>
      </c>
      <c r="K529" t="s">
        <v>300</v>
      </c>
      <c r="L529" t="s">
        <v>265</v>
      </c>
      <c r="M529">
        <v>49</v>
      </c>
      <c r="N529" t="b">
        <v>0</v>
      </c>
      <c r="O529">
        <v>0.79120879120879117</v>
      </c>
      <c r="P529">
        <v>0.77253218884120167</v>
      </c>
      <c r="Q529">
        <v>0.81081081081081086</v>
      </c>
      <c r="R529" t="s">
        <v>60</v>
      </c>
      <c r="S529" t="s">
        <v>1483</v>
      </c>
      <c r="T529" t="s">
        <v>1484</v>
      </c>
      <c r="U529" t="b">
        <v>1</v>
      </c>
      <c r="V529" t="s">
        <v>63</v>
      </c>
      <c r="W529">
        <v>1.7</v>
      </c>
    </row>
    <row r="530" spans="1:23" hidden="1" x14ac:dyDescent="0.3">
      <c r="A530" t="s">
        <v>52</v>
      </c>
      <c r="B530" t="s">
        <v>53</v>
      </c>
      <c r="C530" t="s">
        <v>17</v>
      </c>
      <c r="D530" t="s">
        <v>26</v>
      </c>
      <c r="E530" t="s">
        <v>27</v>
      </c>
      <c r="F530" t="s">
        <v>54</v>
      </c>
      <c r="G530" t="s">
        <v>303</v>
      </c>
      <c r="H530" t="s">
        <v>262</v>
      </c>
      <c r="I530" t="s">
        <v>5</v>
      </c>
      <c r="J530" t="s">
        <v>304</v>
      </c>
      <c r="K530" t="s">
        <v>305</v>
      </c>
      <c r="L530" t="s">
        <v>265</v>
      </c>
      <c r="M530">
        <v>50</v>
      </c>
      <c r="N530" t="b">
        <v>0</v>
      </c>
      <c r="O530">
        <v>0.8169642857142857</v>
      </c>
      <c r="P530">
        <v>0.80973451327433632</v>
      </c>
      <c r="Q530">
        <v>0.82432432432432434</v>
      </c>
      <c r="R530" t="s">
        <v>60</v>
      </c>
      <c r="S530" t="s">
        <v>1485</v>
      </c>
      <c r="T530" t="s">
        <v>1486</v>
      </c>
      <c r="U530" t="b">
        <v>1</v>
      </c>
      <c r="V530" t="s">
        <v>63</v>
      </c>
      <c r="W530">
        <v>1.3</v>
      </c>
    </row>
    <row r="531" spans="1:23" hidden="1" x14ac:dyDescent="0.3">
      <c r="A531" t="s">
        <v>52</v>
      </c>
      <c r="B531" t="s">
        <v>53</v>
      </c>
      <c r="C531" t="s">
        <v>17</v>
      </c>
      <c r="D531" t="s">
        <v>26</v>
      </c>
      <c r="E531" t="s">
        <v>27</v>
      </c>
      <c r="F531" t="s">
        <v>54</v>
      </c>
      <c r="G531" t="s">
        <v>308</v>
      </c>
      <c r="H531" t="s">
        <v>262</v>
      </c>
      <c r="I531" t="s">
        <v>5</v>
      </c>
      <c r="J531" t="s">
        <v>309</v>
      </c>
      <c r="K531" t="s">
        <v>310</v>
      </c>
      <c r="L531" t="s">
        <v>265</v>
      </c>
      <c r="M531">
        <v>51</v>
      </c>
      <c r="N531" t="b">
        <v>0</v>
      </c>
      <c r="O531">
        <v>0.79824561403508765</v>
      </c>
      <c r="P531">
        <v>0.77777777777777779</v>
      </c>
      <c r="Q531">
        <v>0.81981981981981977</v>
      </c>
      <c r="R531" t="s">
        <v>60</v>
      </c>
      <c r="S531" t="s">
        <v>1487</v>
      </c>
      <c r="T531" t="s">
        <v>1488</v>
      </c>
      <c r="U531" t="b">
        <v>1</v>
      </c>
      <c r="V531" t="s">
        <v>63</v>
      </c>
      <c r="W531">
        <v>1.3</v>
      </c>
    </row>
    <row r="532" spans="1:23" hidden="1" x14ac:dyDescent="0.3">
      <c r="A532" t="s">
        <v>52</v>
      </c>
      <c r="B532" t="s">
        <v>53</v>
      </c>
      <c r="C532" t="s">
        <v>17</v>
      </c>
      <c r="D532" t="s">
        <v>26</v>
      </c>
      <c r="E532" t="s">
        <v>27</v>
      </c>
      <c r="F532" t="s">
        <v>54</v>
      </c>
      <c r="G532" t="s">
        <v>313</v>
      </c>
      <c r="H532" t="s">
        <v>262</v>
      </c>
      <c r="I532" t="s">
        <v>5</v>
      </c>
      <c r="J532" t="s">
        <v>314</v>
      </c>
      <c r="K532" t="s">
        <v>315</v>
      </c>
      <c r="L532" t="s">
        <v>265</v>
      </c>
      <c r="M532">
        <v>52</v>
      </c>
      <c r="N532" t="b">
        <v>0</v>
      </c>
      <c r="O532">
        <v>0.80717488789237679</v>
      </c>
      <c r="P532">
        <v>0.8035714285714286</v>
      </c>
      <c r="Q532">
        <v>0.81081081081081086</v>
      </c>
      <c r="R532" t="s">
        <v>60</v>
      </c>
      <c r="S532" t="s">
        <v>1489</v>
      </c>
      <c r="T532" t="s">
        <v>1490</v>
      </c>
      <c r="U532" t="b">
        <v>1</v>
      </c>
      <c r="V532" t="s">
        <v>63</v>
      </c>
      <c r="W532">
        <v>1.3</v>
      </c>
    </row>
    <row r="533" spans="1:23" hidden="1" x14ac:dyDescent="0.3">
      <c r="A533" t="s">
        <v>52</v>
      </c>
      <c r="B533" t="s">
        <v>53</v>
      </c>
      <c r="C533" t="s">
        <v>17</v>
      </c>
      <c r="D533" t="s">
        <v>26</v>
      </c>
      <c r="E533" t="s">
        <v>27</v>
      </c>
      <c r="F533" t="s">
        <v>54</v>
      </c>
      <c r="G533" t="s">
        <v>318</v>
      </c>
      <c r="H533" t="s">
        <v>262</v>
      </c>
      <c r="I533" t="s">
        <v>5</v>
      </c>
      <c r="J533" t="s">
        <v>319</v>
      </c>
      <c r="K533" t="s">
        <v>320</v>
      </c>
      <c r="L533" t="s">
        <v>265</v>
      </c>
      <c r="M533">
        <v>53</v>
      </c>
      <c r="N533" t="b">
        <v>0</v>
      </c>
      <c r="O533">
        <v>0.80000000000000016</v>
      </c>
      <c r="P533">
        <v>0.7811158798283262</v>
      </c>
      <c r="Q533">
        <v>0.81981981981981977</v>
      </c>
      <c r="R533" t="s">
        <v>60</v>
      </c>
      <c r="S533" t="s">
        <v>1491</v>
      </c>
      <c r="T533" t="s">
        <v>1492</v>
      </c>
      <c r="U533" t="b">
        <v>1</v>
      </c>
      <c r="V533" t="s">
        <v>63</v>
      </c>
      <c r="W533">
        <v>1.7</v>
      </c>
    </row>
    <row r="534" spans="1:23" hidden="1" x14ac:dyDescent="0.3">
      <c r="A534" t="s">
        <v>52</v>
      </c>
      <c r="B534" t="s">
        <v>53</v>
      </c>
      <c r="C534" t="s">
        <v>17</v>
      </c>
      <c r="D534" t="s">
        <v>26</v>
      </c>
      <c r="E534" t="s">
        <v>27</v>
      </c>
      <c r="F534" t="s">
        <v>54</v>
      </c>
      <c r="G534" t="s">
        <v>323</v>
      </c>
      <c r="H534" t="s">
        <v>262</v>
      </c>
      <c r="I534" t="s">
        <v>5</v>
      </c>
      <c r="J534" t="s">
        <v>324</v>
      </c>
      <c r="K534" t="s">
        <v>325</v>
      </c>
      <c r="L534" t="s">
        <v>265</v>
      </c>
      <c r="M534">
        <v>54</v>
      </c>
      <c r="N534" t="b">
        <v>0</v>
      </c>
      <c r="O534">
        <v>0.80616740088105721</v>
      </c>
      <c r="P534">
        <v>0.78879310344827591</v>
      </c>
      <c r="Q534">
        <v>0.82432432432432434</v>
      </c>
      <c r="R534" t="s">
        <v>60</v>
      </c>
      <c r="S534" t="s">
        <v>1493</v>
      </c>
      <c r="T534" t="s">
        <v>1494</v>
      </c>
      <c r="U534" t="b">
        <v>1</v>
      </c>
      <c r="V534" t="s">
        <v>63</v>
      </c>
      <c r="W534">
        <v>1.3</v>
      </c>
    </row>
    <row r="535" spans="1:23" hidden="1" x14ac:dyDescent="0.3">
      <c r="A535" t="s">
        <v>52</v>
      </c>
      <c r="B535" t="s">
        <v>53</v>
      </c>
      <c r="C535" t="s">
        <v>17</v>
      </c>
      <c r="D535" t="s">
        <v>26</v>
      </c>
      <c r="E535" t="s">
        <v>27</v>
      </c>
      <c r="F535" t="s">
        <v>54</v>
      </c>
      <c r="G535" t="s">
        <v>328</v>
      </c>
      <c r="H535" t="s">
        <v>262</v>
      </c>
      <c r="I535" t="s">
        <v>5</v>
      </c>
      <c r="J535" t="s">
        <v>329</v>
      </c>
      <c r="K535" t="s">
        <v>330</v>
      </c>
      <c r="L535" t="s">
        <v>265</v>
      </c>
      <c r="M535">
        <v>55</v>
      </c>
      <c r="N535" t="b">
        <v>0</v>
      </c>
      <c r="O535">
        <v>0.79565217391304344</v>
      </c>
      <c r="P535">
        <v>0.76890756302521013</v>
      </c>
      <c r="Q535">
        <v>0.82432432432432434</v>
      </c>
      <c r="R535" t="s">
        <v>60</v>
      </c>
      <c r="S535" t="s">
        <v>1495</v>
      </c>
      <c r="T535" t="s">
        <v>1496</v>
      </c>
      <c r="U535" t="b">
        <v>1</v>
      </c>
      <c r="V535" t="s">
        <v>63</v>
      </c>
      <c r="W535">
        <v>1.3</v>
      </c>
    </row>
    <row r="536" spans="1:23" hidden="1" x14ac:dyDescent="0.3">
      <c r="A536" t="s">
        <v>52</v>
      </c>
      <c r="B536" t="s">
        <v>53</v>
      </c>
      <c r="C536" t="s">
        <v>17</v>
      </c>
      <c r="D536" t="s">
        <v>26</v>
      </c>
      <c r="E536" t="s">
        <v>27</v>
      </c>
      <c r="F536" t="s">
        <v>54</v>
      </c>
      <c r="G536" t="s">
        <v>333</v>
      </c>
      <c r="H536" t="s">
        <v>262</v>
      </c>
      <c r="I536" t="s">
        <v>5</v>
      </c>
      <c r="J536" t="s">
        <v>334</v>
      </c>
      <c r="K536" t="s">
        <v>335</v>
      </c>
      <c r="L536" t="s">
        <v>265</v>
      </c>
      <c r="M536">
        <v>56</v>
      </c>
      <c r="N536" t="b">
        <v>0</v>
      </c>
      <c r="O536">
        <v>0.81415929203539827</v>
      </c>
      <c r="P536">
        <v>0.8</v>
      </c>
      <c r="Q536">
        <v>0.8288288288288288</v>
      </c>
      <c r="R536" t="s">
        <v>60</v>
      </c>
      <c r="S536" t="s">
        <v>1497</v>
      </c>
      <c r="T536" t="s">
        <v>1498</v>
      </c>
      <c r="U536" t="b">
        <v>1</v>
      </c>
      <c r="V536" t="s">
        <v>63</v>
      </c>
      <c r="W536">
        <v>1.7</v>
      </c>
    </row>
    <row r="537" spans="1:23" hidden="1" x14ac:dyDescent="0.3">
      <c r="A537" t="s">
        <v>52</v>
      </c>
      <c r="B537" t="s">
        <v>53</v>
      </c>
      <c r="C537" t="s">
        <v>17</v>
      </c>
      <c r="D537" t="s">
        <v>26</v>
      </c>
      <c r="E537" t="s">
        <v>27</v>
      </c>
      <c r="F537" t="s">
        <v>54</v>
      </c>
      <c r="G537" t="s">
        <v>338</v>
      </c>
      <c r="H537" t="s">
        <v>262</v>
      </c>
      <c r="I537" t="s">
        <v>5</v>
      </c>
      <c r="J537" t="s">
        <v>339</v>
      </c>
      <c r="K537" t="s">
        <v>340</v>
      </c>
      <c r="L537" t="s">
        <v>265</v>
      </c>
      <c r="M537">
        <v>57</v>
      </c>
      <c r="N537" t="b">
        <v>0</v>
      </c>
      <c r="O537">
        <v>0.80530973451327426</v>
      </c>
      <c r="P537">
        <v>0.79130434782608694</v>
      </c>
      <c r="Q537">
        <v>0.81981981981981977</v>
      </c>
      <c r="R537" t="s">
        <v>60</v>
      </c>
      <c r="S537" t="s">
        <v>1499</v>
      </c>
      <c r="T537" t="s">
        <v>1500</v>
      </c>
      <c r="U537" t="b">
        <v>1</v>
      </c>
      <c r="V537" t="s">
        <v>63</v>
      </c>
      <c r="W537">
        <v>1.3</v>
      </c>
    </row>
    <row r="538" spans="1:23" hidden="1" x14ac:dyDescent="0.3">
      <c r="A538" t="s">
        <v>52</v>
      </c>
      <c r="B538" t="s">
        <v>53</v>
      </c>
      <c r="C538" t="s">
        <v>17</v>
      </c>
      <c r="D538" t="s">
        <v>26</v>
      </c>
      <c r="E538" t="s">
        <v>27</v>
      </c>
      <c r="F538" t="s">
        <v>54</v>
      </c>
      <c r="G538" t="s">
        <v>343</v>
      </c>
      <c r="H538" t="s">
        <v>262</v>
      </c>
      <c r="I538" t="s">
        <v>5</v>
      </c>
      <c r="J538" t="s">
        <v>344</v>
      </c>
      <c r="K538" t="s">
        <v>345</v>
      </c>
      <c r="L538" t="s">
        <v>265</v>
      </c>
      <c r="M538">
        <v>58</v>
      </c>
      <c r="N538" t="b">
        <v>0</v>
      </c>
      <c r="O538">
        <v>0.8169642857142857</v>
      </c>
      <c r="P538">
        <v>0.80973451327433632</v>
      </c>
      <c r="Q538">
        <v>0.82432432432432434</v>
      </c>
      <c r="R538" t="s">
        <v>60</v>
      </c>
      <c r="S538" t="s">
        <v>1501</v>
      </c>
      <c r="T538" t="s">
        <v>1502</v>
      </c>
      <c r="U538" t="b">
        <v>1</v>
      </c>
      <c r="V538" t="s">
        <v>63</v>
      </c>
      <c r="W538">
        <v>1.7</v>
      </c>
    </row>
    <row r="539" spans="1:23" hidden="1" x14ac:dyDescent="0.3">
      <c r="A539" t="s">
        <v>52</v>
      </c>
      <c r="B539" t="s">
        <v>53</v>
      </c>
      <c r="C539" t="s">
        <v>17</v>
      </c>
      <c r="D539" t="s">
        <v>26</v>
      </c>
      <c r="E539" t="s">
        <v>27</v>
      </c>
      <c r="F539" t="s">
        <v>54</v>
      </c>
      <c r="G539" t="s">
        <v>348</v>
      </c>
      <c r="H539" t="s">
        <v>262</v>
      </c>
      <c r="I539" t="s">
        <v>5</v>
      </c>
      <c r="J539" t="s">
        <v>349</v>
      </c>
      <c r="K539" t="s">
        <v>350</v>
      </c>
      <c r="L539" t="s">
        <v>265</v>
      </c>
      <c r="M539">
        <v>59</v>
      </c>
      <c r="N539" t="b">
        <v>0</v>
      </c>
      <c r="O539">
        <v>0.81959910913140299</v>
      </c>
      <c r="P539">
        <v>0.81057268722466957</v>
      </c>
      <c r="Q539">
        <v>0.8288288288288288</v>
      </c>
      <c r="R539" t="s">
        <v>60</v>
      </c>
      <c r="S539" t="s">
        <v>1503</v>
      </c>
      <c r="T539" t="s">
        <v>1504</v>
      </c>
      <c r="U539" t="b">
        <v>1</v>
      </c>
      <c r="V539" t="s">
        <v>63</v>
      </c>
      <c r="W539">
        <v>1.3</v>
      </c>
    </row>
    <row r="540" spans="1:23" hidden="1" x14ac:dyDescent="0.3">
      <c r="A540" t="s">
        <v>52</v>
      </c>
      <c r="B540" t="s">
        <v>53</v>
      </c>
      <c r="C540" t="s">
        <v>17</v>
      </c>
      <c r="D540" t="s">
        <v>26</v>
      </c>
      <c r="E540" t="s">
        <v>27</v>
      </c>
      <c r="F540" t="s">
        <v>54</v>
      </c>
      <c r="G540" t="s">
        <v>353</v>
      </c>
      <c r="H540" t="s">
        <v>262</v>
      </c>
      <c r="I540" t="s">
        <v>5</v>
      </c>
      <c r="J540" t="s">
        <v>354</v>
      </c>
      <c r="K540" t="s">
        <v>355</v>
      </c>
      <c r="L540" t="s">
        <v>265</v>
      </c>
      <c r="M540">
        <v>60</v>
      </c>
      <c r="N540" t="b">
        <v>0</v>
      </c>
      <c r="O540">
        <v>0.79649890590809624</v>
      </c>
      <c r="P540">
        <v>0.77446808510638299</v>
      </c>
      <c r="Q540">
        <v>0.81981981981981977</v>
      </c>
      <c r="R540" t="s">
        <v>60</v>
      </c>
      <c r="S540" t="s">
        <v>1505</v>
      </c>
      <c r="T540" t="s">
        <v>1506</v>
      </c>
      <c r="U540" t="b">
        <v>1</v>
      </c>
      <c r="V540" t="s">
        <v>63</v>
      </c>
      <c r="W540">
        <v>1.3</v>
      </c>
    </row>
    <row r="541" spans="1:23" hidden="1" x14ac:dyDescent="0.3">
      <c r="A541" t="s">
        <v>52</v>
      </c>
      <c r="B541" t="s">
        <v>53</v>
      </c>
      <c r="C541" t="s">
        <v>17</v>
      </c>
      <c r="D541" t="s">
        <v>26</v>
      </c>
      <c r="E541" t="s">
        <v>27</v>
      </c>
      <c r="F541" t="s">
        <v>54</v>
      </c>
      <c r="G541" t="s">
        <v>358</v>
      </c>
      <c r="H541" t="s">
        <v>262</v>
      </c>
      <c r="I541" t="s">
        <v>5</v>
      </c>
      <c r="J541" t="s">
        <v>359</v>
      </c>
      <c r="K541" t="s">
        <v>360</v>
      </c>
      <c r="L541" t="s">
        <v>265</v>
      </c>
      <c r="M541">
        <v>61</v>
      </c>
      <c r="N541" t="b">
        <v>0</v>
      </c>
      <c r="O541">
        <v>0.79910714285714279</v>
      </c>
      <c r="P541">
        <v>0.79203539823008851</v>
      </c>
      <c r="Q541">
        <v>0.80630630630630629</v>
      </c>
      <c r="R541" t="s">
        <v>60</v>
      </c>
      <c r="S541" t="s">
        <v>1507</v>
      </c>
      <c r="T541" t="s">
        <v>1508</v>
      </c>
      <c r="U541" t="b">
        <v>1</v>
      </c>
      <c r="V541" t="s">
        <v>63</v>
      </c>
      <c r="W541">
        <v>1.3</v>
      </c>
    </row>
    <row r="542" spans="1:23" hidden="1" x14ac:dyDescent="0.3">
      <c r="A542" t="s">
        <v>52</v>
      </c>
      <c r="B542" t="s">
        <v>53</v>
      </c>
      <c r="C542" t="s">
        <v>17</v>
      </c>
      <c r="D542" t="s">
        <v>26</v>
      </c>
      <c r="E542" t="s">
        <v>27</v>
      </c>
      <c r="F542" t="s">
        <v>363</v>
      </c>
      <c r="G542" t="s">
        <v>364</v>
      </c>
      <c r="H542" t="s">
        <v>365</v>
      </c>
      <c r="I542" t="s">
        <v>13</v>
      </c>
      <c r="J542" t="s">
        <v>366</v>
      </c>
      <c r="K542" t="s">
        <v>367</v>
      </c>
      <c r="L542" t="s">
        <v>368</v>
      </c>
      <c r="M542">
        <v>42</v>
      </c>
      <c r="N542" t="b">
        <v>0</v>
      </c>
      <c r="O542">
        <v>0.82203389830508478</v>
      </c>
      <c r="P542">
        <v>0.80165289256198347</v>
      </c>
      <c r="Q542">
        <v>0.84347826086956523</v>
      </c>
      <c r="R542" t="s">
        <v>60</v>
      </c>
      <c r="S542" t="s">
        <v>1509</v>
      </c>
      <c r="T542" t="s">
        <v>1510</v>
      </c>
      <c r="U542" t="b">
        <v>1</v>
      </c>
      <c r="V542" t="s">
        <v>63</v>
      </c>
      <c r="W542">
        <v>1.7</v>
      </c>
    </row>
    <row r="543" spans="1:23" hidden="1" x14ac:dyDescent="0.3">
      <c r="A543" t="s">
        <v>52</v>
      </c>
      <c r="B543" t="s">
        <v>53</v>
      </c>
      <c r="C543" t="s">
        <v>17</v>
      </c>
      <c r="D543" t="s">
        <v>26</v>
      </c>
      <c r="E543" t="s">
        <v>27</v>
      </c>
      <c r="F543" t="s">
        <v>363</v>
      </c>
      <c r="G543" t="s">
        <v>371</v>
      </c>
      <c r="H543" t="s">
        <v>365</v>
      </c>
      <c r="I543" t="s">
        <v>13</v>
      </c>
      <c r="J543" t="s">
        <v>372</v>
      </c>
      <c r="K543" t="s">
        <v>373</v>
      </c>
      <c r="L543" t="s">
        <v>368</v>
      </c>
      <c r="M543">
        <v>43</v>
      </c>
      <c r="N543" t="b">
        <v>0</v>
      </c>
      <c r="O543">
        <v>0.81666666666666665</v>
      </c>
      <c r="P543">
        <v>0.78400000000000003</v>
      </c>
      <c r="Q543">
        <v>0.85217391304347823</v>
      </c>
      <c r="R543" t="s">
        <v>60</v>
      </c>
      <c r="S543" t="s">
        <v>1511</v>
      </c>
      <c r="T543" t="s">
        <v>1512</v>
      </c>
      <c r="U543" t="b">
        <v>1</v>
      </c>
      <c r="V543" t="s">
        <v>63</v>
      </c>
      <c r="W543">
        <v>1.3</v>
      </c>
    </row>
    <row r="544" spans="1:23" hidden="1" x14ac:dyDescent="0.3">
      <c r="A544" t="s">
        <v>52</v>
      </c>
      <c r="B544" t="s">
        <v>53</v>
      </c>
      <c r="C544" t="s">
        <v>17</v>
      </c>
      <c r="D544" t="s">
        <v>26</v>
      </c>
      <c r="E544" t="s">
        <v>27</v>
      </c>
      <c r="F544" t="s">
        <v>363</v>
      </c>
      <c r="G544" t="s">
        <v>376</v>
      </c>
      <c r="H544" t="s">
        <v>365</v>
      </c>
      <c r="I544" t="s">
        <v>13</v>
      </c>
      <c r="J544" t="s">
        <v>377</v>
      </c>
      <c r="K544" t="s">
        <v>378</v>
      </c>
      <c r="L544" t="s">
        <v>368</v>
      </c>
      <c r="M544">
        <v>44</v>
      </c>
      <c r="N544" t="b">
        <v>0</v>
      </c>
      <c r="O544">
        <v>0.80497925311203322</v>
      </c>
      <c r="P544">
        <v>0.76984126984126988</v>
      </c>
      <c r="Q544">
        <v>0.84347826086956523</v>
      </c>
      <c r="R544" t="s">
        <v>60</v>
      </c>
      <c r="S544" t="s">
        <v>1513</v>
      </c>
      <c r="T544" t="s">
        <v>1514</v>
      </c>
      <c r="U544" t="b">
        <v>1</v>
      </c>
      <c r="V544" t="s">
        <v>63</v>
      </c>
      <c r="W544">
        <v>1.7</v>
      </c>
    </row>
    <row r="545" spans="1:23" hidden="1" x14ac:dyDescent="0.3">
      <c r="A545" t="s">
        <v>52</v>
      </c>
      <c r="B545" t="s">
        <v>53</v>
      </c>
      <c r="C545" t="s">
        <v>17</v>
      </c>
      <c r="D545" t="s">
        <v>26</v>
      </c>
      <c r="E545" t="s">
        <v>27</v>
      </c>
      <c r="F545" t="s">
        <v>363</v>
      </c>
      <c r="G545" t="s">
        <v>381</v>
      </c>
      <c r="H545" t="s">
        <v>365</v>
      </c>
      <c r="I545" t="s">
        <v>13</v>
      </c>
      <c r="J545" t="s">
        <v>382</v>
      </c>
      <c r="K545" t="s">
        <v>383</v>
      </c>
      <c r="L545" t="s">
        <v>368</v>
      </c>
      <c r="M545">
        <v>45</v>
      </c>
      <c r="N545" t="b">
        <v>0</v>
      </c>
      <c r="O545">
        <v>0.81434599156118137</v>
      </c>
      <c r="P545">
        <v>0.79098360655737709</v>
      </c>
      <c r="Q545">
        <v>0.83913043478260874</v>
      </c>
      <c r="R545" t="s">
        <v>60</v>
      </c>
      <c r="S545" t="s">
        <v>1515</v>
      </c>
      <c r="T545" t="s">
        <v>1516</v>
      </c>
      <c r="U545" t="b">
        <v>1</v>
      </c>
      <c r="V545" t="s">
        <v>63</v>
      </c>
      <c r="W545">
        <v>1.3</v>
      </c>
    </row>
    <row r="546" spans="1:23" hidden="1" x14ac:dyDescent="0.3">
      <c r="A546" t="s">
        <v>52</v>
      </c>
      <c r="B546" t="s">
        <v>53</v>
      </c>
      <c r="C546" t="s">
        <v>17</v>
      </c>
      <c r="D546" t="s">
        <v>26</v>
      </c>
      <c r="E546" t="s">
        <v>27</v>
      </c>
      <c r="F546" t="s">
        <v>363</v>
      </c>
      <c r="G546" t="s">
        <v>386</v>
      </c>
      <c r="H546" t="s">
        <v>365</v>
      </c>
      <c r="I546" t="s">
        <v>13</v>
      </c>
      <c r="J546" t="s">
        <v>387</v>
      </c>
      <c r="K546" t="s">
        <v>388</v>
      </c>
      <c r="L546" t="s">
        <v>368</v>
      </c>
      <c r="M546">
        <v>46</v>
      </c>
      <c r="N546" t="b">
        <v>0</v>
      </c>
      <c r="O546">
        <v>0.81276595744680846</v>
      </c>
      <c r="P546">
        <v>0.79583333333333328</v>
      </c>
      <c r="Q546">
        <v>0.83043478260869563</v>
      </c>
      <c r="R546" t="s">
        <v>60</v>
      </c>
      <c r="S546" t="s">
        <v>1517</v>
      </c>
      <c r="T546" t="s">
        <v>1518</v>
      </c>
      <c r="U546" t="b">
        <v>1</v>
      </c>
      <c r="V546" t="s">
        <v>63</v>
      </c>
      <c r="W546">
        <v>1.3</v>
      </c>
    </row>
    <row r="547" spans="1:23" hidden="1" x14ac:dyDescent="0.3">
      <c r="A547" t="s">
        <v>52</v>
      </c>
      <c r="B547" t="s">
        <v>53</v>
      </c>
      <c r="C547" t="s">
        <v>17</v>
      </c>
      <c r="D547" t="s">
        <v>26</v>
      </c>
      <c r="E547" t="s">
        <v>27</v>
      </c>
      <c r="F547" t="s">
        <v>363</v>
      </c>
      <c r="G547" t="s">
        <v>391</v>
      </c>
      <c r="H547" t="s">
        <v>365</v>
      </c>
      <c r="I547" t="s">
        <v>13</v>
      </c>
      <c r="J547" t="s">
        <v>392</v>
      </c>
      <c r="K547" t="s">
        <v>393</v>
      </c>
      <c r="L547" t="s">
        <v>368</v>
      </c>
      <c r="M547">
        <v>47</v>
      </c>
      <c r="N547" t="b">
        <v>0</v>
      </c>
      <c r="O547">
        <v>0.82254697286012524</v>
      </c>
      <c r="P547">
        <v>0.79116465863453811</v>
      </c>
      <c r="Q547">
        <v>0.85652173913043483</v>
      </c>
      <c r="R547" t="s">
        <v>60</v>
      </c>
      <c r="S547" t="s">
        <v>1519</v>
      </c>
      <c r="T547" t="s">
        <v>1520</v>
      </c>
      <c r="U547" t="b">
        <v>1</v>
      </c>
      <c r="V547" t="s">
        <v>63</v>
      </c>
      <c r="W547">
        <v>1.3</v>
      </c>
    </row>
    <row r="548" spans="1:23" hidden="1" x14ac:dyDescent="0.3">
      <c r="A548" t="s">
        <v>52</v>
      </c>
      <c r="B548" t="s">
        <v>53</v>
      </c>
      <c r="C548" t="s">
        <v>17</v>
      </c>
      <c r="D548" t="s">
        <v>26</v>
      </c>
      <c r="E548" t="s">
        <v>27</v>
      </c>
      <c r="F548" t="s">
        <v>363</v>
      </c>
      <c r="G548" t="s">
        <v>396</v>
      </c>
      <c r="H548" t="s">
        <v>365</v>
      </c>
      <c r="I548" t="s">
        <v>13</v>
      </c>
      <c r="J548" t="s">
        <v>397</v>
      </c>
      <c r="K548" t="s">
        <v>398</v>
      </c>
      <c r="L548" t="s">
        <v>368</v>
      </c>
      <c r="M548">
        <v>48</v>
      </c>
      <c r="N548" t="b">
        <v>0</v>
      </c>
      <c r="O548">
        <v>0.80167014613778709</v>
      </c>
      <c r="P548">
        <v>0.77108433734939763</v>
      </c>
      <c r="Q548">
        <v>0.83478260869565213</v>
      </c>
      <c r="R548" t="s">
        <v>60</v>
      </c>
      <c r="S548" t="s">
        <v>1521</v>
      </c>
      <c r="T548" t="s">
        <v>1522</v>
      </c>
      <c r="U548" t="b">
        <v>1</v>
      </c>
      <c r="V548" t="s">
        <v>63</v>
      </c>
      <c r="W548">
        <v>1.8</v>
      </c>
    </row>
    <row r="549" spans="1:23" hidden="1" x14ac:dyDescent="0.3">
      <c r="A549" t="s">
        <v>52</v>
      </c>
      <c r="B549" t="s">
        <v>53</v>
      </c>
      <c r="C549" t="s">
        <v>17</v>
      </c>
      <c r="D549" t="s">
        <v>26</v>
      </c>
      <c r="E549" t="s">
        <v>27</v>
      </c>
      <c r="F549" t="s">
        <v>363</v>
      </c>
      <c r="G549" t="s">
        <v>401</v>
      </c>
      <c r="H549" t="s">
        <v>365</v>
      </c>
      <c r="I549" t="s">
        <v>13</v>
      </c>
      <c r="J549" t="s">
        <v>402</v>
      </c>
      <c r="K549" t="s">
        <v>403</v>
      </c>
      <c r="L549" t="s">
        <v>368</v>
      </c>
      <c r="M549">
        <v>49</v>
      </c>
      <c r="N549" t="b">
        <v>0</v>
      </c>
      <c r="O549">
        <v>0.80679405520169845</v>
      </c>
      <c r="P549">
        <v>0.78838174273858919</v>
      </c>
      <c r="Q549">
        <v>0.82608695652173914</v>
      </c>
      <c r="R549" t="s">
        <v>60</v>
      </c>
      <c r="S549" t="s">
        <v>1523</v>
      </c>
      <c r="T549" t="s">
        <v>1524</v>
      </c>
      <c r="U549" t="b">
        <v>1</v>
      </c>
      <c r="V549" t="s">
        <v>63</v>
      </c>
      <c r="W549">
        <v>1.3</v>
      </c>
    </row>
    <row r="550" spans="1:23" hidden="1" x14ac:dyDescent="0.3">
      <c r="A550" t="s">
        <v>52</v>
      </c>
      <c r="B550" t="s">
        <v>53</v>
      </c>
      <c r="C550" t="s">
        <v>17</v>
      </c>
      <c r="D550" t="s">
        <v>26</v>
      </c>
      <c r="E550" t="s">
        <v>27</v>
      </c>
      <c r="F550" t="s">
        <v>363</v>
      </c>
      <c r="G550" t="s">
        <v>406</v>
      </c>
      <c r="H550" t="s">
        <v>365</v>
      </c>
      <c r="I550" t="s">
        <v>13</v>
      </c>
      <c r="J550" t="s">
        <v>407</v>
      </c>
      <c r="K550" t="s">
        <v>408</v>
      </c>
      <c r="L550" t="s">
        <v>368</v>
      </c>
      <c r="M550">
        <v>50</v>
      </c>
      <c r="N550" t="b">
        <v>0</v>
      </c>
      <c r="O550">
        <v>0.81092436974789917</v>
      </c>
      <c r="P550">
        <v>0.78455284552845528</v>
      </c>
      <c r="Q550">
        <v>0.83913043478260874</v>
      </c>
      <c r="R550" t="s">
        <v>60</v>
      </c>
      <c r="S550" t="s">
        <v>1525</v>
      </c>
      <c r="T550" t="s">
        <v>1526</v>
      </c>
      <c r="U550" t="b">
        <v>1</v>
      </c>
      <c r="V550" t="s">
        <v>63</v>
      </c>
      <c r="W550">
        <v>1.7</v>
      </c>
    </row>
    <row r="551" spans="1:23" hidden="1" x14ac:dyDescent="0.3">
      <c r="A551" t="s">
        <v>52</v>
      </c>
      <c r="B551" t="s">
        <v>53</v>
      </c>
      <c r="C551" t="s">
        <v>17</v>
      </c>
      <c r="D551" t="s">
        <v>26</v>
      </c>
      <c r="E551" t="s">
        <v>27</v>
      </c>
      <c r="F551" t="s">
        <v>363</v>
      </c>
      <c r="G551" t="s">
        <v>411</v>
      </c>
      <c r="H551" t="s">
        <v>365</v>
      </c>
      <c r="I551" t="s">
        <v>13</v>
      </c>
      <c r="J551" t="s">
        <v>412</v>
      </c>
      <c r="K551" t="s">
        <v>413</v>
      </c>
      <c r="L551" t="s">
        <v>368</v>
      </c>
      <c r="M551">
        <v>51</v>
      </c>
      <c r="N551" t="b">
        <v>0</v>
      </c>
      <c r="O551">
        <v>0.81171548117154813</v>
      </c>
      <c r="P551">
        <v>0.782258064516129</v>
      </c>
      <c r="Q551">
        <v>0.84347826086956523</v>
      </c>
      <c r="R551" t="s">
        <v>60</v>
      </c>
      <c r="S551" t="s">
        <v>1527</v>
      </c>
      <c r="T551" t="s">
        <v>1528</v>
      </c>
      <c r="U551" t="b">
        <v>1</v>
      </c>
      <c r="V551" t="s">
        <v>63</v>
      </c>
      <c r="W551">
        <v>1.3</v>
      </c>
    </row>
    <row r="552" spans="1:23" hidden="1" x14ac:dyDescent="0.3">
      <c r="A552" t="s">
        <v>52</v>
      </c>
      <c r="B552" t="s">
        <v>53</v>
      </c>
      <c r="C552" t="s">
        <v>17</v>
      </c>
      <c r="D552" t="s">
        <v>26</v>
      </c>
      <c r="E552" t="s">
        <v>27</v>
      </c>
      <c r="F552" t="s">
        <v>363</v>
      </c>
      <c r="G552" t="s">
        <v>416</v>
      </c>
      <c r="H552" t="s">
        <v>365</v>
      </c>
      <c r="I552" t="s">
        <v>13</v>
      </c>
      <c r="J552" t="s">
        <v>417</v>
      </c>
      <c r="K552" t="s">
        <v>418</v>
      </c>
      <c r="L552" t="s">
        <v>368</v>
      </c>
      <c r="M552">
        <v>52</v>
      </c>
      <c r="N552" t="b">
        <v>0</v>
      </c>
      <c r="O552">
        <v>0.80584551148225458</v>
      </c>
      <c r="P552">
        <v>0.77510040160642568</v>
      </c>
      <c r="Q552">
        <v>0.83913043478260874</v>
      </c>
      <c r="R552" t="s">
        <v>60</v>
      </c>
      <c r="S552" t="s">
        <v>1529</v>
      </c>
      <c r="T552" t="s">
        <v>1530</v>
      </c>
      <c r="U552" t="b">
        <v>1</v>
      </c>
      <c r="V552" t="s">
        <v>63</v>
      </c>
      <c r="W552">
        <v>1.3</v>
      </c>
    </row>
    <row r="553" spans="1:23" hidden="1" x14ac:dyDescent="0.3">
      <c r="A553" t="s">
        <v>52</v>
      </c>
      <c r="B553" t="s">
        <v>53</v>
      </c>
      <c r="C553" t="s">
        <v>17</v>
      </c>
      <c r="D553" t="s">
        <v>26</v>
      </c>
      <c r="E553" t="s">
        <v>27</v>
      </c>
      <c r="F553" t="s">
        <v>363</v>
      </c>
      <c r="G553" t="s">
        <v>421</v>
      </c>
      <c r="H553" t="s">
        <v>365</v>
      </c>
      <c r="I553" t="s">
        <v>13</v>
      </c>
      <c r="J553" t="s">
        <v>422</v>
      </c>
      <c r="K553" t="s">
        <v>423</v>
      </c>
      <c r="L553" t="s">
        <v>368</v>
      </c>
      <c r="M553">
        <v>53</v>
      </c>
      <c r="N553" t="b">
        <v>0</v>
      </c>
      <c r="O553">
        <v>0.81002087682672241</v>
      </c>
      <c r="P553">
        <v>0.77911646586345384</v>
      </c>
      <c r="Q553">
        <v>0.84347826086956523</v>
      </c>
      <c r="R553" t="s">
        <v>60</v>
      </c>
      <c r="S553" t="s">
        <v>1531</v>
      </c>
      <c r="T553" t="s">
        <v>1532</v>
      </c>
      <c r="U553" t="b">
        <v>1</v>
      </c>
      <c r="V553" t="s">
        <v>63</v>
      </c>
      <c r="W553">
        <v>1.3</v>
      </c>
    </row>
    <row r="554" spans="1:23" hidden="1" x14ac:dyDescent="0.3">
      <c r="A554" t="s">
        <v>52</v>
      </c>
      <c r="B554" t="s">
        <v>53</v>
      </c>
      <c r="C554" t="s">
        <v>17</v>
      </c>
      <c r="D554" t="s">
        <v>26</v>
      </c>
      <c r="E554" t="s">
        <v>27</v>
      </c>
      <c r="F554" t="s">
        <v>363</v>
      </c>
      <c r="G554" t="s">
        <v>426</v>
      </c>
      <c r="H554" t="s">
        <v>365</v>
      </c>
      <c r="I554" t="s">
        <v>13</v>
      </c>
      <c r="J554" t="s">
        <v>427</v>
      </c>
      <c r="K554" t="s">
        <v>428</v>
      </c>
      <c r="L554" t="s">
        <v>368</v>
      </c>
      <c r="M554">
        <v>54</v>
      </c>
      <c r="N554" t="b">
        <v>0</v>
      </c>
      <c r="O554">
        <v>0.83991683991683985</v>
      </c>
      <c r="P554">
        <v>0.80478087649402386</v>
      </c>
      <c r="Q554">
        <v>0.87826086956521743</v>
      </c>
      <c r="R554" t="s">
        <v>60</v>
      </c>
      <c r="S554" t="s">
        <v>1533</v>
      </c>
      <c r="T554" t="s">
        <v>1534</v>
      </c>
      <c r="U554" t="b">
        <v>1</v>
      </c>
      <c r="V554" t="s">
        <v>63</v>
      </c>
      <c r="W554">
        <v>1.8</v>
      </c>
    </row>
    <row r="555" spans="1:23" hidden="1" x14ac:dyDescent="0.3">
      <c r="A555" t="s">
        <v>52</v>
      </c>
      <c r="B555" t="s">
        <v>53</v>
      </c>
      <c r="C555" t="s">
        <v>17</v>
      </c>
      <c r="D555" t="s">
        <v>26</v>
      </c>
      <c r="E555" t="s">
        <v>27</v>
      </c>
      <c r="F555" t="s">
        <v>363</v>
      </c>
      <c r="G555" t="s">
        <v>431</v>
      </c>
      <c r="H555" t="s">
        <v>365</v>
      </c>
      <c r="I555" t="s">
        <v>13</v>
      </c>
      <c r="J555" t="s">
        <v>432</v>
      </c>
      <c r="K555" t="s">
        <v>433</v>
      </c>
      <c r="L555" t="s">
        <v>368</v>
      </c>
      <c r="M555">
        <v>55</v>
      </c>
      <c r="N555" t="b">
        <v>0</v>
      </c>
      <c r="O555">
        <v>0.80753138075313802</v>
      </c>
      <c r="P555">
        <v>0.77822580645161288</v>
      </c>
      <c r="Q555">
        <v>0.83913043478260874</v>
      </c>
      <c r="R555" t="s">
        <v>60</v>
      </c>
      <c r="S555" t="s">
        <v>1535</v>
      </c>
      <c r="T555" t="s">
        <v>1536</v>
      </c>
      <c r="U555" t="b">
        <v>1</v>
      </c>
      <c r="V555" t="s">
        <v>63</v>
      </c>
      <c r="W555">
        <v>1.3</v>
      </c>
    </row>
    <row r="556" spans="1:23" hidden="1" x14ac:dyDescent="0.3">
      <c r="A556" t="s">
        <v>52</v>
      </c>
      <c r="B556" t="s">
        <v>53</v>
      </c>
      <c r="C556" t="s">
        <v>17</v>
      </c>
      <c r="D556" t="s">
        <v>26</v>
      </c>
      <c r="E556" t="s">
        <v>27</v>
      </c>
      <c r="F556" t="s">
        <v>363</v>
      </c>
      <c r="G556" t="s">
        <v>436</v>
      </c>
      <c r="H556" t="s">
        <v>365</v>
      </c>
      <c r="I556" t="s">
        <v>13</v>
      </c>
      <c r="J556" t="s">
        <v>437</v>
      </c>
      <c r="K556" t="s">
        <v>438</v>
      </c>
      <c r="L556" t="s">
        <v>368</v>
      </c>
      <c r="M556">
        <v>56</v>
      </c>
      <c r="N556" t="b">
        <v>0</v>
      </c>
      <c r="O556">
        <v>0.82203389830508478</v>
      </c>
      <c r="P556">
        <v>0.80165289256198347</v>
      </c>
      <c r="Q556">
        <v>0.84347826086956523</v>
      </c>
      <c r="R556" t="s">
        <v>60</v>
      </c>
      <c r="S556" t="s">
        <v>1537</v>
      </c>
      <c r="T556" t="s">
        <v>1538</v>
      </c>
      <c r="U556" t="b">
        <v>1</v>
      </c>
      <c r="V556" t="s">
        <v>63</v>
      </c>
      <c r="W556">
        <v>1.3</v>
      </c>
    </row>
    <row r="557" spans="1:23" hidden="1" x14ac:dyDescent="0.3">
      <c r="A557" t="s">
        <v>52</v>
      </c>
      <c r="B557" t="s">
        <v>53</v>
      </c>
      <c r="C557" t="s">
        <v>17</v>
      </c>
      <c r="D557" t="s">
        <v>26</v>
      </c>
      <c r="E557" t="s">
        <v>27</v>
      </c>
      <c r="F557" t="s">
        <v>363</v>
      </c>
      <c r="G557" t="s">
        <v>441</v>
      </c>
      <c r="H557" t="s">
        <v>365</v>
      </c>
      <c r="I557" t="s">
        <v>13</v>
      </c>
      <c r="J557" t="s">
        <v>442</v>
      </c>
      <c r="K557" t="s">
        <v>443</v>
      </c>
      <c r="L557" t="s">
        <v>368</v>
      </c>
      <c r="M557">
        <v>57</v>
      </c>
      <c r="N557" t="b">
        <v>0</v>
      </c>
      <c r="O557">
        <v>0.83544303797468356</v>
      </c>
      <c r="P557">
        <v>0.81147540983606559</v>
      </c>
      <c r="Q557">
        <v>0.86086956521739133</v>
      </c>
      <c r="R557" t="s">
        <v>60</v>
      </c>
      <c r="S557" t="s">
        <v>1539</v>
      </c>
      <c r="T557" t="s">
        <v>1540</v>
      </c>
      <c r="U557" t="b">
        <v>1</v>
      </c>
      <c r="V557" t="s">
        <v>63</v>
      </c>
      <c r="W557">
        <v>1.7</v>
      </c>
    </row>
    <row r="558" spans="1:23" hidden="1" x14ac:dyDescent="0.3">
      <c r="A558" t="s">
        <v>52</v>
      </c>
      <c r="B558" t="s">
        <v>53</v>
      </c>
      <c r="C558" t="s">
        <v>17</v>
      </c>
      <c r="D558" t="s">
        <v>26</v>
      </c>
      <c r="E558" t="s">
        <v>27</v>
      </c>
      <c r="F558" t="s">
        <v>363</v>
      </c>
      <c r="G558" t="s">
        <v>446</v>
      </c>
      <c r="H558" t="s">
        <v>365</v>
      </c>
      <c r="I558" t="s">
        <v>13</v>
      </c>
      <c r="J558" t="s">
        <v>447</v>
      </c>
      <c r="K558" t="s">
        <v>448</v>
      </c>
      <c r="L558" t="s">
        <v>368</v>
      </c>
      <c r="M558">
        <v>58</v>
      </c>
      <c r="N558" t="b">
        <v>0</v>
      </c>
      <c r="O558">
        <v>0.82452431289640593</v>
      </c>
      <c r="P558">
        <v>0.80246913580246915</v>
      </c>
      <c r="Q558">
        <v>0.84782608695652173</v>
      </c>
      <c r="R558" t="s">
        <v>60</v>
      </c>
      <c r="S558" t="s">
        <v>1541</v>
      </c>
      <c r="T558" t="s">
        <v>1542</v>
      </c>
      <c r="U558" t="b">
        <v>1</v>
      </c>
      <c r="V558" t="s">
        <v>63</v>
      </c>
      <c r="W558">
        <v>1.3</v>
      </c>
    </row>
    <row r="559" spans="1:23" hidden="1" x14ac:dyDescent="0.3">
      <c r="A559" t="s">
        <v>52</v>
      </c>
      <c r="B559" t="s">
        <v>53</v>
      </c>
      <c r="C559" t="s">
        <v>17</v>
      </c>
      <c r="D559" t="s">
        <v>26</v>
      </c>
      <c r="E559" t="s">
        <v>27</v>
      </c>
      <c r="F559" t="s">
        <v>363</v>
      </c>
      <c r="G559" t="s">
        <v>451</v>
      </c>
      <c r="H559" t="s">
        <v>365</v>
      </c>
      <c r="I559" t="s">
        <v>13</v>
      </c>
      <c r="J559" t="s">
        <v>452</v>
      </c>
      <c r="K559" t="s">
        <v>453</v>
      </c>
      <c r="L559" t="s">
        <v>368</v>
      </c>
      <c r="M559">
        <v>59</v>
      </c>
      <c r="N559" t="b">
        <v>0</v>
      </c>
      <c r="O559">
        <v>0.80590717299578063</v>
      </c>
      <c r="P559">
        <v>0.78278688524590168</v>
      </c>
      <c r="Q559">
        <v>0.83043478260869563</v>
      </c>
      <c r="R559" t="s">
        <v>60</v>
      </c>
      <c r="S559" t="s">
        <v>1543</v>
      </c>
      <c r="T559" t="s">
        <v>1544</v>
      </c>
      <c r="U559" t="b">
        <v>1</v>
      </c>
      <c r="V559" t="s">
        <v>63</v>
      </c>
      <c r="W559">
        <v>1.7</v>
      </c>
    </row>
    <row r="560" spans="1:23" hidden="1" x14ac:dyDescent="0.3">
      <c r="A560" t="s">
        <v>52</v>
      </c>
      <c r="B560" t="s">
        <v>53</v>
      </c>
      <c r="C560" t="s">
        <v>17</v>
      </c>
      <c r="D560" t="s">
        <v>26</v>
      </c>
      <c r="E560" t="s">
        <v>27</v>
      </c>
      <c r="F560" t="s">
        <v>363</v>
      </c>
      <c r="G560" t="s">
        <v>456</v>
      </c>
      <c r="H560" t="s">
        <v>365</v>
      </c>
      <c r="I560" t="s">
        <v>13</v>
      </c>
      <c r="J560" t="s">
        <v>457</v>
      </c>
      <c r="K560" t="s">
        <v>458</v>
      </c>
      <c r="L560" t="s">
        <v>368</v>
      </c>
      <c r="M560">
        <v>60</v>
      </c>
      <c r="N560" t="b">
        <v>0</v>
      </c>
      <c r="O560">
        <v>0.80167014613778709</v>
      </c>
      <c r="P560">
        <v>0.77108433734939763</v>
      </c>
      <c r="Q560">
        <v>0.83478260869565213</v>
      </c>
      <c r="R560" t="s">
        <v>60</v>
      </c>
      <c r="S560" t="s">
        <v>1545</v>
      </c>
      <c r="T560" t="s">
        <v>1546</v>
      </c>
      <c r="U560" t="b">
        <v>1</v>
      </c>
      <c r="V560" t="s">
        <v>63</v>
      </c>
      <c r="W560">
        <v>1.3</v>
      </c>
    </row>
    <row r="561" spans="1:23" hidden="1" x14ac:dyDescent="0.3">
      <c r="A561" t="s">
        <v>52</v>
      </c>
      <c r="B561" t="s">
        <v>53</v>
      </c>
      <c r="C561" t="s">
        <v>17</v>
      </c>
      <c r="D561" t="s">
        <v>26</v>
      </c>
      <c r="E561" t="s">
        <v>27</v>
      </c>
      <c r="F561" t="s">
        <v>363</v>
      </c>
      <c r="G561" t="s">
        <v>461</v>
      </c>
      <c r="H561" t="s">
        <v>365</v>
      </c>
      <c r="I561" t="s">
        <v>13</v>
      </c>
      <c r="J561" t="s">
        <v>462</v>
      </c>
      <c r="K561" t="s">
        <v>463</v>
      </c>
      <c r="L561" t="s">
        <v>368</v>
      </c>
      <c r="M561">
        <v>61</v>
      </c>
      <c r="N561" t="b">
        <v>0</v>
      </c>
      <c r="O561">
        <v>0.79245283018867918</v>
      </c>
      <c r="P561">
        <v>0.76518218623481782</v>
      </c>
      <c r="Q561">
        <v>0.82173913043478264</v>
      </c>
      <c r="R561" t="s">
        <v>60</v>
      </c>
      <c r="S561" t="s">
        <v>1547</v>
      </c>
      <c r="T561" t="s">
        <v>1548</v>
      </c>
      <c r="U561" t="b">
        <v>1</v>
      </c>
      <c r="V561" t="s">
        <v>63</v>
      </c>
      <c r="W561">
        <v>1.3</v>
      </c>
    </row>
    <row r="562" spans="1:23" hidden="1" x14ac:dyDescent="0.3">
      <c r="A562" t="s">
        <v>52</v>
      </c>
      <c r="B562" t="s">
        <v>53</v>
      </c>
      <c r="C562" t="s">
        <v>17</v>
      </c>
      <c r="D562" t="s">
        <v>26</v>
      </c>
      <c r="E562" t="s">
        <v>27</v>
      </c>
      <c r="F562" t="s">
        <v>363</v>
      </c>
      <c r="G562" t="s">
        <v>466</v>
      </c>
      <c r="H562" t="s">
        <v>467</v>
      </c>
      <c r="I562" t="s">
        <v>9</v>
      </c>
      <c r="J562" t="s">
        <v>468</v>
      </c>
      <c r="K562" t="s">
        <v>469</v>
      </c>
      <c r="L562" t="s">
        <v>470</v>
      </c>
      <c r="M562">
        <v>42</v>
      </c>
      <c r="N562" t="b">
        <v>0</v>
      </c>
      <c r="O562">
        <v>0.83667621776504297</v>
      </c>
      <c r="P562">
        <v>0.81111111111111112</v>
      </c>
      <c r="Q562">
        <v>0.86390532544378695</v>
      </c>
      <c r="R562" t="s">
        <v>60</v>
      </c>
      <c r="S562" t="s">
        <v>1549</v>
      </c>
      <c r="T562" t="s">
        <v>1550</v>
      </c>
      <c r="U562" t="b">
        <v>1</v>
      </c>
      <c r="V562" t="s">
        <v>63</v>
      </c>
      <c r="W562">
        <v>1.6</v>
      </c>
    </row>
    <row r="563" spans="1:23" hidden="1" x14ac:dyDescent="0.3">
      <c r="A563" t="s">
        <v>52</v>
      </c>
      <c r="B563" t="s">
        <v>53</v>
      </c>
      <c r="C563" t="s">
        <v>17</v>
      </c>
      <c r="D563" t="s">
        <v>26</v>
      </c>
      <c r="E563" t="s">
        <v>27</v>
      </c>
      <c r="F563" t="s">
        <v>363</v>
      </c>
      <c r="G563" t="s">
        <v>473</v>
      </c>
      <c r="H563" t="s">
        <v>467</v>
      </c>
      <c r="I563" t="s">
        <v>9</v>
      </c>
      <c r="J563" t="s">
        <v>474</v>
      </c>
      <c r="K563" t="s">
        <v>475</v>
      </c>
      <c r="L563" t="s">
        <v>470</v>
      </c>
      <c r="M563">
        <v>43</v>
      </c>
      <c r="N563" t="b">
        <v>0</v>
      </c>
      <c r="O563">
        <v>0.84955752212389379</v>
      </c>
      <c r="P563">
        <v>0.84705882352941175</v>
      </c>
      <c r="Q563">
        <v>0.85207100591715978</v>
      </c>
      <c r="R563" t="s">
        <v>60</v>
      </c>
      <c r="S563" t="s">
        <v>1551</v>
      </c>
      <c r="T563" t="s">
        <v>1552</v>
      </c>
      <c r="U563" t="b">
        <v>1</v>
      </c>
      <c r="V563" t="s">
        <v>63</v>
      </c>
      <c r="W563">
        <v>1.1000000000000001</v>
      </c>
    </row>
    <row r="564" spans="1:23" hidden="1" x14ac:dyDescent="0.3">
      <c r="A564" t="s">
        <v>52</v>
      </c>
      <c r="B564" t="s">
        <v>53</v>
      </c>
      <c r="C564" t="s">
        <v>17</v>
      </c>
      <c r="D564" t="s">
        <v>26</v>
      </c>
      <c r="E564" t="s">
        <v>27</v>
      </c>
      <c r="F564" t="s">
        <v>363</v>
      </c>
      <c r="G564" t="s">
        <v>478</v>
      </c>
      <c r="H564" t="s">
        <v>467</v>
      </c>
      <c r="I564" t="s">
        <v>9</v>
      </c>
      <c r="J564" t="s">
        <v>479</v>
      </c>
      <c r="K564" t="s">
        <v>480</v>
      </c>
      <c r="L564" t="s">
        <v>470</v>
      </c>
      <c r="M564">
        <v>44</v>
      </c>
      <c r="N564" t="b">
        <v>0</v>
      </c>
      <c r="O564">
        <v>0.83852691218130315</v>
      </c>
      <c r="P564">
        <v>0.80434782608695654</v>
      </c>
      <c r="Q564">
        <v>0.87573964497041423</v>
      </c>
      <c r="R564" t="s">
        <v>60</v>
      </c>
      <c r="S564" t="s">
        <v>1553</v>
      </c>
      <c r="T564" t="s">
        <v>1554</v>
      </c>
      <c r="U564" t="b">
        <v>1</v>
      </c>
      <c r="V564" t="s">
        <v>63</v>
      </c>
      <c r="W564">
        <v>1.2</v>
      </c>
    </row>
    <row r="565" spans="1:23" hidden="1" x14ac:dyDescent="0.3">
      <c r="A565" t="s">
        <v>52</v>
      </c>
      <c r="B565" t="s">
        <v>53</v>
      </c>
      <c r="C565" t="s">
        <v>17</v>
      </c>
      <c r="D565" t="s">
        <v>26</v>
      </c>
      <c r="E565" t="s">
        <v>27</v>
      </c>
      <c r="F565" t="s">
        <v>363</v>
      </c>
      <c r="G565" t="s">
        <v>483</v>
      </c>
      <c r="H565" t="s">
        <v>467</v>
      </c>
      <c r="I565" t="s">
        <v>9</v>
      </c>
      <c r="J565" t="s">
        <v>484</v>
      </c>
      <c r="K565" t="s">
        <v>485</v>
      </c>
      <c r="L565" t="s">
        <v>470</v>
      </c>
      <c r="M565">
        <v>45</v>
      </c>
      <c r="N565" t="b">
        <v>0</v>
      </c>
      <c r="O565">
        <v>0.83428571428571441</v>
      </c>
      <c r="P565">
        <v>0.8066298342541437</v>
      </c>
      <c r="Q565">
        <v>0.86390532544378695</v>
      </c>
      <c r="R565" t="s">
        <v>60</v>
      </c>
      <c r="S565" t="s">
        <v>1555</v>
      </c>
      <c r="T565" t="s">
        <v>1556</v>
      </c>
      <c r="U565" t="b">
        <v>1</v>
      </c>
      <c r="V565" t="s">
        <v>63</v>
      </c>
      <c r="W565">
        <v>1.5</v>
      </c>
    </row>
    <row r="566" spans="1:23" hidden="1" x14ac:dyDescent="0.3">
      <c r="A566" t="s">
        <v>52</v>
      </c>
      <c r="B566" t="s">
        <v>53</v>
      </c>
      <c r="C566" t="s">
        <v>17</v>
      </c>
      <c r="D566" t="s">
        <v>26</v>
      </c>
      <c r="E566" t="s">
        <v>27</v>
      </c>
      <c r="F566" t="s">
        <v>363</v>
      </c>
      <c r="G566" t="s">
        <v>488</v>
      </c>
      <c r="H566" t="s">
        <v>467</v>
      </c>
      <c r="I566" t="s">
        <v>9</v>
      </c>
      <c r="J566" t="s">
        <v>489</v>
      </c>
      <c r="K566" t="s">
        <v>490</v>
      </c>
      <c r="L566" t="s">
        <v>470</v>
      </c>
      <c r="M566">
        <v>46</v>
      </c>
      <c r="N566" t="b">
        <v>0</v>
      </c>
      <c r="O566">
        <v>0.82420749279538907</v>
      </c>
      <c r="P566">
        <v>0.8033707865168539</v>
      </c>
      <c r="Q566">
        <v>0.84615384615384615</v>
      </c>
      <c r="R566" t="s">
        <v>60</v>
      </c>
      <c r="S566" t="s">
        <v>1557</v>
      </c>
      <c r="T566" t="s">
        <v>1558</v>
      </c>
      <c r="U566" t="b">
        <v>1</v>
      </c>
      <c r="V566" t="s">
        <v>63</v>
      </c>
      <c r="W566">
        <v>1.2</v>
      </c>
    </row>
    <row r="567" spans="1:23" hidden="1" x14ac:dyDescent="0.3">
      <c r="A567" t="s">
        <v>52</v>
      </c>
      <c r="B567" t="s">
        <v>53</v>
      </c>
      <c r="C567" t="s">
        <v>17</v>
      </c>
      <c r="D567" t="s">
        <v>26</v>
      </c>
      <c r="E567" t="s">
        <v>27</v>
      </c>
      <c r="F567" t="s">
        <v>363</v>
      </c>
      <c r="G567" t="s">
        <v>493</v>
      </c>
      <c r="H567" t="s">
        <v>467</v>
      </c>
      <c r="I567" t="s">
        <v>9</v>
      </c>
      <c r="J567" t="s">
        <v>494</v>
      </c>
      <c r="K567" t="s">
        <v>495</v>
      </c>
      <c r="L567" t="s">
        <v>470</v>
      </c>
      <c r="M567">
        <v>47</v>
      </c>
      <c r="N567" t="b">
        <v>0</v>
      </c>
      <c r="O567">
        <v>0.84813753581661899</v>
      </c>
      <c r="P567">
        <v>0.82222222222222219</v>
      </c>
      <c r="Q567">
        <v>0.87573964497041423</v>
      </c>
      <c r="R567" t="s">
        <v>60</v>
      </c>
      <c r="S567" t="s">
        <v>1559</v>
      </c>
      <c r="T567" t="s">
        <v>1560</v>
      </c>
      <c r="U567" t="b">
        <v>1</v>
      </c>
      <c r="V567" t="s">
        <v>63</v>
      </c>
      <c r="W567">
        <v>1.1000000000000001</v>
      </c>
    </row>
    <row r="568" spans="1:23" hidden="1" x14ac:dyDescent="0.3">
      <c r="A568" t="s">
        <v>52</v>
      </c>
      <c r="B568" t="s">
        <v>53</v>
      </c>
      <c r="C568" t="s">
        <v>17</v>
      </c>
      <c r="D568" t="s">
        <v>26</v>
      </c>
      <c r="E568" t="s">
        <v>27</v>
      </c>
      <c r="F568" t="s">
        <v>363</v>
      </c>
      <c r="G568" t="s">
        <v>498</v>
      </c>
      <c r="H568" t="s">
        <v>467</v>
      </c>
      <c r="I568" t="s">
        <v>9</v>
      </c>
      <c r="J568" t="s">
        <v>499</v>
      </c>
      <c r="K568" t="s">
        <v>500</v>
      </c>
      <c r="L568" t="s">
        <v>470</v>
      </c>
      <c r="M568">
        <v>48</v>
      </c>
      <c r="N568" t="b">
        <v>0</v>
      </c>
      <c r="O568">
        <v>0.85142857142857153</v>
      </c>
      <c r="P568">
        <v>0.82320441988950277</v>
      </c>
      <c r="Q568">
        <v>0.88165680473372776</v>
      </c>
      <c r="R568" t="s">
        <v>60</v>
      </c>
      <c r="S568" t="s">
        <v>1561</v>
      </c>
      <c r="T568" t="s">
        <v>1562</v>
      </c>
      <c r="U568" t="b">
        <v>1</v>
      </c>
      <c r="V568" t="s">
        <v>63</v>
      </c>
      <c r="W568">
        <v>1.1000000000000001</v>
      </c>
    </row>
    <row r="569" spans="1:23" hidden="1" x14ac:dyDescent="0.3">
      <c r="A569" t="s">
        <v>52</v>
      </c>
      <c r="B569" t="s">
        <v>53</v>
      </c>
      <c r="C569" t="s">
        <v>17</v>
      </c>
      <c r="D569" t="s">
        <v>26</v>
      </c>
      <c r="E569" t="s">
        <v>27</v>
      </c>
      <c r="F569" t="s">
        <v>363</v>
      </c>
      <c r="G569" t="s">
        <v>503</v>
      </c>
      <c r="H569" t="s">
        <v>467</v>
      </c>
      <c r="I569" t="s">
        <v>9</v>
      </c>
      <c r="J569" t="s">
        <v>504</v>
      </c>
      <c r="K569" t="s">
        <v>505</v>
      </c>
      <c r="L569" t="s">
        <v>470</v>
      </c>
      <c r="M569">
        <v>49</v>
      </c>
      <c r="N569" t="b">
        <v>0</v>
      </c>
      <c r="O569">
        <v>0.83333333333333337</v>
      </c>
      <c r="P569">
        <v>0.81005586592178769</v>
      </c>
      <c r="Q569">
        <v>0.85798816568047342</v>
      </c>
      <c r="R569" t="s">
        <v>60</v>
      </c>
      <c r="S569" t="s">
        <v>1563</v>
      </c>
      <c r="T569" t="s">
        <v>1564</v>
      </c>
      <c r="U569" t="b">
        <v>1</v>
      </c>
      <c r="V569" t="s">
        <v>63</v>
      </c>
      <c r="W569">
        <v>1.6</v>
      </c>
    </row>
    <row r="570" spans="1:23" hidden="1" x14ac:dyDescent="0.3">
      <c r="A570" t="s">
        <v>52</v>
      </c>
      <c r="B570" t="s">
        <v>53</v>
      </c>
      <c r="C570" t="s">
        <v>17</v>
      </c>
      <c r="D570" t="s">
        <v>26</v>
      </c>
      <c r="E570" t="s">
        <v>27</v>
      </c>
      <c r="F570" t="s">
        <v>363</v>
      </c>
      <c r="G570" t="s">
        <v>508</v>
      </c>
      <c r="H570" t="s">
        <v>467</v>
      </c>
      <c r="I570" t="s">
        <v>9</v>
      </c>
      <c r="J570" t="s">
        <v>509</v>
      </c>
      <c r="K570" t="s">
        <v>510</v>
      </c>
      <c r="L570" t="s">
        <v>470</v>
      </c>
      <c r="M570">
        <v>50</v>
      </c>
      <c r="N570" t="b">
        <v>0</v>
      </c>
      <c r="O570">
        <v>0.82005899705014751</v>
      </c>
      <c r="P570">
        <v>0.81764705882352939</v>
      </c>
      <c r="Q570">
        <v>0.8224852071005917</v>
      </c>
      <c r="R570" t="s">
        <v>60</v>
      </c>
      <c r="S570" t="s">
        <v>1565</v>
      </c>
      <c r="T570" t="s">
        <v>1566</v>
      </c>
      <c r="U570" t="b">
        <v>1</v>
      </c>
      <c r="V570" t="s">
        <v>63</v>
      </c>
      <c r="W570">
        <v>1.2</v>
      </c>
    </row>
    <row r="571" spans="1:23" hidden="1" x14ac:dyDescent="0.3">
      <c r="A571" t="s">
        <v>52</v>
      </c>
      <c r="B571" t="s">
        <v>53</v>
      </c>
      <c r="C571" t="s">
        <v>17</v>
      </c>
      <c r="D571" t="s">
        <v>26</v>
      </c>
      <c r="E571" t="s">
        <v>27</v>
      </c>
      <c r="F571" t="s">
        <v>363</v>
      </c>
      <c r="G571" t="s">
        <v>513</v>
      </c>
      <c r="H571" t="s">
        <v>467</v>
      </c>
      <c r="I571" t="s">
        <v>9</v>
      </c>
      <c r="J571" t="s">
        <v>514</v>
      </c>
      <c r="K571" t="s">
        <v>515</v>
      </c>
      <c r="L571" t="s">
        <v>470</v>
      </c>
      <c r="M571">
        <v>51</v>
      </c>
      <c r="N571" t="b">
        <v>0</v>
      </c>
      <c r="O571">
        <v>0.85470085470085466</v>
      </c>
      <c r="P571">
        <v>0.82417582417582413</v>
      </c>
      <c r="Q571">
        <v>0.8875739644970414</v>
      </c>
      <c r="R571" t="s">
        <v>60</v>
      </c>
      <c r="S571" t="s">
        <v>1567</v>
      </c>
      <c r="T571" t="s">
        <v>1568</v>
      </c>
      <c r="U571" t="b">
        <v>1</v>
      </c>
      <c r="V571" t="s">
        <v>63</v>
      </c>
      <c r="W571">
        <v>1.2</v>
      </c>
    </row>
    <row r="572" spans="1:23" hidden="1" x14ac:dyDescent="0.3">
      <c r="A572" t="s">
        <v>52</v>
      </c>
      <c r="B572" t="s">
        <v>53</v>
      </c>
      <c r="C572" t="s">
        <v>17</v>
      </c>
      <c r="D572" t="s">
        <v>26</v>
      </c>
      <c r="E572" t="s">
        <v>27</v>
      </c>
      <c r="F572" t="s">
        <v>363</v>
      </c>
      <c r="G572" t="s">
        <v>518</v>
      </c>
      <c r="H572" t="s">
        <v>467</v>
      </c>
      <c r="I572" t="s">
        <v>9</v>
      </c>
      <c r="J572" t="s">
        <v>519</v>
      </c>
      <c r="K572" t="s">
        <v>520</v>
      </c>
      <c r="L572" t="s">
        <v>470</v>
      </c>
      <c r="M572">
        <v>52</v>
      </c>
      <c r="N572" t="b">
        <v>0</v>
      </c>
      <c r="O572">
        <v>0.82558139534883723</v>
      </c>
      <c r="P572">
        <v>0.81142857142857139</v>
      </c>
      <c r="Q572">
        <v>0.84023668639053251</v>
      </c>
      <c r="R572" t="s">
        <v>60</v>
      </c>
      <c r="S572" t="s">
        <v>1569</v>
      </c>
      <c r="T572" t="s">
        <v>1570</v>
      </c>
      <c r="U572" t="b">
        <v>1</v>
      </c>
      <c r="V572" t="s">
        <v>63</v>
      </c>
      <c r="W572">
        <v>1.1000000000000001</v>
      </c>
    </row>
    <row r="573" spans="1:23" hidden="1" x14ac:dyDescent="0.3">
      <c r="A573" t="s">
        <v>52</v>
      </c>
      <c r="B573" t="s">
        <v>53</v>
      </c>
      <c r="C573" t="s">
        <v>17</v>
      </c>
      <c r="D573" t="s">
        <v>26</v>
      </c>
      <c r="E573" t="s">
        <v>27</v>
      </c>
      <c r="F573" t="s">
        <v>363</v>
      </c>
      <c r="G573" t="s">
        <v>523</v>
      </c>
      <c r="H573" t="s">
        <v>467</v>
      </c>
      <c r="I573" t="s">
        <v>9</v>
      </c>
      <c r="J573" t="s">
        <v>524</v>
      </c>
      <c r="K573" t="s">
        <v>525</v>
      </c>
      <c r="L573" t="s">
        <v>470</v>
      </c>
      <c r="M573">
        <v>53</v>
      </c>
      <c r="N573" t="b">
        <v>0</v>
      </c>
      <c r="O573">
        <v>0.86376811594202896</v>
      </c>
      <c r="P573">
        <v>0.84659090909090906</v>
      </c>
      <c r="Q573">
        <v>0.88165680473372776</v>
      </c>
      <c r="R573" t="s">
        <v>60</v>
      </c>
      <c r="S573" t="s">
        <v>1571</v>
      </c>
      <c r="T573" t="s">
        <v>1572</v>
      </c>
      <c r="U573" t="b">
        <v>1</v>
      </c>
      <c r="V573" t="s">
        <v>63</v>
      </c>
      <c r="W573">
        <v>1.6</v>
      </c>
    </row>
    <row r="574" spans="1:23" hidden="1" x14ac:dyDescent="0.3">
      <c r="A574" t="s">
        <v>52</v>
      </c>
      <c r="B574" t="s">
        <v>53</v>
      </c>
      <c r="C574" t="s">
        <v>17</v>
      </c>
      <c r="D574" t="s">
        <v>26</v>
      </c>
      <c r="E574" t="s">
        <v>27</v>
      </c>
      <c r="F574" t="s">
        <v>363</v>
      </c>
      <c r="G574" t="s">
        <v>528</v>
      </c>
      <c r="H574" t="s">
        <v>467</v>
      </c>
      <c r="I574" t="s">
        <v>9</v>
      </c>
      <c r="J574" t="s">
        <v>529</v>
      </c>
      <c r="K574" t="s">
        <v>530</v>
      </c>
      <c r="L574" t="s">
        <v>470</v>
      </c>
      <c r="M574">
        <v>54</v>
      </c>
      <c r="N574" t="b">
        <v>0</v>
      </c>
      <c r="O574">
        <v>0.83094555873925513</v>
      </c>
      <c r="P574">
        <v>0.80555555555555558</v>
      </c>
      <c r="Q574">
        <v>0.85798816568047342</v>
      </c>
      <c r="R574" t="s">
        <v>60</v>
      </c>
      <c r="S574" t="s">
        <v>1573</v>
      </c>
      <c r="T574" t="s">
        <v>1574</v>
      </c>
      <c r="U574" t="b">
        <v>1</v>
      </c>
      <c r="V574" t="s">
        <v>63</v>
      </c>
      <c r="W574">
        <v>1.1000000000000001</v>
      </c>
    </row>
    <row r="575" spans="1:23" hidden="1" x14ac:dyDescent="0.3">
      <c r="A575" t="s">
        <v>52</v>
      </c>
      <c r="B575" t="s">
        <v>53</v>
      </c>
      <c r="C575" t="s">
        <v>17</v>
      </c>
      <c r="D575" t="s">
        <v>26</v>
      </c>
      <c r="E575" t="s">
        <v>27</v>
      </c>
      <c r="F575" t="s">
        <v>363</v>
      </c>
      <c r="G575" t="s">
        <v>533</v>
      </c>
      <c r="H575" t="s">
        <v>467</v>
      </c>
      <c r="I575" t="s">
        <v>9</v>
      </c>
      <c r="J575" t="s">
        <v>534</v>
      </c>
      <c r="K575" t="s">
        <v>535</v>
      </c>
      <c r="L575" t="s">
        <v>470</v>
      </c>
      <c r="M575">
        <v>55</v>
      </c>
      <c r="N575" t="b">
        <v>0</v>
      </c>
      <c r="O575">
        <v>0.85470085470085466</v>
      </c>
      <c r="P575">
        <v>0.82417582417582413</v>
      </c>
      <c r="Q575">
        <v>0.8875739644970414</v>
      </c>
      <c r="R575" t="s">
        <v>60</v>
      </c>
      <c r="S575" t="s">
        <v>1575</v>
      </c>
      <c r="T575" t="s">
        <v>1576</v>
      </c>
      <c r="U575" t="b">
        <v>1</v>
      </c>
      <c r="V575" t="s">
        <v>63</v>
      </c>
      <c r="W575">
        <v>1.1000000000000001</v>
      </c>
    </row>
    <row r="576" spans="1:23" hidden="1" x14ac:dyDescent="0.3">
      <c r="A576" t="s">
        <v>52</v>
      </c>
      <c r="B576" t="s">
        <v>53</v>
      </c>
      <c r="C576" t="s">
        <v>17</v>
      </c>
      <c r="D576" t="s">
        <v>26</v>
      </c>
      <c r="E576" t="s">
        <v>27</v>
      </c>
      <c r="F576" t="s">
        <v>363</v>
      </c>
      <c r="G576" t="s">
        <v>538</v>
      </c>
      <c r="H576" t="s">
        <v>467</v>
      </c>
      <c r="I576" t="s">
        <v>9</v>
      </c>
      <c r="J576" t="s">
        <v>539</v>
      </c>
      <c r="K576" t="s">
        <v>540</v>
      </c>
      <c r="L576" t="s">
        <v>470</v>
      </c>
      <c r="M576">
        <v>56</v>
      </c>
      <c r="N576" t="b">
        <v>0</v>
      </c>
      <c r="O576">
        <v>0.83333333333333337</v>
      </c>
      <c r="P576">
        <v>0.81005586592178769</v>
      </c>
      <c r="Q576">
        <v>0.85798816568047342</v>
      </c>
      <c r="R576" t="s">
        <v>60</v>
      </c>
      <c r="S576" t="s">
        <v>1577</v>
      </c>
      <c r="T576" t="s">
        <v>1578</v>
      </c>
      <c r="U576" t="b">
        <v>1</v>
      </c>
      <c r="V576" t="s">
        <v>63</v>
      </c>
      <c r="W576">
        <v>1.6</v>
      </c>
    </row>
    <row r="577" spans="1:23" hidden="1" x14ac:dyDescent="0.3">
      <c r="A577" t="s">
        <v>52</v>
      </c>
      <c r="B577" t="s">
        <v>53</v>
      </c>
      <c r="C577" t="s">
        <v>17</v>
      </c>
      <c r="D577" t="s">
        <v>26</v>
      </c>
      <c r="E577" t="s">
        <v>27</v>
      </c>
      <c r="F577" t="s">
        <v>363</v>
      </c>
      <c r="G577" t="s">
        <v>543</v>
      </c>
      <c r="H577" t="s">
        <v>467</v>
      </c>
      <c r="I577" t="s">
        <v>9</v>
      </c>
      <c r="J577" t="s">
        <v>544</v>
      </c>
      <c r="K577" t="s">
        <v>545</v>
      </c>
      <c r="L577" t="s">
        <v>470</v>
      </c>
      <c r="M577">
        <v>57</v>
      </c>
      <c r="N577" t="b">
        <v>0</v>
      </c>
      <c r="O577">
        <v>0.86705202312138729</v>
      </c>
      <c r="P577">
        <v>0.84745762711864403</v>
      </c>
      <c r="Q577">
        <v>0.8875739644970414</v>
      </c>
      <c r="R577" t="s">
        <v>60</v>
      </c>
      <c r="S577" t="s">
        <v>1579</v>
      </c>
      <c r="T577" t="s">
        <v>1580</v>
      </c>
      <c r="U577" t="b">
        <v>1</v>
      </c>
      <c r="V577" t="s">
        <v>63</v>
      </c>
      <c r="W577">
        <v>1.1000000000000001</v>
      </c>
    </row>
    <row r="578" spans="1:23" hidden="1" x14ac:dyDescent="0.3">
      <c r="A578" t="s">
        <v>52</v>
      </c>
      <c r="B578" t="s">
        <v>53</v>
      </c>
      <c r="C578" t="s">
        <v>17</v>
      </c>
      <c r="D578" t="s">
        <v>26</v>
      </c>
      <c r="E578" t="s">
        <v>27</v>
      </c>
      <c r="F578" t="s">
        <v>363</v>
      </c>
      <c r="G578" t="s">
        <v>548</v>
      </c>
      <c r="H578" t="s">
        <v>467</v>
      </c>
      <c r="I578" t="s">
        <v>9</v>
      </c>
      <c r="J578" t="s">
        <v>549</v>
      </c>
      <c r="K578" t="s">
        <v>550</v>
      </c>
      <c r="L578" t="s">
        <v>470</v>
      </c>
      <c r="M578">
        <v>58</v>
      </c>
      <c r="N578" t="b">
        <v>0</v>
      </c>
      <c r="O578">
        <v>0.83720930232558133</v>
      </c>
      <c r="P578">
        <v>0.82285714285714284</v>
      </c>
      <c r="Q578">
        <v>0.85207100591715978</v>
      </c>
      <c r="R578" t="s">
        <v>60</v>
      </c>
      <c r="S578" t="s">
        <v>1581</v>
      </c>
      <c r="T578" t="s">
        <v>1582</v>
      </c>
      <c r="U578" t="b">
        <v>1</v>
      </c>
      <c r="V578" t="s">
        <v>63</v>
      </c>
      <c r="W578">
        <v>1.2</v>
      </c>
    </row>
    <row r="579" spans="1:23" hidden="1" x14ac:dyDescent="0.3">
      <c r="A579" t="s">
        <v>52</v>
      </c>
      <c r="B579" t="s">
        <v>53</v>
      </c>
      <c r="C579" t="s">
        <v>17</v>
      </c>
      <c r="D579" t="s">
        <v>26</v>
      </c>
      <c r="E579" t="s">
        <v>27</v>
      </c>
      <c r="F579" t="s">
        <v>363</v>
      </c>
      <c r="G579" t="s">
        <v>553</v>
      </c>
      <c r="H579" t="s">
        <v>467</v>
      </c>
      <c r="I579" t="s">
        <v>9</v>
      </c>
      <c r="J579" t="s">
        <v>554</v>
      </c>
      <c r="K579" t="s">
        <v>555</v>
      </c>
      <c r="L579" t="s">
        <v>470</v>
      </c>
      <c r="M579">
        <v>59</v>
      </c>
      <c r="N579" t="b">
        <v>0</v>
      </c>
      <c r="O579">
        <v>0.84149855907780979</v>
      </c>
      <c r="P579">
        <v>0.8202247191011236</v>
      </c>
      <c r="Q579">
        <v>0.86390532544378695</v>
      </c>
      <c r="R579" t="s">
        <v>60</v>
      </c>
      <c r="S579" t="s">
        <v>1583</v>
      </c>
      <c r="T579" t="s">
        <v>1584</v>
      </c>
      <c r="U579" t="b">
        <v>1</v>
      </c>
      <c r="V579" t="s">
        <v>63</v>
      </c>
      <c r="W579">
        <v>1.1000000000000001</v>
      </c>
    </row>
    <row r="580" spans="1:23" hidden="1" x14ac:dyDescent="0.3">
      <c r="A580" t="s">
        <v>52</v>
      </c>
      <c r="B580" t="s">
        <v>53</v>
      </c>
      <c r="C580" t="s">
        <v>17</v>
      </c>
      <c r="D580" t="s">
        <v>26</v>
      </c>
      <c r="E580" t="s">
        <v>27</v>
      </c>
      <c r="F580" t="s">
        <v>363</v>
      </c>
      <c r="G580" t="s">
        <v>558</v>
      </c>
      <c r="H580" t="s">
        <v>467</v>
      </c>
      <c r="I580" t="s">
        <v>9</v>
      </c>
      <c r="J580" t="s">
        <v>559</v>
      </c>
      <c r="K580" t="s">
        <v>560</v>
      </c>
      <c r="L580" t="s">
        <v>470</v>
      </c>
      <c r="M580">
        <v>60</v>
      </c>
      <c r="N580" t="b">
        <v>0</v>
      </c>
      <c r="O580">
        <v>0.82798833819241979</v>
      </c>
      <c r="P580">
        <v>0.81609195402298851</v>
      </c>
      <c r="Q580">
        <v>0.84023668639053251</v>
      </c>
      <c r="R580" t="s">
        <v>60</v>
      </c>
      <c r="S580" t="s">
        <v>1585</v>
      </c>
      <c r="T580" t="s">
        <v>1586</v>
      </c>
      <c r="U580" t="b">
        <v>1</v>
      </c>
      <c r="V580" t="s">
        <v>63</v>
      </c>
      <c r="W580">
        <v>1.6</v>
      </c>
    </row>
    <row r="581" spans="1:23" hidden="1" x14ac:dyDescent="0.3">
      <c r="A581" t="s">
        <v>52</v>
      </c>
      <c r="B581" t="s">
        <v>53</v>
      </c>
      <c r="C581" t="s">
        <v>17</v>
      </c>
      <c r="D581" t="s">
        <v>26</v>
      </c>
      <c r="E581" t="s">
        <v>27</v>
      </c>
      <c r="F581" t="s">
        <v>363</v>
      </c>
      <c r="G581" t="s">
        <v>563</v>
      </c>
      <c r="H581" t="s">
        <v>467</v>
      </c>
      <c r="I581" t="s">
        <v>9</v>
      </c>
      <c r="J581" t="s">
        <v>564</v>
      </c>
      <c r="K581" t="s">
        <v>565</v>
      </c>
      <c r="L581" t="s">
        <v>470</v>
      </c>
      <c r="M581">
        <v>61</v>
      </c>
      <c r="N581" t="b">
        <v>0</v>
      </c>
      <c r="O581">
        <v>0.83815028901734112</v>
      </c>
      <c r="P581">
        <v>0.8192090395480226</v>
      </c>
      <c r="Q581">
        <v>0.85798816568047342</v>
      </c>
      <c r="R581" t="s">
        <v>60</v>
      </c>
      <c r="S581" t="s">
        <v>1587</v>
      </c>
      <c r="T581" t="s">
        <v>1588</v>
      </c>
      <c r="U581" t="b">
        <v>1</v>
      </c>
      <c r="V581" t="s">
        <v>63</v>
      </c>
      <c r="W581">
        <v>1.1000000000000001</v>
      </c>
    </row>
    <row r="582" spans="1:23" hidden="1" x14ac:dyDescent="0.3">
      <c r="A582" t="s">
        <v>52</v>
      </c>
      <c r="B582" t="s">
        <v>53</v>
      </c>
      <c r="C582" t="s">
        <v>17</v>
      </c>
      <c r="D582" t="s">
        <v>26</v>
      </c>
      <c r="E582" t="s">
        <v>27</v>
      </c>
      <c r="F582" t="s">
        <v>363</v>
      </c>
      <c r="G582" t="s">
        <v>610</v>
      </c>
      <c r="H582" t="s">
        <v>569</v>
      </c>
      <c r="I582" t="s">
        <v>11</v>
      </c>
      <c r="J582" t="s">
        <v>611</v>
      </c>
      <c r="K582" t="s">
        <v>612</v>
      </c>
      <c r="L582" t="s">
        <v>572</v>
      </c>
      <c r="M582">
        <v>50</v>
      </c>
      <c r="N582" t="b">
        <v>0</v>
      </c>
      <c r="O582">
        <v>0.81938325991189431</v>
      </c>
      <c r="P582">
        <v>0.80172413793103448</v>
      </c>
      <c r="Q582">
        <v>0.83783783783783783</v>
      </c>
      <c r="R582" t="s">
        <v>60</v>
      </c>
      <c r="S582" t="s">
        <v>1605</v>
      </c>
      <c r="T582" t="s">
        <v>1606</v>
      </c>
      <c r="U582" t="b">
        <v>1</v>
      </c>
      <c r="V582" t="s">
        <v>63</v>
      </c>
      <c r="W582">
        <v>1.3</v>
      </c>
    </row>
    <row r="583" spans="1:23" hidden="1" x14ac:dyDescent="0.3">
      <c r="A583" t="s">
        <v>52</v>
      </c>
      <c r="B583" t="s">
        <v>53</v>
      </c>
      <c r="C583" t="s">
        <v>17</v>
      </c>
      <c r="D583" t="s">
        <v>26</v>
      </c>
      <c r="E583" t="s">
        <v>27</v>
      </c>
      <c r="F583" t="s">
        <v>363</v>
      </c>
      <c r="G583" t="s">
        <v>568</v>
      </c>
      <c r="H583" t="s">
        <v>569</v>
      </c>
      <c r="I583" t="s">
        <v>11</v>
      </c>
      <c r="J583" t="s">
        <v>570</v>
      </c>
      <c r="K583" t="s">
        <v>571</v>
      </c>
      <c r="L583" t="s">
        <v>572</v>
      </c>
      <c r="M583">
        <v>42</v>
      </c>
      <c r="N583" t="b">
        <v>0</v>
      </c>
      <c r="O583">
        <v>0.82222222222222219</v>
      </c>
      <c r="P583">
        <v>0.81140350877192979</v>
      </c>
      <c r="Q583">
        <v>0.83333333333333337</v>
      </c>
      <c r="R583" t="s">
        <v>60</v>
      </c>
      <c r="S583" t="s">
        <v>1589</v>
      </c>
      <c r="T583" t="s">
        <v>1590</v>
      </c>
      <c r="U583" t="b">
        <v>1</v>
      </c>
      <c r="V583" t="s">
        <v>63</v>
      </c>
      <c r="W583">
        <v>1.3</v>
      </c>
    </row>
    <row r="584" spans="1:23" hidden="1" x14ac:dyDescent="0.3">
      <c r="A584" t="s">
        <v>52</v>
      </c>
      <c r="B584" t="s">
        <v>53</v>
      </c>
      <c r="C584" t="s">
        <v>17</v>
      </c>
      <c r="D584" t="s">
        <v>26</v>
      </c>
      <c r="E584" t="s">
        <v>27</v>
      </c>
      <c r="F584" t="s">
        <v>363</v>
      </c>
      <c r="G584" t="s">
        <v>625</v>
      </c>
      <c r="H584" t="s">
        <v>569</v>
      </c>
      <c r="I584" t="s">
        <v>11</v>
      </c>
      <c r="J584" t="s">
        <v>626</v>
      </c>
      <c r="K584" t="s">
        <v>627</v>
      </c>
      <c r="L584" t="s">
        <v>572</v>
      </c>
      <c r="M584">
        <v>53</v>
      </c>
      <c r="N584" t="b">
        <v>0</v>
      </c>
      <c r="O584">
        <v>0.82456140350877194</v>
      </c>
      <c r="P584">
        <v>0.80341880341880345</v>
      </c>
      <c r="Q584">
        <v>0.84684684684684686</v>
      </c>
      <c r="R584" t="s">
        <v>60</v>
      </c>
      <c r="S584" t="s">
        <v>1611</v>
      </c>
      <c r="T584" t="s">
        <v>1612</v>
      </c>
      <c r="U584" t="b">
        <v>1</v>
      </c>
      <c r="V584" t="s">
        <v>63</v>
      </c>
      <c r="W584">
        <v>1.3</v>
      </c>
    </row>
    <row r="585" spans="1:23" hidden="1" x14ac:dyDescent="0.3">
      <c r="A585" t="s">
        <v>52</v>
      </c>
      <c r="B585" t="s">
        <v>53</v>
      </c>
      <c r="C585" t="s">
        <v>17</v>
      </c>
      <c r="D585" t="s">
        <v>26</v>
      </c>
      <c r="E585" t="s">
        <v>27</v>
      </c>
      <c r="F585" t="s">
        <v>363</v>
      </c>
      <c r="G585" t="s">
        <v>615</v>
      </c>
      <c r="H585" t="s">
        <v>569</v>
      </c>
      <c r="I585" t="s">
        <v>11</v>
      </c>
      <c r="J585" t="s">
        <v>616</v>
      </c>
      <c r="K585" t="s">
        <v>617</v>
      </c>
      <c r="L585" t="s">
        <v>572</v>
      </c>
      <c r="M585">
        <v>51</v>
      </c>
      <c r="N585" t="b">
        <v>0</v>
      </c>
      <c r="O585">
        <v>0.82863340563991317</v>
      </c>
      <c r="P585">
        <v>0.79916317991631802</v>
      </c>
      <c r="Q585">
        <v>0.86036036036036034</v>
      </c>
      <c r="R585" t="s">
        <v>60</v>
      </c>
      <c r="S585" t="s">
        <v>1607</v>
      </c>
      <c r="T585" t="s">
        <v>1608</v>
      </c>
      <c r="U585" t="b">
        <v>1</v>
      </c>
      <c r="V585" t="s">
        <v>63</v>
      </c>
      <c r="W585">
        <v>1.3</v>
      </c>
    </row>
    <row r="586" spans="1:23" hidden="1" x14ac:dyDescent="0.3">
      <c r="A586" t="s">
        <v>52</v>
      </c>
      <c r="B586" t="s">
        <v>53</v>
      </c>
      <c r="C586" t="s">
        <v>17</v>
      </c>
      <c r="D586" t="s">
        <v>26</v>
      </c>
      <c r="E586" t="s">
        <v>27</v>
      </c>
      <c r="F586" t="s">
        <v>363</v>
      </c>
      <c r="G586" t="s">
        <v>585</v>
      </c>
      <c r="H586" t="s">
        <v>569</v>
      </c>
      <c r="I586" t="s">
        <v>11</v>
      </c>
      <c r="J586" t="s">
        <v>586</v>
      </c>
      <c r="K586" t="s">
        <v>587</v>
      </c>
      <c r="L586" t="s">
        <v>572</v>
      </c>
      <c r="M586">
        <v>45</v>
      </c>
      <c r="N586" t="b">
        <v>0</v>
      </c>
      <c r="O586">
        <v>0.8307692307692307</v>
      </c>
      <c r="P586">
        <v>0.81115879828326176</v>
      </c>
      <c r="Q586">
        <v>0.85135135135135132</v>
      </c>
      <c r="R586" t="s">
        <v>60</v>
      </c>
      <c r="S586" t="s">
        <v>1595</v>
      </c>
      <c r="T586" t="s">
        <v>1596</v>
      </c>
      <c r="U586" t="b">
        <v>1</v>
      </c>
      <c r="V586" t="s">
        <v>63</v>
      </c>
      <c r="W586">
        <v>1.3</v>
      </c>
    </row>
    <row r="587" spans="1:23" hidden="1" x14ac:dyDescent="0.3">
      <c r="A587" t="s">
        <v>52</v>
      </c>
      <c r="B587" t="s">
        <v>53</v>
      </c>
      <c r="C587" t="s">
        <v>17</v>
      </c>
      <c r="D587" t="s">
        <v>26</v>
      </c>
      <c r="E587" t="s">
        <v>27</v>
      </c>
      <c r="F587" t="s">
        <v>363</v>
      </c>
      <c r="G587" t="s">
        <v>580</v>
      </c>
      <c r="H587" t="s">
        <v>569</v>
      </c>
      <c r="I587" t="s">
        <v>11</v>
      </c>
      <c r="J587" t="s">
        <v>581</v>
      </c>
      <c r="K587" t="s">
        <v>582</v>
      </c>
      <c r="L587" t="s">
        <v>572</v>
      </c>
      <c r="M587">
        <v>44</v>
      </c>
      <c r="N587" t="b">
        <v>0</v>
      </c>
      <c r="O587">
        <v>0.83111111111111113</v>
      </c>
      <c r="P587">
        <v>0.82017543859649122</v>
      </c>
      <c r="Q587">
        <v>0.84234234234234229</v>
      </c>
      <c r="R587" t="s">
        <v>60</v>
      </c>
      <c r="S587" t="s">
        <v>1593</v>
      </c>
      <c r="T587" t="s">
        <v>1594</v>
      </c>
      <c r="U587" t="b">
        <v>1</v>
      </c>
      <c r="V587" t="s">
        <v>63</v>
      </c>
      <c r="W587">
        <v>1.3</v>
      </c>
    </row>
    <row r="588" spans="1:23" hidden="1" x14ac:dyDescent="0.3">
      <c r="A588" t="s">
        <v>52</v>
      </c>
      <c r="B588" t="s">
        <v>53</v>
      </c>
      <c r="C588" t="s">
        <v>17</v>
      </c>
      <c r="D588" t="s">
        <v>26</v>
      </c>
      <c r="E588" t="s">
        <v>27</v>
      </c>
      <c r="F588" t="s">
        <v>363</v>
      </c>
      <c r="G588" t="s">
        <v>620</v>
      </c>
      <c r="H588" t="s">
        <v>569</v>
      </c>
      <c r="I588" t="s">
        <v>11</v>
      </c>
      <c r="J588" t="s">
        <v>621</v>
      </c>
      <c r="K588" t="s">
        <v>622</v>
      </c>
      <c r="L588" t="s">
        <v>572</v>
      </c>
      <c r="M588">
        <v>52</v>
      </c>
      <c r="N588" t="b">
        <v>0</v>
      </c>
      <c r="O588">
        <v>0.83150984682713347</v>
      </c>
      <c r="P588">
        <v>0.80851063829787229</v>
      </c>
      <c r="Q588">
        <v>0.85585585585585588</v>
      </c>
      <c r="R588" t="s">
        <v>60</v>
      </c>
      <c r="S588" t="s">
        <v>1609</v>
      </c>
      <c r="T588" t="s">
        <v>1610</v>
      </c>
      <c r="U588" t="b">
        <v>1</v>
      </c>
      <c r="V588" t="s">
        <v>63</v>
      </c>
      <c r="W588">
        <v>1.7</v>
      </c>
    </row>
    <row r="589" spans="1:23" hidden="1" x14ac:dyDescent="0.3">
      <c r="A589" t="s">
        <v>52</v>
      </c>
      <c r="B589" t="s">
        <v>53</v>
      </c>
      <c r="C589" t="s">
        <v>17</v>
      </c>
      <c r="D589" t="s">
        <v>26</v>
      </c>
      <c r="E589" t="s">
        <v>27</v>
      </c>
      <c r="F589" t="s">
        <v>363</v>
      </c>
      <c r="G589" t="s">
        <v>650</v>
      </c>
      <c r="H589" t="s">
        <v>569</v>
      </c>
      <c r="I589" t="s">
        <v>11</v>
      </c>
      <c r="J589" t="s">
        <v>651</v>
      </c>
      <c r="K589" t="s">
        <v>652</v>
      </c>
      <c r="L589" t="s">
        <v>572</v>
      </c>
      <c r="M589">
        <v>58</v>
      </c>
      <c r="N589" t="b">
        <v>0</v>
      </c>
      <c r="O589">
        <v>0.83150984682713347</v>
      </c>
      <c r="P589">
        <v>0.80851063829787229</v>
      </c>
      <c r="Q589">
        <v>0.85585585585585588</v>
      </c>
      <c r="R589" t="s">
        <v>60</v>
      </c>
      <c r="S589" t="s">
        <v>1621</v>
      </c>
      <c r="T589" t="s">
        <v>1622</v>
      </c>
      <c r="U589" t="b">
        <v>1</v>
      </c>
      <c r="V589" t="s">
        <v>63</v>
      </c>
      <c r="W589">
        <v>1.3</v>
      </c>
    </row>
    <row r="590" spans="1:23" hidden="1" x14ac:dyDescent="0.3">
      <c r="A590" t="s">
        <v>52</v>
      </c>
      <c r="B590" t="s">
        <v>53</v>
      </c>
      <c r="C590" t="s">
        <v>17</v>
      </c>
      <c r="D590" t="s">
        <v>26</v>
      </c>
      <c r="E590" t="s">
        <v>27</v>
      </c>
      <c r="F590" t="s">
        <v>363</v>
      </c>
      <c r="G590" t="s">
        <v>655</v>
      </c>
      <c r="H590" t="s">
        <v>569</v>
      </c>
      <c r="I590" t="s">
        <v>11</v>
      </c>
      <c r="J590" t="s">
        <v>656</v>
      </c>
      <c r="K590" t="s">
        <v>657</v>
      </c>
      <c r="L590" t="s">
        <v>572</v>
      </c>
      <c r="M590">
        <v>59</v>
      </c>
      <c r="N590" t="b">
        <v>0</v>
      </c>
      <c r="O590">
        <v>0.83482142857142849</v>
      </c>
      <c r="P590">
        <v>0.82743362831858402</v>
      </c>
      <c r="Q590">
        <v>0.84234234234234229</v>
      </c>
      <c r="R590" t="s">
        <v>60</v>
      </c>
      <c r="S590" t="s">
        <v>1623</v>
      </c>
      <c r="T590" t="s">
        <v>1624</v>
      </c>
      <c r="U590" t="b">
        <v>1</v>
      </c>
      <c r="V590" t="s">
        <v>63</v>
      </c>
      <c r="W590">
        <v>1.7</v>
      </c>
    </row>
    <row r="591" spans="1:23" hidden="1" x14ac:dyDescent="0.3">
      <c r="A591" t="s">
        <v>52</v>
      </c>
      <c r="B591" t="s">
        <v>53</v>
      </c>
      <c r="C591" t="s">
        <v>17</v>
      </c>
      <c r="D591" t="s">
        <v>26</v>
      </c>
      <c r="E591" t="s">
        <v>27</v>
      </c>
      <c r="F591" t="s">
        <v>363</v>
      </c>
      <c r="G591" t="s">
        <v>665</v>
      </c>
      <c r="H591" t="s">
        <v>569</v>
      </c>
      <c r="I591" t="s">
        <v>11</v>
      </c>
      <c r="J591" t="s">
        <v>666</v>
      </c>
      <c r="K591" t="s">
        <v>667</v>
      </c>
      <c r="L591" t="s">
        <v>572</v>
      </c>
      <c r="M591">
        <v>61</v>
      </c>
      <c r="N591" t="b">
        <v>0</v>
      </c>
      <c r="O591">
        <v>0.83588621444201294</v>
      </c>
      <c r="P591">
        <v>0.81276595744680846</v>
      </c>
      <c r="Q591">
        <v>0.86036036036036034</v>
      </c>
      <c r="R591" t="s">
        <v>60</v>
      </c>
      <c r="S591" t="s">
        <v>1627</v>
      </c>
      <c r="T591" t="s">
        <v>1628</v>
      </c>
      <c r="U591" t="b">
        <v>1</v>
      </c>
      <c r="V591" t="s">
        <v>63</v>
      </c>
      <c r="W591">
        <v>1.7</v>
      </c>
    </row>
    <row r="592" spans="1:23" hidden="1" x14ac:dyDescent="0.3">
      <c r="A592" t="s">
        <v>52</v>
      </c>
      <c r="B592" t="s">
        <v>53</v>
      </c>
      <c r="C592" t="s">
        <v>17</v>
      </c>
      <c r="D592" t="s">
        <v>26</v>
      </c>
      <c r="E592" t="s">
        <v>27</v>
      </c>
      <c r="F592" t="s">
        <v>363</v>
      </c>
      <c r="G592" t="s">
        <v>600</v>
      </c>
      <c r="H592" t="s">
        <v>569</v>
      </c>
      <c r="I592" t="s">
        <v>11</v>
      </c>
      <c r="J592" t="s">
        <v>601</v>
      </c>
      <c r="K592" t="s">
        <v>602</v>
      </c>
      <c r="L592" t="s">
        <v>572</v>
      </c>
      <c r="M592">
        <v>48</v>
      </c>
      <c r="N592" t="b">
        <v>0</v>
      </c>
      <c r="O592">
        <v>0.83628318584070793</v>
      </c>
      <c r="P592">
        <v>0.82173913043478264</v>
      </c>
      <c r="Q592">
        <v>0.85135135135135132</v>
      </c>
      <c r="R592" t="s">
        <v>60</v>
      </c>
      <c r="S592" t="s">
        <v>1601</v>
      </c>
      <c r="T592" t="s">
        <v>1602</v>
      </c>
      <c r="U592" t="b">
        <v>1</v>
      </c>
      <c r="V592" t="s">
        <v>63</v>
      </c>
      <c r="W592">
        <v>1.3</v>
      </c>
    </row>
    <row r="593" spans="1:23" hidden="1" x14ac:dyDescent="0.3">
      <c r="A593" t="s">
        <v>52</v>
      </c>
      <c r="B593" t="s">
        <v>53</v>
      </c>
      <c r="C593" t="s">
        <v>17</v>
      </c>
      <c r="D593" t="s">
        <v>26</v>
      </c>
      <c r="E593" t="s">
        <v>27</v>
      </c>
      <c r="F593" t="s">
        <v>363</v>
      </c>
      <c r="G593" t="s">
        <v>590</v>
      </c>
      <c r="H593" t="s">
        <v>569</v>
      </c>
      <c r="I593" t="s">
        <v>11</v>
      </c>
      <c r="J593" t="s">
        <v>591</v>
      </c>
      <c r="K593" t="s">
        <v>592</v>
      </c>
      <c r="L593" t="s">
        <v>572</v>
      </c>
      <c r="M593">
        <v>46</v>
      </c>
      <c r="N593" t="b">
        <v>0</v>
      </c>
      <c r="O593">
        <v>0.83813747228381374</v>
      </c>
      <c r="P593">
        <v>0.8253275109170306</v>
      </c>
      <c r="Q593">
        <v>0.85135135135135132</v>
      </c>
      <c r="R593" t="s">
        <v>60</v>
      </c>
      <c r="S593" t="s">
        <v>1597</v>
      </c>
      <c r="T593" t="s">
        <v>1598</v>
      </c>
      <c r="U593" t="b">
        <v>1</v>
      </c>
      <c r="V593" t="s">
        <v>63</v>
      </c>
      <c r="W593">
        <v>1.7</v>
      </c>
    </row>
    <row r="594" spans="1:23" hidden="1" x14ac:dyDescent="0.3">
      <c r="A594" t="s">
        <v>52</v>
      </c>
      <c r="B594" t="s">
        <v>53</v>
      </c>
      <c r="C594" t="s">
        <v>17</v>
      </c>
      <c r="D594" t="s">
        <v>26</v>
      </c>
      <c r="E594" t="s">
        <v>27</v>
      </c>
      <c r="F594" t="s">
        <v>363</v>
      </c>
      <c r="G594" t="s">
        <v>595</v>
      </c>
      <c r="H594" t="s">
        <v>569</v>
      </c>
      <c r="I594" t="s">
        <v>11</v>
      </c>
      <c r="J594" t="s">
        <v>596</v>
      </c>
      <c r="K594" t="s">
        <v>597</v>
      </c>
      <c r="L594" t="s">
        <v>572</v>
      </c>
      <c r="M594">
        <v>47</v>
      </c>
      <c r="N594" t="b">
        <v>0</v>
      </c>
      <c r="O594">
        <v>0.84000000000000008</v>
      </c>
      <c r="P594">
        <v>0.82894736842105265</v>
      </c>
      <c r="Q594">
        <v>0.85135135135135132</v>
      </c>
      <c r="R594" t="s">
        <v>60</v>
      </c>
      <c r="S594" t="s">
        <v>1599</v>
      </c>
      <c r="T594" t="s">
        <v>1600</v>
      </c>
      <c r="U594" t="b">
        <v>1</v>
      </c>
      <c r="V594" t="s">
        <v>63</v>
      </c>
      <c r="W594">
        <v>1.3</v>
      </c>
    </row>
    <row r="595" spans="1:23" hidden="1" x14ac:dyDescent="0.3">
      <c r="A595" t="s">
        <v>52</v>
      </c>
      <c r="B595" t="s">
        <v>53</v>
      </c>
      <c r="C595" t="s">
        <v>17</v>
      </c>
      <c r="D595" t="s">
        <v>26</v>
      </c>
      <c r="E595" t="s">
        <v>27</v>
      </c>
      <c r="F595" t="s">
        <v>363</v>
      </c>
      <c r="G595" t="s">
        <v>645</v>
      </c>
      <c r="H595" t="s">
        <v>569</v>
      </c>
      <c r="I595" t="s">
        <v>11</v>
      </c>
      <c r="J595" t="s">
        <v>646</v>
      </c>
      <c r="K595" t="s">
        <v>647</v>
      </c>
      <c r="L595" t="s">
        <v>572</v>
      </c>
      <c r="M595">
        <v>57</v>
      </c>
      <c r="N595" t="b">
        <v>0</v>
      </c>
      <c r="O595">
        <v>0.84026258205689275</v>
      </c>
      <c r="P595">
        <v>0.81702127659574464</v>
      </c>
      <c r="Q595">
        <v>0.86486486486486491</v>
      </c>
      <c r="R595" t="s">
        <v>60</v>
      </c>
      <c r="S595" t="s">
        <v>1619</v>
      </c>
      <c r="T595" t="s">
        <v>1620</v>
      </c>
      <c r="U595" t="b">
        <v>1</v>
      </c>
      <c r="V595" t="s">
        <v>63</v>
      </c>
      <c r="W595">
        <v>1.3</v>
      </c>
    </row>
    <row r="596" spans="1:23" hidden="1" x14ac:dyDescent="0.3">
      <c r="A596" t="s">
        <v>52</v>
      </c>
      <c r="B596" t="s">
        <v>53</v>
      </c>
      <c r="C596" t="s">
        <v>17</v>
      </c>
      <c r="D596" t="s">
        <v>26</v>
      </c>
      <c r="E596" t="s">
        <v>27</v>
      </c>
      <c r="F596" t="s">
        <v>363</v>
      </c>
      <c r="G596" t="s">
        <v>575</v>
      </c>
      <c r="H596" t="s">
        <v>569</v>
      </c>
      <c r="I596" t="s">
        <v>11</v>
      </c>
      <c r="J596" t="s">
        <v>576</v>
      </c>
      <c r="K596" t="s">
        <v>577</v>
      </c>
      <c r="L596" t="s">
        <v>572</v>
      </c>
      <c r="M596">
        <v>43</v>
      </c>
      <c r="N596" t="b">
        <v>0</v>
      </c>
      <c r="O596">
        <v>0.84140969162995594</v>
      </c>
      <c r="P596">
        <v>0.82327586206896552</v>
      </c>
      <c r="Q596">
        <v>0.86036036036036034</v>
      </c>
      <c r="R596" t="s">
        <v>60</v>
      </c>
      <c r="S596" t="s">
        <v>1591</v>
      </c>
      <c r="T596" t="s">
        <v>1592</v>
      </c>
      <c r="U596" t="b">
        <v>1</v>
      </c>
      <c r="V596" t="s">
        <v>63</v>
      </c>
      <c r="W596">
        <v>1.7</v>
      </c>
    </row>
    <row r="597" spans="1:23" hidden="1" x14ac:dyDescent="0.3">
      <c r="A597" t="s">
        <v>52</v>
      </c>
      <c r="B597" t="s">
        <v>53</v>
      </c>
      <c r="C597" t="s">
        <v>17</v>
      </c>
      <c r="D597" t="s">
        <v>26</v>
      </c>
      <c r="E597" t="s">
        <v>27</v>
      </c>
      <c r="F597" t="s">
        <v>363</v>
      </c>
      <c r="G597" t="s">
        <v>660</v>
      </c>
      <c r="H597" t="s">
        <v>569</v>
      </c>
      <c r="I597" t="s">
        <v>11</v>
      </c>
      <c r="J597" t="s">
        <v>661</v>
      </c>
      <c r="K597" t="s">
        <v>662</v>
      </c>
      <c r="L597" t="s">
        <v>572</v>
      </c>
      <c r="M597">
        <v>60</v>
      </c>
      <c r="N597" t="b">
        <v>0</v>
      </c>
      <c r="O597">
        <v>0.84257206208425717</v>
      </c>
      <c r="P597">
        <v>0.82969432314410485</v>
      </c>
      <c r="Q597">
        <v>0.85585585585585588</v>
      </c>
      <c r="R597" t="s">
        <v>60</v>
      </c>
      <c r="S597" t="s">
        <v>1625</v>
      </c>
      <c r="T597" t="s">
        <v>1626</v>
      </c>
      <c r="U597" t="b">
        <v>1</v>
      </c>
      <c r="V597" t="s">
        <v>63</v>
      </c>
      <c r="W597">
        <v>1.3</v>
      </c>
    </row>
    <row r="598" spans="1:23" hidden="1" x14ac:dyDescent="0.3">
      <c r="A598" t="s">
        <v>52</v>
      </c>
      <c r="B598" t="s">
        <v>53</v>
      </c>
      <c r="C598" t="s">
        <v>17</v>
      </c>
      <c r="D598" t="s">
        <v>26</v>
      </c>
      <c r="E598" t="s">
        <v>27</v>
      </c>
      <c r="F598" t="s">
        <v>363</v>
      </c>
      <c r="G598" t="s">
        <v>605</v>
      </c>
      <c r="H598" t="s">
        <v>569</v>
      </c>
      <c r="I598" t="s">
        <v>11</v>
      </c>
      <c r="J598" t="s">
        <v>606</v>
      </c>
      <c r="K598" t="s">
        <v>607</v>
      </c>
      <c r="L598" t="s">
        <v>572</v>
      </c>
      <c r="M598">
        <v>49</v>
      </c>
      <c r="N598" t="b">
        <v>0</v>
      </c>
      <c r="O598">
        <v>0.84444444444444455</v>
      </c>
      <c r="P598">
        <v>0.83333333333333337</v>
      </c>
      <c r="Q598">
        <v>0.85585585585585588</v>
      </c>
      <c r="R598" t="s">
        <v>60</v>
      </c>
      <c r="S598" t="s">
        <v>1603</v>
      </c>
      <c r="T598" t="s">
        <v>1604</v>
      </c>
      <c r="U598" t="b">
        <v>1</v>
      </c>
      <c r="V598" t="s">
        <v>63</v>
      </c>
      <c r="W598">
        <v>1.7</v>
      </c>
    </row>
    <row r="599" spans="1:23" hidden="1" x14ac:dyDescent="0.3">
      <c r="A599" t="s">
        <v>52</v>
      </c>
      <c r="B599" t="s">
        <v>53</v>
      </c>
      <c r="C599" t="s">
        <v>17</v>
      </c>
      <c r="D599" t="s">
        <v>26</v>
      </c>
      <c r="E599" t="s">
        <v>27</v>
      </c>
      <c r="F599" t="s">
        <v>363</v>
      </c>
      <c r="G599" t="s">
        <v>635</v>
      </c>
      <c r="H599" t="s">
        <v>569</v>
      </c>
      <c r="I599" t="s">
        <v>11</v>
      </c>
      <c r="J599" t="s">
        <v>636</v>
      </c>
      <c r="K599" t="s">
        <v>637</v>
      </c>
      <c r="L599" t="s">
        <v>572</v>
      </c>
      <c r="M599">
        <v>55</v>
      </c>
      <c r="N599" t="b">
        <v>0</v>
      </c>
      <c r="O599">
        <v>0.84444444444444455</v>
      </c>
      <c r="P599">
        <v>0.83333333333333337</v>
      </c>
      <c r="Q599">
        <v>0.85585585585585588</v>
      </c>
      <c r="R599" t="s">
        <v>60</v>
      </c>
      <c r="S599" t="s">
        <v>1615</v>
      </c>
      <c r="T599" t="s">
        <v>1616</v>
      </c>
      <c r="U599" t="b">
        <v>1</v>
      </c>
      <c r="V599" t="s">
        <v>63</v>
      </c>
      <c r="W599">
        <v>1.3</v>
      </c>
    </row>
    <row r="600" spans="1:23" hidden="1" x14ac:dyDescent="0.3">
      <c r="A600" t="s">
        <v>52</v>
      </c>
      <c r="B600" t="s">
        <v>53</v>
      </c>
      <c r="C600" t="s">
        <v>17</v>
      </c>
      <c r="D600" t="s">
        <v>26</v>
      </c>
      <c r="E600" t="s">
        <v>27</v>
      </c>
      <c r="F600" t="s">
        <v>363</v>
      </c>
      <c r="G600" t="s">
        <v>640</v>
      </c>
      <c r="H600" t="s">
        <v>569</v>
      </c>
      <c r="I600" t="s">
        <v>11</v>
      </c>
      <c r="J600" t="s">
        <v>641</v>
      </c>
      <c r="K600" t="s">
        <v>642</v>
      </c>
      <c r="L600" t="s">
        <v>572</v>
      </c>
      <c r="M600">
        <v>56</v>
      </c>
      <c r="N600" t="b">
        <v>0</v>
      </c>
      <c r="O600">
        <v>0.84444444444444455</v>
      </c>
      <c r="P600">
        <v>0.83333333333333337</v>
      </c>
      <c r="Q600">
        <v>0.85585585585585588</v>
      </c>
      <c r="R600" t="s">
        <v>60</v>
      </c>
      <c r="S600" t="s">
        <v>1617</v>
      </c>
      <c r="T600" t="s">
        <v>1618</v>
      </c>
      <c r="U600" t="b">
        <v>1</v>
      </c>
      <c r="V600" t="s">
        <v>63</v>
      </c>
      <c r="W600">
        <v>1.7</v>
      </c>
    </row>
    <row r="601" spans="1:23" hidden="1" x14ac:dyDescent="0.3">
      <c r="A601" t="s">
        <v>52</v>
      </c>
      <c r="B601" t="s">
        <v>53</v>
      </c>
      <c r="C601" t="s">
        <v>17</v>
      </c>
      <c r="D601" t="s">
        <v>26</v>
      </c>
      <c r="E601" t="s">
        <v>27</v>
      </c>
      <c r="F601" t="s">
        <v>363</v>
      </c>
      <c r="G601" t="s">
        <v>630</v>
      </c>
      <c r="H601" t="s">
        <v>569</v>
      </c>
      <c r="I601" t="s">
        <v>11</v>
      </c>
      <c r="J601" t="s">
        <v>631</v>
      </c>
      <c r="K601" t="s">
        <v>632</v>
      </c>
      <c r="L601" t="s">
        <v>572</v>
      </c>
      <c r="M601">
        <v>54</v>
      </c>
      <c r="N601" t="b">
        <v>0</v>
      </c>
      <c r="O601">
        <v>0.84955752212389379</v>
      </c>
      <c r="P601">
        <v>0.83478260869565213</v>
      </c>
      <c r="Q601">
        <v>0.86486486486486491</v>
      </c>
      <c r="R601" t="s">
        <v>60</v>
      </c>
      <c r="S601" t="s">
        <v>1613</v>
      </c>
      <c r="T601" t="s">
        <v>1614</v>
      </c>
      <c r="U601" t="b">
        <v>1</v>
      </c>
      <c r="V601" t="s">
        <v>63</v>
      </c>
      <c r="W601">
        <v>1.3</v>
      </c>
    </row>
    <row r="602" spans="1:23" hidden="1" x14ac:dyDescent="0.3">
      <c r="A602" t="s">
        <v>1629</v>
      </c>
      <c r="B602" t="s">
        <v>1630</v>
      </c>
      <c r="C602" t="s">
        <v>28</v>
      </c>
      <c r="D602" t="s">
        <v>18</v>
      </c>
      <c r="E602" t="s">
        <v>19</v>
      </c>
      <c r="F602" t="s">
        <v>54</v>
      </c>
      <c r="G602" t="s">
        <v>55</v>
      </c>
      <c r="H602" t="s">
        <v>56</v>
      </c>
      <c r="I602" t="s">
        <v>7</v>
      </c>
      <c r="J602" t="s">
        <v>57</v>
      </c>
      <c r="K602" t="s">
        <v>58</v>
      </c>
      <c r="L602" t="s">
        <v>59</v>
      </c>
      <c r="M602">
        <v>42</v>
      </c>
      <c r="N602" t="b">
        <v>1</v>
      </c>
      <c r="O602">
        <v>0.71057884231536916</v>
      </c>
      <c r="P602">
        <v>0.65682656826568264</v>
      </c>
      <c r="Q602">
        <v>0.77391304347826084</v>
      </c>
      <c r="R602" t="s">
        <v>60</v>
      </c>
      <c r="S602" t="s">
        <v>1631</v>
      </c>
      <c r="T602" t="s">
        <v>1632</v>
      </c>
      <c r="U602" t="b">
        <v>0</v>
      </c>
      <c r="V602" t="s">
        <v>63</v>
      </c>
      <c r="W602">
        <v>74.3</v>
      </c>
    </row>
    <row r="603" spans="1:23" hidden="1" x14ac:dyDescent="0.3">
      <c r="A603" t="s">
        <v>1629</v>
      </c>
      <c r="B603" t="s">
        <v>1630</v>
      </c>
      <c r="C603" t="s">
        <v>28</v>
      </c>
      <c r="D603" t="s">
        <v>18</v>
      </c>
      <c r="E603" t="s">
        <v>19</v>
      </c>
      <c r="F603" t="s">
        <v>54</v>
      </c>
      <c r="G603" t="s">
        <v>64</v>
      </c>
      <c r="H603" t="s">
        <v>56</v>
      </c>
      <c r="I603" t="s">
        <v>7</v>
      </c>
      <c r="J603" t="s">
        <v>65</v>
      </c>
      <c r="K603" t="s">
        <v>66</v>
      </c>
      <c r="L603" t="s">
        <v>59</v>
      </c>
      <c r="M603">
        <v>43</v>
      </c>
      <c r="N603" t="b">
        <v>1</v>
      </c>
      <c r="O603">
        <v>0.70472440944881887</v>
      </c>
      <c r="P603">
        <v>0.64388489208633093</v>
      </c>
      <c r="Q603">
        <v>0.77826086956521734</v>
      </c>
      <c r="R603" t="s">
        <v>60</v>
      </c>
      <c r="S603" t="s">
        <v>1633</v>
      </c>
      <c r="T603" t="s">
        <v>1634</v>
      </c>
      <c r="U603" t="b">
        <v>0</v>
      </c>
      <c r="V603" t="s">
        <v>63</v>
      </c>
      <c r="W603">
        <v>121.9</v>
      </c>
    </row>
    <row r="604" spans="1:23" hidden="1" x14ac:dyDescent="0.3">
      <c r="A604" t="s">
        <v>1629</v>
      </c>
      <c r="B604" t="s">
        <v>1630</v>
      </c>
      <c r="C604" t="s">
        <v>28</v>
      </c>
      <c r="D604" t="s">
        <v>18</v>
      </c>
      <c r="E604" t="s">
        <v>19</v>
      </c>
      <c r="F604" t="s">
        <v>54</v>
      </c>
      <c r="G604" t="s">
        <v>69</v>
      </c>
      <c r="H604" t="s">
        <v>56</v>
      </c>
      <c r="I604" t="s">
        <v>7</v>
      </c>
      <c r="J604" t="s">
        <v>70</v>
      </c>
      <c r="K604" t="s">
        <v>71</v>
      </c>
      <c r="L604" t="s">
        <v>59</v>
      </c>
      <c r="M604">
        <v>44</v>
      </c>
      <c r="N604" t="b">
        <v>1</v>
      </c>
      <c r="O604">
        <v>0.70658682634730541</v>
      </c>
      <c r="P604">
        <v>0.65313653136531369</v>
      </c>
      <c r="Q604">
        <v>0.76956521739130435</v>
      </c>
      <c r="R604" t="s">
        <v>60</v>
      </c>
      <c r="S604" t="s">
        <v>1635</v>
      </c>
      <c r="T604" t="s">
        <v>1636</v>
      </c>
      <c r="U604" t="b">
        <v>0</v>
      </c>
      <c r="V604" t="s">
        <v>63</v>
      </c>
      <c r="W604">
        <v>44.4</v>
      </c>
    </row>
    <row r="605" spans="1:23" hidden="1" x14ac:dyDescent="0.3">
      <c r="A605" t="s">
        <v>1629</v>
      </c>
      <c r="B605" t="s">
        <v>1630</v>
      </c>
      <c r="C605" t="s">
        <v>28</v>
      </c>
      <c r="D605" t="s">
        <v>18</v>
      </c>
      <c r="E605" t="s">
        <v>19</v>
      </c>
      <c r="F605" t="s">
        <v>54</v>
      </c>
      <c r="G605" t="s">
        <v>74</v>
      </c>
      <c r="H605" t="s">
        <v>56</v>
      </c>
      <c r="I605" t="s">
        <v>7</v>
      </c>
      <c r="J605" t="s">
        <v>75</v>
      </c>
      <c r="K605" t="s">
        <v>76</v>
      </c>
      <c r="L605" t="s">
        <v>59</v>
      </c>
      <c r="M605">
        <v>45</v>
      </c>
      <c r="N605" t="b">
        <v>1</v>
      </c>
      <c r="O605">
        <v>0.70472440944881887</v>
      </c>
      <c r="P605">
        <v>0.64388489208633093</v>
      </c>
      <c r="Q605">
        <v>0.77826086956521734</v>
      </c>
      <c r="R605" t="s">
        <v>60</v>
      </c>
      <c r="S605" t="s">
        <v>1637</v>
      </c>
      <c r="T605" t="s">
        <v>1638</v>
      </c>
      <c r="U605" t="b">
        <v>0</v>
      </c>
      <c r="V605" t="s">
        <v>63</v>
      </c>
      <c r="W605">
        <v>54.5</v>
      </c>
    </row>
    <row r="606" spans="1:23" hidden="1" x14ac:dyDescent="0.3">
      <c r="A606" t="s">
        <v>1629</v>
      </c>
      <c r="B606" t="s">
        <v>1630</v>
      </c>
      <c r="C606" t="s">
        <v>28</v>
      </c>
      <c r="D606" t="s">
        <v>18</v>
      </c>
      <c r="E606" t="s">
        <v>19</v>
      </c>
      <c r="F606" t="s">
        <v>54</v>
      </c>
      <c r="G606" t="s">
        <v>79</v>
      </c>
      <c r="H606" t="s">
        <v>56</v>
      </c>
      <c r="I606" t="s">
        <v>7</v>
      </c>
      <c r="J606" t="s">
        <v>80</v>
      </c>
      <c r="K606" t="s">
        <v>81</v>
      </c>
      <c r="L606" t="s">
        <v>59</v>
      </c>
      <c r="M606">
        <v>46</v>
      </c>
      <c r="N606" t="b">
        <v>1</v>
      </c>
      <c r="O606">
        <v>0.70472440944881887</v>
      </c>
      <c r="P606">
        <v>0.64388489208633093</v>
      </c>
      <c r="Q606">
        <v>0.77826086956521734</v>
      </c>
      <c r="R606" t="s">
        <v>60</v>
      </c>
      <c r="S606" t="s">
        <v>1639</v>
      </c>
      <c r="T606" t="s">
        <v>1640</v>
      </c>
      <c r="U606" t="b">
        <v>0</v>
      </c>
      <c r="V606" t="s">
        <v>63</v>
      </c>
      <c r="W606">
        <v>44</v>
      </c>
    </row>
    <row r="607" spans="1:23" hidden="1" x14ac:dyDescent="0.3">
      <c r="A607" t="s">
        <v>1629</v>
      </c>
      <c r="B607" t="s">
        <v>1630</v>
      </c>
      <c r="C607" t="s">
        <v>28</v>
      </c>
      <c r="D607" t="s">
        <v>18</v>
      </c>
      <c r="E607" t="s">
        <v>19</v>
      </c>
      <c r="F607" t="s">
        <v>54</v>
      </c>
      <c r="G607" t="s">
        <v>84</v>
      </c>
      <c r="H607" t="s">
        <v>56</v>
      </c>
      <c r="I607" t="s">
        <v>7</v>
      </c>
      <c r="J607" t="s">
        <v>85</v>
      </c>
      <c r="K607" t="s">
        <v>86</v>
      </c>
      <c r="L607" t="s">
        <v>59</v>
      </c>
      <c r="M607">
        <v>47</v>
      </c>
      <c r="N607" t="b">
        <v>1</v>
      </c>
      <c r="O607">
        <v>0.70472440944881887</v>
      </c>
      <c r="P607">
        <v>0.64388489208633093</v>
      </c>
      <c r="Q607">
        <v>0.77826086956521734</v>
      </c>
      <c r="R607" t="s">
        <v>60</v>
      </c>
      <c r="S607" t="s">
        <v>1641</v>
      </c>
      <c r="T607" t="s">
        <v>1642</v>
      </c>
      <c r="U607" t="b">
        <v>0</v>
      </c>
      <c r="V607" t="s">
        <v>63</v>
      </c>
      <c r="W607">
        <v>54.4</v>
      </c>
    </row>
    <row r="608" spans="1:23" hidden="1" x14ac:dyDescent="0.3">
      <c r="A608" t="s">
        <v>1629</v>
      </c>
      <c r="B608" t="s">
        <v>1630</v>
      </c>
      <c r="C608" t="s">
        <v>28</v>
      </c>
      <c r="D608" t="s">
        <v>18</v>
      </c>
      <c r="E608" t="s">
        <v>19</v>
      </c>
      <c r="F608" t="s">
        <v>54</v>
      </c>
      <c r="G608" t="s">
        <v>89</v>
      </c>
      <c r="H608" t="s">
        <v>56</v>
      </c>
      <c r="I608" t="s">
        <v>7</v>
      </c>
      <c r="J608" t="s">
        <v>90</v>
      </c>
      <c r="K608" t="s">
        <v>91</v>
      </c>
      <c r="L608" t="s">
        <v>59</v>
      </c>
      <c r="M608">
        <v>48</v>
      </c>
      <c r="N608" t="b">
        <v>1</v>
      </c>
      <c r="O608">
        <v>0.70472440944881887</v>
      </c>
      <c r="P608">
        <v>0.64388489208633093</v>
      </c>
      <c r="Q608">
        <v>0.77826086956521734</v>
      </c>
      <c r="R608" t="s">
        <v>60</v>
      </c>
      <c r="S608" t="s">
        <v>1643</v>
      </c>
      <c r="T608" t="s">
        <v>1644</v>
      </c>
      <c r="U608" t="b">
        <v>0</v>
      </c>
      <c r="V608" t="s">
        <v>63</v>
      </c>
      <c r="W608">
        <v>55</v>
      </c>
    </row>
    <row r="609" spans="1:23" hidden="1" x14ac:dyDescent="0.3">
      <c r="A609" t="s">
        <v>1629</v>
      </c>
      <c r="B609" t="s">
        <v>1630</v>
      </c>
      <c r="C609" t="s">
        <v>28</v>
      </c>
      <c r="D609" t="s">
        <v>18</v>
      </c>
      <c r="E609" t="s">
        <v>19</v>
      </c>
      <c r="F609" t="s">
        <v>54</v>
      </c>
      <c r="G609" t="s">
        <v>94</v>
      </c>
      <c r="H609" t="s">
        <v>56</v>
      </c>
      <c r="I609" t="s">
        <v>7</v>
      </c>
      <c r="J609" t="s">
        <v>95</v>
      </c>
      <c r="K609" t="s">
        <v>96</v>
      </c>
      <c r="L609" t="s">
        <v>59</v>
      </c>
      <c r="M609">
        <v>49</v>
      </c>
      <c r="N609" t="b">
        <v>1</v>
      </c>
      <c r="O609">
        <v>0.70472440944881887</v>
      </c>
      <c r="P609">
        <v>0.64388489208633093</v>
      </c>
      <c r="Q609">
        <v>0.77826086956521734</v>
      </c>
      <c r="R609" t="s">
        <v>60</v>
      </c>
      <c r="S609" t="s">
        <v>1645</v>
      </c>
      <c r="T609" t="s">
        <v>1646</v>
      </c>
      <c r="U609" t="b">
        <v>0</v>
      </c>
      <c r="V609" t="s">
        <v>63</v>
      </c>
      <c r="W609">
        <v>54.9</v>
      </c>
    </row>
    <row r="610" spans="1:23" hidden="1" x14ac:dyDescent="0.3">
      <c r="A610" t="s">
        <v>1629</v>
      </c>
      <c r="B610" t="s">
        <v>1630</v>
      </c>
      <c r="C610" t="s">
        <v>28</v>
      </c>
      <c r="D610" t="s">
        <v>18</v>
      </c>
      <c r="E610" t="s">
        <v>19</v>
      </c>
      <c r="F610" t="s">
        <v>54</v>
      </c>
      <c r="G610" t="s">
        <v>99</v>
      </c>
      <c r="H610" t="s">
        <v>56</v>
      </c>
      <c r="I610" t="s">
        <v>7</v>
      </c>
      <c r="J610" t="s">
        <v>100</v>
      </c>
      <c r="K610" t="s">
        <v>101</v>
      </c>
      <c r="L610" t="s">
        <v>59</v>
      </c>
      <c r="M610">
        <v>50</v>
      </c>
      <c r="N610" t="b">
        <v>1</v>
      </c>
      <c r="O610">
        <v>0.70472440944881887</v>
      </c>
      <c r="P610">
        <v>0.64388489208633093</v>
      </c>
      <c r="Q610">
        <v>0.77826086956521734</v>
      </c>
      <c r="R610" t="s">
        <v>60</v>
      </c>
      <c r="S610" t="s">
        <v>1647</v>
      </c>
      <c r="T610" t="s">
        <v>1648</v>
      </c>
      <c r="U610" t="b">
        <v>0</v>
      </c>
      <c r="V610" t="s">
        <v>63</v>
      </c>
      <c r="W610">
        <v>54.3</v>
      </c>
    </row>
    <row r="611" spans="1:23" hidden="1" x14ac:dyDescent="0.3">
      <c r="A611" t="s">
        <v>1629</v>
      </c>
      <c r="B611" t="s">
        <v>1630</v>
      </c>
      <c r="C611" t="s">
        <v>28</v>
      </c>
      <c r="D611" t="s">
        <v>18</v>
      </c>
      <c r="E611" t="s">
        <v>19</v>
      </c>
      <c r="F611" t="s">
        <v>54</v>
      </c>
      <c r="G611" t="s">
        <v>104</v>
      </c>
      <c r="H611" t="s">
        <v>56</v>
      </c>
      <c r="I611" t="s">
        <v>7</v>
      </c>
      <c r="J611" t="s">
        <v>105</v>
      </c>
      <c r="K611" t="s">
        <v>106</v>
      </c>
      <c r="L611" t="s">
        <v>59</v>
      </c>
      <c r="M611">
        <v>51</v>
      </c>
      <c r="N611" t="b">
        <v>1</v>
      </c>
      <c r="O611">
        <v>0.70472440944881887</v>
      </c>
      <c r="P611">
        <v>0.64388489208633093</v>
      </c>
      <c r="Q611">
        <v>0.77826086956521734</v>
      </c>
      <c r="R611" t="s">
        <v>60</v>
      </c>
      <c r="S611" t="s">
        <v>1649</v>
      </c>
      <c r="T611" t="s">
        <v>1650</v>
      </c>
      <c r="U611" t="b">
        <v>0</v>
      </c>
      <c r="V611" t="s">
        <v>63</v>
      </c>
      <c r="W611">
        <v>44</v>
      </c>
    </row>
    <row r="612" spans="1:23" hidden="1" x14ac:dyDescent="0.3">
      <c r="A612" t="s">
        <v>1629</v>
      </c>
      <c r="B612" t="s">
        <v>1630</v>
      </c>
      <c r="C612" t="s">
        <v>28</v>
      </c>
      <c r="D612" t="s">
        <v>18</v>
      </c>
      <c r="E612" t="s">
        <v>19</v>
      </c>
      <c r="F612" t="s">
        <v>54</v>
      </c>
      <c r="G612" t="s">
        <v>109</v>
      </c>
      <c r="H612" t="s">
        <v>56</v>
      </c>
      <c r="I612" t="s">
        <v>7</v>
      </c>
      <c r="J612" t="s">
        <v>110</v>
      </c>
      <c r="K612" t="s">
        <v>111</v>
      </c>
      <c r="L612" t="s">
        <v>59</v>
      </c>
      <c r="M612">
        <v>52</v>
      </c>
      <c r="N612" t="b">
        <v>1</v>
      </c>
      <c r="O612">
        <v>0.70472440944881887</v>
      </c>
      <c r="P612">
        <v>0.64388489208633093</v>
      </c>
      <c r="Q612">
        <v>0.77826086956521734</v>
      </c>
      <c r="R612" t="s">
        <v>60</v>
      </c>
      <c r="S612" t="s">
        <v>1651</v>
      </c>
      <c r="T612" t="s">
        <v>1652</v>
      </c>
      <c r="U612" t="b">
        <v>0</v>
      </c>
      <c r="V612" t="s">
        <v>63</v>
      </c>
      <c r="W612">
        <v>55.3</v>
      </c>
    </row>
    <row r="613" spans="1:23" hidden="1" x14ac:dyDescent="0.3">
      <c r="A613" t="s">
        <v>1629</v>
      </c>
      <c r="B613" t="s">
        <v>1630</v>
      </c>
      <c r="C613" t="s">
        <v>28</v>
      </c>
      <c r="D613" t="s">
        <v>18</v>
      </c>
      <c r="E613" t="s">
        <v>19</v>
      </c>
      <c r="F613" t="s">
        <v>54</v>
      </c>
      <c r="G613" t="s">
        <v>114</v>
      </c>
      <c r="H613" t="s">
        <v>56</v>
      </c>
      <c r="I613" t="s">
        <v>7</v>
      </c>
      <c r="J613" t="s">
        <v>115</v>
      </c>
      <c r="K613" t="s">
        <v>116</v>
      </c>
      <c r="L613" t="s">
        <v>59</v>
      </c>
      <c r="M613">
        <v>53</v>
      </c>
      <c r="N613" t="b">
        <v>1</v>
      </c>
      <c r="O613">
        <v>0.70472440944881887</v>
      </c>
      <c r="P613">
        <v>0.64388489208633093</v>
      </c>
      <c r="Q613">
        <v>0.77826086956521734</v>
      </c>
      <c r="R613" t="s">
        <v>60</v>
      </c>
      <c r="S613" t="s">
        <v>1653</v>
      </c>
      <c r="T613" t="s">
        <v>1654</v>
      </c>
      <c r="U613" t="b">
        <v>0</v>
      </c>
      <c r="V613" t="s">
        <v>63</v>
      </c>
      <c r="W613">
        <v>45.4</v>
      </c>
    </row>
    <row r="614" spans="1:23" hidden="1" x14ac:dyDescent="0.3">
      <c r="A614" t="s">
        <v>1629</v>
      </c>
      <c r="B614" t="s">
        <v>1630</v>
      </c>
      <c r="C614" t="s">
        <v>28</v>
      </c>
      <c r="D614" t="s">
        <v>18</v>
      </c>
      <c r="E614" t="s">
        <v>19</v>
      </c>
      <c r="F614" t="s">
        <v>54</v>
      </c>
      <c r="G614" t="s">
        <v>119</v>
      </c>
      <c r="H614" t="s">
        <v>56</v>
      </c>
      <c r="I614" t="s">
        <v>7</v>
      </c>
      <c r="J614" t="s">
        <v>120</v>
      </c>
      <c r="K614" t="s">
        <v>121</v>
      </c>
      <c r="L614" t="s">
        <v>59</v>
      </c>
      <c r="M614">
        <v>54</v>
      </c>
      <c r="N614" t="b">
        <v>1</v>
      </c>
      <c r="O614">
        <v>0.70472440944881887</v>
      </c>
      <c r="P614">
        <v>0.64388489208633093</v>
      </c>
      <c r="Q614">
        <v>0.77826086956521734</v>
      </c>
      <c r="R614" t="s">
        <v>60</v>
      </c>
      <c r="S614" t="s">
        <v>1655</v>
      </c>
      <c r="T614" t="s">
        <v>1656</v>
      </c>
      <c r="U614" t="b">
        <v>0</v>
      </c>
      <c r="V614" t="s">
        <v>63</v>
      </c>
      <c r="W614">
        <v>44.8</v>
      </c>
    </row>
    <row r="615" spans="1:23" hidden="1" x14ac:dyDescent="0.3">
      <c r="A615" t="s">
        <v>1629</v>
      </c>
      <c r="B615" t="s">
        <v>1630</v>
      </c>
      <c r="C615" t="s">
        <v>28</v>
      </c>
      <c r="D615" t="s">
        <v>18</v>
      </c>
      <c r="E615" t="s">
        <v>19</v>
      </c>
      <c r="F615" t="s">
        <v>54</v>
      </c>
      <c r="G615" t="s">
        <v>124</v>
      </c>
      <c r="H615" t="s">
        <v>56</v>
      </c>
      <c r="I615" t="s">
        <v>7</v>
      </c>
      <c r="J615" t="s">
        <v>125</v>
      </c>
      <c r="K615" t="s">
        <v>126</v>
      </c>
      <c r="L615" t="s">
        <v>59</v>
      </c>
      <c r="M615">
        <v>55</v>
      </c>
      <c r="N615" t="b">
        <v>1</v>
      </c>
      <c r="O615">
        <v>0.70472440944881887</v>
      </c>
      <c r="P615">
        <v>0.64388489208633093</v>
      </c>
      <c r="Q615">
        <v>0.77826086956521734</v>
      </c>
      <c r="R615" t="s">
        <v>60</v>
      </c>
      <c r="S615" t="s">
        <v>1657</v>
      </c>
      <c r="T615" t="s">
        <v>1658</v>
      </c>
      <c r="U615" t="b">
        <v>0</v>
      </c>
      <c r="V615" t="s">
        <v>63</v>
      </c>
      <c r="W615">
        <v>45.1</v>
      </c>
    </row>
    <row r="616" spans="1:23" hidden="1" x14ac:dyDescent="0.3">
      <c r="A616" t="s">
        <v>1629</v>
      </c>
      <c r="B616" t="s">
        <v>1630</v>
      </c>
      <c r="C616" t="s">
        <v>28</v>
      </c>
      <c r="D616" t="s">
        <v>18</v>
      </c>
      <c r="E616" t="s">
        <v>19</v>
      </c>
      <c r="F616" t="s">
        <v>54</v>
      </c>
      <c r="G616" t="s">
        <v>129</v>
      </c>
      <c r="H616" t="s">
        <v>56</v>
      </c>
      <c r="I616" t="s">
        <v>7</v>
      </c>
      <c r="J616" t="s">
        <v>130</v>
      </c>
      <c r="K616" t="s">
        <v>131</v>
      </c>
      <c r="L616" t="s">
        <v>59</v>
      </c>
      <c r="M616">
        <v>56</v>
      </c>
      <c r="N616" t="b">
        <v>1</v>
      </c>
      <c r="O616">
        <v>0.70472440944881887</v>
      </c>
      <c r="P616">
        <v>0.64388489208633093</v>
      </c>
      <c r="Q616">
        <v>0.77826086956521734</v>
      </c>
      <c r="R616" t="s">
        <v>60</v>
      </c>
      <c r="S616" t="s">
        <v>1659</v>
      </c>
      <c r="T616" t="s">
        <v>1660</v>
      </c>
      <c r="U616" t="b">
        <v>0</v>
      </c>
      <c r="V616" t="s">
        <v>63</v>
      </c>
      <c r="W616">
        <v>55.2</v>
      </c>
    </row>
    <row r="617" spans="1:23" hidden="1" x14ac:dyDescent="0.3">
      <c r="A617" t="s">
        <v>1629</v>
      </c>
      <c r="B617" t="s">
        <v>1630</v>
      </c>
      <c r="C617" t="s">
        <v>28</v>
      </c>
      <c r="D617" t="s">
        <v>18</v>
      </c>
      <c r="E617" t="s">
        <v>19</v>
      </c>
      <c r="F617" t="s">
        <v>54</v>
      </c>
      <c r="G617" t="s">
        <v>134</v>
      </c>
      <c r="H617" t="s">
        <v>56</v>
      </c>
      <c r="I617" t="s">
        <v>7</v>
      </c>
      <c r="J617" t="s">
        <v>135</v>
      </c>
      <c r="K617" t="s">
        <v>136</v>
      </c>
      <c r="L617" t="s">
        <v>59</v>
      </c>
      <c r="M617">
        <v>57</v>
      </c>
      <c r="N617" t="b">
        <v>1</v>
      </c>
      <c r="O617">
        <v>0.70472440944881887</v>
      </c>
      <c r="P617">
        <v>0.64388489208633093</v>
      </c>
      <c r="Q617">
        <v>0.77826086956521734</v>
      </c>
      <c r="R617" t="s">
        <v>60</v>
      </c>
      <c r="S617" t="s">
        <v>1661</v>
      </c>
      <c r="T617" t="s">
        <v>1662</v>
      </c>
      <c r="U617" t="b">
        <v>0</v>
      </c>
      <c r="V617" t="s">
        <v>63</v>
      </c>
      <c r="W617">
        <v>44.5</v>
      </c>
    </row>
    <row r="618" spans="1:23" hidden="1" x14ac:dyDescent="0.3">
      <c r="A618" t="s">
        <v>1629</v>
      </c>
      <c r="B618" t="s">
        <v>1630</v>
      </c>
      <c r="C618" t="s">
        <v>28</v>
      </c>
      <c r="D618" t="s">
        <v>18</v>
      </c>
      <c r="E618" t="s">
        <v>19</v>
      </c>
      <c r="F618" t="s">
        <v>54</v>
      </c>
      <c r="G618" t="s">
        <v>139</v>
      </c>
      <c r="H618" t="s">
        <v>56</v>
      </c>
      <c r="I618" t="s">
        <v>7</v>
      </c>
      <c r="J618" t="s">
        <v>140</v>
      </c>
      <c r="K618" t="s">
        <v>141</v>
      </c>
      <c r="L618" t="s">
        <v>59</v>
      </c>
      <c r="M618">
        <v>58</v>
      </c>
      <c r="N618" t="b">
        <v>1</v>
      </c>
      <c r="O618">
        <v>0.70472440944881887</v>
      </c>
      <c r="P618">
        <v>0.64388489208633093</v>
      </c>
      <c r="Q618">
        <v>0.77826086956521734</v>
      </c>
      <c r="R618" t="s">
        <v>60</v>
      </c>
      <c r="S618" t="s">
        <v>1663</v>
      </c>
      <c r="T618" t="s">
        <v>1664</v>
      </c>
      <c r="U618" t="b">
        <v>0</v>
      </c>
      <c r="V618" t="s">
        <v>63</v>
      </c>
      <c r="W618">
        <v>55.2</v>
      </c>
    </row>
    <row r="619" spans="1:23" hidden="1" x14ac:dyDescent="0.3">
      <c r="A619" t="s">
        <v>1629</v>
      </c>
      <c r="B619" t="s">
        <v>1630</v>
      </c>
      <c r="C619" t="s">
        <v>28</v>
      </c>
      <c r="D619" t="s">
        <v>18</v>
      </c>
      <c r="E619" t="s">
        <v>19</v>
      </c>
      <c r="F619" t="s">
        <v>54</v>
      </c>
      <c r="G619" t="s">
        <v>144</v>
      </c>
      <c r="H619" t="s">
        <v>56</v>
      </c>
      <c r="I619" t="s">
        <v>7</v>
      </c>
      <c r="J619" t="s">
        <v>145</v>
      </c>
      <c r="K619" t="s">
        <v>146</v>
      </c>
      <c r="L619" t="s">
        <v>59</v>
      </c>
      <c r="M619">
        <v>59</v>
      </c>
      <c r="N619" t="b">
        <v>1</v>
      </c>
      <c r="O619">
        <v>0.70472440944881887</v>
      </c>
      <c r="P619">
        <v>0.64388489208633093</v>
      </c>
      <c r="Q619">
        <v>0.77826086956521734</v>
      </c>
      <c r="R619" t="s">
        <v>60</v>
      </c>
      <c r="S619" t="s">
        <v>1665</v>
      </c>
      <c r="T619" t="s">
        <v>1666</v>
      </c>
      <c r="U619" t="b">
        <v>0</v>
      </c>
      <c r="V619" t="s">
        <v>63</v>
      </c>
      <c r="W619">
        <v>54.7</v>
      </c>
    </row>
    <row r="620" spans="1:23" hidden="1" x14ac:dyDescent="0.3">
      <c r="A620" t="s">
        <v>1629</v>
      </c>
      <c r="B620" t="s">
        <v>1630</v>
      </c>
      <c r="C620" t="s">
        <v>28</v>
      </c>
      <c r="D620" t="s">
        <v>18</v>
      </c>
      <c r="E620" t="s">
        <v>19</v>
      </c>
      <c r="F620" t="s">
        <v>54</v>
      </c>
      <c r="G620" t="s">
        <v>149</v>
      </c>
      <c r="H620" t="s">
        <v>56</v>
      </c>
      <c r="I620" t="s">
        <v>7</v>
      </c>
      <c r="J620" t="s">
        <v>150</v>
      </c>
      <c r="K620" t="s">
        <v>151</v>
      </c>
      <c r="L620" t="s">
        <v>59</v>
      </c>
      <c r="M620">
        <v>60</v>
      </c>
      <c r="N620" t="b">
        <v>1</v>
      </c>
      <c r="O620">
        <v>0.70472440944881887</v>
      </c>
      <c r="P620">
        <v>0.64388489208633093</v>
      </c>
      <c r="Q620">
        <v>0.77826086956521734</v>
      </c>
      <c r="R620" t="s">
        <v>60</v>
      </c>
      <c r="S620" t="s">
        <v>1667</v>
      </c>
      <c r="T620" t="s">
        <v>1668</v>
      </c>
      <c r="U620" t="b">
        <v>0</v>
      </c>
      <c r="V620" t="s">
        <v>63</v>
      </c>
      <c r="W620">
        <v>45.1</v>
      </c>
    </row>
    <row r="621" spans="1:23" hidden="1" x14ac:dyDescent="0.3">
      <c r="A621" t="s">
        <v>1629</v>
      </c>
      <c r="B621" t="s">
        <v>1630</v>
      </c>
      <c r="C621" t="s">
        <v>28</v>
      </c>
      <c r="D621" t="s">
        <v>18</v>
      </c>
      <c r="E621" t="s">
        <v>19</v>
      </c>
      <c r="F621" t="s">
        <v>54</v>
      </c>
      <c r="G621" t="s">
        <v>154</v>
      </c>
      <c r="H621" t="s">
        <v>56</v>
      </c>
      <c r="I621" t="s">
        <v>7</v>
      </c>
      <c r="J621" t="s">
        <v>155</v>
      </c>
      <c r="K621" t="s">
        <v>156</v>
      </c>
      <c r="L621" t="s">
        <v>59</v>
      </c>
      <c r="M621">
        <v>61</v>
      </c>
      <c r="N621" t="b">
        <v>1</v>
      </c>
      <c r="O621">
        <v>0.70472440944881887</v>
      </c>
      <c r="P621">
        <v>0.64388489208633093</v>
      </c>
      <c r="Q621">
        <v>0.77826086956521734</v>
      </c>
      <c r="R621" t="s">
        <v>60</v>
      </c>
      <c r="S621" t="s">
        <v>1669</v>
      </c>
      <c r="T621" t="s">
        <v>1670</v>
      </c>
      <c r="U621" t="b">
        <v>0</v>
      </c>
      <c r="V621" t="s">
        <v>63</v>
      </c>
      <c r="W621">
        <v>45</v>
      </c>
    </row>
    <row r="622" spans="1:23" hidden="1" x14ac:dyDescent="0.3">
      <c r="A622" t="s">
        <v>1629</v>
      </c>
      <c r="B622" t="s">
        <v>1630</v>
      </c>
      <c r="C622" t="s">
        <v>28</v>
      </c>
      <c r="D622" t="s">
        <v>18</v>
      </c>
      <c r="E622" t="s">
        <v>19</v>
      </c>
      <c r="F622" t="s">
        <v>54</v>
      </c>
      <c r="G622" t="s">
        <v>159</v>
      </c>
      <c r="H622" t="s">
        <v>160</v>
      </c>
      <c r="I622" t="s">
        <v>3</v>
      </c>
      <c r="J622" t="s">
        <v>161</v>
      </c>
      <c r="K622" t="s">
        <v>162</v>
      </c>
      <c r="L622" t="s">
        <v>163</v>
      </c>
      <c r="M622">
        <v>42</v>
      </c>
      <c r="N622" t="b">
        <v>0</v>
      </c>
      <c r="O622">
        <v>0.70744680851063824</v>
      </c>
      <c r="P622">
        <v>0.64251207729468596</v>
      </c>
      <c r="Q622">
        <v>0.78698224852071008</v>
      </c>
      <c r="R622" t="s">
        <v>60</v>
      </c>
      <c r="S622" t="s">
        <v>1671</v>
      </c>
      <c r="T622" t="s">
        <v>1672</v>
      </c>
      <c r="U622" t="b">
        <v>0</v>
      </c>
      <c r="V622" t="s">
        <v>63</v>
      </c>
      <c r="W622">
        <v>44.1</v>
      </c>
    </row>
    <row r="623" spans="1:23" hidden="1" x14ac:dyDescent="0.3">
      <c r="A623" t="s">
        <v>1629</v>
      </c>
      <c r="B623" t="s">
        <v>1630</v>
      </c>
      <c r="C623" t="s">
        <v>28</v>
      </c>
      <c r="D623" t="s">
        <v>18</v>
      </c>
      <c r="E623" t="s">
        <v>19</v>
      </c>
      <c r="F623" t="s">
        <v>54</v>
      </c>
      <c r="G623" t="s">
        <v>166</v>
      </c>
      <c r="H623" t="s">
        <v>160</v>
      </c>
      <c r="I623" t="s">
        <v>3</v>
      </c>
      <c r="J623" t="s">
        <v>167</v>
      </c>
      <c r="K623" t="s">
        <v>168</v>
      </c>
      <c r="L623" t="s">
        <v>163</v>
      </c>
      <c r="M623">
        <v>43</v>
      </c>
      <c r="N623" t="b">
        <v>0</v>
      </c>
      <c r="O623">
        <v>0.70744680851063824</v>
      </c>
      <c r="P623">
        <v>0.64251207729468596</v>
      </c>
      <c r="Q623">
        <v>0.78698224852071008</v>
      </c>
      <c r="R623" t="s">
        <v>60</v>
      </c>
      <c r="S623" t="s">
        <v>1673</v>
      </c>
      <c r="T623" t="s">
        <v>1674</v>
      </c>
      <c r="U623" t="b">
        <v>0</v>
      </c>
      <c r="V623" t="s">
        <v>63</v>
      </c>
      <c r="W623">
        <v>44.4</v>
      </c>
    </row>
    <row r="624" spans="1:23" hidden="1" x14ac:dyDescent="0.3">
      <c r="A624" t="s">
        <v>1629</v>
      </c>
      <c r="B624" t="s">
        <v>1630</v>
      </c>
      <c r="C624" t="s">
        <v>28</v>
      </c>
      <c r="D624" t="s">
        <v>18</v>
      </c>
      <c r="E624" t="s">
        <v>19</v>
      </c>
      <c r="F624" t="s">
        <v>54</v>
      </c>
      <c r="G624" t="s">
        <v>171</v>
      </c>
      <c r="H624" t="s">
        <v>160</v>
      </c>
      <c r="I624" t="s">
        <v>3</v>
      </c>
      <c r="J624" t="s">
        <v>172</v>
      </c>
      <c r="K624" t="s">
        <v>173</v>
      </c>
      <c r="L624" t="s">
        <v>163</v>
      </c>
      <c r="M624">
        <v>44</v>
      </c>
      <c r="N624" t="b">
        <v>0</v>
      </c>
      <c r="O624">
        <v>0.70744680851063824</v>
      </c>
      <c r="P624">
        <v>0.64251207729468596</v>
      </c>
      <c r="Q624">
        <v>0.78698224852071008</v>
      </c>
      <c r="R624" t="s">
        <v>60</v>
      </c>
      <c r="S624" t="s">
        <v>1675</v>
      </c>
      <c r="T624" t="s">
        <v>1676</v>
      </c>
      <c r="U624" t="b">
        <v>0</v>
      </c>
      <c r="V624" t="s">
        <v>63</v>
      </c>
      <c r="W624">
        <v>42.8</v>
      </c>
    </row>
    <row r="625" spans="1:23" hidden="1" x14ac:dyDescent="0.3">
      <c r="A625" t="s">
        <v>1629</v>
      </c>
      <c r="B625" t="s">
        <v>1630</v>
      </c>
      <c r="C625" t="s">
        <v>28</v>
      </c>
      <c r="D625" t="s">
        <v>18</v>
      </c>
      <c r="E625" t="s">
        <v>19</v>
      </c>
      <c r="F625" t="s">
        <v>54</v>
      </c>
      <c r="G625" t="s">
        <v>176</v>
      </c>
      <c r="H625" t="s">
        <v>160</v>
      </c>
      <c r="I625" t="s">
        <v>3</v>
      </c>
      <c r="J625" t="s">
        <v>177</v>
      </c>
      <c r="K625" t="s">
        <v>178</v>
      </c>
      <c r="L625" t="s">
        <v>163</v>
      </c>
      <c r="M625">
        <v>45</v>
      </c>
      <c r="N625" t="b">
        <v>0</v>
      </c>
      <c r="O625">
        <v>0.70744680851063824</v>
      </c>
      <c r="P625">
        <v>0.64251207729468596</v>
      </c>
      <c r="Q625">
        <v>0.78698224852071008</v>
      </c>
      <c r="R625" t="s">
        <v>60</v>
      </c>
      <c r="S625" t="s">
        <v>1677</v>
      </c>
      <c r="T625" t="s">
        <v>1678</v>
      </c>
      <c r="U625" t="b">
        <v>0</v>
      </c>
      <c r="V625" t="s">
        <v>63</v>
      </c>
      <c r="W625">
        <v>53.3</v>
      </c>
    </row>
    <row r="626" spans="1:23" hidden="1" x14ac:dyDescent="0.3">
      <c r="A626" t="s">
        <v>1629</v>
      </c>
      <c r="B626" t="s">
        <v>1630</v>
      </c>
      <c r="C626" t="s">
        <v>28</v>
      </c>
      <c r="D626" t="s">
        <v>18</v>
      </c>
      <c r="E626" t="s">
        <v>19</v>
      </c>
      <c r="F626" t="s">
        <v>54</v>
      </c>
      <c r="G626" t="s">
        <v>181</v>
      </c>
      <c r="H626" t="s">
        <v>160</v>
      </c>
      <c r="I626" t="s">
        <v>3</v>
      </c>
      <c r="J626" t="s">
        <v>182</v>
      </c>
      <c r="K626" t="s">
        <v>183</v>
      </c>
      <c r="L626" t="s">
        <v>163</v>
      </c>
      <c r="M626">
        <v>46</v>
      </c>
      <c r="N626" t="b">
        <v>0</v>
      </c>
      <c r="O626">
        <v>0.70744680851063824</v>
      </c>
      <c r="P626">
        <v>0.64251207729468596</v>
      </c>
      <c r="Q626">
        <v>0.78698224852071008</v>
      </c>
      <c r="R626" t="s">
        <v>60</v>
      </c>
      <c r="S626" t="s">
        <v>1679</v>
      </c>
      <c r="T626" t="s">
        <v>1680</v>
      </c>
      <c r="U626" t="b">
        <v>0</v>
      </c>
      <c r="V626" t="s">
        <v>63</v>
      </c>
      <c r="W626">
        <v>53.8</v>
      </c>
    </row>
    <row r="627" spans="1:23" hidden="1" x14ac:dyDescent="0.3">
      <c r="A627" t="s">
        <v>1629</v>
      </c>
      <c r="B627" t="s">
        <v>1630</v>
      </c>
      <c r="C627" t="s">
        <v>28</v>
      </c>
      <c r="D627" t="s">
        <v>18</v>
      </c>
      <c r="E627" t="s">
        <v>19</v>
      </c>
      <c r="F627" t="s">
        <v>54</v>
      </c>
      <c r="G627" t="s">
        <v>186</v>
      </c>
      <c r="H627" t="s">
        <v>160</v>
      </c>
      <c r="I627" t="s">
        <v>3</v>
      </c>
      <c r="J627" t="s">
        <v>187</v>
      </c>
      <c r="K627" t="s">
        <v>188</v>
      </c>
      <c r="L627" t="s">
        <v>163</v>
      </c>
      <c r="M627">
        <v>47</v>
      </c>
      <c r="N627" t="b">
        <v>0</v>
      </c>
      <c r="O627">
        <v>0.70744680851063824</v>
      </c>
      <c r="P627">
        <v>0.64251207729468596</v>
      </c>
      <c r="Q627">
        <v>0.78698224852071008</v>
      </c>
      <c r="R627" t="s">
        <v>60</v>
      </c>
      <c r="S627" t="s">
        <v>1681</v>
      </c>
      <c r="T627" t="s">
        <v>1682</v>
      </c>
      <c r="U627" t="b">
        <v>0</v>
      </c>
      <c r="V627" t="s">
        <v>63</v>
      </c>
      <c r="W627">
        <v>54.9</v>
      </c>
    </row>
    <row r="628" spans="1:23" hidden="1" x14ac:dyDescent="0.3">
      <c r="A628" t="s">
        <v>1629</v>
      </c>
      <c r="B628" t="s">
        <v>1630</v>
      </c>
      <c r="C628" t="s">
        <v>28</v>
      </c>
      <c r="D628" t="s">
        <v>18</v>
      </c>
      <c r="E628" t="s">
        <v>19</v>
      </c>
      <c r="F628" t="s">
        <v>54</v>
      </c>
      <c r="G628" t="s">
        <v>191</v>
      </c>
      <c r="H628" t="s">
        <v>160</v>
      </c>
      <c r="I628" t="s">
        <v>3</v>
      </c>
      <c r="J628" t="s">
        <v>192</v>
      </c>
      <c r="K628" t="s">
        <v>193</v>
      </c>
      <c r="L628" t="s">
        <v>163</v>
      </c>
      <c r="M628">
        <v>48</v>
      </c>
      <c r="N628" t="b">
        <v>0</v>
      </c>
      <c r="O628">
        <v>0.70744680851063824</v>
      </c>
      <c r="P628">
        <v>0.64251207729468596</v>
      </c>
      <c r="Q628">
        <v>0.78698224852071008</v>
      </c>
      <c r="R628" t="s">
        <v>60</v>
      </c>
      <c r="S628" t="s">
        <v>1683</v>
      </c>
      <c r="T628" t="s">
        <v>1684</v>
      </c>
      <c r="U628" t="b">
        <v>0</v>
      </c>
      <c r="V628" t="s">
        <v>63</v>
      </c>
      <c r="W628">
        <v>53.9</v>
      </c>
    </row>
    <row r="629" spans="1:23" hidden="1" x14ac:dyDescent="0.3">
      <c r="A629" t="s">
        <v>1629</v>
      </c>
      <c r="B629" t="s">
        <v>1630</v>
      </c>
      <c r="C629" t="s">
        <v>28</v>
      </c>
      <c r="D629" t="s">
        <v>18</v>
      </c>
      <c r="E629" t="s">
        <v>19</v>
      </c>
      <c r="F629" t="s">
        <v>54</v>
      </c>
      <c r="G629" t="s">
        <v>196</v>
      </c>
      <c r="H629" t="s">
        <v>160</v>
      </c>
      <c r="I629" t="s">
        <v>3</v>
      </c>
      <c r="J629" t="s">
        <v>197</v>
      </c>
      <c r="K629" t="s">
        <v>198</v>
      </c>
      <c r="L629" t="s">
        <v>163</v>
      </c>
      <c r="M629">
        <v>49</v>
      </c>
      <c r="N629" t="b">
        <v>0</v>
      </c>
      <c r="O629">
        <v>0.70744680851063824</v>
      </c>
      <c r="P629">
        <v>0.64251207729468596</v>
      </c>
      <c r="Q629">
        <v>0.78698224852071008</v>
      </c>
      <c r="R629" t="s">
        <v>60</v>
      </c>
      <c r="S629" t="s">
        <v>1685</v>
      </c>
      <c r="T629" t="s">
        <v>1686</v>
      </c>
      <c r="U629" t="b">
        <v>0</v>
      </c>
      <c r="V629" t="s">
        <v>63</v>
      </c>
      <c r="W629">
        <v>43.5</v>
      </c>
    </row>
    <row r="630" spans="1:23" hidden="1" x14ac:dyDescent="0.3">
      <c r="A630" t="s">
        <v>1629</v>
      </c>
      <c r="B630" t="s">
        <v>1630</v>
      </c>
      <c r="C630" t="s">
        <v>28</v>
      </c>
      <c r="D630" t="s">
        <v>18</v>
      </c>
      <c r="E630" t="s">
        <v>19</v>
      </c>
      <c r="F630" t="s">
        <v>54</v>
      </c>
      <c r="G630" t="s">
        <v>201</v>
      </c>
      <c r="H630" t="s">
        <v>160</v>
      </c>
      <c r="I630" t="s">
        <v>3</v>
      </c>
      <c r="J630" t="s">
        <v>202</v>
      </c>
      <c r="K630" t="s">
        <v>203</v>
      </c>
      <c r="L630" t="s">
        <v>163</v>
      </c>
      <c r="M630">
        <v>50</v>
      </c>
      <c r="N630" t="b">
        <v>0</v>
      </c>
      <c r="O630">
        <v>0.70744680851063824</v>
      </c>
      <c r="P630">
        <v>0.64251207729468596</v>
      </c>
      <c r="Q630">
        <v>0.78698224852071008</v>
      </c>
      <c r="R630" t="s">
        <v>60</v>
      </c>
      <c r="S630" t="s">
        <v>1687</v>
      </c>
      <c r="T630" t="s">
        <v>1688</v>
      </c>
      <c r="U630" t="b">
        <v>0</v>
      </c>
      <c r="V630" t="s">
        <v>63</v>
      </c>
      <c r="W630">
        <v>54</v>
      </c>
    </row>
    <row r="631" spans="1:23" hidden="1" x14ac:dyDescent="0.3">
      <c r="A631" t="s">
        <v>1629</v>
      </c>
      <c r="B631" t="s">
        <v>1630</v>
      </c>
      <c r="C631" t="s">
        <v>28</v>
      </c>
      <c r="D631" t="s">
        <v>18</v>
      </c>
      <c r="E631" t="s">
        <v>19</v>
      </c>
      <c r="F631" t="s">
        <v>54</v>
      </c>
      <c r="G631" t="s">
        <v>206</v>
      </c>
      <c r="H631" t="s">
        <v>160</v>
      </c>
      <c r="I631" t="s">
        <v>3</v>
      </c>
      <c r="J631" t="s">
        <v>207</v>
      </c>
      <c r="K631" t="s">
        <v>208</v>
      </c>
      <c r="L631" t="s">
        <v>163</v>
      </c>
      <c r="M631">
        <v>51</v>
      </c>
      <c r="N631" t="b">
        <v>0</v>
      </c>
      <c r="O631">
        <v>0.70744680851063824</v>
      </c>
      <c r="P631">
        <v>0.64251207729468596</v>
      </c>
      <c r="Q631">
        <v>0.78698224852071008</v>
      </c>
      <c r="R631" t="s">
        <v>60</v>
      </c>
      <c r="S631" t="s">
        <v>1689</v>
      </c>
      <c r="T631" t="s">
        <v>1690</v>
      </c>
      <c r="U631" t="b">
        <v>0</v>
      </c>
      <c r="V631" t="s">
        <v>63</v>
      </c>
      <c r="W631">
        <v>54</v>
      </c>
    </row>
    <row r="632" spans="1:23" hidden="1" x14ac:dyDescent="0.3">
      <c r="A632" t="s">
        <v>1629</v>
      </c>
      <c r="B632" t="s">
        <v>1630</v>
      </c>
      <c r="C632" t="s">
        <v>28</v>
      </c>
      <c r="D632" t="s">
        <v>18</v>
      </c>
      <c r="E632" t="s">
        <v>19</v>
      </c>
      <c r="F632" t="s">
        <v>54</v>
      </c>
      <c r="G632" t="s">
        <v>211</v>
      </c>
      <c r="H632" t="s">
        <v>160</v>
      </c>
      <c r="I632" t="s">
        <v>3</v>
      </c>
      <c r="J632" t="s">
        <v>212</v>
      </c>
      <c r="K632" t="s">
        <v>213</v>
      </c>
      <c r="L632" t="s">
        <v>163</v>
      </c>
      <c r="M632">
        <v>52</v>
      </c>
      <c r="N632" t="b">
        <v>0</v>
      </c>
      <c r="O632">
        <v>0.70744680851063824</v>
      </c>
      <c r="P632">
        <v>0.64251207729468596</v>
      </c>
      <c r="Q632">
        <v>0.78698224852071008</v>
      </c>
      <c r="R632" t="s">
        <v>60</v>
      </c>
      <c r="S632" t="s">
        <v>1691</v>
      </c>
      <c r="T632" t="s">
        <v>1692</v>
      </c>
      <c r="U632" t="b">
        <v>0</v>
      </c>
      <c r="V632" t="s">
        <v>63</v>
      </c>
      <c r="W632">
        <v>44.1</v>
      </c>
    </row>
    <row r="633" spans="1:23" hidden="1" x14ac:dyDescent="0.3">
      <c r="A633" t="s">
        <v>1629</v>
      </c>
      <c r="B633" t="s">
        <v>1630</v>
      </c>
      <c r="C633" t="s">
        <v>28</v>
      </c>
      <c r="D633" t="s">
        <v>18</v>
      </c>
      <c r="E633" t="s">
        <v>19</v>
      </c>
      <c r="F633" t="s">
        <v>54</v>
      </c>
      <c r="G633" t="s">
        <v>216</v>
      </c>
      <c r="H633" t="s">
        <v>160</v>
      </c>
      <c r="I633" t="s">
        <v>3</v>
      </c>
      <c r="J633" t="s">
        <v>217</v>
      </c>
      <c r="K633" t="s">
        <v>218</v>
      </c>
      <c r="L633" t="s">
        <v>163</v>
      </c>
      <c r="M633">
        <v>53</v>
      </c>
      <c r="N633" t="b">
        <v>0</v>
      </c>
      <c r="O633">
        <v>0.70744680851063824</v>
      </c>
      <c r="P633">
        <v>0.64251207729468596</v>
      </c>
      <c r="Q633">
        <v>0.78698224852071008</v>
      </c>
      <c r="R633" t="s">
        <v>60</v>
      </c>
      <c r="S633" t="s">
        <v>1693</v>
      </c>
      <c r="T633" t="s">
        <v>1694</v>
      </c>
      <c r="U633" t="b">
        <v>0</v>
      </c>
      <c r="V633" t="s">
        <v>63</v>
      </c>
      <c r="W633">
        <v>54.5</v>
      </c>
    </row>
    <row r="634" spans="1:23" hidden="1" x14ac:dyDescent="0.3">
      <c r="A634" t="s">
        <v>1629</v>
      </c>
      <c r="B634" t="s">
        <v>1630</v>
      </c>
      <c r="C634" t="s">
        <v>28</v>
      </c>
      <c r="D634" t="s">
        <v>18</v>
      </c>
      <c r="E634" t="s">
        <v>19</v>
      </c>
      <c r="F634" t="s">
        <v>54</v>
      </c>
      <c r="G634" t="s">
        <v>221</v>
      </c>
      <c r="H634" t="s">
        <v>160</v>
      </c>
      <c r="I634" t="s">
        <v>3</v>
      </c>
      <c r="J634" t="s">
        <v>222</v>
      </c>
      <c r="K634" t="s">
        <v>223</v>
      </c>
      <c r="L634" t="s">
        <v>163</v>
      </c>
      <c r="M634">
        <v>54</v>
      </c>
      <c r="N634" t="b">
        <v>0</v>
      </c>
      <c r="O634">
        <v>0.70744680851063824</v>
      </c>
      <c r="P634">
        <v>0.64251207729468596</v>
      </c>
      <c r="Q634">
        <v>0.78698224852071008</v>
      </c>
      <c r="R634" t="s">
        <v>60</v>
      </c>
      <c r="S634" t="s">
        <v>1695</v>
      </c>
      <c r="T634" t="s">
        <v>1696</v>
      </c>
      <c r="U634" t="b">
        <v>0</v>
      </c>
      <c r="V634" t="s">
        <v>63</v>
      </c>
      <c r="W634">
        <v>54.3</v>
      </c>
    </row>
    <row r="635" spans="1:23" hidden="1" x14ac:dyDescent="0.3">
      <c r="A635" t="s">
        <v>1629</v>
      </c>
      <c r="B635" t="s">
        <v>1630</v>
      </c>
      <c r="C635" t="s">
        <v>28</v>
      </c>
      <c r="D635" t="s">
        <v>18</v>
      </c>
      <c r="E635" t="s">
        <v>19</v>
      </c>
      <c r="F635" t="s">
        <v>54</v>
      </c>
      <c r="G635" t="s">
        <v>226</v>
      </c>
      <c r="H635" t="s">
        <v>160</v>
      </c>
      <c r="I635" t="s">
        <v>3</v>
      </c>
      <c r="J635" t="s">
        <v>227</v>
      </c>
      <c r="K635" t="s">
        <v>228</v>
      </c>
      <c r="L635" t="s">
        <v>163</v>
      </c>
      <c r="M635">
        <v>55</v>
      </c>
      <c r="N635" t="b">
        <v>0</v>
      </c>
      <c r="O635">
        <v>0.70744680851063824</v>
      </c>
      <c r="P635">
        <v>0.64251207729468596</v>
      </c>
      <c r="Q635">
        <v>0.78698224852071008</v>
      </c>
      <c r="R635" t="s">
        <v>60</v>
      </c>
      <c r="S635" t="s">
        <v>1697</v>
      </c>
      <c r="T635" t="s">
        <v>1698</v>
      </c>
      <c r="U635" t="b">
        <v>0</v>
      </c>
      <c r="V635" t="s">
        <v>63</v>
      </c>
      <c r="W635">
        <v>54.4</v>
      </c>
    </row>
    <row r="636" spans="1:23" hidden="1" x14ac:dyDescent="0.3">
      <c r="A636" t="s">
        <v>1629</v>
      </c>
      <c r="B636" t="s">
        <v>1630</v>
      </c>
      <c r="C636" t="s">
        <v>28</v>
      </c>
      <c r="D636" t="s">
        <v>18</v>
      </c>
      <c r="E636" t="s">
        <v>19</v>
      </c>
      <c r="F636" t="s">
        <v>54</v>
      </c>
      <c r="G636" t="s">
        <v>231</v>
      </c>
      <c r="H636" t="s">
        <v>160</v>
      </c>
      <c r="I636" t="s">
        <v>3</v>
      </c>
      <c r="J636" t="s">
        <v>232</v>
      </c>
      <c r="K636" t="s">
        <v>233</v>
      </c>
      <c r="L636" t="s">
        <v>163</v>
      </c>
      <c r="M636">
        <v>56</v>
      </c>
      <c r="N636" t="b">
        <v>0</v>
      </c>
      <c r="O636">
        <v>0.70744680851063824</v>
      </c>
      <c r="P636">
        <v>0.64251207729468596</v>
      </c>
      <c r="Q636">
        <v>0.78698224852071008</v>
      </c>
      <c r="R636" t="s">
        <v>60</v>
      </c>
      <c r="S636" t="s">
        <v>1699</v>
      </c>
      <c r="T636" t="s">
        <v>1700</v>
      </c>
      <c r="U636" t="b">
        <v>0</v>
      </c>
      <c r="V636" t="s">
        <v>63</v>
      </c>
      <c r="W636">
        <v>54.4</v>
      </c>
    </row>
    <row r="637" spans="1:23" hidden="1" x14ac:dyDescent="0.3">
      <c r="A637" t="s">
        <v>1629</v>
      </c>
      <c r="B637" t="s">
        <v>1630</v>
      </c>
      <c r="C637" t="s">
        <v>28</v>
      </c>
      <c r="D637" t="s">
        <v>18</v>
      </c>
      <c r="E637" t="s">
        <v>19</v>
      </c>
      <c r="F637" t="s">
        <v>54</v>
      </c>
      <c r="G637" t="s">
        <v>236</v>
      </c>
      <c r="H637" t="s">
        <v>160</v>
      </c>
      <c r="I637" t="s">
        <v>3</v>
      </c>
      <c r="J637" t="s">
        <v>237</v>
      </c>
      <c r="K637" t="s">
        <v>238</v>
      </c>
      <c r="L637" t="s">
        <v>163</v>
      </c>
      <c r="M637">
        <v>57</v>
      </c>
      <c r="N637" t="b">
        <v>0</v>
      </c>
      <c r="O637">
        <v>0.70744680851063824</v>
      </c>
      <c r="P637">
        <v>0.64251207729468596</v>
      </c>
      <c r="Q637">
        <v>0.78698224852071008</v>
      </c>
      <c r="R637" t="s">
        <v>60</v>
      </c>
      <c r="S637" t="s">
        <v>1701</v>
      </c>
      <c r="T637" t="s">
        <v>1702</v>
      </c>
      <c r="U637" t="b">
        <v>0</v>
      </c>
      <c r="V637" t="s">
        <v>63</v>
      </c>
      <c r="W637">
        <v>54</v>
      </c>
    </row>
    <row r="638" spans="1:23" hidden="1" x14ac:dyDescent="0.3">
      <c r="A638" t="s">
        <v>1629</v>
      </c>
      <c r="B638" t="s">
        <v>1630</v>
      </c>
      <c r="C638" t="s">
        <v>28</v>
      </c>
      <c r="D638" t="s">
        <v>18</v>
      </c>
      <c r="E638" t="s">
        <v>19</v>
      </c>
      <c r="F638" t="s">
        <v>54</v>
      </c>
      <c r="G638" t="s">
        <v>241</v>
      </c>
      <c r="H638" t="s">
        <v>160</v>
      </c>
      <c r="I638" t="s">
        <v>3</v>
      </c>
      <c r="J638" t="s">
        <v>242</v>
      </c>
      <c r="K638" t="s">
        <v>243</v>
      </c>
      <c r="L638" t="s">
        <v>163</v>
      </c>
      <c r="M638">
        <v>58</v>
      </c>
      <c r="N638" t="b">
        <v>0</v>
      </c>
      <c r="O638">
        <v>0.70744680851063824</v>
      </c>
      <c r="P638">
        <v>0.64251207729468596</v>
      </c>
      <c r="Q638">
        <v>0.78698224852071008</v>
      </c>
      <c r="R638" t="s">
        <v>60</v>
      </c>
      <c r="S638" t="s">
        <v>1703</v>
      </c>
      <c r="T638" t="s">
        <v>1704</v>
      </c>
      <c r="U638" t="b">
        <v>0</v>
      </c>
      <c r="V638" t="s">
        <v>63</v>
      </c>
      <c r="W638">
        <v>43.8</v>
      </c>
    </row>
    <row r="639" spans="1:23" hidden="1" x14ac:dyDescent="0.3">
      <c r="A639" t="s">
        <v>1629</v>
      </c>
      <c r="B639" t="s">
        <v>1630</v>
      </c>
      <c r="C639" t="s">
        <v>28</v>
      </c>
      <c r="D639" t="s">
        <v>18</v>
      </c>
      <c r="E639" t="s">
        <v>19</v>
      </c>
      <c r="F639" t="s">
        <v>54</v>
      </c>
      <c r="G639" t="s">
        <v>246</v>
      </c>
      <c r="H639" t="s">
        <v>160</v>
      </c>
      <c r="I639" t="s">
        <v>3</v>
      </c>
      <c r="J639" t="s">
        <v>247</v>
      </c>
      <c r="K639" t="s">
        <v>248</v>
      </c>
      <c r="L639" t="s">
        <v>163</v>
      </c>
      <c r="M639">
        <v>59</v>
      </c>
      <c r="N639" t="b">
        <v>0</v>
      </c>
      <c r="O639">
        <v>0.70744680851063824</v>
      </c>
      <c r="P639">
        <v>0.64251207729468596</v>
      </c>
      <c r="Q639">
        <v>0.78698224852071008</v>
      </c>
      <c r="R639" t="s">
        <v>60</v>
      </c>
      <c r="S639" t="s">
        <v>1705</v>
      </c>
      <c r="T639" t="s">
        <v>1706</v>
      </c>
      <c r="U639" t="b">
        <v>0</v>
      </c>
      <c r="V639" t="s">
        <v>63</v>
      </c>
      <c r="W639">
        <v>43.7</v>
      </c>
    </row>
    <row r="640" spans="1:23" hidden="1" x14ac:dyDescent="0.3">
      <c r="A640" t="s">
        <v>1629</v>
      </c>
      <c r="B640" t="s">
        <v>1630</v>
      </c>
      <c r="C640" t="s">
        <v>28</v>
      </c>
      <c r="D640" t="s">
        <v>18</v>
      </c>
      <c r="E640" t="s">
        <v>19</v>
      </c>
      <c r="F640" t="s">
        <v>54</v>
      </c>
      <c r="G640" t="s">
        <v>251</v>
      </c>
      <c r="H640" t="s">
        <v>160</v>
      </c>
      <c r="I640" t="s">
        <v>3</v>
      </c>
      <c r="J640" t="s">
        <v>252</v>
      </c>
      <c r="K640" t="s">
        <v>253</v>
      </c>
      <c r="L640" t="s">
        <v>163</v>
      </c>
      <c r="M640">
        <v>60</v>
      </c>
      <c r="N640" t="b">
        <v>0</v>
      </c>
      <c r="O640">
        <v>0.70744680851063824</v>
      </c>
      <c r="P640">
        <v>0.64251207729468596</v>
      </c>
      <c r="Q640">
        <v>0.78698224852071008</v>
      </c>
      <c r="R640" t="s">
        <v>60</v>
      </c>
      <c r="S640" t="s">
        <v>1707</v>
      </c>
      <c r="T640" t="s">
        <v>1708</v>
      </c>
      <c r="U640" t="b">
        <v>0</v>
      </c>
      <c r="V640" t="s">
        <v>63</v>
      </c>
      <c r="W640">
        <v>43.7</v>
      </c>
    </row>
    <row r="641" spans="1:23" hidden="1" x14ac:dyDescent="0.3">
      <c r="A641" t="s">
        <v>1629</v>
      </c>
      <c r="B641" t="s">
        <v>1630</v>
      </c>
      <c r="C641" t="s">
        <v>28</v>
      </c>
      <c r="D641" t="s">
        <v>18</v>
      </c>
      <c r="E641" t="s">
        <v>19</v>
      </c>
      <c r="F641" t="s">
        <v>54</v>
      </c>
      <c r="G641" t="s">
        <v>256</v>
      </c>
      <c r="H641" t="s">
        <v>160</v>
      </c>
      <c r="I641" t="s">
        <v>3</v>
      </c>
      <c r="J641" t="s">
        <v>257</v>
      </c>
      <c r="K641" t="s">
        <v>258</v>
      </c>
      <c r="L641" t="s">
        <v>163</v>
      </c>
      <c r="M641">
        <v>61</v>
      </c>
      <c r="N641" t="b">
        <v>0</v>
      </c>
      <c r="O641">
        <v>0.70744680851063824</v>
      </c>
      <c r="P641">
        <v>0.64251207729468596</v>
      </c>
      <c r="Q641">
        <v>0.78698224852071008</v>
      </c>
      <c r="R641" t="s">
        <v>60</v>
      </c>
      <c r="S641" t="s">
        <v>1709</v>
      </c>
      <c r="T641" t="s">
        <v>1710</v>
      </c>
      <c r="U641" t="b">
        <v>0</v>
      </c>
      <c r="V641" t="s">
        <v>63</v>
      </c>
      <c r="W641">
        <v>53.5</v>
      </c>
    </row>
    <row r="642" spans="1:23" hidden="1" x14ac:dyDescent="0.3">
      <c r="A642" t="s">
        <v>1629</v>
      </c>
      <c r="B642" t="s">
        <v>1630</v>
      </c>
      <c r="C642" t="s">
        <v>28</v>
      </c>
      <c r="D642" t="s">
        <v>18</v>
      </c>
      <c r="E642" t="s">
        <v>19</v>
      </c>
      <c r="F642" t="s">
        <v>54</v>
      </c>
      <c r="G642" t="s">
        <v>261</v>
      </c>
      <c r="H642" t="s">
        <v>262</v>
      </c>
      <c r="I642" t="s">
        <v>5</v>
      </c>
      <c r="J642" t="s">
        <v>263</v>
      </c>
      <c r="K642" t="s">
        <v>264</v>
      </c>
      <c r="L642" t="s">
        <v>265</v>
      </c>
      <c r="M642">
        <v>42</v>
      </c>
      <c r="N642" t="b">
        <v>0</v>
      </c>
      <c r="O642">
        <v>0.72921108742004259</v>
      </c>
      <c r="P642">
        <v>0.69230769230769229</v>
      </c>
      <c r="Q642">
        <v>0.77027027027027029</v>
      </c>
      <c r="R642" t="s">
        <v>60</v>
      </c>
      <c r="S642" t="s">
        <v>1711</v>
      </c>
      <c r="T642" t="s">
        <v>1712</v>
      </c>
      <c r="U642" t="b">
        <v>0</v>
      </c>
      <c r="V642" t="s">
        <v>63</v>
      </c>
      <c r="W642">
        <v>47.7</v>
      </c>
    </row>
    <row r="643" spans="1:23" hidden="1" x14ac:dyDescent="0.3">
      <c r="A643" t="s">
        <v>1629</v>
      </c>
      <c r="B643" t="s">
        <v>1630</v>
      </c>
      <c r="C643" t="s">
        <v>28</v>
      </c>
      <c r="D643" t="s">
        <v>18</v>
      </c>
      <c r="E643" t="s">
        <v>19</v>
      </c>
      <c r="F643" t="s">
        <v>54</v>
      </c>
      <c r="G643" t="s">
        <v>268</v>
      </c>
      <c r="H643" t="s">
        <v>262</v>
      </c>
      <c r="I643" t="s">
        <v>5</v>
      </c>
      <c r="J643" t="s">
        <v>269</v>
      </c>
      <c r="K643" t="s">
        <v>270</v>
      </c>
      <c r="L643" t="s">
        <v>265</v>
      </c>
      <c r="M643">
        <v>43</v>
      </c>
      <c r="N643" t="b">
        <v>0</v>
      </c>
      <c r="O643">
        <v>0.72921108742004259</v>
      </c>
      <c r="P643">
        <v>0.69230769230769229</v>
      </c>
      <c r="Q643">
        <v>0.77027027027027029</v>
      </c>
      <c r="R643" t="s">
        <v>60</v>
      </c>
      <c r="S643" t="s">
        <v>1713</v>
      </c>
      <c r="T643" t="s">
        <v>1714</v>
      </c>
      <c r="U643" t="b">
        <v>0</v>
      </c>
      <c r="V643" t="s">
        <v>63</v>
      </c>
      <c r="W643">
        <v>44.1</v>
      </c>
    </row>
    <row r="644" spans="1:23" hidden="1" x14ac:dyDescent="0.3">
      <c r="A644" t="s">
        <v>1629</v>
      </c>
      <c r="B644" t="s">
        <v>1630</v>
      </c>
      <c r="C644" t="s">
        <v>28</v>
      </c>
      <c r="D644" t="s">
        <v>18</v>
      </c>
      <c r="E644" t="s">
        <v>19</v>
      </c>
      <c r="F644" t="s">
        <v>54</v>
      </c>
      <c r="G644" t="s">
        <v>273</v>
      </c>
      <c r="H644" t="s">
        <v>262</v>
      </c>
      <c r="I644" t="s">
        <v>5</v>
      </c>
      <c r="J644" t="s">
        <v>274</v>
      </c>
      <c r="K644" t="s">
        <v>275</v>
      </c>
      <c r="L644" t="s">
        <v>265</v>
      </c>
      <c r="M644">
        <v>44</v>
      </c>
      <c r="N644" t="b">
        <v>0</v>
      </c>
      <c r="O644">
        <v>0.72921108742004259</v>
      </c>
      <c r="P644">
        <v>0.69230769230769229</v>
      </c>
      <c r="Q644">
        <v>0.77027027027027029</v>
      </c>
      <c r="R644" t="s">
        <v>60</v>
      </c>
      <c r="S644" t="s">
        <v>1715</v>
      </c>
      <c r="T644" t="s">
        <v>1716</v>
      </c>
      <c r="U644" t="b">
        <v>0</v>
      </c>
      <c r="V644" t="s">
        <v>63</v>
      </c>
      <c r="W644">
        <v>45.1</v>
      </c>
    </row>
    <row r="645" spans="1:23" hidden="1" x14ac:dyDescent="0.3">
      <c r="A645" t="s">
        <v>1629</v>
      </c>
      <c r="B645" t="s">
        <v>1630</v>
      </c>
      <c r="C645" t="s">
        <v>28</v>
      </c>
      <c r="D645" t="s">
        <v>18</v>
      </c>
      <c r="E645" t="s">
        <v>19</v>
      </c>
      <c r="F645" t="s">
        <v>54</v>
      </c>
      <c r="G645" t="s">
        <v>278</v>
      </c>
      <c r="H645" t="s">
        <v>262</v>
      </c>
      <c r="I645" t="s">
        <v>5</v>
      </c>
      <c r="J645" t="s">
        <v>279</v>
      </c>
      <c r="K645" t="s">
        <v>280</v>
      </c>
      <c r="L645" t="s">
        <v>265</v>
      </c>
      <c r="M645">
        <v>45</v>
      </c>
      <c r="N645" t="b">
        <v>0</v>
      </c>
      <c r="O645">
        <v>0.72921108742004259</v>
      </c>
      <c r="P645">
        <v>0.69230769230769229</v>
      </c>
      <c r="Q645">
        <v>0.77027027027027029</v>
      </c>
      <c r="R645" t="s">
        <v>60</v>
      </c>
      <c r="S645" t="s">
        <v>1717</v>
      </c>
      <c r="T645" t="s">
        <v>1718</v>
      </c>
      <c r="U645" t="b">
        <v>0</v>
      </c>
      <c r="V645" t="s">
        <v>63</v>
      </c>
      <c r="W645">
        <v>55.6</v>
      </c>
    </row>
    <row r="646" spans="1:23" hidden="1" x14ac:dyDescent="0.3">
      <c r="A646" t="s">
        <v>1629</v>
      </c>
      <c r="B646" t="s">
        <v>1630</v>
      </c>
      <c r="C646" t="s">
        <v>28</v>
      </c>
      <c r="D646" t="s">
        <v>18</v>
      </c>
      <c r="E646" t="s">
        <v>19</v>
      </c>
      <c r="F646" t="s">
        <v>54</v>
      </c>
      <c r="G646" t="s">
        <v>283</v>
      </c>
      <c r="H646" t="s">
        <v>262</v>
      </c>
      <c r="I646" t="s">
        <v>5</v>
      </c>
      <c r="J646" t="s">
        <v>284</v>
      </c>
      <c r="K646" t="s">
        <v>285</v>
      </c>
      <c r="L646" t="s">
        <v>265</v>
      </c>
      <c r="M646">
        <v>46</v>
      </c>
      <c r="N646" t="b">
        <v>0</v>
      </c>
      <c r="O646">
        <v>0.72921108742004259</v>
      </c>
      <c r="P646">
        <v>0.69230769230769229</v>
      </c>
      <c r="Q646">
        <v>0.77027027027027029</v>
      </c>
      <c r="R646" t="s">
        <v>60</v>
      </c>
      <c r="S646" t="s">
        <v>1719</v>
      </c>
      <c r="T646" t="s">
        <v>1720</v>
      </c>
      <c r="U646" t="b">
        <v>0</v>
      </c>
      <c r="V646" t="s">
        <v>63</v>
      </c>
      <c r="W646">
        <v>55.1</v>
      </c>
    </row>
    <row r="647" spans="1:23" hidden="1" x14ac:dyDescent="0.3">
      <c r="A647" t="s">
        <v>1629</v>
      </c>
      <c r="B647" t="s">
        <v>1630</v>
      </c>
      <c r="C647" t="s">
        <v>28</v>
      </c>
      <c r="D647" t="s">
        <v>18</v>
      </c>
      <c r="E647" t="s">
        <v>19</v>
      </c>
      <c r="F647" t="s">
        <v>54</v>
      </c>
      <c r="G647" t="s">
        <v>288</v>
      </c>
      <c r="H647" t="s">
        <v>262</v>
      </c>
      <c r="I647" t="s">
        <v>5</v>
      </c>
      <c r="J647" t="s">
        <v>289</v>
      </c>
      <c r="K647" t="s">
        <v>290</v>
      </c>
      <c r="L647" t="s">
        <v>265</v>
      </c>
      <c r="M647">
        <v>47</v>
      </c>
      <c r="N647" t="b">
        <v>0</v>
      </c>
      <c r="O647">
        <v>0.72921108742004259</v>
      </c>
      <c r="P647">
        <v>0.69230769230769229</v>
      </c>
      <c r="Q647">
        <v>0.77027027027027029</v>
      </c>
      <c r="R647" t="s">
        <v>60</v>
      </c>
      <c r="S647" t="s">
        <v>1721</v>
      </c>
      <c r="T647" t="s">
        <v>1722</v>
      </c>
      <c r="U647" t="b">
        <v>0</v>
      </c>
      <c r="V647" t="s">
        <v>63</v>
      </c>
      <c r="W647">
        <v>55.8</v>
      </c>
    </row>
    <row r="648" spans="1:23" hidden="1" x14ac:dyDescent="0.3">
      <c r="A648" t="s">
        <v>1629</v>
      </c>
      <c r="B648" t="s">
        <v>1630</v>
      </c>
      <c r="C648" t="s">
        <v>28</v>
      </c>
      <c r="D648" t="s">
        <v>18</v>
      </c>
      <c r="E648" t="s">
        <v>19</v>
      </c>
      <c r="F648" t="s">
        <v>54</v>
      </c>
      <c r="G648" t="s">
        <v>293</v>
      </c>
      <c r="H648" t="s">
        <v>262</v>
      </c>
      <c r="I648" t="s">
        <v>5</v>
      </c>
      <c r="J648" t="s">
        <v>294</v>
      </c>
      <c r="K648" t="s">
        <v>295</v>
      </c>
      <c r="L648" t="s">
        <v>265</v>
      </c>
      <c r="M648">
        <v>48</v>
      </c>
      <c r="N648" t="b">
        <v>0</v>
      </c>
      <c r="O648">
        <v>0.72921108742004259</v>
      </c>
      <c r="P648">
        <v>0.69230769230769229</v>
      </c>
      <c r="Q648">
        <v>0.77027027027027029</v>
      </c>
      <c r="R648" t="s">
        <v>60</v>
      </c>
      <c r="S648" t="s">
        <v>1723</v>
      </c>
      <c r="T648" t="s">
        <v>1724</v>
      </c>
      <c r="U648" t="b">
        <v>0</v>
      </c>
      <c r="V648" t="s">
        <v>63</v>
      </c>
      <c r="W648">
        <v>45.1</v>
      </c>
    </row>
    <row r="649" spans="1:23" hidden="1" x14ac:dyDescent="0.3">
      <c r="A649" t="s">
        <v>1629</v>
      </c>
      <c r="B649" t="s">
        <v>1630</v>
      </c>
      <c r="C649" t="s">
        <v>28</v>
      </c>
      <c r="D649" t="s">
        <v>18</v>
      </c>
      <c r="E649" t="s">
        <v>19</v>
      </c>
      <c r="F649" t="s">
        <v>54</v>
      </c>
      <c r="G649" t="s">
        <v>298</v>
      </c>
      <c r="H649" t="s">
        <v>262</v>
      </c>
      <c r="I649" t="s">
        <v>5</v>
      </c>
      <c r="J649" t="s">
        <v>299</v>
      </c>
      <c r="K649" t="s">
        <v>300</v>
      </c>
      <c r="L649" t="s">
        <v>265</v>
      </c>
      <c r="M649">
        <v>49</v>
      </c>
      <c r="N649" t="b">
        <v>0</v>
      </c>
      <c r="O649">
        <v>0.72921108742004259</v>
      </c>
      <c r="P649">
        <v>0.69230769230769229</v>
      </c>
      <c r="Q649">
        <v>0.77027027027027029</v>
      </c>
      <c r="R649" t="s">
        <v>60</v>
      </c>
      <c r="S649" t="s">
        <v>1725</v>
      </c>
      <c r="T649" t="s">
        <v>1726</v>
      </c>
      <c r="U649" t="b">
        <v>0</v>
      </c>
      <c r="V649" t="s">
        <v>63</v>
      </c>
      <c r="W649">
        <v>55.8</v>
      </c>
    </row>
    <row r="650" spans="1:23" hidden="1" x14ac:dyDescent="0.3">
      <c r="A650" t="s">
        <v>1629</v>
      </c>
      <c r="B650" t="s">
        <v>1630</v>
      </c>
      <c r="C650" t="s">
        <v>28</v>
      </c>
      <c r="D650" t="s">
        <v>18</v>
      </c>
      <c r="E650" t="s">
        <v>19</v>
      </c>
      <c r="F650" t="s">
        <v>54</v>
      </c>
      <c r="G650" t="s">
        <v>303</v>
      </c>
      <c r="H650" t="s">
        <v>262</v>
      </c>
      <c r="I650" t="s">
        <v>5</v>
      </c>
      <c r="J650" t="s">
        <v>304</v>
      </c>
      <c r="K650" t="s">
        <v>305</v>
      </c>
      <c r="L650" t="s">
        <v>265</v>
      </c>
      <c r="M650">
        <v>50</v>
      </c>
      <c r="N650" t="b">
        <v>0</v>
      </c>
      <c r="O650">
        <v>0.72921108742004259</v>
      </c>
      <c r="P650">
        <v>0.69230769230769229</v>
      </c>
      <c r="Q650">
        <v>0.77027027027027029</v>
      </c>
      <c r="R650" t="s">
        <v>60</v>
      </c>
      <c r="S650" t="s">
        <v>1727</v>
      </c>
      <c r="T650" t="s">
        <v>1728</v>
      </c>
      <c r="U650" t="b">
        <v>0</v>
      </c>
      <c r="V650" t="s">
        <v>63</v>
      </c>
      <c r="W650">
        <v>45.4</v>
      </c>
    </row>
    <row r="651" spans="1:23" hidden="1" x14ac:dyDescent="0.3">
      <c r="A651" t="s">
        <v>1629</v>
      </c>
      <c r="B651" t="s">
        <v>1630</v>
      </c>
      <c r="C651" t="s">
        <v>28</v>
      </c>
      <c r="D651" t="s">
        <v>18</v>
      </c>
      <c r="E651" t="s">
        <v>19</v>
      </c>
      <c r="F651" t="s">
        <v>54</v>
      </c>
      <c r="G651" t="s">
        <v>308</v>
      </c>
      <c r="H651" t="s">
        <v>262</v>
      </c>
      <c r="I651" t="s">
        <v>5</v>
      </c>
      <c r="J651" t="s">
        <v>309</v>
      </c>
      <c r="K651" t="s">
        <v>310</v>
      </c>
      <c r="L651" t="s">
        <v>265</v>
      </c>
      <c r="M651">
        <v>51</v>
      </c>
      <c r="N651" t="b">
        <v>0</v>
      </c>
      <c r="O651">
        <v>0.72921108742004259</v>
      </c>
      <c r="P651">
        <v>0.69230769230769229</v>
      </c>
      <c r="Q651">
        <v>0.77027027027027029</v>
      </c>
      <c r="R651" t="s">
        <v>60</v>
      </c>
      <c r="S651" t="s">
        <v>1729</v>
      </c>
      <c r="T651" t="s">
        <v>1730</v>
      </c>
      <c r="U651" t="b">
        <v>0</v>
      </c>
      <c r="V651" t="s">
        <v>63</v>
      </c>
      <c r="W651">
        <v>56</v>
      </c>
    </row>
    <row r="652" spans="1:23" hidden="1" x14ac:dyDescent="0.3">
      <c r="A652" t="s">
        <v>1629</v>
      </c>
      <c r="B652" t="s">
        <v>1630</v>
      </c>
      <c r="C652" t="s">
        <v>28</v>
      </c>
      <c r="D652" t="s">
        <v>18</v>
      </c>
      <c r="E652" t="s">
        <v>19</v>
      </c>
      <c r="F652" t="s">
        <v>54</v>
      </c>
      <c r="G652" t="s">
        <v>313</v>
      </c>
      <c r="H652" t="s">
        <v>262</v>
      </c>
      <c r="I652" t="s">
        <v>5</v>
      </c>
      <c r="J652" t="s">
        <v>314</v>
      </c>
      <c r="K652" t="s">
        <v>315</v>
      </c>
      <c r="L652" t="s">
        <v>265</v>
      </c>
      <c r="M652">
        <v>52</v>
      </c>
      <c r="N652" t="b">
        <v>0</v>
      </c>
      <c r="O652">
        <v>0.72921108742004259</v>
      </c>
      <c r="P652">
        <v>0.69230769230769229</v>
      </c>
      <c r="Q652">
        <v>0.77027027027027029</v>
      </c>
      <c r="R652" t="s">
        <v>60</v>
      </c>
      <c r="S652" t="s">
        <v>1731</v>
      </c>
      <c r="T652" t="s">
        <v>1732</v>
      </c>
      <c r="U652" t="b">
        <v>0</v>
      </c>
      <c r="V652" t="s">
        <v>63</v>
      </c>
      <c r="W652">
        <v>138.9</v>
      </c>
    </row>
    <row r="653" spans="1:23" hidden="1" x14ac:dyDescent="0.3">
      <c r="A653" t="s">
        <v>1629</v>
      </c>
      <c r="B653" t="s">
        <v>1630</v>
      </c>
      <c r="C653" t="s">
        <v>28</v>
      </c>
      <c r="D653" t="s">
        <v>18</v>
      </c>
      <c r="E653" t="s">
        <v>19</v>
      </c>
      <c r="F653" t="s">
        <v>54</v>
      </c>
      <c r="G653" t="s">
        <v>318</v>
      </c>
      <c r="H653" t="s">
        <v>262</v>
      </c>
      <c r="I653" t="s">
        <v>5</v>
      </c>
      <c r="J653" t="s">
        <v>319</v>
      </c>
      <c r="K653" t="s">
        <v>320</v>
      </c>
      <c r="L653" t="s">
        <v>265</v>
      </c>
      <c r="M653">
        <v>53</v>
      </c>
      <c r="N653" t="b">
        <v>0</v>
      </c>
      <c r="O653">
        <v>0.7564102564102565</v>
      </c>
      <c r="P653">
        <v>0.71951219512195119</v>
      </c>
      <c r="Q653">
        <v>0.79729729729729726</v>
      </c>
      <c r="R653" t="s">
        <v>60</v>
      </c>
      <c r="S653" t="s">
        <v>1733</v>
      </c>
      <c r="T653" t="s">
        <v>1734</v>
      </c>
      <c r="U653" t="b">
        <v>0</v>
      </c>
      <c r="V653" t="s">
        <v>63</v>
      </c>
      <c r="W653">
        <v>55.9</v>
      </c>
    </row>
    <row r="654" spans="1:23" hidden="1" x14ac:dyDescent="0.3">
      <c r="A654" t="s">
        <v>1629</v>
      </c>
      <c r="B654" t="s">
        <v>1630</v>
      </c>
      <c r="C654" t="s">
        <v>28</v>
      </c>
      <c r="D654" t="s">
        <v>18</v>
      </c>
      <c r="E654" t="s">
        <v>19</v>
      </c>
      <c r="F654" t="s">
        <v>54</v>
      </c>
      <c r="G654" t="s">
        <v>323</v>
      </c>
      <c r="H654" t="s">
        <v>262</v>
      </c>
      <c r="I654" t="s">
        <v>5</v>
      </c>
      <c r="J654" t="s">
        <v>324</v>
      </c>
      <c r="K654" t="s">
        <v>325</v>
      </c>
      <c r="L654" t="s">
        <v>265</v>
      </c>
      <c r="M654">
        <v>54</v>
      </c>
      <c r="N654" t="b">
        <v>0</v>
      </c>
      <c r="O654">
        <v>0.72921108742004259</v>
      </c>
      <c r="P654">
        <v>0.69230769230769229</v>
      </c>
      <c r="Q654">
        <v>0.77027027027027029</v>
      </c>
      <c r="R654" t="s">
        <v>60</v>
      </c>
      <c r="S654" t="s">
        <v>1735</v>
      </c>
      <c r="T654" t="s">
        <v>1736</v>
      </c>
      <c r="U654" t="b">
        <v>0</v>
      </c>
      <c r="V654" t="s">
        <v>63</v>
      </c>
      <c r="W654">
        <v>55.8</v>
      </c>
    </row>
    <row r="655" spans="1:23" hidden="1" x14ac:dyDescent="0.3">
      <c r="A655" t="s">
        <v>1629</v>
      </c>
      <c r="B655" t="s">
        <v>1630</v>
      </c>
      <c r="C655" t="s">
        <v>28</v>
      </c>
      <c r="D655" t="s">
        <v>18</v>
      </c>
      <c r="E655" t="s">
        <v>19</v>
      </c>
      <c r="F655" t="s">
        <v>54</v>
      </c>
      <c r="G655" t="s">
        <v>328</v>
      </c>
      <c r="H655" t="s">
        <v>262</v>
      </c>
      <c r="I655" t="s">
        <v>5</v>
      </c>
      <c r="J655" t="s">
        <v>329</v>
      </c>
      <c r="K655" t="s">
        <v>330</v>
      </c>
      <c r="L655" t="s">
        <v>265</v>
      </c>
      <c r="M655">
        <v>55</v>
      </c>
      <c r="N655" t="b">
        <v>0</v>
      </c>
      <c r="O655">
        <v>0.72921108742004259</v>
      </c>
      <c r="P655">
        <v>0.69230769230769229</v>
      </c>
      <c r="Q655">
        <v>0.77027027027027029</v>
      </c>
      <c r="R655" t="s">
        <v>60</v>
      </c>
      <c r="S655" t="s">
        <v>1737</v>
      </c>
      <c r="T655" t="s">
        <v>1738</v>
      </c>
      <c r="U655" t="b">
        <v>0</v>
      </c>
      <c r="V655" t="s">
        <v>63</v>
      </c>
      <c r="W655">
        <v>45.2</v>
      </c>
    </row>
    <row r="656" spans="1:23" hidden="1" x14ac:dyDescent="0.3">
      <c r="A656" t="s">
        <v>1629</v>
      </c>
      <c r="B656" t="s">
        <v>1630</v>
      </c>
      <c r="C656" t="s">
        <v>28</v>
      </c>
      <c r="D656" t="s">
        <v>18</v>
      </c>
      <c r="E656" t="s">
        <v>19</v>
      </c>
      <c r="F656" t="s">
        <v>54</v>
      </c>
      <c r="G656" t="s">
        <v>333</v>
      </c>
      <c r="H656" t="s">
        <v>262</v>
      </c>
      <c r="I656" t="s">
        <v>5</v>
      </c>
      <c r="J656" t="s">
        <v>334</v>
      </c>
      <c r="K656" t="s">
        <v>335</v>
      </c>
      <c r="L656" t="s">
        <v>265</v>
      </c>
      <c r="M656">
        <v>56</v>
      </c>
      <c r="N656" t="b">
        <v>0</v>
      </c>
      <c r="O656">
        <v>0.72921108742004259</v>
      </c>
      <c r="P656">
        <v>0.69230769230769229</v>
      </c>
      <c r="Q656">
        <v>0.77027027027027029</v>
      </c>
      <c r="R656" t="s">
        <v>60</v>
      </c>
      <c r="S656" t="s">
        <v>1739</v>
      </c>
      <c r="T656" t="s">
        <v>1740</v>
      </c>
      <c r="U656" t="b">
        <v>0</v>
      </c>
      <c r="V656" t="s">
        <v>63</v>
      </c>
      <c r="W656">
        <v>44.8</v>
      </c>
    </row>
    <row r="657" spans="1:23" hidden="1" x14ac:dyDescent="0.3">
      <c r="A657" t="s">
        <v>1629</v>
      </c>
      <c r="B657" t="s">
        <v>1630</v>
      </c>
      <c r="C657" t="s">
        <v>28</v>
      </c>
      <c r="D657" t="s">
        <v>18</v>
      </c>
      <c r="E657" t="s">
        <v>19</v>
      </c>
      <c r="F657" t="s">
        <v>54</v>
      </c>
      <c r="G657" t="s">
        <v>338</v>
      </c>
      <c r="H657" t="s">
        <v>262</v>
      </c>
      <c r="I657" t="s">
        <v>5</v>
      </c>
      <c r="J657" t="s">
        <v>339</v>
      </c>
      <c r="K657" t="s">
        <v>340</v>
      </c>
      <c r="L657" t="s">
        <v>265</v>
      </c>
      <c r="M657">
        <v>57</v>
      </c>
      <c r="N657" t="b">
        <v>0</v>
      </c>
      <c r="O657">
        <v>0.72921108742004259</v>
      </c>
      <c r="P657">
        <v>0.69230769230769229</v>
      </c>
      <c r="Q657">
        <v>0.77027027027027029</v>
      </c>
      <c r="R657" t="s">
        <v>60</v>
      </c>
      <c r="S657" t="s">
        <v>1741</v>
      </c>
      <c r="T657" t="s">
        <v>1742</v>
      </c>
      <c r="U657" t="b">
        <v>0</v>
      </c>
      <c r="V657" t="s">
        <v>63</v>
      </c>
      <c r="W657">
        <v>55.3</v>
      </c>
    </row>
    <row r="658" spans="1:23" hidden="1" x14ac:dyDescent="0.3">
      <c r="A658" t="s">
        <v>1629</v>
      </c>
      <c r="B658" t="s">
        <v>1630</v>
      </c>
      <c r="C658" t="s">
        <v>28</v>
      </c>
      <c r="D658" t="s">
        <v>18</v>
      </c>
      <c r="E658" t="s">
        <v>19</v>
      </c>
      <c r="F658" t="s">
        <v>54</v>
      </c>
      <c r="G658" t="s">
        <v>343</v>
      </c>
      <c r="H658" t="s">
        <v>262</v>
      </c>
      <c r="I658" t="s">
        <v>5</v>
      </c>
      <c r="J658" t="s">
        <v>344</v>
      </c>
      <c r="K658" t="s">
        <v>345</v>
      </c>
      <c r="L658" t="s">
        <v>265</v>
      </c>
      <c r="M658">
        <v>58</v>
      </c>
      <c r="N658" t="b">
        <v>0</v>
      </c>
      <c r="O658">
        <v>0.72921108742004259</v>
      </c>
      <c r="P658">
        <v>0.69230769230769229</v>
      </c>
      <c r="Q658">
        <v>0.77027027027027029</v>
      </c>
      <c r="R658" t="s">
        <v>60</v>
      </c>
      <c r="S658" t="s">
        <v>1743</v>
      </c>
      <c r="T658" t="s">
        <v>1744</v>
      </c>
      <c r="U658" t="b">
        <v>0</v>
      </c>
      <c r="V658" t="s">
        <v>63</v>
      </c>
      <c r="W658">
        <v>55.9</v>
      </c>
    </row>
    <row r="659" spans="1:23" hidden="1" x14ac:dyDescent="0.3">
      <c r="A659" t="s">
        <v>1629</v>
      </c>
      <c r="B659" t="s">
        <v>1630</v>
      </c>
      <c r="C659" t="s">
        <v>28</v>
      </c>
      <c r="D659" t="s">
        <v>18</v>
      </c>
      <c r="E659" t="s">
        <v>19</v>
      </c>
      <c r="F659" t="s">
        <v>54</v>
      </c>
      <c r="G659" t="s">
        <v>348</v>
      </c>
      <c r="H659" t="s">
        <v>262</v>
      </c>
      <c r="I659" t="s">
        <v>5</v>
      </c>
      <c r="J659" t="s">
        <v>349</v>
      </c>
      <c r="K659" t="s">
        <v>350</v>
      </c>
      <c r="L659" t="s">
        <v>265</v>
      </c>
      <c r="M659">
        <v>59</v>
      </c>
      <c r="N659" t="b">
        <v>0</v>
      </c>
      <c r="O659">
        <v>0.72921108742004259</v>
      </c>
      <c r="P659">
        <v>0.69230769230769229</v>
      </c>
      <c r="Q659">
        <v>0.77027027027027029</v>
      </c>
      <c r="R659" t="s">
        <v>60</v>
      </c>
      <c r="S659" t="s">
        <v>1745</v>
      </c>
      <c r="T659" t="s">
        <v>1746</v>
      </c>
      <c r="U659" t="b">
        <v>0</v>
      </c>
      <c r="V659" t="s">
        <v>63</v>
      </c>
      <c r="W659">
        <v>55.2</v>
      </c>
    </row>
    <row r="660" spans="1:23" hidden="1" x14ac:dyDescent="0.3">
      <c r="A660" t="s">
        <v>1629</v>
      </c>
      <c r="B660" t="s">
        <v>1630</v>
      </c>
      <c r="C660" t="s">
        <v>28</v>
      </c>
      <c r="D660" t="s">
        <v>18</v>
      </c>
      <c r="E660" t="s">
        <v>19</v>
      </c>
      <c r="F660" t="s">
        <v>54</v>
      </c>
      <c r="G660" t="s">
        <v>353</v>
      </c>
      <c r="H660" t="s">
        <v>262</v>
      </c>
      <c r="I660" t="s">
        <v>5</v>
      </c>
      <c r="J660" t="s">
        <v>354</v>
      </c>
      <c r="K660" t="s">
        <v>355</v>
      </c>
      <c r="L660" t="s">
        <v>265</v>
      </c>
      <c r="M660">
        <v>60</v>
      </c>
      <c r="N660" t="b">
        <v>0</v>
      </c>
      <c r="O660">
        <v>0.72921108742004259</v>
      </c>
      <c r="P660">
        <v>0.69230769230769229</v>
      </c>
      <c r="Q660">
        <v>0.77027027027027029</v>
      </c>
      <c r="R660" t="s">
        <v>60</v>
      </c>
      <c r="S660" t="s">
        <v>1747</v>
      </c>
      <c r="T660" t="s">
        <v>1748</v>
      </c>
      <c r="U660" t="b">
        <v>0</v>
      </c>
      <c r="V660" t="s">
        <v>63</v>
      </c>
      <c r="W660">
        <v>55.5</v>
      </c>
    </row>
    <row r="661" spans="1:23" hidden="1" x14ac:dyDescent="0.3">
      <c r="A661" t="s">
        <v>1629</v>
      </c>
      <c r="B661" t="s">
        <v>1630</v>
      </c>
      <c r="C661" t="s">
        <v>28</v>
      </c>
      <c r="D661" t="s">
        <v>18</v>
      </c>
      <c r="E661" t="s">
        <v>19</v>
      </c>
      <c r="F661" t="s">
        <v>54</v>
      </c>
      <c r="G661" t="s">
        <v>358</v>
      </c>
      <c r="H661" t="s">
        <v>262</v>
      </c>
      <c r="I661" t="s">
        <v>5</v>
      </c>
      <c r="J661" t="s">
        <v>359</v>
      </c>
      <c r="K661" t="s">
        <v>360</v>
      </c>
      <c r="L661" t="s">
        <v>265</v>
      </c>
      <c r="M661">
        <v>61</v>
      </c>
      <c r="N661" t="b">
        <v>0</v>
      </c>
      <c r="O661">
        <v>0.72921108742004259</v>
      </c>
      <c r="P661">
        <v>0.69230769230769229</v>
      </c>
      <c r="Q661">
        <v>0.77027027027027029</v>
      </c>
      <c r="R661" t="s">
        <v>60</v>
      </c>
      <c r="S661" t="s">
        <v>1749</v>
      </c>
      <c r="T661" t="s">
        <v>1750</v>
      </c>
      <c r="U661" t="b">
        <v>0</v>
      </c>
      <c r="V661" t="s">
        <v>63</v>
      </c>
      <c r="W661">
        <v>55.2</v>
      </c>
    </row>
    <row r="662" spans="1:23" hidden="1" x14ac:dyDescent="0.3">
      <c r="A662" t="s">
        <v>1629</v>
      </c>
      <c r="B662" t="s">
        <v>1630</v>
      </c>
      <c r="C662" t="s">
        <v>28</v>
      </c>
      <c r="D662" t="s">
        <v>18</v>
      </c>
      <c r="E662" t="s">
        <v>19</v>
      </c>
      <c r="F662" t="s">
        <v>363</v>
      </c>
      <c r="G662" t="s">
        <v>364</v>
      </c>
      <c r="H662" t="s">
        <v>365</v>
      </c>
      <c r="I662" t="s">
        <v>13</v>
      </c>
      <c r="J662" t="s">
        <v>366</v>
      </c>
      <c r="K662" t="s">
        <v>367</v>
      </c>
      <c r="L662" t="s">
        <v>368</v>
      </c>
      <c r="M662">
        <v>42</v>
      </c>
      <c r="N662" t="b">
        <v>0</v>
      </c>
      <c r="O662">
        <v>0.82987551867219911</v>
      </c>
      <c r="P662">
        <v>0.79365079365079361</v>
      </c>
      <c r="Q662">
        <v>0.86956521739130432</v>
      </c>
      <c r="R662" t="s">
        <v>60</v>
      </c>
      <c r="S662" t="s">
        <v>1751</v>
      </c>
      <c r="T662" t="s">
        <v>1752</v>
      </c>
      <c r="U662" t="b">
        <v>0</v>
      </c>
      <c r="V662" t="s">
        <v>63</v>
      </c>
      <c r="W662">
        <v>232.3</v>
      </c>
    </row>
    <row r="663" spans="1:23" hidden="1" x14ac:dyDescent="0.3">
      <c r="A663" t="s">
        <v>1629</v>
      </c>
      <c r="B663" t="s">
        <v>1630</v>
      </c>
      <c r="C663" t="s">
        <v>28</v>
      </c>
      <c r="D663" t="s">
        <v>18</v>
      </c>
      <c r="E663" t="s">
        <v>19</v>
      </c>
      <c r="F663" t="s">
        <v>363</v>
      </c>
      <c r="G663" t="s">
        <v>371</v>
      </c>
      <c r="H663" t="s">
        <v>365</v>
      </c>
      <c r="I663" t="s">
        <v>13</v>
      </c>
      <c r="J663" t="s">
        <v>372</v>
      </c>
      <c r="K663" t="s">
        <v>373</v>
      </c>
      <c r="L663" t="s">
        <v>368</v>
      </c>
      <c r="M663">
        <v>43</v>
      </c>
      <c r="N663" t="b">
        <v>0</v>
      </c>
      <c r="O663">
        <v>0.82956878850102667</v>
      </c>
      <c r="P663">
        <v>0.78599221789883267</v>
      </c>
      <c r="Q663">
        <v>0.87826086956521743</v>
      </c>
      <c r="R663" t="s">
        <v>60</v>
      </c>
      <c r="S663" t="s">
        <v>1753</v>
      </c>
      <c r="T663" t="s">
        <v>1754</v>
      </c>
      <c r="U663" t="b">
        <v>0</v>
      </c>
      <c r="V663" t="s">
        <v>63</v>
      </c>
      <c r="W663">
        <v>233.4</v>
      </c>
    </row>
    <row r="664" spans="1:23" hidden="1" x14ac:dyDescent="0.3">
      <c r="A664" t="s">
        <v>1629</v>
      </c>
      <c r="B664" t="s">
        <v>1630</v>
      </c>
      <c r="C664" t="s">
        <v>28</v>
      </c>
      <c r="D664" t="s">
        <v>18</v>
      </c>
      <c r="E664" t="s">
        <v>19</v>
      </c>
      <c r="F664" t="s">
        <v>363</v>
      </c>
      <c r="G664" t="s">
        <v>376</v>
      </c>
      <c r="H664" t="s">
        <v>365</v>
      </c>
      <c r="I664" t="s">
        <v>13</v>
      </c>
      <c r="J664" t="s">
        <v>377</v>
      </c>
      <c r="K664" t="s">
        <v>378</v>
      </c>
      <c r="L664" t="s">
        <v>368</v>
      </c>
      <c r="M664">
        <v>44</v>
      </c>
      <c r="N664" t="b">
        <v>0</v>
      </c>
      <c r="O664">
        <v>0.84599589322381941</v>
      </c>
      <c r="P664">
        <v>0.80155642023346307</v>
      </c>
      <c r="Q664">
        <v>0.89565217391304353</v>
      </c>
      <c r="R664" t="s">
        <v>60</v>
      </c>
      <c r="S664" t="s">
        <v>1755</v>
      </c>
      <c r="T664" t="s">
        <v>1756</v>
      </c>
      <c r="U664" t="b">
        <v>0</v>
      </c>
      <c r="V664" t="s">
        <v>63</v>
      </c>
      <c r="W664">
        <v>220</v>
      </c>
    </row>
    <row r="665" spans="1:23" hidden="1" x14ac:dyDescent="0.3">
      <c r="A665" t="s">
        <v>1629</v>
      </c>
      <c r="B665" t="s">
        <v>1630</v>
      </c>
      <c r="C665" t="s">
        <v>28</v>
      </c>
      <c r="D665" t="s">
        <v>18</v>
      </c>
      <c r="E665" t="s">
        <v>19</v>
      </c>
      <c r="F665" t="s">
        <v>363</v>
      </c>
      <c r="G665" t="s">
        <v>381</v>
      </c>
      <c r="H665" t="s">
        <v>365</v>
      </c>
      <c r="I665" t="s">
        <v>13</v>
      </c>
      <c r="J665" t="s">
        <v>382</v>
      </c>
      <c r="K665" t="s">
        <v>383</v>
      </c>
      <c r="L665" t="s">
        <v>368</v>
      </c>
      <c r="M665">
        <v>45</v>
      </c>
      <c r="N665" t="b">
        <v>0</v>
      </c>
      <c r="O665">
        <v>0.84647302904564314</v>
      </c>
      <c r="P665">
        <v>0.80952380952380953</v>
      </c>
      <c r="Q665">
        <v>0.88695652173913042</v>
      </c>
      <c r="R665" t="s">
        <v>60</v>
      </c>
      <c r="S665" t="s">
        <v>1757</v>
      </c>
      <c r="T665" t="s">
        <v>1758</v>
      </c>
      <c r="U665" t="b">
        <v>0</v>
      </c>
      <c r="V665" t="s">
        <v>63</v>
      </c>
      <c r="W665">
        <v>317.39999999999998</v>
      </c>
    </row>
    <row r="666" spans="1:23" hidden="1" x14ac:dyDescent="0.3">
      <c r="A666" t="s">
        <v>1629</v>
      </c>
      <c r="B666" t="s">
        <v>1630</v>
      </c>
      <c r="C666" t="s">
        <v>28</v>
      </c>
      <c r="D666" t="s">
        <v>18</v>
      </c>
      <c r="E666" t="s">
        <v>19</v>
      </c>
      <c r="F666" t="s">
        <v>363</v>
      </c>
      <c r="G666" t="s">
        <v>386</v>
      </c>
      <c r="H666" t="s">
        <v>365</v>
      </c>
      <c r="I666" t="s">
        <v>13</v>
      </c>
      <c r="J666" t="s">
        <v>387</v>
      </c>
      <c r="K666" t="s">
        <v>388</v>
      </c>
      <c r="L666" t="s">
        <v>368</v>
      </c>
      <c r="M666">
        <v>46</v>
      </c>
      <c r="N666" t="b">
        <v>0</v>
      </c>
      <c r="O666">
        <v>0.83229813664596275</v>
      </c>
      <c r="P666">
        <v>0.7944664031620553</v>
      </c>
      <c r="Q666">
        <v>0.87391304347826082</v>
      </c>
      <c r="R666" t="s">
        <v>60</v>
      </c>
      <c r="S666" t="s">
        <v>1759</v>
      </c>
      <c r="T666" t="s">
        <v>1760</v>
      </c>
      <c r="U666" t="b">
        <v>0</v>
      </c>
      <c r="V666" t="s">
        <v>63</v>
      </c>
      <c r="W666">
        <v>252.2</v>
      </c>
    </row>
    <row r="667" spans="1:23" hidden="1" x14ac:dyDescent="0.3">
      <c r="A667" t="s">
        <v>1629</v>
      </c>
      <c r="B667" t="s">
        <v>1630</v>
      </c>
      <c r="C667" t="s">
        <v>28</v>
      </c>
      <c r="D667" t="s">
        <v>18</v>
      </c>
      <c r="E667" t="s">
        <v>19</v>
      </c>
      <c r="F667" t="s">
        <v>363</v>
      </c>
      <c r="G667" t="s">
        <v>391</v>
      </c>
      <c r="H667" t="s">
        <v>365</v>
      </c>
      <c r="I667" t="s">
        <v>13</v>
      </c>
      <c r="J667" t="s">
        <v>392</v>
      </c>
      <c r="K667" t="s">
        <v>393</v>
      </c>
      <c r="L667" t="s">
        <v>368</v>
      </c>
      <c r="M667">
        <v>47</v>
      </c>
      <c r="N667" t="b">
        <v>0</v>
      </c>
      <c r="O667">
        <v>0.84342379958246338</v>
      </c>
      <c r="P667">
        <v>0.8112449799196787</v>
      </c>
      <c r="Q667">
        <v>0.87826086956521743</v>
      </c>
      <c r="R667" t="s">
        <v>60</v>
      </c>
      <c r="S667" t="s">
        <v>1761</v>
      </c>
      <c r="T667" t="s">
        <v>1762</v>
      </c>
      <c r="U667" t="b">
        <v>0</v>
      </c>
      <c r="V667" t="s">
        <v>63</v>
      </c>
      <c r="W667">
        <v>213.7</v>
      </c>
    </row>
    <row r="668" spans="1:23" hidden="1" x14ac:dyDescent="0.3">
      <c r="A668" t="s">
        <v>1629</v>
      </c>
      <c r="B668" t="s">
        <v>1630</v>
      </c>
      <c r="C668" t="s">
        <v>28</v>
      </c>
      <c r="D668" t="s">
        <v>18</v>
      </c>
      <c r="E668" t="s">
        <v>19</v>
      </c>
      <c r="F668" t="s">
        <v>363</v>
      </c>
      <c r="G668" t="s">
        <v>396</v>
      </c>
      <c r="H668" t="s">
        <v>365</v>
      </c>
      <c r="I668" t="s">
        <v>13</v>
      </c>
      <c r="J668" t="s">
        <v>397</v>
      </c>
      <c r="K668" t="s">
        <v>398</v>
      </c>
      <c r="L668" t="s">
        <v>368</v>
      </c>
      <c r="M668">
        <v>48</v>
      </c>
      <c r="N668" t="b">
        <v>0</v>
      </c>
      <c r="O668">
        <v>0.83575883575883581</v>
      </c>
      <c r="P668">
        <v>0.80079681274900394</v>
      </c>
      <c r="Q668">
        <v>0.87391304347826082</v>
      </c>
      <c r="R668" t="s">
        <v>60</v>
      </c>
      <c r="S668" t="s">
        <v>1763</v>
      </c>
      <c r="T668" t="s">
        <v>1764</v>
      </c>
      <c r="U668" t="b">
        <v>0</v>
      </c>
      <c r="V668" t="s">
        <v>63</v>
      </c>
      <c r="W668">
        <v>225.8</v>
      </c>
    </row>
    <row r="669" spans="1:23" hidden="1" x14ac:dyDescent="0.3">
      <c r="A669" t="s">
        <v>1629</v>
      </c>
      <c r="B669" t="s">
        <v>1630</v>
      </c>
      <c r="C669" t="s">
        <v>28</v>
      </c>
      <c r="D669" t="s">
        <v>18</v>
      </c>
      <c r="E669" t="s">
        <v>19</v>
      </c>
      <c r="F669" t="s">
        <v>363</v>
      </c>
      <c r="G669" t="s">
        <v>401</v>
      </c>
      <c r="H669" t="s">
        <v>365</v>
      </c>
      <c r="I669" t="s">
        <v>13</v>
      </c>
      <c r="J669" t="s">
        <v>402</v>
      </c>
      <c r="K669" t="s">
        <v>403</v>
      </c>
      <c r="L669" t="s">
        <v>368</v>
      </c>
      <c r="M669">
        <v>49</v>
      </c>
      <c r="N669" t="b">
        <v>0</v>
      </c>
      <c r="O669">
        <v>0.83991683991683985</v>
      </c>
      <c r="P669">
        <v>0.80478087649402386</v>
      </c>
      <c r="Q669">
        <v>0.87826086956521743</v>
      </c>
      <c r="R669" t="s">
        <v>60</v>
      </c>
      <c r="S669" t="s">
        <v>1765</v>
      </c>
      <c r="T669" t="s">
        <v>1766</v>
      </c>
      <c r="U669" t="b">
        <v>0</v>
      </c>
      <c r="V669" t="s">
        <v>63</v>
      </c>
      <c r="W669">
        <v>200.6</v>
      </c>
    </row>
    <row r="670" spans="1:23" hidden="1" x14ac:dyDescent="0.3">
      <c r="A670" t="s">
        <v>1629</v>
      </c>
      <c r="B670" t="s">
        <v>1630</v>
      </c>
      <c r="C670" t="s">
        <v>28</v>
      </c>
      <c r="D670" t="s">
        <v>18</v>
      </c>
      <c r="E670" t="s">
        <v>19</v>
      </c>
      <c r="F670" t="s">
        <v>363</v>
      </c>
      <c r="G670" t="s">
        <v>406</v>
      </c>
      <c r="H670" t="s">
        <v>365</v>
      </c>
      <c r="I670" t="s">
        <v>13</v>
      </c>
      <c r="J670" t="s">
        <v>407</v>
      </c>
      <c r="K670" t="s">
        <v>408</v>
      </c>
      <c r="L670" t="s">
        <v>368</v>
      </c>
      <c r="M670">
        <v>50</v>
      </c>
      <c r="N670" t="b">
        <v>0</v>
      </c>
      <c r="O670">
        <v>0.84100418410041844</v>
      </c>
      <c r="P670">
        <v>0.81048387096774188</v>
      </c>
      <c r="Q670">
        <v>0.87391304347826082</v>
      </c>
      <c r="R670" t="s">
        <v>60</v>
      </c>
      <c r="S670" t="s">
        <v>1767</v>
      </c>
      <c r="T670" t="s">
        <v>1768</v>
      </c>
      <c r="U670" t="b">
        <v>0</v>
      </c>
      <c r="V670" t="s">
        <v>63</v>
      </c>
      <c r="W670">
        <v>200.5</v>
      </c>
    </row>
    <row r="671" spans="1:23" hidden="1" x14ac:dyDescent="0.3">
      <c r="A671" t="s">
        <v>1629</v>
      </c>
      <c r="B671" t="s">
        <v>1630</v>
      </c>
      <c r="C671" t="s">
        <v>28</v>
      </c>
      <c r="D671" t="s">
        <v>18</v>
      </c>
      <c r="E671" t="s">
        <v>19</v>
      </c>
      <c r="F671" t="s">
        <v>363</v>
      </c>
      <c r="G671" t="s">
        <v>411</v>
      </c>
      <c r="H671" t="s">
        <v>365</v>
      </c>
      <c r="I671" t="s">
        <v>13</v>
      </c>
      <c r="J671" t="s">
        <v>412</v>
      </c>
      <c r="K671" t="s">
        <v>413</v>
      </c>
      <c r="L671" t="s">
        <v>368</v>
      </c>
      <c r="M671">
        <v>51</v>
      </c>
      <c r="N671" t="b">
        <v>0</v>
      </c>
      <c r="O671">
        <v>0.83471074380165289</v>
      </c>
      <c r="P671">
        <v>0.79527559055118113</v>
      </c>
      <c r="Q671">
        <v>0.87826086956521743</v>
      </c>
      <c r="R671" t="s">
        <v>60</v>
      </c>
      <c r="S671" t="s">
        <v>1769</v>
      </c>
      <c r="T671" t="s">
        <v>1770</v>
      </c>
      <c r="U671" t="b">
        <v>0</v>
      </c>
      <c r="V671" t="s">
        <v>63</v>
      </c>
      <c r="W671">
        <v>216.2</v>
      </c>
    </row>
    <row r="672" spans="1:23" hidden="1" x14ac:dyDescent="0.3">
      <c r="A672" t="s">
        <v>1629</v>
      </c>
      <c r="B672" t="s">
        <v>1630</v>
      </c>
      <c r="C672" t="s">
        <v>28</v>
      </c>
      <c r="D672" t="s">
        <v>18</v>
      </c>
      <c r="E672" t="s">
        <v>19</v>
      </c>
      <c r="F672" t="s">
        <v>363</v>
      </c>
      <c r="G672" t="s">
        <v>416</v>
      </c>
      <c r="H672" t="s">
        <v>365</v>
      </c>
      <c r="I672" t="s">
        <v>13</v>
      </c>
      <c r="J672" t="s">
        <v>417</v>
      </c>
      <c r="K672" t="s">
        <v>418</v>
      </c>
      <c r="L672" t="s">
        <v>368</v>
      </c>
      <c r="M672">
        <v>52</v>
      </c>
      <c r="N672" t="b">
        <v>0</v>
      </c>
      <c r="O672">
        <v>0.83575883575883581</v>
      </c>
      <c r="P672">
        <v>0.80079681274900394</v>
      </c>
      <c r="Q672">
        <v>0.87391304347826082</v>
      </c>
      <c r="R672" t="s">
        <v>60</v>
      </c>
      <c r="S672" t="s">
        <v>1771</v>
      </c>
      <c r="T672" t="s">
        <v>1772</v>
      </c>
      <c r="U672" t="b">
        <v>0</v>
      </c>
      <c r="V672" t="s">
        <v>63</v>
      </c>
      <c r="W672">
        <v>183</v>
      </c>
    </row>
    <row r="673" spans="1:23" hidden="1" x14ac:dyDescent="0.3">
      <c r="A673" t="s">
        <v>1629</v>
      </c>
      <c r="B673" t="s">
        <v>1630</v>
      </c>
      <c r="C673" t="s">
        <v>28</v>
      </c>
      <c r="D673" t="s">
        <v>18</v>
      </c>
      <c r="E673" t="s">
        <v>19</v>
      </c>
      <c r="F673" t="s">
        <v>363</v>
      </c>
      <c r="G673" t="s">
        <v>421</v>
      </c>
      <c r="H673" t="s">
        <v>365</v>
      </c>
      <c r="I673" t="s">
        <v>13</v>
      </c>
      <c r="J673" t="s">
        <v>422</v>
      </c>
      <c r="K673" t="s">
        <v>423</v>
      </c>
      <c r="L673" t="s">
        <v>368</v>
      </c>
      <c r="M673">
        <v>53</v>
      </c>
      <c r="N673" t="b">
        <v>0</v>
      </c>
      <c r="O673">
        <v>0.82886597938144324</v>
      </c>
      <c r="P673">
        <v>0.78823529411764703</v>
      </c>
      <c r="Q673">
        <v>0.87391304347826082</v>
      </c>
      <c r="R673" t="s">
        <v>60</v>
      </c>
      <c r="S673" t="s">
        <v>1773</v>
      </c>
      <c r="T673" t="s">
        <v>1774</v>
      </c>
      <c r="U673" t="b">
        <v>0</v>
      </c>
      <c r="V673" t="s">
        <v>63</v>
      </c>
      <c r="W673">
        <v>225.8</v>
      </c>
    </row>
    <row r="674" spans="1:23" hidden="1" x14ac:dyDescent="0.3">
      <c r="A674" t="s">
        <v>1629</v>
      </c>
      <c r="B674" t="s">
        <v>1630</v>
      </c>
      <c r="C674" t="s">
        <v>28</v>
      </c>
      <c r="D674" t="s">
        <v>18</v>
      </c>
      <c r="E674" t="s">
        <v>19</v>
      </c>
      <c r="F674" t="s">
        <v>363</v>
      </c>
      <c r="G674" t="s">
        <v>426</v>
      </c>
      <c r="H674" t="s">
        <v>365</v>
      </c>
      <c r="I674" t="s">
        <v>13</v>
      </c>
      <c r="J674" t="s">
        <v>427</v>
      </c>
      <c r="K674" t="s">
        <v>428</v>
      </c>
      <c r="L674" t="s">
        <v>368</v>
      </c>
      <c r="M674">
        <v>54</v>
      </c>
      <c r="N674" t="b">
        <v>0</v>
      </c>
      <c r="O674">
        <v>0.83643892339544512</v>
      </c>
      <c r="P674">
        <v>0.79841897233201586</v>
      </c>
      <c r="Q674">
        <v>0.87826086956521743</v>
      </c>
      <c r="R674" t="s">
        <v>60</v>
      </c>
      <c r="S674" t="s">
        <v>1775</v>
      </c>
      <c r="T674" t="s">
        <v>1776</v>
      </c>
      <c r="U674" t="b">
        <v>0</v>
      </c>
      <c r="V674" t="s">
        <v>63</v>
      </c>
      <c r="W674">
        <v>290</v>
      </c>
    </row>
    <row r="675" spans="1:23" hidden="1" x14ac:dyDescent="0.3">
      <c r="A675" t="s">
        <v>1629</v>
      </c>
      <c r="B675" t="s">
        <v>1630</v>
      </c>
      <c r="C675" t="s">
        <v>28</v>
      </c>
      <c r="D675" t="s">
        <v>18</v>
      </c>
      <c r="E675" t="s">
        <v>19</v>
      </c>
      <c r="F675" t="s">
        <v>363</v>
      </c>
      <c r="G675" t="s">
        <v>431</v>
      </c>
      <c r="H675" t="s">
        <v>365</v>
      </c>
      <c r="I675" t="s">
        <v>13</v>
      </c>
      <c r="J675" t="s">
        <v>432</v>
      </c>
      <c r="K675" t="s">
        <v>433</v>
      </c>
      <c r="L675" t="s">
        <v>368</v>
      </c>
      <c r="M675">
        <v>55</v>
      </c>
      <c r="N675" t="b">
        <v>0</v>
      </c>
      <c r="O675">
        <v>0.83471074380165289</v>
      </c>
      <c r="P675">
        <v>0.79527559055118113</v>
      </c>
      <c r="Q675">
        <v>0.87826086956521743</v>
      </c>
      <c r="R675" t="s">
        <v>60</v>
      </c>
      <c r="S675" t="s">
        <v>1777</v>
      </c>
      <c r="T675" t="s">
        <v>1778</v>
      </c>
      <c r="U675" t="b">
        <v>0</v>
      </c>
      <c r="V675" t="s">
        <v>63</v>
      </c>
      <c r="W675">
        <v>216.1</v>
      </c>
    </row>
    <row r="676" spans="1:23" hidden="1" x14ac:dyDescent="0.3">
      <c r="A676" t="s">
        <v>1629</v>
      </c>
      <c r="B676" t="s">
        <v>1630</v>
      </c>
      <c r="C676" t="s">
        <v>28</v>
      </c>
      <c r="D676" t="s">
        <v>18</v>
      </c>
      <c r="E676" t="s">
        <v>19</v>
      </c>
      <c r="F676" t="s">
        <v>363</v>
      </c>
      <c r="G676" t="s">
        <v>436</v>
      </c>
      <c r="H676" t="s">
        <v>365</v>
      </c>
      <c r="I676" t="s">
        <v>13</v>
      </c>
      <c r="J676" t="s">
        <v>437</v>
      </c>
      <c r="K676" t="s">
        <v>438</v>
      </c>
      <c r="L676" t="s">
        <v>368</v>
      </c>
      <c r="M676">
        <v>56</v>
      </c>
      <c r="N676" t="b">
        <v>0</v>
      </c>
      <c r="O676">
        <v>0.84342379958246338</v>
      </c>
      <c r="P676">
        <v>0.8112449799196787</v>
      </c>
      <c r="Q676">
        <v>0.87826086956521743</v>
      </c>
      <c r="R676" t="s">
        <v>60</v>
      </c>
      <c r="S676" t="s">
        <v>1779</v>
      </c>
      <c r="T676" t="s">
        <v>1780</v>
      </c>
      <c r="U676" t="b">
        <v>0</v>
      </c>
      <c r="V676" t="s">
        <v>63</v>
      </c>
      <c r="W676">
        <v>243</v>
      </c>
    </row>
    <row r="677" spans="1:23" hidden="1" x14ac:dyDescent="0.3">
      <c r="A677" t="s">
        <v>1629</v>
      </c>
      <c r="B677" t="s">
        <v>1630</v>
      </c>
      <c r="C677" t="s">
        <v>28</v>
      </c>
      <c r="D677" t="s">
        <v>18</v>
      </c>
      <c r="E677" t="s">
        <v>19</v>
      </c>
      <c r="F677" t="s">
        <v>363</v>
      </c>
      <c r="G677" t="s">
        <v>441</v>
      </c>
      <c r="H677" t="s">
        <v>365</v>
      </c>
      <c r="I677" t="s">
        <v>13</v>
      </c>
      <c r="J677" t="s">
        <v>442</v>
      </c>
      <c r="K677" t="s">
        <v>443</v>
      </c>
      <c r="L677" t="s">
        <v>368</v>
      </c>
      <c r="M677">
        <v>57</v>
      </c>
      <c r="N677" t="b">
        <v>0</v>
      </c>
      <c r="O677">
        <v>0.84696016771488469</v>
      </c>
      <c r="P677">
        <v>0.81781376518218618</v>
      </c>
      <c r="Q677">
        <v>0.87826086956521743</v>
      </c>
      <c r="R677" t="s">
        <v>60</v>
      </c>
      <c r="S677" t="s">
        <v>1781</v>
      </c>
      <c r="T677" t="s">
        <v>1782</v>
      </c>
      <c r="U677" t="b">
        <v>0</v>
      </c>
      <c r="V677" t="s">
        <v>63</v>
      </c>
      <c r="W677">
        <v>254.4</v>
      </c>
    </row>
    <row r="678" spans="1:23" hidden="1" x14ac:dyDescent="0.3">
      <c r="A678" t="s">
        <v>1629</v>
      </c>
      <c r="B678" t="s">
        <v>1630</v>
      </c>
      <c r="C678" t="s">
        <v>28</v>
      </c>
      <c r="D678" t="s">
        <v>18</v>
      </c>
      <c r="E678" t="s">
        <v>19</v>
      </c>
      <c r="F678" t="s">
        <v>363</v>
      </c>
      <c r="G678" t="s">
        <v>446</v>
      </c>
      <c r="H678" t="s">
        <v>365</v>
      </c>
      <c r="I678" t="s">
        <v>13</v>
      </c>
      <c r="J678" t="s">
        <v>447</v>
      </c>
      <c r="K678" t="s">
        <v>448</v>
      </c>
      <c r="L678" t="s">
        <v>368</v>
      </c>
      <c r="M678">
        <v>58</v>
      </c>
      <c r="N678" t="b">
        <v>0</v>
      </c>
      <c r="O678">
        <v>0.82845188284518834</v>
      </c>
      <c r="P678">
        <v>0.79838709677419351</v>
      </c>
      <c r="Q678">
        <v>0.86086956521739133</v>
      </c>
      <c r="R678" t="s">
        <v>60</v>
      </c>
      <c r="S678" t="s">
        <v>1783</v>
      </c>
      <c r="T678" t="s">
        <v>1784</v>
      </c>
      <c r="U678" t="b">
        <v>0</v>
      </c>
      <c r="V678" t="s">
        <v>63</v>
      </c>
      <c r="W678">
        <v>217</v>
      </c>
    </row>
    <row r="679" spans="1:23" hidden="1" x14ac:dyDescent="0.3">
      <c r="A679" t="s">
        <v>1629</v>
      </c>
      <c r="B679" t="s">
        <v>1630</v>
      </c>
      <c r="C679" t="s">
        <v>28</v>
      </c>
      <c r="D679" t="s">
        <v>18</v>
      </c>
      <c r="E679" t="s">
        <v>19</v>
      </c>
      <c r="F679" t="s">
        <v>363</v>
      </c>
      <c r="G679" t="s">
        <v>451</v>
      </c>
      <c r="H679" t="s">
        <v>365</v>
      </c>
      <c r="I679" t="s">
        <v>13</v>
      </c>
      <c r="J679" t="s">
        <v>452</v>
      </c>
      <c r="K679" t="s">
        <v>453</v>
      </c>
      <c r="L679" t="s">
        <v>368</v>
      </c>
      <c r="M679">
        <v>59</v>
      </c>
      <c r="N679" t="b">
        <v>0</v>
      </c>
      <c r="O679">
        <v>0.82815734989648027</v>
      </c>
      <c r="P679">
        <v>0.79051383399209485</v>
      </c>
      <c r="Q679">
        <v>0.86956521739130432</v>
      </c>
      <c r="R679" t="s">
        <v>60</v>
      </c>
      <c r="S679" t="s">
        <v>1785</v>
      </c>
      <c r="T679" t="s">
        <v>1786</v>
      </c>
      <c r="U679" t="b">
        <v>0</v>
      </c>
      <c r="V679" t="s">
        <v>63</v>
      </c>
      <c r="W679">
        <v>255.7</v>
      </c>
    </row>
    <row r="680" spans="1:23" hidden="1" x14ac:dyDescent="0.3">
      <c r="A680" t="s">
        <v>1629</v>
      </c>
      <c r="B680" t="s">
        <v>1630</v>
      </c>
      <c r="C680" t="s">
        <v>28</v>
      </c>
      <c r="D680" t="s">
        <v>18</v>
      </c>
      <c r="E680" t="s">
        <v>19</v>
      </c>
      <c r="F680" t="s">
        <v>363</v>
      </c>
      <c r="G680" t="s">
        <v>456</v>
      </c>
      <c r="H680" t="s">
        <v>365</v>
      </c>
      <c r="I680" t="s">
        <v>13</v>
      </c>
      <c r="J680" t="s">
        <v>457</v>
      </c>
      <c r="K680" t="s">
        <v>458</v>
      </c>
      <c r="L680" t="s">
        <v>368</v>
      </c>
      <c r="M680">
        <v>60</v>
      </c>
      <c r="N680" t="b">
        <v>0</v>
      </c>
      <c r="O680">
        <v>0.83127572016460904</v>
      </c>
      <c r="P680">
        <v>0.7890625</v>
      </c>
      <c r="Q680">
        <v>0.87826086956521743</v>
      </c>
      <c r="R680" t="s">
        <v>60</v>
      </c>
      <c r="S680" t="s">
        <v>1787</v>
      </c>
      <c r="T680" t="s">
        <v>1788</v>
      </c>
      <c r="U680" t="b">
        <v>0</v>
      </c>
      <c r="V680" t="s">
        <v>63</v>
      </c>
      <c r="W680">
        <v>229.1</v>
      </c>
    </row>
    <row r="681" spans="1:23" hidden="1" x14ac:dyDescent="0.3">
      <c r="A681" t="s">
        <v>1629</v>
      </c>
      <c r="B681" t="s">
        <v>1630</v>
      </c>
      <c r="C681" t="s">
        <v>28</v>
      </c>
      <c r="D681" t="s">
        <v>18</v>
      </c>
      <c r="E681" t="s">
        <v>19</v>
      </c>
      <c r="F681" t="s">
        <v>363</v>
      </c>
      <c r="G681" t="s">
        <v>461</v>
      </c>
      <c r="H681" t="s">
        <v>365</v>
      </c>
      <c r="I681" t="s">
        <v>13</v>
      </c>
      <c r="J681" t="s">
        <v>462</v>
      </c>
      <c r="K681" t="s">
        <v>463</v>
      </c>
      <c r="L681" t="s">
        <v>368</v>
      </c>
      <c r="M681">
        <v>61</v>
      </c>
      <c r="N681" t="b">
        <v>0</v>
      </c>
      <c r="O681">
        <v>0.82987551867219911</v>
      </c>
      <c r="P681">
        <v>0.79365079365079361</v>
      </c>
      <c r="Q681">
        <v>0.86956521739130432</v>
      </c>
      <c r="R681" t="s">
        <v>60</v>
      </c>
      <c r="S681" t="s">
        <v>1789</v>
      </c>
      <c r="T681" t="s">
        <v>1790</v>
      </c>
      <c r="U681" t="b">
        <v>0</v>
      </c>
      <c r="V681" t="s">
        <v>63</v>
      </c>
      <c r="W681">
        <v>217.6</v>
      </c>
    </row>
    <row r="682" spans="1:23" hidden="1" x14ac:dyDescent="0.3">
      <c r="A682" t="s">
        <v>1629</v>
      </c>
      <c r="B682" t="s">
        <v>1630</v>
      </c>
      <c r="C682" t="s">
        <v>28</v>
      </c>
      <c r="D682" t="s">
        <v>18</v>
      </c>
      <c r="E682" t="s">
        <v>19</v>
      </c>
      <c r="F682" t="s">
        <v>363</v>
      </c>
      <c r="G682" t="s">
        <v>466</v>
      </c>
      <c r="H682" t="s">
        <v>467</v>
      </c>
      <c r="I682" t="s">
        <v>9</v>
      </c>
      <c r="J682" t="s">
        <v>468</v>
      </c>
      <c r="K682" t="s">
        <v>469</v>
      </c>
      <c r="L682" t="s">
        <v>470</v>
      </c>
      <c r="M682">
        <v>42</v>
      </c>
      <c r="N682" t="b">
        <v>0</v>
      </c>
      <c r="O682">
        <v>0.82548476454293618</v>
      </c>
      <c r="P682">
        <v>0.77604166666666663</v>
      </c>
      <c r="Q682">
        <v>0.88165680473372776</v>
      </c>
      <c r="R682" t="s">
        <v>60</v>
      </c>
      <c r="S682" t="s">
        <v>1791</v>
      </c>
      <c r="T682" t="s">
        <v>1792</v>
      </c>
      <c r="U682" t="b">
        <v>0</v>
      </c>
      <c r="V682" t="s">
        <v>63</v>
      </c>
      <c r="W682">
        <v>205.2</v>
      </c>
    </row>
    <row r="683" spans="1:23" hidden="1" x14ac:dyDescent="0.3">
      <c r="A683" t="s">
        <v>1629</v>
      </c>
      <c r="B683" t="s">
        <v>1630</v>
      </c>
      <c r="C683" t="s">
        <v>28</v>
      </c>
      <c r="D683" t="s">
        <v>18</v>
      </c>
      <c r="E683" t="s">
        <v>19</v>
      </c>
      <c r="F683" t="s">
        <v>363</v>
      </c>
      <c r="G683" t="s">
        <v>473</v>
      </c>
      <c r="H683" t="s">
        <v>467</v>
      </c>
      <c r="I683" t="s">
        <v>9</v>
      </c>
      <c r="J683" t="s">
        <v>474</v>
      </c>
      <c r="K683" t="s">
        <v>475</v>
      </c>
      <c r="L683" t="s">
        <v>470</v>
      </c>
      <c r="M683">
        <v>43</v>
      </c>
      <c r="N683" t="b">
        <v>0</v>
      </c>
      <c r="O683">
        <v>0.81232492997198891</v>
      </c>
      <c r="P683">
        <v>0.77127659574468088</v>
      </c>
      <c r="Q683">
        <v>0.85798816568047342</v>
      </c>
      <c r="R683" t="s">
        <v>60</v>
      </c>
      <c r="S683" t="s">
        <v>1793</v>
      </c>
      <c r="T683" t="s">
        <v>1794</v>
      </c>
      <c r="U683" t="b">
        <v>0</v>
      </c>
      <c r="V683" t="s">
        <v>63</v>
      </c>
      <c r="W683">
        <v>203.9</v>
      </c>
    </row>
    <row r="684" spans="1:23" hidden="1" x14ac:dyDescent="0.3">
      <c r="A684" t="s">
        <v>1629</v>
      </c>
      <c r="B684" t="s">
        <v>1630</v>
      </c>
      <c r="C684" t="s">
        <v>28</v>
      </c>
      <c r="D684" t="s">
        <v>18</v>
      </c>
      <c r="E684" t="s">
        <v>19</v>
      </c>
      <c r="F684" t="s">
        <v>363</v>
      </c>
      <c r="G684" t="s">
        <v>478</v>
      </c>
      <c r="H684" t="s">
        <v>467</v>
      </c>
      <c r="I684" t="s">
        <v>9</v>
      </c>
      <c r="J684" t="s">
        <v>479</v>
      </c>
      <c r="K684" t="s">
        <v>480</v>
      </c>
      <c r="L684" t="s">
        <v>470</v>
      </c>
      <c r="M684">
        <v>44</v>
      </c>
      <c r="N684" t="b">
        <v>0</v>
      </c>
      <c r="O684">
        <v>0.81792717086834721</v>
      </c>
      <c r="P684">
        <v>0.77659574468085102</v>
      </c>
      <c r="Q684">
        <v>0.86390532544378695</v>
      </c>
      <c r="R684" t="s">
        <v>60</v>
      </c>
      <c r="S684" t="s">
        <v>1795</v>
      </c>
      <c r="T684" t="s">
        <v>1796</v>
      </c>
      <c r="U684" t="b">
        <v>0</v>
      </c>
      <c r="V684" t="s">
        <v>63</v>
      </c>
      <c r="W684">
        <v>216.7</v>
      </c>
    </row>
    <row r="685" spans="1:23" hidden="1" x14ac:dyDescent="0.3">
      <c r="A685" t="s">
        <v>1629</v>
      </c>
      <c r="B685" t="s">
        <v>1630</v>
      </c>
      <c r="C685" t="s">
        <v>28</v>
      </c>
      <c r="D685" t="s">
        <v>18</v>
      </c>
      <c r="E685" t="s">
        <v>19</v>
      </c>
      <c r="F685" t="s">
        <v>363</v>
      </c>
      <c r="G685" t="s">
        <v>483</v>
      </c>
      <c r="H685" t="s">
        <v>467</v>
      </c>
      <c r="I685" t="s">
        <v>9</v>
      </c>
      <c r="J685" t="s">
        <v>484</v>
      </c>
      <c r="K685" t="s">
        <v>485</v>
      </c>
      <c r="L685" t="s">
        <v>470</v>
      </c>
      <c r="M685">
        <v>45</v>
      </c>
      <c r="N685" t="b">
        <v>0</v>
      </c>
      <c r="O685">
        <v>0.8595505617977528</v>
      </c>
      <c r="P685">
        <v>0.81818181818181823</v>
      </c>
      <c r="Q685">
        <v>0.90532544378698221</v>
      </c>
      <c r="R685" t="s">
        <v>60</v>
      </c>
      <c r="S685" t="s">
        <v>1797</v>
      </c>
      <c r="T685" t="s">
        <v>1798</v>
      </c>
      <c r="U685" t="b">
        <v>0</v>
      </c>
      <c r="V685" t="s">
        <v>63</v>
      </c>
      <c r="W685">
        <v>231</v>
      </c>
    </row>
    <row r="686" spans="1:23" hidden="1" x14ac:dyDescent="0.3">
      <c r="A686" t="s">
        <v>1629</v>
      </c>
      <c r="B686" t="s">
        <v>1630</v>
      </c>
      <c r="C686" t="s">
        <v>28</v>
      </c>
      <c r="D686" t="s">
        <v>18</v>
      </c>
      <c r="E686" t="s">
        <v>19</v>
      </c>
      <c r="F686" t="s">
        <v>363</v>
      </c>
      <c r="G686" t="s">
        <v>488</v>
      </c>
      <c r="H686" t="s">
        <v>467</v>
      </c>
      <c r="I686" t="s">
        <v>9</v>
      </c>
      <c r="J686" t="s">
        <v>489</v>
      </c>
      <c r="K686" t="s">
        <v>490</v>
      </c>
      <c r="L686" t="s">
        <v>470</v>
      </c>
      <c r="M686">
        <v>46</v>
      </c>
      <c r="N686" t="b">
        <v>0</v>
      </c>
      <c r="O686">
        <v>0.82320441988950277</v>
      </c>
      <c r="P686">
        <v>0.772020725388601</v>
      </c>
      <c r="Q686">
        <v>0.88165680473372776</v>
      </c>
      <c r="R686" t="s">
        <v>60</v>
      </c>
      <c r="S686" t="s">
        <v>1799</v>
      </c>
      <c r="T686" t="s">
        <v>1800</v>
      </c>
      <c r="U686" t="b">
        <v>0</v>
      </c>
      <c r="V686" t="s">
        <v>63</v>
      </c>
      <c r="W686">
        <v>191.6</v>
      </c>
    </row>
    <row r="687" spans="1:23" hidden="1" x14ac:dyDescent="0.3">
      <c r="A687" t="s">
        <v>1629</v>
      </c>
      <c r="B687" t="s">
        <v>1630</v>
      </c>
      <c r="C687" t="s">
        <v>28</v>
      </c>
      <c r="D687" t="s">
        <v>18</v>
      </c>
      <c r="E687" t="s">
        <v>19</v>
      </c>
      <c r="F687" t="s">
        <v>363</v>
      </c>
      <c r="G687" t="s">
        <v>493</v>
      </c>
      <c r="H687" t="s">
        <v>467</v>
      </c>
      <c r="I687" t="s">
        <v>9</v>
      </c>
      <c r="J687" t="s">
        <v>494</v>
      </c>
      <c r="K687" t="s">
        <v>495</v>
      </c>
      <c r="L687" t="s">
        <v>470</v>
      </c>
      <c r="M687">
        <v>47</v>
      </c>
      <c r="N687" t="b">
        <v>0</v>
      </c>
      <c r="O687">
        <v>0.81994459833795008</v>
      </c>
      <c r="P687">
        <v>0.77083333333333337</v>
      </c>
      <c r="Q687">
        <v>0.87573964497041423</v>
      </c>
      <c r="R687" t="s">
        <v>60</v>
      </c>
      <c r="S687" t="s">
        <v>1801</v>
      </c>
      <c r="T687" t="s">
        <v>1802</v>
      </c>
      <c r="U687" t="b">
        <v>0</v>
      </c>
      <c r="V687" t="s">
        <v>63</v>
      </c>
      <c r="W687">
        <v>255.4</v>
      </c>
    </row>
    <row r="688" spans="1:23" hidden="1" x14ac:dyDescent="0.3">
      <c r="A688" t="s">
        <v>1629</v>
      </c>
      <c r="B688" t="s">
        <v>1630</v>
      </c>
      <c r="C688" t="s">
        <v>28</v>
      </c>
      <c r="D688" t="s">
        <v>18</v>
      </c>
      <c r="E688" t="s">
        <v>19</v>
      </c>
      <c r="F688" t="s">
        <v>363</v>
      </c>
      <c r="G688" t="s">
        <v>498</v>
      </c>
      <c r="H688" t="s">
        <v>467</v>
      </c>
      <c r="I688" t="s">
        <v>9</v>
      </c>
      <c r="J688" t="s">
        <v>499</v>
      </c>
      <c r="K688" t="s">
        <v>500</v>
      </c>
      <c r="L688" t="s">
        <v>470</v>
      </c>
      <c r="M688">
        <v>48</v>
      </c>
      <c r="N688" t="b">
        <v>0</v>
      </c>
      <c r="O688">
        <v>0.81564245810055858</v>
      </c>
      <c r="P688">
        <v>0.77248677248677244</v>
      </c>
      <c r="Q688">
        <v>0.86390532544378695</v>
      </c>
      <c r="R688" t="s">
        <v>60</v>
      </c>
      <c r="S688" t="s">
        <v>1803</v>
      </c>
      <c r="T688" t="s">
        <v>1804</v>
      </c>
      <c r="U688" t="b">
        <v>0</v>
      </c>
      <c r="V688" t="s">
        <v>63</v>
      </c>
      <c r="W688">
        <v>229.8</v>
      </c>
    </row>
    <row r="689" spans="1:23" hidden="1" x14ac:dyDescent="0.3">
      <c r="A689" t="s">
        <v>1629</v>
      </c>
      <c r="B689" t="s">
        <v>1630</v>
      </c>
      <c r="C689" t="s">
        <v>28</v>
      </c>
      <c r="D689" t="s">
        <v>18</v>
      </c>
      <c r="E689" t="s">
        <v>19</v>
      </c>
      <c r="F689" t="s">
        <v>363</v>
      </c>
      <c r="G689" t="s">
        <v>503</v>
      </c>
      <c r="H689" t="s">
        <v>467</v>
      </c>
      <c r="I689" t="s">
        <v>9</v>
      </c>
      <c r="J689" t="s">
        <v>504</v>
      </c>
      <c r="K689" t="s">
        <v>505</v>
      </c>
      <c r="L689" t="s">
        <v>470</v>
      </c>
      <c r="M689">
        <v>49</v>
      </c>
      <c r="N689" t="b">
        <v>0</v>
      </c>
      <c r="O689">
        <v>0.82681564245810057</v>
      </c>
      <c r="P689">
        <v>0.78306878306878303</v>
      </c>
      <c r="Q689">
        <v>0.87573964497041423</v>
      </c>
      <c r="R689" t="s">
        <v>60</v>
      </c>
      <c r="S689" t="s">
        <v>1805</v>
      </c>
      <c r="T689" t="s">
        <v>1806</v>
      </c>
      <c r="U689" t="b">
        <v>0</v>
      </c>
      <c r="V689" t="s">
        <v>63</v>
      </c>
      <c r="W689">
        <v>203.1</v>
      </c>
    </row>
    <row r="690" spans="1:23" hidden="1" x14ac:dyDescent="0.3">
      <c r="A690" t="s">
        <v>1629</v>
      </c>
      <c r="B690" t="s">
        <v>1630</v>
      </c>
      <c r="C690" t="s">
        <v>28</v>
      </c>
      <c r="D690" t="s">
        <v>18</v>
      </c>
      <c r="E690" t="s">
        <v>19</v>
      </c>
      <c r="F690" t="s">
        <v>363</v>
      </c>
      <c r="G690" t="s">
        <v>508</v>
      </c>
      <c r="H690" t="s">
        <v>467</v>
      </c>
      <c r="I690" t="s">
        <v>9</v>
      </c>
      <c r="J690" t="s">
        <v>509</v>
      </c>
      <c r="K690" t="s">
        <v>510</v>
      </c>
      <c r="L690" t="s">
        <v>470</v>
      </c>
      <c r="M690">
        <v>50</v>
      </c>
      <c r="N690" t="b">
        <v>0</v>
      </c>
      <c r="O690">
        <v>0.83102493074792239</v>
      </c>
      <c r="P690">
        <v>0.78125</v>
      </c>
      <c r="Q690">
        <v>0.8875739644970414</v>
      </c>
      <c r="R690" t="s">
        <v>60</v>
      </c>
      <c r="S690" t="s">
        <v>1807</v>
      </c>
      <c r="T690" t="s">
        <v>1808</v>
      </c>
      <c r="U690" t="b">
        <v>0</v>
      </c>
      <c r="V690" t="s">
        <v>63</v>
      </c>
      <c r="W690">
        <v>217.4</v>
      </c>
    </row>
    <row r="691" spans="1:23" hidden="1" x14ac:dyDescent="0.3">
      <c r="A691" t="s">
        <v>1629</v>
      </c>
      <c r="B691" t="s">
        <v>1630</v>
      </c>
      <c r="C691" t="s">
        <v>28</v>
      </c>
      <c r="D691" t="s">
        <v>18</v>
      </c>
      <c r="E691" t="s">
        <v>19</v>
      </c>
      <c r="F691" t="s">
        <v>363</v>
      </c>
      <c r="G691" t="s">
        <v>513</v>
      </c>
      <c r="H691" t="s">
        <v>467</v>
      </c>
      <c r="I691" t="s">
        <v>9</v>
      </c>
      <c r="J691" t="s">
        <v>514</v>
      </c>
      <c r="K691" t="s">
        <v>515</v>
      </c>
      <c r="L691" t="s">
        <v>470</v>
      </c>
      <c r="M691">
        <v>51</v>
      </c>
      <c r="N691" t="b">
        <v>0</v>
      </c>
      <c r="O691">
        <v>0.81215469613259672</v>
      </c>
      <c r="P691">
        <v>0.76165803108808294</v>
      </c>
      <c r="Q691">
        <v>0.86982248520710059</v>
      </c>
      <c r="R691" t="s">
        <v>60</v>
      </c>
      <c r="S691" t="s">
        <v>1809</v>
      </c>
      <c r="T691" t="s">
        <v>1810</v>
      </c>
      <c r="U691" t="b">
        <v>0</v>
      </c>
      <c r="V691" t="s">
        <v>63</v>
      </c>
      <c r="W691">
        <v>256.39999999999998</v>
      </c>
    </row>
    <row r="692" spans="1:23" hidden="1" x14ac:dyDescent="0.3">
      <c r="A692" t="s">
        <v>1629</v>
      </c>
      <c r="B692" t="s">
        <v>1630</v>
      </c>
      <c r="C692" t="s">
        <v>28</v>
      </c>
      <c r="D692" t="s">
        <v>18</v>
      </c>
      <c r="E692" t="s">
        <v>19</v>
      </c>
      <c r="F692" t="s">
        <v>363</v>
      </c>
      <c r="G692" t="s">
        <v>518</v>
      </c>
      <c r="H692" t="s">
        <v>467</v>
      </c>
      <c r="I692" t="s">
        <v>9</v>
      </c>
      <c r="J692" t="s">
        <v>519</v>
      </c>
      <c r="K692" t="s">
        <v>520</v>
      </c>
      <c r="L692" t="s">
        <v>470</v>
      </c>
      <c r="M692">
        <v>52</v>
      </c>
      <c r="N692" t="b">
        <v>0</v>
      </c>
      <c r="O692">
        <v>0.82451253481894149</v>
      </c>
      <c r="P692">
        <v>0.77894736842105261</v>
      </c>
      <c r="Q692">
        <v>0.87573964497041423</v>
      </c>
      <c r="R692" t="s">
        <v>60</v>
      </c>
      <c r="S692" t="s">
        <v>1811</v>
      </c>
      <c r="T692" t="s">
        <v>1812</v>
      </c>
      <c r="U692" t="b">
        <v>0</v>
      </c>
      <c r="V692" t="s">
        <v>63</v>
      </c>
      <c r="W692">
        <v>253.8</v>
      </c>
    </row>
    <row r="693" spans="1:23" hidden="1" x14ac:dyDescent="0.3">
      <c r="A693" t="s">
        <v>1629</v>
      </c>
      <c r="B693" t="s">
        <v>1630</v>
      </c>
      <c r="C693" t="s">
        <v>28</v>
      </c>
      <c r="D693" t="s">
        <v>18</v>
      </c>
      <c r="E693" t="s">
        <v>19</v>
      </c>
      <c r="F693" t="s">
        <v>363</v>
      </c>
      <c r="G693" t="s">
        <v>523</v>
      </c>
      <c r="H693" t="s">
        <v>467</v>
      </c>
      <c r="I693" t="s">
        <v>9</v>
      </c>
      <c r="J693" t="s">
        <v>524</v>
      </c>
      <c r="K693" t="s">
        <v>525</v>
      </c>
      <c r="L693" t="s">
        <v>470</v>
      </c>
      <c r="M693">
        <v>53</v>
      </c>
      <c r="N693" t="b">
        <v>0</v>
      </c>
      <c r="O693">
        <v>0.83286118980169965</v>
      </c>
      <c r="P693">
        <v>0.79891304347826086</v>
      </c>
      <c r="Q693">
        <v>0.86982248520710059</v>
      </c>
      <c r="R693" t="s">
        <v>60</v>
      </c>
      <c r="S693" t="s">
        <v>1813</v>
      </c>
      <c r="T693" t="s">
        <v>1814</v>
      </c>
      <c r="U693" t="b">
        <v>0</v>
      </c>
      <c r="V693" t="s">
        <v>63</v>
      </c>
      <c r="W693">
        <v>243</v>
      </c>
    </row>
    <row r="694" spans="1:23" hidden="1" x14ac:dyDescent="0.3">
      <c r="A694" t="s">
        <v>1629</v>
      </c>
      <c r="B694" t="s">
        <v>1630</v>
      </c>
      <c r="C694" t="s">
        <v>28</v>
      </c>
      <c r="D694" t="s">
        <v>18</v>
      </c>
      <c r="E694" t="s">
        <v>19</v>
      </c>
      <c r="F694" t="s">
        <v>363</v>
      </c>
      <c r="G694" t="s">
        <v>528</v>
      </c>
      <c r="H694" t="s">
        <v>467</v>
      </c>
      <c r="I694" t="s">
        <v>9</v>
      </c>
      <c r="J694" t="s">
        <v>529</v>
      </c>
      <c r="K694" t="s">
        <v>530</v>
      </c>
      <c r="L694" t="s">
        <v>470</v>
      </c>
      <c r="M694">
        <v>54</v>
      </c>
      <c r="N694" t="b">
        <v>0</v>
      </c>
      <c r="O694">
        <v>0.83798882681564246</v>
      </c>
      <c r="P694">
        <v>0.79365079365079361</v>
      </c>
      <c r="Q694">
        <v>0.8875739644970414</v>
      </c>
      <c r="R694" t="s">
        <v>60</v>
      </c>
      <c r="S694" t="s">
        <v>1815</v>
      </c>
      <c r="T694" t="s">
        <v>1816</v>
      </c>
      <c r="U694" t="b">
        <v>0</v>
      </c>
      <c r="V694" t="s">
        <v>63</v>
      </c>
      <c r="W694">
        <v>191.9</v>
      </c>
    </row>
    <row r="695" spans="1:23" hidden="1" x14ac:dyDescent="0.3">
      <c r="A695" t="s">
        <v>1629</v>
      </c>
      <c r="B695" t="s">
        <v>1630</v>
      </c>
      <c r="C695" t="s">
        <v>28</v>
      </c>
      <c r="D695" t="s">
        <v>18</v>
      </c>
      <c r="E695" t="s">
        <v>19</v>
      </c>
      <c r="F695" t="s">
        <v>363</v>
      </c>
      <c r="G695" t="s">
        <v>533</v>
      </c>
      <c r="H695" t="s">
        <v>467</v>
      </c>
      <c r="I695" t="s">
        <v>9</v>
      </c>
      <c r="J695" t="s">
        <v>534</v>
      </c>
      <c r="K695" t="s">
        <v>535</v>
      </c>
      <c r="L695" t="s">
        <v>470</v>
      </c>
      <c r="M695">
        <v>55</v>
      </c>
      <c r="N695" t="b">
        <v>0</v>
      </c>
      <c r="O695">
        <v>0.81792717086834721</v>
      </c>
      <c r="P695">
        <v>0.77659574468085102</v>
      </c>
      <c r="Q695">
        <v>0.86390532544378695</v>
      </c>
      <c r="R695" t="s">
        <v>60</v>
      </c>
      <c r="S695" t="s">
        <v>1817</v>
      </c>
      <c r="T695" t="s">
        <v>1818</v>
      </c>
      <c r="U695" t="b">
        <v>0</v>
      </c>
      <c r="V695" t="s">
        <v>63</v>
      </c>
      <c r="W695">
        <v>258.5</v>
      </c>
    </row>
    <row r="696" spans="1:23" hidden="1" x14ac:dyDescent="0.3">
      <c r="A696" t="s">
        <v>1629</v>
      </c>
      <c r="B696" t="s">
        <v>1630</v>
      </c>
      <c r="C696" t="s">
        <v>28</v>
      </c>
      <c r="D696" t="s">
        <v>18</v>
      </c>
      <c r="E696" t="s">
        <v>19</v>
      </c>
      <c r="F696" t="s">
        <v>363</v>
      </c>
      <c r="G696" t="s">
        <v>538</v>
      </c>
      <c r="H696" t="s">
        <v>467</v>
      </c>
      <c r="I696" t="s">
        <v>9</v>
      </c>
      <c r="J696" t="s">
        <v>539</v>
      </c>
      <c r="K696" t="s">
        <v>540</v>
      </c>
      <c r="L696" t="s">
        <v>470</v>
      </c>
      <c r="M696">
        <v>56</v>
      </c>
      <c r="N696" t="b">
        <v>0</v>
      </c>
      <c r="O696">
        <v>0.8258426966292135</v>
      </c>
      <c r="P696">
        <v>0.78609625668449201</v>
      </c>
      <c r="Q696">
        <v>0.86982248520710059</v>
      </c>
      <c r="R696" t="s">
        <v>60</v>
      </c>
      <c r="S696" t="s">
        <v>1819</v>
      </c>
      <c r="T696" t="s">
        <v>1820</v>
      </c>
      <c r="U696" t="b">
        <v>0</v>
      </c>
      <c r="V696" t="s">
        <v>63</v>
      </c>
      <c r="W696">
        <v>257.60000000000002</v>
      </c>
    </row>
    <row r="697" spans="1:23" hidden="1" x14ac:dyDescent="0.3">
      <c r="A697" t="s">
        <v>1629</v>
      </c>
      <c r="B697" t="s">
        <v>1630</v>
      </c>
      <c r="C697" t="s">
        <v>28</v>
      </c>
      <c r="D697" t="s">
        <v>18</v>
      </c>
      <c r="E697" t="s">
        <v>19</v>
      </c>
      <c r="F697" t="s">
        <v>363</v>
      </c>
      <c r="G697" t="s">
        <v>543</v>
      </c>
      <c r="H697" t="s">
        <v>467</v>
      </c>
      <c r="I697" t="s">
        <v>9</v>
      </c>
      <c r="J697" t="s">
        <v>544</v>
      </c>
      <c r="K697" t="s">
        <v>545</v>
      </c>
      <c r="L697" t="s">
        <v>470</v>
      </c>
      <c r="M697">
        <v>57</v>
      </c>
      <c r="N697" t="b">
        <v>0</v>
      </c>
      <c r="O697">
        <v>0.80332409972299168</v>
      </c>
      <c r="P697">
        <v>0.75520833333333337</v>
      </c>
      <c r="Q697">
        <v>0.85798816568047342</v>
      </c>
      <c r="R697" t="s">
        <v>60</v>
      </c>
      <c r="S697" t="s">
        <v>1821</v>
      </c>
      <c r="T697" t="s">
        <v>1822</v>
      </c>
      <c r="U697" t="b">
        <v>0</v>
      </c>
      <c r="V697" t="s">
        <v>63</v>
      </c>
      <c r="W697">
        <v>232.6</v>
      </c>
    </row>
    <row r="698" spans="1:23" hidden="1" x14ac:dyDescent="0.3">
      <c r="A698" t="s">
        <v>1629</v>
      </c>
      <c r="B698" t="s">
        <v>1630</v>
      </c>
      <c r="C698" t="s">
        <v>28</v>
      </c>
      <c r="D698" t="s">
        <v>18</v>
      </c>
      <c r="E698" t="s">
        <v>19</v>
      </c>
      <c r="F698" t="s">
        <v>363</v>
      </c>
      <c r="G698" t="s">
        <v>548</v>
      </c>
      <c r="H698" t="s">
        <v>467</v>
      </c>
      <c r="I698" t="s">
        <v>9</v>
      </c>
      <c r="J698" t="s">
        <v>549</v>
      </c>
      <c r="K698" t="s">
        <v>550</v>
      </c>
      <c r="L698" t="s">
        <v>470</v>
      </c>
      <c r="M698">
        <v>58</v>
      </c>
      <c r="N698" t="b">
        <v>0</v>
      </c>
      <c r="O698">
        <v>0.82122905027932958</v>
      </c>
      <c r="P698">
        <v>0.77777777777777779</v>
      </c>
      <c r="Q698">
        <v>0.86982248520710059</v>
      </c>
      <c r="R698" t="s">
        <v>60</v>
      </c>
      <c r="S698" t="s">
        <v>1823</v>
      </c>
      <c r="T698" t="s">
        <v>1824</v>
      </c>
      <c r="U698" t="b">
        <v>0</v>
      </c>
      <c r="V698" t="s">
        <v>63</v>
      </c>
      <c r="W698">
        <v>217.4</v>
      </c>
    </row>
    <row r="699" spans="1:23" hidden="1" x14ac:dyDescent="0.3">
      <c r="A699" t="s">
        <v>1629</v>
      </c>
      <c r="B699" t="s">
        <v>1630</v>
      </c>
      <c r="C699" t="s">
        <v>28</v>
      </c>
      <c r="D699" t="s">
        <v>18</v>
      </c>
      <c r="E699" t="s">
        <v>19</v>
      </c>
      <c r="F699" t="s">
        <v>363</v>
      </c>
      <c r="G699" t="s">
        <v>553</v>
      </c>
      <c r="H699" t="s">
        <v>467</v>
      </c>
      <c r="I699" t="s">
        <v>9</v>
      </c>
      <c r="J699" t="s">
        <v>554</v>
      </c>
      <c r="K699" t="s">
        <v>555</v>
      </c>
      <c r="L699" t="s">
        <v>470</v>
      </c>
      <c r="M699">
        <v>59</v>
      </c>
      <c r="N699" t="b">
        <v>0</v>
      </c>
      <c r="O699">
        <v>0.82681564245810057</v>
      </c>
      <c r="P699">
        <v>0.78306878306878303</v>
      </c>
      <c r="Q699">
        <v>0.87573964497041423</v>
      </c>
      <c r="R699" t="s">
        <v>60</v>
      </c>
      <c r="S699" t="s">
        <v>1825</v>
      </c>
      <c r="T699" t="s">
        <v>1826</v>
      </c>
      <c r="U699" t="b">
        <v>0</v>
      </c>
      <c r="V699" t="s">
        <v>63</v>
      </c>
      <c r="W699">
        <v>258.2</v>
      </c>
    </row>
    <row r="700" spans="1:23" hidden="1" x14ac:dyDescent="0.3">
      <c r="A700" t="s">
        <v>1629</v>
      </c>
      <c r="B700" t="s">
        <v>1630</v>
      </c>
      <c r="C700" t="s">
        <v>28</v>
      </c>
      <c r="D700" t="s">
        <v>18</v>
      </c>
      <c r="E700" t="s">
        <v>19</v>
      </c>
      <c r="F700" t="s">
        <v>363</v>
      </c>
      <c r="G700" t="s">
        <v>558</v>
      </c>
      <c r="H700" t="s">
        <v>467</v>
      </c>
      <c r="I700" t="s">
        <v>9</v>
      </c>
      <c r="J700" t="s">
        <v>559</v>
      </c>
      <c r="K700" t="s">
        <v>560</v>
      </c>
      <c r="L700" t="s">
        <v>470</v>
      </c>
      <c r="M700">
        <v>60</v>
      </c>
      <c r="N700" t="b">
        <v>0</v>
      </c>
      <c r="O700">
        <v>0.8100558659217878</v>
      </c>
      <c r="P700">
        <v>0.76719576719576721</v>
      </c>
      <c r="Q700">
        <v>0.85798816568047342</v>
      </c>
      <c r="R700" t="s">
        <v>60</v>
      </c>
      <c r="S700" t="s">
        <v>1827</v>
      </c>
      <c r="T700" t="s">
        <v>1828</v>
      </c>
      <c r="U700" t="b">
        <v>0</v>
      </c>
      <c r="V700" t="s">
        <v>63</v>
      </c>
      <c r="W700">
        <v>205.7</v>
      </c>
    </row>
    <row r="701" spans="1:23" hidden="1" x14ac:dyDescent="0.3">
      <c r="A701" t="s">
        <v>1629</v>
      </c>
      <c r="B701" t="s">
        <v>1630</v>
      </c>
      <c r="C701" t="s">
        <v>28</v>
      </c>
      <c r="D701" t="s">
        <v>18</v>
      </c>
      <c r="E701" t="s">
        <v>19</v>
      </c>
      <c r="F701" t="s">
        <v>363</v>
      </c>
      <c r="G701" t="s">
        <v>563</v>
      </c>
      <c r="H701" t="s">
        <v>467</v>
      </c>
      <c r="I701" t="s">
        <v>9</v>
      </c>
      <c r="J701" t="s">
        <v>564</v>
      </c>
      <c r="K701" t="s">
        <v>565</v>
      </c>
      <c r="L701" t="s">
        <v>470</v>
      </c>
      <c r="M701">
        <v>61</v>
      </c>
      <c r="N701" t="b">
        <v>0</v>
      </c>
      <c r="O701">
        <v>0.84269662921348309</v>
      </c>
      <c r="P701">
        <v>0.80213903743315507</v>
      </c>
      <c r="Q701">
        <v>0.8875739644970414</v>
      </c>
      <c r="R701" t="s">
        <v>60</v>
      </c>
      <c r="S701" t="s">
        <v>1829</v>
      </c>
      <c r="T701" t="s">
        <v>1830</v>
      </c>
      <c r="U701" t="b">
        <v>0</v>
      </c>
      <c r="V701" t="s">
        <v>63</v>
      </c>
      <c r="W701">
        <v>219.4</v>
      </c>
    </row>
    <row r="702" spans="1:23" hidden="1" x14ac:dyDescent="0.3">
      <c r="A702" t="s">
        <v>1629</v>
      </c>
      <c r="B702" t="s">
        <v>1630</v>
      </c>
      <c r="C702" t="s">
        <v>28</v>
      </c>
      <c r="D702" t="s">
        <v>18</v>
      </c>
      <c r="E702" t="s">
        <v>19</v>
      </c>
      <c r="F702" t="s">
        <v>363</v>
      </c>
      <c r="G702" t="s">
        <v>568</v>
      </c>
      <c r="H702" t="s">
        <v>569</v>
      </c>
      <c r="I702" t="s">
        <v>11</v>
      </c>
      <c r="J702" t="s">
        <v>570</v>
      </c>
      <c r="K702" t="s">
        <v>571</v>
      </c>
      <c r="L702" t="s">
        <v>572</v>
      </c>
      <c r="M702">
        <v>42</v>
      </c>
      <c r="N702" t="b">
        <v>0</v>
      </c>
      <c r="O702">
        <v>0.84901531728665192</v>
      </c>
      <c r="P702">
        <v>0.82553191489361699</v>
      </c>
      <c r="Q702">
        <v>0.87387387387387383</v>
      </c>
      <c r="R702" t="s">
        <v>60</v>
      </c>
      <c r="S702" t="s">
        <v>1831</v>
      </c>
      <c r="T702" t="s">
        <v>1832</v>
      </c>
      <c r="U702" t="b">
        <v>0</v>
      </c>
      <c r="V702" t="s">
        <v>63</v>
      </c>
      <c r="W702">
        <v>204.9</v>
      </c>
    </row>
    <row r="703" spans="1:23" hidden="1" x14ac:dyDescent="0.3">
      <c r="A703" t="s">
        <v>1629</v>
      </c>
      <c r="B703" t="s">
        <v>1630</v>
      </c>
      <c r="C703" t="s">
        <v>28</v>
      </c>
      <c r="D703" t="s">
        <v>18</v>
      </c>
      <c r="E703" t="s">
        <v>19</v>
      </c>
      <c r="F703" t="s">
        <v>363</v>
      </c>
      <c r="G703" t="s">
        <v>575</v>
      </c>
      <c r="H703" t="s">
        <v>569</v>
      </c>
      <c r="I703" t="s">
        <v>11</v>
      </c>
      <c r="J703" t="s">
        <v>576</v>
      </c>
      <c r="K703" t="s">
        <v>577</v>
      </c>
      <c r="L703" t="s">
        <v>572</v>
      </c>
      <c r="M703">
        <v>43</v>
      </c>
      <c r="N703" t="b">
        <v>0</v>
      </c>
      <c r="O703">
        <v>0.85398230088495586</v>
      </c>
      <c r="P703">
        <v>0.83913043478260874</v>
      </c>
      <c r="Q703">
        <v>0.86936936936936937</v>
      </c>
      <c r="R703" t="s">
        <v>60</v>
      </c>
      <c r="S703" t="s">
        <v>1833</v>
      </c>
      <c r="T703" t="s">
        <v>1834</v>
      </c>
      <c r="U703" t="b">
        <v>0</v>
      </c>
      <c r="V703" t="s">
        <v>63</v>
      </c>
      <c r="W703">
        <v>214.2</v>
      </c>
    </row>
    <row r="704" spans="1:23" hidden="1" x14ac:dyDescent="0.3">
      <c r="A704" t="s">
        <v>1629</v>
      </c>
      <c r="B704" t="s">
        <v>1630</v>
      </c>
      <c r="C704" t="s">
        <v>28</v>
      </c>
      <c r="D704" t="s">
        <v>18</v>
      </c>
      <c r="E704" t="s">
        <v>19</v>
      </c>
      <c r="F704" t="s">
        <v>363</v>
      </c>
      <c r="G704" t="s">
        <v>580</v>
      </c>
      <c r="H704" t="s">
        <v>569</v>
      </c>
      <c r="I704" t="s">
        <v>11</v>
      </c>
      <c r="J704" t="s">
        <v>581</v>
      </c>
      <c r="K704" t="s">
        <v>582</v>
      </c>
      <c r="L704" t="s">
        <v>572</v>
      </c>
      <c r="M704">
        <v>44</v>
      </c>
      <c r="N704" t="b">
        <v>0</v>
      </c>
      <c r="O704">
        <v>0.85777777777777775</v>
      </c>
      <c r="P704">
        <v>0.84649122807017541</v>
      </c>
      <c r="Q704">
        <v>0.86936936936936937</v>
      </c>
      <c r="R704" t="s">
        <v>60</v>
      </c>
      <c r="S704" t="s">
        <v>1835</v>
      </c>
      <c r="T704" t="s">
        <v>1836</v>
      </c>
      <c r="U704" t="b">
        <v>0</v>
      </c>
      <c r="V704" t="s">
        <v>63</v>
      </c>
      <c r="W704">
        <v>254.8</v>
      </c>
    </row>
    <row r="705" spans="1:23" hidden="1" x14ac:dyDescent="0.3">
      <c r="A705" t="s">
        <v>1629</v>
      </c>
      <c r="B705" t="s">
        <v>1630</v>
      </c>
      <c r="C705" t="s">
        <v>28</v>
      </c>
      <c r="D705" t="s">
        <v>18</v>
      </c>
      <c r="E705" t="s">
        <v>19</v>
      </c>
      <c r="F705" t="s">
        <v>363</v>
      </c>
      <c r="G705" t="s">
        <v>585</v>
      </c>
      <c r="H705" t="s">
        <v>569</v>
      </c>
      <c r="I705" t="s">
        <v>11</v>
      </c>
      <c r="J705" t="s">
        <v>586</v>
      </c>
      <c r="K705" t="s">
        <v>587</v>
      </c>
      <c r="L705" t="s">
        <v>572</v>
      </c>
      <c r="M705">
        <v>45</v>
      </c>
      <c r="N705" t="b">
        <v>0</v>
      </c>
      <c r="O705">
        <v>0.85462555066079282</v>
      </c>
      <c r="P705">
        <v>0.83620689655172409</v>
      </c>
      <c r="Q705">
        <v>0.87387387387387383</v>
      </c>
      <c r="R705" t="s">
        <v>60</v>
      </c>
      <c r="S705" t="s">
        <v>1837</v>
      </c>
      <c r="T705" t="s">
        <v>1838</v>
      </c>
      <c r="U705" t="b">
        <v>0</v>
      </c>
      <c r="V705" t="s">
        <v>63</v>
      </c>
      <c r="W705">
        <v>240.7</v>
      </c>
    </row>
    <row r="706" spans="1:23" hidden="1" x14ac:dyDescent="0.3">
      <c r="A706" t="s">
        <v>1629</v>
      </c>
      <c r="B706" t="s">
        <v>1630</v>
      </c>
      <c r="C706" t="s">
        <v>28</v>
      </c>
      <c r="D706" t="s">
        <v>18</v>
      </c>
      <c r="E706" t="s">
        <v>19</v>
      </c>
      <c r="F706" t="s">
        <v>363</v>
      </c>
      <c r="G706" t="s">
        <v>590</v>
      </c>
      <c r="H706" t="s">
        <v>569</v>
      </c>
      <c r="I706" t="s">
        <v>11</v>
      </c>
      <c r="J706" t="s">
        <v>591</v>
      </c>
      <c r="K706" t="s">
        <v>592</v>
      </c>
      <c r="L706" t="s">
        <v>572</v>
      </c>
      <c r="M706">
        <v>46</v>
      </c>
      <c r="N706" t="b">
        <v>0</v>
      </c>
      <c r="O706">
        <v>0.83771929824561386</v>
      </c>
      <c r="P706">
        <v>0.81623931623931623</v>
      </c>
      <c r="Q706">
        <v>0.86036036036036034</v>
      </c>
      <c r="R706" t="s">
        <v>60</v>
      </c>
      <c r="S706" t="s">
        <v>1839</v>
      </c>
      <c r="T706" t="s">
        <v>1840</v>
      </c>
      <c r="U706" t="b">
        <v>0</v>
      </c>
      <c r="V706" t="s">
        <v>63</v>
      </c>
      <c r="W706">
        <v>203.9</v>
      </c>
    </row>
    <row r="707" spans="1:23" hidden="1" x14ac:dyDescent="0.3">
      <c r="A707" t="s">
        <v>1629</v>
      </c>
      <c r="B707" t="s">
        <v>1630</v>
      </c>
      <c r="C707" t="s">
        <v>28</v>
      </c>
      <c r="D707" t="s">
        <v>18</v>
      </c>
      <c r="E707" t="s">
        <v>19</v>
      </c>
      <c r="F707" t="s">
        <v>363</v>
      </c>
      <c r="G707" t="s">
        <v>595</v>
      </c>
      <c r="H707" t="s">
        <v>569</v>
      </c>
      <c r="I707" t="s">
        <v>11</v>
      </c>
      <c r="J707" t="s">
        <v>596</v>
      </c>
      <c r="K707" t="s">
        <v>597</v>
      </c>
      <c r="L707" t="s">
        <v>572</v>
      </c>
      <c r="M707">
        <v>47</v>
      </c>
      <c r="N707" t="b">
        <v>0</v>
      </c>
      <c r="O707">
        <v>0.85906040268456374</v>
      </c>
      <c r="P707">
        <v>0.85333333333333339</v>
      </c>
      <c r="Q707">
        <v>0.86486486486486491</v>
      </c>
      <c r="R707" t="s">
        <v>60</v>
      </c>
      <c r="S707" t="s">
        <v>1841</v>
      </c>
      <c r="T707" t="s">
        <v>1842</v>
      </c>
      <c r="U707" t="b">
        <v>0</v>
      </c>
      <c r="V707" t="s">
        <v>63</v>
      </c>
      <c r="W707">
        <v>218.5</v>
      </c>
    </row>
    <row r="708" spans="1:23" hidden="1" x14ac:dyDescent="0.3">
      <c r="A708" t="s">
        <v>1629</v>
      </c>
      <c r="B708" t="s">
        <v>1630</v>
      </c>
      <c r="C708" t="s">
        <v>28</v>
      </c>
      <c r="D708" t="s">
        <v>18</v>
      </c>
      <c r="E708" t="s">
        <v>19</v>
      </c>
      <c r="F708" t="s">
        <v>363</v>
      </c>
      <c r="G708" t="s">
        <v>600</v>
      </c>
      <c r="H708" t="s">
        <v>569</v>
      </c>
      <c r="I708" t="s">
        <v>11</v>
      </c>
      <c r="J708" t="s">
        <v>601</v>
      </c>
      <c r="K708" t="s">
        <v>602</v>
      </c>
      <c r="L708" t="s">
        <v>572</v>
      </c>
      <c r="M708">
        <v>48</v>
      </c>
      <c r="N708" t="b">
        <v>0</v>
      </c>
      <c r="O708">
        <v>0.83956043956043958</v>
      </c>
      <c r="P708">
        <v>0.81974248927038629</v>
      </c>
      <c r="Q708">
        <v>0.86036036036036034</v>
      </c>
      <c r="R708" t="s">
        <v>60</v>
      </c>
      <c r="S708" t="s">
        <v>1843</v>
      </c>
      <c r="T708" t="s">
        <v>1844</v>
      </c>
      <c r="U708" t="b">
        <v>0</v>
      </c>
      <c r="V708" t="s">
        <v>63</v>
      </c>
      <c r="W708">
        <v>229.6</v>
      </c>
    </row>
    <row r="709" spans="1:23" hidden="1" x14ac:dyDescent="0.3">
      <c r="A709" t="s">
        <v>1629</v>
      </c>
      <c r="B709" t="s">
        <v>1630</v>
      </c>
      <c r="C709" t="s">
        <v>28</v>
      </c>
      <c r="D709" t="s">
        <v>18</v>
      </c>
      <c r="E709" t="s">
        <v>19</v>
      </c>
      <c r="F709" t="s">
        <v>363</v>
      </c>
      <c r="G709" t="s">
        <v>605</v>
      </c>
      <c r="H709" t="s">
        <v>569</v>
      </c>
      <c r="I709" t="s">
        <v>11</v>
      </c>
      <c r="J709" t="s">
        <v>606</v>
      </c>
      <c r="K709" t="s">
        <v>607</v>
      </c>
      <c r="L709" t="s">
        <v>572</v>
      </c>
      <c r="M709">
        <v>49</v>
      </c>
      <c r="N709" t="b">
        <v>0</v>
      </c>
      <c r="O709">
        <v>0.84955752212389379</v>
      </c>
      <c r="P709">
        <v>0.83478260869565213</v>
      </c>
      <c r="Q709">
        <v>0.86486486486486491</v>
      </c>
      <c r="R709" t="s">
        <v>60</v>
      </c>
      <c r="S709" t="s">
        <v>1845</v>
      </c>
      <c r="T709" t="s">
        <v>1846</v>
      </c>
      <c r="U709" t="b">
        <v>0</v>
      </c>
      <c r="V709" t="s">
        <v>63</v>
      </c>
      <c r="W709">
        <v>245.4</v>
      </c>
    </row>
    <row r="710" spans="1:23" hidden="1" x14ac:dyDescent="0.3">
      <c r="A710" t="s">
        <v>1629</v>
      </c>
      <c r="B710" t="s">
        <v>1630</v>
      </c>
      <c r="C710" t="s">
        <v>28</v>
      </c>
      <c r="D710" t="s">
        <v>18</v>
      </c>
      <c r="E710" t="s">
        <v>19</v>
      </c>
      <c r="F710" t="s">
        <v>363</v>
      </c>
      <c r="G710" t="s">
        <v>610</v>
      </c>
      <c r="H710" t="s">
        <v>569</v>
      </c>
      <c r="I710" t="s">
        <v>11</v>
      </c>
      <c r="J710" t="s">
        <v>611</v>
      </c>
      <c r="K710" t="s">
        <v>612</v>
      </c>
      <c r="L710" t="s">
        <v>572</v>
      </c>
      <c r="M710">
        <v>50</v>
      </c>
      <c r="N710" t="b">
        <v>0</v>
      </c>
      <c r="O710">
        <v>0.8527472527472526</v>
      </c>
      <c r="P710">
        <v>0.83261802575107291</v>
      </c>
      <c r="Q710">
        <v>0.87387387387387383</v>
      </c>
      <c r="R710" t="s">
        <v>60</v>
      </c>
      <c r="S710" t="s">
        <v>1847</v>
      </c>
      <c r="T710" t="s">
        <v>1848</v>
      </c>
      <c r="U710" t="b">
        <v>0</v>
      </c>
      <c r="V710" t="s">
        <v>63</v>
      </c>
      <c r="W710">
        <v>217</v>
      </c>
    </row>
    <row r="711" spans="1:23" hidden="1" x14ac:dyDescent="0.3">
      <c r="A711" t="s">
        <v>1629</v>
      </c>
      <c r="B711" t="s">
        <v>1630</v>
      </c>
      <c r="C711" t="s">
        <v>28</v>
      </c>
      <c r="D711" t="s">
        <v>18</v>
      </c>
      <c r="E711" t="s">
        <v>19</v>
      </c>
      <c r="F711" t="s">
        <v>363</v>
      </c>
      <c r="G711" t="s">
        <v>615</v>
      </c>
      <c r="H711" t="s">
        <v>569</v>
      </c>
      <c r="I711" t="s">
        <v>11</v>
      </c>
      <c r="J711" t="s">
        <v>616</v>
      </c>
      <c r="K711" t="s">
        <v>617</v>
      </c>
      <c r="L711" t="s">
        <v>572</v>
      </c>
      <c r="M711">
        <v>51</v>
      </c>
      <c r="N711" t="b">
        <v>0</v>
      </c>
      <c r="O711">
        <v>0.84700665188470059</v>
      </c>
      <c r="P711">
        <v>0.83406113537117899</v>
      </c>
      <c r="Q711">
        <v>0.86036036036036034</v>
      </c>
      <c r="R711" t="s">
        <v>60</v>
      </c>
      <c r="S711" t="s">
        <v>1849</v>
      </c>
      <c r="T711" t="s">
        <v>1850</v>
      </c>
      <c r="U711" t="b">
        <v>0</v>
      </c>
      <c r="V711" t="s">
        <v>63</v>
      </c>
      <c r="W711">
        <v>218.1</v>
      </c>
    </row>
    <row r="712" spans="1:23" hidden="1" x14ac:dyDescent="0.3">
      <c r="A712" t="s">
        <v>1629</v>
      </c>
      <c r="B712" t="s">
        <v>1630</v>
      </c>
      <c r="C712" t="s">
        <v>28</v>
      </c>
      <c r="D712" t="s">
        <v>18</v>
      </c>
      <c r="E712" t="s">
        <v>19</v>
      </c>
      <c r="F712" t="s">
        <v>363</v>
      </c>
      <c r="G712" t="s">
        <v>620</v>
      </c>
      <c r="H712" t="s">
        <v>569</v>
      </c>
      <c r="I712" t="s">
        <v>11</v>
      </c>
      <c r="J712" t="s">
        <v>621</v>
      </c>
      <c r="K712" t="s">
        <v>622</v>
      </c>
      <c r="L712" t="s">
        <v>572</v>
      </c>
      <c r="M712">
        <v>52</v>
      </c>
      <c r="N712" t="b">
        <v>0</v>
      </c>
      <c r="O712">
        <v>0.83369330453563717</v>
      </c>
      <c r="P712">
        <v>0.80082987551867224</v>
      </c>
      <c r="Q712">
        <v>0.86936936936936937</v>
      </c>
      <c r="R712" t="s">
        <v>60</v>
      </c>
      <c r="S712" t="s">
        <v>1851</v>
      </c>
      <c r="T712" t="s">
        <v>1852</v>
      </c>
      <c r="U712" t="b">
        <v>0</v>
      </c>
      <c r="V712" t="s">
        <v>63</v>
      </c>
      <c r="W712">
        <v>221.5</v>
      </c>
    </row>
    <row r="713" spans="1:23" hidden="1" x14ac:dyDescent="0.3">
      <c r="A713" t="s">
        <v>1629</v>
      </c>
      <c r="B713" t="s">
        <v>1630</v>
      </c>
      <c r="C713" t="s">
        <v>28</v>
      </c>
      <c r="D713" t="s">
        <v>18</v>
      </c>
      <c r="E713" t="s">
        <v>19</v>
      </c>
      <c r="F713" t="s">
        <v>363</v>
      </c>
      <c r="G713" t="s">
        <v>625</v>
      </c>
      <c r="H713" t="s">
        <v>569</v>
      </c>
      <c r="I713" t="s">
        <v>11</v>
      </c>
      <c r="J713" t="s">
        <v>626</v>
      </c>
      <c r="K713" t="s">
        <v>627</v>
      </c>
      <c r="L713" t="s">
        <v>572</v>
      </c>
      <c r="M713">
        <v>53</v>
      </c>
      <c r="N713" t="b">
        <v>0</v>
      </c>
      <c r="O713">
        <v>0.84279475982532748</v>
      </c>
      <c r="P713">
        <v>0.81779661016949157</v>
      </c>
      <c r="Q713">
        <v>0.86936936936936937</v>
      </c>
      <c r="R713" t="s">
        <v>60</v>
      </c>
      <c r="S713" t="s">
        <v>1853</v>
      </c>
      <c r="T713" t="s">
        <v>1854</v>
      </c>
      <c r="U713" t="b">
        <v>0</v>
      </c>
      <c r="V713" t="s">
        <v>63</v>
      </c>
      <c r="W713">
        <v>216.9</v>
      </c>
    </row>
    <row r="714" spans="1:23" hidden="1" x14ac:dyDescent="0.3">
      <c r="A714" t="s">
        <v>1629</v>
      </c>
      <c r="B714" t="s">
        <v>1630</v>
      </c>
      <c r="C714" t="s">
        <v>28</v>
      </c>
      <c r="D714" t="s">
        <v>18</v>
      </c>
      <c r="E714" t="s">
        <v>19</v>
      </c>
      <c r="F714" t="s">
        <v>363</v>
      </c>
      <c r="G714" t="s">
        <v>630</v>
      </c>
      <c r="H714" t="s">
        <v>569</v>
      </c>
      <c r="I714" t="s">
        <v>11</v>
      </c>
      <c r="J714" t="s">
        <v>631</v>
      </c>
      <c r="K714" t="s">
        <v>632</v>
      </c>
      <c r="L714" t="s">
        <v>572</v>
      </c>
      <c r="M714">
        <v>54</v>
      </c>
      <c r="N714" t="b">
        <v>0</v>
      </c>
      <c r="O714">
        <v>0.8355555555555555</v>
      </c>
      <c r="P714">
        <v>0.82456140350877194</v>
      </c>
      <c r="Q714">
        <v>0.84684684684684686</v>
      </c>
      <c r="R714" t="s">
        <v>60</v>
      </c>
      <c r="S714" t="s">
        <v>1855</v>
      </c>
      <c r="T714" t="s">
        <v>1856</v>
      </c>
      <c r="U714" t="b">
        <v>0</v>
      </c>
      <c r="V714" t="s">
        <v>63</v>
      </c>
      <c r="W714">
        <v>257</v>
      </c>
    </row>
    <row r="715" spans="1:23" hidden="1" x14ac:dyDescent="0.3">
      <c r="A715" t="s">
        <v>1629</v>
      </c>
      <c r="B715" t="s">
        <v>1630</v>
      </c>
      <c r="C715" t="s">
        <v>28</v>
      </c>
      <c r="D715" t="s">
        <v>18</v>
      </c>
      <c r="E715" t="s">
        <v>19</v>
      </c>
      <c r="F715" t="s">
        <v>363</v>
      </c>
      <c r="G715" t="s">
        <v>635</v>
      </c>
      <c r="H715" t="s">
        <v>569</v>
      </c>
      <c r="I715" t="s">
        <v>11</v>
      </c>
      <c r="J715" t="s">
        <v>636</v>
      </c>
      <c r="K715" t="s">
        <v>637</v>
      </c>
      <c r="L715" t="s">
        <v>572</v>
      </c>
      <c r="M715">
        <v>55</v>
      </c>
      <c r="N715" t="b">
        <v>0</v>
      </c>
      <c r="O715">
        <v>0.8571428571428571</v>
      </c>
      <c r="P715">
        <v>0.84955752212389379</v>
      </c>
      <c r="Q715">
        <v>0.86486486486486491</v>
      </c>
      <c r="R715" t="s">
        <v>60</v>
      </c>
      <c r="S715" t="s">
        <v>1857</v>
      </c>
      <c r="T715" t="s">
        <v>1858</v>
      </c>
      <c r="U715" t="b">
        <v>0</v>
      </c>
      <c r="V715" t="s">
        <v>63</v>
      </c>
      <c r="W715">
        <v>218.4</v>
      </c>
    </row>
    <row r="716" spans="1:23" hidden="1" x14ac:dyDescent="0.3">
      <c r="A716" t="s">
        <v>1629</v>
      </c>
      <c r="B716" t="s">
        <v>1630</v>
      </c>
      <c r="C716" t="s">
        <v>28</v>
      </c>
      <c r="D716" t="s">
        <v>18</v>
      </c>
      <c r="E716" t="s">
        <v>19</v>
      </c>
      <c r="F716" t="s">
        <v>363</v>
      </c>
      <c r="G716" t="s">
        <v>640</v>
      </c>
      <c r="H716" t="s">
        <v>569</v>
      </c>
      <c r="I716" t="s">
        <v>11</v>
      </c>
      <c r="J716" t="s">
        <v>641</v>
      </c>
      <c r="K716" t="s">
        <v>642</v>
      </c>
      <c r="L716" t="s">
        <v>572</v>
      </c>
      <c r="M716">
        <v>56</v>
      </c>
      <c r="N716" t="b">
        <v>0</v>
      </c>
      <c r="O716">
        <v>0.8432671081677704</v>
      </c>
      <c r="P716">
        <v>0.82683982683982682</v>
      </c>
      <c r="Q716">
        <v>0.86036036036036034</v>
      </c>
      <c r="R716" t="s">
        <v>60</v>
      </c>
      <c r="S716" t="s">
        <v>1859</v>
      </c>
      <c r="T716" t="s">
        <v>1860</v>
      </c>
      <c r="U716" t="b">
        <v>0</v>
      </c>
      <c r="V716" t="s">
        <v>63</v>
      </c>
      <c r="W716">
        <v>216.3</v>
      </c>
    </row>
    <row r="717" spans="1:23" hidden="1" x14ac:dyDescent="0.3">
      <c r="A717" t="s">
        <v>1629</v>
      </c>
      <c r="B717" t="s">
        <v>1630</v>
      </c>
      <c r="C717" t="s">
        <v>28</v>
      </c>
      <c r="D717" t="s">
        <v>18</v>
      </c>
      <c r="E717" t="s">
        <v>19</v>
      </c>
      <c r="F717" t="s">
        <v>363</v>
      </c>
      <c r="G717" t="s">
        <v>645</v>
      </c>
      <c r="H717" t="s">
        <v>569</v>
      </c>
      <c r="I717" t="s">
        <v>11</v>
      </c>
      <c r="J717" t="s">
        <v>646</v>
      </c>
      <c r="K717" t="s">
        <v>647</v>
      </c>
      <c r="L717" t="s">
        <v>572</v>
      </c>
      <c r="M717">
        <v>57</v>
      </c>
      <c r="N717" t="b">
        <v>0</v>
      </c>
      <c r="O717">
        <v>0.84070796460176989</v>
      </c>
      <c r="P717">
        <v>0.82608695652173914</v>
      </c>
      <c r="Q717">
        <v>0.85585585585585588</v>
      </c>
      <c r="R717" t="s">
        <v>60</v>
      </c>
      <c r="S717" t="s">
        <v>1861</v>
      </c>
      <c r="T717" t="s">
        <v>1862</v>
      </c>
      <c r="U717" t="b">
        <v>0</v>
      </c>
      <c r="V717" t="s">
        <v>63</v>
      </c>
      <c r="W717">
        <v>205.5</v>
      </c>
    </row>
    <row r="718" spans="1:23" hidden="1" x14ac:dyDescent="0.3">
      <c r="A718" t="s">
        <v>1629</v>
      </c>
      <c r="B718" t="s">
        <v>1630</v>
      </c>
      <c r="C718" t="s">
        <v>28</v>
      </c>
      <c r="D718" t="s">
        <v>18</v>
      </c>
      <c r="E718" t="s">
        <v>19</v>
      </c>
      <c r="F718" t="s">
        <v>363</v>
      </c>
      <c r="G718" t="s">
        <v>650</v>
      </c>
      <c r="H718" t="s">
        <v>569</v>
      </c>
      <c r="I718" t="s">
        <v>11</v>
      </c>
      <c r="J718" t="s">
        <v>651</v>
      </c>
      <c r="K718" t="s">
        <v>652</v>
      </c>
      <c r="L718" t="s">
        <v>572</v>
      </c>
      <c r="M718">
        <v>58</v>
      </c>
      <c r="N718" t="b">
        <v>0</v>
      </c>
      <c r="O718">
        <v>0.84279475982532748</v>
      </c>
      <c r="P718">
        <v>0.81779661016949157</v>
      </c>
      <c r="Q718">
        <v>0.86936936936936937</v>
      </c>
      <c r="R718" t="s">
        <v>60</v>
      </c>
      <c r="S718" t="s">
        <v>1863</v>
      </c>
      <c r="T718" t="s">
        <v>1864</v>
      </c>
      <c r="U718" t="b">
        <v>0</v>
      </c>
      <c r="V718" t="s">
        <v>63</v>
      </c>
      <c r="W718">
        <v>219.8</v>
      </c>
    </row>
    <row r="719" spans="1:23" hidden="1" x14ac:dyDescent="0.3">
      <c r="A719" t="s">
        <v>1629</v>
      </c>
      <c r="B719" t="s">
        <v>1630</v>
      </c>
      <c r="C719" t="s">
        <v>28</v>
      </c>
      <c r="D719" t="s">
        <v>18</v>
      </c>
      <c r="E719" t="s">
        <v>19</v>
      </c>
      <c r="F719" t="s">
        <v>363</v>
      </c>
      <c r="G719" t="s">
        <v>655</v>
      </c>
      <c r="H719" t="s">
        <v>569</v>
      </c>
      <c r="I719" t="s">
        <v>11</v>
      </c>
      <c r="J719" t="s">
        <v>656</v>
      </c>
      <c r="K719" t="s">
        <v>657</v>
      </c>
      <c r="L719" t="s">
        <v>572</v>
      </c>
      <c r="M719">
        <v>59</v>
      </c>
      <c r="N719" t="b">
        <v>0</v>
      </c>
      <c r="O719">
        <v>0.85587583148558766</v>
      </c>
      <c r="P719">
        <v>0.84279475982532748</v>
      </c>
      <c r="Q719">
        <v>0.86936936936936937</v>
      </c>
      <c r="R719" t="s">
        <v>60</v>
      </c>
      <c r="S719" t="s">
        <v>1865</v>
      </c>
      <c r="T719" t="s">
        <v>1866</v>
      </c>
      <c r="U719" t="b">
        <v>0</v>
      </c>
      <c r="V719" t="s">
        <v>63</v>
      </c>
      <c r="W719">
        <v>253.9</v>
      </c>
    </row>
    <row r="720" spans="1:23" hidden="1" x14ac:dyDescent="0.3">
      <c r="A720" t="s">
        <v>1629</v>
      </c>
      <c r="B720" t="s">
        <v>1630</v>
      </c>
      <c r="C720" t="s">
        <v>28</v>
      </c>
      <c r="D720" t="s">
        <v>18</v>
      </c>
      <c r="E720" t="s">
        <v>19</v>
      </c>
      <c r="F720" t="s">
        <v>363</v>
      </c>
      <c r="G720" t="s">
        <v>660</v>
      </c>
      <c r="H720" t="s">
        <v>569</v>
      </c>
      <c r="I720" t="s">
        <v>11</v>
      </c>
      <c r="J720" t="s">
        <v>661</v>
      </c>
      <c r="K720" t="s">
        <v>662</v>
      </c>
      <c r="L720" t="s">
        <v>572</v>
      </c>
      <c r="M720">
        <v>60</v>
      </c>
      <c r="N720" t="b">
        <v>0</v>
      </c>
      <c r="O720">
        <v>0.83771929824561386</v>
      </c>
      <c r="P720">
        <v>0.81623931623931623</v>
      </c>
      <c r="Q720">
        <v>0.86036036036036034</v>
      </c>
      <c r="R720" t="s">
        <v>60</v>
      </c>
      <c r="S720" t="s">
        <v>1867</v>
      </c>
      <c r="T720" t="s">
        <v>1868</v>
      </c>
      <c r="U720" t="b">
        <v>0</v>
      </c>
      <c r="V720" t="s">
        <v>63</v>
      </c>
      <c r="W720">
        <v>215.9</v>
      </c>
    </row>
    <row r="721" spans="1:23" hidden="1" x14ac:dyDescent="0.3">
      <c r="A721" t="s">
        <v>1629</v>
      </c>
      <c r="B721" t="s">
        <v>1630</v>
      </c>
      <c r="C721" t="s">
        <v>28</v>
      </c>
      <c r="D721" t="s">
        <v>18</v>
      </c>
      <c r="E721" t="s">
        <v>19</v>
      </c>
      <c r="F721" t="s">
        <v>363</v>
      </c>
      <c r="G721" t="s">
        <v>665</v>
      </c>
      <c r="H721" t="s">
        <v>569</v>
      </c>
      <c r="I721" t="s">
        <v>11</v>
      </c>
      <c r="J721" t="s">
        <v>666</v>
      </c>
      <c r="K721" t="s">
        <v>667</v>
      </c>
      <c r="L721" t="s">
        <v>572</v>
      </c>
      <c r="M721">
        <v>61</v>
      </c>
      <c r="N721" t="b">
        <v>0</v>
      </c>
      <c r="O721">
        <v>0.84257206208425717</v>
      </c>
      <c r="P721">
        <v>0.82969432314410485</v>
      </c>
      <c r="Q721">
        <v>0.85585585585585588</v>
      </c>
      <c r="R721" t="s">
        <v>60</v>
      </c>
      <c r="S721" t="s">
        <v>1869</v>
      </c>
      <c r="T721" t="s">
        <v>1870</v>
      </c>
      <c r="U721" t="b">
        <v>0</v>
      </c>
      <c r="V721" t="s">
        <v>63</v>
      </c>
      <c r="W721">
        <v>253.8</v>
      </c>
    </row>
    <row r="722" spans="1:23" hidden="1" x14ac:dyDescent="0.3">
      <c r="A722" t="s">
        <v>1629</v>
      </c>
      <c r="B722" t="s">
        <v>1630</v>
      </c>
      <c r="C722" t="s">
        <v>28</v>
      </c>
      <c r="D722" t="s">
        <v>20</v>
      </c>
      <c r="E722" t="s">
        <v>21</v>
      </c>
      <c r="F722" t="s">
        <v>54</v>
      </c>
      <c r="G722" t="s">
        <v>55</v>
      </c>
      <c r="H722" t="s">
        <v>56</v>
      </c>
      <c r="I722" t="s">
        <v>7</v>
      </c>
      <c r="J722" t="s">
        <v>57</v>
      </c>
      <c r="K722" t="s">
        <v>58</v>
      </c>
      <c r="L722" t="s">
        <v>59</v>
      </c>
      <c r="M722">
        <v>42</v>
      </c>
      <c r="N722" t="b">
        <v>1</v>
      </c>
      <c r="O722">
        <v>0.7119341563786008</v>
      </c>
      <c r="R722" t="s">
        <v>670</v>
      </c>
      <c r="S722" t="s">
        <v>1871</v>
      </c>
      <c r="T722" t="s">
        <v>1872</v>
      </c>
      <c r="U722" t="b">
        <v>1</v>
      </c>
      <c r="V722" t="s">
        <v>63</v>
      </c>
      <c r="W722">
        <v>0.7</v>
      </c>
    </row>
    <row r="723" spans="1:23" hidden="1" x14ac:dyDescent="0.3">
      <c r="A723" t="s">
        <v>1629</v>
      </c>
      <c r="B723" t="s">
        <v>1630</v>
      </c>
      <c r="C723" t="s">
        <v>28</v>
      </c>
      <c r="D723" t="s">
        <v>20</v>
      </c>
      <c r="E723" t="s">
        <v>21</v>
      </c>
      <c r="F723" t="s">
        <v>54</v>
      </c>
      <c r="G723" t="s">
        <v>64</v>
      </c>
      <c r="H723" t="s">
        <v>56</v>
      </c>
      <c r="I723" t="s">
        <v>7</v>
      </c>
      <c r="J723" t="s">
        <v>65</v>
      </c>
      <c r="K723" t="s">
        <v>66</v>
      </c>
      <c r="L723" t="s">
        <v>59</v>
      </c>
      <c r="M723">
        <v>43</v>
      </c>
      <c r="N723" t="b">
        <v>1</v>
      </c>
      <c r="O723">
        <v>0.52032520325203246</v>
      </c>
      <c r="R723" t="s">
        <v>670</v>
      </c>
      <c r="S723" t="s">
        <v>1873</v>
      </c>
      <c r="T723" t="s">
        <v>1874</v>
      </c>
      <c r="U723" t="b">
        <v>1</v>
      </c>
      <c r="V723" t="s">
        <v>63</v>
      </c>
      <c r="W723">
        <v>0.7</v>
      </c>
    </row>
    <row r="724" spans="1:23" hidden="1" x14ac:dyDescent="0.3">
      <c r="A724" t="s">
        <v>1629</v>
      </c>
      <c r="B724" t="s">
        <v>1630</v>
      </c>
      <c r="C724" t="s">
        <v>28</v>
      </c>
      <c r="D724" t="s">
        <v>20</v>
      </c>
      <c r="E724" t="s">
        <v>21</v>
      </c>
      <c r="F724" t="s">
        <v>54</v>
      </c>
      <c r="G724" t="s">
        <v>69</v>
      </c>
      <c r="H724" t="s">
        <v>56</v>
      </c>
      <c r="I724" t="s">
        <v>7</v>
      </c>
      <c r="J724" t="s">
        <v>70</v>
      </c>
      <c r="K724" t="s">
        <v>71</v>
      </c>
      <c r="L724" t="s">
        <v>59</v>
      </c>
      <c r="M724">
        <v>44</v>
      </c>
      <c r="N724" t="b">
        <v>1</v>
      </c>
      <c r="O724">
        <v>0.58248472505091642</v>
      </c>
      <c r="R724" t="s">
        <v>670</v>
      </c>
      <c r="S724" t="s">
        <v>1875</v>
      </c>
      <c r="T724" t="s">
        <v>1876</v>
      </c>
      <c r="U724" t="b">
        <v>1</v>
      </c>
      <c r="V724" t="s">
        <v>63</v>
      </c>
      <c r="W724">
        <v>0.9</v>
      </c>
    </row>
    <row r="725" spans="1:23" hidden="1" x14ac:dyDescent="0.3">
      <c r="A725" t="s">
        <v>1629</v>
      </c>
      <c r="B725" t="s">
        <v>1630</v>
      </c>
      <c r="C725" t="s">
        <v>28</v>
      </c>
      <c r="D725" t="s">
        <v>20</v>
      </c>
      <c r="E725" t="s">
        <v>21</v>
      </c>
      <c r="F725" t="s">
        <v>54</v>
      </c>
      <c r="G725" t="s">
        <v>74</v>
      </c>
      <c r="H725" t="s">
        <v>56</v>
      </c>
      <c r="I725" t="s">
        <v>7</v>
      </c>
      <c r="J725" t="s">
        <v>75</v>
      </c>
      <c r="K725" t="s">
        <v>76</v>
      </c>
      <c r="L725" t="s">
        <v>59</v>
      </c>
      <c r="M725">
        <v>45</v>
      </c>
      <c r="N725" t="b">
        <v>1</v>
      </c>
      <c r="O725">
        <v>0.71816283924843416</v>
      </c>
      <c r="R725" t="s">
        <v>670</v>
      </c>
      <c r="S725" t="s">
        <v>1877</v>
      </c>
      <c r="T725" t="s">
        <v>1878</v>
      </c>
      <c r="U725" t="b">
        <v>1</v>
      </c>
      <c r="V725" t="s">
        <v>63</v>
      </c>
      <c r="W725">
        <v>0.7</v>
      </c>
    </row>
    <row r="726" spans="1:23" hidden="1" x14ac:dyDescent="0.3">
      <c r="A726" t="s">
        <v>1629</v>
      </c>
      <c r="B726" t="s">
        <v>1630</v>
      </c>
      <c r="C726" t="s">
        <v>28</v>
      </c>
      <c r="D726" t="s">
        <v>20</v>
      </c>
      <c r="E726" t="s">
        <v>21</v>
      </c>
      <c r="F726" t="s">
        <v>54</v>
      </c>
      <c r="G726" t="s">
        <v>79</v>
      </c>
      <c r="H726" t="s">
        <v>56</v>
      </c>
      <c r="I726" t="s">
        <v>7</v>
      </c>
      <c r="J726" t="s">
        <v>80</v>
      </c>
      <c r="K726" t="s">
        <v>81</v>
      </c>
      <c r="L726" t="s">
        <v>59</v>
      </c>
      <c r="M726">
        <v>46</v>
      </c>
      <c r="N726" t="b">
        <v>1</v>
      </c>
      <c r="O726">
        <v>0.54746136865342165</v>
      </c>
      <c r="R726" t="s">
        <v>670</v>
      </c>
      <c r="S726" t="s">
        <v>1879</v>
      </c>
      <c r="T726" t="s">
        <v>1880</v>
      </c>
      <c r="U726" t="b">
        <v>1</v>
      </c>
      <c r="V726" t="s">
        <v>63</v>
      </c>
      <c r="W726">
        <v>0.7</v>
      </c>
    </row>
    <row r="727" spans="1:23" hidden="1" x14ac:dyDescent="0.3">
      <c r="A727" t="s">
        <v>1629</v>
      </c>
      <c r="B727" t="s">
        <v>1630</v>
      </c>
      <c r="C727" t="s">
        <v>28</v>
      </c>
      <c r="D727" t="s">
        <v>20</v>
      </c>
      <c r="E727" t="s">
        <v>21</v>
      </c>
      <c r="F727" t="s">
        <v>54</v>
      </c>
      <c r="G727" t="s">
        <v>84</v>
      </c>
      <c r="H727" t="s">
        <v>56</v>
      </c>
      <c r="I727" t="s">
        <v>7</v>
      </c>
      <c r="J727" t="s">
        <v>85</v>
      </c>
      <c r="K727" t="s">
        <v>86</v>
      </c>
      <c r="L727" t="s">
        <v>59</v>
      </c>
      <c r="M727">
        <v>47</v>
      </c>
      <c r="N727" t="b">
        <v>1</v>
      </c>
      <c r="O727">
        <v>0.71635610766045543</v>
      </c>
      <c r="R727" t="s">
        <v>670</v>
      </c>
      <c r="S727" t="s">
        <v>1881</v>
      </c>
      <c r="T727" t="s">
        <v>1882</v>
      </c>
      <c r="U727" t="b">
        <v>1</v>
      </c>
      <c r="V727" t="s">
        <v>63</v>
      </c>
      <c r="W727">
        <v>3.3</v>
      </c>
    </row>
    <row r="728" spans="1:23" hidden="1" x14ac:dyDescent="0.3">
      <c r="A728" t="s">
        <v>1629</v>
      </c>
      <c r="B728" t="s">
        <v>1630</v>
      </c>
      <c r="C728" t="s">
        <v>28</v>
      </c>
      <c r="D728" t="s">
        <v>20</v>
      </c>
      <c r="E728" t="s">
        <v>21</v>
      </c>
      <c r="F728" t="s">
        <v>54</v>
      </c>
      <c r="G728" t="s">
        <v>89</v>
      </c>
      <c r="H728" t="s">
        <v>56</v>
      </c>
      <c r="I728" t="s">
        <v>7</v>
      </c>
      <c r="J728" t="s">
        <v>90</v>
      </c>
      <c r="K728" t="s">
        <v>91</v>
      </c>
      <c r="L728" t="s">
        <v>59</v>
      </c>
      <c r="M728">
        <v>48</v>
      </c>
      <c r="N728" t="b">
        <v>1</v>
      </c>
      <c r="O728">
        <v>0.74518201284796581</v>
      </c>
      <c r="R728" t="s">
        <v>670</v>
      </c>
      <c r="S728" t="s">
        <v>1883</v>
      </c>
      <c r="T728" t="s">
        <v>1884</v>
      </c>
      <c r="U728" t="b">
        <v>1</v>
      </c>
      <c r="V728" t="s">
        <v>63</v>
      </c>
      <c r="W728">
        <v>0.9</v>
      </c>
    </row>
    <row r="729" spans="1:23" hidden="1" x14ac:dyDescent="0.3">
      <c r="A729" t="s">
        <v>1629</v>
      </c>
      <c r="B729" t="s">
        <v>1630</v>
      </c>
      <c r="C729" t="s">
        <v>28</v>
      </c>
      <c r="D729" t="s">
        <v>20</v>
      </c>
      <c r="E729" t="s">
        <v>21</v>
      </c>
      <c r="F729" t="s">
        <v>54</v>
      </c>
      <c r="G729" t="s">
        <v>94</v>
      </c>
      <c r="H729" t="s">
        <v>56</v>
      </c>
      <c r="I729" t="s">
        <v>7</v>
      </c>
      <c r="J729" t="s">
        <v>95</v>
      </c>
      <c r="K729" t="s">
        <v>96</v>
      </c>
      <c r="L729" t="s">
        <v>59</v>
      </c>
      <c r="M729">
        <v>49</v>
      </c>
      <c r="N729" t="b">
        <v>1</v>
      </c>
      <c r="O729">
        <v>0.71721311475409844</v>
      </c>
      <c r="R729" t="s">
        <v>670</v>
      </c>
      <c r="S729" t="s">
        <v>1885</v>
      </c>
      <c r="T729" t="s">
        <v>1886</v>
      </c>
      <c r="U729" t="b">
        <v>1</v>
      </c>
      <c r="V729" t="s">
        <v>63</v>
      </c>
      <c r="W729">
        <v>0.7</v>
      </c>
    </row>
    <row r="730" spans="1:23" hidden="1" x14ac:dyDescent="0.3">
      <c r="A730" t="s">
        <v>1629</v>
      </c>
      <c r="B730" t="s">
        <v>1630</v>
      </c>
      <c r="C730" t="s">
        <v>28</v>
      </c>
      <c r="D730" t="s">
        <v>20</v>
      </c>
      <c r="E730" t="s">
        <v>21</v>
      </c>
      <c r="F730" t="s">
        <v>54</v>
      </c>
      <c r="G730" t="s">
        <v>99</v>
      </c>
      <c r="H730" t="s">
        <v>56</v>
      </c>
      <c r="I730" t="s">
        <v>7</v>
      </c>
      <c r="J730" t="s">
        <v>100</v>
      </c>
      <c r="K730" t="s">
        <v>101</v>
      </c>
      <c r="L730" t="s">
        <v>59</v>
      </c>
      <c r="M730">
        <v>50</v>
      </c>
      <c r="N730" t="b">
        <v>1</v>
      </c>
      <c r="O730">
        <v>0.72573839662447248</v>
      </c>
      <c r="R730" t="s">
        <v>670</v>
      </c>
      <c r="S730" t="s">
        <v>1887</v>
      </c>
      <c r="T730" t="s">
        <v>1888</v>
      </c>
      <c r="U730" t="b">
        <v>1</v>
      </c>
      <c r="V730" t="s">
        <v>63</v>
      </c>
      <c r="W730">
        <v>0.6</v>
      </c>
    </row>
    <row r="731" spans="1:23" hidden="1" x14ac:dyDescent="0.3">
      <c r="A731" t="s">
        <v>1629</v>
      </c>
      <c r="B731" t="s">
        <v>1630</v>
      </c>
      <c r="C731" t="s">
        <v>28</v>
      </c>
      <c r="D731" t="s">
        <v>20</v>
      </c>
      <c r="E731" t="s">
        <v>21</v>
      </c>
      <c r="F731" t="s">
        <v>54</v>
      </c>
      <c r="G731" t="s">
        <v>104</v>
      </c>
      <c r="H731" t="s">
        <v>56</v>
      </c>
      <c r="I731" t="s">
        <v>7</v>
      </c>
      <c r="J731" t="s">
        <v>105</v>
      </c>
      <c r="K731" t="s">
        <v>106</v>
      </c>
      <c r="L731" t="s">
        <v>59</v>
      </c>
      <c r="M731">
        <v>51</v>
      </c>
      <c r="N731" t="b">
        <v>1</v>
      </c>
      <c r="O731">
        <v>0.46330275229357792</v>
      </c>
      <c r="R731" t="s">
        <v>670</v>
      </c>
      <c r="S731" t="s">
        <v>1889</v>
      </c>
      <c r="T731" t="s">
        <v>1890</v>
      </c>
      <c r="U731" t="b">
        <v>1</v>
      </c>
      <c r="V731" t="s">
        <v>63</v>
      </c>
      <c r="W731">
        <v>0.8</v>
      </c>
    </row>
    <row r="732" spans="1:23" hidden="1" x14ac:dyDescent="0.3">
      <c r="A732" t="s">
        <v>1629</v>
      </c>
      <c r="B732" t="s">
        <v>1630</v>
      </c>
      <c r="C732" t="s">
        <v>28</v>
      </c>
      <c r="D732" t="s">
        <v>20</v>
      </c>
      <c r="E732" t="s">
        <v>21</v>
      </c>
      <c r="F732" t="s">
        <v>54</v>
      </c>
      <c r="G732" t="s">
        <v>109</v>
      </c>
      <c r="H732" t="s">
        <v>56</v>
      </c>
      <c r="I732" t="s">
        <v>7</v>
      </c>
      <c r="J732" t="s">
        <v>110</v>
      </c>
      <c r="K732" t="s">
        <v>111</v>
      </c>
      <c r="L732" t="s">
        <v>59</v>
      </c>
      <c r="M732">
        <v>52</v>
      </c>
      <c r="N732" t="b">
        <v>1</v>
      </c>
      <c r="O732">
        <v>0.72842105263157886</v>
      </c>
      <c r="R732" t="s">
        <v>670</v>
      </c>
      <c r="S732" t="s">
        <v>1891</v>
      </c>
      <c r="T732" t="s">
        <v>1892</v>
      </c>
      <c r="U732" t="b">
        <v>1</v>
      </c>
      <c r="V732" t="s">
        <v>63</v>
      </c>
      <c r="W732">
        <v>0.9</v>
      </c>
    </row>
    <row r="733" spans="1:23" hidden="1" x14ac:dyDescent="0.3">
      <c r="A733" t="s">
        <v>1629</v>
      </c>
      <c r="B733" t="s">
        <v>1630</v>
      </c>
      <c r="C733" t="s">
        <v>28</v>
      </c>
      <c r="D733" t="s">
        <v>20</v>
      </c>
      <c r="E733" t="s">
        <v>21</v>
      </c>
      <c r="F733" t="s">
        <v>54</v>
      </c>
      <c r="G733" t="s">
        <v>114</v>
      </c>
      <c r="H733" t="s">
        <v>56</v>
      </c>
      <c r="I733" t="s">
        <v>7</v>
      </c>
      <c r="J733" t="s">
        <v>115</v>
      </c>
      <c r="K733" t="s">
        <v>116</v>
      </c>
      <c r="L733" t="s">
        <v>59</v>
      </c>
      <c r="M733">
        <v>53</v>
      </c>
      <c r="N733" t="b">
        <v>1</v>
      </c>
      <c r="O733">
        <v>0.47479674796747973</v>
      </c>
      <c r="R733" t="s">
        <v>670</v>
      </c>
      <c r="S733" t="s">
        <v>1893</v>
      </c>
      <c r="T733" t="s">
        <v>1894</v>
      </c>
      <c r="U733" t="b">
        <v>1</v>
      </c>
      <c r="V733" t="s">
        <v>63</v>
      </c>
      <c r="W733">
        <v>0.7</v>
      </c>
    </row>
    <row r="734" spans="1:23" hidden="1" x14ac:dyDescent="0.3">
      <c r="A734" t="s">
        <v>1629</v>
      </c>
      <c r="B734" t="s">
        <v>1630</v>
      </c>
      <c r="C734" t="s">
        <v>28</v>
      </c>
      <c r="D734" t="s">
        <v>20</v>
      </c>
      <c r="E734" t="s">
        <v>21</v>
      </c>
      <c r="F734" t="s">
        <v>54</v>
      </c>
      <c r="G734" t="s">
        <v>119</v>
      </c>
      <c r="H734" t="s">
        <v>56</v>
      </c>
      <c r="I734" t="s">
        <v>7</v>
      </c>
      <c r="J734" t="s">
        <v>120</v>
      </c>
      <c r="K734" t="s">
        <v>121</v>
      </c>
      <c r="L734" t="s">
        <v>59</v>
      </c>
      <c r="M734">
        <v>54</v>
      </c>
      <c r="N734" t="b">
        <v>1</v>
      </c>
      <c r="O734">
        <v>0.51152073732718906</v>
      </c>
      <c r="R734" t="s">
        <v>670</v>
      </c>
      <c r="S734" t="s">
        <v>1895</v>
      </c>
      <c r="T734" t="s">
        <v>1896</v>
      </c>
      <c r="U734" t="b">
        <v>1</v>
      </c>
      <c r="V734" t="s">
        <v>63</v>
      </c>
      <c r="W734">
        <v>1</v>
      </c>
    </row>
    <row r="735" spans="1:23" hidden="1" x14ac:dyDescent="0.3">
      <c r="A735" t="s">
        <v>1629</v>
      </c>
      <c r="B735" t="s">
        <v>1630</v>
      </c>
      <c r="C735" t="s">
        <v>28</v>
      </c>
      <c r="D735" t="s">
        <v>20</v>
      </c>
      <c r="E735" t="s">
        <v>21</v>
      </c>
      <c r="F735" t="s">
        <v>54</v>
      </c>
      <c r="G735" t="s">
        <v>124</v>
      </c>
      <c r="H735" t="s">
        <v>56</v>
      </c>
      <c r="I735" t="s">
        <v>7</v>
      </c>
      <c r="J735" t="s">
        <v>125</v>
      </c>
      <c r="K735" t="s">
        <v>126</v>
      </c>
      <c r="L735" t="s">
        <v>59</v>
      </c>
      <c r="M735">
        <v>55</v>
      </c>
      <c r="N735" t="b">
        <v>1</v>
      </c>
      <c r="O735">
        <v>0.53452115812917589</v>
      </c>
      <c r="R735" t="s">
        <v>670</v>
      </c>
      <c r="S735" t="s">
        <v>1897</v>
      </c>
      <c r="T735" t="s">
        <v>1898</v>
      </c>
      <c r="U735" t="b">
        <v>1</v>
      </c>
      <c r="V735" t="s">
        <v>63</v>
      </c>
      <c r="W735">
        <v>0.7</v>
      </c>
    </row>
    <row r="736" spans="1:23" hidden="1" x14ac:dyDescent="0.3">
      <c r="A736" t="s">
        <v>1629</v>
      </c>
      <c r="B736" t="s">
        <v>1630</v>
      </c>
      <c r="C736" t="s">
        <v>28</v>
      </c>
      <c r="D736" t="s">
        <v>20</v>
      </c>
      <c r="E736" t="s">
        <v>21</v>
      </c>
      <c r="F736" t="s">
        <v>54</v>
      </c>
      <c r="G736" t="s">
        <v>129</v>
      </c>
      <c r="H736" t="s">
        <v>56</v>
      </c>
      <c r="I736" t="s">
        <v>7</v>
      </c>
      <c r="J736" t="s">
        <v>130</v>
      </c>
      <c r="K736" t="s">
        <v>131</v>
      </c>
      <c r="L736" t="s">
        <v>59</v>
      </c>
      <c r="M736">
        <v>56</v>
      </c>
      <c r="N736" t="b">
        <v>1</v>
      </c>
      <c r="O736">
        <v>0.73706004140786752</v>
      </c>
      <c r="R736" t="s">
        <v>670</v>
      </c>
      <c r="S736" t="s">
        <v>1899</v>
      </c>
      <c r="T736" t="s">
        <v>1900</v>
      </c>
      <c r="U736" t="b">
        <v>1</v>
      </c>
      <c r="V736" t="s">
        <v>63</v>
      </c>
      <c r="W736">
        <v>0.6</v>
      </c>
    </row>
    <row r="737" spans="1:23" hidden="1" x14ac:dyDescent="0.3">
      <c r="A737" t="s">
        <v>1629</v>
      </c>
      <c r="B737" t="s">
        <v>1630</v>
      </c>
      <c r="C737" t="s">
        <v>28</v>
      </c>
      <c r="D737" t="s">
        <v>20</v>
      </c>
      <c r="E737" t="s">
        <v>21</v>
      </c>
      <c r="F737" t="s">
        <v>54</v>
      </c>
      <c r="G737" t="s">
        <v>134</v>
      </c>
      <c r="H737" t="s">
        <v>56</v>
      </c>
      <c r="I737" t="s">
        <v>7</v>
      </c>
      <c r="J737" t="s">
        <v>135</v>
      </c>
      <c r="K737" t="s">
        <v>136</v>
      </c>
      <c r="L737" t="s">
        <v>59</v>
      </c>
      <c r="M737">
        <v>57</v>
      </c>
      <c r="N737" t="b">
        <v>1</v>
      </c>
      <c r="O737">
        <v>0.54337899543378987</v>
      </c>
      <c r="R737" t="s">
        <v>670</v>
      </c>
      <c r="S737" t="s">
        <v>1901</v>
      </c>
      <c r="T737" t="s">
        <v>1902</v>
      </c>
      <c r="U737" t="b">
        <v>1</v>
      </c>
      <c r="V737" t="s">
        <v>63</v>
      </c>
      <c r="W737">
        <v>0.7</v>
      </c>
    </row>
    <row r="738" spans="1:23" hidden="1" x14ac:dyDescent="0.3">
      <c r="A738" t="s">
        <v>1629</v>
      </c>
      <c r="B738" t="s">
        <v>1630</v>
      </c>
      <c r="C738" t="s">
        <v>28</v>
      </c>
      <c r="D738" t="s">
        <v>20</v>
      </c>
      <c r="E738" t="s">
        <v>21</v>
      </c>
      <c r="F738" t="s">
        <v>54</v>
      </c>
      <c r="G738" t="s">
        <v>139</v>
      </c>
      <c r="H738" t="s">
        <v>56</v>
      </c>
      <c r="I738" t="s">
        <v>7</v>
      </c>
      <c r="J738" t="s">
        <v>140</v>
      </c>
      <c r="K738" t="s">
        <v>141</v>
      </c>
      <c r="L738" t="s">
        <v>59</v>
      </c>
      <c r="M738">
        <v>58</v>
      </c>
      <c r="N738" t="b">
        <v>1</v>
      </c>
      <c r="O738">
        <v>0.73794549266247378</v>
      </c>
      <c r="R738" t="s">
        <v>670</v>
      </c>
      <c r="S738" t="s">
        <v>1903</v>
      </c>
      <c r="T738" t="s">
        <v>1904</v>
      </c>
      <c r="U738" t="b">
        <v>1</v>
      </c>
      <c r="V738" t="s">
        <v>63</v>
      </c>
      <c r="W738">
        <v>0.6</v>
      </c>
    </row>
    <row r="739" spans="1:23" hidden="1" x14ac:dyDescent="0.3">
      <c r="A739" t="s">
        <v>1629</v>
      </c>
      <c r="B739" t="s">
        <v>1630</v>
      </c>
      <c r="C739" t="s">
        <v>28</v>
      </c>
      <c r="D739" t="s">
        <v>20</v>
      </c>
      <c r="E739" t="s">
        <v>21</v>
      </c>
      <c r="F739" t="s">
        <v>54</v>
      </c>
      <c r="G739" t="s">
        <v>144</v>
      </c>
      <c r="H739" t="s">
        <v>56</v>
      </c>
      <c r="I739" t="s">
        <v>7</v>
      </c>
      <c r="J739" t="s">
        <v>145</v>
      </c>
      <c r="K739" t="s">
        <v>146</v>
      </c>
      <c r="L739" t="s">
        <v>59</v>
      </c>
      <c r="M739">
        <v>59</v>
      </c>
      <c r="N739" t="b">
        <v>1</v>
      </c>
      <c r="O739">
        <v>0.71900826446280985</v>
      </c>
      <c r="R739" t="s">
        <v>670</v>
      </c>
      <c r="S739" t="s">
        <v>1905</v>
      </c>
      <c r="T739" t="s">
        <v>1906</v>
      </c>
      <c r="U739" t="b">
        <v>1</v>
      </c>
      <c r="V739" t="s">
        <v>63</v>
      </c>
      <c r="W739">
        <v>0.6</v>
      </c>
    </row>
    <row r="740" spans="1:23" hidden="1" x14ac:dyDescent="0.3">
      <c r="A740" t="s">
        <v>1629</v>
      </c>
      <c r="B740" t="s">
        <v>1630</v>
      </c>
      <c r="C740" t="s">
        <v>28</v>
      </c>
      <c r="D740" t="s">
        <v>20</v>
      </c>
      <c r="E740" t="s">
        <v>21</v>
      </c>
      <c r="F740" t="s">
        <v>54</v>
      </c>
      <c r="G740" t="s">
        <v>149</v>
      </c>
      <c r="H740" t="s">
        <v>56</v>
      </c>
      <c r="I740" t="s">
        <v>7</v>
      </c>
      <c r="J740" t="s">
        <v>150</v>
      </c>
      <c r="K740" t="s">
        <v>151</v>
      </c>
      <c r="L740" t="s">
        <v>59</v>
      </c>
      <c r="M740">
        <v>60</v>
      </c>
      <c r="N740" t="b">
        <v>1</v>
      </c>
      <c r="O740">
        <v>0.59245283018867922</v>
      </c>
      <c r="R740" t="s">
        <v>670</v>
      </c>
      <c r="S740" t="s">
        <v>1907</v>
      </c>
      <c r="T740" t="s">
        <v>1908</v>
      </c>
      <c r="U740" t="b">
        <v>1</v>
      </c>
      <c r="V740" t="s">
        <v>63</v>
      </c>
      <c r="W740">
        <v>0.9</v>
      </c>
    </row>
    <row r="741" spans="1:23" hidden="1" x14ac:dyDescent="0.3">
      <c r="A741" t="s">
        <v>1629</v>
      </c>
      <c r="B741" t="s">
        <v>1630</v>
      </c>
      <c r="C741" t="s">
        <v>28</v>
      </c>
      <c r="D741" t="s">
        <v>20</v>
      </c>
      <c r="E741" t="s">
        <v>21</v>
      </c>
      <c r="F741" t="s">
        <v>54</v>
      </c>
      <c r="G741" t="s">
        <v>154</v>
      </c>
      <c r="H741" t="s">
        <v>56</v>
      </c>
      <c r="I741" t="s">
        <v>7</v>
      </c>
      <c r="J741" t="s">
        <v>155</v>
      </c>
      <c r="K741" t="s">
        <v>156</v>
      </c>
      <c r="L741" t="s">
        <v>59</v>
      </c>
      <c r="M741">
        <v>61</v>
      </c>
      <c r="N741" t="b">
        <v>1</v>
      </c>
      <c r="O741">
        <v>0.52868852459016391</v>
      </c>
      <c r="R741" t="s">
        <v>670</v>
      </c>
      <c r="S741" t="s">
        <v>1909</v>
      </c>
      <c r="T741" t="s">
        <v>1910</v>
      </c>
      <c r="U741" t="b">
        <v>1</v>
      </c>
      <c r="V741" t="s">
        <v>63</v>
      </c>
      <c r="W741">
        <v>0.7</v>
      </c>
    </row>
    <row r="742" spans="1:23" hidden="1" x14ac:dyDescent="0.3">
      <c r="A742" t="s">
        <v>1629</v>
      </c>
      <c r="B742" t="s">
        <v>1630</v>
      </c>
      <c r="C742" t="s">
        <v>28</v>
      </c>
      <c r="D742" t="s">
        <v>20</v>
      </c>
      <c r="E742" t="s">
        <v>21</v>
      </c>
      <c r="F742" t="s">
        <v>54</v>
      </c>
      <c r="G742" t="s">
        <v>159</v>
      </c>
      <c r="H742" t="s">
        <v>160</v>
      </c>
      <c r="I742" t="s">
        <v>3</v>
      </c>
      <c r="J742" t="s">
        <v>161</v>
      </c>
      <c r="K742" t="s">
        <v>162</v>
      </c>
      <c r="L742" t="s">
        <v>163</v>
      </c>
      <c r="M742">
        <v>42</v>
      </c>
      <c r="N742" t="b">
        <v>0</v>
      </c>
      <c r="O742">
        <v>0.45014245014245008</v>
      </c>
      <c r="R742" t="s">
        <v>670</v>
      </c>
      <c r="S742" t="s">
        <v>1911</v>
      </c>
      <c r="T742" t="s">
        <v>1912</v>
      </c>
      <c r="U742" t="b">
        <v>1</v>
      </c>
      <c r="V742" t="s">
        <v>63</v>
      </c>
      <c r="W742">
        <v>0.8</v>
      </c>
    </row>
    <row r="743" spans="1:23" hidden="1" x14ac:dyDescent="0.3">
      <c r="A743" t="s">
        <v>1629</v>
      </c>
      <c r="B743" t="s">
        <v>1630</v>
      </c>
      <c r="C743" t="s">
        <v>28</v>
      </c>
      <c r="D743" t="s">
        <v>20</v>
      </c>
      <c r="E743" t="s">
        <v>21</v>
      </c>
      <c r="F743" t="s">
        <v>54</v>
      </c>
      <c r="G743" t="s">
        <v>166</v>
      </c>
      <c r="H743" t="s">
        <v>160</v>
      </c>
      <c r="I743" t="s">
        <v>3</v>
      </c>
      <c r="J743" t="s">
        <v>167</v>
      </c>
      <c r="K743" t="s">
        <v>168</v>
      </c>
      <c r="L743" t="s">
        <v>163</v>
      </c>
      <c r="M743">
        <v>43</v>
      </c>
      <c r="N743" t="b">
        <v>0</v>
      </c>
      <c r="O743">
        <v>0.60773480662983426</v>
      </c>
      <c r="R743" t="s">
        <v>670</v>
      </c>
      <c r="S743" t="s">
        <v>1913</v>
      </c>
      <c r="T743" t="s">
        <v>1914</v>
      </c>
      <c r="U743" t="b">
        <v>1</v>
      </c>
      <c r="V743" t="s">
        <v>63</v>
      </c>
      <c r="W743">
        <v>0.6</v>
      </c>
    </row>
    <row r="744" spans="1:23" hidden="1" x14ac:dyDescent="0.3">
      <c r="A744" t="s">
        <v>1629</v>
      </c>
      <c r="B744" t="s">
        <v>1630</v>
      </c>
      <c r="C744" t="s">
        <v>28</v>
      </c>
      <c r="D744" t="s">
        <v>20</v>
      </c>
      <c r="E744" t="s">
        <v>21</v>
      </c>
      <c r="F744" t="s">
        <v>54</v>
      </c>
      <c r="G744" t="s">
        <v>171</v>
      </c>
      <c r="H744" t="s">
        <v>160</v>
      </c>
      <c r="I744" t="s">
        <v>3</v>
      </c>
      <c r="J744" t="s">
        <v>172</v>
      </c>
      <c r="K744" t="s">
        <v>173</v>
      </c>
      <c r="L744" t="s">
        <v>163</v>
      </c>
      <c r="M744">
        <v>44</v>
      </c>
      <c r="N744" t="b">
        <v>0</v>
      </c>
      <c r="O744">
        <v>0.58133333333333337</v>
      </c>
      <c r="R744" t="s">
        <v>670</v>
      </c>
      <c r="S744" t="s">
        <v>1915</v>
      </c>
      <c r="T744" t="s">
        <v>1916</v>
      </c>
      <c r="U744" t="b">
        <v>1</v>
      </c>
      <c r="V744" t="s">
        <v>63</v>
      </c>
      <c r="W744">
        <v>1</v>
      </c>
    </row>
    <row r="745" spans="1:23" hidden="1" x14ac:dyDescent="0.3">
      <c r="A745" t="s">
        <v>1629</v>
      </c>
      <c r="B745" t="s">
        <v>1630</v>
      </c>
      <c r="C745" t="s">
        <v>28</v>
      </c>
      <c r="D745" t="s">
        <v>20</v>
      </c>
      <c r="E745" t="s">
        <v>21</v>
      </c>
      <c r="F745" t="s">
        <v>54</v>
      </c>
      <c r="G745" t="s">
        <v>176</v>
      </c>
      <c r="H745" t="s">
        <v>160</v>
      </c>
      <c r="I745" t="s">
        <v>3</v>
      </c>
      <c r="J745" t="s">
        <v>177</v>
      </c>
      <c r="K745" t="s">
        <v>178</v>
      </c>
      <c r="L745" t="s">
        <v>163</v>
      </c>
      <c r="M745">
        <v>45</v>
      </c>
      <c r="N745" t="b">
        <v>0</v>
      </c>
      <c r="O745">
        <v>0.67024128686327078</v>
      </c>
      <c r="R745" t="s">
        <v>670</v>
      </c>
      <c r="S745" t="s">
        <v>1917</v>
      </c>
      <c r="T745" t="s">
        <v>1918</v>
      </c>
      <c r="U745" t="b">
        <v>1</v>
      </c>
      <c r="V745" t="s">
        <v>63</v>
      </c>
      <c r="W745">
        <v>0.6</v>
      </c>
    </row>
    <row r="746" spans="1:23" hidden="1" x14ac:dyDescent="0.3">
      <c r="A746" t="s">
        <v>1629</v>
      </c>
      <c r="B746" t="s">
        <v>1630</v>
      </c>
      <c r="C746" t="s">
        <v>28</v>
      </c>
      <c r="D746" t="s">
        <v>20</v>
      </c>
      <c r="E746" t="s">
        <v>21</v>
      </c>
      <c r="F746" t="s">
        <v>54</v>
      </c>
      <c r="G746" t="s">
        <v>181</v>
      </c>
      <c r="H746" t="s">
        <v>160</v>
      </c>
      <c r="I746" t="s">
        <v>3</v>
      </c>
      <c r="J746" t="s">
        <v>182</v>
      </c>
      <c r="K746" t="s">
        <v>183</v>
      </c>
      <c r="L746" t="s">
        <v>163</v>
      </c>
      <c r="M746">
        <v>46</v>
      </c>
      <c r="N746" t="b">
        <v>0</v>
      </c>
      <c r="O746">
        <v>0.74316939890710376</v>
      </c>
      <c r="R746" t="s">
        <v>670</v>
      </c>
      <c r="S746" t="s">
        <v>1919</v>
      </c>
      <c r="T746" t="s">
        <v>1920</v>
      </c>
      <c r="U746" t="b">
        <v>1</v>
      </c>
      <c r="V746" t="s">
        <v>63</v>
      </c>
      <c r="W746">
        <v>2.5</v>
      </c>
    </row>
    <row r="747" spans="1:23" hidden="1" x14ac:dyDescent="0.3">
      <c r="A747" t="s">
        <v>1629</v>
      </c>
      <c r="B747" t="s">
        <v>1630</v>
      </c>
      <c r="C747" t="s">
        <v>28</v>
      </c>
      <c r="D747" t="s">
        <v>20</v>
      </c>
      <c r="E747" t="s">
        <v>21</v>
      </c>
      <c r="F747" t="s">
        <v>54</v>
      </c>
      <c r="G747" t="s">
        <v>186</v>
      </c>
      <c r="H747" t="s">
        <v>160</v>
      </c>
      <c r="I747" t="s">
        <v>3</v>
      </c>
      <c r="J747" t="s">
        <v>187</v>
      </c>
      <c r="K747" t="s">
        <v>188</v>
      </c>
      <c r="L747" t="s">
        <v>163</v>
      </c>
      <c r="M747">
        <v>47</v>
      </c>
      <c r="N747" t="b">
        <v>0</v>
      </c>
      <c r="O747">
        <v>0.76373626373626369</v>
      </c>
      <c r="R747" t="s">
        <v>670</v>
      </c>
      <c r="S747" t="s">
        <v>1921</v>
      </c>
      <c r="T747" t="s">
        <v>1922</v>
      </c>
      <c r="U747" t="b">
        <v>1</v>
      </c>
      <c r="V747" t="s">
        <v>63</v>
      </c>
      <c r="W747">
        <v>0.6</v>
      </c>
    </row>
    <row r="748" spans="1:23" hidden="1" x14ac:dyDescent="0.3">
      <c r="A748" t="s">
        <v>1629</v>
      </c>
      <c r="B748" t="s">
        <v>1630</v>
      </c>
      <c r="C748" t="s">
        <v>28</v>
      </c>
      <c r="D748" t="s">
        <v>20</v>
      </c>
      <c r="E748" t="s">
        <v>21</v>
      </c>
      <c r="F748" t="s">
        <v>54</v>
      </c>
      <c r="G748" t="s">
        <v>191</v>
      </c>
      <c r="H748" t="s">
        <v>160</v>
      </c>
      <c r="I748" t="s">
        <v>3</v>
      </c>
      <c r="J748" t="s">
        <v>192</v>
      </c>
      <c r="K748" t="s">
        <v>193</v>
      </c>
      <c r="L748" t="s">
        <v>163</v>
      </c>
      <c r="M748">
        <v>48</v>
      </c>
      <c r="N748" t="b">
        <v>0</v>
      </c>
      <c r="O748">
        <v>0.70985915492957752</v>
      </c>
      <c r="R748" t="s">
        <v>670</v>
      </c>
      <c r="S748" t="s">
        <v>1923</v>
      </c>
      <c r="T748" t="s">
        <v>1924</v>
      </c>
      <c r="U748" t="b">
        <v>1</v>
      </c>
      <c r="V748" t="s">
        <v>63</v>
      </c>
      <c r="W748">
        <v>0.6</v>
      </c>
    </row>
    <row r="749" spans="1:23" hidden="1" x14ac:dyDescent="0.3">
      <c r="A749" t="s">
        <v>1629</v>
      </c>
      <c r="B749" t="s">
        <v>1630</v>
      </c>
      <c r="C749" t="s">
        <v>28</v>
      </c>
      <c r="D749" t="s">
        <v>20</v>
      </c>
      <c r="E749" t="s">
        <v>21</v>
      </c>
      <c r="F749" t="s">
        <v>54</v>
      </c>
      <c r="G749" t="s">
        <v>196</v>
      </c>
      <c r="H749" t="s">
        <v>160</v>
      </c>
      <c r="I749" t="s">
        <v>3</v>
      </c>
      <c r="J749" t="s">
        <v>197</v>
      </c>
      <c r="K749" t="s">
        <v>198</v>
      </c>
      <c r="L749" t="s">
        <v>163</v>
      </c>
      <c r="M749">
        <v>49</v>
      </c>
      <c r="N749" t="b">
        <v>0</v>
      </c>
      <c r="O749">
        <v>0.40883977900552487</v>
      </c>
      <c r="R749" t="s">
        <v>670</v>
      </c>
      <c r="S749" t="s">
        <v>1925</v>
      </c>
      <c r="T749" t="s">
        <v>1926</v>
      </c>
      <c r="U749" t="b">
        <v>1</v>
      </c>
      <c r="V749" t="s">
        <v>63</v>
      </c>
      <c r="W749">
        <v>0.9</v>
      </c>
    </row>
    <row r="750" spans="1:23" hidden="1" x14ac:dyDescent="0.3">
      <c r="A750" t="s">
        <v>1629</v>
      </c>
      <c r="B750" t="s">
        <v>1630</v>
      </c>
      <c r="C750" t="s">
        <v>28</v>
      </c>
      <c r="D750" t="s">
        <v>20</v>
      </c>
      <c r="E750" t="s">
        <v>21</v>
      </c>
      <c r="F750" t="s">
        <v>54</v>
      </c>
      <c r="G750" t="s">
        <v>201</v>
      </c>
      <c r="H750" t="s">
        <v>160</v>
      </c>
      <c r="I750" t="s">
        <v>3</v>
      </c>
      <c r="J750" t="s">
        <v>202</v>
      </c>
      <c r="K750" t="s">
        <v>203</v>
      </c>
      <c r="L750" t="s">
        <v>163</v>
      </c>
      <c r="M750">
        <v>50</v>
      </c>
      <c r="N750" t="b">
        <v>0</v>
      </c>
      <c r="O750">
        <v>0.72941176470588232</v>
      </c>
      <c r="R750" t="s">
        <v>670</v>
      </c>
      <c r="S750" t="s">
        <v>1927</v>
      </c>
      <c r="T750" t="s">
        <v>1928</v>
      </c>
      <c r="U750" t="b">
        <v>1</v>
      </c>
      <c r="V750" t="s">
        <v>63</v>
      </c>
      <c r="W750">
        <v>0.6</v>
      </c>
    </row>
    <row r="751" spans="1:23" hidden="1" x14ac:dyDescent="0.3">
      <c r="A751" t="s">
        <v>1629</v>
      </c>
      <c r="B751" t="s">
        <v>1630</v>
      </c>
      <c r="C751" t="s">
        <v>28</v>
      </c>
      <c r="D751" t="s">
        <v>20</v>
      </c>
      <c r="E751" t="s">
        <v>21</v>
      </c>
      <c r="F751" t="s">
        <v>54</v>
      </c>
      <c r="G751" t="s">
        <v>206</v>
      </c>
      <c r="H751" t="s">
        <v>160</v>
      </c>
      <c r="I751" t="s">
        <v>3</v>
      </c>
      <c r="J751" t="s">
        <v>207</v>
      </c>
      <c r="K751" t="s">
        <v>208</v>
      </c>
      <c r="L751" t="s">
        <v>163</v>
      </c>
      <c r="M751">
        <v>51</v>
      </c>
      <c r="N751" t="b">
        <v>0</v>
      </c>
      <c r="O751">
        <v>0.74094707520891367</v>
      </c>
      <c r="R751" t="s">
        <v>670</v>
      </c>
      <c r="S751" t="s">
        <v>1929</v>
      </c>
      <c r="T751" t="s">
        <v>1930</v>
      </c>
      <c r="U751" t="b">
        <v>1</v>
      </c>
      <c r="V751" t="s">
        <v>63</v>
      </c>
      <c r="W751">
        <v>0.6</v>
      </c>
    </row>
    <row r="752" spans="1:23" hidden="1" x14ac:dyDescent="0.3">
      <c r="A752" t="s">
        <v>1629</v>
      </c>
      <c r="B752" t="s">
        <v>1630</v>
      </c>
      <c r="C752" t="s">
        <v>28</v>
      </c>
      <c r="D752" t="s">
        <v>20</v>
      </c>
      <c r="E752" t="s">
        <v>21</v>
      </c>
      <c r="F752" t="s">
        <v>54</v>
      </c>
      <c r="G752" t="s">
        <v>211</v>
      </c>
      <c r="H752" t="s">
        <v>160</v>
      </c>
      <c r="I752" t="s">
        <v>3</v>
      </c>
      <c r="J752" t="s">
        <v>212</v>
      </c>
      <c r="K752" t="s">
        <v>213</v>
      </c>
      <c r="L752" t="s">
        <v>163</v>
      </c>
      <c r="M752">
        <v>52</v>
      </c>
      <c r="N752" t="b">
        <v>0</v>
      </c>
      <c r="O752">
        <v>0.56521739130434789</v>
      </c>
      <c r="R752" t="s">
        <v>670</v>
      </c>
      <c r="S752" t="s">
        <v>1931</v>
      </c>
      <c r="T752" t="s">
        <v>1932</v>
      </c>
      <c r="U752" t="b">
        <v>1</v>
      </c>
      <c r="V752" t="s">
        <v>63</v>
      </c>
      <c r="W752">
        <v>0.6</v>
      </c>
    </row>
    <row r="753" spans="1:23" hidden="1" x14ac:dyDescent="0.3">
      <c r="A753" t="s">
        <v>1629</v>
      </c>
      <c r="B753" t="s">
        <v>1630</v>
      </c>
      <c r="C753" t="s">
        <v>28</v>
      </c>
      <c r="D753" t="s">
        <v>20</v>
      </c>
      <c r="E753" t="s">
        <v>21</v>
      </c>
      <c r="F753" t="s">
        <v>54</v>
      </c>
      <c r="G753" t="s">
        <v>216</v>
      </c>
      <c r="H753" t="s">
        <v>160</v>
      </c>
      <c r="I753" t="s">
        <v>3</v>
      </c>
      <c r="J753" t="s">
        <v>217</v>
      </c>
      <c r="K753" t="s">
        <v>218</v>
      </c>
      <c r="L753" t="s">
        <v>163</v>
      </c>
      <c r="M753">
        <v>53</v>
      </c>
      <c r="N753" t="b">
        <v>0</v>
      </c>
      <c r="O753">
        <v>0.70523415977961423</v>
      </c>
      <c r="R753" t="s">
        <v>670</v>
      </c>
      <c r="S753" t="s">
        <v>1933</v>
      </c>
      <c r="T753" t="s">
        <v>1934</v>
      </c>
      <c r="U753" t="b">
        <v>1</v>
      </c>
      <c r="V753" t="s">
        <v>63</v>
      </c>
      <c r="W753">
        <v>0.7</v>
      </c>
    </row>
    <row r="754" spans="1:23" hidden="1" x14ac:dyDescent="0.3">
      <c r="A754" t="s">
        <v>1629</v>
      </c>
      <c r="B754" t="s">
        <v>1630</v>
      </c>
      <c r="C754" t="s">
        <v>28</v>
      </c>
      <c r="D754" t="s">
        <v>20</v>
      </c>
      <c r="E754" t="s">
        <v>21</v>
      </c>
      <c r="F754" t="s">
        <v>54</v>
      </c>
      <c r="G754" t="s">
        <v>221</v>
      </c>
      <c r="H754" t="s">
        <v>160</v>
      </c>
      <c r="I754" t="s">
        <v>3</v>
      </c>
      <c r="J754" t="s">
        <v>222</v>
      </c>
      <c r="K754" t="s">
        <v>223</v>
      </c>
      <c r="L754" t="s">
        <v>163</v>
      </c>
      <c r="M754">
        <v>54</v>
      </c>
      <c r="N754" t="b">
        <v>0</v>
      </c>
      <c r="O754">
        <v>0.72980501392757657</v>
      </c>
      <c r="R754" t="s">
        <v>670</v>
      </c>
      <c r="S754" t="s">
        <v>1935</v>
      </c>
      <c r="T754" t="s">
        <v>1936</v>
      </c>
      <c r="U754" t="b">
        <v>1</v>
      </c>
      <c r="V754" t="s">
        <v>63</v>
      </c>
      <c r="W754">
        <v>0.7</v>
      </c>
    </row>
    <row r="755" spans="1:23" hidden="1" x14ac:dyDescent="0.3">
      <c r="A755" t="s">
        <v>1629</v>
      </c>
      <c r="B755" t="s">
        <v>1630</v>
      </c>
      <c r="C755" t="s">
        <v>28</v>
      </c>
      <c r="D755" t="s">
        <v>20</v>
      </c>
      <c r="E755" t="s">
        <v>21</v>
      </c>
      <c r="F755" t="s">
        <v>54</v>
      </c>
      <c r="G755" t="s">
        <v>226</v>
      </c>
      <c r="H755" t="s">
        <v>160</v>
      </c>
      <c r="I755" t="s">
        <v>3</v>
      </c>
      <c r="J755" t="s">
        <v>227</v>
      </c>
      <c r="K755" t="s">
        <v>228</v>
      </c>
      <c r="L755" t="s">
        <v>163</v>
      </c>
      <c r="M755">
        <v>55</v>
      </c>
      <c r="N755" t="b">
        <v>0</v>
      </c>
      <c r="O755">
        <v>0.75616438356164384</v>
      </c>
      <c r="R755" t="s">
        <v>670</v>
      </c>
      <c r="S755" t="s">
        <v>1937</v>
      </c>
      <c r="T755" t="s">
        <v>1938</v>
      </c>
      <c r="U755" t="b">
        <v>1</v>
      </c>
      <c r="V755" t="s">
        <v>63</v>
      </c>
      <c r="W755">
        <v>0.6</v>
      </c>
    </row>
    <row r="756" spans="1:23" hidden="1" x14ac:dyDescent="0.3">
      <c r="A756" t="s">
        <v>1629</v>
      </c>
      <c r="B756" t="s">
        <v>1630</v>
      </c>
      <c r="C756" t="s">
        <v>28</v>
      </c>
      <c r="D756" t="s">
        <v>20</v>
      </c>
      <c r="E756" t="s">
        <v>21</v>
      </c>
      <c r="F756" t="s">
        <v>54</v>
      </c>
      <c r="G756" t="s">
        <v>231</v>
      </c>
      <c r="H756" t="s">
        <v>160</v>
      </c>
      <c r="I756" t="s">
        <v>3</v>
      </c>
      <c r="J756" t="s">
        <v>232</v>
      </c>
      <c r="K756" t="s">
        <v>233</v>
      </c>
      <c r="L756" t="s">
        <v>163</v>
      </c>
      <c r="M756">
        <v>56</v>
      </c>
      <c r="N756" t="b">
        <v>0</v>
      </c>
      <c r="O756">
        <v>0.72625698324022347</v>
      </c>
      <c r="R756" t="s">
        <v>670</v>
      </c>
      <c r="S756" t="s">
        <v>1939</v>
      </c>
      <c r="T756" t="s">
        <v>1940</v>
      </c>
      <c r="U756" t="b">
        <v>1</v>
      </c>
      <c r="V756" t="s">
        <v>63</v>
      </c>
      <c r="W756">
        <v>0.6</v>
      </c>
    </row>
    <row r="757" spans="1:23" hidden="1" x14ac:dyDescent="0.3">
      <c r="A757" t="s">
        <v>1629</v>
      </c>
      <c r="B757" t="s">
        <v>1630</v>
      </c>
      <c r="C757" t="s">
        <v>28</v>
      </c>
      <c r="D757" t="s">
        <v>20</v>
      </c>
      <c r="E757" t="s">
        <v>21</v>
      </c>
      <c r="F757" t="s">
        <v>54</v>
      </c>
      <c r="G757" t="s">
        <v>236</v>
      </c>
      <c r="H757" t="s">
        <v>160</v>
      </c>
      <c r="I757" t="s">
        <v>3</v>
      </c>
      <c r="J757" t="s">
        <v>237</v>
      </c>
      <c r="K757" t="s">
        <v>238</v>
      </c>
      <c r="L757" t="s">
        <v>163</v>
      </c>
      <c r="M757">
        <v>57</v>
      </c>
      <c r="N757" t="b">
        <v>0</v>
      </c>
      <c r="O757">
        <v>0.73829201101928377</v>
      </c>
      <c r="R757" t="s">
        <v>670</v>
      </c>
      <c r="S757" t="s">
        <v>1941</v>
      </c>
      <c r="T757" t="s">
        <v>1942</v>
      </c>
      <c r="U757" t="b">
        <v>1</v>
      </c>
      <c r="V757" t="s">
        <v>63</v>
      </c>
      <c r="W757">
        <v>0.6</v>
      </c>
    </row>
    <row r="758" spans="1:23" hidden="1" x14ac:dyDescent="0.3">
      <c r="A758" t="s">
        <v>1629</v>
      </c>
      <c r="B758" t="s">
        <v>1630</v>
      </c>
      <c r="C758" t="s">
        <v>28</v>
      </c>
      <c r="D758" t="s">
        <v>20</v>
      </c>
      <c r="E758" t="s">
        <v>21</v>
      </c>
      <c r="F758" t="s">
        <v>54</v>
      </c>
      <c r="G758" t="s">
        <v>241</v>
      </c>
      <c r="H758" t="s">
        <v>160</v>
      </c>
      <c r="I758" t="s">
        <v>3</v>
      </c>
      <c r="J758" t="s">
        <v>242</v>
      </c>
      <c r="K758" t="s">
        <v>243</v>
      </c>
      <c r="L758" t="s">
        <v>163</v>
      </c>
      <c r="M758">
        <v>58</v>
      </c>
      <c r="N758" t="b">
        <v>0</v>
      </c>
      <c r="O758">
        <v>0.51474530831099208</v>
      </c>
      <c r="R758" t="s">
        <v>670</v>
      </c>
      <c r="S758" t="s">
        <v>1943</v>
      </c>
      <c r="T758" t="s">
        <v>1944</v>
      </c>
      <c r="U758" t="b">
        <v>1</v>
      </c>
      <c r="V758" t="s">
        <v>63</v>
      </c>
      <c r="W758">
        <v>0.6</v>
      </c>
    </row>
    <row r="759" spans="1:23" hidden="1" x14ac:dyDescent="0.3">
      <c r="A759" t="s">
        <v>1629</v>
      </c>
      <c r="B759" t="s">
        <v>1630</v>
      </c>
      <c r="C759" t="s">
        <v>28</v>
      </c>
      <c r="D759" t="s">
        <v>20</v>
      </c>
      <c r="E759" t="s">
        <v>21</v>
      </c>
      <c r="F759" t="s">
        <v>54</v>
      </c>
      <c r="G759" t="s">
        <v>246</v>
      </c>
      <c r="H759" t="s">
        <v>160</v>
      </c>
      <c r="I759" t="s">
        <v>3</v>
      </c>
      <c r="J759" t="s">
        <v>247</v>
      </c>
      <c r="K759" t="s">
        <v>248</v>
      </c>
      <c r="L759" t="s">
        <v>163</v>
      </c>
      <c r="M759">
        <v>59</v>
      </c>
      <c r="N759" t="b">
        <v>0</v>
      </c>
      <c r="O759">
        <v>0.50645994832041352</v>
      </c>
      <c r="R759" t="s">
        <v>670</v>
      </c>
      <c r="S759" t="s">
        <v>1945</v>
      </c>
      <c r="T759" t="s">
        <v>1946</v>
      </c>
      <c r="U759" t="b">
        <v>1</v>
      </c>
      <c r="V759" t="s">
        <v>63</v>
      </c>
      <c r="W759">
        <v>0.6</v>
      </c>
    </row>
    <row r="760" spans="1:23" hidden="1" x14ac:dyDescent="0.3">
      <c r="A760" t="s">
        <v>1629</v>
      </c>
      <c r="B760" t="s">
        <v>1630</v>
      </c>
      <c r="C760" t="s">
        <v>28</v>
      </c>
      <c r="D760" t="s">
        <v>20</v>
      </c>
      <c r="E760" t="s">
        <v>21</v>
      </c>
      <c r="F760" t="s">
        <v>54</v>
      </c>
      <c r="G760" t="s">
        <v>251</v>
      </c>
      <c r="H760" t="s">
        <v>160</v>
      </c>
      <c r="I760" t="s">
        <v>3</v>
      </c>
      <c r="J760" t="s">
        <v>252</v>
      </c>
      <c r="K760" t="s">
        <v>253</v>
      </c>
      <c r="L760" t="s">
        <v>163</v>
      </c>
      <c r="M760">
        <v>60</v>
      </c>
      <c r="N760" t="b">
        <v>0</v>
      </c>
      <c r="O760">
        <v>0.57446808510638303</v>
      </c>
      <c r="R760" t="s">
        <v>670</v>
      </c>
      <c r="S760" t="s">
        <v>1947</v>
      </c>
      <c r="T760" t="s">
        <v>1948</v>
      </c>
      <c r="U760" t="b">
        <v>1</v>
      </c>
      <c r="V760" t="s">
        <v>63</v>
      </c>
      <c r="W760">
        <v>0.7</v>
      </c>
    </row>
    <row r="761" spans="1:23" hidden="1" x14ac:dyDescent="0.3">
      <c r="A761" t="s">
        <v>1629</v>
      </c>
      <c r="B761" t="s">
        <v>1630</v>
      </c>
      <c r="C761" t="s">
        <v>28</v>
      </c>
      <c r="D761" t="s">
        <v>20</v>
      </c>
      <c r="E761" t="s">
        <v>21</v>
      </c>
      <c r="F761" t="s">
        <v>54</v>
      </c>
      <c r="G761" t="s">
        <v>256</v>
      </c>
      <c r="H761" t="s">
        <v>160</v>
      </c>
      <c r="I761" t="s">
        <v>3</v>
      </c>
      <c r="J761" t="s">
        <v>257</v>
      </c>
      <c r="K761" t="s">
        <v>258</v>
      </c>
      <c r="L761" t="s">
        <v>163</v>
      </c>
      <c r="M761">
        <v>61</v>
      </c>
      <c r="N761" t="b">
        <v>0</v>
      </c>
      <c r="O761">
        <v>0.7189189189189189</v>
      </c>
      <c r="R761" t="s">
        <v>670</v>
      </c>
      <c r="S761" t="s">
        <v>1949</v>
      </c>
      <c r="T761" t="s">
        <v>1950</v>
      </c>
      <c r="U761" t="b">
        <v>1</v>
      </c>
      <c r="V761" t="s">
        <v>63</v>
      </c>
      <c r="W761">
        <v>0.6</v>
      </c>
    </row>
    <row r="762" spans="1:23" hidden="1" x14ac:dyDescent="0.3">
      <c r="A762" t="s">
        <v>1629</v>
      </c>
      <c r="B762" t="s">
        <v>1630</v>
      </c>
      <c r="C762" t="s">
        <v>28</v>
      </c>
      <c r="D762" t="s">
        <v>20</v>
      </c>
      <c r="E762" t="s">
        <v>21</v>
      </c>
      <c r="F762" t="s">
        <v>54</v>
      </c>
      <c r="G762" t="s">
        <v>261</v>
      </c>
      <c r="H762" t="s">
        <v>262</v>
      </c>
      <c r="I762" t="s">
        <v>5</v>
      </c>
      <c r="J762" t="s">
        <v>263</v>
      </c>
      <c r="K762" t="s">
        <v>264</v>
      </c>
      <c r="L762" t="s">
        <v>265</v>
      </c>
      <c r="M762">
        <v>42</v>
      </c>
      <c r="N762" t="b">
        <v>0</v>
      </c>
      <c r="O762">
        <v>0.56587473002159827</v>
      </c>
      <c r="R762" t="s">
        <v>670</v>
      </c>
      <c r="S762" t="s">
        <v>1951</v>
      </c>
      <c r="T762" t="s">
        <v>1952</v>
      </c>
      <c r="U762" t="b">
        <v>1</v>
      </c>
      <c r="V762" t="s">
        <v>63</v>
      </c>
      <c r="W762">
        <v>0.7</v>
      </c>
    </row>
    <row r="763" spans="1:23" hidden="1" x14ac:dyDescent="0.3">
      <c r="A763" t="s">
        <v>1629</v>
      </c>
      <c r="B763" t="s">
        <v>1630</v>
      </c>
      <c r="C763" t="s">
        <v>28</v>
      </c>
      <c r="D763" t="s">
        <v>20</v>
      </c>
      <c r="E763" t="s">
        <v>21</v>
      </c>
      <c r="F763" t="s">
        <v>54</v>
      </c>
      <c r="G763" t="s">
        <v>268</v>
      </c>
      <c r="H763" t="s">
        <v>262</v>
      </c>
      <c r="I763" t="s">
        <v>5</v>
      </c>
      <c r="J763" t="s">
        <v>269</v>
      </c>
      <c r="K763" t="s">
        <v>270</v>
      </c>
      <c r="L763" t="s">
        <v>265</v>
      </c>
      <c r="M763">
        <v>43</v>
      </c>
      <c r="N763" t="b">
        <v>0</v>
      </c>
      <c r="O763">
        <v>0.43146067415730338</v>
      </c>
      <c r="R763" t="s">
        <v>670</v>
      </c>
      <c r="S763" t="s">
        <v>1953</v>
      </c>
      <c r="T763" t="s">
        <v>1954</v>
      </c>
      <c r="U763" t="b">
        <v>1</v>
      </c>
      <c r="V763" t="s">
        <v>63</v>
      </c>
      <c r="W763">
        <v>0.6</v>
      </c>
    </row>
    <row r="764" spans="1:23" hidden="1" x14ac:dyDescent="0.3">
      <c r="A764" t="s">
        <v>1629</v>
      </c>
      <c r="B764" t="s">
        <v>1630</v>
      </c>
      <c r="C764" t="s">
        <v>28</v>
      </c>
      <c r="D764" t="s">
        <v>20</v>
      </c>
      <c r="E764" t="s">
        <v>21</v>
      </c>
      <c r="F764" t="s">
        <v>54</v>
      </c>
      <c r="G764" t="s">
        <v>273</v>
      </c>
      <c r="H764" t="s">
        <v>262</v>
      </c>
      <c r="I764" t="s">
        <v>5</v>
      </c>
      <c r="J764" t="s">
        <v>274</v>
      </c>
      <c r="K764" t="s">
        <v>275</v>
      </c>
      <c r="L764" t="s">
        <v>265</v>
      </c>
      <c r="M764">
        <v>44</v>
      </c>
      <c r="N764" t="b">
        <v>0</v>
      </c>
      <c r="O764">
        <v>0.47659574468085097</v>
      </c>
      <c r="R764" t="s">
        <v>670</v>
      </c>
      <c r="S764" t="s">
        <v>1955</v>
      </c>
      <c r="T764" t="s">
        <v>1956</v>
      </c>
      <c r="U764" t="b">
        <v>1</v>
      </c>
      <c r="V764" t="s">
        <v>63</v>
      </c>
      <c r="W764">
        <v>0.7</v>
      </c>
    </row>
    <row r="765" spans="1:23" hidden="1" x14ac:dyDescent="0.3">
      <c r="A765" t="s">
        <v>1629</v>
      </c>
      <c r="B765" t="s">
        <v>1630</v>
      </c>
      <c r="C765" t="s">
        <v>28</v>
      </c>
      <c r="D765" t="s">
        <v>20</v>
      </c>
      <c r="E765" t="s">
        <v>21</v>
      </c>
      <c r="F765" t="s">
        <v>54</v>
      </c>
      <c r="G765" t="s">
        <v>278</v>
      </c>
      <c r="H765" t="s">
        <v>262</v>
      </c>
      <c r="I765" t="s">
        <v>5</v>
      </c>
      <c r="J765" t="s">
        <v>279</v>
      </c>
      <c r="K765" t="s">
        <v>280</v>
      </c>
      <c r="L765" t="s">
        <v>265</v>
      </c>
      <c r="M765">
        <v>45</v>
      </c>
      <c r="N765" t="b">
        <v>0</v>
      </c>
      <c r="O765">
        <v>0.7543103448275863</v>
      </c>
      <c r="R765" t="s">
        <v>670</v>
      </c>
      <c r="S765" t="s">
        <v>1957</v>
      </c>
      <c r="T765" t="s">
        <v>1958</v>
      </c>
      <c r="U765" t="b">
        <v>1</v>
      </c>
      <c r="V765" t="s">
        <v>63</v>
      </c>
      <c r="W765">
        <v>0.9</v>
      </c>
    </row>
    <row r="766" spans="1:23" hidden="1" x14ac:dyDescent="0.3">
      <c r="A766" t="s">
        <v>1629</v>
      </c>
      <c r="B766" t="s">
        <v>1630</v>
      </c>
      <c r="C766" t="s">
        <v>28</v>
      </c>
      <c r="D766" t="s">
        <v>20</v>
      </c>
      <c r="E766" t="s">
        <v>21</v>
      </c>
      <c r="F766" t="s">
        <v>54</v>
      </c>
      <c r="G766" t="s">
        <v>283</v>
      </c>
      <c r="H766" t="s">
        <v>262</v>
      </c>
      <c r="I766" t="s">
        <v>5</v>
      </c>
      <c r="J766" t="s">
        <v>284</v>
      </c>
      <c r="K766" t="s">
        <v>285</v>
      </c>
      <c r="L766" t="s">
        <v>265</v>
      </c>
      <c r="M766">
        <v>46</v>
      </c>
      <c r="N766" t="b">
        <v>0</v>
      </c>
      <c r="O766">
        <v>0.75488069414316694</v>
      </c>
      <c r="R766" t="s">
        <v>670</v>
      </c>
      <c r="S766" t="s">
        <v>1959</v>
      </c>
      <c r="T766" t="s">
        <v>1960</v>
      </c>
      <c r="U766" t="b">
        <v>1</v>
      </c>
      <c r="V766" t="s">
        <v>63</v>
      </c>
      <c r="W766">
        <v>0.6</v>
      </c>
    </row>
    <row r="767" spans="1:23" hidden="1" x14ac:dyDescent="0.3">
      <c r="A767" t="s">
        <v>1629</v>
      </c>
      <c r="B767" t="s">
        <v>1630</v>
      </c>
      <c r="C767" t="s">
        <v>28</v>
      </c>
      <c r="D767" t="s">
        <v>20</v>
      </c>
      <c r="E767" t="s">
        <v>21</v>
      </c>
      <c r="F767" t="s">
        <v>54</v>
      </c>
      <c r="G767" t="s">
        <v>288</v>
      </c>
      <c r="H767" t="s">
        <v>262</v>
      </c>
      <c r="I767" t="s">
        <v>5</v>
      </c>
      <c r="J767" t="s">
        <v>289</v>
      </c>
      <c r="K767" t="s">
        <v>290</v>
      </c>
      <c r="L767" t="s">
        <v>265</v>
      </c>
      <c r="M767">
        <v>47</v>
      </c>
      <c r="N767" t="b">
        <v>0</v>
      </c>
      <c r="O767">
        <v>0.73504273504273498</v>
      </c>
      <c r="R767" t="s">
        <v>670</v>
      </c>
      <c r="S767" t="s">
        <v>1961</v>
      </c>
      <c r="T767" t="s">
        <v>1962</v>
      </c>
      <c r="U767" t="b">
        <v>1</v>
      </c>
      <c r="V767" t="s">
        <v>63</v>
      </c>
      <c r="W767">
        <v>0.6</v>
      </c>
    </row>
    <row r="768" spans="1:23" hidden="1" x14ac:dyDescent="0.3">
      <c r="A768" t="s">
        <v>1629</v>
      </c>
      <c r="B768" t="s">
        <v>1630</v>
      </c>
      <c r="C768" t="s">
        <v>28</v>
      </c>
      <c r="D768" t="s">
        <v>20</v>
      </c>
      <c r="E768" t="s">
        <v>21</v>
      </c>
      <c r="F768" t="s">
        <v>54</v>
      </c>
      <c r="G768" t="s">
        <v>293</v>
      </c>
      <c r="H768" t="s">
        <v>262</v>
      </c>
      <c r="I768" t="s">
        <v>5</v>
      </c>
      <c r="J768" t="s">
        <v>294</v>
      </c>
      <c r="K768" t="s">
        <v>295</v>
      </c>
      <c r="L768" t="s">
        <v>265</v>
      </c>
      <c r="M768">
        <v>48</v>
      </c>
      <c r="N768" t="b">
        <v>0</v>
      </c>
      <c r="O768">
        <v>0.4915966386554621</v>
      </c>
      <c r="R768" t="s">
        <v>670</v>
      </c>
      <c r="S768" t="s">
        <v>1963</v>
      </c>
      <c r="T768" t="s">
        <v>1964</v>
      </c>
      <c r="U768" t="b">
        <v>1</v>
      </c>
      <c r="V768" t="s">
        <v>63</v>
      </c>
      <c r="W768">
        <v>0.7</v>
      </c>
    </row>
    <row r="769" spans="1:23" hidden="1" x14ac:dyDescent="0.3">
      <c r="A769" t="s">
        <v>1629</v>
      </c>
      <c r="B769" t="s">
        <v>1630</v>
      </c>
      <c r="C769" t="s">
        <v>28</v>
      </c>
      <c r="D769" t="s">
        <v>20</v>
      </c>
      <c r="E769" t="s">
        <v>21</v>
      </c>
      <c r="F769" t="s">
        <v>54</v>
      </c>
      <c r="G769" t="s">
        <v>298</v>
      </c>
      <c r="H769" t="s">
        <v>262</v>
      </c>
      <c r="I769" t="s">
        <v>5</v>
      </c>
      <c r="J769" t="s">
        <v>299</v>
      </c>
      <c r="K769" t="s">
        <v>300</v>
      </c>
      <c r="L769" t="s">
        <v>265</v>
      </c>
      <c r="M769">
        <v>49</v>
      </c>
      <c r="N769" t="b">
        <v>0</v>
      </c>
      <c r="O769">
        <v>0.76252723311546833</v>
      </c>
      <c r="R769" t="s">
        <v>670</v>
      </c>
      <c r="S769" t="s">
        <v>1965</v>
      </c>
      <c r="T769" t="s">
        <v>1966</v>
      </c>
      <c r="U769" t="b">
        <v>1</v>
      </c>
      <c r="V769" t="s">
        <v>63</v>
      </c>
      <c r="W769">
        <v>0.7</v>
      </c>
    </row>
    <row r="770" spans="1:23" hidden="1" x14ac:dyDescent="0.3">
      <c r="A770" t="s">
        <v>1629</v>
      </c>
      <c r="B770" t="s">
        <v>1630</v>
      </c>
      <c r="C770" t="s">
        <v>28</v>
      </c>
      <c r="D770" t="s">
        <v>20</v>
      </c>
      <c r="E770" t="s">
        <v>21</v>
      </c>
      <c r="F770" t="s">
        <v>54</v>
      </c>
      <c r="G770" t="s">
        <v>303</v>
      </c>
      <c r="H770" t="s">
        <v>262</v>
      </c>
      <c r="I770" t="s">
        <v>5</v>
      </c>
      <c r="J770" t="s">
        <v>304</v>
      </c>
      <c r="K770" t="s">
        <v>305</v>
      </c>
      <c r="L770" t="s">
        <v>265</v>
      </c>
      <c r="M770">
        <v>50</v>
      </c>
      <c r="N770" t="b">
        <v>0</v>
      </c>
      <c r="O770">
        <v>0.50105263157894742</v>
      </c>
      <c r="R770" t="s">
        <v>670</v>
      </c>
      <c r="S770" t="s">
        <v>1967</v>
      </c>
      <c r="T770" t="s">
        <v>1968</v>
      </c>
      <c r="U770" t="b">
        <v>1</v>
      </c>
      <c r="V770" t="s">
        <v>63</v>
      </c>
      <c r="W770">
        <v>0.6</v>
      </c>
    </row>
    <row r="771" spans="1:23" hidden="1" x14ac:dyDescent="0.3">
      <c r="A771" t="s">
        <v>1629</v>
      </c>
      <c r="B771" t="s">
        <v>1630</v>
      </c>
      <c r="C771" t="s">
        <v>28</v>
      </c>
      <c r="D771" t="s">
        <v>20</v>
      </c>
      <c r="E771" t="s">
        <v>21</v>
      </c>
      <c r="F771" t="s">
        <v>54</v>
      </c>
      <c r="G771" t="s">
        <v>308</v>
      </c>
      <c r="H771" t="s">
        <v>262</v>
      </c>
      <c r="I771" t="s">
        <v>5</v>
      </c>
      <c r="J771" t="s">
        <v>309</v>
      </c>
      <c r="K771" t="s">
        <v>310</v>
      </c>
      <c r="L771" t="s">
        <v>265</v>
      </c>
      <c r="M771">
        <v>51</v>
      </c>
      <c r="N771" t="b">
        <v>0</v>
      </c>
      <c r="O771">
        <v>0.73617021276595751</v>
      </c>
      <c r="R771" t="s">
        <v>670</v>
      </c>
      <c r="S771" t="s">
        <v>1969</v>
      </c>
      <c r="T771" t="s">
        <v>1970</v>
      </c>
      <c r="U771" t="b">
        <v>1</v>
      </c>
      <c r="V771" t="s">
        <v>63</v>
      </c>
      <c r="W771">
        <v>0.6</v>
      </c>
    </row>
    <row r="772" spans="1:23" hidden="1" x14ac:dyDescent="0.3">
      <c r="A772" t="s">
        <v>1629</v>
      </c>
      <c r="B772" t="s">
        <v>1630</v>
      </c>
      <c r="C772" t="s">
        <v>28</v>
      </c>
      <c r="D772" t="s">
        <v>20</v>
      </c>
      <c r="E772" t="s">
        <v>21</v>
      </c>
      <c r="F772" t="s">
        <v>54</v>
      </c>
      <c r="G772" t="s">
        <v>313</v>
      </c>
      <c r="H772" t="s">
        <v>262</v>
      </c>
      <c r="I772" t="s">
        <v>5</v>
      </c>
      <c r="J772" t="s">
        <v>314</v>
      </c>
      <c r="K772" t="s">
        <v>315</v>
      </c>
      <c r="L772" t="s">
        <v>265</v>
      </c>
      <c r="M772">
        <v>52</v>
      </c>
      <c r="N772" t="b">
        <v>0</v>
      </c>
      <c r="O772">
        <v>0.45433255269320838</v>
      </c>
      <c r="R772" t="s">
        <v>670</v>
      </c>
      <c r="S772" t="s">
        <v>1971</v>
      </c>
      <c r="T772" t="s">
        <v>1972</v>
      </c>
      <c r="U772" t="b">
        <v>1</v>
      </c>
      <c r="V772" t="s">
        <v>63</v>
      </c>
      <c r="W772">
        <v>0.7</v>
      </c>
    </row>
    <row r="773" spans="1:23" hidden="1" x14ac:dyDescent="0.3">
      <c r="A773" t="s">
        <v>1629</v>
      </c>
      <c r="B773" t="s">
        <v>1630</v>
      </c>
      <c r="C773" t="s">
        <v>28</v>
      </c>
      <c r="D773" t="s">
        <v>20</v>
      </c>
      <c r="E773" t="s">
        <v>21</v>
      </c>
      <c r="F773" t="s">
        <v>54</v>
      </c>
      <c r="G773" t="s">
        <v>318</v>
      </c>
      <c r="H773" t="s">
        <v>262</v>
      </c>
      <c r="I773" t="s">
        <v>5</v>
      </c>
      <c r="J773" t="s">
        <v>319</v>
      </c>
      <c r="K773" t="s">
        <v>320</v>
      </c>
      <c r="L773" t="s">
        <v>265</v>
      </c>
      <c r="M773">
        <v>53</v>
      </c>
      <c r="N773" t="b">
        <v>0</v>
      </c>
      <c r="O773">
        <v>0.78431372549019607</v>
      </c>
      <c r="R773" t="s">
        <v>670</v>
      </c>
      <c r="S773" t="s">
        <v>1973</v>
      </c>
      <c r="T773" t="s">
        <v>1974</v>
      </c>
      <c r="U773" t="b">
        <v>1</v>
      </c>
      <c r="V773" t="s">
        <v>63</v>
      </c>
      <c r="W773">
        <v>0.8</v>
      </c>
    </row>
    <row r="774" spans="1:23" hidden="1" x14ac:dyDescent="0.3">
      <c r="A774" t="s">
        <v>1629</v>
      </c>
      <c r="B774" t="s">
        <v>1630</v>
      </c>
      <c r="C774" t="s">
        <v>28</v>
      </c>
      <c r="D774" t="s">
        <v>20</v>
      </c>
      <c r="E774" t="s">
        <v>21</v>
      </c>
      <c r="F774" t="s">
        <v>54</v>
      </c>
      <c r="G774" t="s">
        <v>323</v>
      </c>
      <c r="H774" t="s">
        <v>262</v>
      </c>
      <c r="I774" t="s">
        <v>5</v>
      </c>
      <c r="J774" t="s">
        <v>324</v>
      </c>
      <c r="K774" t="s">
        <v>325</v>
      </c>
      <c r="L774" t="s">
        <v>265</v>
      </c>
      <c r="M774">
        <v>54</v>
      </c>
      <c r="N774" t="b">
        <v>0</v>
      </c>
      <c r="O774">
        <v>0.71042471042471034</v>
      </c>
      <c r="R774" t="s">
        <v>670</v>
      </c>
      <c r="S774" t="s">
        <v>1975</v>
      </c>
      <c r="T774" t="s">
        <v>1976</v>
      </c>
      <c r="U774" t="b">
        <v>1</v>
      </c>
      <c r="V774" t="s">
        <v>63</v>
      </c>
      <c r="W774">
        <v>0.6</v>
      </c>
    </row>
    <row r="775" spans="1:23" hidden="1" x14ac:dyDescent="0.3">
      <c r="A775" t="s">
        <v>1629</v>
      </c>
      <c r="B775" t="s">
        <v>1630</v>
      </c>
      <c r="C775" t="s">
        <v>28</v>
      </c>
      <c r="D775" t="s">
        <v>20</v>
      </c>
      <c r="E775" t="s">
        <v>21</v>
      </c>
      <c r="F775" t="s">
        <v>54</v>
      </c>
      <c r="G775" t="s">
        <v>328</v>
      </c>
      <c r="H775" t="s">
        <v>262</v>
      </c>
      <c r="I775" t="s">
        <v>5</v>
      </c>
      <c r="J775" t="s">
        <v>329</v>
      </c>
      <c r="K775" t="s">
        <v>330</v>
      </c>
      <c r="L775" t="s">
        <v>265</v>
      </c>
      <c r="M775">
        <v>55</v>
      </c>
      <c r="N775" t="b">
        <v>0</v>
      </c>
      <c r="O775">
        <v>0.4</v>
      </c>
      <c r="R775" t="s">
        <v>670</v>
      </c>
      <c r="S775" t="s">
        <v>1977</v>
      </c>
      <c r="T775" t="s">
        <v>1978</v>
      </c>
      <c r="U775" t="b">
        <v>1</v>
      </c>
      <c r="V775" t="s">
        <v>63</v>
      </c>
      <c r="W775">
        <v>1.9</v>
      </c>
    </row>
    <row r="776" spans="1:23" hidden="1" x14ac:dyDescent="0.3">
      <c r="A776" t="s">
        <v>1629</v>
      </c>
      <c r="B776" t="s">
        <v>1630</v>
      </c>
      <c r="C776" t="s">
        <v>28</v>
      </c>
      <c r="D776" t="s">
        <v>20</v>
      </c>
      <c r="E776" t="s">
        <v>21</v>
      </c>
      <c r="F776" t="s">
        <v>54</v>
      </c>
      <c r="G776" t="s">
        <v>333</v>
      </c>
      <c r="H776" t="s">
        <v>262</v>
      </c>
      <c r="I776" t="s">
        <v>5</v>
      </c>
      <c r="J776" t="s">
        <v>334</v>
      </c>
      <c r="K776" t="s">
        <v>335</v>
      </c>
      <c r="L776" t="s">
        <v>265</v>
      </c>
      <c r="M776">
        <v>56</v>
      </c>
      <c r="N776" t="b">
        <v>0</v>
      </c>
      <c r="O776">
        <v>0.42754662840746049</v>
      </c>
      <c r="R776" t="s">
        <v>670</v>
      </c>
      <c r="S776" t="s">
        <v>1979</v>
      </c>
      <c r="T776" t="s">
        <v>1980</v>
      </c>
      <c r="U776" t="b">
        <v>1</v>
      </c>
      <c r="V776" t="s">
        <v>63</v>
      </c>
      <c r="W776">
        <v>0.6</v>
      </c>
    </row>
    <row r="777" spans="1:23" hidden="1" x14ac:dyDescent="0.3">
      <c r="A777" t="s">
        <v>1629</v>
      </c>
      <c r="B777" t="s">
        <v>1630</v>
      </c>
      <c r="C777" t="s">
        <v>28</v>
      </c>
      <c r="D777" t="s">
        <v>20</v>
      </c>
      <c r="E777" t="s">
        <v>21</v>
      </c>
      <c r="F777" t="s">
        <v>54</v>
      </c>
      <c r="G777" t="s">
        <v>338</v>
      </c>
      <c r="H777" t="s">
        <v>262</v>
      </c>
      <c r="I777" t="s">
        <v>5</v>
      </c>
      <c r="J777" t="s">
        <v>339</v>
      </c>
      <c r="K777" t="s">
        <v>340</v>
      </c>
      <c r="L777" t="s">
        <v>265</v>
      </c>
      <c r="M777">
        <v>57</v>
      </c>
      <c r="N777" t="b">
        <v>0</v>
      </c>
      <c r="O777">
        <v>0.76483516483516489</v>
      </c>
      <c r="R777" t="s">
        <v>670</v>
      </c>
      <c r="S777" t="s">
        <v>1981</v>
      </c>
      <c r="T777" t="s">
        <v>1982</v>
      </c>
      <c r="U777" t="b">
        <v>1</v>
      </c>
      <c r="V777" t="s">
        <v>63</v>
      </c>
      <c r="W777">
        <v>0.7</v>
      </c>
    </row>
    <row r="778" spans="1:23" hidden="1" x14ac:dyDescent="0.3">
      <c r="A778" t="s">
        <v>1629</v>
      </c>
      <c r="B778" t="s">
        <v>1630</v>
      </c>
      <c r="C778" t="s">
        <v>28</v>
      </c>
      <c r="D778" t="s">
        <v>20</v>
      </c>
      <c r="E778" t="s">
        <v>21</v>
      </c>
      <c r="F778" t="s">
        <v>54</v>
      </c>
      <c r="G778" t="s">
        <v>343</v>
      </c>
      <c r="H778" t="s">
        <v>262</v>
      </c>
      <c r="I778" t="s">
        <v>5</v>
      </c>
      <c r="J778" t="s">
        <v>344</v>
      </c>
      <c r="K778" t="s">
        <v>345</v>
      </c>
      <c r="L778" t="s">
        <v>265</v>
      </c>
      <c r="M778">
        <v>58</v>
      </c>
      <c r="N778" t="b">
        <v>0</v>
      </c>
      <c r="O778">
        <v>0.75555555555555542</v>
      </c>
      <c r="R778" t="s">
        <v>670</v>
      </c>
      <c r="S778" t="s">
        <v>1983</v>
      </c>
      <c r="T778" t="s">
        <v>1984</v>
      </c>
      <c r="U778" t="b">
        <v>1</v>
      </c>
      <c r="V778" t="s">
        <v>63</v>
      </c>
      <c r="W778">
        <v>0.6</v>
      </c>
    </row>
    <row r="779" spans="1:23" hidden="1" x14ac:dyDescent="0.3">
      <c r="A779" t="s">
        <v>1629</v>
      </c>
      <c r="B779" t="s">
        <v>1630</v>
      </c>
      <c r="C779" t="s">
        <v>28</v>
      </c>
      <c r="D779" t="s">
        <v>20</v>
      </c>
      <c r="E779" t="s">
        <v>21</v>
      </c>
      <c r="F779" t="s">
        <v>54</v>
      </c>
      <c r="G779" t="s">
        <v>348</v>
      </c>
      <c r="H779" t="s">
        <v>262</v>
      </c>
      <c r="I779" t="s">
        <v>5</v>
      </c>
      <c r="J779" t="s">
        <v>349</v>
      </c>
      <c r="K779" t="s">
        <v>350</v>
      </c>
      <c r="L779" t="s">
        <v>265</v>
      </c>
      <c r="M779">
        <v>59</v>
      </c>
      <c r="N779" t="b">
        <v>0</v>
      </c>
      <c r="O779">
        <v>0.70925110132158597</v>
      </c>
      <c r="R779" t="s">
        <v>670</v>
      </c>
      <c r="S779" t="s">
        <v>1985</v>
      </c>
      <c r="T779" t="s">
        <v>1986</v>
      </c>
      <c r="U779" t="b">
        <v>1</v>
      </c>
      <c r="V779" t="s">
        <v>63</v>
      </c>
      <c r="W779">
        <v>0.6</v>
      </c>
    </row>
    <row r="780" spans="1:23" hidden="1" x14ac:dyDescent="0.3">
      <c r="A780" t="s">
        <v>1629</v>
      </c>
      <c r="B780" t="s">
        <v>1630</v>
      </c>
      <c r="C780" t="s">
        <v>28</v>
      </c>
      <c r="D780" t="s">
        <v>20</v>
      </c>
      <c r="E780" t="s">
        <v>21</v>
      </c>
      <c r="F780" t="s">
        <v>54</v>
      </c>
      <c r="G780" t="s">
        <v>353</v>
      </c>
      <c r="H780" t="s">
        <v>262</v>
      </c>
      <c r="I780" t="s">
        <v>5</v>
      </c>
      <c r="J780" t="s">
        <v>354</v>
      </c>
      <c r="K780" t="s">
        <v>355</v>
      </c>
      <c r="L780" t="s">
        <v>265</v>
      </c>
      <c r="M780">
        <v>60</v>
      </c>
      <c r="N780" t="b">
        <v>0</v>
      </c>
      <c r="O780">
        <v>0.72570194384449238</v>
      </c>
      <c r="R780" t="s">
        <v>670</v>
      </c>
      <c r="S780" t="s">
        <v>1987</v>
      </c>
      <c r="T780" t="s">
        <v>1988</v>
      </c>
      <c r="U780" t="b">
        <v>1</v>
      </c>
      <c r="V780" t="s">
        <v>63</v>
      </c>
      <c r="W780">
        <v>0.7</v>
      </c>
    </row>
    <row r="781" spans="1:23" hidden="1" x14ac:dyDescent="0.3">
      <c r="A781" t="s">
        <v>1629</v>
      </c>
      <c r="B781" t="s">
        <v>1630</v>
      </c>
      <c r="C781" t="s">
        <v>28</v>
      </c>
      <c r="D781" t="s">
        <v>20</v>
      </c>
      <c r="E781" t="s">
        <v>21</v>
      </c>
      <c r="F781" t="s">
        <v>54</v>
      </c>
      <c r="G781" t="s">
        <v>358</v>
      </c>
      <c r="H781" t="s">
        <v>262</v>
      </c>
      <c r="I781" t="s">
        <v>5</v>
      </c>
      <c r="J781" t="s">
        <v>359</v>
      </c>
      <c r="K781" t="s">
        <v>360</v>
      </c>
      <c r="L781" t="s">
        <v>265</v>
      </c>
      <c r="M781">
        <v>61</v>
      </c>
      <c r="N781" t="b">
        <v>0</v>
      </c>
      <c r="O781">
        <v>0.74633123689727465</v>
      </c>
      <c r="R781" t="s">
        <v>670</v>
      </c>
      <c r="S781" t="s">
        <v>1989</v>
      </c>
      <c r="T781" t="s">
        <v>1990</v>
      </c>
      <c r="U781" t="b">
        <v>1</v>
      </c>
      <c r="V781" t="s">
        <v>63</v>
      </c>
      <c r="W781">
        <v>0.6</v>
      </c>
    </row>
    <row r="782" spans="1:23" hidden="1" x14ac:dyDescent="0.3">
      <c r="A782" t="s">
        <v>1629</v>
      </c>
      <c r="B782" t="s">
        <v>1630</v>
      </c>
      <c r="C782" t="s">
        <v>28</v>
      </c>
      <c r="D782" t="s">
        <v>20</v>
      </c>
      <c r="E782" t="s">
        <v>21</v>
      </c>
      <c r="F782" t="s">
        <v>363</v>
      </c>
      <c r="G782" t="s">
        <v>364</v>
      </c>
      <c r="H782" t="s">
        <v>365</v>
      </c>
      <c r="I782" t="s">
        <v>13</v>
      </c>
      <c r="J782" t="s">
        <v>366</v>
      </c>
      <c r="K782" t="s">
        <v>367</v>
      </c>
      <c r="L782" t="s">
        <v>368</v>
      </c>
      <c r="M782">
        <v>42</v>
      </c>
      <c r="N782" t="b">
        <v>0</v>
      </c>
      <c r="O782">
        <v>0.84057971014492761</v>
      </c>
      <c r="R782" t="s">
        <v>670</v>
      </c>
      <c r="S782" t="s">
        <v>1991</v>
      </c>
      <c r="T782" t="s">
        <v>1992</v>
      </c>
      <c r="U782" t="b">
        <v>1</v>
      </c>
      <c r="V782" t="s">
        <v>63</v>
      </c>
      <c r="W782">
        <v>0.6</v>
      </c>
    </row>
    <row r="783" spans="1:23" hidden="1" x14ac:dyDescent="0.3">
      <c r="A783" t="s">
        <v>1629</v>
      </c>
      <c r="B783" t="s">
        <v>1630</v>
      </c>
      <c r="C783" t="s">
        <v>28</v>
      </c>
      <c r="D783" t="s">
        <v>20</v>
      </c>
      <c r="E783" t="s">
        <v>21</v>
      </c>
      <c r="F783" t="s">
        <v>363</v>
      </c>
      <c r="G783" t="s">
        <v>371</v>
      </c>
      <c r="H783" t="s">
        <v>365</v>
      </c>
      <c r="I783" t="s">
        <v>13</v>
      </c>
      <c r="J783" t="s">
        <v>372</v>
      </c>
      <c r="K783" t="s">
        <v>373</v>
      </c>
      <c r="L783" t="s">
        <v>368</v>
      </c>
      <c r="M783">
        <v>43</v>
      </c>
      <c r="N783" t="b">
        <v>0</v>
      </c>
      <c r="O783">
        <v>0.84100418410041855</v>
      </c>
      <c r="R783" t="s">
        <v>670</v>
      </c>
      <c r="S783" t="s">
        <v>1993</v>
      </c>
      <c r="T783" t="s">
        <v>1994</v>
      </c>
      <c r="U783" t="b">
        <v>1</v>
      </c>
      <c r="V783" t="s">
        <v>63</v>
      </c>
      <c r="W783">
        <v>0.9</v>
      </c>
    </row>
    <row r="784" spans="1:23" hidden="1" x14ac:dyDescent="0.3">
      <c r="A784" t="s">
        <v>1629</v>
      </c>
      <c r="B784" t="s">
        <v>1630</v>
      </c>
      <c r="C784" t="s">
        <v>28</v>
      </c>
      <c r="D784" t="s">
        <v>20</v>
      </c>
      <c r="E784" t="s">
        <v>21</v>
      </c>
      <c r="F784" t="s">
        <v>363</v>
      </c>
      <c r="G784" t="s">
        <v>376</v>
      </c>
      <c r="H784" t="s">
        <v>365</v>
      </c>
      <c r="I784" t="s">
        <v>13</v>
      </c>
      <c r="J784" t="s">
        <v>377</v>
      </c>
      <c r="K784" t="s">
        <v>378</v>
      </c>
      <c r="L784" t="s">
        <v>368</v>
      </c>
      <c r="M784">
        <v>44</v>
      </c>
      <c r="N784" t="b">
        <v>0</v>
      </c>
      <c r="O784">
        <v>0.80842105263157893</v>
      </c>
      <c r="R784" t="s">
        <v>670</v>
      </c>
      <c r="S784" t="s">
        <v>1995</v>
      </c>
      <c r="T784" t="s">
        <v>1996</v>
      </c>
      <c r="U784" t="b">
        <v>1</v>
      </c>
      <c r="V784" t="s">
        <v>63</v>
      </c>
      <c r="W784">
        <v>0.7</v>
      </c>
    </row>
    <row r="785" spans="1:23" hidden="1" x14ac:dyDescent="0.3">
      <c r="A785" t="s">
        <v>1629</v>
      </c>
      <c r="B785" t="s">
        <v>1630</v>
      </c>
      <c r="C785" t="s">
        <v>28</v>
      </c>
      <c r="D785" t="s">
        <v>20</v>
      </c>
      <c r="E785" t="s">
        <v>21</v>
      </c>
      <c r="F785" t="s">
        <v>363</v>
      </c>
      <c r="G785" t="s">
        <v>381</v>
      </c>
      <c r="H785" t="s">
        <v>365</v>
      </c>
      <c r="I785" t="s">
        <v>13</v>
      </c>
      <c r="J785" t="s">
        <v>382</v>
      </c>
      <c r="K785" t="s">
        <v>383</v>
      </c>
      <c r="L785" t="s">
        <v>368</v>
      </c>
      <c r="M785">
        <v>45</v>
      </c>
      <c r="N785" t="b">
        <v>0</v>
      </c>
      <c r="O785">
        <v>0.82203389830508466</v>
      </c>
      <c r="R785" t="s">
        <v>670</v>
      </c>
      <c r="S785" t="s">
        <v>1997</v>
      </c>
      <c r="T785" t="s">
        <v>1998</v>
      </c>
      <c r="U785" t="b">
        <v>1</v>
      </c>
      <c r="V785" t="s">
        <v>63</v>
      </c>
      <c r="W785">
        <v>0.8</v>
      </c>
    </row>
    <row r="786" spans="1:23" hidden="1" x14ac:dyDescent="0.3">
      <c r="A786" t="s">
        <v>1629</v>
      </c>
      <c r="B786" t="s">
        <v>1630</v>
      </c>
      <c r="C786" t="s">
        <v>28</v>
      </c>
      <c r="D786" t="s">
        <v>20</v>
      </c>
      <c r="E786" t="s">
        <v>21</v>
      </c>
      <c r="F786" t="s">
        <v>363</v>
      </c>
      <c r="G786" t="s">
        <v>386</v>
      </c>
      <c r="H786" t="s">
        <v>365</v>
      </c>
      <c r="I786" t="s">
        <v>13</v>
      </c>
      <c r="J786" t="s">
        <v>387</v>
      </c>
      <c r="K786" t="s">
        <v>388</v>
      </c>
      <c r="L786" t="s">
        <v>368</v>
      </c>
      <c r="M786">
        <v>46</v>
      </c>
      <c r="N786" t="b">
        <v>0</v>
      </c>
      <c r="O786">
        <v>0.82377049180327866</v>
      </c>
      <c r="R786" t="s">
        <v>670</v>
      </c>
      <c r="S786" t="s">
        <v>1999</v>
      </c>
      <c r="T786" t="s">
        <v>2000</v>
      </c>
      <c r="U786" t="b">
        <v>1</v>
      </c>
      <c r="V786" t="s">
        <v>63</v>
      </c>
      <c r="W786">
        <v>0.8</v>
      </c>
    </row>
    <row r="787" spans="1:23" hidden="1" x14ac:dyDescent="0.3">
      <c r="A787" t="s">
        <v>1629</v>
      </c>
      <c r="B787" t="s">
        <v>1630</v>
      </c>
      <c r="C787" t="s">
        <v>28</v>
      </c>
      <c r="D787" t="s">
        <v>20</v>
      </c>
      <c r="E787" t="s">
        <v>21</v>
      </c>
      <c r="F787" t="s">
        <v>363</v>
      </c>
      <c r="G787" t="s">
        <v>391</v>
      </c>
      <c r="H787" t="s">
        <v>365</v>
      </c>
      <c r="I787" t="s">
        <v>13</v>
      </c>
      <c r="J787" t="s">
        <v>392</v>
      </c>
      <c r="K787" t="s">
        <v>393</v>
      </c>
      <c r="L787" t="s">
        <v>368</v>
      </c>
      <c r="M787">
        <v>47</v>
      </c>
      <c r="N787" t="b">
        <v>0</v>
      </c>
      <c r="O787">
        <v>0.81649484536082473</v>
      </c>
      <c r="R787" t="s">
        <v>670</v>
      </c>
      <c r="S787" t="s">
        <v>2001</v>
      </c>
      <c r="T787" t="s">
        <v>2002</v>
      </c>
      <c r="U787" t="b">
        <v>1</v>
      </c>
      <c r="V787" t="s">
        <v>63</v>
      </c>
      <c r="W787">
        <v>1</v>
      </c>
    </row>
    <row r="788" spans="1:23" hidden="1" x14ac:dyDescent="0.3">
      <c r="A788" t="s">
        <v>1629</v>
      </c>
      <c r="B788" t="s">
        <v>1630</v>
      </c>
      <c r="C788" t="s">
        <v>28</v>
      </c>
      <c r="D788" t="s">
        <v>20</v>
      </c>
      <c r="E788" t="s">
        <v>21</v>
      </c>
      <c r="F788" t="s">
        <v>363</v>
      </c>
      <c r="G788" t="s">
        <v>396</v>
      </c>
      <c r="H788" t="s">
        <v>365</v>
      </c>
      <c r="I788" t="s">
        <v>13</v>
      </c>
      <c r="J788" t="s">
        <v>397</v>
      </c>
      <c r="K788" t="s">
        <v>398</v>
      </c>
      <c r="L788" t="s">
        <v>368</v>
      </c>
      <c r="M788">
        <v>48</v>
      </c>
      <c r="N788" t="b">
        <v>0</v>
      </c>
      <c r="O788">
        <v>0.83950617283950602</v>
      </c>
      <c r="R788" t="s">
        <v>670</v>
      </c>
      <c r="S788" t="s">
        <v>2003</v>
      </c>
      <c r="T788" t="s">
        <v>2004</v>
      </c>
      <c r="U788" t="b">
        <v>1</v>
      </c>
      <c r="V788" t="s">
        <v>63</v>
      </c>
      <c r="W788">
        <v>0.8</v>
      </c>
    </row>
    <row r="789" spans="1:23" hidden="1" x14ac:dyDescent="0.3">
      <c r="A789" t="s">
        <v>1629</v>
      </c>
      <c r="B789" t="s">
        <v>1630</v>
      </c>
      <c r="C789" t="s">
        <v>28</v>
      </c>
      <c r="D789" t="s">
        <v>20</v>
      </c>
      <c r="E789" t="s">
        <v>21</v>
      </c>
      <c r="F789" t="s">
        <v>363</v>
      </c>
      <c r="G789" t="s">
        <v>401</v>
      </c>
      <c r="H789" t="s">
        <v>365</v>
      </c>
      <c r="I789" t="s">
        <v>13</v>
      </c>
      <c r="J789" t="s">
        <v>402</v>
      </c>
      <c r="K789" t="s">
        <v>403</v>
      </c>
      <c r="L789" t="s">
        <v>368</v>
      </c>
      <c r="M789">
        <v>49</v>
      </c>
      <c r="N789" t="b">
        <v>0</v>
      </c>
      <c r="O789">
        <v>0.79497907949790803</v>
      </c>
      <c r="R789" t="s">
        <v>670</v>
      </c>
      <c r="S789" t="s">
        <v>2005</v>
      </c>
      <c r="T789" t="s">
        <v>2006</v>
      </c>
      <c r="U789" t="b">
        <v>1</v>
      </c>
      <c r="V789" t="s">
        <v>63</v>
      </c>
      <c r="W789">
        <v>0.7</v>
      </c>
    </row>
    <row r="790" spans="1:23" hidden="1" x14ac:dyDescent="0.3">
      <c r="A790" t="s">
        <v>1629</v>
      </c>
      <c r="B790" t="s">
        <v>1630</v>
      </c>
      <c r="C790" t="s">
        <v>28</v>
      </c>
      <c r="D790" t="s">
        <v>20</v>
      </c>
      <c r="E790" t="s">
        <v>21</v>
      </c>
      <c r="F790" t="s">
        <v>363</v>
      </c>
      <c r="G790" t="s">
        <v>406</v>
      </c>
      <c r="H790" t="s">
        <v>365</v>
      </c>
      <c r="I790" t="s">
        <v>13</v>
      </c>
      <c r="J790" t="s">
        <v>407</v>
      </c>
      <c r="K790" t="s">
        <v>408</v>
      </c>
      <c r="L790" t="s">
        <v>368</v>
      </c>
      <c r="M790">
        <v>50</v>
      </c>
      <c r="N790" t="b">
        <v>0</v>
      </c>
      <c r="O790">
        <v>0.83127572016460904</v>
      </c>
      <c r="R790" t="s">
        <v>670</v>
      </c>
      <c r="S790" t="s">
        <v>2007</v>
      </c>
      <c r="T790" t="s">
        <v>2008</v>
      </c>
      <c r="U790" t="b">
        <v>1</v>
      </c>
      <c r="V790" t="s">
        <v>63</v>
      </c>
      <c r="W790">
        <v>0.8</v>
      </c>
    </row>
    <row r="791" spans="1:23" hidden="1" x14ac:dyDescent="0.3">
      <c r="A791" t="s">
        <v>1629</v>
      </c>
      <c r="B791" t="s">
        <v>1630</v>
      </c>
      <c r="C791" t="s">
        <v>28</v>
      </c>
      <c r="D791" t="s">
        <v>20</v>
      </c>
      <c r="E791" t="s">
        <v>21</v>
      </c>
      <c r="F791" t="s">
        <v>363</v>
      </c>
      <c r="G791" t="s">
        <v>411</v>
      </c>
      <c r="H791" t="s">
        <v>365</v>
      </c>
      <c r="I791" t="s">
        <v>13</v>
      </c>
      <c r="J791" t="s">
        <v>412</v>
      </c>
      <c r="K791" t="s">
        <v>413</v>
      </c>
      <c r="L791" t="s">
        <v>368</v>
      </c>
      <c r="M791">
        <v>51</v>
      </c>
      <c r="N791" t="b">
        <v>0</v>
      </c>
      <c r="O791">
        <v>0.82572614107883813</v>
      </c>
      <c r="R791" t="s">
        <v>670</v>
      </c>
      <c r="S791" t="s">
        <v>2009</v>
      </c>
      <c r="T791" t="s">
        <v>2010</v>
      </c>
      <c r="U791" t="b">
        <v>1</v>
      </c>
      <c r="V791" t="s">
        <v>63</v>
      </c>
      <c r="W791">
        <v>0.8</v>
      </c>
    </row>
    <row r="792" spans="1:23" hidden="1" x14ac:dyDescent="0.3">
      <c r="A792" t="s">
        <v>1629</v>
      </c>
      <c r="B792" t="s">
        <v>1630</v>
      </c>
      <c r="C792" t="s">
        <v>28</v>
      </c>
      <c r="D792" t="s">
        <v>20</v>
      </c>
      <c r="E792" t="s">
        <v>21</v>
      </c>
      <c r="F792" t="s">
        <v>363</v>
      </c>
      <c r="G792" t="s">
        <v>416</v>
      </c>
      <c r="H792" t="s">
        <v>365</v>
      </c>
      <c r="I792" t="s">
        <v>13</v>
      </c>
      <c r="J792" t="s">
        <v>417</v>
      </c>
      <c r="K792" t="s">
        <v>418</v>
      </c>
      <c r="L792" t="s">
        <v>368</v>
      </c>
      <c r="M792">
        <v>52</v>
      </c>
      <c r="N792" t="b">
        <v>0</v>
      </c>
      <c r="O792">
        <v>0.83095723014256617</v>
      </c>
      <c r="R792" t="s">
        <v>670</v>
      </c>
      <c r="S792" t="s">
        <v>2011</v>
      </c>
      <c r="T792" t="s">
        <v>2012</v>
      </c>
      <c r="U792" t="b">
        <v>1</v>
      </c>
      <c r="V792" t="s">
        <v>63</v>
      </c>
      <c r="W792">
        <v>0.8</v>
      </c>
    </row>
    <row r="793" spans="1:23" hidden="1" x14ac:dyDescent="0.3">
      <c r="A793" t="s">
        <v>1629</v>
      </c>
      <c r="B793" t="s">
        <v>1630</v>
      </c>
      <c r="C793" t="s">
        <v>28</v>
      </c>
      <c r="D793" t="s">
        <v>20</v>
      </c>
      <c r="E793" t="s">
        <v>21</v>
      </c>
      <c r="F793" t="s">
        <v>363</v>
      </c>
      <c r="G793" t="s">
        <v>421</v>
      </c>
      <c r="H793" t="s">
        <v>365</v>
      </c>
      <c r="I793" t="s">
        <v>13</v>
      </c>
      <c r="J793" t="s">
        <v>422</v>
      </c>
      <c r="K793" t="s">
        <v>423</v>
      </c>
      <c r="L793" t="s">
        <v>368</v>
      </c>
      <c r="M793">
        <v>53</v>
      </c>
      <c r="N793" t="b">
        <v>0</v>
      </c>
      <c r="O793">
        <v>0.83613445378151263</v>
      </c>
      <c r="R793" t="s">
        <v>670</v>
      </c>
      <c r="S793" t="s">
        <v>2013</v>
      </c>
      <c r="T793" t="s">
        <v>2014</v>
      </c>
      <c r="U793" t="b">
        <v>1</v>
      </c>
      <c r="V793" t="s">
        <v>63</v>
      </c>
      <c r="W793">
        <v>0.8</v>
      </c>
    </row>
    <row r="794" spans="1:23" hidden="1" x14ac:dyDescent="0.3">
      <c r="A794" t="s">
        <v>1629</v>
      </c>
      <c r="B794" t="s">
        <v>1630</v>
      </c>
      <c r="C794" t="s">
        <v>28</v>
      </c>
      <c r="D794" t="s">
        <v>20</v>
      </c>
      <c r="E794" t="s">
        <v>21</v>
      </c>
      <c r="F794" t="s">
        <v>363</v>
      </c>
      <c r="G794" t="s">
        <v>426</v>
      </c>
      <c r="H794" t="s">
        <v>365</v>
      </c>
      <c r="I794" t="s">
        <v>13</v>
      </c>
      <c r="J794" t="s">
        <v>427</v>
      </c>
      <c r="K794" t="s">
        <v>428</v>
      </c>
      <c r="L794" t="s">
        <v>368</v>
      </c>
      <c r="M794">
        <v>54</v>
      </c>
      <c r="N794" t="b">
        <v>0</v>
      </c>
      <c r="O794">
        <v>0.84631578947368424</v>
      </c>
      <c r="R794" t="s">
        <v>670</v>
      </c>
      <c r="S794" t="s">
        <v>2015</v>
      </c>
      <c r="T794" t="s">
        <v>2016</v>
      </c>
      <c r="U794" t="b">
        <v>1</v>
      </c>
      <c r="V794" t="s">
        <v>63</v>
      </c>
      <c r="W794">
        <v>0.7</v>
      </c>
    </row>
    <row r="795" spans="1:23" hidden="1" x14ac:dyDescent="0.3">
      <c r="A795" t="s">
        <v>1629</v>
      </c>
      <c r="B795" t="s">
        <v>1630</v>
      </c>
      <c r="C795" t="s">
        <v>28</v>
      </c>
      <c r="D795" t="s">
        <v>20</v>
      </c>
      <c r="E795" t="s">
        <v>21</v>
      </c>
      <c r="F795" t="s">
        <v>363</v>
      </c>
      <c r="G795" t="s">
        <v>431</v>
      </c>
      <c r="H795" t="s">
        <v>365</v>
      </c>
      <c r="I795" t="s">
        <v>13</v>
      </c>
      <c r="J795" t="s">
        <v>432</v>
      </c>
      <c r="K795" t="s">
        <v>433</v>
      </c>
      <c r="L795" t="s">
        <v>368</v>
      </c>
      <c r="M795">
        <v>55</v>
      </c>
      <c r="N795" t="b">
        <v>0</v>
      </c>
      <c r="O795">
        <v>0.81724845995893225</v>
      </c>
      <c r="R795" t="s">
        <v>670</v>
      </c>
      <c r="S795" t="s">
        <v>2017</v>
      </c>
      <c r="T795" t="s">
        <v>2018</v>
      </c>
      <c r="U795" t="b">
        <v>1</v>
      </c>
      <c r="V795" t="s">
        <v>63</v>
      </c>
      <c r="W795">
        <v>0.6</v>
      </c>
    </row>
    <row r="796" spans="1:23" hidden="1" x14ac:dyDescent="0.3">
      <c r="A796" t="s">
        <v>1629</v>
      </c>
      <c r="B796" t="s">
        <v>1630</v>
      </c>
      <c r="C796" t="s">
        <v>28</v>
      </c>
      <c r="D796" t="s">
        <v>20</v>
      </c>
      <c r="E796" t="s">
        <v>21</v>
      </c>
      <c r="F796" t="s">
        <v>363</v>
      </c>
      <c r="G796" t="s">
        <v>436</v>
      </c>
      <c r="H796" t="s">
        <v>365</v>
      </c>
      <c r="I796" t="s">
        <v>13</v>
      </c>
      <c r="J796" t="s">
        <v>437</v>
      </c>
      <c r="K796" t="s">
        <v>438</v>
      </c>
      <c r="L796" t="s">
        <v>368</v>
      </c>
      <c r="M796">
        <v>56</v>
      </c>
      <c r="N796" t="b">
        <v>0</v>
      </c>
      <c r="O796">
        <v>0.83817427385892129</v>
      </c>
      <c r="R796" t="s">
        <v>670</v>
      </c>
      <c r="S796" t="s">
        <v>2019</v>
      </c>
      <c r="T796" t="s">
        <v>2020</v>
      </c>
      <c r="U796" t="b">
        <v>1</v>
      </c>
      <c r="V796" t="s">
        <v>63</v>
      </c>
      <c r="W796">
        <v>0.7</v>
      </c>
    </row>
    <row r="797" spans="1:23" hidden="1" x14ac:dyDescent="0.3">
      <c r="A797" t="s">
        <v>1629</v>
      </c>
      <c r="B797" t="s">
        <v>1630</v>
      </c>
      <c r="C797" t="s">
        <v>28</v>
      </c>
      <c r="D797" t="s">
        <v>20</v>
      </c>
      <c r="E797" t="s">
        <v>21</v>
      </c>
      <c r="F797" t="s">
        <v>363</v>
      </c>
      <c r="G797" t="s">
        <v>441</v>
      </c>
      <c r="H797" t="s">
        <v>365</v>
      </c>
      <c r="I797" t="s">
        <v>13</v>
      </c>
      <c r="J797" t="s">
        <v>442</v>
      </c>
      <c r="K797" t="s">
        <v>443</v>
      </c>
      <c r="L797" t="s">
        <v>368</v>
      </c>
      <c r="M797">
        <v>57</v>
      </c>
      <c r="N797" t="b">
        <v>0</v>
      </c>
      <c r="O797">
        <v>0.82208588957055218</v>
      </c>
      <c r="R797" t="s">
        <v>670</v>
      </c>
      <c r="S797" t="s">
        <v>2021</v>
      </c>
      <c r="T797" t="s">
        <v>2022</v>
      </c>
      <c r="U797" t="b">
        <v>1</v>
      </c>
      <c r="V797" t="s">
        <v>63</v>
      </c>
      <c r="W797">
        <v>0.6</v>
      </c>
    </row>
    <row r="798" spans="1:23" hidden="1" x14ac:dyDescent="0.3">
      <c r="A798" t="s">
        <v>1629</v>
      </c>
      <c r="B798" t="s">
        <v>1630</v>
      </c>
      <c r="C798" t="s">
        <v>28</v>
      </c>
      <c r="D798" t="s">
        <v>20</v>
      </c>
      <c r="E798" t="s">
        <v>21</v>
      </c>
      <c r="F798" t="s">
        <v>363</v>
      </c>
      <c r="G798" t="s">
        <v>446</v>
      </c>
      <c r="H798" t="s">
        <v>365</v>
      </c>
      <c r="I798" t="s">
        <v>13</v>
      </c>
      <c r="J798" t="s">
        <v>447</v>
      </c>
      <c r="K798" t="s">
        <v>448</v>
      </c>
      <c r="L798" t="s">
        <v>368</v>
      </c>
      <c r="M798">
        <v>58</v>
      </c>
      <c r="N798" t="b">
        <v>0</v>
      </c>
      <c r="O798">
        <v>0.83263598326359822</v>
      </c>
      <c r="R798" t="s">
        <v>670</v>
      </c>
      <c r="S798" t="s">
        <v>2023</v>
      </c>
      <c r="T798" t="s">
        <v>2024</v>
      </c>
      <c r="U798" t="b">
        <v>1</v>
      </c>
      <c r="V798" t="s">
        <v>63</v>
      </c>
      <c r="W798">
        <v>0.6</v>
      </c>
    </row>
    <row r="799" spans="1:23" hidden="1" x14ac:dyDescent="0.3">
      <c r="A799" t="s">
        <v>1629</v>
      </c>
      <c r="B799" t="s">
        <v>1630</v>
      </c>
      <c r="C799" t="s">
        <v>28</v>
      </c>
      <c r="D799" t="s">
        <v>20</v>
      </c>
      <c r="E799" t="s">
        <v>21</v>
      </c>
      <c r="F799" t="s">
        <v>363</v>
      </c>
      <c r="G799" t="s">
        <v>451</v>
      </c>
      <c r="H799" t="s">
        <v>365</v>
      </c>
      <c r="I799" t="s">
        <v>13</v>
      </c>
      <c r="J799" t="s">
        <v>452</v>
      </c>
      <c r="K799" t="s">
        <v>453</v>
      </c>
      <c r="L799" t="s">
        <v>368</v>
      </c>
      <c r="M799">
        <v>59</v>
      </c>
      <c r="N799" t="b">
        <v>0</v>
      </c>
      <c r="O799">
        <v>0.83229813664596286</v>
      </c>
      <c r="R799" t="s">
        <v>670</v>
      </c>
      <c r="S799" t="s">
        <v>2025</v>
      </c>
      <c r="T799" t="s">
        <v>2026</v>
      </c>
      <c r="U799" t="b">
        <v>1</v>
      </c>
      <c r="V799" t="s">
        <v>63</v>
      </c>
      <c r="W799">
        <v>0.6</v>
      </c>
    </row>
    <row r="800" spans="1:23" hidden="1" x14ac:dyDescent="0.3">
      <c r="A800" t="s">
        <v>1629</v>
      </c>
      <c r="B800" t="s">
        <v>1630</v>
      </c>
      <c r="C800" t="s">
        <v>28</v>
      </c>
      <c r="D800" t="s">
        <v>20</v>
      </c>
      <c r="E800" t="s">
        <v>21</v>
      </c>
      <c r="F800" t="s">
        <v>363</v>
      </c>
      <c r="G800" t="s">
        <v>456</v>
      </c>
      <c r="H800" t="s">
        <v>365</v>
      </c>
      <c r="I800" t="s">
        <v>13</v>
      </c>
      <c r="J800" t="s">
        <v>457</v>
      </c>
      <c r="K800" t="s">
        <v>458</v>
      </c>
      <c r="L800" t="s">
        <v>368</v>
      </c>
      <c r="M800">
        <v>60</v>
      </c>
      <c r="N800" t="b">
        <v>0</v>
      </c>
      <c r="O800">
        <v>0.84297520661157022</v>
      </c>
      <c r="R800" t="s">
        <v>670</v>
      </c>
      <c r="S800" t="s">
        <v>2027</v>
      </c>
      <c r="T800" t="s">
        <v>2028</v>
      </c>
      <c r="U800" t="b">
        <v>1</v>
      </c>
      <c r="V800" t="s">
        <v>63</v>
      </c>
      <c r="W800">
        <v>0.6</v>
      </c>
    </row>
    <row r="801" spans="1:23" hidden="1" x14ac:dyDescent="0.3">
      <c r="A801" t="s">
        <v>1629</v>
      </c>
      <c r="B801" t="s">
        <v>1630</v>
      </c>
      <c r="C801" t="s">
        <v>28</v>
      </c>
      <c r="D801" t="s">
        <v>20</v>
      </c>
      <c r="E801" t="s">
        <v>21</v>
      </c>
      <c r="F801" t="s">
        <v>363</v>
      </c>
      <c r="G801" t="s">
        <v>461</v>
      </c>
      <c r="H801" t="s">
        <v>365</v>
      </c>
      <c r="I801" t="s">
        <v>13</v>
      </c>
      <c r="J801" t="s">
        <v>462</v>
      </c>
      <c r="K801" t="s">
        <v>463</v>
      </c>
      <c r="L801" t="s">
        <v>368</v>
      </c>
      <c r="M801">
        <v>61</v>
      </c>
      <c r="N801" t="b">
        <v>0</v>
      </c>
      <c r="O801">
        <v>0.83229813664596286</v>
      </c>
      <c r="R801" t="s">
        <v>670</v>
      </c>
      <c r="S801" t="s">
        <v>2029</v>
      </c>
      <c r="T801" t="s">
        <v>2030</v>
      </c>
      <c r="U801" t="b">
        <v>1</v>
      </c>
      <c r="V801" t="s">
        <v>63</v>
      </c>
      <c r="W801">
        <v>0.6</v>
      </c>
    </row>
    <row r="802" spans="1:23" hidden="1" x14ac:dyDescent="0.3">
      <c r="A802" t="s">
        <v>1629</v>
      </c>
      <c r="B802" t="s">
        <v>1630</v>
      </c>
      <c r="C802" t="s">
        <v>28</v>
      </c>
      <c r="D802" t="s">
        <v>20</v>
      </c>
      <c r="E802" t="s">
        <v>21</v>
      </c>
      <c r="F802" t="s">
        <v>363</v>
      </c>
      <c r="G802" t="s">
        <v>466</v>
      </c>
      <c r="H802" t="s">
        <v>467</v>
      </c>
      <c r="I802" t="s">
        <v>9</v>
      </c>
      <c r="J802" t="s">
        <v>468</v>
      </c>
      <c r="K802" t="s">
        <v>469</v>
      </c>
      <c r="L802" t="s">
        <v>470</v>
      </c>
      <c r="M802">
        <v>42</v>
      </c>
      <c r="N802" t="b">
        <v>0</v>
      </c>
      <c r="O802">
        <v>0.81481481481481477</v>
      </c>
      <c r="R802" t="s">
        <v>670</v>
      </c>
      <c r="S802" t="s">
        <v>2031</v>
      </c>
      <c r="T802" t="s">
        <v>2032</v>
      </c>
      <c r="U802" t="b">
        <v>1</v>
      </c>
      <c r="V802" t="s">
        <v>63</v>
      </c>
      <c r="W802">
        <v>0.6</v>
      </c>
    </row>
    <row r="803" spans="1:23" hidden="1" x14ac:dyDescent="0.3">
      <c r="A803" t="s">
        <v>1629</v>
      </c>
      <c r="B803" t="s">
        <v>1630</v>
      </c>
      <c r="C803" t="s">
        <v>28</v>
      </c>
      <c r="D803" t="s">
        <v>20</v>
      </c>
      <c r="E803" t="s">
        <v>21</v>
      </c>
      <c r="F803" t="s">
        <v>363</v>
      </c>
      <c r="G803" t="s">
        <v>473</v>
      </c>
      <c r="H803" t="s">
        <v>467</v>
      </c>
      <c r="I803" t="s">
        <v>9</v>
      </c>
      <c r="J803" t="s">
        <v>474</v>
      </c>
      <c r="K803" t="s">
        <v>475</v>
      </c>
      <c r="L803" t="s">
        <v>470</v>
      </c>
      <c r="M803">
        <v>43</v>
      </c>
      <c r="N803" t="b">
        <v>0</v>
      </c>
      <c r="O803">
        <v>0.81395348837209314</v>
      </c>
      <c r="R803" t="s">
        <v>670</v>
      </c>
      <c r="S803" t="s">
        <v>2033</v>
      </c>
      <c r="T803" t="s">
        <v>2034</v>
      </c>
      <c r="U803" t="b">
        <v>1</v>
      </c>
      <c r="V803" t="s">
        <v>63</v>
      </c>
      <c r="W803">
        <v>0.6</v>
      </c>
    </row>
    <row r="804" spans="1:23" hidden="1" x14ac:dyDescent="0.3">
      <c r="A804" t="s">
        <v>1629</v>
      </c>
      <c r="B804" t="s">
        <v>1630</v>
      </c>
      <c r="C804" t="s">
        <v>28</v>
      </c>
      <c r="D804" t="s">
        <v>20</v>
      </c>
      <c r="E804" t="s">
        <v>21</v>
      </c>
      <c r="F804" t="s">
        <v>363</v>
      </c>
      <c r="G804" t="s">
        <v>478</v>
      </c>
      <c r="H804" t="s">
        <v>467</v>
      </c>
      <c r="I804" t="s">
        <v>9</v>
      </c>
      <c r="J804" t="s">
        <v>479</v>
      </c>
      <c r="K804" t="s">
        <v>480</v>
      </c>
      <c r="L804" t="s">
        <v>470</v>
      </c>
      <c r="M804">
        <v>44</v>
      </c>
      <c r="N804" t="b">
        <v>0</v>
      </c>
      <c r="O804">
        <v>0.81034482758620685</v>
      </c>
      <c r="R804" t="s">
        <v>670</v>
      </c>
      <c r="S804" t="s">
        <v>2035</v>
      </c>
      <c r="T804" t="s">
        <v>2036</v>
      </c>
      <c r="U804" t="b">
        <v>1</v>
      </c>
      <c r="V804" t="s">
        <v>63</v>
      </c>
      <c r="W804">
        <v>0.6</v>
      </c>
    </row>
    <row r="805" spans="1:23" hidden="1" x14ac:dyDescent="0.3">
      <c r="A805" t="s">
        <v>1629</v>
      </c>
      <c r="B805" t="s">
        <v>1630</v>
      </c>
      <c r="C805" t="s">
        <v>28</v>
      </c>
      <c r="D805" t="s">
        <v>20</v>
      </c>
      <c r="E805" t="s">
        <v>21</v>
      </c>
      <c r="F805" t="s">
        <v>363</v>
      </c>
      <c r="G805" t="s">
        <v>483</v>
      </c>
      <c r="H805" t="s">
        <v>467</v>
      </c>
      <c r="I805" t="s">
        <v>9</v>
      </c>
      <c r="J805" t="s">
        <v>484</v>
      </c>
      <c r="K805" t="s">
        <v>485</v>
      </c>
      <c r="L805" t="s">
        <v>470</v>
      </c>
      <c r="M805">
        <v>45</v>
      </c>
      <c r="N805" t="b">
        <v>0</v>
      </c>
      <c r="O805">
        <v>0.81609195402298851</v>
      </c>
      <c r="R805" t="s">
        <v>670</v>
      </c>
      <c r="S805" t="s">
        <v>2037</v>
      </c>
      <c r="T805" t="s">
        <v>2038</v>
      </c>
      <c r="U805" t="b">
        <v>1</v>
      </c>
      <c r="V805" t="s">
        <v>63</v>
      </c>
      <c r="W805">
        <v>0.7</v>
      </c>
    </row>
    <row r="806" spans="1:23" hidden="1" x14ac:dyDescent="0.3">
      <c r="A806" t="s">
        <v>1629</v>
      </c>
      <c r="B806" t="s">
        <v>1630</v>
      </c>
      <c r="C806" t="s">
        <v>28</v>
      </c>
      <c r="D806" t="s">
        <v>20</v>
      </c>
      <c r="E806" t="s">
        <v>21</v>
      </c>
      <c r="F806" t="s">
        <v>363</v>
      </c>
      <c r="G806" t="s">
        <v>488</v>
      </c>
      <c r="H806" t="s">
        <v>467</v>
      </c>
      <c r="I806" t="s">
        <v>9</v>
      </c>
      <c r="J806" t="s">
        <v>489</v>
      </c>
      <c r="K806" t="s">
        <v>490</v>
      </c>
      <c r="L806" t="s">
        <v>470</v>
      </c>
      <c r="M806">
        <v>46</v>
      </c>
      <c r="N806" t="b">
        <v>0</v>
      </c>
      <c r="O806">
        <v>0.81375358166189105</v>
      </c>
      <c r="R806" t="s">
        <v>670</v>
      </c>
      <c r="S806" t="s">
        <v>2039</v>
      </c>
      <c r="T806" t="s">
        <v>2040</v>
      </c>
      <c r="U806" t="b">
        <v>1</v>
      </c>
      <c r="V806" t="s">
        <v>63</v>
      </c>
      <c r="W806">
        <v>0.7</v>
      </c>
    </row>
    <row r="807" spans="1:23" hidden="1" x14ac:dyDescent="0.3">
      <c r="A807" t="s">
        <v>1629</v>
      </c>
      <c r="B807" t="s">
        <v>1630</v>
      </c>
      <c r="C807" t="s">
        <v>28</v>
      </c>
      <c r="D807" t="s">
        <v>20</v>
      </c>
      <c r="E807" t="s">
        <v>21</v>
      </c>
      <c r="F807" t="s">
        <v>363</v>
      </c>
      <c r="G807" t="s">
        <v>493</v>
      </c>
      <c r="H807" t="s">
        <v>467</v>
      </c>
      <c r="I807" t="s">
        <v>9</v>
      </c>
      <c r="J807" t="s">
        <v>494</v>
      </c>
      <c r="K807" t="s">
        <v>495</v>
      </c>
      <c r="L807" t="s">
        <v>470</v>
      </c>
      <c r="M807">
        <v>47</v>
      </c>
      <c r="N807" t="b">
        <v>0</v>
      </c>
      <c r="O807">
        <v>0.82420749279538896</v>
      </c>
      <c r="R807" t="s">
        <v>670</v>
      </c>
      <c r="S807" t="s">
        <v>2041</v>
      </c>
      <c r="T807" t="s">
        <v>2042</v>
      </c>
      <c r="U807" t="b">
        <v>1</v>
      </c>
      <c r="V807" t="s">
        <v>63</v>
      </c>
      <c r="W807">
        <v>0.6</v>
      </c>
    </row>
    <row r="808" spans="1:23" hidden="1" x14ac:dyDescent="0.3">
      <c r="A808" t="s">
        <v>1629</v>
      </c>
      <c r="B808" t="s">
        <v>1630</v>
      </c>
      <c r="C808" t="s">
        <v>28</v>
      </c>
      <c r="D808" t="s">
        <v>20</v>
      </c>
      <c r="E808" t="s">
        <v>21</v>
      </c>
      <c r="F808" t="s">
        <v>363</v>
      </c>
      <c r="G808" t="s">
        <v>498</v>
      </c>
      <c r="H808" t="s">
        <v>467</v>
      </c>
      <c r="I808" t="s">
        <v>9</v>
      </c>
      <c r="J808" t="s">
        <v>499</v>
      </c>
      <c r="K808" t="s">
        <v>500</v>
      </c>
      <c r="L808" t="s">
        <v>470</v>
      </c>
      <c r="M808">
        <v>48</v>
      </c>
      <c r="N808" t="b">
        <v>0</v>
      </c>
      <c r="O808">
        <v>0.8125</v>
      </c>
      <c r="R808" t="s">
        <v>670</v>
      </c>
      <c r="S808" t="s">
        <v>2043</v>
      </c>
      <c r="T808" t="s">
        <v>2044</v>
      </c>
      <c r="U808" t="b">
        <v>1</v>
      </c>
      <c r="V808" t="s">
        <v>63</v>
      </c>
      <c r="W808">
        <v>0.6</v>
      </c>
    </row>
    <row r="809" spans="1:23" hidden="1" x14ac:dyDescent="0.3">
      <c r="A809" t="s">
        <v>1629</v>
      </c>
      <c r="B809" t="s">
        <v>1630</v>
      </c>
      <c r="C809" t="s">
        <v>28</v>
      </c>
      <c r="D809" t="s">
        <v>20</v>
      </c>
      <c r="E809" t="s">
        <v>21</v>
      </c>
      <c r="F809" t="s">
        <v>363</v>
      </c>
      <c r="G809" t="s">
        <v>503</v>
      </c>
      <c r="H809" t="s">
        <v>467</v>
      </c>
      <c r="I809" t="s">
        <v>9</v>
      </c>
      <c r="J809" t="s">
        <v>504</v>
      </c>
      <c r="K809" t="s">
        <v>505</v>
      </c>
      <c r="L809" t="s">
        <v>470</v>
      </c>
      <c r="M809">
        <v>49</v>
      </c>
      <c r="N809" t="b">
        <v>0</v>
      </c>
      <c r="O809">
        <v>0.81920903954802249</v>
      </c>
      <c r="R809" t="s">
        <v>670</v>
      </c>
      <c r="S809" t="s">
        <v>2045</v>
      </c>
      <c r="T809" t="s">
        <v>2046</v>
      </c>
      <c r="U809" t="b">
        <v>1</v>
      </c>
      <c r="V809" t="s">
        <v>63</v>
      </c>
      <c r="W809">
        <v>1.2</v>
      </c>
    </row>
    <row r="810" spans="1:23" hidden="1" x14ac:dyDescent="0.3">
      <c r="A810" t="s">
        <v>1629</v>
      </c>
      <c r="B810" t="s">
        <v>1630</v>
      </c>
      <c r="C810" t="s">
        <v>28</v>
      </c>
      <c r="D810" t="s">
        <v>20</v>
      </c>
      <c r="E810" t="s">
        <v>21</v>
      </c>
      <c r="F810" t="s">
        <v>363</v>
      </c>
      <c r="G810" t="s">
        <v>508</v>
      </c>
      <c r="H810" t="s">
        <v>467</v>
      </c>
      <c r="I810" t="s">
        <v>9</v>
      </c>
      <c r="J810" t="s">
        <v>509</v>
      </c>
      <c r="K810" t="s">
        <v>510</v>
      </c>
      <c r="L810" t="s">
        <v>470</v>
      </c>
      <c r="M810">
        <v>50</v>
      </c>
      <c r="N810" t="b">
        <v>0</v>
      </c>
      <c r="O810">
        <v>0.81159420289855067</v>
      </c>
      <c r="R810" t="s">
        <v>670</v>
      </c>
      <c r="S810" t="s">
        <v>2047</v>
      </c>
      <c r="T810" t="s">
        <v>2048</v>
      </c>
      <c r="U810" t="b">
        <v>1</v>
      </c>
      <c r="V810" t="s">
        <v>63</v>
      </c>
      <c r="W810">
        <v>0.6</v>
      </c>
    </row>
    <row r="811" spans="1:23" hidden="1" x14ac:dyDescent="0.3">
      <c r="A811" t="s">
        <v>1629</v>
      </c>
      <c r="B811" t="s">
        <v>1630</v>
      </c>
      <c r="C811" t="s">
        <v>28</v>
      </c>
      <c r="D811" t="s">
        <v>20</v>
      </c>
      <c r="E811" t="s">
        <v>21</v>
      </c>
      <c r="F811" t="s">
        <v>363</v>
      </c>
      <c r="G811" t="s">
        <v>513</v>
      </c>
      <c r="H811" t="s">
        <v>467</v>
      </c>
      <c r="I811" t="s">
        <v>9</v>
      </c>
      <c r="J811" t="s">
        <v>514</v>
      </c>
      <c r="K811" t="s">
        <v>515</v>
      </c>
      <c r="L811" t="s">
        <v>470</v>
      </c>
      <c r="M811">
        <v>51</v>
      </c>
      <c r="N811" t="b">
        <v>0</v>
      </c>
      <c r="O811">
        <v>0.83522727272727271</v>
      </c>
      <c r="R811" t="s">
        <v>670</v>
      </c>
      <c r="S811" t="s">
        <v>2049</v>
      </c>
      <c r="T811" t="s">
        <v>2050</v>
      </c>
      <c r="U811" t="b">
        <v>1</v>
      </c>
      <c r="V811" t="s">
        <v>63</v>
      </c>
      <c r="W811">
        <v>0.6</v>
      </c>
    </row>
    <row r="812" spans="1:23" hidden="1" x14ac:dyDescent="0.3">
      <c r="A812" t="s">
        <v>1629</v>
      </c>
      <c r="B812" t="s">
        <v>1630</v>
      </c>
      <c r="C812" t="s">
        <v>28</v>
      </c>
      <c r="D812" t="s">
        <v>20</v>
      </c>
      <c r="E812" t="s">
        <v>21</v>
      </c>
      <c r="F812" t="s">
        <v>363</v>
      </c>
      <c r="G812" t="s">
        <v>518</v>
      </c>
      <c r="H812" t="s">
        <v>467</v>
      </c>
      <c r="I812" t="s">
        <v>9</v>
      </c>
      <c r="J812" t="s">
        <v>519</v>
      </c>
      <c r="K812" t="s">
        <v>520</v>
      </c>
      <c r="L812" t="s">
        <v>470</v>
      </c>
      <c r="M812">
        <v>52</v>
      </c>
      <c r="N812" t="b">
        <v>0</v>
      </c>
      <c r="O812">
        <v>0.81034482758620685</v>
      </c>
      <c r="R812" t="s">
        <v>670</v>
      </c>
      <c r="S812" t="s">
        <v>2051</v>
      </c>
      <c r="T812" t="s">
        <v>2052</v>
      </c>
      <c r="U812" t="b">
        <v>1</v>
      </c>
      <c r="V812" t="s">
        <v>63</v>
      </c>
      <c r="W812">
        <v>0.8</v>
      </c>
    </row>
    <row r="813" spans="1:23" hidden="1" x14ac:dyDescent="0.3">
      <c r="A813" t="s">
        <v>1629</v>
      </c>
      <c r="B813" t="s">
        <v>1630</v>
      </c>
      <c r="C813" t="s">
        <v>28</v>
      </c>
      <c r="D813" t="s">
        <v>20</v>
      </c>
      <c r="E813" t="s">
        <v>21</v>
      </c>
      <c r="F813" t="s">
        <v>363</v>
      </c>
      <c r="G813" t="s">
        <v>523</v>
      </c>
      <c r="H813" t="s">
        <v>467</v>
      </c>
      <c r="I813" t="s">
        <v>9</v>
      </c>
      <c r="J813" t="s">
        <v>524</v>
      </c>
      <c r="K813" t="s">
        <v>525</v>
      </c>
      <c r="L813" t="s">
        <v>470</v>
      </c>
      <c r="M813">
        <v>53</v>
      </c>
      <c r="N813" t="b">
        <v>0</v>
      </c>
      <c r="O813">
        <v>0.82183908045977005</v>
      </c>
      <c r="R813" t="s">
        <v>670</v>
      </c>
      <c r="S813" t="s">
        <v>2053</v>
      </c>
      <c r="T813" t="s">
        <v>2054</v>
      </c>
      <c r="U813" t="b">
        <v>1</v>
      </c>
      <c r="V813" t="s">
        <v>63</v>
      </c>
      <c r="W813">
        <v>0.6</v>
      </c>
    </row>
    <row r="814" spans="1:23" hidden="1" x14ac:dyDescent="0.3">
      <c r="A814" t="s">
        <v>1629</v>
      </c>
      <c r="B814" t="s">
        <v>1630</v>
      </c>
      <c r="C814" t="s">
        <v>28</v>
      </c>
      <c r="D814" t="s">
        <v>20</v>
      </c>
      <c r="E814" t="s">
        <v>21</v>
      </c>
      <c r="F814" t="s">
        <v>363</v>
      </c>
      <c r="G814" t="s">
        <v>528</v>
      </c>
      <c r="H814" t="s">
        <v>467</v>
      </c>
      <c r="I814" t="s">
        <v>9</v>
      </c>
      <c r="J814" t="s">
        <v>529</v>
      </c>
      <c r="K814" t="s">
        <v>530</v>
      </c>
      <c r="L814" t="s">
        <v>470</v>
      </c>
      <c r="M814">
        <v>54</v>
      </c>
      <c r="N814" t="b">
        <v>0</v>
      </c>
      <c r="O814">
        <v>0.80802292263610309</v>
      </c>
      <c r="R814" t="s">
        <v>670</v>
      </c>
      <c r="S814" t="s">
        <v>2055</v>
      </c>
      <c r="T814" t="s">
        <v>2056</v>
      </c>
      <c r="U814" t="b">
        <v>1</v>
      </c>
      <c r="V814" t="s">
        <v>63</v>
      </c>
      <c r="W814">
        <v>0.7</v>
      </c>
    </row>
    <row r="815" spans="1:23" hidden="1" x14ac:dyDescent="0.3">
      <c r="A815" t="s">
        <v>1629</v>
      </c>
      <c r="B815" t="s">
        <v>1630</v>
      </c>
      <c r="C815" t="s">
        <v>28</v>
      </c>
      <c r="D815" t="s">
        <v>20</v>
      </c>
      <c r="E815" t="s">
        <v>21</v>
      </c>
      <c r="F815" t="s">
        <v>363</v>
      </c>
      <c r="G815" t="s">
        <v>533</v>
      </c>
      <c r="H815" t="s">
        <v>467</v>
      </c>
      <c r="I815" t="s">
        <v>9</v>
      </c>
      <c r="J815" t="s">
        <v>534</v>
      </c>
      <c r="K815" t="s">
        <v>535</v>
      </c>
      <c r="L815" t="s">
        <v>470</v>
      </c>
      <c r="M815">
        <v>55</v>
      </c>
      <c r="N815" t="b">
        <v>0</v>
      </c>
      <c r="O815">
        <v>0.81502890173410403</v>
      </c>
      <c r="R815" t="s">
        <v>670</v>
      </c>
      <c r="S815" t="s">
        <v>2057</v>
      </c>
      <c r="T815" t="s">
        <v>2058</v>
      </c>
      <c r="U815" t="b">
        <v>1</v>
      </c>
      <c r="V815" t="s">
        <v>63</v>
      </c>
      <c r="W815">
        <v>0.6</v>
      </c>
    </row>
    <row r="816" spans="1:23" hidden="1" x14ac:dyDescent="0.3">
      <c r="A816" t="s">
        <v>1629</v>
      </c>
      <c r="B816" t="s">
        <v>1630</v>
      </c>
      <c r="C816" t="s">
        <v>28</v>
      </c>
      <c r="D816" t="s">
        <v>20</v>
      </c>
      <c r="E816" t="s">
        <v>21</v>
      </c>
      <c r="F816" t="s">
        <v>363</v>
      </c>
      <c r="G816" t="s">
        <v>538</v>
      </c>
      <c r="H816" t="s">
        <v>467</v>
      </c>
      <c r="I816" t="s">
        <v>9</v>
      </c>
      <c r="J816" t="s">
        <v>539</v>
      </c>
      <c r="K816" t="s">
        <v>540</v>
      </c>
      <c r="L816" t="s">
        <v>470</v>
      </c>
      <c r="M816">
        <v>56</v>
      </c>
      <c r="N816" t="b">
        <v>0</v>
      </c>
      <c r="O816">
        <v>0.81268011527377526</v>
      </c>
      <c r="R816" t="s">
        <v>670</v>
      </c>
      <c r="S816" t="s">
        <v>2059</v>
      </c>
      <c r="T816" t="s">
        <v>2060</v>
      </c>
      <c r="U816" t="b">
        <v>1</v>
      </c>
      <c r="V816" t="s">
        <v>63</v>
      </c>
      <c r="W816">
        <v>0.6</v>
      </c>
    </row>
    <row r="817" spans="1:23" hidden="1" x14ac:dyDescent="0.3">
      <c r="A817" t="s">
        <v>1629</v>
      </c>
      <c r="B817" t="s">
        <v>1630</v>
      </c>
      <c r="C817" t="s">
        <v>28</v>
      </c>
      <c r="D817" t="s">
        <v>20</v>
      </c>
      <c r="E817" t="s">
        <v>21</v>
      </c>
      <c r="F817" t="s">
        <v>363</v>
      </c>
      <c r="G817" t="s">
        <v>543</v>
      </c>
      <c r="H817" t="s">
        <v>467</v>
      </c>
      <c r="I817" t="s">
        <v>9</v>
      </c>
      <c r="J817" t="s">
        <v>544</v>
      </c>
      <c r="K817" t="s">
        <v>545</v>
      </c>
      <c r="L817" t="s">
        <v>470</v>
      </c>
      <c r="M817">
        <v>57</v>
      </c>
      <c r="N817" t="b">
        <v>0</v>
      </c>
      <c r="O817">
        <v>0.82080924855491322</v>
      </c>
      <c r="R817" t="s">
        <v>670</v>
      </c>
      <c r="S817" t="s">
        <v>2061</v>
      </c>
      <c r="T817" t="s">
        <v>2062</v>
      </c>
      <c r="U817" t="b">
        <v>1</v>
      </c>
      <c r="V817" t="s">
        <v>63</v>
      </c>
      <c r="W817">
        <v>0.6</v>
      </c>
    </row>
    <row r="818" spans="1:23" hidden="1" x14ac:dyDescent="0.3">
      <c r="A818" t="s">
        <v>1629</v>
      </c>
      <c r="B818" t="s">
        <v>1630</v>
      </c>
      <c r="C818" t="s">
        <v>28</v>
      </c>
      <c r="D818" t="s">
        <v>20</v>
      </c>
      <c r="E818" t="s">
        <v>21</v>
      </c>
      <c r="F818" t="s">
        <v>363</v>
      </c>
      <c r="G818" t="s">
        <v>548</v>
      </c>
      <c r="H818" t="s">
        <v>467</v>
      </c>
      <c r="I818" t="s">
        <v>9</v>
      </c>
      <c r="J818" t="s">
        <v>549</v>
      </c>
      <c r="K818" t="s">
        <v>550</v>
      </c>
      <c r="L818" t="s">
        <v>470</v>
      </c>
      <c r="M818">
        <v>58</v>
      </c>
      <c r="N818" t="b">
        <v>0</v>
      </c>
      <c r="O818">
        <v>0.81502890173410403</v>
      </c>
      <c r="R818" t="s">
        <v>670</v>
      </c>
      <c r="S818" t="s">
        <v>2063</v>
      </c>
      <c r="T818" t="s">
        <v>2064</v>
      </c>
      <c r="U818" t="b">
        <v>1</v>
      </c>
      <c r="V818" t="s">
        <v>63</v>
      </c>
      <c r="W818">
        <v>0.7</v>
      </c>
    </row>
    <row r="819" spans="1:23" hidden="1" x14ac:dyDescent="0.3">
      <c r="A819" t="s">
        <v>1629</v>
      </c>
      <c r="B819" t="s">
        <v>1630</v>
      </c>
      <c r="C819" t="s">
        <v>28</v>
      </c>
      <c r="D819" t="s">
        <v>20</v>
      </c>
      <c r="E819" t="s">
        <v>21</v>
      </c>
      <c r="F819" t="s">
        <v>363</v>
      </c>
      <c r="G819" t="s">
        <v>553</v>
      </c>
      <c r="H819" t="s">
        <v>467</v>
      </c>
      <c r="I819" t="s">
        <v>9</v>
      </c>
      <c r="J819" t="s">
        <v>554</v>
      </c>
      <c r="K819" t="s">
        <v>555</v>
      </c>
      <c r="L819" t="s">
        <v>470</v>
      </c>
      <c r="M819">
        <v>59</v>
      </c>
      <c r="N819" t="b">
        <v>0</v>
      </c>
      <c r="O819">
        <v>0.81355932203389825</v>
      </c>
      <c r="R819" t="s">
        <v>670</v>
      </c>
      <c r="S819" t="s">
        <v>2065</v>
      </c>
      <c r="T819" t="s">
        <v>2066</v>
      </c>
      <c r="U819" t="b">
        <v>1</v>
      </c>
      <c r="V819" t="s">
        <v>63</v>
      </c>
      <c r="W819">
        <v>0.6</v>
      </c>
    </row>
    <row r="820" spans="1:23" hidden="1" x14ac:dyDescent="0.3">
      <c r="A820" t="s">
        <v>1629</v>
      </c>
      <c r="B820" t="s">
        <v>1630</v>
      </c>
      <c r="C820" t="s">
        <v>28</v>
      </c>
      <c r="D820" t="s">
        <v>20</v>
      </c>
      <c r="E820" t="s">
        <v>21</v>
      </c>
      <c r="F820" t="s">
        <v>363</v>
      </c>
      <c r="G820" t="s">
        <v>558</v>
      </c>
      <c r="H820" t="s">
        <v>467</v>
      </c>
      <c r="I820" t="s">
        <v>9</v>
      </c>
      <c r="J820" t="s">
        <v>559</v>
      </c>
      <c r="K820" t="s">
        <v>560</v>
      </c>
      <c r="L820" t="s">
        <v>470</v>
      </c>
      <c r="M820">
        <v>60</v>
      </c>
      <c r="N820" t="b">
        <v>0</v>
      </c>
      <c r="O820">
        <v>0.82318840579710151</v>
      </c>
      <c r="R820" t="s">
        <v>670</v>
      </c>
      <c r="S820" t="s">
        <v>2067</v>
      </c>
      <c r="T820" t="s">
        <v>2068</v>
      </c>
      <c r="U820" t="b">
        <v>1</v>
      </c>
      <c r="V820" t="s">
        <v>63</v>
      </c>
      <c r="W820">
        <v>0.5</v>
      </c>
    </row>
    <row r="821" spans="1:23" hidden="1" x14ac:dyDescent="0.3">
      <c r="A821" t="s">
        <v>1629</v>
      </c>
      <c r="B821" t="s">
        <v>1630</v>
      </c>
      <c r="C821" t="s">
        <v>28</v>
      </c>
      <c r="D821" t="s">
        <v>20</v>
      </c>
      <c r="E821" t="s">
        <v>21</v>
      </c>
      <c r="F821" t="s">
        <v>363</v>
      </c>
      <c r="G821" t="s">
        <v>563</v>
      </c>
      <c r="H821" t="s">
        <v>467</v>
      </c>
      <c r="I821" t="s">
        <v>9</v>
      </c>
      <c r="J821" t="s">
        <v>564</v>
      </c>
      <c r="K821" t="s">
        <v>565</v>
      </c>
      <c r="L821" t="s">
        <v>470</v>
      </c>
      <c r="M821">
        <v>61</v>
      </c>
      <c r="N821" t="b">
        <v>0</v>
      </c>
      <c r="O821">
        <v>0.80691642651296835</v>
      </c>
      <c r="R821" t="s">
        <v>670</v>
      </c>
      <c r="S821" t="s">
        <v>2069</v>
      </c>
      <c r="T821" t="s">
        <v>2070</v>
      </c>
      <c r="U821" t="b">
        <v>1</v>
      </c>
      <c r="V821" t="s">
        <v>63</v>
      </c>
      <c r="W821">
        <v>0.7</v>
      </c>
    </row>
    <row r="822" spans="1:23" hidden="1" x14ac:dyDescent="0.3">
      <c r="A822" t="s">
        <v>1629</v>
      </c>
      <c r="B822" t="s">
        <v>1630</v>
      </c>
      <c r="C822" t="s">
        <v>28</v>
      </c>
      <c r="D822" t="s">
        <v>20</v>
      </c>
      <c r="E822" t="s">
        <v>21</v>
      </c>
      <c r="F822" t="s">
        <v>363</v>
      </c>
      <c r="G822" t="s">
        <v>568</v>
      </c>
      <c r="H822" t="s">
        <v>569</v>
      </c>
      <c r="I822" t="s">
        <v>11</v>
      </c>
      <c r="J822" t="s">
        <v>570</v>
      </c>
      <c r="K822" t="s">
        <v>571</v>
      </c>
      <c r="L822" t="s">
        <v>572</v>
      </c>
      <c r="M822">
        <v>42</v>
      </c>
      <c r="N822" t="b">
        <v>0</v>
      </c>
      <c r="O822">
        <v>0.84782608695652173</v>
      </c>
      <c r="R822" t="s">
        <v>670</v>
      </c>
      <c r="S822" t="s">
        <v>2071</v>
      </c>
      <c r="T822" t="s">
        <v>2072</v>
      </c>
      <c r="U822" t="b">
        <v>1</v>
      </c>
      <c r="V822" t="s">
        <v>63</v>
      </c>
      <c r="W822">
        <v>0.8</v>
      </c>
    </row>
    <row r="823" spans="1:23" hidden="1" x14ac:dyDescent="0.3">
      <c r="A823" t="s">
        <v>1629</v>
      </c>
      <c r="B823" t="s">
        <v>1630</v>
      </c>
      <c r="C823" t="s">
        <v>28</v>
      </c>
      <c r="D823" t="s">
        <v>20</v>
      </c>
      <c r="E823" t="s">
        <v>21</v>
      </c>
      <c r="F823" t="s">
        <v>363</v>
      </c>
      <c r="G823" t="s">
        <v>575</v>
      </c>
      <c r="H823" t="s">
        <v>569</v>
      </c>
      <c r="I823" t="s">
        <v>11</v>
      </c>
      <c r="J823" t="s">
        <v>576</v>
      </c>
      <c r="K823" t="s">
        <v>577</v>
      </c>
      <c r="L823" t="s">
        <v>572</v>
      </c>
      <c r="M823">
        <v>43</v>
      </c>
      <c r="N823" t="b">
        <v>0</v>
      </c>
      <c r="O823">
        <v>0.83150984682713347</v>
      </c>
      <c r="R823" t="s">
        <v>670</v>
      </c>
      <c r="S823" t="s">
        <v>2073</v>
      </c>
      <c r="T823" t="s">
        <v>2074</v>
      </c>
      <c r="U823" t="b">
        <v>1</v>
      </c>
      <c r="V823" t="s">
        <v>63</v>
      </c>
      <c r="W823">
        <v>0.6</v>
      </c>
    </row>
    <row r="824" spans="1:23" hidden="1" x14ac:dyDescent="0.3">
      <c r="A824" t="s">
        <v>1629</v>
      </c>
      <c r="B824" t="s">
        <v>1630</v>
      </c>
      <c r="C824" t="s">
        <v>28</v>
      </c>
      <c r="D824" t="s">
        <v>20</v>
      </c>
      <c r="E824" t="s">
        <v>21</v>
      </c>
      <c r="F824" t="s">
        <v>363</v>
      </c>
      <c r="G824" t="s">
        <v>580</v>
      </c>
      <c r="H824" t="s">
        <v>569</v>
      </c>
      <c r="I824" t="s">
        <v>11</v>
      </c>
      <c r="J824" t="s">
        <v>581</v>
      </c>
      <c r="K824" t="s">
        <v>582</v>
      </c>
      <c r="L824" t="s">
        <v>572</v>
      </c>
      <c r="M824">
        <v>44</v>
      </c>
      <c r="N824" t="b">
        <v>0</v>
      </c>
      <c r="O824">
        <v>0.83741648106904221</v>
      </c>
      <c r="R824" t="s">
        <v>670</v>
      </c>
      <c r="S824" t="s">
        <v>2075</v>
      </c>
      <c r="T824" t="s">
        <v>2076</v>
      </c>
      <c r="U824" t="b">
        <v>1</v>
      </c>
      <c r="V824" t="s">
        <v>63</v>
      </c>
      <c r="W824">
        <v>1</v>
      </c>
    </row>
    <row r="825" spans="1:23" hidden="1" x14ac:dyDescent="0.3">
      <c r="A825" t="s">
        <v>1629</v>
      </c>
      <c r="B825" t="s">
        <v>1630</v>
      </c>
      <c r="C825" t="s">
        <v>28</v>
      </c>
      <c r="D825" t="s">
        <v>20</v>
      </c>
      <c r="E825" t="s">
        <v>21</v>
      </c>
      <c r="F825" t="s">
        <v>363</v>
      </c>
      <c r="G825" t="s">
        <v>585</v>
      </c>
      <c r="H825" t="s">
        <v>569</v>
      </c>
      <c r="I825" t="s">
        <v>11</v>
      </c>
      <c r="J825" t="s">
        <v>586</v>
      </c>
      <c r="K825" t="s">
        <v>587</v>
      </c>
      <c r="L825" t="s">
        <v>572</v>
      </c>
      <c r="M825">
        <v>45</v>
      </c>
      <c r="N825" t="b">
        <v>0</v>
      </c>
      <c r="O825">
        <v>0.8283261802575107</v>
      </c>
      <c r="R825" t="s">
        <v>670</v>
      </c>
      <c r="S825" t="s">
        <v>2077</v>
      </c>
      <c r="T825" t="s">
        <v>2078</v>
      </c>
      <c r="U825" t="b">
        <v>1</v>
      </c>
      <c r="V825" t="s">
        <v>63</v>
      </c>
      <c r="W825">
        <v>0.6</v>
      </c>
    </row>
    <row r="826" spans="1:23" hidden="1" x14ac:dyDescent="0.3">
      <c r="A826" t="s">
        <v>1629</v>
      </c>
      <c r="B826" t="s">
        <v>1630</v>
      </c>
      <c r="C826" t="s">
        <v>28</v>
      </c>
      <c r="D826" t="s">
        <v>20</v>
      </c>
      <c r="E826" t="s">
        <v>21</v>
      </c>
      <c r="F826" t="s">
        <v>363</v>
      </c>
      <c r="G826" t="s">
        <v>590</v>
      </c>
      <c r="H826" t="s">
        <v>569</v>
      </c>
      <c r="I826" t="s">
        <v>11</v>
      </c>
      <c r="J826" t="s">
        <v>591</v>
      </c>
      <c r="K826" t="s">
        <v>592</v>
      </c>
      <c r="L826" t="s">
        <v>572</v>
      </c>
      <c r="M826">
        <v>46</v>
      </c>
      <c r="N826" t="b">
        <v>0</v>
      </c>
      <c r="O826">
        <v>0.82743362831858391</v>
      </c>
      <c r="R826" t="s">
        <v>670</v>
      </c>
      <c r="S826" t="s">
        <v>2079</v>
      </c>
      <c r="T826" t="s">
        <v>2080</v>
      </c>
      <c r="U826" t="b">
        <v>1</v>
      </c>
      <c r="V826" t="s">
        <v>63</v>
      </c>
      <c r="W826">
        <v>0.6</v>
      </c>
    </row>
    <row r="827" spans="1:23" hidden="1" x14ac:dyDescent="0.3">
      <c r="A827" t="s">
        <v>1629</v>
      </c>
      <c r="B827" t="s">
        <v>1630</v>
      </c>
      <c r="C827" t="s">
        <v>28</v>
      </c>
      <c r="D827" t="s">
        <v>20</v>
      </c>
      <c r="E827" t="s">
        <v>21</v>
      </c>
      <c r="F827" t="s">
        <v>363</v>
      </c>
      <c r="G827" t="s">
        <v>595</v>
      </c>
      <c r="H827" t="s">
        <v>569</v>
      </c>
      <c r="I827" t="s">
        <v>11</v>
      </c>
      <c r="J827" t="s">
        <v>596</v>
      </c>
      <c r="K827" t="s">
        <v>597</v>
      </c>
      <c r="L827" t="s">
        <v>572</v>
      </c>
      <c r="M827">
        <v>47</v>
      </c>
      <c r="N827" t="b">
        <v>0</v>
      </c>
      <c r="O827">
        <v>0.81355932203389836</v>
      </c>
      <c r="R827" t="s">
        <v>670</v>
      </c>
      <c r="S827" t="s">
        <v>2081</v>
      </c>
      <c r="T827" t="s">
        <v>2082</v>
      </c>
      <c r="U827" t="b">
        <v>1</v>
      </c>
      <c r="V827" t="s">
        <v>63</v>
      </c>
      <c r="W827">
        <v>0.7</v>
      </c>
    </row>
    <row r="828" spans="1:23" hidden="1" x14ac:dyDescent="0.3">
      <c r="A828" t="s">
        <v>1629</v>
      </c>
      <c r="B828" t="s">
        <v>1630</v>
      </c>
      <c r="C828" t="s">
        <v>28</v>
      </c>
      <c r="D828" t="s">
        <v>20</v>
      </c>
      <c r="E828" t="s">
        <v>21</v>
      </c>
      <c r="F828" t="s">
        <v>363</v>
      </c>
      <c r="G828" t="s">
        <v>600</v>
      </c>
      <c r="H828" t="s">
        <v>569</v>
      </c>
      <c r="I828" t="s">
        <v>11</v>
      </c>
      <c r="J828" t="s">
        <v>601</v>
      </c>
      <c r="K828" t="s">
        <v>602</v>
      </c>
      <c r="L828" t="s">
        <v>572</v>
      </c>
      <c r="M828">
        <v>48</v>
      </c>
      <c r="N828" t="b">
        <v>0</v>
      </c>
      <c r="O828">
        <v>0.83261802575107302</v>
      </c>
      <c r="R828" t="s">
        <v>670</v>
      </c>
      <c r="S828" t="s">
        <v>2083</v>
      </c>
      <c r="T828" t="s">
        <v>2084</v>
      </c>
      <c r="U828" t="b">
        <v>1</v>
      </c>
      <c r="V828" t="s">
        <v>63</v>
      </c>
      <c r="W828">
        <v>0.7</v>
      </c>
    </row>
    <row r="829" spans="1:23" hidden="1" x14ac:dyDescent="0.3">
      <c r="A829" t="s">
        <v>1629</v>
      </c>
      <c r="B829" t="s">
        <v>1630</v>
      </c>
      <c r="C829" t="s">
        <v>28</v>
      </c>
      <c r="D829" t="s">
        <v>20</v>
      </c>
      <c r="E829" t="s">
        <v>21</v>
      </c>
      <c r="F829" t="s">
        <v>363</v>
      </c>
      <c r="G829" t="s">
        <v>605</v>
      </c>
      <c r="H829" t="s">
        <v>569</v>
      </c>
      <c r="I829" t="s">
        <v>11</v>
      </c>
      <c r="J829" t="s">
        <v>606</v>
      </c>
      <c r="K829" t="s">
        <v>607</v>
      </c>
      <c r="L829" t="s">
        <v>572</v>
      </c>
      <c r="M829">
        <v>49</v>
      </c>
      <c r="N829" t="b">
        <v>0</v>
      </c>
      <c r="O829">
        <v>0.84116331096196872</v>
      </c>
      <c r="R829" t="s">
        <v>670</v>
      </c>
      <c r="S829" t="s">
        <v>2085</v>
      </c>
      <c r="T829" t="s">
        <v>2086</v>
      </c>
      <c r="U829" t="b">
        <v>1</v>
      </c>
      <c r="V829" t="s">
        <v>63</v>
      </c>
      <c r="W829">
        <v>0.6</v>
      </c>
    </row>
    <row r="830" spans="1:23" hidden="1" x14ac:dyDescent="0.3">
      <c r="A830" t="s">
        <v>1629</v>
      </c>
      <c r="B830" t="s">
        <v>1630</v>
      </c>
      <c r="C830" t="s">
        <v>28</v>
      </c>
      <c r="D830" t="s">
        <v>20</v>
      </c>
      <c r="E830" t="s">
        <v>21</v>
      </c>
      <c r="F830" t="s">
        <v>363</v>
      </c>
      <c r="G830" t="s">
        <v>610</v>
      </c>
      <c r="H830" t="s">
        <v>569</v>
      </c>
      <c r="I830" t="s">
        <v>11</v>
      </c>
      <c r="J830" t="s">
        <v>611</v>
      </c>
      <c r="K830" t="s">
        <v>612</v>
      </c>
      <c r="L830" t="s">
        <v>572</v>
      </c>
      <c r="M830">
        <v>50</v>
      </c>
      <c r="N830" t="b">
        <v>0</v>
      </c>
      <c r="O830">
        <v>0.83297180043383956</v>
      </c>
      <c r="R830" t="s">
        <v>670</v>
      </c>
      <c r="S830" t="s">
        <v>2087</v>
      </c>
      <c r="T830" t="s">
        <v>2088</v>
      </c>
      <c r="U830" t="b">
        <v>1</v>
      </c>
      <c r="V830" t="s">
        <v>63</v>
      </c>
      <c r="W830">
        <v>0.6</v>
      </c>
    </row>
    <row r="831" spans="1:23" hidden="1" x14ac:dyDescent="0.3">
      <c r="A831" t="s">
        <v>1629</v>
      </c>
      <c r="B831" t="s">
        <v>1630</v>
      </c>
      <c r="C831" t="s">
        <v>28</v>
      </c>
      <c r="D831" t="s">
        <v>20</v>
      </c>
      <c r="E831" t="s">
        <v>21</v>
      </c>
      <c r="F831" t="s">
        <v>363</v>
      </c>
      <c r="G831" t="s">
        <v>615</v>
      </c>
      <c r="H831" t="s">
        <v>569</v>
      </c>
      <c r="I831" t="s">
        <v>11</v>
      </c>
      <c r="J831" t="s">
        <v>616</v>
      </c>
      <c r="K831" t="s">
        <v>617</v>
      </c>
      <c r="L831" t="s">
        <v>572</v>
      </c>
      <c r="M831">
        <v>51</v>
      </c>
      <c r="N831" t="b">
        <v>0</v>
      </c>
      <c r="O831">
        <v>0.84513274336283184</v>
      </c>
      <c r="R831" t="s">
        <v>670</v>
      </c>
      <c r="S831" t="s">
        <v>2089</v>
      </c>
      <c r="T831" t="s">
        <v>2090</v>
      </c>
      <c r="U831" t="b">
        <v>1</v>
      </c>
      <c r="V831" t="s">
        <v>63</v>
      </c>
      <c r="W831">
        <v>0.8</v>
      </c>
    </row>
    <row r="832" spans="1:23" hidden="1" x14ac:dyDescent="0.3">
      <c r="A832" t="s">
        <v>1629</v>
      </c>
      <c r="B832" t="s">
        <v>1630</v>
      </c>
      <c r="C832" t="s">
        <v>28</v>
      </c>
      <c r="D832" t="s">
        <v>20</v>
      </c>
      <c r="E832" t="s">
        <v>21</v>
      </c>
      <c r="F832" t="s">
        <v>363</v>
      </c>
      <c r="G832" t="s">
        <v>620</v>
      </c>
      <c r="H832" t="s">
        <v>569</v>
      </c>
      <c r="I832" t="s">
        <v>11</v>
      </c>
      <c r="J832" t="s">
        <v>621</v>
      </c>
      <c r="K832" t="s">
        <v>622</v>
      </c>
      <c r="L832" t="s">
        <v>572</v>
      </c>
      <c r="M832">
        <v>52</v>
      </c>
      <c r="N832" t="b">
        <v>0</v>
      </c>
      <c r="O832">
        <v>0.83010752688172051</v>
      </c>
      <c r="R832" t="s">
        <v>670</v>
      </c>
      <c r="S832" t="s">
        <v>2091</v>
      </c>
      <c r="T832" t="s">
        <v>2092</v>
      </c>
      <c r="U832" t="b">
        <v>1</v>
      </c>
      <c r="V832" t="s">
        <v>63</v>
      </c>
      <c r="W832">
        <v>5.4</v>
      </c>
    </row>
    <row r="833" spans="1:23" hidden="1" x14ac:dyDescent="0.3">
      <c r="A833" t="s">
        <v>1629</v>
      </c>
      <c r="B833" t="s">
        <v>1630</v>
      </c>
      <c r="C833" t="s">
        <v>28</v>
      </c>
      <c r="D833" t="s">
        <v>20</v>
      </c>
      <c r="E833" t="s">
        <v>21</v>
      </c>
      <c r="F833" t="s">
        <v>363</v>
      </c>
      <c r="G833" t="s">
        <v>625</v>
      </c>
      <c r="H833" t="s">
        <v>569</v>
      </c>
      <c r="I833" t="s">
        <v>11</v>
      </c>
      <c r="J833" t="s">
        <v>626</v>
      </c>
      <c r="K833" t="s">
        <v>627</v>
      </c>
      <c r="L833" t="s">
        <v>572</v>
      </c>
      <c r="M833">
        <v>53</v>
      </c>
      <c r="N833" t="b">
        <v>0</v>
      </c>
      <c r="O833">
        <v>0.8458149779735683</v>
      </c>
      <c r="R833" t="s">
        <v>670</v>
      </c>
      <c r="S833" t="s">
        <v>2093</v>
      </c>
      <c r="T833" t="s">
        <v>2094</v>
      </c>
      <c r="U833" t="b">
        <v>1</v>
      </c>
      <c r="V833" t="s">
        <v>63</v>
      </c>
      <c r="W833">
        <v>0.7</v>
      </c>
    </row>
    <row r="834" spans="1:23" hidden="1" x14ac:dyDescent="0.3">
      <c r="A834" t="s">
        <v>1629</v>
      </c>
      <c r="B834" t="s">
        <v>1630</v>
      </c>
      <c r="C834" t="s">
        <v>28</v>
      </c>
      <c r="D834" t="s">
        <v>20</v>
      </c>
      <c r="E834" t="s">
        <v>21</v>
      </c>
      <c r="F834" t="s">
        <v>363</v>
      </c>
      <c r="G834" t="s">
        <v>630</v>
      </c>
      <c r="H834" t="s">
        <v>569</v>
      </c>
      <c r="I834" t="s">
        <v>11</v>
      </c>
      <c r="J834" t="s">
        <v>631</v>
      </c>
      <c r="K834" t="s">
        <v>632</v>
      </c>
      <c r="L834" t="s">
        <v>572</v>
      </c>
      <c r="M834">
        <v>54</v>
      </c>
      <c r="N834" t="b">
        <v>0</v>
      </c>
      <c r="O834">
        <v>0.8351648351648352</v>
      </c>
      <c r="R834" t="s">
        <v>670</v>
      </c>
      <c r="S834" t="s">
        <v>2095</v>
      </c>
      <c r="T834" t="s">
        <v>2096</v>
      </c>
      <c r="U834" t="b">
        <v>1</v>
      </c>
      <c r="V834" t="s">
        <v>63</v>
      </c>
      <c r="W834">
        <v>0.6</v>
      </c>
    </row>
    <row r="835" spans="1:23" hidden="1" x14ac:dyDescent="0.3">
      <c r="A835" t="s">
        <v>1629</v>
      </c>
      <c r="B835" t="s">
        <v>1630</v>
      </c>
      <c r="C835" t="s">
        <v>28</v>
      </c>
      <c r="D835" t="s">
        <v>20</v>
      </c>
      <c r="E835" t="s">
        <v>21</v>
      </c>
      <c r="F835" t="s">
        <v>363</v>
      </c>
      <c r="G835" t="s">
        <v>635</v>
      </c>
      <c r="H835" t="s">
        <v>569</v>
      </c>
      <c r="I835" t="s">
        <v>11</v>
      </c>
      <c r="J835" t="s">
        <v>636</v>
      </c>
      <c r="K835" t="s">
        <v>637</v>
      </c>
      <c r="L835" t="s">
        <v>572</v>
      </c>
      <c r="M835">
        <v>55</v>
      </c>
      <c r="N835" t="b">
        <v>0</v>
      </c>
      <c r="O835">
        <v>0.84531590413943347</v>
      </c>
      <c r="R835" t="s">
        <v>670</v>
      </c>
      <c r="S835" t="s">
        <v>2097</v>
      </c>
      <c r="T835" t="s">
        <v>2098</v>
      </c>
      <c r="U835" t="b">
        <v>1</v>
      </c>
      <c r="V835" t="s">
        <v>63</v>
      </c>
      <c r="W835">
        <v>0.6</v>
      </c>
    </row>
    <row r="836" spans="1:23" hidden="1" x14ac:dyDescent="0.3">
      <c r="A836" t="s">
        <v>1629</v>
      </c>
      <c r="B836" t="s">
        <v>1630</v>
      </c>
      <c r="C836" t="s">
        <v>28</v>
      </c>
      <c r="D836" t="s">
        <v>20</v>
      </c>
      <c r="E836" t="s">
        <v>21</v>
      </c>
      <c r="F836" t="s">
        <v>363</v>
      </c>
      <c r="G836" t="s">
        <v>640</v>
      </c>
      <c r="H836" t="s">
        <v>569</v>
      </c>
      <c r="I836" t="s">
        <v>11</v>
      </c>
      <c r="J836" t="s">
        <v>641</v>
      </c>
      <c r="K836" t="s">
        <v>642</v>
      </c>
      <c r="L836" t="s">
        <v>572</v>
      </c>
      <c r="M836">
        <v>56</v>
      </c>
      <c r="N836" t="b">
        <v>0</v>
      </c>
      <c r="O836">
        <v>0.84210526315789469</v>
      </c>
      <c r="R836" t="s">
        <v>670</v>
      </c>
      <c r="S836" t="s">
        <v>2099</v>
      </c>
      <c r="T836" t="s">
        <v>2100</v>
      </c>
      <c r="U836" t="b">
        <v>1</v>
      </c>
      <c r="V836" t="s">
        <v>63</v>
      </c>
      <c r="W836">
        <v>0</v>
      </c>
    </row>
    <row r="837" spans="1:23" hidden="1" x14ac:dyDescent="0.3">
      <c r="A837" t="s">
        <v>1629</v>
      </c>
      <c r="B837" t="s">
        <v>1630</v>
      </c>
      <c r="C837" t="s">
        <v>28</v>
      </c>
      <c r="D837" t="s">
        <v>20</v>
      </c>
      <c r="E837" t="s">
        <v>21</v>
      </c>
      <c r="F837" t="s">
        <v>363</v>
      </c>
      <c r="G837" t="s">
        <v>645</v>
      </c>
      <c r="H837" t="s">
        <v>569</v>
      </c>
      <c r="I837" t="s">
        <v>11</v>
      </c>
      <c r="J837" t="s">
        <v>646</v>
      </c>
      <c r="K837" t="s">
        <v>647</v>
      </c>
      <c r="L837" t="s">
        <v>572</v>
      </c>
      <c r="M837">
        <v>57</v>
      </c>
      <c r="N837" t="b">
        <v>0</v>
      </c>
      <c r="O837">
        <v>0.83406113537117899</v>
      </c>
      <c r="R837" t="s">
        <v>670</v>
      </c>
      <c r="S837" t="s">
        <v>2101</v>
      </c>
      <c r="T837" t="s">
        <v>2102</v>
      </c>
      <c r="U837" t="b">
        <v>1</v>
      </c>
      <c r="V837" t="s">
        <v>63</v>
      </c>
      <c r="W837">
        <v>0</v>
      </c>
    </row>
    <row r="838" spans="1:23" hidden="1" x14ac:dyDescent="0.3">
      <c r="A838" t="s">
        <v>1629</v>
      </c>
      <c r="B838" t="s">
        <v>1630</v>
      </c>
      <c r="C838" t="s">
        <v>28</v>
      </c>
      <c r="D838" t="s">
        <v>20</v>
      </c>
      <c r="E838" t="s">
        <v>21</v>
      </c>
      <c r="F838" t="s">
        <v>363</v>
      </c>
      <c r="G838" t="s">
        <v>650</v>
      </c>
      <c r="H838" t="s">
        <v>569</v>
      </c>
      <c r="I838" t="s">
        <v>11</v>
      </c>
      <c r="J838" t="s">
        <v>651</v>
      </c>
      <c r="K838" t="s">
        <v>652</v>
      </c>
      <c r="L838" t="s">
        <v>572</v>
      </c>
      <c r="M838">
        <v>58</v>
      </c>
      <c r="N838" t="b">
        <v>0</v>
      </c>
      <c r="O838">
        <v>0.83549783549783552</v>
      </c>
      <c r="R838" t="s">
        <v>670</v>
      </c>
      <c r="S838" t="s">
        <v>2103</v>
      </c>
      <c r="T838" t="s">
        <v>2104</v>
      </c>
      <c r="U838" t="b">
        <v>1</v>
      </c>
      <c r="V838" t="s">
        <v>63</v>
      </c>
      <c r="W838">
        <v>0</v>
      </c>
    </row>
    <row r="839" spans="1:23" hidden="1" x14ac:dyDescent="0.3">
      <c r="A839" t="s">
        <v>1629</v>
      </c>
      <c r="B839" t="s">
        <v>1630</v>
      </c>
      <c r="C839" t="s">
        <v>28</v>
      </c>
      <c r="D839" t="s">
        <v>20</v>
      </c>
      <c r="E839" t="s">
        <v>21</v>
      </c>
      <c r="F839" t="s">
        <v>363</v>
      </c>
      <c r="G839" t="s">
        <v>655</v>
      </c>
      <c r="H839" t="s">
        <v>569</v>
      </c>
      <c r="I839" t="s">
        <v>11</v>
      </c>
      <c r="J839" t="s">
        <v>656</v>
      </c>
      <c r="K839" t="s">
        <v>657</v>
      </c>
      <c r="L839" t="s">
        <v>572</v>
      </c>
      <c r="M839">
        <v>59</v>
      </c>
      <c r="N839" t="b">
        <v>0</v>
      </c>
      <c r="O839">
        <v>0.82560706401766004</v>
      </c>
      <c r="R839" t="s">
        <v>670</v>
      </c>
      <c r="S839" t="s">
        <v>2105</v>
      </c>
      <c r="T839" t="s">
        <v>2106</v>
      </c>
      <c r="U839" t="b">
        <v>1</v>
      </c>
      <c r="V839" t="s">
        <v>63</v>
      </c>
      <c r="W839">
        <v>0</v>
      </c>
    </row>
    <row r="840" spans="1:23" hidden="1" x14ac:dyDescent="0.3">
      <c r="A840" t="s">
        <v>1629</v>
      </c>
      <c r="B840" t="s">
        <v>1630</v>
      </c>
      <c r="C840" t="s">
        <v>28</v>
      </c>
      <c r="D840" t="s">
        <v>20</v>
      </c>
      <c r="E840" t="s">
        <v>21</v>
      </c>
      <c r="F840" t="s">
        <v>363</v>
      </c>
      <c r="G840" t="s">
        <v>660</v>
      </c>
      <c r="H840" t="s">
        <v>569</v>
      </c>
      <c r="I840" t="s">
        <v>11</v>
      </c>
      <c r="J840" t="s">
        <v>661</v>
      </c>
      <c r="K840" t="s">
        <v>662</v>
      </c>
      <c r="L840" t="s">
        <v>572</v>
      </c>
      <c r="M840">
        <v>60</v>
      </c>
      <c r="N840" t="b">
        <v>0</v>
      </c>
      <c r="O840">
        <v>0.84279475982532748</v>
      </c>
      <c r="R840" t="s">
        <v>670</v>
      </c>
      <c r="S840" t="s">
        <v>2107</v>
      </c>
      <c r="T840" t="s">
        <v>2108</v>
      </c>
      <c r="U840" t="b">
        <v>1</v>
      </c>
      <c r="V840" t="s">
        <v>63</v>
      </c>
      <c r="W840">
        <v>0</v>
      </c>
    </row>
    <row r="841" spans="1:23" hidden="1" x14ac:dyDescent="0.3">
      <c r="A841" t="s">
        <v>1629</v>
      </c>
      <c r="B841" t="s">
        <v>1630</v>
      </c>
      <c r="C841" t="s">
        <v>28</v>
      </c>
      <c r="D841" t="s">
        <v>20</v>
      </c>
      <c r="E841" t="s">
        <v>21</v>
      </c>
      <c r="F841" t="s">
        <v>363</v>
      </c>
      <c r="G841" t="s">
        <v>665</v>
      </c>
      <c r="H841" t="s">
        <v>569</v>
      </c>
      <c r="I841" t="s">
        <v>11</v>
      </c>
      <c r="J841" t="s">
        <v>666</v>
      </c>
      <c r="K841" t="s">
        <v>667</v>
      </c>
      <c r="L841" t="s">
        <v>572</v>
      </c>
      <c r="M841">
        <v>61</v>
      </c>
      <c r="N841" t="b">
        <v>0</v>
      </c>
      <c r="O841">
        <v>0.84395604395604407</v>
      </c>
      <c r="R841" t="s">
        <v>670</v>
      </c>
      <c r="S841" t="s">
        <v>2109</v>
      </c>
      <c r="T841" t="s">
        <v>2110</v>
      </c>
      <c r="U841" t="b">
        <v>1</v>
      </c>
      <c r="V841" t="s">
        <v>63</v>
      </c>
      <c r="W841">
        <v>0</v>
      </c>
    </row>
    <row r="842" spans="1:23" hidden="1" x14ac:dyDescent="0.3">
      <c r="A842" t="s">
        <v>1629</v>
      </c>
      <c r="B842" t="s">
        <v>1630</v>
      </c>
      <c r="C842" t="s">
        <v>28</v>
      </c>
      <c r="D842" t="s">
        <v>22</v>
      </c>
      <c r="E842" t="s">
        <v>23</v>
      </c>
      <c r="F842" t="s">
        <v>54</v>
      </c>
      <c r="G842" t="s">
        <v>55</v>
      </c>
      <c r="H842" t="s">
        <v>56</v>
      </c>
      <c r="I842" t="s">
        <v>7</v>
      </c>
      <c r="J842" t="s">
        <v>57</v>
      </c>
      <c r="K842" t="s">
        <v>58</v>
      </c>
      <c r="L842" t="s">
        <v>59</v>
      </c>
      <c r="M842">
        <v>42</v>
      </c>
      <c r="N842" t="b">
        <v>1</v>
      </c>
      <c r="O842">
        <v>0.7116564417177913</v>
      </c>
      <c r="P842">
        <v>0.6718146718146718</v>
      </c>
      <c r="Q842">
        <v>0.75652173913043474</v>
      </c>
      <c r="R842" t="s">
        <v>60</v>
      </c>
      <c r="S842" t="s">
        <v>2111</v>
      </c>
      <c r="T842" t="s">
        <v>2112</v>
      </c>
      <c r="U842" t="b">
        <v>1</v>
      </c>
      <c r="V842" t="s">
        <v>63</v>
      </c>
      <c r="W842">
        <v>7</v>
      </c>
    </row>
    <row r="843" spans="1:23" hidden="1" x14ac:dyDescent="0.3">
      <c r="A843" t="s">
        <v>1629</v>
      </c>
      <c r="B843" t="s">
        <v>1630</v>
      </c>
      <c r="C843" t="s">
        <v>28</v>
      </c>
      <c r="D843" t="s">
        <v>22</v>
      </c>
      <c r="E843" t="s">
        <v>23</v>
      </c>
      <c r="F843" t="s">
        <v>54</v>
      </c>
      <c r="G843" t="s">
        <v>64</v>
      </c>
      <c r="H843" t="s">
        <v>56</v>
      </c>
      <c r="I843" t="s">
        <v>7</v>
      </c>
      <c r="J843" t="s">
        <v>65</v>
      </c>
      <c r="K843" t="s">
        <v>66</v>
      </c>
      <c r="L843" t="s">
        <v>59</v>
      </c>
      <c r="M843">
        <v>43</v>
      </c>
      <c r="N843" t="b">
        <v>1</v>
      </c>
      <c r="O843">
        <v>0.51717171717171717</v>
      </c>
      <c r="P843">
        <v>0.48301886792452831</v>
      </c>
      <c r="Q843">
        <v>0.55652173913043479</v>
      </c>
      <c r="R843" t="s">
        <v>60</v>
      </c>
      <c r="S843" t="s">
        <v>2113</v>
      </c>
      <c r="T843" t="s">
        <v>2114</v>
      </c>
      <c r="U843" t="b">
        <v>1</v>
      </c>
      <c r="V843" t="s">
        <v>63</v>
      </c>
      <c r="W843">
        <v>2.9</v>
      </c>
    </row>
    <row r="844" spans="1:23" hidden="1" x14ac:dyDescent="0.3">
      <c r="A844" t="s">
        <v>1629</v>
      </c>
      <c r="B844" t="s">
        <v>1630</v>
      </c>
      <c r="C844" t="s">
        <v>28</v>
      </c>
      <c r="D844" t="s">
        <v>22</v>
      </c>
      <c r="E844" t="s">
        <v>23</v>
      </c>
      <c r="F844" t="s">
        <v>54</v>
      </c>
      <c r="G844" t="s">
        <v>69</v>
      </c>
      <c r="H844" t="s">
        <v>56</v>
      </c>
      <c r="I844" t="s">
        <v>7</v>
      </c>
      <c r="J844" t="s">
        <v>70</v>
      </c>
      <c r="K844" t="s">
        <v>71</v>
      </c>
      <c r="L844" t="s">
        <v>59</v>
      </c>
      <c r="M844">
        <v>44</v>
      </c>
      <c r="N844" t="b">
        <v>1</v>
      </c>
      <c r="O844">
        <v>0.58704453441295545</v>
      </c>
      <c r="P844">
        <v>0.5492424242424242</v>
      </c>
      <c r="Q844">
        <v>0.63043478260869568</v>
      </c>
      <c r="R844" t="s">
        <v>60</v>
      </c>
      <c r="S844" t="s">
        <v>2115</v>
      </c>
      <c r="T844" t="s">
        <v>2116</v>
      </c>
      <c r="U844" t="b">
        <v>1</v>
      </c>
      <c r="V844" t="s">
        <v>63</v>
      </c>
      <c r="W844">
        <v>1.7</v>
      </c>
    </row>
    <row r="845" spans="1:23" hidden="1" x14ac:dyDescent="0.3">
      <c r="A845" t="s">
        <v>1629</v>
      </c>
      <c r="B845" t="s">
        <v>1630</v>
      </c>
      <c r="C845" t="s">
        <v>28</v>
      </c>
      <c r="D845" t="s">
        <v>22</v>
      </c>
      <c r="E845" t="s">
        <v>23</v>
      </c>
      <c r="F845" t="s">
        <v>54</v>
      </c>
      <c r="G845" t="s">
        <v>74</v>
      </c>
      <c r="H845" t="s">
        <v>56</v>
      </c>
      <c r="I845" t="s">
        <v>7</v>
      </c>
      <c r="J845" t="s">
        <v>75</v>
      </c>
      <c r="K845" t="s">
        <v>76</v>
      </c>
      <c r="L845" t="s">
        <v>59</v>
      </c>
      <c r="M845">
        <v>45</v>
      </c>
      <c r="N845" t="b">
        <v>1</v>
      </c>
      <c r="O845">
        <v>0.72727272727272729</v>
      </c>
      <c r="P845">
        <v>0.69291338582677164</v>
      </c>
      <c r="Q845">
        <v>0.76521739130434785</v>
      </c>
      <c r="R845" t="s">
        <v>60</v>
      </c>
      <c r="S845" t="s">
        <v>2117</v>
      </c>
      <c r="T845" t="s">
        <v>2118</v>
      </c>
      <c r="U845" t="b">
        <v>1</v>
      </c>
      <c r="V845" t="s">
        <v>63</v>
      </c>
      <c r="W845">
        <v>3</v>
      </c>
    </row>
    <row r="846" spans="1:23" hidden="1" x14ac:dyDescent="0.3">
      <c r="A846" t="s">
        <v>1629</v>
      </c>
      <c r="B846" t="s">
        <v>1630</v>
      </c>
      <c r="C846" t="s">
        <v>28</v>
      </c>
      <c r="D846" t="s">
        <v>22</v>
      </c>
      <c r="E846" t="s">
        <v>23</v>
      </c>
      <c r="F846" t="s">
        <v>54</v>
      </c>
      <c r="G846" t="s">
        <v>79</v>
      </c>
      <c r="H846" t="s">
        <v>56</v>
      </c>
      <c r="I846" t="s">
        <v>7</v>
      </c>
      <c r="J846" t="s">
        <v>80</v>
      </c>
      <c r="K846" t="s">
        <v>81</v>
      </c>
      <c r="L846" t="s">
        <v>59</v>
      </c>
      <c r="M846">
        <v>46</v>
      </c>
      <c r="N846" t="b">
        <v>1</v>
      </c>
      <c r="O846">
        <v>0.55506607929515417</v>
      </c>
      <c r="P846">
        <v>0.5625</v>
      </c>
      <c r="Q846">
        <v>0.54782608695652169</v>
      </c>
      <c r="R846" t="s">
        <v>60</v>
      </c>
      <c r="S846" t="s">
        <v>2119</v>
      </c>
      <c r="T846" t="s">
        <v>2120</v>
      </c>
      <c r="U846" t="b">
        <v>1</v>
      </c>
      <c r="V846" t="s">
        <v>63</v>
      </c>
      <c r="W846">
        <v>1.4</v>
      </c>
    </row>
    <row r="847" spans="1:23" hidden="1" x14ac:dyDescent="0.3">
      <c r="A847" t="s">
        <v>1629</v>
      </c>
      <c r="B847" t="s">
        <v>1630</v>
      </c>
      <c r="C847" t="s">
        <v>28</v>
      </c>
      <c r="D847" t="s">
        <v>22</v>
      </c>
      <c r="E847" t="s">
        <v>23</v>
      </c>
      <c r="F847" t="s">
        <v>54</v>
      </c>
      <c r="G847" t="s">
        <v>84</v>
      </c>
      <c r="H847" t="s">
        <v>56</v>
      </c>
      <c r="I847" t="s">
        <v>7</v>
      </c>
      <c r="J847" t="s">
        <v>85</v>
      </c>
      <c r="K847" t="s">
        <v>86</v>
      </c>
      <c r="L847" t="s">
        <v>59</v>
      </c>
      <c r="M847">
        <v>47</v>
      </c>
      <c r="N847" t="b">
        <v>1</v>
      </c>
      <c r="O847">
        <v>0.73100616016427111</v>
      </c>
      <c r="P847">
        <v>0.69260700389105057</v>
      </c>
      <c r="Q847">
        <v>0.77391304347826084</v>
      </c>
      <c r="R847" t="s">
        <v>60</v>
      </c>
      <c r="S847" t="s">
        <v>2121</v>
      </c>
      <c r="T847" t="s">
        <v>2122</v>
      </c>
      <c r="U847" t="b">
        <v>1</v>
      </c>
      <c r="V847" t="s">
        <v>63</v>
      </c>
      <c r="W847">
        <v>1.4</v>
      </c>
    </row>
    <row r="848" spans="1:23" hidden="1" x14ac:dyDescent="0.3">
      <c r="A848" t="s">
        <v>1629</v>
      </c>
      <c r="B848" t="s">
        <v>1630</v>
      </c>
      <c r="C848" t="s">
        <v>28</v>
      </c>
      <c r="D848" t="s">
        <v>22</v>
      </c>
      <c r="E848" t="s">
        <v>23</v>
      </c>
      <c r="F848" t="s">
        <v>54</v>
      </c>
      <c r="G848" t="s">
        <v>89</v>
      </c>
      <c r="H848" t="s">
        <v>56</v>
      </c>
      <c r="I848" t="s">
        <v>7</v>
      </c>
      <c r="J848" t="s">
        <v>90</v>
      </c>
      <c r="K848" t="s">
        <v>91</v>
      </c>
      <c r="L848" t="s">
        <v>59</v>
      </c>
      <c r="M848">
        <v>48</v>
      </c>
      <c r="N848" t="b">
        <v>1</v>
      </c>
      <c r="O848">
        <v>0.75744680851063839</v>
      </c>
      <c r="P848">
        <v>0.7416666666666667</v>
      </c>
      <c r="Q848">
        <v>0.77391304347826084</v>
      </c>
      <c r="R848" t="s">
        <v>60</v>
      </c>
      <c r="S848" t="s">
        <v>2123</v>
      </c>
      <c r="T848" t="s">
        <v>2124</v>
      </c>
      <c r="U848" t="b">
        <v>1</v>
      </c>
      <c r="V848" t="s">
        <v>63</v>
      </c>
      <c r="W848">
        <v>1.4</v>
      </c>
    </row>
    <row r="849" spans="1:23" hidden="1" x14ac:dyDescent="0.3">
      <c r="A849" t="s">
        <v>1629</v>
      </c>
      <c r="B849" t="s">
        <v>1630</v>
      </c>
      <c r="C849" t="s">
        <v>28</v>
      </c>
      <c r="D849" t="s">
        <v>22</v>
      </c>
      <c r="E849" t="s">
        <v>23</v>
      </c>
      <c r="F849" t="s">
        <v>54</v>
      </c>
      <c r="G849" t="s">
        <v>94</v>
      </c>
      <c r="H849" t="s">
        <v>56</v>
      </c>
      <c r="I849" t="s">
        <v>7</v>
      </c>
      <c r="J849" t="s">
        <v>95</v>
      </c>
      <c r="K849" t="s">
        <v>96</v>
      </c>
      <c r="L849" t="s">
        <v>59</v>
      </c>
      <c r="M849">
        <v>49</v>
      </c>
      <c r="N849" t="b">
        <v>1</v>
      </c>
      <c r="O849">
        <v>0.73210633946830261</v>
      </c>
      <c r="P849">
        <v>0.69111969111969107</v>
      </c>
      <c r="Q849">
        <v>0.77826086956521734</v>
      </c>
      <c r="R849" t="s">
        <v>60</v>
      </c>
      <c r="S849" t="s">
        <v>2125</v>
      </c>
      <c r="T849" t="s">
        <v>2126</v>
      </c>
      <c r="U849" t="b">
        <v>1</v>
      </c>
      <c r="V849" t="s">
        <v>63</v>
      </c>
      <c r="W849">
        <v>1.4</v>
      </c>
    </row>
    <row r="850" spans="1:23" hidden="1" x14ac:dyDescent="0.3">
      <c r="A850" t="s">
        <v>1629</v>
      </c>
      <c r="B850" t="s">
        <v>1630</v>
      </c>
      <c r="C850" t="s">
        <v>28</v>
      </c>
      <c r="D850" t="s">
        <v>22</v>
      </c>
      <c r="E850" t="s">
        <v>23</v>
      </c>
      <c r="F850" t="s">
        <v>54</v>
      </c>
      <c r="G850" t="s">
        <v>99</v>
      </c>
      <c r="H850" t="s">
        <v>56</v>
      </c>
      <c r="I850" t="s">
        <v>7</v>
      </c>
      <c r="J850" t="s">
        <v>100</v>
      </c>
      <c r="K850" t="s">
        <v>101</v>
      </c>
      <c r="L850" t="s">
        <v>59</v>
      </c>
      <c r="M850">
        <v>50</v>
      </c>
      <c r="N850" t="b">
        <v>1</v>
      </c>
      <c r="O850">
        <v>0.73949579831932788</v>
      </c>
      <c r="P850">
        <v>0.71544715447154472</v>
      </c>
      <c r="Q850">
        <v>0.76521739130434785</v>
      </c>
      <c r="R850" t="s">
        <v>60</v>
      </c>
      <c r="S850" t="s">
        <v>2127</v>
      </c>
      <c r="T850" t="s">
        <v>2128</v>
      </c>
      <c r="U850" t="b">
        <v>1</v>
      </c>
      <c r="V850" t="s">
        <v>63</v>
      </c>
      <c r="W850">
        <v>1.6</v>
      </c>
    </row>
    <row r="851" spans="1:23" hidden="1" x14ac:dyDescent="0.3">
      <c r="A851" t="s">
        <v>1629</v>
      </c>
      <c r="B851" t="s">
        <v>1630</v>
      </c>
      <c r="C851" t="s">
        <v>28</v>
      </c>
      <c r="D851" t="s">
        <v>22</v>
      </c>
      <c r="E851" t="s">
        <v>23</v>
      </c>
      <c r="F851" t="s">
        <v>54</v>
      </c>
      <c r="G851" t="s">
        <v>104</v>
      </c>
      <c r="H851" t="s">
        <v>56</v>
      </c>
      <c r="I851" t="s">
        <v>7</v>
      </c>
      <c r="J851" t="s">
        <v>105</v>
      </c>
      <c r="K851" t="s">
        <v>106</v>
      </c>
      <c r="L851" t="s">
        <v>59</v>
      </c>
      <c r="M851">
        <v>51</v>
      </c>
      <c r="N851" t="b">
        <v>1</v>
      </c>
      <c r="O851">
        <v>0.46575342465753428</v>
      </c>
      <c r="P851">
        <v>0.49038461538461542</v>
      </c>
      <c r="Q851">
        <v>0.44347826086956521</v>
      </c>
      <c r="R851" t="s">
        <v>60</v>
      </c>
      <c r="S851" t="s">
        <v>2129</v>
      </c>
      <c r="T851" t="s">
        <v>2130</v>
      </c>
      <c r="U851" t="b">
        <v>1</v>
      </c>
      <c r="V851" t="s">
        <v>63</v>
      </c>
      <c r="W851">
        <v>1.8</v>
      </c>
    </row>
    <row r="852" spans="1:23" hidden="1" x14ac:dyDescent="0.3">
      <c r="A852" t="s">
        <v>1629</v>
      </c>
      <c r="B852" t="s">
        <v>1630</v>
      </c>
      <c r="C852" t="s">
        <v>28</v>
      </c>
      <c r="D852" t="s">
        <v>22</v>
      </c>
      <c r="E852" t="s">
        <v>23</v>
      </c>
      <c r="F852" t="s">
        <v>54</v>
      </c>
      <c r="G852" t="s">
        <v>109</v>
      </c>
      <c r="H852" t="s">
        <v>56</v>
      </c>
      <c r="I852" t="s">
        <v>7</v>
      </c>
      <c r="J852" t="s">
        <v>110</v>
      </c>
      <c r="K852" t="s">
        <v>111</v>
      </c>
      <c r="L852" t="s">
        <v>59</v>
      </c>
      <c r="M852">
        <v>52</v>
      </c>
      <c r="N852" t="b">
        <v>1</v>
      </c>
      <c r="O852">
        <v>0.73903966597077242</v>
      </c>
      <c r="P852">
        <v>0.71084337349397586</v>
      </c>
      <c r="Q852">
        <v>0.76956521739130435</v>
      </c>
      <c r="R852" t="s">
        <v>60</v>
      </c>
      <c r="S852" t="s">
        <v>2131</v>
      </c>
      <c r="T852" t="s">
        <v>2132</v>
      </c>
      <c r="U852" t="b">
        <v>1</v>
      </c>
      <c r="V852" t="s">
        <v>63</v>
      </c>
      <c r="W852">
        <v>1.4</v>
      </c>
    </row>
    <row r="853" spans="1:23" hidden="1" x14ac:dyDescent="0.3">
      <c r="A853" t="s">
        <v>1629</v>
      </c>
      <c r="B853" t="s">
        <v>1630</v>
      </c>
      <c r="C853" t="s">
        <v>28</v>
      </c>
      <c r="D853" t="s">
        <v>22</v>
      </c>
      <c r="E853" t="s">
        <v>23</v>
      </c>
      <c r="F853" t="s">
        <v>54</v>
      </c>
      <c r="G853" t="s">
        <v>114</v>
      </c>
      <c r="H853" t="s">
        <v>56</v>
      </c>
      <c r="I853" t="s">
        <v>7</v>
      </c>
      <c r="J853" t="s">
        <v>115</v>
      </c>
      <c r="K853" t="s">
        <v>116</v>
      </c>
      <c r="L853" t="s">
        <v>59</v>
      </c>
      <c r="M853">
        <v>53</v>
      </c>
      <c r="N853" t="b">
        <v>1</v>
      </c>
      <c r="O853">
        <v>0.47266881028938901</v>
      </c>
      <c r="P853">
        <v>0.375</v>
      </c>
      <c r="Q853">
        <v>0.63913043478260867</v>
      </c>
      <c r="R853" t="s">
        <v>60</v>
      </c>
      <c r="S853" t="s">
        <v>2133</v>
      </c>
      <c r="T853" t="s">
        <v>2134</v>
      </c>
      <c r="U853" t="b">
        <v>1</v>
      </c>
      <c r="V853" t="s">
        <v>63</v>
      </c>
      <c r="W853">
        <v>1.5</v>
      </c>
    </row>
    <row r="854" spans="1:23" hidden="1" x14ac:dyDescent="0.3">
      <c r="A854" t="s">
        <v>1629</v>
      </c>
      <c r="B854" t="s">
        <v>1630</v>
      </c>
      <c r="C854" t="s">
        <v>28</v>
      </c>
      <c r="D854" t="s">
        <v>22</v>
      </c>
      <c r="E854" t="s">
        <v>23</v>
      </c>
      <c r="F854" t="s">
        <v>54</v>
      </c>
      <c r="G854" t="s">
        <v>119</v>
      </c>
      <c r="H854" t="s">
        <v>56</v>
      </c>
      <c r="I854" t="s">
        <v>7</v>
      </c>
      <c r="J854" t="s">
        <v>120</v>
      </c>
      <c r="K854" t="s">
        <v>121</v>
      </c>
      <c r="L854" t="s">
        <v>59</v>
      </c>
      <c r="M854">
        <v>54</v>
      </c>
      <c r="N854" t="b">
        <v>1</v>
      </c>
      <c r="O854">
        <v>0.51494252873563218</v>
      </c>
      <c r="P854">
        <v>0.54634146341463419</v>
      </c>
      <c r="Q854">
        <v>0.48695652173913051</v>
      </c>
      <c r="R854" t="s">
        <v>60</v>
      </c>
      <c r="S854" t="s">
        <v>2135</v>
      </c>
      <c r="T854" t="s">
        <v>2136</v>
      </c>
      <c r="U854" t="b">
        <v>1</v>
      </c>
      <c r="V854" t="s">
        <v>63</v>
      </c>
      <c r="W854">
        <v>1.4</v>
      </c>
    </row>
    <row r="855" spans="1:23" hidden="1" x14ac:dyDescent="0.3">
      <c r="A855" t="s">
        <v>1629</v>
      </c>
      <c r="B855" t="s">
        <v>1630</v>
      </c>
      <c r="C855" t="s">
        <v>28</v>
      </c>
      <c r="D855" t="s">
        <v>22</v>
      </c>
      <c r="E855" t="s">
        <v>23</v>
      </c>
      <c r="F855" t="s">
        <v>54</v>
      </c>
      <c r="G855" t="s">
        <v>124</v>
      </c>
      <c r="H855" t="s">
        <v>56</v>
      </c>
      <c r="I855" t="s">
        <v>7</v>
      </c>
      <c r="J855" t="s">
        <v>125</v>
      </c>
      <c r="K855" t="s">
        <v>126</v>
      </c>
      <c r="L855" t="s">
        <v>59</v>
      </c>
      <c r="M855">
        <v>55</v>
      </c>
      <c r="N855" t="b">
        <v>1</v>
      </c>
      <c r="O855">
        <v>0.53333333333333321</v>
      </c>
      <c r="P855">
        <v>0.54545454545454541</v>
      </c>
      <c r="Q855">
        <v>0.52173913043478259</v>
      </c>
      <c r="R855" t="s">
        <v>60</v>
      </c>
      <c r="S855" t="s">
        <v>2137</v>
      </c>
      <c r="T855" t="s">
        <v>2138</v>
      </c>
      <c r="U855" t="b">
        <v>1</v>
      </c>
      <c r="V855" t="s">
        <v>63</v>
      </c>
      <c r="W855">
        <v>1.4</v>
      </c>
    </row>
    <row r="856" spans="1:23" hidden="1" x14ac:dyDescent="0.3">
      <c r="A856" t="s">
        <v>1629</v>
      </c>
      <c r="B856" t="s">
        <v>1630</v>
      </c>
      <c r="C856" t="s">
        <v>28</v>
      </c>
      <c r="D856" t="s">
        <v>22</v>
      </c>
      <c r="E856" t="s">
        <v>23</v>
      </c>
      <c r="F856" t="s">
        <v>54</v>
      </c>
      <c r="G856" t="s">
        <v>129</v>
      </c>
      <c r="H856" t="s">
        <v>56</v>
      </c>
      <c r="I856" t="s">
        <v>7</v>
      </c>
      <c r="J856" t="s">
        <v>130</v>
      </c>
      <c r="K856" t="s">
        <v>131</v>
      </c>
      <c r="L856" t="s">
        <v>59</v>
      </c>
      <c r="M856">
        <v>56</v>
      </c>
      <c r="N856" t="b">
        <v>1</v>
      </c>
      <c r="O856">
        <v>0.75463917525773194</v>
      </c>
      <c r="P856">
        <v>0.71764705882352942</v>
      </c>
      <c r="Q856">
        <v>0.79565217391304344</v>
      </c>
      <c r="R856" t="s">
        <v>60</v>
      </c>
      <c r="S856" t="s">
        <v>2139</v>
      </c>
      <c r="T856" t="s">
        <v>2140</v>
      </c>
      <c r="U856" t="b">
        <v>1</v>
      </c>
      <c r="V856" t="s">
        <v>63</v>
      </c>
      <c r="W856">
        <v>1.8</v>
      </c>
    </row>
    <row r="857" spans="1:23" hidden="1" x14ac:dyDescent="0.3">
      <c r="A857" t="s">
        <v>1629</v>
      </c>
      <c r="B857" t="s">
        <v>1630</v>
      </c>
      <c r="C857" t="s">
        <v>28</v>
      </c>
      <c r="D857" t="s">
        <v>22</v>
      </c>
      <c r="E857" t="s">
        <v>23</v>
      </c>
      <c r="F857" t="s">
        <v>54</v>
      </c>
      <c r="G857" t="s">
        <v>134</v>
      </c>
      <c r="H857" t="s">
        <v>56</v>
      </c>
      <c r="I857" t="s">
        <v>7</v>
      </c>
      <c r="J857" t="s">
        <v>135</v>
      </c>
      <c r="K857" t="s">
        <v>136</v>
      </c>
      <c r="L857" t="s">
        <v>59</v>
      </c>
      <c r="M857">
        <v>57</v>
      </c>
      <c r="N857" t="b">
        <v>1</v>
      </c>
      <c r="O857">
        <v>0.54669703872437359</v>
      </c>
      <c r="P857">
        <v>0.57416267942583732</v>
      </c>
      <c r="Q857">
        <v>0.52173913043478259</v>
      </c>
      <c r="R857" t="s">
        <v>60</v>
      </c>
      <c r="S857" t="s">
        <v>2141</v>
      </c>
      <c r="T857" t="s">
        <v>2142</v>
      </c>
      <c r="U857" t="b">
        <v>1</v>
      </c>
      <c r="V857" t="s">
        <v>63</v>
      </c>
      <c r="W857">
        <v>1.5</v>
      </c>
    </row>
    <row r="858" spans="1:23" hidden="1" x14ac:dyDescent="0.3">
      <c r="A858" t="s">
        <v>1629</v>
      </c>
      <c r="B858" t="s">
        <v>1630</v>
      </c>
      <c r="C858" t="s">
        <v>28</v>
      </c>
      <c r="D858" t="s">
        <v>22</v>
      </c>
      <c r="E858" t="s">
        <v>23</v>
      </c>
      <c r="F858" t="s">
        <v>54</v>
      </c>
      <c r="G858" t="s">
        <v>139</v>
      </c>
      <c r="H858" t="s">
        <v>56</v>
      </c>
      <c r="I858" t="s">
        <v>7</v>
      </c>
      <c r="J858" t="s">
        <v>140</v>
      </c>
      <c r="K858" t="s">
        <v>141</v>
      </c>
      <c r="L858" t="s">
        <v>59</v>
      </c>
      <c r="M858">
        <v>58</v>
      </c>
      <c r="N858" t="b">
        <v>1</v>
      </c>
      <c r="O858">
        <v>0.75259875259875264</v>
      </c>
      <c r="P858">
        <v>0.7211155378486056</v>
      </c>
      <c r="Q858">
        <v>0.78695652173913044</v>
      </c>
      <c r="R858" t="s">
        <v>60</v>
      </c>
      <c r="S858" t="s">
        <v>2143</v>
      </c>
      <c r="T858" t="s">
        <v>2144</v>
      </c>
      <c r="U858" t="b">
        <v>1</v>
      </c>
      <c r="V858" t="s">
        <v>63</v>
      </c>
      <c r="W858">
        <v>1.4</v>
      </c>
    </row>
    <row r="859" spans="1:23" hidden="1" x14ac:dyDescent="0.3">
      <c r="A859" t="s">
        <v>1629</v>
      </c>
      <c r="B859" t="s">
        <v>1630</v>
      </c>
      <c r="C859" t="s">
        <v>28</v>
      </c>
      <c r="D859" t="s">
        <v>22</v>
      </c>
      <c r="E859" t="s">
        <v>23</v>
      </c>
      <c r="F859" t="s">
        <v>54</v>
      </c>
      <c r="G859" t="s">
        <v>144</v>
      </c>
      <c r="H859" t="s">
        <v>56</v>
      </c>
      <c r="I859" t="s">
        <v>7</v>
      </c>
      <c r="J859" t="s">
        <v>145</v>
      </c>
      <c r="K859" t="s">
        <v>146</v>
      </c>
      <c r="L859" t="s">
        <v>59</v>
      </c>
      <c r="M859">
        <v>59</v>
      </c>
      <c r="N859" t="b">
        <v>1</v>
      </c>
      <c r="O859">
        <v>0.73511293634496921</v>
      </c>
      <c r="P859">
        <v>0.69649805447470814</v>
      </c>
      <c r="Q859">
        <v>0.77826086956521734</v>
      </c>
      <c r="R859" t="s">
        <v>60</v>
      </c>
      <c r="S859" t="s">
        <v>2145</v>
      </c>
      <c r="T859" t="s">
        <v>2146</v>
      </c>
      <c r="U859" t="b">
        <v>1</v>
      </c>
      <c r="V859" t="s">
        <v>63</v>
      </c>
      <c r="W859">
        <v>1.4</v>
      </c>
    </row>
    <row r="860" spans="1:23" hidden="1" x14ac:dyDescent="0.3">
      <c r="A860" t="s">
        <v>1629</v>
      </c>
      <c r="B860" t="s">
        <v>1630</v>
      </c>
      <c r="C860" t="s">
        <v>28</v>
      </c>
      <c r="D860" t="s">
        <v>22</v>
      </c>
      <c r="E860" t="s">
        <v>23</v>
      </c>
      <c r="F860" t="s">
        <v>54</v>
      </c>
      <c r="G860" t="s">
        <v>149</v>
      </c>
      <c r="H860" t="s">
        <v>56</v>
      </c>
      <c r="I860" t="s">
        <v>7</v>
      </c>
      <c r="J860" t="s">
        <v>150</v>
      </c>
      <c r="K860" t="s">
        <v>151</v>
      </c>
      <c r="L860" t="s">
        <v>59</v>
      </c>
      <c r="M860">
        <v>60</v>
      </c>
      <c r="N860" t="b">
        <v>1</v>
      </c>
      <c r="O860">
        <v>0.6064030131826742</v>
      </c>
      <c r="P860">
        <v>0.53488372093023251</v>
      </c>
      <c r="Q860">
        <v>0.7</v>
      </c>
      <c r="R860" t="s">
        <v>60</v>
      </c>
      <c r="S860" t="s">
        <v>2147</v>
      </c>
      <c r="T860" t="s">
        <v>2148</v>
      </c>
      <c r="U860" t="b">
        <v>1</v>
      </c>
      <c r="V860" t="s">
        <v>63</v>
      </c>
      <c r="W860">
        <v>1.4</v>
      </c>
    </row>
    <row r="861" spans="1:23" hidden="1" x14ac:dyDescent="0.3">
      <c r="A861" t="s">
        <v>1629</v>
      </c>
      <c r="B861" t="s">
        <v>1630</v>
      </c>
      <c r="C861" t="s">
        <v>28</v>
      </c>
      <c r="D861" t="s">
        <v>22</v>
      </c>
      <c r="E861" t="s">
        <v>23</v>
      </c>
      <c r="F861" t="s">
        <v>54</v>
      </c>
      <c r="G861" t="s">
        <v>154</v>
      </c>
      <c r="H861" t="s">
        <v>56</v>
      </c>
      <c r="I861" t="s">
        <v>7</v>
      </c>
      <c r="J861" t="s">
        <v>155</v>
      </c>
      <c r="K861" t="s">
        <v>156</v>
      </c>
      <c r="L861" t="s">
        <v>59</v>
      </c>
      <c r="M861">
        <v>61</v>
      </c>
      <c r="N861" t="b">
        <v>1</v>
      </c>
      <c r="O861">
        <v>0.5233265720081135</v>
      </c>
      <c r="P861">
        <v>0.49049429657794669</v>
      </c>
      <c r="Q861">
        <v>0.56086956521739129</v>
      </c>
      <c r="R861" t="s">
        <v>60</v>
      </c>
      <c r="S861" t="s">
        <v>2149</v>
      </c>
      <c r="T861" t="s">
        <v>2150</v>
      </c>
      <c r="U861" t="b">
        <v>1</v>
      </c>
      <c r="V861" t="s">
        <v>63</v>
      </c>
      <c r="W861">
        <v>1.5</v>
      </c>
    </row>
    <row r="862" spans="1:23" hidden="1" x14ac:dyDescent="0.3">
      <c r="A862" t="s">
        <v>1629</v>
      </c>
      <c r="B862" t="s">
        <v>1630</v>
      </c>
      <c r="C862" t="s">
        <v>28</v>
      </c>
      <c r="D862" t="s">
        <v>22</v>
      </c>
      <c r="E862" t="s">
        <v>23</v>
      </c>
      <c r="F862" t="s">
        <v>54</v>
      </c>
      <c r="G862" t="s">
        <v>159</v>
      </c>
      <c r="H862" t="s">
        <v>160</v>
      </c>
      <c r="I862" t="s">
        <v>3</v>
      </c>
      <c r="J862" t="s">
        <v>161</v>
      </c>
      <c r="K862" t="s">
        <v>162</v>
      </c>
      <c r="L862" t="s">
        <v>163</v>
      </c>
      <c r="M862">
        <v>42</v>
      </c>
      <c r="N862" t="b">
        <v>0</v>
      </c>
      <c r="O862">
        <v>0.43943661971830988</v>
      </c>
      <c r="P862">
        <v>0.41935483870967738</v>
      </c>
      <c r="Q862">
        <v>0.46153846153846162</v>
      </c>
      <c r="R862" t="s">
        <v>60</v>
      </c>
      <c r="S862" t="s">
        <v>2151</v>
      </c>
      <c r="T862" t="s">
        <v>2152</v>
      </c>
      <c r="U862" t="b">
        <v>1</v>
      </c>
      <c r="V862" t="s">
        <v>63</v>
      </c>
      <c r="W862">
        <v>1.4</v>
      </c>
    </row>
    <row r="863" spans="1:23" hidden="1" x14ac:dyDescent="0.3">
      <c r="A863" t="s">
        <v>1629</v>
      </c>
      <c r="B863" t="s">
        <v>1630</v>
      </c>
      <c r="C863" t="s">
        <v>28</v>
      </c>
      <c r="D863" t="s">
        <v>22</v>
      </c>
      <c r="E863" t="s">
        <v>23</v>
      </c>
      <c r="F863" t="s">
        <v>54</v>
      </c>
      <c r="G863" t="s">
        <v>166</v>
      </c>
      <c r="H863" t="s">
        <v>160</v>
      </c>
      <c r="I863" t="s">
        <v>3</v>
      </c>
      <c r="J863" t="s">
        <v>167</v>
      </c>
      <c r="K863" t="s">
        <v>168</v>
      </c>
      <c r="L863" t="s">
        <v>163</v>
      </c>
      <c r="M863">
        <v>43</v>
      </c>
      <c r="N863" t="b">
        <v>0</v>
      </c>
      <c r="O863">
        <v>0.61369863013698622</v>
      </c>
      <c r="P863">
        <v>0.5714285714285714</v>
      </c>
      <c r="Q863">
        <v>0.66272189349112431</v>
      </c>
      <c r="R863" t="s">
        <v>60</v>
      </c>
      <c r="S863" t="s">
        <v>2153</v>
      </c>
      <c r="T863" t="s">
        <v>2154</v>
      </c>
      <c r="U863" t="b">
        <v>1</v>
      </c>
      <c r="V863" t="s">
        <v>63</v>
      </c>
      <c r="W863">
        <v>1.7</v>
      </c>
    </row>
    <row r="864" spans="1:23" hidden="1" x14ac:dyDescent="0.3">
      <c r="A864" t="s">
        <v>1629</v>
      </c>
      <c r="B864" t="s">
        <v>1630</v>
      </c>
      <c r="C864" t="s">
        <v>28</v>
      </c>
      <c r="D864" t="s">
        <v>22</v>
      </c>
      <c r="E864" t="s">
        <v>23</v>
      </c>
      <c r="F864" t="s">
        <v>54</v>
      </c>
      <c r="G864" t="s">
        <v>171</v>
      </c>
      <c r="H864" t="s">
        <v>160</v>
      </c>
      <c r="I864" t="s">
        <v>3</v>
      </c>
      <c r="J864" t="s">
        <v>172</v>
      </c>
      <c r="K864" t="s">
        <v>173</v>
      </c>
      <c r="L864" t="s">
        <v>163</v>
      </c>
      <c r="M864">
        <v>44</v>
      </c>
      <c r="N864" t="b">
        <v>0</v>
      </c>
      <c r="O864">
        <v>0.57894736842105265</v>
      </c>
      <c r="P864">
        <v>0.52132701421800953</v>
      </c>
      <c r="Q864">
        <v>0.65088757396449703</v>
      </c>
      <c r="R864" t="s">
        <v>60</v>
      </c>
      <c r="S864" t="s">
        <v>2155</v>
      </c>
      <c r="T864" t="s">
        <v>2156</v>
      </c>
      <c r="U864" t="b">
        <v>1</v>
      </c>
      <c r="V864" t="s">
        <v>63</v>
      </c>
      <c r="W864">
        <v>1.4</v>
      </c>
    </row>
    <row r="865" spans="1:23" hidden="1" x14ac:dyDescent="0.3">
      <c r="A865" t="s">
        <v>1629</v>
      </c>
      <c r="B865" t="s">
        <v>1630</v>
      </c>
      <c r="C865" t="s">
        <v>28</v>
      </c>
      <c r="D865" t="s">
        <v>22</v>
      </c>
      <c r="E865" t="s">
        <v>23</v>
      </c>
      <c r="F865" t="s">
        <v>54</v>
      </c>
      <c r="G865" t="s">
        <v>176</v>
      </c>
      <c r="H865" t="s">
        <v>160</v>
      </c>
      <c r="I865" t="s">
        <v>3</v>
      </c>
      <c r="J865" t="s">
        <v>177</v>
      </c>
      <c r="K865" t="s">
        <v>178</v>
      </c>
      <c r="L865" t="s">
        <v>163</v>
      </c>
      <c r="M865">
        <v>45</v>
      </c>
      <c r="N865" t="b">
        <v>0</v>
      </c>
      <c r="O865">
        <v>0.67553191489361697</v>
      </c>
      <c r="P865">
        <v>0.61352657004830913</v>
      </c>
      <c r="Q865">
        <v>0.75147928994082835</v>
      </c>
      <c r="R865" t="s">
        <v>60</v>
      </c>
      <c r="S865" t="s">
        <v>2157</v>
      </c>
      <c r="T865" t="s">
        <v>2158</v>
      </c>
      <c r="U865" t="b">
        <v>1</v>
      </c>
      <c r="V865" t="s">
        <v>63</v>
      </c>
      <c r="W865">
        <v>1.4</v>
      </c>
    </row>
    <row r="866" spans="1:23" hidden="1" x14ac:dyDescent="0.3">
      <c r="A866" t="s">
        <v>1629</v>
      </c>
      <c r="B866" t="s">
        <v>1630</v>
      </c>
      <c r="C866" t="s">
        <v>28</v>
      </c>
      <c r="D866" t="s">
        <v>22</v>
      </c>
      <c r="E866" t="s">
        <v>23</v>
      </c>
      <c r="F866" t="s">
        <v>54</v>
      </c>
      <c r="G866" t="s">
        <v>181</v>
      </c>
      <c r="H866" t="s">
        <v>160</v>
      </c>
      <c r="I866" t="s">
        <v>3</v>
      </c>
      <c r="J866" t="s">
        <v>182</v>
      </c>
      <c r="K866" t="s">
        <v>183</v>
      </c>
      <c r="L866" t="s">
        <v>163</v>
      </c>
      <c r="M866">
        <v>46</v>
      </c>
      <c r="N866" t="b">
        <v>0</v>
      </c>
      <c r="O866">
        <v>0.75338753387533874</v>
      </c>
      <c r="P866">
        <v>0.69499999999999995</v>
      </c>
      <c r="Q866">
        <v>0.8224852071005917</v>
      </c>
      <c r="R866" t="s">
        <v>60</v>
      </c>
      <c r="S866" t="s">
        <v>2159</v>
      </c>
      <c r="T866" t="s">
        <v>2160</v>
      </c>
      <c r="U866" t="b">
        <v>1</v>
      </c>
      <c r="V866" t="s">
        <v>63</v>
      </c>
      <c r="W866">
        <v>1.5</v>
      </c>
    </row>
    <row r="867" spans="1:23" hidden="1" x14ac:dyDescent="0.3">
      <c r="A867" t="s">
        <v>1629</v>
      </c>
      <c r="B867" t="s">
        <v>1630</v>
      </c>
      <c r="C867" t="s">
        <v>28</v>
      </c>
      <c r="D867" t="s">
        <v>22</v>
      </c>
      <c r="E867" t="s">
        <v>23</v>
      </c>
      <c r="F867" t="s">
        <v>54</v>
      </c>
      <c r="G867" t="s">
        <v>186</v>
      </c>
      <c r="H867" t="s">
        <v>160</v>
      </c>
      <c r="I867" t="s">
        <v>3</v>
      </c>
      <c r="J867" t="s">
        <v>187</v>
      </c>
      <c r="K867" t="s">
        <v>188</v>
      </c>
      <c r="L867" t="s">
        <v>163</v>
      </c>
      <c r="M867">
        <v>47</v>
      </c>
      <c r="N867" t="b">
        <v>0</v>
      </c>
      <c r="O867">
        <v>0.76502732240437155</v>
      </c>
      <c r="P867">
        <v>0.71065989847715738</v>
      </c>
      <c r="Q867">
        <v>0.82840236686390534</v>
      </c>
      <c r="R867" t="s">
        <v>60</v>
      </c>
      <c r="S867" t="s">
        <v>2161</v>
      </c>
      <c r="T867" t="s">
        <v>2162</v>
      </c>
      <c r="U867" t="b">
        <v>1</v>
      </c>
      <c r="V867" t="s">
        <v>63</v>
      </c>
      <c r="W867">
        <v>1.4</v>
      </c>
    </row>
    <row r="868" spans="1:23" hidden="1" x14ac:dyDescent="0.3">
      <c r="A868" t="s">
        <v>1629</v>
      </c>
      <c r="B868" t="s">
        <v>1630</v>
      </c>
      <c r="C868" t="s">
        <v>28</v>
      </c>
      <c r="D868" t="s">
        <v>22</v>
      </c>
      <c r="E868" t="s">
        <v>23</v>
      </c>
      <c r="F868" t="s">
        <v>54</v>
      </c>
      <c r="G868" t="s">
        <v>191</v>
      </c>
      <c r="H868" t="s">
        <v>160</v>
      </c>
      <c r="I868" t="s">
        <v>3</v>
      </c>
      <c r="J868" t="s">
        <v>192</v>
      </c>
      <c r="K868" t="s">
        <v>193</v>
      </c>
      <c r="L868" t="s">
        <v>163</v>
      </c>
      <c r="M868">
        <v>48</v>
      </c>
      <c r="N868" t="b">
        <v>0</v>
      </c>
      <c r="O868">
        <v>0.71708683473389345</v>
      </c>
      <c r="P868">
        <v>0.68085106382978722</v>
      </c>
      <c r="Q868">
        <v>0.75739644970414199</v>
      </c>
      <c r="R868" t="s">
        <v>60</v>
      </c>
      <c r="S868" t="s">
        <v>2163</v>
      </c>
      <c r="T868" t="s">
        <v>2164</v>
      </c>
      <c r="U868" t="b">
        <v>1</v>
      </c>
      <c r="V868" t="s">
        <v>63</v>
      </c>
      <c r="W868">
        <v>1.3</v>
      </c>
    </row>
    <row r="869" spans="1:23" hidden="1" x14ac:dyDescent="0.3">
      <c r="A869" t="s">
        <v>1629</v>
      </c>
      <c r="B869" t="s">
        <v>1630</v>
      </c>
      <c r="C869" t="s">
        <v>28</v>
      </c>
      <c r="D869" t="s">
        <v>22</v>
      </c>
      <c r="E869" t="s">
        <v>23</v>
      </c>
      <c r="F869" t="s">
        <v>54</v>
      </c>
      <c r="G869" t="s">
        <v>196</v>
      </c>
      <c r="H869" t="s">
        <v>160</v>
      </c>
      <c r="I869" t="s">
        <v>3</v>
      </c>
      <c r="J869" t="s">
        <v>197</v>
      </c>
      <c r="K869" t="s">
        <v>198</v>
      </c>
      <c r="L869" t="s">
        <v>163</v>
      </c>
      <c r="M869">
        <v>49</v>
      </c>
      <c r="N869" t="b">
        <v>0</v>
      </c>
      <c r="O869">
        <v>0.41095890410958902</v>
      </c>
      <c r="P869">
        <v>0.38265306122448978</v>
      </c>
      <c r="Q869">
        <v>0.4437869822485207</v>
      </c>
      <c r="R869" t="s">
        <v>60</v>
      </c>
      <c r="S869" t="s">
        <v>2165</v>
      </c>
      <c r="T869" t="s">
        <v>2166</v>
      </c>
      <c r="U869" t="b">
        <v>1</v>
      </c>
      <c r="V869" t="s">
        <v>63</v>
      </c>
      <c r="W869">
        <v>1.5</v>
      </c>
    </row>
    <row r="870" spans="1:23" hidden="1" x14ac:dyDescent="0.3">
      <c r="A870" t="s">
        <v>1629</v>
      </c>
      <c r="B870" t="s">
        <v>1630</v>
      </c>
      <c r="C870" t="s">
        <v>28</v>
      </c>
      <c r="D870" t="s">
        <v>22</v>
      </c>
      <c r="E870" t="s">
        <v>23</v>
      </c>
      <c r="F870" t="s">
        <v>54</v>
      </c>
      <c r="G870" t="s">
        <v>201</v>
      </c>
      <c r="H870" t="s">
        <v>160</v>
      </c>
      <c r="I870" t="s">
        <v>3</v>
      </c>
      <c r="J870" t="s">
        <v>202</v>
      </c>
      <c r="K870" t="s">
        <v>203</v>
      </c>
      <c r="L870" t="s">
        <v>163</v>
      </c>
      <c r="M870">
        <v>50</v>
      </c>
      <c r="N870" t="b">
        <v>0</v>
      </c>
      <c r="O870">
        <v>0.74052478134110788</v>
      </c>
      <c r="P870">
        <v>0.72988505747126442</v>
      </c>
      <c r="Q870">
        <v>0.75147928994082835</v>
      </c>
      <c r="R870" t="s">
        <v>60</v>
      </c>
      <c r="S870" t="s">
        <v>2167</v>
      </c>
      <c r="T870" t="s">
        <v>2168</v>
      </c>
      <c r="U870" t="b">
        <v>1</v>
      </c>
      <c r="V870" t="s">
        <v>63</v>
      </c>
      <c r="W870">
        <v>1.7</v>
      </c>
    </row>
    <row r="871" spans="1:23" hidden="1" x14ac:dyDescent="0.3">
      <c r="A871" t="s">
        <v>1629</v>
      </c>
      <c r="B871" t="s">
        <v>1630</v>
      </c>
      <c r="C871" t="s">
        <v>28</v>
      </c>
      <c r="D871" t="s">
        <v>22</v>
      </c>
      <c r="E871" t="s">
        <v>23</v>
      </c>
      <c r="F871" t="s">
        <v>54</v>
      </c>
      <c r="G871" t="s">
        <v>206</v>
      </c>
      <c r="H871" t="s">
        <v>160</v>
      </c>
      <c r="I871" t="s">
        <v>3</v>
      </c>
      <c r="J871" t="s">
        <v>207</v>
      </c>
      <c r="K871" t="s">
        <v>208</v>
      </c>
      <c r="L871" t="s">
        <v>163</v>
      </c>
      <c r="M871">
        <v>51</v>
      </c>
      <c r="N871" t="b">
        <v>0</v>
      </c>
      <c r="O871">
        <v>0.75138121546961323</v>
      </c>
      <c r="P871">
        <v>0.70466321243523311</v>
      </c>
      <c r="Q871">
        <v>0.80473372781065089</v>
      </c>
      <c r="R871" t="s">
        <v>60</v>
      </c>
      <c r="S871" t="s">
        <v>2169</v>
      </c>
      <c r="T871" t="s">
        <v>2170</v>
      </c>
      <c r="U871" t="b">
        <v>1</v>
      </c>
      <c r="V871" t="s">
        <v>63</v>
      </c>
      <c r="W871">
        <v>1.3</v>
      </c>
    </row>
    <row r="872" spans="1:23" hidden="1" x14ac:dyDescent="0.3">
      <c r="A872" t="s">
        <v>1629</v>
      </c>
      <c r="B872" t="s">
        <v>1630</v>
      </c>
      <c r="C872" t="s">
        <v>28</v>
      </c>
      <c r="D872" t="s">
        <v>22</v>
      </c>
      <c r="E872" t="s">
        <v>23</v>
      </c>
      <c r="F872" t="s">
        <v>54</v>
      </c>
      <c r="G872" t="s">
        <v>211</v>
      </c>
      <c r="H872" t="s">
        <v>160</v>
      </c>
      <c r="I872" t="s">
        <v>3</v>
      </c>
      <c r="J872" t="s">
        <v>212</v>
      </c>
      <c r="K872" t="s">
        <v>213</v>
      </c>
      <c r="L872" t="s">
        <v>163</v>
      </c>
      <c r="M872">
        <v>52</v>
      </c>
      <c r="N872" t="b">
        <v>0</v>
      </c>
      <c r="O872">
        <v>0.56603773584905659</v>
      </c>
      <c r="P872">
        <v>0.51980198019801982</v>
      </c>
      <c r="Q872">
        <v>0.62130177514792895</v>
      </c>
      <c r="R872" t="s">
        <v>60</v>
      </c>
      <c r="S872" t="s">
        <v>2171</v>
      </c>
      <c r="T872" t="s">
        <v>2172</v>
      </c>
      <c r="U872" t="b">
        <v>1</v>
      </c>
      <c r="V872" t="s">
        <v>63</v>
      </c>
      <c r="W872">
        <v>1.5</v>
      </c>
    </row>
    <row r="873" spans="1:23" hidden="1" x14ac:dyDescent="0.3">
      <c r="A873" t="s">
        <v>1629</v>
      </c>
      <c r="B873" t="s">
        <v>1630</v>
      </c>
      <c r="C873" t="s">
        <v>28</v>
      </c>
      <c r="D873" t="s">
        <v>22</v>
      </c>
      <c r="E873" t="s">
        <v>23</v>
      </c>
      <c r="F873" t="s">
        <v>54</v>
      </c>
      <c r="G873" t="s">
        <v>216</v>
      </c>
      <c r="H873" t="s">
        <v>160</v>
      </c>
      <c r="I873" t="s">
        <v>3</v>
      </c>
      <c r="J873" t="s">
        <v>217</v>
      </c>
      <c r="K873" t="s">
        <v>218</v>
      </c>
      <c r="L873" t="s">
        <v>163</v>
      </c>
      <c r="M873">
        <v>53</v>
      </c>
      <c r="N873" t="b">
        <v>0</v>
      </c>
      <c r="O873">
        <v>0.7103825136612022</v>
      </c>
      <c r="P873">
        <v>0.65989847715736039</v>
      </c>
      <c r="Q873">
        <v>0.76923076923076927</v>
      </c>
      <c r="R873" t="s">
        <v>60</v>
      </c>
      <c r="S873" t="s">
        <v>2173</v>
      </c>
      <c r="T873" t="s">
        <v>2174</v>
      </c>
      <c r="U873" t="b">
        <v>1</v>
      </c>
      <c r="V873" t="s">
        <v>63</v>
      </c>
      <c r="W873">
        <v>2.2000000000000002</v>
      </c>
    </row>
    <row r="874" spans="1:23" hidden="1" x14ac:dyDescent="0.3">
      <c r="A874" t="s">
        <v>1629</v>
      </c>
      <c r="B874" t="s">
        <v>1630</v>
      </c>
      <c r="C874" t="s">
        <v>28</v>
      </c>
      <c r="D874" t="s">
        <v>22</v>
      </c>
      <c r="E874" t="s">
        <v>23</v>
      </c>
      <c r="F874" t="s">
        <v>54</v>
      </c>
      <c r="G874" t="s">
        <v>221</v>
      </c>
      <c r="H874" t="s">
        <v>160</v>
      </c>
      <c r="I874" t="s">
        <v>3</v>
      </c>
      <c r="J874" t="s">
        <v>222</v>
      </c>
      <c r="K874" t="s">
        <v>223</v>
      </c>
      <c r="L874" t="s">
        <v>163</v>
      </c>
      <c r="M874">
        <v>54</v>
      </c>
      <c r="N874" t="b">
        <v>0</v>
      </c>
      <c r="O874">
        <v>0.73480662983425415</v>
      </c>
      <c r="P874">
        <v>0.68911917098445596</v>
      </c>
      <c r="Q874">
        <v>0.78698224852071008</v>
      </c>
      <c r="R874" t="s">
        <v>60</v>
      </c>
      <c r="S874" t="s">
        <v>2175</v>
      </c>
      <c r="T874" t="s">
        <v>2176</v>
      </c>
      <c r="U874" t="b">
        <v>1</v>
      </c>
      <c r="V874" t="s">
        <v>63</v>
      </c>
      <c r="W874">
        <v>1.3</v>
      </c>
    </row>
    <row r="875" spans="1:23" hidden="1" x14ac:dyDescent="0.3">
      <c r="A875" t="s">
        <v>1629</v>
      </c>
      <c r="B875" t="s">
        <v>1630</v>
      </c>
      <c r="C875" t="s">
        <v>28</v>
      </c>
      <c r="D875" t="s">
        <v>22</v>
      </c>
      <c r="E875" t="s">
        <v>23</v>
      </c>
      <c r="F875" t="s">
        <v>54</v>
      </c>
      <c r="G875" t="s">
        <v>226</v>
      </c>
      <c r="H875" t="s">
        <v>160</v>
      </c>
      <c r="I875" t="s">
        <v>3</v>
      </c>
      <c r="J875" t="s">
        <v>227</v>
      </c>
      <c r="K875" t="s">
        <v>228</v>
      </c>
      <c r="L875" t="s">
        <v>163</v>
      </c>
      <c r="M875">
        <v>55</v>
      </c>
      <c r="N875" t="b">
        <v>0</v>
      </c>
      <c r="O875">
        <v>0.76630434782608703</v>
      </c>
      <c r="P875">
        <v>0.70854271356783916</v>
      </c>
      <c r="Q875">
        <v>0.83431952662721898</v>
      </c>
      <c r="R875" t="s">
        <v>60</v>
      </c>
      <c r="S875" t="s">
        <v>2177</v>
      </c>
      <c r="T875" t="s">
        <v>2178</v>
      </c>
      <c r="U875" t="b">
        <v>1</v>
      </c>
      <c r="V875" t="s">
        <v>63</v>
      </c>
      <c r="W875">
        <v>1.4</v>
      </c>
    </row>
    <row r="876" spans="1:23" hidden="1" x14ac:dyDescent="0.3">
      <c r="A876" t="s">
        <v>1629</v>
      </c>
      <c r="B876" t="s">
        <v>1630</v>
      </c>
      <c r="C876" t="s">
        <v>28</v>
      </c>
      <c r="D876" t="s">
        <v>22</v>
      </c>
      <c r="E876" t="s">
        <v>23</v>
      </c>
      <c r="F876" t="s">
        <v>54</v>
      </c>
      <c r="G876" t="s">
        <v>231</v>
      </c>
      <c r="H876" t="s">
        <v>160</v>
      </c>
      <c r="I876" t="s">
        <v>3</v>
      </c>
      <c r="J876" t="s">
        <v>232</v>
      </c>
      <c r="K876" t="s">
        <v>233</v>
      </c>
      <c r="L876" t="s">
        <v>163</v>
      </c>
      <c r="M876">
        <v>56</v>
      </c>
      <c r="N876" t="b">
        <v>0</v>
      </c>
      <c r="O876">
        <v>0.73888888888888882</v>
      </c>
      <c r="P876">
        <v>0.69633507853403143</v>
      </c>
      <c r="Q876">
        <v>0.78698224852071008</v>
      </c>
      <c r="R876" t="s">
        <v>60</v>
      </c>
      <c r="S876" t="s">
        <v>2179</v>
      </c>
      <c r="T876" t="s">
        <v>2180</v>
      </c>
      <c r="U876" t="b">
        <v>1</v>
      </c>
      <c r="V876" t="s">
        <v>63</v>
      </c>
      <c r="W876">
        <v>1.5</v>
      </c>
    </row>
    <row r="877" spans="1:23" hidden="1" x14ac:dyDescent="0.3">
      <c r="A877" t="s">
        <v>1629</v>
      </c>
      <c r="B877" t="s">
        <v>1630</v>
      </c>
      <c r="C877" t="s">
        <v>28</v>
      </c>
      <c r="D877" t="s">
        <v>22</v>
      </c>
      <c r="E877" t="s">
        <v>23</v>
      </c>
      <c r="F877" t="s">
        <v>54</v>
      </c>
      <c r="G877" t="s">
        <v>236</v>
      </c>
      <c r="H877" t="s">
        <v>160</v>
      </c>
      <c r="I877" t="s">
        <v>3</v>
      </c>
      <c r="J877" t="s">
        <v>237</v>
      </c>
      <c r="K877" t="s">
        <v>238</v>
      </c>
      <c r="L877" t="s">
        <v>163</v>
      </c>
      <c r="M877">
        <v>57</v>
      </c>
      <c r="N877" t="b">
        <v>0</v>
      </c>
      <c r="O877">
        <v>0.74863387978142093</v>
      </c>
      <c r="P877">
        <v>0.69543147208121825</v>
      </c>
      <c r="Q877">
        <v>0.81065088757396453</v>
      </c>
      <c r="R877" t="s">
        <v>60</v>
      </c>
      <c r="S877" t="s">
        <v>2181</v>
      </c>
      <c r="T877" t="s">
        <v>2182</v>
      </c>
      <c r="U877" t="b">
        <v>1</v>
      </c>
      <c r="V877" t="s">
        <v>63</v>
      </c>
      <c r="W877">
        <v>1.3</v>
      </c>
    </row>
    <row r="878" spans="1:23" hidden="1" x14ac:dyDescent="0.3">
      <c r="A878" t="s">
        <v>1629</v>
      </c>
      <c r="B878" t="s">
        <v>1630</v>
      </c>
      <c r="C878" t="s">
        <v>28</v>
      </c>
      <c r="D878" t="s">
        <v>22</v>
      </c>
      <c r="E878" t="s">
        <v>23</v>
      </c>
      <c r="F878" t="s">
        <v>54</v>
      </c>
      <c r="G878" t="s">
        <v>241</v>
      </c>
      <c r="H878" t="s">
        <v>160</v>
      </c>
      <c r="I878" t="s">
        <v>3</v>
      </c>
      <c r="J878" t="s">
        <v>242</v>
      </c>
      <c r="K878" t="s">
        <v>243</v>
      </c>
      <c r="L878" t="s">
        <v>163</v>
      </c>
      <c r="M878">
        <v>58</v>
      </c>
      <c r="N878" t="b">
        <v>0</v>
      </c>
      <c r="O878">
        <v>0.51458885941644572</v>
      </c>
      <c r="P878">
        <v>0.46634615384615391</v>
      </c>
      <c r="Q878">
        <v>0.57396449704142016</v>
      </c>
      <c r="R878" t="s">
        <v>60</v>
      </c>
      <c r="S878" t="s">
        <v>2183</v>
      </c>
      <c r="T878" t="s">
        <v>2184</v>
      </c>
      <c r="U878" t="b">
        <v>1</v>
      </c>
      <c r="V878" t="s">
        <v>63</v>
      </c>
      <c r="W878">
        <v>1.7</v>
      </c>
    </row>
    <row r="879" spans="1:23" hidden="1" x14ac:dyDescent="0.3">
      <c r="A879" t="s">
        <v>1629</v>
      </c>
      <c r="B879" t="s">
        <v>1630</v>
      </c>
      <c r="C879" t="s">
        <v>28</v>
      </c>
      <c r="D879" t="s">
        <v>22</v>
      </c>
      <c r="E879" t="s">
        <v>23</v>
      </c>
      <c r="F879" t="s">
        <v>54</v>
      </c>
      <c r="G879" t="s">
        <v>246</v>
      </c>
      <c r="H879" t="s">
        <v>160</v>
      </c>
      <c r="I879" t="s">
        <v>3</v>
      </c>
      <c r="J879" t="s">
        <v>247</v>
      </c>
      <c r="K879" t="s">
        <v>248</v>
      </c>
      <c r="L879" t="s">
        <v>163</v>
      </c>
      <c r="M879">
        <v>59</v>
      </c>
      <c r="N879" t="b">
        <v>0</v>
      </c>
      <c r="O879">
        <v>0.50769230769230766</v>
      </c>
      <c r="P879">
        <v>0.44796380090497739</v>
      </c>
      <c r="Q879">
        <v>0.58579881656804733</v>
      </c>
      <c r="R879" t="s">
        <v>60</v>
      </c>
      <c r="S879" t="s">
        <v>2185</v>
      </c>
      <c r="T879" t="s">
        <v>2186</v>
      </c>
      <c r="U879" t="b">
        <v>1</v>
      </c>
      <c r="V879" t="s">
        <v>63</v>
      </c>
      <c r="W879">
        <v>1.3</v>
      </c>
    </row>
    <row r="880" spans="1:23" hidden="1" x14ac:dyDescent="0.3">
      <c r="A880" t="s">
        <v>1629</v>
      </c>
      <c r="B880" t="s">
        <v>1630</v>
      </c>
      <c r="C880" t="s">
        <v>28</v>
      </c>
      <c r="D880" t="s">
        <v>22</v>
      </c>
      <c r="E880" t="s">
        <v>23</v>
      </c>
      <c r="F880" t="s">
        <v>54</v>
      </c>
      <c r="G880" t="s">
        <v>251</v>
      </c>
      <c r="H880" t="s">
        <v>160</v>
      </c>
      <c r="I880" t="s">
        <v>3</v>
      </c>
      <c r="J880" t="s">
        <v>252</v>
      </c>
      <c r="K880" t="s">
        <v>253</v>
      </c>
      <c r="L880" t="s">
        <v>163</v>
      </c>
      <c r="M880">
        <v>60</v>
      </c>
      <c r="N880" t="b">
        <v>0</v>
      </c>
      <c r="O880">
        <v>0.58047493403693928</v>
      </c>
      <c r="P880">
        <v>0.52380952380952384</v>
      </c>
      <c r="Q880">
        <v>0.65088757396449703</v>
      </c>
      <c r="R880" t="s">
        <v>60</v>
      </c>
      <c r="S880" t="s">
        <v>2187</v>
      </c>
      <c r="T880" t="s">
        <v>2188</v>
      </c>
      <c r="U880" t="b">
        <v>1</v>
      </c>
      <c r="V880" t="s">
        <v>63</v>
      </c>
      <c r="W880">
        <v>1.4</v>
      </c>
    </row>
    <row r="881" spans="1:23" hidden="1" x14ac:dyDescent="0.3">
      <c r="A881" t="s">
        <v>1629</v>
      </c>
      <c r="B881" t="s">
        <v>1630</v>
      </c>
      <c r="C881" t="s">
        <v>28</v>
      </c>
      <c r="D881" t="s">
        <v>22</v>
      </c>
      <c r="E881" t="s">
        <v>23</v>
      </c>
      <c r="F881" t="s">
        <v>54</v>
      </c>
      <c r="G881" t="s">
        <v>256</v>
      </c>
      <c r="H881" t="s">
        <v>160</v>
      </c>
      <c r="I881" t="s">
        <v>3</v>
      </c>
      <c r="J881" t="s">
        <v>257</v>
      </c>
      <c r="K881" t="s">
        <v>258</v>
      </c>
      <c r="L881" t="s">
        <v>163</v>
      </c>
      <c r="M881">
        <v>61</v>
      </c>
      <c r="N881" t="b">
        <v>0</v>
      </c>
      <c r="O881">
        <v>0.73118279569892464</v>
      </c>
      <c r="P881">
        <v>0.66995073891625612</v>
      </c>
      <c r="Q881">
        <v>0.80473372781065089</v>
      </c>
      <c r="R881" t="s">
        <v>60</v>
      </c>
      <c r="S881" t="s">
        <v>2189</v>
      </c>
      <c r="T881" t="s">
        <v>2190</v>
      </c>
      <c r="U881" t="b">
        <v>1</v>
      </c>
      <c r="V881" t="s">
        <v>63</v>
      </c>
      <c r="W881">
        <v>1.5</v>
      </c>
    </row>
    <row r="882" spans="1:23" hidden="1" x14ac:dyDescent="0.3">
      <c r="A882" t="s">
        <v>1629</v>
      </c>
      <c r="B882" t="s">
        <v>1630</v>
      </c>
      <c r="C882" t="s">
        <v>28</v>
      </c>
      <c r="D882" t="s">
        <v>22</v>
      </c>
      <c r="E882" t="s">
        <v>23</v>
      </c>
      <c r="F882" t="s">
        <v>54</v>
      </c>
      <c r="G882" t="s">
        <v>261</v>
      </c>
      <c r="H882" t="s">
        <v>262</v>
      </c>
      <c r="I882" t="s">
        <v>5</v>
      </c>
      <c r="J882" t="s">
        <v>263</v>
      </c>
      <c r="K882" t="s">
        <v>264</v>
      </c>
      <c r="L882" t="s">
        <v>265</v>
      </c>
      <c r="M882">
        <v>42</v>
      </c>
      <c r="N882" t="b">
        <v>0</v>
      </c>
      <c r="O882">
        <v>0.55483870967741933</v>
      </c>
      <c r="P882">
        <v>0.53086419753086422</v>
      </c>
      <c r="Q882">
        <v>0.58108108108108103</v>
      </c>
      <c r="R882" t="s">
        <v>60</v>
      </c>
      <c r="S882" t="s">
        <v>2191</v>
      </c>
      <c r="T882" t="s">
        <v>2192</v>
      </c>
      <c r="U882" t="b">
        <v>1</v>
      </c>
      <c r="V882" t="s">
        <v>63</v>
      </c>
      <c r="W882">
        <v>1.4</v>
      </c>
    </row>
    <row r="883" spans="1:23" hidden="1" x14ac:dyDescent="0.3">
      <c r="A883" t="s">
        <v>1629</v>
      </c>
      <c r="B883" t="s">
        <v>1630</v>
      </c>
      <c r="C883" t="s">
        <v>28</v>
      </c>
      <c r="D883" t="s">
        <v>22</v>
      </c>
      <c r="E883" t="s">
        <v>23</v>
      </c>
      <c r="F883" t="s">
        <v>54</v>
      </c>
      <c r="G883" t="s">
        <v>268</v>
      </c>
      <c r="H883" t="s">
        <v>262</v>
      </c>
      <c r="I883" t="s">
        <v>5</v>
      </c>
      <c r="J883" t="s">
        <v>269</v>
      </c>
      <c r="K883" t="s">
        <v>270</v>
      </c>
      <c r="L883" t="s">
        <v>265</v>
      </c>
      <c r="M883">
        <v>43</v>
      </c>
      <c r="N883" t="b">
        <v>0</v>
      </c>
      <c r="O883">
        <v>0.43146067415730338</v>
      </c>
      <c r="P883">
        <v>0.43049327354260092</v>
      </c>
      <c r="Q883">
        <v>0.43243243243243251</v>
      </c>
      <c r="R883" t="s">
        <v>60</v>
      </c>
      <c r="S883" t="s">
        <v>2193</v>
      </c>
      <c r="T883" t="s">
        <v>2194</v>
      </c>
      <c r="U883" t="b">
        <v>1</v>
      </c>
      <c r="V883" t="s">
        <v>63</v>
      </c>
      <c r="W883">
        <v>1.6</v>
      </c>
    </row>
    <row r="884" spans="1:23" hidden="1" x14ac:dyDescent="0.3">
      <c r="A884" t="s">
        <v>1629</v>
      </c>
      <c r="B884" t="s">
        <v>1630</v>
      </c>
      <c r="C884" t="s">
        <v>28</v>
      </c>
      <c r="D884" t="s">
        <v>22</v>
      </c>
      <c r="E884" t="s">
        <v>23</v>
      </c>
      <c r="F884" t="s">
        <v>54</v>
      </c>
      <c r="G884" t="s">
        <v>273</v>
      </c>
      <c r="H884" t="s">
        <v>262</v>
      </c>
      <c r="I884" t="s">
        <v>5</v>
      </c>
      <c r="J884" t="s">
        <v>274</v>
      </c>
      <c r="K884" t="s">
        <v>275</v>
      </c>
      <c r="L884" t="s">
        <v>265</v>
      </c>
      <c r="M884">
        <v>44</v>
      </c>
      <c r="N884" t="b">
        <v>0</v>
      </c>
      <c r="O884">
        <v>0.48407643312101911</v>
      </c>
      <c r="P884">
        <v>0.45783132530120479</v>
      </c>
      <c r="Q884">
        <v>0.51351351351351349</v>
      </c>
      <c r="R884" t="s">
        <v>60</v>
      </c>
      <c r="S884" t="s">
        <v>2195</v>
      </c>
      <c r="T884" t="s">
        <v>2196</v>
      </c>
      <c r="U884" t="b">
        <v>1</v>
      </c>
      <c r="V884" t="s">
        <v>63</v>
      </c>
      <c r="W884">
        <v>1.9</v>
      </c>
    </row>
    <row r="885" spans="1:23" hidden="1" x14ac:dyDescent="0.3">
      <c r="A885" t="s">
        <v>1629</v>
      </c>
      <c r="B885" t="s">
        <v>1630</v>
      </c>
      <c r="C885" t="s">
        <v>28</v>
      </c>
      <c r="D885" t="s">
        <v>22</v>
      </c>
      <c r="E885" t="s">
        <v>23</v>
      </c>
      <c r="F885" t="s">
        <v>54</v>
      </c>
      <c r="G885" t="s">
        <v>278</v>
      </c>
      <c r="H885" t="s">
        <v>262</v>
      </c>
      <c r="I885" t="s">
        <v>5</v>
      </c>
      <c r="J885" t="s">
        <v>279</v>
      </c>
      <c r="K885" t="s">
        <v>280</v>
      </c>
      <c r="L885" t="s">
        <v>265</v>
      </c>
      <c r="M885">
        <v>45</v>
      </c>
      <c r="N885" t="b">
        <v>0</v>
      </c>
      <c r="O885">
        <v>0.75698924731182793</v>
      </c>
      <c r="P885">
        <v>0.72427983539094654</v>
      </c>
      <c r="Q885">
        <v>0.7927927927927928</v>
      </c>
      <c r="R885" t="s">
        <v>60</v>
      </c>
      <c r="S885" t="s">
        <v>2197</v>
      </c>
      <c r="T885" t="s">
        <v>2198</v>
      </c>
      <c r="U885" t="b">
        <v>1</v>
      </c>
      <c r="V885" t="s">
        <v>63</v>
      </c>
      <c r="W885">
        <v>1.4</v>
      </c>
    </row>
    <row r="886" spans="1:23" hidden="1" x14ac:dyDescent="0.3">
      <c r="A886" t="s">
        <v>1629</v>
      </c>
      <c r="B886" t="s">
        <v>1630</v>
      </c>
      <c r="C886" t="s">
        <v>28</v>
      </c>
      <c r="D886" t="s">
        <v>22</v>
      </c>
      <c r="E886" t="s">
        <v>23</v>
      </c>
      <c r="F886" t="s">
        <v>54</v>
      </c>
      <c r="G886" t="s">
        <v>283</v>
      </c>
      <c r="H886" t="s">
        <v>262</v>
      </c>
      <c r="I886" t="s">
        <v>5</v>
      </c>
      <c r="J886" t="s">
        <v>284</v>
      </c>
      <c r="K886" t="s">
        <v>285</v>
      </c>
      <c r="L886" t="s">
        <v>265</v>
      </c>
      <c r="M886">
        <v>46</v>
      </c>
      <c r="N886" t="b">
        <v>0</v>
      </c>
      <c r="O886">
        <v>0.76190476190476186</v>
      </c>
      <c r="P886">
        <v>0.73333333333333328</v>
      </c>
      <c r="Q886">
        <v>0.7927927927927928</v>
      </c>
      <c r="R886" t="s">
        <v>60</v>
      </c>
      <c r="S886" t="s">
        <v>2199</v>
      </c>
      <c r="T886" t="s">
        <v>2200</v>
      </c>
      <c r="U886" t="b">
        <v>1</v>
      </c>
      <c r="V886" t="s">
        <v>63</v>
      </c>
      <c r="W886">
        <v>1.4</v>
      </c>
    </row>
    <row r="887" spans="1:23" hidden="1" x14ac:dyDescent="0.3">
      <c r="A887" t="s">
        <v>1629</v>
      </c>
      <c r="B887" t="s">
        <v>1630</v>
      </c>
      <c r="C887" t="s">
        <v>28</v>
      </c>
      <c r="D887" t="s">
        <v>22</v>
      </c>
      <c r="E887" t="s">
        <v>23</v>
      </c>
      <c r="F887" t="s">
        <v>54</v>
      </c>
      <c r="G887" t="s">
        <v>288</v>
      </c>
      <c r="H887" t="s">
        <v>262</v>
      </c>
      <c r="I887" t="s">
        <v>5</v>
      </c>
      <c r="J887" t="s">
        <v>289</v>
      </c>
      <c r="K887" t="s">
        <v>290</v>
      </c>
      <c r="L887" t="s">
        <v>265</v>
      </c>
      <c r="M887">
        <v>47</v>
      </c>
      <c r="N887" t="b">
        <v>0</v>
      </c>
      <c r="O887">
        <v>0.75479744136460558</v>
      </c>
      <c r="P887">
        <v>0.7165991902834008</v>
      </c>
      <c r="Q887">
        <v>0.79729729729729726</v>
      </c>
      <c r="R887" t="s">
        <v>60</v>
      </c>
      <c r="S887" t="s">
        <v>2201</v>
      </c>
      <c r="T887" t="s">
        <v>2202</v>
      </c>
      <c r="U887" t="b">
        <v>1</v>
      </c>
      <c r="V887" t="s">
        <v>63</v>
      </c>
      <c r="W887">
        <v>1.5</v>
      </c>
    </row>
    <row r="888" spans="1:23" hidden="1" x14ac:dyDescent="0.3">
      <c r="A888" t="s">
        <v>1629</v>
      </c>
      <c r="B888" t="s">
        <v>1630</v>
      </c>
      <c r="C888" t="s">
        <v>28</v>
      </c>
      <c r="D888" t="s">
        <v>22</v>
      </c>
      <c r="E888" t="s">
        <v>23</v>
      </c>
      <c r="F888" t="s">
        <v>54</v>
      </c>
      <c r="G888" t="s">
        <v>293</v>
      </c>
      <c r="H888" t="s">
        <v>262</v>
      </c>
      <c r="I888" t="s">
        <v>5</v>
      </c>
      <c r="J888" t="s">
        <v>294</v>
      </c>
      <c r="K888" t="s">
        <v>295</v>
      </c>
      <c r="L888" t="s">
        <v>265</v>
      </c>
      <c r="M888">
        <v>48</v>
      </c>
      <c r="N888" t="b">
        <v>0</v>
      </c>
      <c r="O888">
        <v>0.51260504201680679</v>
      </c>
      <c r="P888">
        <v>0.48031496062992118</v>
      </c>
      <c r="Q888">
        <v>0.5495495495495496</v>
      </c>
      <c r="R888" t="s">
        <v>60</v>
      </c>
      <c r="S888" t="s">
        <v>2203</v>
      </c>
      <c r="T888" t="s">
        <v>2204</v>
      </c>
      <c r="U888" t="b">
        <v>1</v>
      </c>
      <c r="V888" t="s">
        <v>63</v>
      </c>
      <c r="W888">
        <v>1.4</v>
      </c>
    </row>
    <row r="889" spans="1:23" hidden="1" x14ac:dyDescent="0.3">
      <c r="A889" t="s">
        <v>1629</v>
      </c>
      <c r="B889" t="s">
        <v>1630</v>
      </c>
      <c r="C889" t="s">
        <v>28</v>
      </c>
      <c r="D889" t="s">
        <v>22</v>
      </c>
      <c r="E889" t="s">
        <v>23</v>
      </c>
      <c r="F889" t="s">
        <v>54</v>
      </c>
      <c r="G889" t="s">
        <v>298</v>
      </c>
      <c r="H889" t="s">
        <v>262</v>
      </c>
      <c r="I889" t="s">
        <v>5</v>
      </c>
      <c r="J889" t="s">
        <v>299</v>
      </c>
      <c r="K889" t="s">
        <v>300</v>
      </c>
      <c r="L889" t="s">
        <v>265</v>
      </c>
      <c r="M889">
        <v>49</v>
      </c>
      <c r="N889" t="b">
        <v>0</v>
      </c>
      <c r="O889">
        <v>0.77559912854030522</v>
      </c>
      <c r="P889">
        <v>0.75105485232067515</v>
      </c>
      <c r="Q889">
        <v>0.80180180180180183</v>
      </c>
      <c r="R889" t="s">
        <v>60</v>
      </c>
      <c r="S889" t="s">
        <v>2205</v>
      </c>
      <c r="T889" t="s">
        <v>2206</v>
      </c>
      <c r="U889" t="b">
        <v>1</v>
      </c>
      <c r="V889" t="s">
        <v>63</v>
      </c>
      <c r="W889">
        <v>1.3</v>
      </c>
    </row>
    <row r="890" spans="1:23" hidden="1" x14ac:dyDescent="0.3">
      <c r="A890" t="s">
        <v>1629</v>
      </c>
      <c r="B890" t="s">
        <v>1630</v>
      </c>
      <c r="C890" t="s">
        <v>28</v>
      </c>
      <c r="D890" t="s">
        <v>22</v>
      </c>
      <c r="E890" t="s">
        <v>23</v>
      </c>
      <c r="F890" t="s">
        <v>54</v>
      </c>
      <c r="G890" t="s">
        <v>303</v>
      </c>
      <c r="H890" t="s">
        <v>262</v>
      </c>
      <c r="I890" t="s">
        <v>5</v>
      </c>
      <c r="J890" t="s">
        <v>304</v>
      </c>
      <c r="K890" t="s">
        <v>305</v>
      </c>
      <c r="L890" t="s">
        <v>265</v>
      </c>
      <c r="M890">
        <v>50</v>
      </c>
      <c r="N890" t="b">
        <v>0</v>
      </c>
      <c r="O890">
        <v>0.4947589098532495</v>
      </c>
      <c r="P890">
        <v>0.46274509803921571</v>
      </c>
      <c r="Q890">
        <v>0.53153153153153154</v>
      </c>
      <c r="R890" t="s">
        <v>60</v>
      </c>
      <c r="S890" t="s">
        <v>2207</v>
      </c>
      <c r="T890" t="s">
        <v>2208</v>
      </c>
      <c r="U890" t="b">
        <v>1</v>
      </c>
      <c r="V890" t="s">
        <v>63</v>
      </c>
      <c r="W890">
        <v>2.4</v>
      </c>
    </row>
    <row r="891" spans="1:23" hidden="1" x14ac:dyDescent="0.3">
      <c r="A891" t="s">
        <v>1629</v>
      </c>
      <c r="B891" t="s">
        <v>1630</v>
      </c>
      <c r="C891" t="s">
        <v>28</v>
      </c>
      <c r="D891" t="s">
        <v>22</v>
      </c>
      <c r="E891" t="s">
        <v>23</v>
      </c>
      <c r="F891" t="s">
        <v>54</v>
      </c>
      <c r="G891" t="s">
        <v>308</v>
      </c>
      <c r="H891" t="s">
        <v>262</v>
      </c>
      <c r="I891" t="s">
        <v>5</v>
      </c>
      <c r="J891" t="s">
        <v>309</v>
      </c>
      <c r="K891" t="s">
        <v>310</v>
      </c>
      <c r="L891" t="s">
        <v>265</v>
      </c>
      <c r="M891">
        <v>51</v>
      </c>
      <c r="N891" t="b">
        <v>0</v>
      </c>
      <c r="O891">
        <v>0.74734607218683646</v>
      </c>
      <c r="P891">
        <v>0.70682730923694781</v>
      </c>
      <c r="Q891">
        <v>0.7927927927927928</v>
      </c>
      <c r="R891" t="s">
        <v>60</v>
      </c>
      <c r="S891" t="s">
        <v>2209</v>
      </c>
      <c r="T891" t="s">
        <v>2210</v>
      </c>
      <c r="U891" t="b">
        <v>1</v>
      </c>
      <c r="V891" t="s">
        <v>63</v>
      </c>
      <c r="W891">
        <v>1.4</v>
      </c>
    </row>
    <row r="892" spans="1:23" hidden="1" x14ac:dyDescent="0.3">
      <c r="A892" t="s">
        <v>1629</v>
      </c>
      <c r="B892" t="s">
        <v>1630</v>
      </c>
      <c r="C892" t="s">
        <v>28</v>
      </c>
      <c r="D892" t="s">
        <v>22</v>
      </c>
      <c r="E892" t="s">
        <v>23</v>
      </c>
      <c r="F892" t="s">
        <v>54</v>
      </c>
      <c r="G892" t="s">
        <v>313</v>
      </c>
      <c r="H892" t="s">
        <v>262</v>
      </c>
      <c r="I892" t="s">
        <v>5</v>
      </c>
      <c r="J892" t="s">
        <v>314</v>
      </c>
      <c r="K892" t="s">
        <v>315</v>
      </c>
      <c r="L892" t="s">
        <v>265</v>
      </c>
      <c r="M892">
        <v>52</v>
      </c>
      <c r="N892" t="b">
        <v>0</v>
      </c>
      <c r="O892">
        <v>0.44496487119437939</v>
      </c>
      <c r="P892">
        <v>0.46341463414634149</v>
      </c>
      <c r="Q892">
        <v>0.42792792792792789</v>
      </c>
      <c r="R892" t="s">
        <v>60</v>
      </c>
      <c r="S892" t="s">
        <v>2211</v>
      </c>
      <c r="T892" t="s">
        <v>2212</v>
      </c>
      <c r="U892" t="b">
        <v>1</v>
      </c>
      <c r="V892" t="s">
        <v>63</v>
      </c>
      <c r="W892">
        <v>1.4</v>
      </c>
    </row>
    <row r="893" spans="1:23" hidden="1" x14ac:dyDescent="0.3">
      <c r="A893" t="s">
        <v>1629</v>
      </c>
      <c r="B893" t="s">
        <v>1630</v>
      </c>
      <c r="C893" t="s">
        <v>28</v>
      </c>
      <c r="D893" t="s">
        <v>22</v>
      </c>
      <c r="E893" t="s">
        <v>23</v>
      </c>
      <c r="F893" t="s">
        <v>54</v>
      </c>
      <c r="G893" t="s">
        <v>318</v>
      </c>
      <c r="H893" t="s">
        <v>262</v>
      </c>
      <c r="I893" t="s">
        <v>5</v>
      </c>
      <c r="J893" t="s">
        <v>319</v>
      </c>
      <c r="K893" t="s">
        <v>320</v>
      </c>
      <c r="L893" t="s">
        <v>265</v>
      </c>
      <c r="M893">
        <v>53</v>
      </c>
      <c r="N893" t="b">
        <v>0</v>
      </c>
      <c r="O893">
        <v>0.77657266811279824</v>
      </c>
      <c r="P893">
        <v>0.7489539748953975</v>
      </c>
      <c r="Q893">
        <v>0.80630630630630629</v>
      </c>
      <c r="R893" t="s">
        <v>60</v>
      </c>
      <c r="S893" t="s">
        <v>2213</v>
      </c>
      <c r="T893" t="s">
        <v>2214</v>
      </c>
      <c r="U893" t="b">
        <v>1</v>
      </c>
      <c r="V893" t="s">
        <v>63</v>
      </c>
      <c r="W893">
        <v>1.4</v>
      </c>
    </row>
    <row r="894" spans="1:23" hidden="1" x14ac:dyDescent="0.3">
      <c r="A894" t="s">
        <v>1629</v>
      </c>
      <c r="B894" t="s">
        <v>1630</v>
      </c>
      <c r="C894" t="s">
        <v>28</v>
      </c>
      <c r="D894" t="s">
        <v>22</v>
      </c>
      <c r="E894" t="s">
        <v>23</v>
      </c>
      <c r="F894" t="s">
        <v>54</v>
      </c>
      <c r="G894" t="s">
        <v>323</v>
      </c>
      <c r="H894" t="s">
        <v>262</v>
      </c>
      <c r="I894" t="s">
        <v>5</v>
      </c>
      <c r="J894" t="s">
        <v>324</v>
      </c>
      <c r="K894" t="s">
        <v>325</v>
      </c>
      <c r="L894" t="s">
        <v>265</v>
      </c>
      <c r="M894">
        <v>54</v>
      </c>
      <c r="N894" t="b">
        <v>0</v>
      </c>
      <c r="O894">
        <v>0.71042471042471034</v>
      </c>
      <c r="P894">
        <v>0.6216216216216216</v>
      </c>
      <c r="Q894">
        <v>0.8288288288288288</v>
      </c>
      <c r="R894" t="s">
        <v>60</v>
      </c>
      <c r="S894" t="s">
        <v>2215</v>
      </c>
      <c r="T894" t="s">
        <v>2216</v>
      </c>
      <c r="U894" t="b">
        <v>1</v>
      </c>
      <c r="V894" t="s">
        <v>63</v>
      </c>
      <c r="W894">
        <v>1.6</v>
      </c>
    </row>
    <row r="895" spans="1:23" hidden="1" x14ac:dyDescent="0.3">
      <c r="A895" t="s">
        <v>1629</v>
      </c>
      <c r="B895" t="s">
        <v>1630</v>
      </c>
      <c r="C895" t="s">
        <v>28</v>
      </c>
      <c r="D895" t="s">
        <v>22</v>
      </c>
      <c r="E895" t="s">
        <v>23</v>
      </c>
      <c r="F895" t="s">
        <v>54</v>
      </c>
      <c r="G895" t="s">
        <v>328</v>
      </c>
      <c r="H895" t="s">
        <v>262</v>
      </c>
      <c r="I895" t="s">
        <v>5</v>
      </c>
      <c r="J895" t="s">
        <v>329</v>
      </c>
      <c r="K895" t="s">
        <v>330</v>
      </c>
      <c r="L895" t="s">
        <v>265</v>
      </c>
      <c r="M895">
        <v>55</v>
      </c>
      <c r="N895" t="b">
        <v>0</v>
      </c>
      <c r="O895">
        <v>0.40869565217391302</v>
      </c>
      <c r="P895">
        <v>0.3949579831932773</v>
      </c>
      <c r="Q895">
        <v>0.42342342342342337</v>
      </c>
      <c r="R895" t="s">
        <v>60</v>
      </c>
      <c r="S895" t="s">
        <v>2217</v>
      </c>
      <c r="T895" t="s">
        <v>2218</v>
      </c>
      <c r="U895" t="b">
        <v>1</v>
      </c>
      <c r="V895" t="s">
        <v>63</v>
      </c>
      <c r="W895">
        <v>1.4</v>
      </c>
    </row>
    <row r="896" spans="1:23" hidden="1" x14ac:dyDescent="0.3">
      <c r="A896" t="s">
        <v>1629</v>
      </c>
      <c r="B896" t="s">
        <v>1630</v>
      </c>
      <c r="C896" t="s">
        <v>28</v>
      </c>
      <c r="D896" t="s">
        <v>22</v>
      </c>
      <c r="E896" t="s">
        <v>23</v>
      </c>
      <c r="F896" t="s">
        <v>54</v>
      </c>
      <c r="G896" t="s">
        <v>333</v>
      </c>
      <c r="H896" t="s">
        <v>262</v>
      </c>
      <c r="I896" t="s">
        <v>5</v>
      </c>
      <c r="J896" t="s">
        <v>334</v>
      </c>
      <c r="K896" t="s">
        <v>335</v>
      </c>
      <c r="L896" t="s">
        <v>265</v>
      </c>
      <c r="M896">
        <v>56</v>
      </c>
      <c r="N896" t="b">
        <v>0</v>
      </c>
      <c r="O896">
        <v>0.42</v>
      </c>
      <c r="P896">
        <v>0.30753138075313807</v>
      </c>
      <c r="Q896">
        <v>0.66216216216216217</v>
      </c>
      <c r="R896" t="s">
        <v>60</v>
      </c>
      <c r="S896" t="s">
        <v>2219</v>
      </c>
      <c r="T896" t="s">
        <v>2220</v>
      </c>
      <c r="U896" t="b">
        <v>1</v>
      </c>
      <c r="V896" t="s">
        <v>63</v>
      </c>
      <c r="W896">
        <v>1.8</v>
      </c>
    </row>
    <row r="897" spans="1:23" hidden="1" x14ac:dyDescent="0.3">
      <c r="A897" t="s">
        <v>1629</v>
      </c>
      <c r="B897" t="s">
        <v>1630</v>
      </c>
      <c r="C897" t="s">
        <v>28</v>
      </c>
      <c r="D897" t="s">
        <v>22</v>
      </c>
      <c r="E897" t="s">
        <v>23</v>
      </c>
      <c r="F897" t="s">
        <v>54</v>
      </c>
      <c r="G897" t="s">
        <v>338</v>
      </c>
      <c r="H897" t="s">
        <v>262</v>
      </c>
      <c r="I897" t="s">
        <v>5</v>
      </c>
      <c r="J897" t="s">
        <v>339</v>
      </c>
      <c r="K897" t="s">
        <v>340</v>
      </c>
      <c r="L897" t="s">
        <v>265</v>
      </c>
      <c r="M897">
        <v>57</v>
      </c>
      <c r="N897" t="b">
        <v>0</v>
      </c>
      <c r="O897">
        <v>0.76754385964912286</v>
      </c>
      <c r="P897">
        <v>0.74786324786324787</v>
      </c>
      <c r="Q897">
        <v>0.78828828828828834</v>
      </c>
      <c r="R897" t="s">
        <v>60</v>
      </c>
      <c r="S897" t="s">
        <v>2221</v>
      </c>
      <c r="T897" t="s">
        <v>2222</v>
      </c>
      <c r="U897" t="b">
        <v>1</v>
      </c>
      <c r="V897" t="s">
        <v>63</v>
      </c>
      <c r="W897">
        <v>1.5</v>
      </c>
    </row>
    <row r="898" spans="1:23" hidden="1" x14ac:dyDescent="0.3">
      <c r="A898" t="s">
        <v>1629</v>
      </c>
      <c r="B898" t="s">
        <v>1630</v>
      </c>
      <c r="C898" t="s">
        <v>28</v>
      </c>
      <c r="D898" t="s">
        <v>22</v>
      </c>
      <c r="E898" t="s">
        <v>23</v>
      </c>
      <c r="F898" t="s">
        <v>54</v>
      </c>
      <c r="G898" t="s">
        <v>343</v>
      </c>
      <c r="H898" t="s">
        <v>262</v>
      </c>
      <c r="I898" t="s">
        <v>5</v>
      </c>
      <c r="J898" t="s">
        <v>344</v>
      </c>
      <c r="K898" t="s">
        <v>345</v>
      </c>
      <c r="L898" t="s">
        <v>265</v>
      </c>
      <c r="M898">
        <v>58</v>
      </c>
      <c r="N898" t="b">
        <v>0</v>
      </c>
      <c r="O898">
        <v>0.75831485587583147</v>
      </c>
      <c r="P898">
        <v>0.74672489082969429</v>
      </c>
      <c r="Q898">
        <v>0.77027027027027029</v>
      </c>
      <c r="R898" t="s">
        <v>60</v>
      </c>
      <c r="S898" t="s">
        <v>2223</v>
      </c>
      <c r="T898" t="s">
        <v>2224</v>
      </c>
      <c r="U898" t="b">
        <v>1</v>
      </c>
      <c r="V898" t="s">
        <v>63</v>
      </c>
      <c r="W898">
        <v>2.5</v>
      </c>
    </row>
    <row r="899" spans="1:23" hidden="1" x14ac:dyDescent="0.3">
      <c r="A899" t="s">
        <v>1629</v>
      </c>
      <c r="B899" t="s">
        <v>1630</v>
      </c>
      <c r="C899" t="s">
        <v>28</v>
      </c>
      <c r="D899" t="s">
        <v>22</v>
      </c>
      <c r="E899" t="s">
        <v>23</v>
      </c>
      <c r="F899" t="s">
        <v>54</v>
      </c>
      <c r="G899" t="s">
        <v>348</v>
      </c>
      <c r="H899" t="s">
        <v>262</v>
      </c>
      <c r="I899" t="s">
        <v>5</v>
      </c>
      <c r="J899" t="s">
        <v>349</v>
      </c>
      <c r="K899" t="s">
        <v>350</v>
      </c>
      <c r="L899" t="s">
        <v>265</v>
      </c>
      <c r="M899">
        <v>59</v>
      </c>
      <c r="N899" t="b">
        <v>0</v>
      </c>
      <c r="O899">
        <v>0.72527472527472525</v>
      </c>
      <c r="P899">
        <v>0.70815450643776823</v>
      </c>
      <c r="Q899">
        <v>0.7432432432432432</v>
      </c>
      <c r="R899" t="s">
        <v>60</v>
      </c>
      <c r="S899" t="s">
        <v>2225</v>
      </c>
      <c r="T899" t="s">
        <v>2226</v>
      </c>
      <c r="U899" t="b">
        <v>1</v>
      </c>
      <c r="V899" t="s">
        <v>63</v>
      </c>
      <c r="W899">
        <v>1.6</v>
      </c>
    </row>
    <row r="900" spans="1:23" hidden="1" x14ac:dyDescent="0.3">
      <c r="A900" t="s">
        <v>1629</v>
      </c>
      <c r="B900" t="s">
        <v>1630</v>
      </c>
      <c r="C900" t="s">
        <v>28</v>
      </c>
      <c r="D900" t="s">
        <v>22</v>
      </c>
      <c r="E900" t="s">
        <v>23</v>
      </c>
      <c r="F900" t="s">
        <v>54</v>
      </c>
      <c r="G900" t="s">
        <v>353</v>
      </c>
      <c r="H900" t="s">
        <v>262</v>
      </c>
      <c r="I900" t="s">
        <v>5</v>
      </c>
      <c r="J900" t="s">
        <v>354</v>
      </c>
      <c r="K900" t="s">
        <v>355</v>
      </c>
      <c r="L900" t="s">
        <v>265</v>
      </c>
      <c r="M900">
        <v>60</v>
      </c>
      <c r="N900" t="b">
        <v>0</v>
      </c>
      <c r="O900">
        <v>0.73548387096774204</v>
      </c>
      <c r="P900">
        <v>0.70370370370370372</v>
      </c>
      <c r="Q900">
        <v>0.77027027027027029</v>
      </c>
      <c r="R900" t="s">
        <v>60</v>
      </c>
      <c r="S900" t="s">
        <v>2227</v>
      </c>
      <c r="T900" t="s">
        <v>2228</v>
      </c>
      <c r="U900" t="b">
        <v>1</v>
      </c>
      <c r="V900" t="s">
        <v>63</v>
      </c>
      <c r="W900">
        <v>1.4</v>
      </c>
    </row>
    <row r="901" spans="1:23" hidden="1" x14ac:dyDescent="0.3">
      <c r="A901" t="s">
        <v>1629</v>
      </c>
      <c r="B901" t="s">
        <v>1630</v>
      </c>
      <c r="C901" t="s">
        <v>28</v>
      </c>
      <c r="D901" t="s">
        <v>22</v>
      </c>
      <c r="E901" t="s">
        <v>23</v>
      </c>
      <c r="F901" t="s">
        <v>54</v>
      </c>
      <c r="G901" t="s">
        <v>358</v>
      </c>
      <c r="H901" t="s">
        <v>262</v>
      </c>
      <c r="I901" t="s">
        <v>5</v>
      </c>
      <c r="J901" t="s">
        <v>359</v>
      </c>
      <c r="K901" t="s">
        <v>360</v>
      </c>
      <c r="L901" t="s">
        <v>265</v>
      </c>
      <c r="M901">
        <v>61</v>
      </c>
      <c r="N901" t="b">
        <v>0</v>
      </c>
      <c r="O901">
        <v>0.75890985324947591</v>
      </c>
      <c r="P901">
        <v>0.70980392156862748</v>
      </c>
      <c r="Q901">
        <v>0.81531531531531531</v>
      </c>
      <c r="R901" t="s">
        <v>60</v>
      </c>
      <c r="S901" t="s">
        <v>2229</v>
      </c>
      <c r="T901" t="s">
        <v>2230</v>
      </c>
      <c r="U901" t="b">
        <v>1</v>
      </c>
      <c r="V901" t="s">
        <v>63</v>
      </c>
      <c r="W901">
        <v>1.4</v>
      </c>
    </row>
    <row r="902" spans="1:23" hidden="1" x14ac:dyDescent="0.3">
      <c r="A902" t="s">
        <v>1629</v>
      </c>
      <c r="B902" t="s">
        <v>1630</v>
      </c>
      <c r="C902" t="s">
        <v>28</v>
      </c>
      <c r="D902" t="s">
        <v>22</v>
      </c>
      <c r="E902" t="s">
        <v>23</v>
      </c>
      <c r="F902" t="s">
        <v>363</v>
      </c>
      <c r="G902" t="s">
        <v>364</v>
      </c>
      <c r="H902" t="s">
        <v>365</v>
      </c>
      <c r="I902" t="s">
        <v>13</v>
      </c>
      <c r="J902" t="s">
        <v>366</v>
      </c>
      <c r="K902" t="s">
        <v>367</v>
      </c>
      <c r="L902" t="s">
        <v>368</v>
      </c>
      <c r="M902">
        <v>42</v>
      </c>
      <c r="N902" t="b">
        <v>0</v>
      </c>
      <c r="O902">
        <v>0.84297520661157022</v>
      </c>
      <c r="P902">
        <v>0.80314960629921262</v>
      </c>
      <c r="Q902">
        <v>0.88695652173913042</v>
      </c>
      <c r="R902" t="s">
        <v>60</v>
      </c>
      <c r="S902" t="s">
        <v>2231</v>
      </c>
      <c r="T902" t="s">
        <v>2232</v>
      </c>
      <c r="U902" t="b">
        <v>1</v>
      </c>
      <c r="V902" t="s">
        <v>63</v>
      </c>
      <c r="W902">
        <v>1.9</v>
      </c>
    </row>
    <row r="903" spans="1:23" hidden="1" x14ac:dyDescent="0.3">
      <c r="A903" t="s">
        <v>1629</v>
      </c>
      <c r="B903" t="s">
        <v>1630</v>
      </c>
      <c r="C903" t="s">
        <v>28</v>
      </c>
      <c r="D903" t="s">
        <v>22</v>
      </c>
      <c r="E903" t="s">
        <v>23</v>
      </c>
      <c r="F903" t="s">
        <v>363</v>
      </c>
      <c r="G903" t="s">
        <v>371</v>
      </c>
      <c r="H903" t="s">
        <v>365</v>
      </c>
      <c r="I903" t="s">
        <v>13</v>
      </c>
      <c r="J903" t="s">
        <v>372</v>
      </c>
      <c r="K903" t="s">
        <v>373</v>
      </c>
      <c r="L903" t="s">
        <v>368</v>
      </c>
      <c r="M903">
        <v>43</v>
      </c>
      <c r="N903" t="b">
        <v>0</v>
      </c>
      <c r="O903">
        <v>0.85177453027139871</v>
      </c>
      <c r="P903">
        <v>0.81927710843373491</v>
      </c>
      <c r="Q903">
        <v>0.88695652173913042</v>
      </c>
      <c r="R903" t="s">
        <v>60</v>
      </c>
      <c r="S903" t="s">
        <v>2233</v>
      </c>
      <c r="T903" t="s">
        <v>2234</v>
      </c>
      <c r="U903" t="b">
        <v>1</v>
      </c>
      <c r="V903" t="s">
        <v>63</v>
      </c>
      <c r="W903">
        <v>1.4</v>
      </c>
    </row>
    <row r="904" spans="1:23" hidden="1" x14ac:dyDescent="0.3">
      <c r="A904" t="s">
        <v>1629</v>
      </c>
      <c r="B904" t="s">
        <v>1630</v>
      </c>
      <c r="C904" t="s">
        <v>28</v>
      </c>
      <c r="D904" t="s">
        <v>22</v>
      </c>
      <c r="E904" t="s">
        <v>23</v>
      </c>
      <c r="F904" t="s">
        <v>363</v>
      </c>
      <c r="G904" t="s">
        <v>376</v>
      </c>
      <c r="H904" t="s">
        <v>365</v>
      </c>
      <c r="I904" t="s">
        <v>13</v>
      </c>
      <c r="J904" t="s">
        <v>377</v>
      </c>
      <c r="K904" t="s">
        <v>378</v>
      </c>
      <c r="L904" t="s">
        <v>368</v>
      </c>
      <c r="M904">
        <v>44</v>
      </c>
      <c r="N904" t="b">
        <v>0</v>
      </c>
      <c r="O904">
        <v>0.82352941176470573</v>
      </c>
      <c r="P904">
        <v>0.7967479674796748</v>
      </c>
      <c r="Q904">
        <v>0.85217391304347823</v>
      </c>
      <c r="R904" t="s">
        <v>60</v>
      </c>
      <c r="S904" t="s">
        <v>2235</v>
      </c>
      <c r="T904" t="s">
        <v>2236</v>
      </c>
      <c r="U904" t="b">
        <v>1</v>
      </c>
      <c r="V904" t="s">
        <v>63</v>
      </c>
      <c r="W904">
        <v>1.6</v>
      </c>
    </row>
    <row r="905" spans="1:23" hidden="1" x14ac:dyDescent="0.3">
      <c r="A905" t="s">
        <v>1629</v>
      </c>
      <c r="B905" t="s">
        <v>1630</v>
      </c>
      <c r="C905" t="s">
        <v>28</v>
      </c>
      <c r="D905" t="s">
        <v>22</v>
      </c>
      <c r="E905" t="s">
        <v>23</v>
      </c>
      <c r="F905" t="s">
        <v>363</v>
      </c>
      <c r="G905" t="s">
        <v>381</v>
      </c>
      <c r="H905" t="s">
        <v>365</v>
      </c>
      <c r="I905" t="s">
        <v>13</v>
      </c>
      <c r="J905" t="s">
        <v>382</v>
      </c>
      <c r="K905" t="s">
        <v>383</v>
      </c>
      <c r="L905" t="s">
        <v>368</v>
      </c>
      <c r="M905">
        <v>45</v>
      </c>
      <c r="N905" t="b">
        <v>0</v>
      </c>
      <c r="O905">
        <v>0.83720930232558144</v>
      </c>
      <c r="P905">
        <v>0.81481481481481477</v>
      </c>
      <c r="Q905">
        <v>0.86086956521739133</v>
      </c>
      <c r="R905" t="s">
        <v>60</v>
      </c>
      <c r="S905" t="s">
        <v>2237</v>
      </c>
      <c r="T905" t="s">
        <v>2238</v>
      </c>
      <c r="U905" t="b">
        <v>1</v>
      </c>
      <c r="V905" t="s">
        <v>63</v>
      </c>
      <c r="W905">
        <v>1.4</v>
      </c>
    </row>
    <row r="906" spans="1:23" hidden="1" x14ac:dyDescent="0.3">
      <c r="A906" t="s">
        <v>1629</v>
      </c>
      <c r="B906" t="s">
        <v>1630</v>
      </c>
      <c r="C906" t="s">
        <v>28</v>
      </c>
      <c r="D906" t="s">
        <v>22</v>
      </c>
      <c r="E906" t="s">
        <v>23</v>
      </c>
      <c r="F906" t="s">
        <v>363</v>
      </c>
      <c r="G906" t="s">
        <v>386</v>
      </c>
      <c r="H906" t="s">
        <v>365</v>
      </c>
      <c r="I906" t="s">
        <v>13</v>
      </c>
      <c r="J906" t="s">
        <v>387</v>
      </c>
      <c r="K906" t="s">
        <v>388</v>
      </c>
      <c r="L906" t="s">
        <v>368</v>
      </c>
      <c r="M906">
        <v>46</v>
      </c>
      <c r="N906" t="b">
        <v>0</v>
      </c>
      <c r="O906">
        <v>0.82617586912065444</v>
      </c>
      <c r="P906">
        <v>0.77992277992277992</v>
      </c>
      <c r="Q906">
        <v>0.87826086956521743</v>
      </c>
      <c r="R906" t="s">
        <v>60</v>
      </c>
      <c r="S906" t="s">
        <v>2239</v>
      </c>
      <c r="T906" t="s">
        <v>2240</v>
      </c>
      <c r="U906" t="b">
        <v>1</v>
      </c>
      <c r="V906" t="s">
        <v>63</v>
      </c>
      <c r="W906">
        <v>1.6</v>
      </c>
    </row>
    <row r="907" spans="1:23" hidden="1" x14ac:dyDescent="0.3">
      <c r="A907" t="s">
        <v>1629</v>
      </c>
      <c r="B907" t="s">
        <v>1630</v>
      </c>
      <c r="C907" t="s">
        <v>28</v>
      </c>
      <c r="D907" t="s">
        <v>22</v>
      </c>
      <c r="E907" t="s">
        <v>23</v>
      </c>
      <c r="F907" t="s">
        <v>363</v>
      </c>
      <c r="G907" t="s">
        <v>391</v>
      </c>
      <c r="H907" t="s">
        <v>365</v>
      </c>
      <c r="I907" t="s">
        <v>13</v>
      </c>
      <c r="J907" t="s">
        <v>392</v>
      </c>
      <c r="K907" t="s">
        <v>393</v>
      </c>
      <c r="L907" t="s">
        <v>368</v>
      </c>
      <c r="M907">
        <v>47</v>
      </c>
      <c r="N907" t="b">
        <v>0</v>
      </c>
      <c r="O907">
        <v>0.83367556468172488</v>
      </c>
      <c r="P907">
        <v>0.78988326848249024</v>
      </c>
      <c r="Q907">
        <v>0.88260869565217392</v>
      </c>
      <c r="R907" t="s">
        <v>60</v>
      </c>
      <c r="S907" t="s">
        <v>2241</v>
      </c>
      <c r="T907" t="s">
        <v>2242</v>
      </c>
      <c r="U907" t="b">
        <v>1</v>
      </c>
      <c r="V907" t="s">
        <v>63</v>
      </c>
      <c r="W907">
        <v>1.6</v>
      </c>
    </row>
    <row r="908" spans="1:23" hidden="1" x14ac:dyDescent="0.3">
      <c r="A908" t="s">
        <v>1629</v>
      </c>
      <c r="B908" t="s">
        <v>1630</v>
      </c>
      <c r="C908" t="s">
        <v>28</v>
      </c>
      <c r="D908" t="s">
        <v>22</v>
      </c>
      <c r="E908" t="s">
        <v>23</v>
      </c>
      <c r="F908" t="s">
        <v>363</v>
      </c>
      <c r="G908" t="s">
        <v>396</v>
      </c>
      <c r="H908" t="s">
        <v>365</v>
      </c>
      <c r="I908" t="s">
        <v>13</v>
      </c>
      <c r="J908" t="s">
        <v>397</v>
      </c>
      <c r="K908" t="s">
        <v>398</v>
      </c>
      <c r="L908" t="s">
        <v>368</v>
      </c>
      <c r="M908">
        <v>48</v>
      </c>
      <c r="N908" t="b">
        <v>0</v>
      </c>
      <c r="O908">
        <v>0.84426229508196726</v>
      </c>
      <c r="P908">
        <v>0.79844961240310075</v>
      </c>
      <c r="Q908">
        <v>0.89565217391304353</v>
      </c>
      <c r="R908" t="s">
        <v>60</v>
      </c>
      <c r="S908" t="s">
        <v>2243</v>
      </c>
      <c r="T908" t="s">
        <v>2244</v>
      </c>
      <c r="U908" t="b">
        <v>1</v>
      </c>
      <c r="V908" t="s">
        <v>63</v>
      </c>
      <c r="W908">
        <v>2.4</v>
      </c>
    </row>
    <row r="909" spans="1:23" hidden="1" x14ac:dyDescent="0.3">
      <c r="A909" t="s">
        <v>1629</v>
      </c>
      <c r="B909" t="s">
        <v>1630</v>
      </c>
      <c r="C909" t="s">
        <v>28</v>
      </c>
      <c r="D909" t="s">
        <v>22</v>
      </c>
      <c r="E909" t="s">
        <v>23</v>
      </c>
      <c r="F909" t="s">
        <v>363</v>
      </c>
      <c r="G909" t="s">
        <v>401</v>
      </c>
      <c r="H909" t="s">
        <v>365</v>
      </c>
      <c r="I909" t="s">
        <v>13</v>
      </c>
      <c r="J909" t="s">
        <v>402</v>
      </c>
      <c r="K909" t="s">
        <v>403</v>
      </c>
      <c r="L909" t="s">
        <v>368</v>
      </c>
      <c r="M909">
        <v>49</v>
      </c>
      <c r="N909" t="b">
        <v>0</v>
      </c>
      <c r="O909">
        <v>0.8125</v>
      </c>
      <c r="P909">
        <v>0.78</v>
      </c>
      <c r="Q909">
        <v>0.84782608695652173</v>
      </c>
      <c r="R909" t="s">
        <v>60</v>
      </c>
      <c r="S909" t="s">
        <v>2245</v>
      </c>
      <c r="T909" t="s">
        <v>2246</v>
      </c>
      <c r="U909" t="b">
        <v>1</v>
      </c>
      <c r="V909" t="s">
        <v>63</v>
      </c>
      <c r="W909">
        <v>2</v>
      </c>
    </row>
    <row r="910" spans="1:23" hidden="1" x14ac:dyDescent="0.3">
      <c r="A910" t="s">
        <v>1629</v>
      </c>
      <c r="B910" t="s">
        <v>1630</v>
      </c>
      <c r="C910" t="s">
        <v>28</v>
      </c>
      <c r="D910" t="s">
        <v>22</v>
      </c>
      <c r="E910" t="s">
        <v>23</v>
      </c>
      <c r="F910" t="s">
        <v>363</v>
      </c>
      <c r="G910" t="s">
        <v>406</v>
      </c>
      <c r="H910" t="s">
        <v>365</v>
      </c>
      <c r="I910" t="s">
        <v>13</v>
      </c>
      <c r="J910" t="s">
        <v>407</v>
      </c>
      <c r="K910" t="s">
        <v>408</v>
      </c>
      <c r="L910" t="s">
        <v>368</v>
      </c>
      <c r="M910">
        <v>50</v>
      </c>
      <c r="N910" t="b">
        <v>0</v>
      </c>
      <c r="O910">
        <v>0.84016393442622939</v>
      </c>
      <c r="P910">
        <v>0.79457364341085268</v>
      </c>
      <c r="Q910">
        <v>0.89130434782608692</v>
      </c>
      <c r="R910" t="s">
        <v>60</v>
      </c>
      <c r="S910" t="s">
        <v>2247</v>
      </c>
      <c r="T910" t="s">
        <v>2248</v>
      </c>
      <c r="U910" t="b">
        <v>1</v>
      </c>
      <c r="V910" t="s">
        <v>63</v>
      </c>
      <c r="W910">
        <v>1.6</v>
      </c>
    </row>
    <row r="911" spans="1:23" hidden="1" x14ac:dyDescent="0.3">
      <c r="A911" t="s">
        <v>1629</v>
      </c>
      <c r="B911" t="s">
        <v>1630</v>
      </c>
      <c r="C911" t="s">
        <v>28</v>
      </c>
      <c r="D911" t="s">
        <v>22</v>
      </c>
      <c r="E911" t="s">
        <v>23</v>
      </c>
      <c r="F911" t="s">
        <v>363</v>
      </c>
      <c r="G911" t="s">
        <v>411</v>
      </c>
      <c r="H911" t="s">
        <v>365</v>
      </c>
      <c r="I911" t="s">
        <v>13</v>
      </c>
      <c r="J911" t="s">
        <v>412</v>
      </c>
      <c r="K911" t="s">
        <v>413</v>
      </c>
      <c r="L911" t="s">
        <v>368</v>
      </c>
      <c r="M911">
        <v>51</v>
      </c>
      <c r="N911" t="b">
        <v>0</v>
      </c>
      <c r="O911">
        <v>0.83471074380165289</v>
      </c>
      <c r="P911">
        <v>0.79527559055118113</v>
      </c>
      <c r="Q911">
        <v>0.87826086956521743</v>
      </c>
      <c r="R911" t="s">
        <v>60</v>
      </c>
      <c r="S911" t="s">
        <v>2249</v>
      </c>
      <c r="T911" t="s">
        <v>2250</v>
      </c>
      <c r="U911" t="b">
        <v>1</v>
      </c>
      <c r="V911" t="s">
        <v>63</v>
      </c>
      <c r="W911">
        <v>1.5</v>
      </c>
    </row>
    <row r="912" spans="1:23" hidden="1" x14ac:dyDescent="0.3">
      <c r="A912" t="s">
        <v>1629</v>
      </c>
      <c r="B912" t="s">
        <v>1630</v>
      </c>
      <c r="C912" t="s">
        <v>28</v>
      </c>
      <c r="D912" t="s">
        <v>22</v>
      </c>
      <c r="E912" t="s">
        <v>23</v>
      </c>
      <c r="F912" t="s">
        <v>363</v>
      </c>
      <c r="G912" t="s">
        <v>416</v>
      </c>
      <c r="H912" t="s">
        <v>365</v>
      </c>
      <c r="I912" t="s">
        <v>13</v>
      </c>
      <c r="J912" t="s">
        <v>417</v>
      </c>
      <c r="K912" t="s">
        <v>418</v>
      </c>
      <c r="L912" t="s">
        <v>368</v>
      </c>
      <c r="M912">
        <v>52</v>
      </c>
      <c r="N912" t="b">
        <v>0</v>
      </c>
      <c r="O912">
        <v>0.83569979716024345</v>
      </c>
      <c r="P912">
        <v>0.78326996197718635</v>
      </c>
      <c r="Q912">
        <v>0.89565217391304353</v>
      </c>
      <c r="R912" t="s">
        <v>60</v>
      </c>
      <c r="S912" t="s">
        <v>2251</v>
      </c>
      <c r="T912" t="s">
        <v>2252</v>
      </c>
      <c r="U912" t="b">
        <v>1</v>
      </c>
      <c r="V912" t="s">
        <v>63</v>
      </c>
      <c r="W912">
        <v>1.6</v>
      </c>
    </row>
    <row r="913" spans="1:23" hidden="1" x14ac:dyDescent="0.3">
      <c r="A913" t="s">
        <v>1629</v>
      </c>
      <c r="B913" t="s">
        <v>1630</v>
      </c>
      <c r="C913" t="s">
        <v>28</v>
      </c>
      <c r="D913" t="s">
        <v>22</v>
      </c>
      <c r="E913" t="s">
        <v>23</v>
      </c>
      <c r="F913" t="s">
        <v>363</v>
      </c>
      <c r="G913" t="s">
        <v>421</v>
      </c>
      <c r="H913" t="s">
        <v>365</v>
      </c>
      <c r="I913" t="s">
        <v>13</v>
      </c>
      <c r="J913" t="s">
        <v>422</v>
      </c>
      <c r="K913" t="s">
        <v>423</v>
      </c>
      <c r="L913" t="s">
        <v>368</v>
      </c>
      <c r="M913">
        <v>53</v>
      </c>
      <c r="N913" t="b">
        <v>0</v>
      </c>
      <c r="O913">
        <v>0.84696016771488469</v>
      </c>
      <c r="P913">
        <v>0.81781376518218618</v>
      </c>
      <c r="Q913">
        <v>0.87826086956521743</v>
      </c>
      <c r="R913" t="s">
        <v>60</v>
      </c>
      <c r="S913" t="s">
        <v>2253</v>
      </c>
      <c r="T913" t="s">
        <v>2254</v>
      </c>
      <c r="U913" t="b">
        <v>1</v>
      </c>
      <c r="V913" t="s">
        <v>63</v>
      </c>
      <c r="W913">
        <v>1.7</v>
      </c>
    </row>
    <row r="914" spans="1:23" hidden="1" x14ac:dyDescent="0.3">
      <c r="A914" t="s">
        <v>1629</v>
      </c>
      <c r="B914" t="s">
        <v>1630</v>
      </c>
      <c r="C914" t="s">
        <v>28</v>
      </c>
      <c r="D914" t="s">
        <v>22</v>
      </c>
      <c r="E914" t="s">
        <v>23</v>
      </c>
      <c r="F914" t="s">
        <v>363</v>
      </c>
      <c r="G914" t="s">
        <v>426</v>
      </c>
      <c r="H914" t="s">
        <v>365</v>
      </c>
      <c r="I914" t="s">
        <v>13</v>
      </c>
      <c r="J914" t="s">
        <v>427</v>
      </c>
      <c r="K914" t="s">
        <v>428</v>
      </c>
      <c r="L914" t="s">
        <v>368</v>
      </c>
      <c r="M914">
        <v>54</v>
      </c>
      <c r="N914" t="b">
        <v>0</v>
      </c>
      <c r="O914">
        <v>0.85534591194968557</v>
      </c>
      <c r="P914">
        <v>0.82591093117408909</v>
      </c>
      <c r="Q914">
        <v>0.88695652173913042</v>
      </c>
      <c r="R914" t="s">
        <v>60</v>
      </c>
      <c r="S914" t="s">
        <v>2255</v>
      </c>
      <c r="T914" t="s">
        <v>2256</v>
      </c>
      <c r="U914" t="b">
        <v>1</v>
      </c>
      <c r="V914" t="s">
        <v>63</v>
      </c>
      <c r="W914">
        <v>1.6</v>
      </c>
    </row>
    <row r="915" spans="1:23" hidden="1" x14ac:dyDescent="0.3">
      <c r="A915" t="s">
        <v>1629</v>
      </c>
      <c r="B915" t="s">
        <v>1630</v>
      </c>
      <c r="C915" t="s">
        <v>28</v>
      </c>
      <c r="D915" t="s">
        <v>22</v>
      </c>
      <c r="E915" t="s">
        <v>23</v>
      </c>
      <c r="F915" t="s">
        <v>363</v>
      </c>
      <c r="G915" t="s">
        <v>431</v>
      </c>
      <c r="H915" t="s">
        <v>365</v>
      </c>
      <c r="I915" t="s">
        <v>13</v>
      </c>
      <c r="J915" t="s">
        <v>432</v>
      </c>
      <c r="K915" t="s">
        <v>433</v>
      </c>
      <c r="L915" t="s">
        <v>368</v>
      </c>
      <c r="M915">
        <v>55</v>
      </c>
      <c r="N915" t="b">
        <v>0</v>
      </c>
      <c r="O915">
        <v>0.83606557377049184</v>
      </c>
      <c r="P915">
        <v>0.79069767441860461</v>
      </c>
      <c r="Q915">
        <v>0.88695652173913042</v>
      </c>
      <c r="R915" t="s">
        <v>60</v>
      </c>
      <c r="S915" t="s">
        <v>2257</v>
      </c>
      <c r="T915" t="s">
        <v>2258</v>
      </c>
      <c r="U915" t="b">
        <v>1</v>
      </c>
      <c r="V915" t="s">
        <v>63</v>
      </c>
      <c r="W915">
        <v>1.8</v>
      </c>
    </row>
    <row r="916" spans="1:23" hidden="1" x14ac:dyDescent="0.3">
      <c r="A916" t="s">
        <v>1629</v>
      </c>
      <c r="B916" t="s">
        <v>1630</v>
      </c>
      <c r="C916" t="s">
        <v>28</v>
      </c>
      <c r="D916" t="s">
        <v>22</v>
      </c>
      <c r="E916" t="s">
        <v>23</v>
      </c>
      <c r="F916" t="s">
        <v>363</v>
      </c>
      <c r="G916" t="s">
        <v>436</v>
      </c>
      <c r="H916" t="s">
        <v>365</v>
      </c>
      <c r="I916" t="s">
        <v>13</v>
      </c>
      <c r="J916" t="s">
        <v>437</v>
      </c>
      <c r="K916" t="s">
        <v>438</v>
      </c>
      <c r="L916" t="s">
        <v>368</v>
      </c>
      <c r="M916">
        <v>56</v>
      </c>
      <c r="N916" t="b">
        <v>0</v>
      </c>
      <c r="O916">
        <v>0.84710743801652899</v>
      </c>
      <c r="P916">
        <v>0.80708661417322836</v>
      </c>
      <c r="Q916">
        <v>0.89130434782608692</v>
      </c>
      <c r="R916" t="s">
        <v>60</v>
      </c>
      <c r="S916" t="s">
        <v>2259</v>
      </c>
      <c r="T916" t="s">
        <v>2260</v>
      </c>
      <c r="U916" t="b">
        <v>1</v>
      </c>
      <c r="V916" t="s">
        <v>63</v>
      </c>
      <c r="W916">
        <v>1.4</v>
      </c>
    </row>
    <row r="917" spans="1:23" hidden="1" x14ac:dyDescent="0.3">
      <c r="A917" t="s">
        <v>1629</v>
      </c>
      <c r="B917" t="s">
        <v>1630</v>
      </c>
      <c r="C917" t="s">
        <v>28</v>
      </c>
      <c r="D917" t="s">
        <v>22</v>
      </c>
      <c r="E917" t="s">
        <v>23</v>
      </c>
      <c r="F917" t="s">
        <v>363</v>
      </c>
      <c r="G917" t="s">
        <v>441</v>
      </c>
      <c r="H917" t="s">
        <v>365</v>
      </c>
      <c r="I917" t="s">
        <v>13</v>
      </c>
      <c r="J917" t="s">
        <v>442</v>
      </c>
      <c r="K917" t="s">
        <v>443</v>
      </c>
      <c r="L917" t="s">
        <v>368</v>
      </c>
      <c r="M917">
        <v>57</v>
      </c>
      <c r="N917" t="b">
        <v>0</v>
      </c>
      <c r="O917">
        <v>0.83673469387755095</v>
      </c>
      <c r="P917">
        <v>0.78846153846153844</v>
      </c>
      <c r="Q917">
        <v>0.89130434782608692</v>
      </c>
      <c r="R917" t="s">
        <v>60</v>
      </c>
      <c r="S917" t="s">
        <v>2261</v>
      </c>
      <c r="T917" t="s">
        <v>2262</v>
      </c>
      <c r="U917" t="b">
        <v>1</v>
      </c>
      <c r="V917" t="s">
        <v>63</v>
      </c>
      <c r="W917">
        <v>1.4</v>
      </c>
    </row>
    <row r="918" spans="1:23" hidden="1" x14ac:dyDescent="0.3">
      <c r="A918" t="s">
        <v>1629</v>
      </c>
      <c r="B918" t="s">
        <v>1630</v>
      </c>
      <c r="C918" t="s">
        <v>28</v>
      </c>
      <c r="D918" t="s">
        <v>22</v>
      </c>
      <c r="E918" t="s">
        <v>23</v>
      </c>
      <c r="F918" t="s">
        <v>363</v>
      </c>
      <c r="G918" t="s">
        <v>446</v>
      </c>
      <c r="H918" t="s">
        <v>365</v>
      </c>
      <c r="I918" t="s">
        <v>13</v>
      </c>
      <c r="J918" t="s">
        <v>447</v>
      </c>
      <c r="K918" t="s">
        <v>448</v>
      </c>
      <c r="L918" t="s">
        <v>368</v>
      </c>
      <c r="M918">
        <v>58</v>
      </c>
      <c r="N918" t="b">
        <v>0</v>
      </c>
      <c r="O918">
        <v>0.84342379958246338</v>
      </c>
      <c r="P918">
        <v>0.8112449799196787</v>
      </c>
      <c r="Q918">
        <v>0.87826086956521743</v>
      </c>
      <c r="R918" t="s">
        <v>60</v>
      </c>
      <c r="S918" t="s">
        <v>2263</v>
      </c>
      <c r="T918" t="s">
        <v>2264</v>
      </c>
      <c r="U918" t="b">
        <v>1</v>
      </c>
      <c r="V918" t="s">
        <v>63</v>
      </c>
      <c r="W918">
        <v>1.5</v>
      </c>
    </row>
    <row r="919" spans="1:23" hidden="1" x14ac:dyDescent="0.3">
      <c r="A919" t="s">
        <v>1629</v>
      </c>
      <c r="B919" t="s">
        <v>1630</v>
      </c>
      <c r="C919" t="s">
        <v>28</v>
      </c>
      <c r="D919" t="s">
        <v>22</v>
      </c>
      <c r="E919" t="s">
        <v>23</v>
      </c>
      <c r="F919" t="s">
        <v>363</v>
      </c>
      <c r="G919" t="s">
        <v>451</v>
      </c>
      <c r="H919" t="s">
        <v>365</v>
      </c>
      <c r="I919" t="s">
        <v>13</v>
      </c>
      <c r="J919" t="s">
        <v>452</v>
      </c>
      <c r="K919" t="s">
        <v>453</v>
      </c>
      <c r="L919" t="s">
        <v>368</v>
      </c>
      <c r="M919">
        <v>59</v>
      </c>
      <c r="N919" t="b">
        <v>0</v>
      </c>
      <c r="O919">
        <v>0.82886597938144324</v>
      </c>
      <c r="P919">
        <v>0.78823529411764703</v>
      </c>
      <c r="Q919">
        <v>0.87391304347826082</v>
      </c>
      <c r="R919" t="s">
        <v>60</v>
      </c>
      <c r="S919" t="s">
        <v>2265</v>
      </c>
      <c r="T919" t="s">
        <v>2266</v>
      </c>
      <c r="U919" t="b">
        <v>1</v>
      </c>
      <c r="V919" t="s">
        <v>63</v>
      </c>
      <c r="W919">
        <v>1.6</v>
      </c>
    </row>
    <row r="920" spans="1:23" hidden="1" x14ac:dyDescent="0.3">
      <c r="A920" t="s">
        <v>1629</v>
      </c>
      <c r="B920" t="s">
        <v>1630</v>
      </c>
      <c r="C920" t="s">
        <v>28</v>
      </c>
      <c r="D920" t="s">
        <v>22</v>
      </c>
      <c r="E920" t="s">
        <v>23</v>
      </c>
      <c r="F920" t="s">
        <v>363</v>
      </c>
      <c r="G920" t="s">
        <v>456</v>
      </c>
      <c r="H920" t="s">
        <v>365</v>
      </c>
      <c r="I920" t="s">
        <v>13</v>
      </c>
      <c r="J920" t="s">
        <v>457</v>
      </c>
      <c r="K920" t="s">
        <v>458</v>
      </c>
      <c r="L920" t="s">
        <v>368</v>
      </c>
      <c r="M920">
        <v>60</v>
      </c>
      <c r="N920" t="b">
        <v>0</v>
      </c>
      <c r="O920">
        <v>0.84948453608247432</v>
      </c>
      <c r="P920">
        <v>0.80784313725490198</v>
      </c>
      <c r="Q920">
        <v>0.89565217391304353</v>
      </c>
      <c r="R920" t="s">
        <v>60</v>
      </c>
      <c r="S920" t="s">
        <v>2267</v>
      </c>
      <c r="T920" t="s">
        <v>2268</v>
      </c>
      <c r="U920" t="b">
        <v>1</v>
      </c>
      <c r="V920" t="s">
        <v>63</v>
      </c>
      <c r="W920">
        <v>1.4</v>
      </c>
    </row>
    <row r="921" spans="1:23" hidden="1" x14ac:dyDescent="0.3">
      <c r="A921" t="s">
        <v>1629</v>
      </c>
      <c r="B921" t="s">
        <v>1630</v>
      </c>
      <c r="C921" t="s">
        <v>28</v>
      </c>
      <c r="D921" t="s">
        <v>22</v>
      </c>
      <c r="E921" t="s">
        <v>23</v>
      </c>
      <c r="F921" t="s">
        <v>363</v>
      </c>
      <c r="G921" t="s">
        <v>461</v>
      </c>
      <c r="H921" t="s">
        <v>365</v>
      </c>
      <c r="I921" t="s">
        <v>13</v>
      </c>
      <c r="J921" t="s">
        <v>462</v>
      </c>
      <c r="K921" t="s">
        <v>463</v>
      </c>
      <c r="L921" t="s">
        <v>368</v>
      </c>
      <c r="M921">
        <v>61</v>
      </c>
      <c r="N921" t="b">
        <v>0</v>
      </c>
      <c r="O921">
        <v>0.83884297520661166</v>
      </c>
      <c r="P921">
        <v>0.79921259842519687</v>
      </c>
      <c r="Q921">
        <v>0.88260869565217392</v>
      </c>
      <c r="R921" t="s">
        <v>60</v>
      </c>
      <c r="S921" t="s">
        <v>2269</v>
      </c>
      <c r="T921" t="s">
        <v>2270</v>
      </c>
      <c r="U921" t="b">
        <v>1</v>
      </c>
      <c r="V921" t="s">
        <v>63</v>
      </c>
      <c r="W921">
        <v>1.8</v>
      </c>
    </row>
    <row r="922" spans="1:23" hidden="1" x14ac:dyDescent="0.3">
      <c r="A922" t="s">
        <v>1629</v>
      </c>
      <c r="B922" t="s">
        <v>1630</v>
      </c>
      <c r="C922" t="s">
        <v>28</v>
      </c>
      <c r="D922" t="s">
        <v>22</v>
      </c>
      <c r="E922" t="s">
        <v>23</v>
      </c>
      <c r="F922" t="s">
        <v>363</v>
      </c>
      <c r="G922" t="s">
        <v>466</v>
      </c>
      <c r="H922" t="s">
        <v>467</v>
      </c>
      <c r="I922" t="s">
        <v>9</v>
      </c>
      <c r="J922" t="s">
        <v>468</v>
      </c>
      <c r="K922" t="s">
        <v>469</v>
      </c>
      <c r="L922" t="s">
        <v>470</v>
      </c>
      <c r="M922">
        <v>42</v>
      </c>
      <c r="N922" t="b">
        <v>0</v>
      </c>
      <c r="O922">
        <v>0.81586402266288949</v>
      </c>
      <c r="P922">
        <v>0.78260869565217395</v>
      </c>
      <c r="Q922">
        <v>0.85207100591715978</v>
      </c>
      <c r="R922" t="s">
        <v>60</v>
      </c>
      <c r="S922" t="s">
        <v>2271</v>
      </c>
      <c r="T922" t="s">
        <v>2272</v>
      </c>
      <c r="U922" t="b">
        <v>1</v>
      </c>
      <c r="V922" t="s">
        <v>63</v>
      </c>
      <c r="W922">
        <v>1.4</v>
      </c>
    </row>
    <row r="923" spans="1:23" hidden="1" x14ac:dyDescent="0.3">
      <c r="A923" t="s">
        <v>1629</v>
      </c>
      <c r="B923" t="s">
        <v>1630</v>
      </c>
      <c r="C923" t="s">
        <v>28</v>
      </c>
      <c r="D923" t="s">
        <v>22</v>
      </c>
      <c r="E923" t="s">
        <v>23</v>
      </c>
      <c r="F923" t="s">
        <v>363</v>
      </c>
      <c r="G923" t="s">
        <v>473</v>
      </c>
      <c r="H923" t="s">
        <v>467</v>
      </c>
      <c r="I923" t="s">
        <v>9</v>
      </c>
      <c r="J923" t="s">
        <v>474</v>
      </c>
      <c r="K923" t="s">
        <v>475</v>
      </c>
      <c r="L923" t="s">
        <v>470</v>
      </c>
      <c r="M923">
        <v>43</v>
      </c>
      <c r="N923" t="b">
        <v>0</v>
      </c>
      <c r="O923">
        <v>0.81844380403458217</v>
      </c>
      <c r="P923">
        <v>0.797752808988764</v>
      </c>
      <c r="Q923">
        <v>0.84023668639053251</v>
      </c>
      <c r="R923" t="s">
        <v>60</v>
      </c>
      <c r="S923" t="s">
        <v>2273</v>
      </c>
      <c r="T923" t="s">
        <v>2274</v>
      </c>
      <c r="U923" t="b">
        <v>1</v>
      </c>
      <c r="V923" t="s">
        <v>63</v>
      </c>
      <c r="W923">
        <v>1.4</v>
      </c>
    </row>
    <row r="924" spans="1:23" hidden="1" x14ac:dyDescent="0.3">
      <c r="A924" t="s">
        <v>1629</v>
      </c>
      <c r="B924" t="s">
        <v>1630</v>
      </c>
      <c r="C924" t="s">
        <v>28</v>
      </c>
      <c r="D924" t="s">
        <v>22</v>
      </c>
      <c r="E924" t="s">
        <v>23</v>
      </c>
      <c r="F924" t="s">
        <v>363</v>
      </c>
      <c r="G924" t="s">
        <v>478</v>
      </c>
      <c r="H924" t="s">
        <v>467</v>
      </c>
      <c r="I924" t="s">
        <v>9</v>
      </c>
      <c r="J924" t="s">
        <v>479</v>
      </c>
      <c r="K924" t="s">
        <v>480</v>
      </c>
      <c r="L924" t="s">
        <v>470</v>
      </c>
      <c r="M924">
        <v>44</v>
      </c>
      <c r="N924" t="b">
        <v>0</v>
      </c>
      <c r="O924">
        <v>0.81481481481481477</v>
      </c>
      <c r="P924">
        <v>0.7857142857142857</v>
      </c>
      <c r="Q924">
        <v>0.84615384615384615</v>
      </c>
      <c r="R924" t="s">
        <v>60</v>
      </c>
      <c r="S924" t="s">
        <v>2275</v>
      </c>
      <c r="T924" t="s">
        <v>2276</v>
      </c>
      <c r="U924" t="b">
        <v>1</v>
      </c>
      <c r="V924" t="s">
        <v>63</v>
      </c>
      <c r="W924">
        <v>1.4</v>
      </c>
    </row>
    <row r="925" spans="1:23" hidden="1" x14ac:dyDescent="0.3">
      <c r="A925" t="s">
        <v>1629</v>
      </c>
      <c r="B925" t="s">
        <v>1630</v>
      </c>
      <c r="C925" t="s">
        <v>28</v>
      </c>
      <c r="D925" t="s">
        <v>22</v>
      </c>
      <c r="E925" t="s">
        <v>23</v>
      </c>
      <c r="F925" t="s">
        <v>363</v>
      </c>
      <c r="G925" t="s">
        <v>483</v>
      </c>
      <c r="H925" t="s">
        <v>467</v>
      </c>
      <c r="I925" t="s">
        <v>9</v>
      </c>
      <c r="J925" t="s">
        <v>484</v>
      </c>
      <c r="K925" t="s">
        <v>485</v>
      </c>
      <c r="L925" t="s">
        <v>470</v>
      </c>
      <c r="M925">
        <v>45</v>
      </c>
      <c r="N925" t="b">
        <v>0</v>
      </c>
      <c r="O925">
        <v>0.81481481481481477</v>
      </c>
      <c r="P925">
        <v>0.7857142857142857</v>
      </c>
      <c r="Q925">
        <v>0.84615384615384615</v>
      </c>
      <c r="R925" t="s">
        <v>60</v>
      </c>
      <c r="S925" t="s">
        <v>2277</v>
      </c>
      <c r="T925" t="s">
        <v>2278</v>
      </c>
      <c r="U925" t="b">
        <v>1</v>
      </c>
      <c r="V925" t="s">
        <v>63</v>
      </c>
      <c r="W925">
        <v>1.3</v>
      </c>
    </row>
    <row r="926" spans="1:23" hidden="1" x14ac:dyDescent="0.3">
      <c r="A926" t="s">
        <v>1629</v>
      </c>
      <c r="B926" t="s">
        <v>1630</v>
      </c>
      <c r="C926" t="s">
        <v>28</v>
      </c>
      <c r="D926" t="s">
        <v>22</v>
      </c>
      <c r="E926" t="s">
        <v>23</v>
      </c>
      <c r="F926" t="s">
        <v>363</v>
      </c>
      <c r="G926" t="s">
        <v>488</v>
      </c>
      <c r="H926" t="s">
        <v>467</v>
      </c>
      <c r="I926" t="s">
        <v>9</v>
      </c>
      <c r="J926" t="s">
        <v>489</v>
      </c>
      <c r="K926" t="s">
        <v>490</v>
      </c>
      <c r="L926" t="s">
        <v>470</v>
      </c>
      <c r="M926">
        <v>46</v>
      </c>
      <c r="N926" t="b">
        <v>0</v>
      </c>
      <c r="O926">
        <v>0.81818181818181823</v>
      </c>
      <c r="P926">
        <v>0.78688524590163933</v>
      </c>
      <c r="Q926">
        <v>0.85207100591715978</v>
      </c>
      <c r="R926" t="s">
        <v>60</v>
      </c>
      <c r="S926" t="s">
        <v>2279</v>
      </c>
      <c r="T926" t="s">
        <v>2280</v>
      </c>
      <c r="U926" t="b">
        <v>1</v>
      </c>
      <c r="V926" t="s">
        <v>63</v>
      </c>
      <c r="W926">
        <v>1.3</v>
      </c>
    </row>
    <row r="927" spans="1:23" hidden="1" x14ac:dyDescent="0.3">
      <c r="A927" t="s">
        <v>1629</v>
      </c>
      <c r="B927" t="s">
        <v>1630</v>
      </c>
      <c r="C927" t="s">
        <v>28</v>
      </c>
      <c r="D927" t="s">
        <v>22</v>
      </c>
      <c r="E927" t="s">
        <v>23</v>
      </c>
      <c r="F927" t="s">
        <v>363</v>
      </c>
      <c r="G927" t="s">
        <v>493</v>
      </c>
      <c r="H927" t="s">
        <v>467</v>
      </c>
      <c r="I927" t="s">
        <v>9</v>
      </c>
      <c r="J927" t="s">
        <v>494</v>
      </c>
      <c r="K927" t="s">
        <v>495</v>
      </c>
      <c r="L927" t="s">
        <v>470</v>
      </c>
      <c r="M927">
        <v>47</v>
      </c>
      <c r="N927" t="b">
        <v>0</v>
      </c>
      <c r="O927">
        <v>0.83094555873925513</v>
      </c>
      <c r="P927">
        <v>0.80555555555555558</v>
      </c>
      <c r="Q927">
        <v>0.85798816568047342</v>
      </c>
      <c r="R927" t="s">
        <v>60</v>
      </c>
      <c r="S927" t="s">
        <v>2281</v>
      </c>
      <c r="T927" t="s">
        <v>2282</v>
      </c>
      <c r="U927" t="b">
        <v>1</v>
      </c>
      <c r="V927" t="s">
        <v>63</v>
      </c>
      <c r="W927">
        <v>1.4</v>
      </c>
    </row>
    <row r="928" spans="1:23" hidden="1" x14ac:dyDescent="0.3">
      <c r="A928" t="s">
        <v>1629</v>
      </c>
      <c r="B928" t="s">
        <v>1630</v>
      </c>
      <c r="C928" t="s">
        <v>28</v>
      </c>
      <c r="D928" t="s">
        <v>22</v>
      </c>
      <c r="E928" t="s">
        <v>23</v>
      </c>
      <c r="F928" t="s">
        <v>363</v>
      </c>
      <c r="G928" t="s">
        <v>498</v>
      </c>
      <c r="H928" t="s">
        <v>467</v>
      </c>
      <c r="I928" t="s">
        <v>9</v>
      </c>
      <c r="J928" t="s">
        <v>499</v>
      </c>
      <c r="K928" t="s">
        <v>500</v>
      </c>
      <c r="L928" t="s">
        <v>470</v>
      </c>
      <c r="M928">
        <v>48</v>
      </c>
      <c r="N928" t="b">
        <v>0</v>
      </c>
      <c r="O928">
        <v>0.81690140845070425</v>
      </c>
      <c r="P928">
        <v>0.77956989247311825</v>
      </c>
      <c r="Q928">
        <v>0.85798816568047342</v>
      </c>
      <c r="R928" t="s">
        <v>60</v>
      </c>
      <c r="S928" t="s">
        <v>2283</v>
      </c>
      <c r="T928" t="s">
        <v>2284</v>
      </c>
      <c r="U928" t="b">
        <v>1</v>
      </c>
      <c r="V928" t="s">
        <v>63</v>
      </c>
      <c r="W928">
        <v>1.9</v>
      </c>
    </row>
    <row r="929" spans="1:23" hidden="1" x14ac:dyDescent="0.3">
      <c r="A929" t="s">
        <v>1629</v>
      </c>
      <c r="B929" t="s">
        <v>1630</v>
      </c>
      <c r="C929" t="s">
        <v>28</v>
      </c>
      <c r="D929" t="s">
        <v>22</v>
      </c>
      <c r="E929" t="s">
        <v>23</v>
      </c>
      <c r="F929" t="s">
        <v>363</v>
      </c>
      <c r="G929" t="s">
        <v>503</v>
      </c>
      <c r="H929" t="s">
        <v>467</v>
      </c>
      <c r="I929" t="s">
        <v>9</v>
      </c>
      <c r="J929" t="s">
        <v>504</v>
      </c>
      <c r="K929" t="s">
        <v>505</v>
      </c>
      <c r="L929" t="s">
        <v>470</v>
      </c>
      <c r="M929">
        <v>49</v>
      </c>
      <c r="N929" t="b">
        <v>0</v>
      </c>
      <c r="O929">
        <v>0.82352941176470595</v>
      </c>
      <c r="P929">
        <v>0.78191489361702127</v>
      </c>
      <c r="Q929">
        <v>0.86982248520710059</v>
      </c>
      <c r="R929" t="s">
        <v>60</v>
      </c>
      <c r="S929" t="s">
        <v>2285</v>
      </c>
      <c r="T929" t="s">
        <v>2286</v>
      </c>
      <c r="U929" t="b">
        <v>1</v>
      </c>
      <c r="V929" t="s">
        <v>63</v>
      </c>
      <c r="W929">
        <v>1.3</v>
      </c>
    </row>
    <row r="930" spans="1:23" hidden="1" x14ac:dyDescent="0.3">
      <c r="A930" t="s">
        <v>1629</v>
      </c>
      <c r="B930" t="s">
        <v>1630</v>
      </c>
      <c r="C930" t="s">
        <v>28</v>
      </c>
      <c r="D930" t="s">
        <v>22</v>
      </c>
      <c r="E930" t="s">
        <v>23</v>
      </c>
      <c r="F930" t="s">
        <v>363</v>
      </c>
      <c r="G930" t="s">
        <v>508</v>
      </c>
      <c r="H930" t="s">
        <v>467</v>
      </c>
      <c r="I930" t="s">
        <v>9</v>
      </c>
      <c r="J930" t="s">
        <v>509</v>
      </c>
      <c r="K930" t="s">
        <v>510</v>
      </c>
      <c r="L930" t="s">
        <v>470</v>
      </c>
      <c r="M930">
        <v>50</v>
      </c>
      <c r="N930" t="b">
        <v>0</v>
      </c>
      <c r="O930">
        <v>0.81609195402298851</v>
      </c>
      <c r="P930">
        <v>0.79329608938547491</v>
      </c>
      <c r="Q930">
        <v>0.84023668639053251</v>
      </c>
      <c r="R930" t="s">
        <v>60</v>
      </c>
      <c r="S930" t="s">
        <v>2287</v>
      </c>
      <c r="T930" t="s">
        <v>2288</v>
      </c>
      <c r="U930" t="b">
        <v>1</v>
      </c>
      <c r="V930" t="s">
        <v>63</v>
      </c>
      <c r="W930">
        <v>1.4</v>
      </c>
    </row>
    <row r="931" spans="1:23" hidden="1" x14ac:dyDescent="0.3">
      <c r="A931" t="s">
        <v>1629</v>
      </c>
      <c r="B931" t="s">
        <v>1630</v>
      </c>
      <c r="C931" t="s">
        <v>28</v>
      </c>
      <c r="D931" t="s">
        <v>22</v>
      </c>
      <c r="E931" t="s">
        <v>23</v>
      </c>
      <c r="F931" t="s">
        <v>363</v>
      </c>
      <c r="G931" t="s">
        <v>513</v>
      </c>
      <c r="H931" t="s">
        <v>467</v>
      </c>
      <c r="I931" t="s">
        <v>9</v>
      </c>
      <c r="J931" t="s">
        <v>514</v>
      </c>
      <c r="K931" t="s">
        <v>515</v>
      </c>
      <c r="L931" t="s">
        <v>470</v>
      </c>
      <c r="M931">
        <v>51</v>
      </c>
      <c r="N931" t="b">
        <v>0</v>
      </c>
      <c r="O931">
        <v>0.83943661971830974</v>
      </c>
      <c r="P931">
        <v>0.80107526881720426</v>
      </c>
      <c r="Q931">
        <v>0.88165680473372776</v>
      </c>
      <c r="R931" t="s">
        <v>60</v>
      </c>
      <c r="S931" t="s">
        <v>2289</v>
      </c>
      <c r="T931" t="s">
        <v>2290</v>
      </c>
      <c r="U931" t="b">
        <v>1</v>
      </c>
      <c r="V931" t="s">
        <v>63</v>
      </c>
      <c r="W931">
        <v>1.5</v>
      </c>
    </row>
    <row r="932" spans="1:23" hidden="1" x14ac:dyDescent="0.3">
      <c r="A932" t="s">
        <v>1629</v>
      </c>
      <c r="B932" t="s">
        <v>1630</v>
      </c>
      <c r="C932" t="s">
        <v>28</v>
      </c>
      <c r="D932" t="s">
        <v>22</v>
      </c>
      <c r="E932" t="s">
        <v>23</v>
      </c>
      <c r="F932" t="s">
        <v>363</v>
      </c>
      <c r="G932" t="s">
        <v>518</v>
      </c>
      <c r="H932" t="s">
        <v>467</v>
      </c>
      <c r="I932" t="s">
        <v>9</v>
      </c>
      <c r="J932" t="s">
        <v>519</v>
      </c>
      <c r="K932" t="s">
        <v>520</v>
      </c>
      <c r="L932" t="s">
        <v>470</v>
      </c>
      <c r="M932">
        <v>52</v>
      </c>
      <c r="N932" t="b">
        <v>0</v>
      </c>
      <c r="O932">
        <v>0.81481481481481477</v>
      </c>
      <c r="P932">
        <v>0.7857142857142857</v>
      </c>
      <c r="Q932">
        <v>0.84615384615384615</v>
      </c>
      <c r="R932" t="s">
        <v>60</v>
      </c>
      <c r="S932" t="s">
        <v>2291</v>
      </c>
      <c r="T932" t="s">
        <v>2292</v>
      </c>
      <c r="U932" t="b">
        <v>1</v>
      </c>
      <c r="V932" t="s">
        <v>63</v>
      </c>
      <c r="W932">
        <v>1.3</v>
      </c>
    </row>
    <row r="933" spans="1:23" hidden="1" x14ac:dyDescent="0.3">
      <c r="A933" t="s">
        <v>1629</v>
      </c>
      <c r="B933" t="s">
        <v>1630</v>
      </c>
      <c r="C933" t="s">
        <v>28</v>
      </c>
      <c r="D933" t="s">
        <v>22</v>
      </c>
      <c r="E933" t="s">
        <v>23</v>
      </c>
      <c r="F933" t="s">
        <v>363</v>
      </c>
      <c r="G933" t="s">
        <v>523</v>
      </c>
      <c r="H933" t="s">
        <v>467</v>
      </c>
      <c r="I933" t="s">
        <v>9</v>
      </c>
      <c r="J933" t="s">
        <v>524</v>
      </c>
      <c r="K933" t="s">
        <v>525</v>
      </c>
      <c r="L933" t="s">
        <v>470</v>
      </c>
      <c r="M933">
        <v>53</v>
      </c>
      <c r="N933" t="b">
        <v>0</v>
      </c>
      <c r="O933">
        <v>0.8262108262108262</v>
      </c>
      <c r="P933">
        <v>0.79670329670329665</v>
      </c>
      <c r="Q933">
        <v>0.85798816568047342</v>
      </c>
      <c r="R933" t="s">
        <v>60</v>
      </c>
      <c r="S933" t="s">
        <v>2293</v>
      </c>
      <c r="T933" t="s">
        <v>2294</v>
      </c>
      <c r="U933" t="b">
        <v>1</v>
      </c>
      <c r="V933" t="s">
        <v>63</v>
      </c>
      <c r="W933">
        <v>1.3</v>
      </c>
    </row>
    <row r="934" spans="1:23" hidden="1" x14ac:dyDescent="0.3">
      <c r="A934" t="s">
        <v>1629</v>
      </c>
      <c r="B934" t="s">
        <v>1630</v>
      </c>
      <c r="C934" t="s">
        <v>28</v>
      </c>
      <c r="D934" t="s">
        <v>22</v>
      </c>
      <c r="E934" t="s">
        <v>23</v>
      </c>
      <c r="F934" t="s">
        <v>363</v>
      </c>
      <c r="G934" t="s">
        <v>528</v>
      </c>
      <c r="H934" t="s">
        <v>467</v>
      </c>
      <c r="I934" t="s">
        <v>9</v>
      </c>
      <c r="J934" t="s">
        <v>529</v>
      </c>
      <c r="K934" t="s">
        <v>530</v>
      </c>
      <c r="L934" t="s">
        <v>470</v>
      </c>
      <c r="M934">
        <v>54</v>
      </c>
      <c r="N934" t="b">
        <v>0</v>
      </c>
      <c r="O934">
        <v>0.8125</v>
      </c>
      <c r="P934">
        <v>0.78142076502732238</v>
      </c>
      <c r="Q934">
        <v>0.84615384615384615</v>
      </c>
      <c r="R934" t="s">
        <v>60</v>
      </c>
      <c r="S934" t="s">
        <v>2295</v>
      </c>
      <c r="T934" t="s">
        <v>2296</v>
      </c>
      <c r="U934" t="b">
        <v>1</v>
      </c>
      <c r="V934" t="s">
        <v>63</v>
      </c>
      <c r="W934">
        <v>1.4</v>
      </c>
    </row>
    <row r="935" spans="1:23" hidden="1" x14ac:dyDescent="0.3">
      <c r="A935" t="s">
        <v>1629</v>
      </c>
      <c r="B935" t="s">
        <v>1630</v>
      </c>
      <c r="C935" t="s">
        <v>28</v>
      </c>
      <c r="D935" t="s">
        <v>22</v>
      </c>
      <c r="E935" t="s">
        <v>23</v>
      </c>
      <c r="F935" t="s">
        <v>363</v>
      </c>
      <c r="G935" t="s">
        <v>533</v>
      </c>
      <c r="H935" t="s">
        <v>467</v>
      </c>
      <c r="I935" t="s">
        <v>9</v>
      </c>
      <c r="J935" t="s">
        <v>534</v>
      </c>
      <c r="K935" t="s">
        <v>535</v>
      </c>
      <c r="L935" t="s">
        <v>470</v>
      </c>
      <c r="M935">
        <v>55</v>
      </c>
      <c r="N935" t="b">
        <v>0</v>
      </c>
      <c r="O935">
        <v>0.82183908045977005</v>
      </c>
      <c r="P935">
        <v>0.7988826815642458</v>
      </c>
      <c r="Q935">
        <v>0.84615384615384615</v>
      </c>
      <c r="R935" t="s">
        <v>60</v>
      </c>
      <c r="S935" t="s">
        <v>2297</v>
      </c>
      <c r="T935" t="s">
        <v>2298</v>
      </c>
      <c r="U935" t="b">
        <v>1</v>
      </c>
      <c r="V935" t="s">
        <v>63</v>
      </c>
      <c r="W935">
        <v>1.7</v>
      </c>
    </row>
    <row r="936" spans="1:23" hidden="1" x14ac:dyDescent="0.3">
      <c r="A936" t="s">
        <v>1629</v>
      </c>
      <c r="B936" t="s">
        <v>1630</v>
      </c>
      <c r="C936" t="s">
        <v>28</v>
      </c>
      <c r="D936" t="s">
        <v>22</v>
      </c>
      <c r="E936" t="s">
        <v>23</v>
      </c>
      <c r="F936" t="s">
        <v>363</v>
      </c>
      <c r="G936" t="s">
        <v>538</v>
      </c>
      <c r="H936" t="s">
        <v>467</v>
      </c>
      <c r="I936" t="s">
        <v>9</v>
      </c>
      <c r="J936" t="s">
        <v>539</v>
      </c>
      <c r="K936" t="s">
        <v>540</v>
      </c>
      <c r="L936" t="s">
        <v>470</v>
      </c>
      <c r="M936">
        <v>56</v>
      </c>
      <c r="N936" t="b">
        <v>0</v>
      </c>
      <c r="O936">
        <v>0.82285714285714284</v>
      </c>
      <c r="P936">
        <v>0.79558011049723754</v>
      </c>
      <c r="Q936">
        <v>0.85207100591715978</v>
      </c>
      <c r="R936" t="s">
        <v>60</v>
      </c>
      <c r="S936" t="s">
        <v>2299</v>
      </c>
      <c r="T936" t="s">
        <v>2300</v>
      </c>
      <c r="U936" t="b">
        <v>1</v>
      </c>
      <c r="V936" t="s">
        <v>63</v>
      </c>
      <c r="W936">
        <v>1.5</v>
      </c>
    </row>
    <row r="937" spans="1:23" hidden="1" x14ac:dyDescent="0.3">
      <c r="A937" t="s">
        <v>1629</v>
      </c>
      <c r="B937" t="s">
        <v>1630</v>
      </c>
      <c r="C937" t="s">
        <v>28</v>
      </c>
      <c r="D937" t="s">
        <v>22</v>
      </c>
      <c r="E937" t="s">
        <v>23</v>
      </c>
      <c r="F937" t="s">
        <v>363</v>
      </c>
      <c r="G937" t="s">
        <v>543</v>
      </c>
      <c r="H937" t="s">
        <v>467</v>
      </c>
      <c r="I937" t="s">
        <v>9</v>
      </c>
      <c r="J937" t="s">
        <v>544</v>
      </c>
      <c r="K937" t="s">
        <v>545</v>
      </c>
      <c r="L937" t="s">
        <v>470</v>
      </c>
      <c r="M937">
        <v>57</v>
      </c>
      <c r="N937" t="b">
        <v>0</v>
      </c>
      <c r="O937">
        <v>0.819484240687679</v>
      </c>
      <c r="P937">
        <v>0.7944444444444444</v>
      </c>
      <c r="Q937">
        <v>0.84615384615384615</v>
      </c>
      <c r="R937" t="s">
        <v>60</v>
      </c>
      <c r="S937" t="s">
        <v>2301</v>
      </c>
      <c r="T937" t="s">
        <v>2302</v>
      </c>
      <c r="U937" t="b">
        <v>1</v>
      </c>
      <c r="V937" t="s">
        <v>63</v>
      </c>
      <c r="W937">
        <v>1.4</v>
      </c>
    </row>
    <row r="938" spans="1:23" hidden="1" x14ac:dyDescent="0.3">
      <c r="A938" t="s">
        <v>1629</v>
      </c>
      <c r="B938" t="s">
        <v>1630</v>
      </c>
      <c r="C938" t="s">
        <v>28</v>
      </c>
      <c r="D938" t="s">
        <v>22</v>
      </c>
      <c r="E938" t="s">
        <v>23</v>
      </c>
      <c r="F938" t="s">
        <v>363</v>
      </c>
      <c r="G938" t="s">
        <v>548</v>
      </c>
      <c r="H938" t="s">
        <v>467</v>
      </c>
      <c r="I938" t="s">
        <v>9</v>
      </c>
      <c r="J938" t="s">
        <v>549</v>
      </c>
      <c r="K938" t="s">
        <v>550</v>
      </c>
      <c r="L938" t="s">
        <v>470</v>
      </c>
      <c r="M938">
        <v>58</v>
      </c>
      <c r="N938" t="b">
        <v>0</v>
      </c>
      <c r="O938">
        <v>0.82758620689655182</v>
      </c>
      <c r="P938">
        <v>0.8044692737430168</v>
      </c>
      <c r="Q938">
        <v>0.85207100591715978</v>
      </c>
      <c r="R938" t="s">
        <v>60</v>
      </c>
      <c r="S938" t="s">
        <v>2303</v>
      </c>
      <c r="T938" t="s">
        <v>2304</v>
      </c>
      <c r="U938" t="b">
        <v>1</v>
      </c>
      <c r="V938" t="s">
        <v>63</v>
      </c>
      <c r="W938">
        <v>1.4</v>
      </c>
    </row>
    <row r="939" spans="1:23" hidden="1" x14ac:dyDescent="0.3">
      <c r="A939" t="s">
        <v>1629</v>
      </c>
      <c r="B939" t="s">
        <v>1630</v>
      </c>
      <c r="C939" t="s">
        <v>28</v>
      </c>
      <c r="D939" t="s">
        <v>22</v>
      </c>
      <c r="E939" t="s">
        <v>23</v>
      </c>
      <c r="F939" t="s">
        <v>363</v>
      </c>
      <c r="G939" t="s">
        <v>553</v>
      </c>
      <c r="H939" t="s">
        <v>467</v>
      </c>
      <c r="I939" t="s">
        <v>9</v>
      </c>
      <c r="J939" t="s">
        <v>554</v>
      </c>
      <c r="K939" t="s">
        <v>555</v>
      </c>
      <c r="L939" t="s">
        <v>470</v>
      </c>
      <c r="M939">
        <v>59</v>
      </c>
      <c r="N939" t="b">
        <v>0</v>
      </c>
      <c r="O939">
        <v>0.82352941176470595</v>
      </c>
      <c r="P939">
        <v>0.78191489361702127</v>
      </c>
      <c r="Q939">
        <v>0.86982248520710059</v>
      </c>
      <c r="R939" t="s">
        <v>60</v>
      </c>
      <c r="S939" t="s">
        <v>2305</v>
      </c>
      <c r="T939" t="s">
        <v>2306</v>
      </c>
      <c r="U939" t="b">
        <v>1</v>
      </c>
      <c r="V939" t="s">
        <v>63</v>
      </c>
      <c r="W939">
        <v>1.4</v>
      </c>
    </row>
    <row r="940" spans="1:23" hidden="1" x14ac:dyDescent="0.3">
      <c r="A940" t="s">
        <v>1629</v>
      </c>
      <c r="B940" t="s">
        <v>1630</v>
      </c>
      <c r="C940" t="s">
        <v>28</v>
      </c>
      <c r="D940" t="s">
        <v>22</v>
      </c>
      <c r="E940" t="s">
        <v>23</v>
      </c>
      <c r="F940" t="s">
        <v>363</v>
      </c>
      <c r="G940" t="s">
        <v>558</v>
      </c>
      <c r="H940" t="s">
        <v>467</v>
      </c>
      <c r="I940" t="s">
        <v>9</v>
      </c>
      <c r="J940" t="s">
        <v>559</v>
      </c>
      <c r="K940" t="s">
        <v>560</v>
      </c>
      <c r="L940" t="s">
        <v>470</v>
      </c>
      <c r="M940">
        <v>60</v>
      </c>
      <c r="N940" t="b">
        <v>0</v>
      </c>
      <c r="O940">
        <v>0.83573487031700289</v>
      </c>
      <c r="P940">
        <v>0.8146067415730337</v>
      </c>
      <c r="Q940">
        <v>0.85798816568047342</v>
      </c>
      <c r="R940" t="s">
        <v>60</v>
      </c>
      <c r="S940" t="s">
        <v>2307</v>
      </c>
      <c r="T940" t="s">
        <v>2308</v>
      </c>
      <c r="U940" t="b">
        <v>1</v>
      </c>
      <c r="V940" t="s">
        <v>63</v>
      </c>
      <c r="W940">
        <v>1.4</v>
      </c>
    </row>
    <row r="941" spans="1:23" hidden="1" x14ac:dyDescent="0.3">
      <c r="A941" t="s">
        <v>1629</v>
      </c>
      <c r="B941" t="s">
        <v>1630</v>
      </c>
      <c r="C941" t="s">
        <v>28</v>
      </c>
      <c r="D941" t="s">
        <v>22</v>
      </c>
      <c r="E941" t="s">
        <v>23</v>
      </c>
      <c r="F941" t="s">
        <v>363</v>
      </c>
      <c r="G941" t="s">
        <v>563</v>
      </c>
      <c r="H941" t="s">
        <v>467</v>
      </c>
      <c r="I941" t="s">
        <v>9</v>
      </c>
      <c r="J941" t="s">
        <v>564</v>
      </c>
      <c r="K941" t="s">
        <v>565</v>
      </c>
      <c r="L941" t="s">
        <v>470</v>
      </c>
      <c r="M941">
        <v>61</v>
      </c>
      <c r="N941" t="b">
        <v>0</v>
      </c>
      <c r="O941">
        <v>0.819484240687679</v>
      </c>
      <c r="P941">
        <v>0.7944444444444444</v>
      </c>
      <c r="Q941">
        <v>0.84615384615384615</v>
      </c>
      <c r="R941" t="s">
        <v>60</v>
      </c>
      <c r="S941" t="s">
        <v>2309</v>
      </c>
      <c r="T941" t="s">
        <v>2310</v>
      </c>
      <c r="U941" t="b">
        <v>1</v>
      </c>
      <c r="V941" t="s">
        <v>63</v>
      </c>
      <c r="W941">
        <v>1.5</v>
      </c>
    </row>
    <row r="942" spans="1:23" hidden="1" x14ac:dyDescent="0.3">
      <c r="A942" t="s">
        <v>1629</v>
      </c>
      <c r="B942" t="s">
        <v>1630</v>
      </c>
      <c r="C942" t="s">
        <v>28</v>
      </c>
      <c r="D942" t="s">
        <v>22</v>
      </c>
      <c r="E942" t="s">
        <v>23</v>
      </c>
      <c r="F942" t="s">
        <v>363</v>
      </c>
      <c r="G942" t="s">
        <v>568</v>
      </c>
      <c r="H942" t="s">
        <v>569</v>
      </c>
      <c r="I942" t="s">
        <v>11</v>
      </c>
      <c r="J942" t="s">
        <v>570</v>
      </c>
      <c r="K942" t="s">
        <v>571</v>
      </c>
      <c r="L942" t="s">
        <v>572</v>
      </c>
      <c r="M942">
        <v>42</v>
      </c>
      <c r="N942" t="b">
        <v>0</v>
      </c>
      <c r="O942">
        <v>0.86086956521739144</v>
      </c>
      <c r="P942">
        <v>0.83193277310924374</v>
      </c>
      <c r="Q942">
        <v>0.89189189189189189</v>
      </c>
      <c r="R942" t="s">
        <v>60</v>
      </c>
      <c r="S942" t="s">
        <v>2311</v>
      </c>
      <c r="T942" t="s">
        <v>2312</v>
      </c>
      <c r="U942" t="b">
        <v>1</v>
      </c>
      <c r="V942" t="s">
        <v>63</v>
      </c>
      <c r="W942">
        <v>1.8</v>
      </c>
    </row>
    <row r="943" spans="1:23" hidden="1" x14ac:dyDescent="0.3">
      <c r="A943" t="s">
        <v>1629</v>
      </c>
      <c r="B943" t="s">
        <v>1630</v>
      </c>
      <c r="C943" t="s">
        <v>28</v>
      </c>
      <c r="D943" t="s">
        <v>22</v>
      </c>
      <c r="E943" t="s">
        <v>23</v>
      </c>
      <c r="F943" t="s">
        <v>363</v>
      </c>
      <c r="G943" t="s">
        <v>575</v>
      </c>
      <c r="H943" t="s">
        <v>569</v>
      </c>
      <c r="I943" t="s">
        <v>11</v>
      </c>
      <c r="J943" t="s">
        <v>576</v>
      </c>
      <c r="K943" t="s">
        <v>577</v>
      </c>
      <c r="L943" t="s">
        <v>572</v>
      </c>
      <c r="M943">
        <v>43</v>
      </c>
      <c r="N943" t="b">
        <v>0</v>
      </c>
      <c r="O943">
        <v>0.83842794759825334</v>
      </c>
      <c r="P943">
        <v>0.81355932203389836</v>
      </c>
      <c r="Q943">
        <v>0.86486486486486491</v>
      </c>
      <c r="R943" t="s">
        <v>60</v>
      </c>
      <c r="S943" t="s">
        <v>2313</v>
      </c>
      <c r="T943" t="s">
        <v>2314</v>
      </c>
      <c r="U943" t="b">
        <v>1</v>
      </c>
      <c r="V943" t="s">
        <v>63</v>
      </c>
      <c r="W943">
        <v>1.4</v>
      </c>
    </row>
    <row r="944" spans="1:23" hidden="1" x14ac:dyDescent="0.3">
      <c r="A944" t="s">
        <v>1629</v>
      </c>
      <c r="B944" t="s">
        <v>1630</v>
      </c>
      <c r="C944" t="s">
        <v>28</v>
      </c>
      <c r="D944" t="s">
        <v>22</v>
      </c>
      <c r="E944" t="s">
        <v>23</v>
      </c>
      <c r="F944" t="s">
        <v>363</v>
      </c>
      <c r="G944" t="s">
        <v>580</v>
      </c>
      <c r="H944" t="s">
        <v>569</v>
      </c>
      <c r="I944" t="s">
        <v>11</v>
      </c>
      <c r="J944" t="s">
        <v>581</v>
      </c>
      <c r="K944" t="s">
        <v>582</v>
      </c>
      <c r="L944" t="s">
        <v>572</v>
      </c>
      <c r="M944">
        <v>44</v>
      </c>
      <c r="N944" t="b">
        <v>0</v>
      </c>
      <c r="O944">
        <v>0.85968819599109125</v>
      </c>
      <c r="P944">
        <v>0.85022026431718056</v>
      </c>
      <c r="Q944">
        <v>0.86936936936936937</v>
      </c>
      <c r="R944" t="s">
        <v>60</v>
      </c>
      <c r="S944" t="s">
        <v>2315</v>
      </c>
      <c r="T944" t="s">
        <v>2316</v>
      </c>
      <c r="U944" t="b">
        <v>1</v>
      </c>
      <c r="V944" t="s">
        <v>63</v>
      </c>
      <c r="W944">
        <v>1.3</v>
      </c>
    </row>
    <row r="945" spans="1:23" hidden="1" x14ac:dyDescent="0.3">
      <c r="A945" t="s">
        <v>1629</v>
      </c>
      <c r="B945" t="s">
        <v>1630</v>
      </c>
      <c r="C945" t="s">
        <v>28</v>
      </c>
      <c r="D945" t="s">
        <v>22</v>
      </c>
      <c r="E945" t="s">
        <v>23</v>
      </c>
      <c r="F945" t="s">
        <v>363</v>
      </c>
      <c r="G945" t="s">
        <v>585</v>
      </c>
      <c r="H945" t="s">
        <v>569</v>
      </c>
      <c r="I945" t="s">
        <v>11</v>
      </c>
      <c r="J945" t="s">
        <v>586</v>
      </c>
      <c r="K945" t="s">
        <v>587</v>
      </c>
      <c r="L945" t="s">
        <v>572</v>
      </c>
      <c r="M945">
        <v>45</v>
      </c>
      <c r="N945" t="b">
        <v>0</v>
      </c>
      <c r="O945">
        <v>0.83333333333333337</v>
      </c>
      <c r="P945">
        <v>0.79268292682926833</v>
      </c>
      <c r="Q945">
        <v>0.8783783783783784</v>
      </c>
      <c r="R945" t="s">
        <v>60</v>
      </c>
      <c r="S945" t="s">
        <v>2317</v>
      </c>
      <c r="T945" t="s">
        <v>2318</v>
      </c>
      <c r="U945" t="b">
        <v>1</v>
      </c>
      <c r="V945" t="s">
        <v>63</v>
      </c>
      <c r="W945">
        <v>1.4</v>
      </c>
    </row>
    <row r="946" spans="1:23" hidden="1" x14ac:dyDescent="0.3">
      <c r="A946" t="s">
        <v>1629</v>
      </c>
      <c r="B946" t="s">
        <v>1630</v>
      </c>
      <c r="C946" t="s">
        <v>28</v>
      </c>
      <c r="D946" t="s">
        <v>22</v>
      </c>
      <c r="E946" t="s">
        <v>23</v>
      </c>
      <c r="F946" t="s">
        <v>363</v>
      </c>
      <c r="G946" t="s">
        <v>590</v>
      </c>
      <c r="H946" t="s">
        <v>569</v>
      </c>
      <c r="I946" t="s">
        <v>11</v>
      </c>
      <c r="J946" t="s">
        <v>591</v>
      </c>
      <c r="K946" t="s">
        <v>592</v>
      </c>
      <c r="L946" t="s">
        <v>572</v>
      </c>
      <c r="M946">
        <v>46</v>
      </c>
      <c r="N946" t="b">
        <v>0</v>
      </c>
      <c r="O946">
        <v>0.84070796460176989</v>
      </c>
      <c r="P946">
        <v>0.82608695652173914</v>
      </c>
      <c r="Q946">
        <v>0.85585585585585588</v>
      </c>
      <c r="R946" t="s">
        <v>60</v>
      </c>
      <c r="S946" t="s">
        <v>2319</v>
      </c>
      <c r="T946" t="s">
        <v>2320</v>
      </c>
      <c r="U946" t="b">
        <v>1</v>
      </c>
      <c r="V946" t="s">
        <v>63</v>
      </c>
      <c r="W946">
        <v>1.4</v>
      </c>
    </row>
    <row r="947" spans="1:23" hidden="1" x14ac:dyDescent="0.3">
      <c r="A947" t="s">
        <v>1629</v>
      </c>
      <c r="B947" t="s">
        <v>1630</v>
      </c>
      <c r="C947" t="s">
        <v>28</v>
      </c>
      <c r="D947" t="s">
        <v>22</v>
      </c>
      <c r="E947" t="s">
        <v>23</v>
      </c>
      <c r="F947" t="s">
        <v>363</v>
      </c>
      <c r="G947" t="s">
        <v>595</v>
      </c>
      <c r="H947" t="s">
        <v>569</v>
      </c>
      <c r="I947" t="s">
        <v>11</v>
      </c>
      <c r="J947" t="s">
        <v>596</v>
      </c>
      <c r="K947" t="s">
        <v>597</v>
      </c>
      <c r="L947" t="s">
        <v>572</v>
      </c>
      <c r="M947">
        <v>47</v>
      </c>
      <c r="N947" t="b">
        <v>0</v>
      </c>
      <c r="O947">
        <v>0.83050847457627119</v>
      </c>
      <c r="P947">
        <v>0.78400000000000003</v>
      </c>
      <c r="Q947">
        <v>0.88288288288288286</v>
      </c>
      <c r="R947" t="s">
        <v>60</v>
      </c>
      <c r="S947" t="s">
        <v>2321</v>
      </c>
      <c r="T947" t="s">
        <v>2322</v>
      </c>
      <c r="U947" t="b">
        <v>1</v>
      </c>
      <c r="V947" t="s">
        <v>63</v>
      </c>
      <c r="W947">
        <v>1.5</v>
      </c>
    </row>
    <row r="948" spans="1:23" hidden="1" x14ac:dyDescent="0.3">
      <c r="A948" t="s">
        <v>1629</v>
      </c>
      <c r="B948" t="s">
        <v>1630</v>
      </c>
      <c r="C948" t="s">
        <v>28</v>
      </c>
      <c r="D948" t="s">
        <v>22</v>
      </c>
      <c r="E948" t="s">
        <v>23</v>
      </c>
      <c r="F948" t="s">
        <v>363</v>
      </c>
      <c r="G948" t="s">
        <v>600</v>
      </c>
      <c r="H948" t="s">
        <v>569</v>
      </c>
      <c r="I948" t="s">
        <v>11</v>
      </c>
      <c r="J948" t="s">
        <v>601</v>
      </c>
      <c r="K948" t="s">
        <v>602</v>
      </c>
      <c r="L948" t="s">
        <v>572</v>
      </c>
      <c r="M948">
        <v>48</v>
      </c>
      <c r="N948" t="b">
        <v>0</v>
      </c>
      <c r="O948">
        <v>0.84796573875802994</v>
      </c>
      <c r="P948">
        <v>0.80816326530612248</v>
      </c>
      <c r="Q948">
        <v>0.89189189189189189</v>
      </c>
      <c r="R948" t="s">
        <v>60</v>
      </c>
      <c r="S948" t="s">
        <v>2323</v>
      </c>
      <c r="T948" t="s">
        <v>2324</v>
      </c>
      <c r="U948" t="b">
        <v>1</v>
      </c>
      <c r="V948" t="s">
        <v>63</v>
      </c>
      <c r="W948">
        <v>2.2999999999999998</v>
      </c>
    </row>
    <row r="949" spans="1:23" hidden="1" x14ac:dyDescent="0.3">
      <c r="A949" t="s">
        <v>1629</v>
      </c>
      <c r="B949" t="s">
        <v>1630</v>
      </c>
      <c r="C949" t="s">
        <v>28</v>
      </c>
      <c r="D949" t="s">
        <v>22</v>
      </c>
      <c r="E949" t="s">
        <v>23</v>
      </c>
      <c r="F949" t="s">
        <v>363</v>
      </c>
      <c r="G949" t="s">
        <v>605</v>
      </c>
      <c r="H949" t="s">
        <v>569</v>
      </c>
      <c r="I949" t="s">
        <v>11</v>
      </c>
      <c r="J949" t="s">
        <v>606</v>
      </c>
      <c r="K949" t="s">
        <v>607</v>
      </c>
      <c r="L949" t="s">
        <v>572</v>
      </c>
      <c r="M949">
        <v>49</v>
      </c>
      <c r="N949" t="b">
        <v>0</v>
      </c>
      <c r="O949">
        <v>0.8482142857142857</v>
      </c>
      <c r="P949">
        <v>0.84070796460176989</v>
      </c>
      <c r="Q949">
        <v>0.85585585585585588</v>
      </c>
      <c r="R949" t="s">
        <v>60</v>
      </c>
      <c r="S949" t="s">
        <v>2325</v>
      </c>
      <c r="T949" t="s">
        <v>2326</v>
      </c>
      <c r="U949" t="b">
        <v>1</v>
      </c>
      <c r="V949" t="s">
        <v>63</v>
      </c>
      <c r="W949">
        <v>1.8</v>
      </c>
    </row>
    <row r="950" spans="1:23" hidden="1" x14ac:dyDescent="0.3">
      <c r="A950" t="s">
        <v>1629</v>
      </c>
      <c r="B950" t="s">
        <v>1630</v>
      </c>
      <c r="C950" t="s">
        <v>28</v>
      </c>
      <c r="D950" t="s">
        <v>22</v>
      </c>
      <c r="E950" t="s">
        <v>23</v>
      </c>
      <c r="F950" t="s">
        <v>363</v>
      </c>
      <c r="G950" t="s">
        <v>610</v>
      </c>
      <c r="H950" t="s">
        <v>569</v>
      </c>
      <c r="I950" t="s">
        <v>11</v>
      </c>
      <c r="J950" t="s">
        <v>611</v>
      </c>
      <c r="K950" t="s">
        <v>612</v>
      </c>
      <c r="L950" t="s">
        <v>572</v>
      </c>
      <c r="M950">
        <v>50</v>
      </c>
      <c r="N950" t="b">
        <v>0</v>
      </c>
      <c r="O950">
        <v>0.8441558441558441</v>
      </c>
      <c r="P950">
        <v>0.8125</v>
      </c>
      <c r="Q950">
        <v>0.8783783783783784</v>
      </c>
      <c r="R950" t="s">
        <v>60</v>
      </c>
      <c r="S950" t="s">
        <v>2327</v>
      </c>
      <c r="T950" t="s">
        <v>2328</v>
      </c>
      <c r="U950" t="b">
        <v>1</v>
      </c>
      <c r="V950" t="s">
        <v>63</v>
      </c>
      <c r="W950">
        <v>1.6</v>
      </c>
    </row>
    <row r="951" spans="1:23" hidden="1" x14ac:dyDescent="0.3">
      <c r="A951" t="s">
        <v>1629</v>
      </c>
      <c r="B951" t="s">
        <v>1630</v>
      </c>
      <c r="C951" t="s">
        <v>28</v>
      </c>
      <c r="D951" t="s">
        <v>22</v>
      </c>
      <c r="E951" t="s">
        <v>23</v>
      </c>
      <c r="F951" t="s">
        <v>363</v>
      </c>
      <c r="G951" t="s">
        <v>615</v>
      </c>
      <c r="H951" t="s">
        <v>569</v>
      </c>
      <c r="I951" t="s">
        <v>11</v>
      </c>
      <c r="J951" t="s">
        <v>616</v>
      </c>
      <c r="K951" t="s">
        <v>617</v>
      </c>
      <c r="L951" t="s">
        <v>572</v>
      </c>
      <c r="M951">
        <v>51</v>
      </c>
      <c r="N951" t="b">
        <v>0</v>
      </c>
      <c r="O951">
        <v>0.85651214128035313</v>
      </c>
      <c r="P951">
        <v>0.83982683982683981</v>
      </c>
      <c r="Q951">
        <v>0.87387387387387383</v>
      </c>
      <c r="R951" t="s">
        <v>60</v>
      </c>
      <c r="S951" t="s">
        <v>2329</v>
      </c>
      <c r="T951" t="s">
        <v>2330</v>
      </c>
      <c r="U951" t="b">
        <v>1</v>
      </c>
      <c r="V951" t="s">
        <v>63</v>
      </c>
      <c r="W951">
        <v>1.4</v>
      </c>
    </row>
    <row r="952" spans="1:23" hidden="1" x14ac:dyDescent="0.3">
      <c r="A952" t="s">
        <v>1629</v>
      </c>
      <c r="B952" t="s">
        <v>1630</v>
      </c>
      <c r="C952" t="s">
        <v>28</v>
      </c>
      <c r="D952" t="s">
        <v>22</v>
      </c>
      <c r="E952" t="s">
        <v>23</v>
      </c>
      <c r="F952" t="s">
        <v>363</v>
      </c>
      <c r="G952" t="s">
        <v>620</v>
      </c>
      <c r="H952" t="s">
        <v>569</v>
      </c>
      <c r="I952" t="s">
        <v>11</v>
      </c>
      <c r="J952" t="s">
        <v>621</v>
      </c>
      <c r="K952" t="s">
        <v>622</v>
      </c>
      <c r="L952" t="s">
        <v>572</v>
      </c>
      <c r="M952">
        <v>52</v>
      </c>
      <c r="N952" t="b">
        <v>0</v>
      </c>
      <c r="O952">
        <v>0.83870967741935487</v>
      </c>
      <c r="P952">
        <v>0.80246913580246915</v>
      </c>
      <c r="Q952">
        <v>0.8783783783783784</v>
      </c>
      <c r="R952" t="s">
        <v>60</v>
      </c>
      <c r="S952" t="s">
        <v>2331</v>
      </c>
      <c r="T952" t="s">
        <v>2332</v>
      </c>
      <c r="U952" t="b">
        <v>1</v>
      </c>
      <c r="V952" t="s">
        <v>63</v>
      </c>
      <c r="W952">
        <v>2</v>
      </c>
    </row>
    <row r="953" spans="1:23" hidden="1" x14ac:dyDescent="0.3">
      <c r="A953" t="s">
        <v>1629</v>
      </c>
      <c r="B953" t="s">
        <v>1630</v>
      </c>
      <c r="C953" t="s">
        <v>28</v>
      </c>
      <c r="D953" t="s">
        <v>22</v>
      </c>
      <c r="E953" t="s">
        <v>23</v>
      </c>
      <c r="F953" t="s">
        <v>363</v>
      </c>
      <c r="G953" t="s">
        <v>625</v>
      </c>
      <c r="H953" t="s">
        <v>569</v>
      </c>
      <c r="I953" t="s">
        <v>11</v>
      </c>
      <c r="J953" t="s">
        <v>626</v>
      </c>
      <c r="K953" t="s">
        <v>627</v>
      </c>
      <c r="L953" t="s">
        <v>572</v>
      </c>
      <c r="M953">
        <v>53</v>
      </c>
      <c r="N953" t="b">
        <v>0</v>
      </c>
      <c r="O953">
        <v>0.84835164835164845</v>
      </c>
      <c r="P953">
        <v>0.8283261802575107</v>
      </c>
      <c r="Q953">
        <v>0.86936936936936937</v>
      </c>
      <c r="R953" t="s">
        <v>60</v>
      </c>
      <c r="S953" t="s">
        <v>2333</v>
      </c>
      <c r="T953" t="s">
        <v>2334</v>
      </c>
      <c r="U953" t="b">
        <v>1</v>
      </c>
      <c r="V953" t="s">
        <v>63</v>
      </c>
      <c r="W953">
        <v>1.4</v>
      </c>
    </row>
    <row r="954" spans="1:23" hidden="1" x14ac:dyDescent="0.3">
      <c r="A954" t="s">
        <v>1629</v>
      </c>
      <c r="B954" t="s">
        <v>1630</v>
      </c>
      <c r="C954" t="s">
        <v>28</v>
      </c>
      <c r="D954" t="s">
        <v>22</v>
      </c>
      <c r="E954" t="s">
        <v>23</v>
      </c>
      <c r="F954" t="s">
        <v>363</v>
      </c>
      <c r="G954" t="s">
        <v>630</v>
      </c>
      <c r="H954" t="s">
        <v>569</v>
      </c>
      <c r="I954" t="s">
        <v>11</v>
      </c>
      <c r="J954" t="s">
        <v>631</v>
      </c>
      <c r="K954" t="s">
        <v>632</v>
      </c>
      <c r="L954" t="s">
        <v>572</v>
      </c>
      <c r="M954">
        <v>54</v>
      </c>
      <c r="N954" t="b">
        <v>0</v>
      </c>
      <c r="O954">
        <v>0.83771929824561386</v>
      </c>
      <c r="P954">
        <v>0.81623931623931623</v>
      </c>
      <c r="Q954">
        <v>0.86036036036036034</v>
      </c>
      <c r="R954" t="s">
        <v>60</v>
      </c>
      <c r="S954" t="s">
        <v>2335</v>
      </c>
      <c r="T954" t="s">
        <v>2336</v>
      </c>
      <c r="U954" t="b">
        <v>1</v>
      </c>
      <c r="V954" t="s">
        <v>63</v>
      </c>
      <c r="W954">
        <v>1.4</v>
      </c>
    </row>
    <row r="955" spans="1:23" hidden="1" x14ac:dyDescent="0.3">
      <c r="A955" t="s">
        <v>1629</v>
      </c>
      <c r="B955" t="s">
        <v>1630</v>
      </c>
      <c r="C955" t="s">
        <v>28</v>
      </c>
      <c r="D955" t="s">
        <v>22</v>
      </c>
      <c r="E955" t="s">
        <v>23</v>
      </c>
      <c r="F955" t="s">
        <v>363</v>
      </c>
      <c r="G955" t="s">
        <v>635</v>
      </c>
      <c r="H955" t="s">
        <v>569</v>
      </c>
      <c r="I955" t="s">
        <v>11</v>
      </c>
      <c r="J955" t="s">
        <v>636</v>
      </c>
      <c r="K955" t="s">
        <v>637</v>
      </c>
      <c r="L955" t="s">
        <v>572</v>
      </c>
      <c r="M955">
        <v>55</v>
      </c>
      <c r="N955" t="b">
        <v>0</v>
      </c>
      <c r="O955">
        <v>0.85217391304347823</v>
      </c>
      <c r="P955">
        <v>0.82352941176470584</v>
      </c>
      <c r="Q955">
        <v>0.88288288288288286</v>
      </c>
      <c r="R955" t="s">
        <v>60</v>
      </c>
      <c r="S955" t="s">
        <v>2337</v>
      </c>
      <c r="T955" t="s">
        <v>2338</v>
      </c>
      <c r="U955" t="b">
        <v>1</v>
      </c>
      <c r="V955" t="s">
        <v>63</v>
      </c>
      <c r="W955">
        <v>1.4</v>
      </c>
    </row>
    <row r="956" spans="1:23" hidden="1" x14ac:dyDescent="0.3">
      <c r="A956" t="s">
        <v>1629</v>
      </c>
      <c r="B956" t="s">
        <v>1630</v>
      </c>
      <c r="C956" t="s">
        <v>28</v>
      </c>
      <c r="D956" t="s">
        <v>22</v>
      </c>
      <c r="E956" t="s">
        <v>23</v>
      </c>
      <c r="F956" t="s">
        <v>363</v>
      </c>
      <c r="G956" t="s">
        <v>640</v>
      </c>
      <c r="H956" t="s">
        <v>569</v>
      </c>
      <c r="I956" t="s">
        <v>11</v>
      </c>
      <c r="J956" t="s">
        <v>641</v>
      </c>
      <c r="K956" t="s">
        <v>642</v>
      </c>
      <c r="L956" t="s">
        <v>572</v>
      </c>
      <c r="M956">
        <v>56</v>
      </c>
      <c r="N956" t="b">
        <v>0</v>
      </c>
      <c r="O956">
        <v>0.84901531728665192</v>
      </c>
      <c r="P956">
        <v>0.82553191489361699</v>
      </c>
      <c r="Q956">
        <v>0.87387387387387383</v>
      </c>
      <c r="R956" t="s">
        <v>60</v>
      </c>
      <c r="S956" t="s">
        <v>2339</v>
      </c>
      <c r="T956" t="s">
        <v>2340</v>
      </c>
      <c r="U956" t="b">
        <v>1</v>
      </c>
      <c r="V956" t="s">
        <v>63</v>
      </c>
      <c r="W956">
        <v>1.2</v>
      </c>
    </row>
    <row r="957" spans="1:23" hidden="1" x14ac:dyDescent="0.3">
      <c r="A957" t="s">
        <v>1629</v>
      </c>
      <c r="B957" t="s">
        <v>1630</v>
      </c>
      <c r="C957" t="s">
        <v>28</v>
      </c>
      <c r="D957" t="s">
        <v>22</v>
      </c>
      <c r="E957" t="s">
        <v>23</v>
      </c>
      <c r="F957" t="s">
        <v>363</v>
      </c>
      <c r="G957" t="s">
        <v>645</v>
      </c>
      <c r="H957" t="s">
        <v>569</v>
      </c>
      <c r="I957" t="s">
        <v>11</v>
      </c>
      <c r="J957" t="s">
        <v>646</v>
      </c>
      <c r="K957" t="s">
        <v>647</v>
      </c>
      <c r="L957" t="s">
        <v>572</v>
      </c>
      <c r="M957">
        <v>57</v>
      </c>
      <c r="N957" t="b">
        <v>0</v>
      </c>
      <c r="O957">
        <v>0.84279475982532748</v>
      </c>
      <c r="P957">
        <v>0.81779661016949157</v>
      </c>
      <c r="Q957">
        <v>0.86936936936936937</v>
      </c>
      <c r="R957" t="s">
        <v>60</v>
      </c>
      <c r="S957" t="s">
        <v>2341</v>
      </c>
      <c r="T957" t="s">
        <v>2342</v>
      </c>
      <c r="U957" t="b">
        <v>1</v>
      </c>
      <c r="V957" t="s">
        <v>63</v>
      </c>
      <c r="W957">
        <v>0.8</v>
      </c>
    </row>
    <row r="958" spans="1:23" hidden="1" x14ac:dyDescent="0.3">
      <c r="A958" t="s">
        <v>1629</v>
      </c>
      <c r="B958" t="s">
        <v>1630</v>
      </c>
      <c r="C958" t="s">
        <v>28</v>
      </c>
      <c r="D958" t="s">
        <v>22</v>
      </c>
      <c r="E958" t="s">
        <v>23</v>
      </c>
      <c r="F958" t="s">
        <v>363</v>
      </c>
      <c r="G958" t="s">
        <v>650</v>
      </c>
      <c r="H958" t="s">
        <v>569</v>
      </c>
      <c r="I958" t="s">
        <v>11</v>
      </c>
      <c r="J958" t="s">
        <v>651</v>
      </c>
      <c r="K958" t="s">
        <v>652</v>
      </c>
      <c r="L958" t="s">
        <v>572</v>
      </c>
      <c r="M958">
        <v>58</v>
      </c>
      <c r="N958" t="b">
        <v>0</v>
      </c>
      <c r="O958">
        <v>0.8423326133909288</v>
      </c>
      <c r="P958">
        <v>0.8091286307053942</v>
      </c>
      <c r="Q958">
        <v>0.8783783783783784</v>
      </c>
      <c r="R958" t="s">
        <v>60</v>
      </c>
      <c r="S958" t="s">
        <v>2343</v>
      </c>
      <c r="T958" t="s">
        <v>2344</v>
      </c>
      <c r="U958" t="b">
        <v>1</v>
      </c>
      <c r="V958" t="s">
        <v>63</v>
      </c>
      <c r="W958">
        <v>0.8</v>
      </c>
    </row>
    <row r="959" spans="1:23" hidden="1" x14ac:dyDescent="0.3">
      <c r="A959" t="s">
        <v>1629</v>
      </c>
      <c r="B959" t="s">
        <v>1630</v>
      </c>
      <c r="C959" t="s">
        <v>28</v>
      </c>
      <c r="D959" t="s">
        <v>22</v>
      </c>
      <c r="E959" t="s">
        <v>23</v>
      </c>
      <c r="F959" t="s">
        <v>363</v>
      </c>
      <c r="G959" t="s">
        <v>655</v>
      </c>
      <c r="H959" t="s">
        <v>569</v>
      </c>
      <c r="I959" t="s">
        <v>11</v>
      </c>
      <c r="J959" t="s">
        <v>656</v>
      </c>
      <c r="K959" t="s">
        <v>657</v>
      </c>
      <c r="L959" t="s">
        <v>572</v>
      </c>
      <c r="M959">
        <v>59</v>
      </c>
      <c r="N959" t="b">
        <v>0</v>
      </c>
      <c r="O959">
        <v>0.8432671081677704</v>
      </c>
      <c r="P959">
        <v>0.82683982683982682</v>
      </c>
      <c r="Q959">
        <v>0.86036036036036034</v>
      </c>
      <c r="R959" t="s">
        <v>60</v>
      </c>
      <c r="S959" t="s">
        <v>2345</v>
      </c>
      <c r="T959" t="s">
        <v>2346</v>
      </c>
      <c r="U959" t="b">
        <v>1</v>
      </c>
      <c r="V959" t="s">
        <v>63</v>
      </c>
      <c r="W959">
        <v>0.8</v>
      </c>
    </row>
    <row r="960" spans="1:23" hidden="1" x14ac:dyDescent="0.3">
      <c r="A960" t="s">
        <v>1629</v>
      </c>
      <c r="B960" t="s">
        <v>1630</v>
      </c>
      <c r="C960" t="s">
        <v>28</v>
      </c>
      <c r="D960" t="s">
        <v>22</v>
      </c>
      <c r="E960" t="s">
        <v>23</v>
      </c>
      <c r="F960" t="s">
        <v>363</v>
      </c>
      <c r="G960" t="s">
        <v>660</v>
      </c>
      <c r="H960" t="s">
        <v>569</v>
      </c>
      <c r="I960" t="s">
        <v>11</v>
      </c>
      <c r="J960" t="s">
        <v>661</v>
      </c>
      <c r="K960" t="s">
        <v>662</v>
      </c>
      <c r="L960" t="s">
        <v>572</v>
      </c>
      <c r="M960">
        <v>60</v>
      </c>
      <c r="N960" t="b">
        <v>0</v>
      </c>
      <c r="O960">
        <v>0.85589519650655022</v>
      </c>
      <c r="P960">
        <v>0.83050847457627119</v>
      </c>
      <c r="Q960">
        <v>0.88288288288288286</v>
      </c>
      <c r="R960" t="s">
        <v>60</v>
      </c>
      <c r="S960" t="s">
        <v>2347</v>
      </c>
      <c r="T960" t="s">
        <v>2346</v>
      </c>
      <c r="U960" t="b">
        <v>1</v>
      </c>
      <c r="V960" t="s">
        <v>63</v>
      </c>
      <c r="W960">
        <v>0.8</v>
      </c>
    </row>
    <row r="961" spans="1:23" hidden="1" x14ac:dyDescent="0.3">
      <c r="A961" t="s">
        <v>1629</v>
      </c>
      <c r="B961" t="s">
        <v>1630</v>
      </c>
      <c r="C961" t="s">
        <v>28</v>
      </c>
      <c r="D961" t="s">
        <v>22</v>
      </c>
      <c r="E961" t="s">
        <v>23</v>
      </c>
      <c r="F961" t="s">
        <v>363</v>
      </c>
      <c r="G961" t="s">
        <v>665</v>
      </c>
      <c r="H961" t="s">
        <v>569</v>
      </c>
      <c r="I961" t="s">
        <v>11</v>
      </c>
      <c r="J961" t="s">
        <v>666</v>
      </c>
      <c r="K961" t="s">
        <v>667</v>
      </c>
      <c r="L961" t="s">
        <v>572</v>
      </c>
      <c r="M961">
        <v>61</v>
      </c>
      <c r="N961" t="b">
        <v>0</v>
      </c>
      <c r="O961">
        <v>0.84649122807017541</v>
      </c>
      <c r="P961">
        <v>0.82478632478632474</v>
      </c>
      <c r="Q961">
        <v>0.86936936936936937</v>
      </c>
      <c r="R961" t="s">
        <v>60</v>
      </c>
      <c r="S961" t="s">
        <v>2348</v>
      </c>
      <c r="T961" t="s">
        <v>2349</v>
      </c>
      <c r="U961" t="b">
        <v>1</v>
      </c>
      <c r="V961" t="s">
        <v>63</v>
      </c>
      <c r="W961">
        <v>0.8</v>
      </c>
    </row>
    <row r="962" spans="1:23" hidden="1" x14ac:dyDescent="0.3">
      <c r="A962" t="s">
        <v>1629</v>
      </c>
      <c r="B962" t="s">
        <v>1630</v>
      </c>
      <c r="C962" t="s">
        <v>28</v>
      </c>
      <c r="D962" t="s">
        <v>24</v>
      </c>
      <c r="E962" t="s">
        <v>25</v>
      </c>
      <c r="F962" t="s">
        <v>54</v>
      </c>
      <c r="G962" t="s">
        <v>55</v>
      </c>
      <c r="H962" t="s">
        <v>56</v>
      </c>
      <c r="I962" t="s">
        <v>7</v>
      </c>
      <c r="J962" t="s">
        <v>57</v>
      </c>
      <c r="K962" t="s">
        <v>58</v>
      </c>
      <c r="L962" t="s">
        <v>59</v>
      </c>
      <c r="M962">
        <v>42</v>
      </c>
      <c r="N962" t="b">
        <v>1</v>
      </c>
      <c r="O962">
        <v>0.71398747390396655</v>
      </c>
      <c r="P962">
        <v>0.68674698795180722</v>
      </c>
      <c r="Q962">
        <v>0.74347826086956526</v>
      </c>
      <c r="R962" t="s">
        <v>60</v>
      </c>
      <c r="S962" t="s">
        <v>2350</v>
      </c>
      <c r="T962" t="s">
        <v>2351</v>
      </c>
      <c r="U962" t="b">
        <v>1</v>
      </c>
      <c r="V962" t="s">
        <v>63</v>
      </c>
      <c r="W962">
        <v>5.5</v>
      </c>
    </row>
    <row r="963" spans="1:23" hidden="1" x14ac:dyDescent="0.3">
      <c r="A963" t="s">
        <v>1629</v>
      </c>
      <c r="B963" t="s">
        <v>1630</v>
      </c>
      <c r="C963" t="s">
        <v>28</v>
      </c>
      <c r="D963" t="s">
        <v>24</v>
      </c>
      <c r="E963" t="s">
        <v>25</v>
      </c>
      <c r="F963" t="s">
        <v>54</v>
      </c>
      <c r="G963" t="s">
        <v>64</v>
      </c>
      <c r="H963" t="s">
        <v>56</v>
      </c>
      <c r="I963" t="s">
        <v>7</v>
      </c>
      <c r="J963" t="s">
        <v>65</v>
      </c>
      <c r="K963" t="s">
        <v>66</v>
      </c>
      <c r="L963" t="s">
        <v>59</v>
      </c>
      <c r="M963">
        <v>43</v>
      </c>
      <c r="N963" t="b">
        <v>1</v>
      </c>
      <c r="O963">
        <v>0.71334792122538282</v>
      </c>
      <c r="P963">
        <v>0.7180616740088106</v>
      </c>
      <c r="Q963">
        <v>0.70869565217391306</v>
      </c>
      <c r="R963" t="s">
        <v>60</v>
      </c>
      <c r="S963" t="s">
        <v>2352</v>
      </c>
      <c r="T963" t="s">
        <v>2353</v>
      </c>
      <c r="U963" t="b">
        <v>1</v>
      </c>
      <c r="V963" t="s">
        <v>63</v>
      </c>
      <c r="W963">
        <v>2.2000000000000002</v>
      </c>
    </row>
    <row r="964" spans="1:23" hidden="1" x14ac:dyDescent="0.3">
      <c r="A964" t="s">
        <v>1629</v>
      </c>
      <c r="B964" t="s">
        <v>1630</v>
      </c>
      <c r="C964" t="s">
        <v>28</v>
      </c>
      <c r="D964" t="s">
        <v>24</v>
      </c>
      <c r="E964" t="s">
        <v>25</v>
      </c>
      <c r="F964" t="s">
        <v>54</v>
      </c>
      <c r="G964" t="s">
        <v>69</v>
      </c>
      <c r="H964" t="s">
        <v>56</v>
      </c>
      <c r="I964" t="s">
        <v>7</v>
      </c>
      <c r="J964" t="s">
        <v>70</v>
      </c>
      <c r="K964" t="s">
        <v>71</v>
      </c>
      <c r="L964" t="s">
        <v>59</v>
      </c>
      <c r="M964">
        <v>44</v>
      </c>
      <c r="N964" t="b">
        <v>1</v>
      </c>
      <c r="O964">
        <v>0.7222222222222221</v>
      </c>
      <c r="P964">
        <v>0.71008403361344541</v>
      </c>
      <c r="Q964">
        <v>0.73478260869565215</v>
      </c>
      <c r="R964" t="s">
        <v>60</v>
      </c>
      <c r="S964" t="s">
        <v>2354</v>
      </c>
      <c r="T964" t="s">
        <v>2355</v>
      </c>
      <c r="U964" t="b">
        <v>1</v>
      </c>
      <c r="V964" t="s">
        <v>63</v>
      </c>
      <c r="W964">
        <v>2.2999999999999998</v>
      </c>
    </row>
    <row r="965" spans="1:23" hidden="1" x14ac:dyDescent="0.3">
      <c r="A965" t="s">
        <v>1629</v>
      </c>
      <c r="B965" t="s">
        <v>1630</v>
      </c>
      <c r="C965" t="s">
        <v>28</v>
      </c>
      <c r="D965" t="s">
        <v>24</v>
      </c>
      <c r="E965" t="s">
        <v>25</v>
      </c>
      <c r="F965" t="s">
        <v>54</v>
      </c>
      <c r="G965" t="s">
        <v>74</v>
      </c>
      <c r="H965" t="s">
        <v>56</v>
      </c>
      <c r="I965" t="s">
        <v>7</v>
      </c>
      <c r="J965" t="s">
        <v>75</v>
      </c>
      <c r="K965" t="s">
        <v>76</v>
      </c>
      <c r="L965" t="s">
        <v>59</v>
      </c>
      <c r="M965">
        <v>45</v>
      </c>
      <c r="N965" t="b">
        <v>1</v>
      </c>
      <c r="O965">
        <v>0.70247933884297531</v>
      </c>
      <c r="P965">
        <v>0.6692913385826772</v>
      </c>
      <c r="Q965">
        <v>0.73913043478260865</v>
      </c>
      <c r="R965" t="s">
        <v>60</v>
      </c>
      <c r="S965" t="s">
        <v>2356</v>
      </c>
      <c r="T965" t="s">
        <v>2357</v>
      </c>
      <c r="U965" t="b">
        <v>1</v>
      </c>
      <c r="V965" t="s">
        <v>63</v>
      </c>
      <c r="W965">
        <v>1.9</v>
      </c>
    </row>
    <row r="966" spans="1:23" hidden="1" x14ac:dyDescent="0.3">
      <c r="A966" t="s">
        <v>1629</v>
      </c>
      <c r="B966" t="s">
        <v>1630</v>
      </c>
      <c r="C966" t="s">
        <v>28</v>
      </c>
      <c r="D966" t="s">
        <v>24</v>
      </c>
      <c r="E966" t="s">
        <v>25</v>
      </c>
      <c r="F966" t="s">
        <v>54</v>
      </c>
      <c r="G966" t="s">
        <v>79</v>
      </c>
      <c r="H966" t="s">
        <v>56</v>
      </c>
      <c r="I966" t="s">
        <v>7</v>
      </c>
      <c r="J966" t="s">
        <v>80</v>
      </c>
      <c r="K966" t="s">
        <v>81</v>
      </c>
      <c r="L966" t="s">
        <v>59</v>
      </c>
      <c r="M966">
        <v>46</v>
      </c>
      <c r="N966" t="b">
        <v>1</v>
      </c>
      <c r="O966">
        <v>0.71238938053097345</v>
      </c>
      <c r="P966">
        <v>0.72522522522522526</v>
      </c>
      <c r="Q966">
        <v>0.7</v>
      </c>
      <c r="R966" t="s">
        <v>60</v>
      </c>
      <c r="S966" t="s">
        <v>2358</v>
      </c>
      <c r="T966" t="s">
        <v>2359</v>
      </c>
      <c r="U966" t="b">
        <v>1</v>
      </c>
      <c r="V966" t="s">
        <v>63</v>
      </c>
      <c r="W966">
        <v>1.9</v>
      </c>
    </row>
    <row r="967" spans="1:23" hidden="1" x14ac:dyDescent="0.3">
      <c r="A967" t="s">
        <v>1629</v>
      </c>
      <c r="B967" t="s">
        <v>1630</v>
      </c>
      <c r="C967" t="s">
        <v>28</v>
      </c>
      <c r="D967" t="s">
        <v>24</v>
      </c>
      <c r="E967" t="s">
        <v>25</v>
      </c>
      <c r="F967" t="s">
        <v>54</v>
      </c>
      <c r="G967" t="s">
        <v>84</v>
      </c>
      <c r="H967" t="s">
        <v>56</v>
      </c>
      <c r="I967" t="s">
        <v>7</v>
      </c>
      <c r="J967" t="s">
        <v>85</v>
      </c>
      <c r="K967" t="s">
        <v>86</v>
      </c>
      <c r="L967" t="s">
        <v>59</v>
      </c>
      <c r="M967">
        <v>47</v>
      </c>
      <c r="N967" t="b">
        <v>1</v>
      </c>
      <c r="O967">
        <v>0.69120654396728021</v>
      </c>
      <c r="P967">
        <v>0.65250965250965254</v>
      </c>
      <c r="Q967">
        <v>0.73478260869565215</v>
      </c>
      <c r="R967" t="s">
        <v>60</v>
      </c>
      <c r="S967" t="s">
        <v>2360</v>
      </c>
      <c r="T967" t="s">
        <v>2361</v>
      </c>
      <c r="U967" t="b">
        <v>1</v>
      </c>
      <c r="V967" t="s">
        <v>63</v>
      </c>
      <c r="W967">
        <v>2.2999999999999998</v>
      </c>
    </row>
    <row r="968" spans="1:23" hidden="1" x14ac:dyDescent="0.3">
      <c r="A968" t="s">
        <v>1629</v>
      </c>
      <c r="B968" t="s">
        <v>1630</v>
      </c>
      <c r="C968" t="s">
        <v>28</v>
      </c>
      <c r="D968" t="s">
        <v>24</v>
      </c>
      <c r="E968" t="s">
        <v>25</v>
      </c>
      <c r="F968" t="s">
        <v>54</v>
      </c>
      <c r="G968" t="s">
        <v>89</v>
      </c>
      <c r="H968" t="s">
        <v>56</v>
      </c>
      <c r="I968" t="s">
        <v>7</v>
      </c>
      <c r="J968" t="s">
        <v>90</v>
      </c>
      <c r="K968" t="s">
        <v>91</v>
      </c>
      <c r="L968" t="s">
        <v>59</v>
      </c>
      <c r="M968">
        <v>48</v>
      </c>
      <c r="N968" t="b">
        <v>1</v>
      </c>
      <c r="O968">
        <v>0.72427983539094654</v>
      </c>
      <c r="P968">
        <v>0.6875</v>
      </c>
      <c r="Q968">
        <v>0.76521739130434785</v>
      </c>
      <c r="R968" t="s">
        <v>60</v>
      </c>
      <c r="S968" t="s">
        <v>2362</v>
      </c>
      <c r="T968" t="s">
        <v>2363</v>
      </c>
      <c r="U968" t="b">
        <v>1</v>
      </c>
      <c r="V968" t="s">
        <v>63</v>
      </c>
      <c r="W968">
        <v>2</v>
      </c>
    </row>
    <row r="969" spans="1:23" hidden="1" x14ac:dyDescent="0.3">
      <c r="A969" t="s">
        <v>1629</v>
      </c>
      <c r="B969" t="s">
        <v>1630</v>
      </c>
      <c r="C969" t="s">
        <v>28</v>
      </c>
      <c r="D969" t="s">
        <v>24</v>
      </c>
      <c r="E969" t="s">
        <v>25</v>
      </c>
      <c r="F969" t="s">
        <v>54</v>
      </c>
      <c r="G969" t="s">
        <v>94</v>
      </c>
      <c r="H969" t="s">
        <v>56</v>
      </c>
      <c r="I969" t="s">
        <v>7</v>
      </c>
      <c r="J969" t="s">
        <v>95</v>
      </c>
      <c r="K969" t="s">
        <v>96</v>
      </c>
      <c r="L969" t="s">
        <v>59</v>
      </c>
      <c r="M969">
        <v>49</v>
      </c>
      <c r="N969" t="b">
        <v>1</v>
      </c>
      <c r="O969">
        <v>0.69565217391304357</v>
      </c>
      <c r="P969">
        <v>0.66403162055335974</v>
      </c>
      <c r="Q969">
        <v>0.73043478260869565</v>
      </c>
      <c r="R969" t="s">
        <v>60</v>
      </c>
      <c r="S969" t="s">
        <v>2364</v>
      </c>
      <c r="T969" t="s">
        <v>2365</v>
      </c>
      <c r="U969" t="b">
        <v>1</v>
      </c>
      <c r="V969" t="s">
        <v>63</v>
      </c>
      <c r="W969">
        <v>1.9</v>
      </c>
    </row>
    <row r="970" spans="1:23" hidden="1" x14ac:dyDescent="0.3">
      <c r="A970" t="s">
        <v>1629</v>
      </c>
      <c r="B970" t="s">
        <v>1630</v>
      </c>
      <c r="C970" t="s">
        <v>28</v>
      </c>
      <c r="D970" t="s">
        <v>24</v>
      </c>
      <c r="E970" t="s">
        <v>25</v>
      </c>
      <c r="F970" t="s">
        <v>54</v>
      </c>
      <c r="G970" t="s">
        <v>99</v>
      </c>
      <c r="H970" t="s">
        <v>56</v>
      </c>
      <c r="I970" t="s">
        <v>7</v>
      </c>
      <c r="J970" t="s">
        <v>100</v>
      </c>
      <c r="K970" t="s">
        <v>101</v>
      </c>
      <c r="L970" t="s">
        <v>59</v>
      </c>
      <c r="M970">
        <v>50</v>
      </c>
      <c r="N970" t="b">
        <v>1</v>
      </c>
      <c r="O970">
        <v>0.71487603305785119</v>
      </c>
      <c r="P970">
        <v>0.68110236220472442</v>
      </c>
      <c r="Q970">
        <v>0.75217391304347825</v>
      </c>
      <c r="R970" t="s">
        <v>60</v>
      </c>
      <c r="S970" t="s">
        <v>2366</v>
      </c>
      <c r="T970" t="s">
        <v>2367</v>
      </c>
      <c r="U970" t="b">
        <v>1</v>
      </c>
      <c r="V970" t="s">
        <v>63</v>
      </c>
      <c r="W970">
        <v>2.2999999999999998</v>
      </c>
    </row>
    <row r="971" spans="1:23" hidden="1" x14ac:dyDescent="0.3">
      <c r="A971" t="s">
        <v>1629</v>
      </c>
      <c r="B971" t="s">
        <v>1630</v>
      </c>
      <c r="C971" t="s">
        <v>28</v>
      </c>
      <c r="D971" t="s">
        <v>24</v>
      </c>
      <c r="E971" t="s">
        <v>25</v>
      </c>
      <c r="F971" t="s">
        <v>54</v>
      </c>
      <c r="G971" t="s">
        <v>104</v>
      </c>
      <c r="H971" t="s">
        <v>56</v>
      </c>
      <c r="I971" t="s">
        <v>7</v>
      </c>
      <c r="J971" t="s">
        <v>105</v>
      </c>
      <c r="K971" t="s">
        <v>106</v>
      </c>
      <c r="L971" t="s">
        <v>59</v>
      </c>
      <c r="M971">
        <v>51</v>
      </c>
      <c r="N971" t="b">
        <v>1</v>
      </c>
      <c r="O971">
        <v>0.71523178807947019</v>
      </c>
      <c r="P971">
        <v>0.726457399103139</v>
      </c>
      <c r="Q971">
        <v>0.70434782608695656</v>
      </c>
      <c r="R971" t="s">
        <v>60</v>
      </c>
      <c r="S971" t="s">
        <v>2368</v>
      </c>
      <c r="T971" t="s">
        <v>2369</v>
      </c>
      <c r="U971" t="b">
        <v>1</v>
      </c>
      <c r="V971" t="s">
        <v>63</v>
      </c>
      <c r="W971">
        <v>2.1</v>
      </c>
    </row>
    <row r="972" spans="1:23" hidden="1" x14ac:dyDescent="0.3">
      <c r="A972" t="s">
        <v>1629</v>
      </c>
      <c r="B972" t="s">
        <v>1630</v>
      </c>
      <c r="C972" t="s">
        <v>28</v>
      </c>
      <c r="D972" t="s">
        <v>24</v>
      </c>
      <c r="E972" t="s">
        <v>25</v>
      </c>
      <c r="F972" t="s">
        <v>54</v>
      </c>
      <c r="G972" t="s">
        <v>109</v>
      </c>
      <c r="H972" t="s">
        <v>56</v>
      </c>
      <c r="I972" t="s">
        <v>7</v>
      </c>
      <c r="J972" t="s">
        <v>110</v>
      </c>
      <c r="K972" t="s">
        <v>111</v>
      </c>
      <c r="L972" t="s">
        <v>59</v>
      </c>
      <c r="M972">
        <v>52</v>
      </c>
      <c r="N972" t="b">
        <v>1</v>
      </c>
      <c r="O972">
        <v>0.708502024291498</v>
      </c>
      <c r="P972">
        <v>0.66287878787878785</v>
      </c>
      <c r="Q972">
        <v>0.76086956521739135</v>
      </c>
      <c r="R972" t="s">
        <v>60</v>
      </c>
      <c r="S972" t="s">
        <v>2370</v>
      </c>
      <c r="T972" t="s">
        <v>2371</v>
      </c>
      <c r="U972" t="b">
        <v>1</v>
      </c>
      <c r="V972" t="s">
        <v>63</v>
      </c>
      <c r="W972">
        <v>2.6</v>
      </c>
    </row>
    <row r="973" spans="1:23" hidden="1" x14ac:dyDescent="0.3">
      <c r="A973" t="s">
        <v>1629</v>
      </c>
      <c r="B973" t="s">
        <v>1630</v>
      </c>
      <c r="C973" t="s">
        <v>28</v>
      </c>
      <c r="D973" t="s">
        <v>24</v>
      </c>
      <c r="E973" t="s">
        <v>25</v>
      </c>
      <c r="F973" t="s">
        <v>54</v>
      </c>
      <c r="G973" t="s">
        <v>114</v>
      </c>
      <c r="H973" t="s">
        <v>56</v>
      </c>
      <c r="I973" t="s">
        <v>7</v>
      </c>
      <c r="J973" t="s">
        <v>115</v>
      </c>
      <c r="K973" t="s">
        <v>116</v>
      </c>
      <c r="L973" t="s">
        <v>59</v>
      </c>
      <c r="M973">
        <v>53</v>
      </c>
      <c r="N973" t="b">
        <v>1</v>
      </c>
      <c r="O973">
        <v>0.73150105708245228</v>
      </c>
      <c r="P973">
        <v>0.7119341563786008</v>
      </c>
      <c r="Q973">
        <v>0.75217391304347825</v>
      </c>
      <c r="R973" t="s">
        <v>60</v>
      </c>
      <c r="S973" t="s">
        <v>2372</v>
      </c>
      <c r="T973" t="s">
        <v>2373</v>
      </c>
      <c r="U973" t="b">
        <v>1</v>
      </c>
      <c r="V973" t="s">
        <v>63</v>
      </c>
      <c r="W973">
        <v>2</v>
      </c>
    </row>
    <row r="974" spans="1:23" hidden="1" x14ac:dyDescent="0.3">
      <c r="A974" t="s">
        <v>1629</v>
      </c>
      <c r="B974" t="s">
        <v>1630</v>
      </c>
      <c r="C974" t="s">
        <v>28</v>
      </c>
      <c r="D974" t="s">
        <v>24</v>
      </c>
      <c r="E974" t="s">
        <v>25</v>
      </c>
      <c r="F974" t="s">
        <v>54</v>
      </c>
      <c r="G974" t="s">
        <v>119</v>
      </c>
      <c r="H974" t="s">
        <v>56</v>
      </c>
      <c r="I974" t="s">
        <v>7</v>
      </c>
      <c r="J974" t="s">
        <v>120</v>
      </c>
      <c r="K974" t="s">
        <v>121</v>
      </c>
      <c r="L974" t="s">
        <v>59</v>
      </c>
      <c r="M974">
        <v>54</v>
      </c>
      <c r="N974" t="b">
        <v>1</v>
      </c>
      <c r="O974">
        <v>0.69425287356321841</v>
      </c>
      <c r="P974">
        <v>0.73658536585365852</v>
      </c>
      <c r="Q974">
        <v>0.65652173913043477</v>
      </c>
      <c r="R974" t="s">
        <v>60</v>
      </c>
      <c r="S974" t="s">
        <v>2374</v>
      </c>
      <c r="T974" t="s">
        <v>2375</v>
      </c>
      <c r="U974" t="b">
        <v>1</v>
      </c>
      <c r="V974" t="s">
        <v>63</v>
      </c>
      <c r="W974">
        <v>2.5</v>
      </c>
    </row>
    <row r="975" spans="1:23" hidden="1" x14ac:dyDescent="0.3">
      <c r="A975" t="s">
        <v>1629</v>
      </c>
      <c r="B975" t="s">
        <v>1630</v>
      </c>
      <c r="C975" t="s">
        <v>28</v>
      </c>
      <c r="D975" t="s">
        <v>24</v>
      </c>
      <c r="E975" t="s">
        <v>25</v>
      </c>
      <c r="F975" t="s">
        <v>54</v>
      </c>
      <c r="G975" t="s">
        <v>124</v>
      </c>
      <c r="H975" t="s">
        <v>56</v>
      </c>
      <c r="I975" t="s">
        <v>7</v>
      </c>
      <c r="J975" t="s">
        <v>125</v>
      </c>
      <c r="K975" t="s">
        <v>126</v>
      </c>
      <c r="L975" t="s">
        <v>59</v>
      </c>
      <c r="M975">
        <v>55</v>
      </c>
      <c r="N975" t="b">
        <v>1</v>
      </c>
      <c r="O975">
        <v>0.70693512304250561</v>
      </c>
      <c r="P975">
        <v>0.72811059907834097</v>
      </c>
      <c r="Q975">
        <v>0.68695652173913047</v>
      </c>
      <c r="R975" t="s">
        <v>60</v>
      </c>
      <c r="S975" t="s">
        <v>2376</v>
      </c>
      <c r="T975" t="s">
        <v>2377</v>
      </c>
      <c r="U975" t="b">
        <v>1</v>
      </c>
      <c r="V975" t="s">
        <v>63</v>
      </c>
      <c r="W975">
        <v>2</v>
      </c>
    </row>
    <row r="976" spans="1:23" hidden="1" x14ac:dyDescent="0.3">
      <c r="A976" t="s">
        <v>1629</v>
      </c>
      <c r="B976" t="s">
        <v>1630</v>
      </c>
      <c r="C976" t="s">
        <v>28</v>
      </c>
      <c r="D976" t="s">
        <v>24</v>
      </c>
      <c r="E976" t="s">
        <v>25</v>
      </c>
      <c r="F976" t="s">
        <v>54</v>
      </c>
      <c r="G976" t="s">
        <v>129</v>
      </c>
      <c r="H976" t="s">
        <v>56</v>
      </c>
      <c r="I976" t="s">
        <v>7</v>
      </c>
      <c r="J976" t="s">
        <v>130</v>
      </c>
      <c r="K976" t="s">
        <v>131</v>
      </c>
      <c r="L976" t="s">
        <v>59</v>
      </c>
      <c r="M976">
        <v>56</v>
      </c>
      <c r="N976" t="b">
        <v>1</v>
      </c>
      <c r="O976">
        <v>0.72427983539094654</v>
      </c>
      <c r="P976">
        <v>0.6875</v>
      </c>
      <c r="Q976">
        <v>0.76521739130434785</v>
      </c>
      <c r="R976" t="s">
        <v>60</v>
      </c>
      <c r="S976" t="s">
        <v>2378</v>
      </c>
      <c r="T976" t="s">
        <v>2379</v>
      </c>
      <c r="U976" t="b">
        <v>1</v>
      </c>
      <c r="V976" t="s">
        <v>63</v>
      </c>
      <c r="W976">
        <v>2</v>
      </c>
    </row>
    <row r="977" spans="1:23" hidden="1" x14ac:dyDescent="0.3">
      <c r="A977" t="s">
        <v>1629</v>
      </c>
      <c r="B977" t="s">
        <v>1630</v>
      </c>
      <c r="C977" t="s">
        <v>28</v>
      </c>
      <c r="D977" t="s">
        <v>24</v>
      </c>
      <c r="E977" t="s">
        <v>25</v>
      </c>
      <c r="F977" t="s">
        <v>54</v>
      </c>
      <c r="G977" t="s">
        <v>134</v>
      </c>
      <c r="H977" t="s">
        <v>56</v>
      </c>
      <c r="I977" t="s">
        <v>7</v>
      </c>
      <c r="J977" t="s">
        <v>135</v>
      </c>
      <c r="K977" t="s">
        <v>136</v>
      </c>
      <c r="L977" t="s">
        <v>59</v>
      </c>
      <c r="M977">
        <v>57</v>
      </c>
      <c r="N977" t="b">
        <v>1</v>
      </c>
      <c r="O977">
        <v>0.68531468531468531</v>
      </c>
      <c r="P977">
        <v>0.7386934673366834</v>
      </c>
      <c r="Q977">
        <v>0.63913043478260867</v>
      </c>
      <c r="R977" t="s">
        <v>60</v>
      </c>
      <c r="S977" t="s">
        <v>2380</v>
      </c>
      <c r="T977" t="s">
        <v>2381</v>
      </c>
      <c r="U977" t="b">
        <v>1</v>
      </c>
      <c r="V977" t="s">
        <v>63</v>
      </c>
      <c r="W977">
        <v>2.4</v>
      </c>
    </row>
    <row r="978" spans="1:23" hidden="1" x14ac:dyDescent="0.3">
      <c r="A978" t="s">
        <v>1629</v>
      </c>
      <c r="B978" t="s">
        <v>1630</v>
      </c>
      <c r="C978" t="s">
        <v>28</v>
      </c>
      <c r="D978" t="s">
        <v>24</v>
      </c>
      <c r="E978" t="s">
        <v>25</v>
      </c>
      <c r="F978" t="s">
        <v>54</v>
      </c>
      <c r="G978" t="s">
        <v>139</v>
      </c>
      <c r="H978" t="s">
        <v>56</v>
      </c>
      <c r="I978" t="s">
        <v>7</v>
      </c>
      <c r="J978" t="s">
        <v>140</v>
      </c>
      <c r="K978" t="s">
        <v>141</v>
      </c>
      <c r="L978" t="s">
        <v>59</v>
      </c>
      <c r="M978">
        <v>58</v>
      </c>
      <c r="N978" t="b">
        <v>1</v>
      </c>
      <c r="O978">
        <v>0.70901639344262291</v>
      </c>
      <c r="P978">
        <v>0.6705426356589147</v>
      </c>
      <c r="Q978">
        <v>0.75217391304347825</v>
      </c>
      <c r="R978" t="s">
        <v>60</v>
      </c>
      <c r="S978" t="s">
        <v>2382</v>
      </c>
      <c r="T978" t="s">
        <v>2383</v>
      </c>
      <c r="U978" t="b">
        <v>1</v>
      </c>
      <c r="V978" t="s">
        <v>63</v>
      </c>
      <c r="W978">
        <v>1.9</v>
      </c>
    </row>
    <row r="979" spans="1:23" hidden="1" x14ac:dyDescent="0.3">
      <c r="A979" t="s">
        <v>1629</v>
      </c>
      <c r="B979" t="s">
        <v>1630</v>
      </c>
      <c r="C979" t="s">
        <v>28</v>
      </c>
      <c r="D979" t="s">
        <v>24</v>
      </c>
      <c r="E979" t="s">
        <v>25</v>
      </c>
      <c r="F979" t="s">
        <v>54</v>
      </c>
      <c r="G979" t="s">
        <v>144</v>
      </c>
      <c r="H979" t="s">
        <v>56</v>
      </c>
      <c r="I979" t="s">
        <v>7</v>
      </c>
      <c r="J979" t="s">
        <v>145</v>
      </c>
      <c r="K979" t="s">
        <v>146</v>
      </c>
      <c r="L979" t="s">
        <v>59</v>
      </c>
      <c r="M979">
        <v>59</v>
      </c>
      <c r="N979" t="b">
        <v>1</v>
      </c>
      <c r="O979">
        <v>0.70270270270270274</v>
      </c>
      <c r="P979">
        <v>0.67330677290836649</v>
      </c>
      <c r="Q979">
        <v>0.73478260869565215</v>
      </c>
      <c r="R979" t="s">
        <v>60</v>
      </c>
      <c r="S979" t="s">
        <v>2384</v>
      </c>
      <c r="T979" t="s">
        <v>2385</v>
      </c>
      <c r="U979" t="b">
        <v>1</v>
      </c>
      <c r="V979" t="s">
        <v>63</v>
      </c>
      <c r="W979">
        <v>2.4</v>
      </c>
    </row>
    <row r="980" spans="1:23" hidden="1" x14ac:dyDescent="0.3">
      <c r="A980" t="s">
        <v>1629</v>
      </c>
      <c r="B980" t="s">
        <v>1630</v>
      </c>
      <c r="C980" t="s">
        <v>28</v>
      </c>
      <c r="D980" t="s">
        <v>24</v>
      </c>
      <c r="E980" t="s">
        <v>25</v>
      </c>
      <c r="F980" t="s">
        <v>54</v>
      </c>
      <c r="G980" t="s">
        <v>149</v>
      </c>
      <c r="H980" t="s">
        <v>56</v>
      </c>
      <c r="I980" t="s">
        <v>7</v>
      </c>
      <c r="J980" t="s">
        <v>150</v>
      </c>
      <c r="K980" t="s">
        <v>151</v>
      </c>
      <c r="L980" t="s">
        <v>59</v>
      </c>
      <c r="M980">
        <v>60</v>
      </c>
      <c r="N980" t="b">
        <v>1</v>
      </c>
      <c r="O980">
        <v>0.73360655737704916</v>
      </c>
      <c r="P980">
        <v>0.69379844961240311</v>
      </c>
      <c r="Q980">
        <v>0.77826086956521734</v>
      </c>
      <c r="R980" t="s">
        <v>60</v>
      </c>
      <c r="S980" t="s">
        <v>2386</v>
      </c>
      <c r="T980" t="s">
        <v>2387</v>
      </c>
      <c r="U980" t="b">
        <v>1</v>
      </c>
      <c r="V980" t="s">
        <v>63</v>
      </c>
      <c r="W980">
        <v>1.9</v>
      </c>
    </row>
    <row r="981" spans="1:23" hidden="1" x14ac:dyDescent="0.3">
      <c r="A981" t="s">
        <v>1629</v>
      </c>
      <c r="B981" t="s">
        <v>1630</v>
      </c>
      <c r="C981" t="s">
        <v>28</v>
      </c>
      <c r="D981" t="s">
        <v>24</v>
      </c>
      <c r="E981" t="s">
        <v>25</v>
      </c>
      <c r="F981" t="s">
        <v>54</v>
      </c>
      <c r="G981" t="s">
        <v>154</v>
      </c>
      <c r="H981" t="s">
        <v>56</v>
      </c>
      <c r="I981" t="s">
        <v>7</v>
      </c>
      <c r="J981" t="s">
        <v>155</v>
      </c>
      <c r="K981" t="s">
        <v>156</v>
      </c>
      <c r="L981" t="s">
        <v>59</v>
      </c>
      <c r="M981">
        <v>61</v>
      </c>
      <c r="N981" t="b">
        <v>1</v>
      </c>
      <c r="O981">
        <v>0.7071583514099784</v>
      </c>
      <c r="P981">
        <v>0.7056277056277056</v>
      </c>
      <c r="Q981">
        <v>0.70869565217391306</v>
      </c>
      <c r="R981" t="s">
        <v>60</v>
      </c>
      <c r="S981" t="s">
        <v>2388</v>
      </c>
      <c r="T981" t="s">
        <v>2389</v>
      </c>
      <c r="U981" t="b">
        <v>1</v>
      </c>
      <c r="V981" t="s">
        <v>63</v>
      </c>
      <c r="W981">
        <v>2.2000000000000002</v>
      </c>
    </row>
    <row r="982" spans="1:23" hidden="1" x14ac:dyDescent="0.3">
      <c r="A982" t="s">
        <v>1629</v>
      </c>
      <c r="B982" t="s">
        <v>1630</v>
      </c>
      <c r="C982" t="s">
        <v>28</v>
      </c>
      <c r="D982" t="s">
        <v>24</v>
      </c>
      <c r="E982" t="s">
        <v>25</v>
      </c>
      <c r="F982" t="s">
        <v>54</v>
      </c>
      <c r="G982" t="s">
        <v>159</v>
      </c>
      <c r="H982" t="s">
        <v>160</v>
      </c>
      <c r="I982" t="s">
        <v>3</v>
      </c>
      <c r="J982" t="s">
        <v>161</v>
      </c>
      <c r="K982" t="s">
        <v>162</v>
      </c>
      <c r="L982" t="s">
        <v>163</v>
      </c>
      <c r="M982">
        <v>42</v>
      </c>
      <c r="N982" t="b">
        <v>0</v>
      </c>
      <c r="O982">
        <v>0.70658682634730541</v>
      </c>
      <c r="P982">
        <v>0.7151515151515152</v>
      </c>
      <c r="Q982">
        <v>0.69822485207100593</v>
      </c>
      <c r="R982" t="s">
        <v>60</v>
      </c>
      <c r="S982" t="s">
        <v>2390</v>
      </c>
      <c r="T982" t="s">
        <v>2391</v>
      </c>
      <c r="U982" t="b">
        <v>1</v>
      </c>
      <c r="V982" t="s">
        <v>63</v>
      </c>
      <c r="W982">
        <v>1.7</v>
      </c>
    </row>
    <row r="983" spans="1:23" hidden="1" x14ac:dyDescent="0.3">
      <c r="A983" t="s">
        <v>1629</v>
      </c>
      <c r="B983" t="s">
        <v>1630</v>
      </c>
      <c r="C983" t="s">
        <v>28</v>
      </c>
      <c r="D983" t="s">
        <v>24</v>
      </c>
      <c r="E983" t="s">
        <v>25</v>
      </c>
      <c r="F983" t="s">
        <v>54</v>
      </c>
      <c r="G983" t="s">
        <v>166</v>
      </c>
      <c r="H983" t="s">
        <v>160</v>
      </c>
      <c r="I983" t="s">
        <v>3</v>
      </c>
      <c r="J983" t="s">
        <v>167</v>
      </c>
      <c r="K983" t="s">
        <v>168</v>
      </c>
      <c r="L983" t="s">
        <v>163</v>
      </c>
      <c r="M983">
        <v>43</v>
      </c>
      <c r="N983" t="b">
        <v>0</v>
      </c>
      <c r="O983">
        <v>0.71780821917808213</v>
      </c>
      <c r="P983">
        <v>0.66836734693877553</v>
      </c>
      <c r="Q983">
        <v>0.7751479289940828</v>
      </c>
      <c r="R983" t="s">
        <v>60</v>
      </c>
      <c r="S983" t="s">
        <v>2392</v>
      </c>
      <c r="T983" t="s">
        <v>2393</v>
      </c>
      <c r="U983" t="b">
        <v>1</v>
      </c>
      <c r="V983" t="s">
        <v>63</v>
      </c>
      <c r="W983">
        <v>2.2000000000000002</v>
      </c>
    </row>
    <row r="984" spans="1:23" hidden="1" x14ac:dyDescent="0.3">
      <c r="A984" t="s">
        <v>1629</v>
      </c>
      <c r="B984" t="s">
        <v>1630</v>
      </c>
      <c r="C984" t="s">
        <v>28</v>
      </c>
      <c r="D984" t="s">
        <v>24</v>
      </c>
      <c r="E984" t="s">
        <v>25</v>
      </c>
      <c r="F984" t="s">
        <v>54</v>
      </c>
      <c r="G984" t="s">
        <v>171</v>
      </c>
      <c r="H984" t="s">
        <v>160</v>
      </c>
      <c r="I984" t="s">
        <v>3</v>
      </c>
      <c r="J984" t="s">
        <v>172</v>
      </c>
      <c r="K984" t="s">
        <v>173</v>
      </c>
      <c r="L984" t="s">
        <v>163</v>
      </c>
      <c r="M984">
        <v>44</v>
      </c>
      <c r="N984" t="b">
        <v>0</v>
      </c>
      <c r="O984">
        <v>0.72067039106145259</v>
      </c>
      <c r="P984">
        <v>0.68253968253968256</v>
      </c>
      <c r="Q984">
        <v>0.76331360946745563</v>
      </c>
      <c r="R984" t="s">
        <v>60</v>
      </c>
      <c r="S984" t="s">
        <v>2394</v>
      </c>
      <c r="T984" t="s">
        <v>2395</v>
      </c>
      <c r="U984" t="b">
        <v>1</v>
      </c>
      <c r="V984" t="s">
        <v>63</v>
      </c>
      <c r="W984">
        <v>2</v>
      </c>
    </row>
    <row r="985" spans="1:23" hidden="1" x14ac:dyDescent="0.3">
      <c r="A985" t="s">
        <v>1629</v>
      </c>
      <c r="B985" t="s">
        <v>1630</v>
      </c>
      <c r="C985" t="s">
        <v>28</v>
      </c>
      <c r="D985" t="s">
        <v>24</v>
      </c>
      <c r="E985" t="s">
        <v>25</v>
      </c>
      <c r="F985" t="s">
        <v>54</v>
      </c>
      <c r="G985" t="s">
        <v>176</v>
      </c>
      <c r="H985" t="s">
        <v>160</v>
      </c>
      <c r="I985" t="s">
        <v>3</v>
      </c>
      <c r="J985" t="s">
        <v>177</v>
      </c>
      <c r="K985" t="s">
        <v>178</v>
      </c>
      <c r="L985" t="s">
        <v>163</v>
      </c>
      <c r="M985">
        <v>45</v>
      </c>
      <c r="N985" t="b">
        <v>0</v>
      </c>
      <c r="O985">
        <v>0.6975476839237057</v>
      </c>
      <c r="P985">
        <v>0.64646464646464652</v>
      </c>
      <c r="Q985">
        <v>0.75739644970414199</v>
      </c>
      <c r="R985" t="s">
        <v>60</v>
      </c>
      <c r="S985" t="s">
        <v>2396</v>
      </c>
      <c r="T985" t="s">
        <v>2397</v>
      </c>
      <c r="U985" t="b">
        <v>1</v>
      </c>
      <c r="V985" t="s">
        <v>63</v>
      </c>
      <c r="W985">
        <v>1.8</v>
      </c>
    </row>
    <row r="986" spans="1:23" hidden="1" x14ac:dyDescent="0.3">
      <c r="A986" t="s">
        <v>1629</v>
      </c>
      <c r="B986" t="s">
        <v>1630</v>
      </c>
      <c r="C986" t="s">
        <v>28</v>
      </c>
      <c r="D986" t="s">
        <v>24</v>
      </c>
      <c r="E986" t="s">
        <v>25</v>
      </c>
      <c r="F986" t="s">
        <v>54</v>
      </c>
      <c r="G986" t="s">
        <v>181</v>
      </c>
      <c r="H986" t="s">
        <v>160</v>
      </c>
      <c r="I986" t="s">
        <v>3</v>
      </c>
      <c r="J986" t="s">
        <v>182</v>
      </c>
      <c r="K986" t="s">
        <v>183</v>
      </c>
      <c r="L986" t="s">
        <v>163</v>
      </c>
      <c r="M986">
        <v>46</v>
      </c>
      <c r="N986" t="b">
        <v>0</v>
      </c>
      <c r="O986">
        <v>0.70108695652173914</v>
      </c>
      <c r="P986">
        <v>0.64824120603015079</v>
      </c>
      <c r="Q986">
        <v>0.76331360946745563</v>
      </c>
      <c r="R986" t="s">
        <v>60</v>
      </c>
      <c r="S986" t="s">
        <v>2398</v>
      </c>
      <c r="T986" t="s">
        <v>2399</v>
      </c>
      <c r="U986" t="b">
        <v>1</v>
      </c>
      <c r="V986" t="s">
        <v>63</v>
      </c>
      <c r="W986">
        <v>2.1</v>
      </c>
    </row>
    <row r="987" spans="1:23" hidden="1" x14ac:dyDescent="0.3">
      <c r="A987" t="s">
        <v>1629</v>
      </c>
      <c r="B987" t="s">
        <v>1630</v>
      </c>
      <c r="C987" t="s">
        <v>28</v>
      </c>
      <c r="D987" t="s">
        <v>24</v>
      </c>
      <c r="E987" t="s">
        <v>25</v>
      </c>
      <c r="F987" t="s">
        <v>54</v>
      </c>
      <c r="G987" t="s">
        <v>186</v>
      </c>
      <c r="H987" t="s">
        <v>160</v>
      </c>
      <c r="I987" t="s">
        <v>3</v>
      </c>
      <c r="J987" t="s">
        <v>187</v>
      </c>
      <c r="K987" t="s">
        <v>188</v>
      </c>
      <c r="L987" t="s">
        <v>163</v>
      </c>
      <c r="M987">
        <v>47</v>
      </c>
      <c r="N987" t="b">
        <v>0</v>
      </c>
      <c r="O987">
        <v>0.71389645776566768</v>
      </c>
      <c r="P987">
        <v>0.66161616161616166</v>
      </c>
      <c r="Q987">
        <v>0.7751479289940828</v>
      </c>
      <c r="R987" t="s">
        <v>60</v>
      </c>
      <c r="S987" t="s">
        <v>2400</v>
      </c>
      <c r="T987" t="s">
        <v>2401</v>
      </c>
      <c r="U987" t="b">
        <v>1</v>
      </c>
      <c r="V987" t="s">
        <v>63</v>
      </c>
      <c r="W987">
        <v>2.1</v>
      </c>
    </row>
    <row r="988" spans="1:23" hidden="1" x14ac:dyDescent="0.3">
      <c r="A988" t="s">
        <v>1629</v>
      </c>
      <c r="B988" t="s">
        <v>1630</v>
      </c>
      <c r="C988" t="s">
        <v>28</v>
      </c>
      <c r="D988" t="s">
        <v>24</v>
      </c>
      <c r="E988" t="s">
        <v>25</v>
      </c>
      <c r="F988" t="s">
        <v>54</v>
      </c>
      <c r="G988" t="s">
        <v>191</v>
      </c>
      <c r="H988" t="s">
        <v>160</v>
      </c>
      <c r="I988" t="s">
        <v>3</v>
      </c>
      <c r="J988" t="s">
        <v>192</v>
      </c>
      <c r="K988" t="s">
        <v>193</v>
      </c>
      <c r="L988" t="s">
        <v>163</v>
      </c>
      <c r="M988">
        <v>48</v>
      </c>
      <c r="N988" t="b">
        <v>0</v>
      </c>
      <c r="O988">
        <v>0.71780821917808213</v>
      </c>
      <c r="P988">
        <v>0.66836734693877553</v>
      </c>
      <c r="Q988">
        <v>0.7751479289940828</v>
      </c>
      <c r="R988" t="s">
        <v>60</v>
      </c>
      <c r="S988" t="s">
        <v>2402</v>
      </c>
      <c r="T988" t="s">
        <v>2403</v>
      </c>
      <c r="U988" t="b">
        <v>1</v>
      </c>
      <c r="V988" t="s">
        <v>63</v>
      </c>
      <c r="W988">
        <v>1.7</v>
      </c>
    </row>
    <row r="989" spans="1:23" hidden="1" x14ac:dyDescent="0.3">
      <c r="A989" t="s">
        <v>1629</v>
      </c>
      <c r="B989" t="s">
        <v>1630</v>
      </c>
      <c r="C989" t="s">
        <v>28</v>
      </c>
      <c r="D989" t="s">
        <v>24</v>
      </c>
      <c r="E989" t="s">
        <v>25</v>
      </c>
      <c r="F989" t="s">
        <v>54</v>
      </c>
      <c r="G989" t="s">
        <v>196</v>
      </c>
      <c r="H989" t="s">
        <v>160</v>
      </c>
      <c r="I989" t="s">
        <v>3</v>
      </c>
      <c r="J989" t="s">
        <v>197</v>
      </c>
      <c r="K989" t="s">
        <v>198</v>
      </c>
      <c r="L989" t="s">
        <v>163</v>
      </c>
      <c r="M989">
        <v>49</v>
      </c>
      <c r="N989" t="b">
        <v>0</v>
      </c>
      <c r="O989">
        <v>0.71549295774647881</v>
      </c>
      <c r="P989">
        <v>0.68279569892473113</v>
      </c>
      <c r="Q989">
        <v>0.75147928994082835</v>
      </c>
      <c r="R989" t="s">
        <v>60</v>
      </c>
      <c r="S989" t="s">
        <v>2404</v>
      </c>
      <c r="T989" t="s">
        <v>2405</v>
      </c>
      <c r="U989" t="b">
        <v>1</v>
      </c>
      <c r="V989" t="s">
        <v>63</v>
      </c>
      <c r="W989">
        <v>1.7</v>
      </c>
    </row>
    <row r="990" spans="1:23" hidden="1" x14ac:dyDescent="0.3">
      <c r="A990" t="s">
        <v>1629</v>
      </c>
      <c r="B990" t="s">
        <v>1630</v>
      </c>
      <c r="C990" t="s">
        <v>28</v>
      </c>
      <c r="D990" t="s">
        <v>24</v>
      </c>
      <c r="E990" t="s">
        <v>25</v>
      </c>
      <c r="F990" t="s">
        <v>54</v>
      </c>
      <c r="G990" t="s">
        <v>201</v>
      </c>
      <c r="H990" t="s">
        <v>160</v>
      </c>
      <c r="I990" t="s">
        <v>3</v>
      </c>
      <c r="J990" t="s">
        <v>202</v>
      </c>
      <c r="K990" t="s">
        <v>203</v>
      </c>
      <c r="L990" t="s">
        <v>163</v>
      </c>
      <c r="M990">
        <v>50</v>
      </c>
      <c r="N990" t="b">
        <v>0</v>
      </c>
      <c r="O990">
        <v>0.71584699453551914</v>
      </c>
      <c r="P990">
        <v>0.6649746192893401</v>
      </c>
      <c r="Q990">
        <v>0.7751479289940828</v>
      </c>
      <c r="R990" t="s">
        <v>60</v>
      </c>
      <c r="S990" t="s">
        <v>2406</v>
      </c>
      <c r="T990" t="s">
        <v>2407</v>
      </c>
      <c r="U990" t="b">
        <v>1</v>
      </c>
      <c r="V990" t="s">
        <v>63</v>
      </c>
      <c r="W990">
        <v>2.2999999999999998</v>
      </c>
    </row>
    <row r="991" spans="1:23" hidden="1" x14ac:dyDescent="0.3">
      <c r="A991" t="s">
        <v>1629</v>
      </c>
      <c r="B991" t="s">
        <v>1630</v>
      </c>
      <c r="C991" t="s">
        <v>28</v>
      </c>
      <c r="D991" t="s">
        <v>24</v>
      </c>
      <c r="E991" t="s">
        <v>25</v>
      </c>
      <c r="F991" t="s">
        <v>54</v>
      </c>
      <c r="G991" t="s">
        <v>206</v>
      </c>
      <c r="H991" t="s">
        <v>160</v>
      </c>
      <c r="I991" t="s">
        <v>3</v>
      </c>
      <c r="J991" t="s">
        <v>207</v>
      </c>
      <c r="K991" t="s">
        <v>208</v>
      </c>
      <c r="L991" t="s">
        <v>163</v>
      </c>
      <c r="M991">
        <v>51</v>
      </c>
      <c r="N991" t="b">
        <v>0</v>
      </c>
      <c r="O991">
        <v>0.7262872628726289</v>
      </c>
      <c r="P991">
        <v>0.67</v>
      </c>
      <c r="Q991">
        <v>0.79289940828402372</v>
      </c>
      <c r="R991" t="s">
        <v>60</v>
      </c>
      <c r="S991" t="s">
        <v>2408</v>
      </c>
      <c r="T991" t="s">
        <v>2409</v>
      </c>
      <c r="U991" t="b">
        <v>1</v>
      </c>
      <c r="V991" t="s">
        <v>63</v>
      </c>
      <c r="W991">
        <v>1.7</v>
      </c>
    </row>
    <row r="992" spans="1:23" hidden="1" x14ac:dyDescent="0.3">
      <c r="A992" t="s">
        <v>1629</v>
      </c>
      <c r="B992" t="s">
        <v>1630</v>
      </c>
      <c r="C992" t="s">
        <v>28</v>
      </c>
      <c r="D992" t="s">
        <v>24</v>
      </c>
      <c r="E992" t="s">
        <v>25</v>
      </c>
      <c r="F992" t="s">
        <v>54</v>
      </c>
      <c r="G992" t="s">
        <v>211</v>
      </c>
      <c r="H992" t="s">
        <v>160</v>
      </c>
      <c r="I992" t="s">
        <v>3</v>
      </c>
      <c r="J992" t="s">
        <v>212</v>
      </c>
      <c r="K992" t="s">
        <v>213</v>
      </c>
      <c r="L992" t="s">
        <v>163</v>
      </c>
      <c r="M992">
        <v>52</v>
      </c>
      <c r="N992" t="b">
        <v>0</v>
      </c>
      <c r="O992">
        <v>0.73537604456824524</v>
      </c>
      <c r="P992">
        <v>0.69473684210526321</v>
      </c>
      <c r="Q992">
        <v>0.78106508875739644</v>
      </c>
      <c r="R992" t="s">
        <v>60</v>
      </c>
      <c r="S992" t="s">
        <v>2410</v>
      </c>
      <c r="T992" t="s">
        <v>2411</v>
      </c>
      <c r="U992" t="b">
        <v>1</v>
      </c>
      <c r="V992" t="s">
        <v>63</v>
      </c>
      <c r="W992">
        <v>1.8</v>
      </c>
    </row>
    <row r="993" spans="1:23" hidden="1" x14ac:dyDescent="0.3">
      <c r="A993" t="s">
        <v>1629</v>
      </c>
      <c r="B993" t="s">
        <v>1630</v>
      </c>
      <c r="C993" t="s">
        <v>28</v>
      </c>
      <c r="D993" t="s">
        <v>24</v>
      </c>
      <c r="E993" t="s">
        <v>25</v>
      </c>
      <c r="F993" t="s">
        <v>54</v>
      </c>
      <c r="G993" t="s">
        <v>216</v>
      </c>
      <c r="H993" t="s">
        <v>160</v>
      </c>
      <c r="I993" t="s">
        <v>3</v>
      </c>
      <c r="J993" t="s">
        <v>217</v>
      </c>
      <c r="K993" t="s">
        <v>218</v>
      </c>
      <c r="L993" t="s">
        <v>163</v>
      </c>
      <c r="M993">
        <v>53</v>
      </c>
      <c r="N993" t="b">
        <v>0</v>
      </c>
      <c r="O993">
        <v>0.71544715447154472</v>
      </c>
      <c r="P993">
        <v>0.66</v>
      </c>
      <c r="Q993">
        <v>0.78106508875739644</v>
      </c>
      <c r="R993" t="s">
        <v>60</v>
      </c>
      <c r="S993" t="s">
        <v>2412</v>
      </c>
      <c r="T993" t="s">
        <v>2413</v>
      </c>
      <c r="U993" t="b">
        <v>1</v>
      </c>
      <c r="V993" t="s">
        <v>63</v>
      </c>
      <c r="W993">
        <v>2.2000000000000002</v>
      </c>
    </row>
    <row r="994" spans="1:23" hidden="1" x14ac:dyDescent="0.3">
      <c r="A994" t="s">
        <v>1629</v>
      </c>
      <c r="B994" t="s">
        <v>1630</v>
      </c>
      <c r="C994" t="s">
        <v>28</v>
      </c>
      <c r="D994" t="s">
        <v>24</v>
      </c>
      <c r="E994" t="s">
        <v>25</v>
      </c>
      <c r="F994" t="s">
        <v>54</v>
      </c>
      <c r="G994" t="s">
        <v>221</v>
      </c>
      <c r="H994" t="s">
        <v>160</v>
      </c>
      <c r="I994" t="s">
        <v>3</v>
      </c>
      <c r="J994" t="s">
        <v>222</v>
      </c>
      <c r="K994" t="s">
        <v>223</v>
      </c>
      <c r="L994" t="s">
        <v>163</v>
      </c>
      <c r="M994">
        <v>54</v>
      </c>
      <c r="N994" t="b">
        <v>0</v>
      </c>
      <c r="O994">
        <v>0.70652173913043481</v>
      </c>
      <c r="P994">
        <v>0.65326633165829151</v>
      </c>
      <c r="Q994">
        <v>0.76923076923076927</v>
      </c>
      <c r="R994" t="s">
        <v>60</v>
      </c>
      <c r="S994" t="s">
        <v>2414</v>
      </c>
      <c r="T994" t="s">
        <v>2415</v>
      </c>
      <c r="U994" t="b">
        <v>1</v>
      </c>
      <c r="V994" t="s">
        <v>63</v>
      </c>
      <c r="W994">
        <v>1.9</v>
      </c>
    </row>
    <row r="995" spans="1:23" hidden="1" x14ac:dyDescent="0.3">
      <c r="A995" t="s">
        <v>1629</v>
      </c>
      <c r="B995" t="s">
        <v>1630</v>
      </c>
      <c r="C995" t="s">
        <v>28</v>
      </c>
      <c r="D995" t="s">
        <v>24</v>
      </c>
      <c r="E995" t="s">
        <v>25</v>
      </c>
      <c r="F995" t="s">
        <v>54</v>
      </c>
      <c r="G995" t="s">
        <v>226</v>
      </c>
      <c r="H995" t="s">
        <v>160</v>
      </c>
      <c r="I995" t="s">
        <v>3</v>
      </c>
      <c r="J995" t="s">
        <v>227</v>
      </c>
      <c r="K995" t="s">
        <v>228</v>
      </c>
      <c r="L995" t="s">
        <v>163</v>
      </c>
      <c r="M995">
        <v>55</v>
      </c>
      <c r="N995" t="b">
        <v>0</v>
      </c>
      <c r="O995">
        <v>0.70967741935483863</v>
      </c>
      <c r="P995">
        <v>0.65024630541871919</v>
      </c>
      <c r="Q995">
        <v>0.78106508875739644</v>
      </c>
      <c r="R995" t="s">
        <v>60</v>
      </c>
      <c r="S995" t="s">
        <v>2416</v>
      </c>
      <c r="T995" t="s">
        <v>2417</v>
      </c>
      <c r="U995" t="b">
        <v>1</v>
      </c>
      <c r="V995" t="s">
        <v>63</v>
      </c>
      <c r="W995">
        <v>1.7</v>
      </c>
    </row>
    <row r="996" spans="1:23" hidden="1" x14ac:dyDescent="0.3">
      <c r="A996" t="s">
        <v>1629</v>
      </c>
      <c r="B996" t="s">
        <v>1630</v>
      </c>
      <c r="C996" t="s">
        <v>28</v>
      </c>
      <c r="D996" t="s">
        <v>24</v>
      </c>
      <c r="E996" t="s">
        <v>25</v>
      </c>
      <c r="F996" t="s">
        <v>54</v>
      </c>
      <c r="G996" t="s">
        <v>231</v>
      </c>
      <c r="H996" t="s">
        <v>160</v>
      </c>
      <c r="I996" t="s">
        <v>3</v>
      </c>
      <c r="J996" t="s">
        <v>232</v>
      </c>
      <c r="K996" t="s">
        <v>233</v>
      </c>
      <c r="L996" t="s">
        <v>163</v>
      </c>
      <c r="M996">
        <v>56</v>
      </c>
      <c r="N996" t="b">
        <v>0</v>
      </c>
      <c r="O996">
        <v>0.7189189189189189</v>
      </c>
      <c r="P996">
        <v>0.6616915422885572</v>
      </c>
      <c r="Q996">
        <v>0.78698224852071008</v>
      </c>
      <c r="R996" t="s">
        <v>60</v>
      </c>
      <c r="S996" t="s">
        <v>2418</v>
      </c>
      <c r="T996" t="s">
        <v>2419</v>
      </c>
      <c r="U996" t="b">
        <v>1</v>
      </c>
      <c r="V996" t="s">
        <v>63</v>
      </c>
      <c r="W996">
        <v>1.7</v>
      </c>
    </row>
    <row r="997" spans="1:23" hidden="1" x14ac:dyDescent="0.3">
      <c r="A997" t="s">
        <v>1629</v>
      </c>
      <c r="B997" t="s">
        <v>1630</v>
      </c>
      <c r="C997" t="s">
        <v>28</v>
      </c>
      <c r="D997" t="s">
        <v>24</v>
      </c>
      <c r="E997" t="s">
        <v>25</v>
      </c>
      <c r="F997" t="s">
        <v>54</v>
      </c>
      <c r="G997" t="s">
        <v>236</v>
      </c>
      <c r="H997" t="s">
        <v>160</v>
      </c>
      <c r="I997" t="s">
        <v>3</v>
      </c>
      <c r="J997" t="s">
        <v>237</v>
      </c>
      <c r="K997" t="s">
        <v>238</v>
      </c>
      <c r="L997" t="s">
        <v>163</v>
      </c>
      <c r="M997">
        <v>57</v>
      </c>
      <c r="N997" t="b">
        <v>0</v>
      </c>
      <c r="O997">
        <v>0.71739130434782605</v>
      </c>
      <c r="P997">
        <v>0.66331658291457285</v>
      </c>
      <c r="Q997">
        <v>0.78106508875739644</v>
      </c>
      <c r="R997" t="s">
        <v>60</v>
      </c>
      <c r="S997" t="s">
        <v>2420</v>
      </c>
      <c r="T997" t="s">
        <v>2421</v>
      </c>
      <c r="U997" t="b">
        <v>1</v>
      </c>
      <c r="V997" t="s">
        <v>63</v>
      </c>
      <c r="W997">
        <v>2.2000000000000002</v>
      </c>
    </row>
    <row r="998" spans="1:23" hidden="1" x14ac:dyDescent="0.3">
      <c r="A998" t="s">
        <v>1629</v>
      </c>
      <c r="B998" t="s">
        <v>1630</v>
      </c>
      <c r="C998" t="s">
        <v>28</v>
      </c>
      <c r="D998" t="s">
        <v>24</v>
      </c>
      <c r="E998" t="s">
        <v>25</v>
      </c>
      <c r="F998" t="s">
        <v>54</v>
      </c>
      <c r="G998" t="s">
        <v>241</v>
      </c>
      <c r="H998" t="s">
        <v>160</v>
      </c>
      <c r="I998" t="s">
        <v>3</v>
      </c>
      <c r="J998" t="s">
        <v>242</v>
      </c>
      <c r="K998" t="s">
        <v>243</v>
      </c>
      <c r="L998" t="s">
        <v>163</v>
      </c>
      <c r="M998">
        <v>58</v>
      </c>
      <c r="N998" t="b">
        <v>0</v>
      </c>
      <c r="O998">
        <v>0.70422535211267612</v>
      </c>
      <c r="P998">
        <v>0.67204301075268813</v>
      </c>
      <c r="Q998">
        <v>0.73964497041420119</v>
      </c>
      <c r="R998" t="s">
        <v>60</v>
      </c>
      <c r="S998" t="s">
        <v>2422</v>
      </c>
      <c r="T998" t="s">
        <v>2423</v>
      </c>
      <c r="U998" t="b">
        <v>1</v>
      </c>
      <c r="V998" t="s">
        <v>63</v>
      </c>
      <c r="W998">
        <v>1.7</v>
      </c>
    </row>
    <row r="999" spans="1:23" hidden="1" x14ac:dyDescent="0.3">
      <c r="A999" t="s">
        <v>1629</v>
      </c>
      <c r="B999" t="s">
        <v>1630</v>
      </c>
      <c r="C999" t="s">
        <v>28</v>
      </c>
      <c r="D999" t="s">
        <v>24</v>
      </c>
      <c r="E999" t="s">
        <v>25</v>
      </c>
      <c r="F999" t="s">
        <v>54</v>
      </c>
      <c r="G999" t="s">
        <v>246</v>
      </c>
      <c r="H999" t="s">
        <v>160</v>
      </c>
      <c r="I999" t="s">
        <v>3</v>
      </c>
      <c r="J999" t="s">
        <v>247</v>
      </c>
      <c r="K999" t="s">
        <v>248</v>
      </c>
      <c r="L999" t="s">
        <v>163</v>
      </c>
      <c r="M999">
        <v>59</v>
      </c>
      <c r="N999" t="b">
        <v>0</v>
      </c>
      <c r="O999">
        <v>0.7325581395348838</v>
      </c>
      <c r="P999">
        <v>0.72</v>
      </c>
      <c r="Q999">
        <v>0.74556213017751483</v>
      </c>
      <c r="R999" t="s">
        <v>60</v>
      </c>
      <c r="S999" t="s">
        <v>2424</v>
      </c>
      <c r="T999" t="s">
        <v>2425</v>
      </c>
      <c r="U999" t="b">
        <v>1</v>
      </c>
      <c r="V999" t="s">
        <v>63</v>
      </c>
      <c r="W999">
        <v>1.8</v>
      </c>
    </row>
    <row r="1000" spans="1:23" hidden="1" x14ac:dyDescent="0.3">
      <c r="A1000" t="s">
        <v>1629</v>
      </c>
      <c r="B1000" t="s">
        <v>1630</v>
      </c>
      <c r="C1000" t="s">
        <v>28</v>
      </c>
      <c r="D1000" t="s">
        <v>24</v>
      </c>
      <c r="E1000" t="s">
        <v>25</v>
      </c>
      <c r="F1000" t="s">
        <v>54</v>
      </c>
      <c r="G1000" t="s">
        <v>251</v>
      </c>
      <c r="H1000" t="s">
        <v>160</v>
      </c>
      <c r="I1000" t="s">
        <v>3</v>
      </c>
      <c r="J1000" t="s">
        <v>252</v>
      </c>
      <c r="K1000" t="s">
        <v>253</v>
      </c>
      <c r="L1000" t="s">
        <v>163</v>
      </c>
      <c r="M1000">
        <v>60</v>
      </c>
      <c r="N1000" t="b">
        <v>0</v>
      </c>
      <c r="O1000">
        <v>0.72222222222222232</v>
      </c>
      <c r="P1000">
        <v>0.68062827225130895</v>
      </c>
      <c r="Q1000">
        <v>0.76923076923076927</v>
      </c>
      <c r="R1000" t="s">
        <v>60</v>
      </c>
      <c r="S1000" t="s">
        <v>2426</v>
      </c>
      <c r="T1000" t="s">
        <v>2427</v>
      </c>
      <c r="U1000" t="b">
        <v>1</v>
      </c>
      <c r="V1000" t="s">
        <v>63</v>
      </c>
      <c r="W1000">
        <v>2.1</v>
      </c>
    </row>
    <row r="1001" spans="1:23" hidden="1" x14ac:dyDescent="0.3">
      <c r="A1001" t="s">
        <v>1629</v>
      </c>
      <c r="B1001" t="s">
        <v>1630</v>
      </c>
      <c r="C1001" t="s">
        <v>28</v>
      </c>
      <c r="D1001" t="s">
        <v>24</v>
      </c>
      <c r="E1001" t="s">
        <v>25</v>
      </c>
      <c r="F1001" t="s">
        <v>54</v>
      </c>
      <c r="G1001" t="s">
        <v>256</v>
      </c>
      <c r="H1001" t="s">
        <v>160</v>
      </c>
      <c r="I1001" t="s">
        <v>3</v>
      </c>
      <c r="J1001" t="s">
        <v>257</v>
      </c>
      <c r="K1001" t="s">
        <v>258</v>
      </c>
      <c r="L1001" t="s">
        <v>163</v>
      </c>
      <c r="M1001">
        <v>61</v>
      </c>
      <c r="N1001" t="b">
        <v>0</v>
      </c>
      <c r="O1001">
        <v>0.70967741935483863</v>
      </c>
      <c r="P1001">
        <v>0.65024630541871919</v>
      </c>
      <c r="Q1001">
        <v>0.78106508875739644</v>
      </c>
      <c r="R1001" t="s">
        <v>60</v>
      </c>
      <c r="S1001" t="s">
        <v>2428</v>
      </c>
      <c r="T1001" t="s">
        <v>2429</v>
      </c>
      <c r="U1001" t="b">
        <v>1</v>
      </c>
      <c r="V1001" t="s">
        <v>63</v>
      </c>
      <c r="W1001">
        <v>2.1</v>
      </c>
    </row>
    <row r="1002" spans="1:23" hidden="1" x14ac:dyDescent="0.3">
      <c r="A1002" t="s">
        <v>1629</v>
      </c>
      <c r="B1002" t="s">
        <v>1630</v>
      </c>
      <c r="C1002" t="s">
        <v>28</v>
      </c>
      <c r="D1002" t="s">
        <v>24</v>
      </c>
      <c r="E1002" t="s">
        <v>25</v>
      </c>
      <c r="F1002" t="s">
        <v>54</v>
      </c>
      <c r="G1002" t="s">
        <v>261</v>
      </c>
      <c r="H1002" t="s">
        <v>262</v>
      </c>
      <c r="I1002" t="s">
        <v>5</v>
      </c>
      <c r="J1002" t="s">
        <v>263</v>
      </c>
      <c r="K1002" t="s">
        <v>264</v>
      </c>
      <c r="L1002" t="s">
        <v>265</v>
      </c>
      <c r="M1002">
        <v>42</v>
      </c>
      <c r="N1002" t="b">
        <v>0</v>
      </c>
      <c r="O1002">
        <v>0.74022988505747134</v>
      </c>
      <c r="P1002">
        <v>0.755868544600939</v>
      </c>
      <c r="Q1002">
        <v>0.72522522522522526</v>
      </c>
      <c r="R1002" t="s">
        <v>60</v>
      </c>
      <c r="S1002" t="s">
        <v>2430</v>
      </c>
      <c r="T1002" t="s">
        <v>2431</v>
      </c>
      <c r="U1002" t="b">
        <v>1</v>
      </c>
      <c r="V1002" t="s">
        <v>63</v>
      </c>
      <c r="W1002">
        <v>1.9</v>
      </c>
    </row>
    <row r="1003" spans="1:23" hidden="1" x14ac:dyDescent="0.3">
      <c r="A1003" t="s">
        <v>1629</v>
      </c>
      <c r="B1003" t="s">
        <v>1630</v>
      </c>
      <c r="C1003" t="s">
        <v>28</v>
      </c>
      <c r="D1003" t="s">
        <v>24</v>
      </c>
      <c r="E1003" t="s">
        <v>25</v>
      </c>
      <c r="F1003" t="s">
        <v>54</v>
      </c>
      <c r="G1003" t="s">
        <v>268</v>
      </c>
      <c r="H1003" t="s">
        <v>262</v>
      </c>
      <c r="I1003" t="s">
        <v>5</v>
      </c>
      <c r="J1003" t="s">
        <v>269</v>
      </c>
      <c r="K1003" t="s">
        <v>270</v>
      </c>
      <c r="L1003" t="s">
        <v>265</v>
      </c>
      <c r="M1003">
        <v>43</v>
      </c>
      <c r="N1003" t="b">
        <v>0</v>
      </c>
      <c r="O1003">
        <v>0.73253012048192767</v>
      </c>
      <c r="P1003">
        <v>0.78756476683937826</v>
      </c>
      <c r="Q1003">
        <v>0.68468468468468469</v>
      </c>
      <c r="R1003" t="s">
        <v>60</v>
      </c>
      <c r="S1003" t="s">
        <v>2432</v>
      </c>
      <c r="T1003" t="s">
        <v>2433</v>
      </c>
      <c r="U1003" t="b">
        <v>1</v>
      </c>
      <c r="V1003" t="s">
        <v>63</v>
      </c>
      <c r="W1003">
        <v>2.2999999999999998</v>
      </c>
    </row>
    <row r="1004" spans="1:23" hidden="1" x14ac:dyDescent="0.3">
      <c r="A1004" t="s">
        <v>1629</v>
      </c>
      <c r="B1004" t="s">
        <v>1630</v>
      </c>
      <c r="C1004" t="s">
        <v>28</v>
      </c>
      <c r="D1004" t="s">
        <v>24</v>
      </c>
      <c r="E1004" t="s">
        <v>25</v>
      </c>
      <c r="F1004" t="s">
        <v>54</v>
      </c>
      <c r="G1004" t="s">
        <v>273</v>
      </c>
      <c r="H1004" t="s">
        <v>262</v>
      </c>
      <c r="I1004" t="s">
        <v>5</v>
      </c>
      <c r="J1004" t="s">
        <v>274</v>
      </c>
      <c r="K1004" t="s">
        <v>275</v>
      </c>
      <c r="L1004" t="s">
        <v>265</v>
      </c>
      <c r="M1004">
        <v>44</v>
      </c>
      <c r="N1004" t="b">
        <v>0</v>
      </c>
      <c r="O1004">
        <v>0.73922902494331066</v>
      </c>
      <c r="P1004">
        <v>0.74429223744292239</v>
      </c>
      <c r="Q1004">
        <v>0.73423423423423428</v>
      </c>
      <c r="R1004" t="s">
        <v>60</v>
      </c>
      <c r="S1004" t="s">
        <v>2434</v>
      </c>
      <c r="T1004" t="s">
        <v>2435</v>
      </c>
      <c r="U1004" t="b">
        <v>1</v>
      </c>
      <c r="V1004" t="s">
        <v>63</v>
      </c>
      <c r="W1004">
        <v>2.4</v>
      </c>
    </row>
    <row r="1005" spans="1:23" hidden="1" x14ac:dyDescent="0.3">
      <c r="A1005" t="s">
        <v>1629</v>
      </c>
      <c r="B1005" t="s">
        <v>1630</v>
      </c>
      <c r="C1005" t="s">
        <v>28</v>
      </c>
      <c r="D1005" t="s">
        <v>24</v>
      </c>
      <c r="E1005" t="s">
        <v>25</v>
      </c>
      <c r="F1005" t="s">
        <v>54</v>
      </c>
      <c r="G1005" t="s">
        <v>278</v>
      </c>
      <c r="H1005" t="s">
        <v>262</v>
      </c>
      <c r="I1005" t="s">
        <v>5</v>
      </c>
      <c r="J1005" t="s">
        <v>279</v>
      </c>
      <c r="K1005" t="s">
        <v>280</v>
      </c>
      <c r="L1005" t="s">
        <v>265</v>
      </c>
      <c r="M1005">
        <v>45</v>
      </c>
      <c r="N1005" t="b">
        <v>0</v>
      </c>
      <c r="O1005">
        <v>0.74008810572687223</v>
      </c>
      <c r="P1005">
        <v>0.72413793103448276</v>
      </c>
      <c r="Q1005">
        <v>0.7567567567567568</v>
      </c>
      <c r="R1005" t="s">
        <v>60</v>
      </c>
      <c r="S1005" t="s">
        <v>2436</v>
      </c>
      <c r="T1005" t="s">
        <v>2437</v>
      </c>
      <c r="U1005" t="b">
        <v>1</v>
      </c>
      <c r="V1005" t="s">
        <v>63</v>
      </c>
      <c r="W1005">
        <v>1.8</v>
      </c>
    </row>
    <row r="1006" spans="1:23" hidden="1" x14ac:dyDescent="0.3">
      <c r="A1006" t="s">
        <v>1629</v>
      </c>
      <c r="B1006" t="s">
        <v>1630</v>
      </c>
      <c r="C1006" t="s">
        <v>28</v>
      </c>
      <c r="D1006" t="s">
        <v>24</v>
      </c>
      <c r="E1006" t="s">
        <v>25</v>
      </c>
      <c r="F1006" t="s">
        <v>54</v>
      </c>
      <c r="G1006" t="s">
        <v>283</v>
      </c>
      <c r="H1006" t="s">
        <v>262</v>
      </c>
      <c r="I1006" t="s">
        <v>5</v>
      </c>
      <c r="J1006" t="s">
        <v>284</v>
      </c>
      <c r="K1006" t="s">
        <v>285</v>
      </c>
      <c r="L1006" t="s">
        <v>265</v>
      </c>
      <c r="M1006">
        <v>46</v>
      </c>
      <c r="N1006" t="b">
        <v>0</v>
      </c>
      <c r="O1006">
        <v>0.72766884531590414</v>
      </c>
      <c r="P1006">
        <v>0.70464135021097052</v>
      </c>
      <c r="Q1006">
        <v>0.75225225225225223</v>
      </c>
      <c r="R1006" t="s">
        <v>60</v>
      </c>
      <c r="S1006" t="s">
        <v>2438</v>
      </c>
      <c r="T1006" t="s">
        <v>2439</v>
      </c>
      <c r="U1006" t="b">
        <v>1</v>
      </c>
      <c r="V1006" t="s">
        <v>63</v>
      </c>
      <c r="W1006">
        <v>2.2999999999999998</v>
      </c>
    </row>
    <row r="1007" spans="1:23" hidden="1" x14ac:dyDescent="0.3">
      <c r="A1007" t="s">
        <v>1629</v>
      </c>
      <c r="B1007" t="s">
        <v>1630</v>
      </c>
      <c r="C1007" t="s">
        <v>28</v>
      </c>
      <c r="D1007" t="s">
        <v>24</v>
      </c>
      <c r="E1007" t="s">
        <v>25</v>
      </c>
      <c r="F1007" t="s">
        <v>54</v>
      </c>
      <c r="G1007" t="s">
        <v>288</v>
      </c>
      <c r="H1007" t="s">
        <v>262</v>
      </c>
      <c r="I1007" t="s">
        <v>5</v>
      </c>
      <c r="J1007" t="s">
        <v>289</v>
      </c>
      <c r="K1007" t="s">
        <v>290</v>
      </c>
      <c r="L1007" t="s">
        <v>265</v>
      </c>
      <c r="M1007">
        <v>47</v>
      </c>
      <c r="N1007" t="b">
        <v>0</v>
      </c>
      <c r="O1007">
        <v>0.75604395604395613</v>
      </c>
      <c r="P1007">
        <v>0.7381974248927039</v>
      </c>
      <c r="Q1007">
        <v>0.77477477477477474</v>
      </c>
      <c r="R1007" t="s">
        <v>60</v>
      </c>
      <c r="S1007" t="s">
        <v>2440</v>
      </c>
      <c r="T1007" t="s">
        <v>2441</v>
      </c>
      <c r="U1007" t="b">
        <v>1</v>
      </c>
      <c r="V1007" t="s">
        <v>63</v>
      </c>
      <c r="W1007">
        <v>2.2000000000000002</v>
      </c>
    </row>
    <row r="1008" spans="1:23" hidden="1" x14ac:dyDescent="0.3">
      <c r="A1008" t="s">
        <v>1629</v>
      </c>
      <c r="B1008" t="s">
        <v>1630</v>
      </c>
      <c r="C1008" t="s">
        <v>28</v>
      </c>
      <c r="D1008" t="s">
        <v>24</v>
      </c>
      <c r="E1008" t="s">
        <v>25</v>
      </c>
      <c r="F1008" t="s">
        <v>54</v>
      </c>
      <c r="G1008" t="s">
        <v>293</v>
      </c>
      <c r="H1008" t="s">
        <v>262</v>
      </c>
      <c r="I1008" t="s">
        <v>5</v>
      </c>
      <c r="J1008" t="s">
        <v>294</v>
      </c>
      <c r="K1008" t="s">
        <v>295</v>
      </c>
      <c r="L1008" t="s">
        <v>265</v>
      </c>
      <c r="M1008">
        <v>48</v>
      </c>
      <c r="N1008" t="b">
        <v>0</v>
      </c>
      <c r="O1008">
        <v>0.71910112359550549</v>
      </c>
      <c r="P1008">
        <v>0.71748878923766812</v>
      </c>
      <c r="Q1008">
        <v>0.72072072072072069</v>
      </c>
      <c r="R1008" t="s">
        <v>60</v>
      </c>
      <c r="S1008" t="s">
        <v>2442</v>
      </c>
      <c r="T1008" t="s">
        <v>2443</v>
      </c>
      <c r="U1008" t="b">
        <v>1</v>
      </c>
      <c r="V1008" t="s">
        <v>63</v>
      </c>
      <c r="W1008">
        <v>2.2999999999999998</v>
      </c>
    </row>
    <row r="1009" spans="1:23" hidden="1" x14ac:dyDescent="0.3">
      <c r="A1009" t="s">
        <v>1629</v>
      </c>
      <c r="B1009" t="s">
        <v>1630</v>
      </c>
      <c r="C1009" t="s">
        <v>28</v>
      </c>
      <c r="D1009" t="s">
        <v>24</v>
      </c>
      <c r="E1009" t="s">
        <v>25</v>
      </c>
      <c r="F1009" t="s">
        <v>54</v>
      </c>
      <c r="G1009" t="s">
        <v>298</v>
      </c>
      <c r="H1009" t="s">
        <v>262</v>
      </c>
      <c r="I1009" t="s">
        <v>5</v>
      </c>
      <c r="J1009" t="s">
        <v>299</v>
      </c>
      <c r="K1009" t="s">
        <v>300</v>
      </c>
      <c r="L1009" t="s">
        <v>265</v>
      </c>
      <c r="M1009">
        <v>49</v>
      </c>
      <c r="N1009" t="b">
        <v>0</v>
      </c>
      <c r="O1009">
        <v>0.73362445414847166</v>
      </c>
      <c r="P1009">
        <v>0.71186440677966101</v>
      </c>
      <c r="Q1009">
        <v>0.7567567567567568</v>
      </c>
      <c r="R1009" t="s">
        <v>60</v>
      </c>
      <c r="S1009" t="s">
        <v>2444</v>
      </c>
      <c r="T1009" t="s">
        <v>2445</v>
      </c>
      <c r="U1009" t="b">
        <v>1</v>
      </c>
      <c r="V1009" t="s">
        <v>63</v>
      </c>
      <c r="W1009">
        <v>2.5</v>
      </c>
    </row>
    <row r="1010" spans="1:23" hidden="1" x14ac:dyDescent="0.3">
      <c r="A1010" t="s">
        <v>1629</v>
      </c>
      <c r="B1010" t="s">
        <v>1630</v>
      </c>
      <c r="C1010" t="s">
        <v>28</v>
      </c>
      <c r="D1010" t="s">
        <v>24</v>
      </c>
      <c r="E1010" t="s">
        <v>25</v>
      </c>
      <c r="F1010" t="s">
        <v>54</v>
      </c>
      <c r="G1010" t="s">
        <v>303</v>
      </c>
      <c r="H1010" t="s">
        <v>262</v>
      </c>
      <c r="I1010" t="s">
        <v>5</v>
      </c>
      <c r="J1010" t="s">
        <v>304</v>
      </c>
      <c r="K1010" t="s">
        <v>305</v>
      </c>
      <c r="L1010" t="s">
        <v>265</v>
      </c>
      <c r="M1010">
        <v>50</v>
      </c>
      <c r="N1010" t="b">
        <v>0</v>
      </c>
      <c r="O1010">
        <v>0.74879227053140085</v>
      </c>
      <c r="P1010">
        <v>0.80729166666666663</v>
      </c>
      <c r="Q1010">
        <v>0.69819819819819817</v>
      </c>
      <c r="R1010" t="s">
        <v>60</v>
      </c>
      <c r="S1010" t="s">
        <v>2446</v>
      </c>
      <c r="T1010" t="s">
        <v>2447</v>
      </c>
      <c r="U1010" t="b">
        <v>1</v>
      </c>
      <c r="V1010" t="s">
        <v>63</v>
      </c>
      <c r="W1010">
        <v>2</v>
      </c>
    </row>
    <row r="1011" spans="1:23" hidden="1" x14ac:dyDescent="0.3">
      <c r="A1011" t="s">
        <v>1629</v>
      </c>
      <c r="B1011" t="s">
        <v>1630</v>
      </c>
      <c r="C1011" t="s">
        <v>28</v>
      </c>
      <c r="D1011" t="s">
        <v>24</v>
      </c>
      <c r="E1011" t="s">
        <v>25</v>
      </c>
      <c r="F1011" t="s">
        <v>54</v>
      </c>
      <c r="G1011" t="s">
        <v>308</v>
      </c>
      <c r="H1011" t="s">
        <v>262</v>
      </c>
      <c r="I1011" t="s">
        <v>5</v>
      </c>
      <c r="J1011" t="s">
        <v>309</v>
      </c>
      <c r="K1011" t="s">
        <v>310</v>
      </c>
      <c r="L1011" t="s">
        <v>265</v>
      </c>
      <c r="M1011">
        <v>51</v>
      </c>
      <c r="N1011" t="b">
        <v>0</v>
      </c>
      <c r="O1011">
        <v>0.74285714285714288</v>
      </c>
      <c r="P1011">
        <v>0.72532188841201717</v>
      </c>
      <c r="Q1011">
        <v>0.76126126126126126</v>
      </c>
      <c r="R1011" t="s">
        <v>60</v>
      </c>
      <c r="S1011" t="s">
        <v>2448</v>
      </c>
      <c r="T1011" t="s">
        <v>2449</v>
      </c>
      <c r="U1011" t="b">
        <v>1</v>
      </c>
      <c r="V1011" t="s">
        <v>63</v>
      </c>
      <c r="W1011">
        <v>1.9</v>
      </c>
    </row>
    <row r="1012" spans="1:23" hidden="1" x14ac:dyDescent="0.3">
      <c r="A1012" t="s">
        <v>1629</v>
      </c>
      <c r="B1012" t="s">
        <v>1630</v>
      </c>
      <c r="C1012" t="s">
        <v>28</v>
      </c>
      <c r="D1012" t="s">
        <v>24</v>
      </c>
      <c r="E1012" t="s">
        <v>25</v>
      </c>
      <c r="F1012" t="s">
        <v>54</v>
      </c>
      <c r="G1012" t="s">
        <v>313</v>
      </c>
      <c r="H1012" t="s">
        <v>262</v>
      </c>
      <c r="I1012" t="s">
        <v>5</v>
      </c>
      <c r="J1012" t="s">
        <v>314</v>
      </c>
      <c r="K1012" t="s">
        <v>315</v>
      </c>
      <c r="L1012" t="s">
        <v>265</v>
      </c>
      <c r="M1012">
        <v>52</v>
      </c>
      <c r="N1012" t="b">
        <v>0</v>
      </c>
      <c r="O1012">
        <v>0.74939172749391725</v>
      </c>
      <c r="P1012">
        <v>0.81481481481481477</v>
      </c>
      <c r="Q1012">
        <v>0.69369369369369371</v>
      </c>
      <c r="R1012" t="s">
        <v>60</v>
      </c>
      <c r="S1012" t="s">
        <v>2450</v>
      </c>
      <c r="T1012" t="s">
        <v>2451</v>
      </c>
      <c r="U1012" t="b">
        <v>1</v>
      </c>
      <c r="V1012" t="s">
        <v>63</v>
      </c>
      <c r="W1012">
        <v>2.5</v>
      </c>
    </row>
    <row r="1013" spans="1:23" hidden="1" x14ac:dyDescent="0.3">
      <c r="A1013" t="s">
        <v>1629</v>
      </c>
      <c r="B1013" t="s">
        <v>1630</v>
      </c>
      <c r="C1013" t="s">
        <v>28</v>
      </c>
      <c r="D1013" t="s">
        <v>24</v>
      </c>
      <c r="E1013" t="s">
        <v>25</v>
      </c>
      <c r="F1013" t="s">
        <v>54</v>
      </c>
      <c r="G1013" t="s">
        <v>318</v>
      </c>
      <c r="H1013" t="s">
        <v>262</v>
      </c>
      <c r="I1013" t="s">
        <v>5</v>
      </c>
      <c r="J1013" t="s">
        <v>319</v>
      </c>
      <c r="K1013" t="s">
        <v>320</v>
      </c>
      <c r="L1013" t="s">
        <v>265</v>
      </c>
      <c r="M1013">
        <v>53</v>
      </c>
      <c r="N1013" t="b">
        <v>0</v>
      </c>
      <c r="O1013">
        <v>0.77391304347826084</v>
      </c>
      <c r="P1013">
        <v>0.74789915966386555</v>
      </c>
      <c r="Q1013">
        <v>0.80180180180180183</v>
      </c>
      <c r="R1013" t="s">
        <v>60</v>
      </c>
      <c r="S1013" t="s">
        <v>2452</v>
      </c>
      <c r="T1013" t="s">
        <v>2453</v>
      </c>
      <c r="U1013" t="b">
        <v>1</v>
      </c>
      <c r="V1013" t="s">
        <v>63</v>
      </c>
      <c r="W1013">
        <v>1.9</v>
      </c>
    </row>
    <row r="1014" spans="1:23" hidden="1" x14ac:dyDescent="0.3">
      <c r="A1014" t="s">
        <v>1629</v>
      </c>
      <c r="B1014" t="s">
        <v>1630</v>
      </c>
      <c r="C1014" t="s">
        <v>28</v>
      </c>
      <c r="D1014" t="s">
        <v>24</v>
      </c>
      <c r="E1014" t="s">
        <v>25</v>
      </c>
      <c r="F1014" t="s">
        <v>54</v>
      </c>
      <c r="G1014" t="s">
        <v>323</v>
      </c>
      <c r="H1014" t="s">
        <v>262</v>
      </c>
      <c r="I1014" t="s">
        <v>5</v>
      </c>
      <c r="J1014" t="s">
        <v>324</v>
      </c>
      <c r="K1014" t="s">
        <v>325</v>
      </c>
      <c r="L1014" t="s">
        <v>265</v>
      </c>
      <c r="M1014">
        <v>54</v>
      </c>
      <c r="N1014" t="b">
        <v>0</v>
      </c>
      <c r="O1014">
        <v>0.74458874458874458</v>
      </c>
      <c r="P1014">
        <v>0.71666666666666667</v>
      </c>
      <c r="Q1014">
        <v>0.77477477477477474</v>
      </c>
      <c r="R1014" t="s">
        <v>60</v>
      </c>
      <c r="S1014" t="s">
        <v>2454</v>
      </c>
      <c r="T1014" t="s">
        <v>2455</v>
      </c>
      <c r="U1014" t="b">
        <v>1</v>
      </c>
      <c r="V1014" t="s">
        <v>63</v>
      </c>
      <c r="W1014">
        <v>2</v>
      </c>
    </row>
    <row r="1015" spans="1:23" hidden="1" x14ac:dyDescent="0.3">
      <c r="A1015" t="s">
        <v>1629</v>
      </c>
      <c r="B1015" t="s">
        <v>1630</v>
      </c>
      <c r="C1015" t="s">
        <v>28</v>
      </c>
      <c r="D1015" t="s">
        <v>24</v>
      </c>
      <c r="E1015" t="s">
        <v>25</v>
      </c>
      <c r="F1015" t="s">
        <v>54</v>
      </c>
      <c r="G1015" t="s">
        <v>328</v>
      </c>
      <c r="H1015" t="s">
        <v>262</v>
      </c>
      <c r="I1015" t="s">
        <v>5</v>
      </c>
      <c r="J1015" t="s">
        <v>329</v>
      </c>
      <c r="K1015" t="s">
        <v>330</v>
      </c>
      <c r="L1015" t="s">
        <v>265</v>
      </c>
      <c r="M1015">
        <v>55</v>
      </c>
      <c r="N1015" t="b">
        <v>0</v>
      </c>
      <c r="O1015">
        <v>0.73933649289099523</v>
      </c>
      <c r="P1015">
        <v>0.78</v>
      </c>
      <c r="Q1015">
        <v>0.70270270270270274</v>
      </c>
      <c r="R1015" t="s">
        <v>60</v>
      </c>
      <c r="S1015" t="s">
        <v>2456</v>
      </c>
      <c r="T1015" t="s">
        <v>2457</v>
      </c>
      <c r="U1015" t="b">
        <v>1</v>
      </c>
      <c r="V1015" t="s">
        <v>63</v>
      </c>
      <c r="W1015">
        <v>1.9</v>
      </c>
    </row>
    <row r="1016" spans="1:23" hidden="1" x14ac:dyDescent="0.3">
      <c r="A1016" t="s">
        <v>1629</v>
      </c>
      <c r="B1016" t="s">
        <v>1630</v>
      </c>
      <c r="C1016" t="s">
        <v>28</v>
      </c>
      <c r="D1016" t="s">
        <v>24</v>
      </c>
      <c r="E1016" t="s">
        <v>25</v>
      </c>
      <c r="F1016" t="s">
        <v>54</v>
      </c>
      <c r="G1016" t="s">
        <v>333</v>
      </c>
      <c r="H1016" t="s">
        <v>262</v>
      </c>
      <c r="I1016" t="s">
        <v>5</v>
      </c>
      <c r="J1016" t="s">
        <v>334</v>
      </c>
      <c r="K1016" t="s">
        <v>335</v>
      </c>
      <c r="L1016" t="s">
        <v>265</v>
      </c>
      <c r="M1016">
        <v>56</v>
      </c>
      <c r="N1016" t="b">
        <v>0</v>
      </c>
      <c r="O1016">
        <v>0.72807017543859653</v>
      </c>
      <c r="P1016">
        <v>0.70940170940170943</v>
      </c>
      <c r="Q1016">
        <v>0.74774774774774777</v>
      </c>
      <c r="R1016" t="s">
        <v>60</v>
      </c>
      <c r="S1016" t="s">
        <v>2458</v>
      </c>
      <c r="T1016" t="s">
        <v>2459</v>
      </c>
      <c r="U1016" t="b">
        <v>1</v>
      </c>
      <c r="V1016" t="s">
        <v>63</v>
      </c>
      <c r="W1016">
        <v>2.2999999999999998</v>
      </c>
    </row>
    <row r="1017" spans="1:23" hidden="1" x14ac:dyDescent="0.3">
      <c r="A1017" t="s">
        <v>1629</v>
      </c>
      <c r="B1017" t="s">
        <v>1630</v>
      </c>
      <c r="C1017" t="s">
        <v>28</v>
      </c>
      <c r="D1017" t="s">
        <v>24</v>
      </c>
      <c r="E1017" t="s">
        <v>25</v>
      </c>
      <c r="F1017" t="s">
        <v>54</v>
      </c>
      <c r="G1017" t="s">
        <v>338</v>
      </c>
      <c r="H1017" t="s">
        <v>262</v>
      </c>
      <c r="I1017" t="s">
        <v>5</v>
      </c>
      <c r="J1017" t="s">
        <v>339</v>
      </c>
      <c r="K1017" t="s">
        <v>340</v>
      </c>
      <c r="L1017" t="s">
        <v>265</v>
      </c>
      <c r="M1017">
        <v>57</v>
      </c>
      <c r="N1017" t="b">
        <v>0</v>
      </c>
      <c r="O1017">
        <v>0.73434125269978412</v>
      </c>
      <c r="P1017">
        <v>0.70539419087136934</v>
      </c>
      <c r="Q1017">
        <v>0.76576576576576572</v>
      </c>
      <c r="R1017" t="s">
        <v>60</v>
      </c>
      <c r="S1017" t="s">
        <v>2460</v>
      </c>
      <c r="T1017" t="s">
        <v>2461</v>
      </c>
      <c r="U1017" t="b">
        <v>1</v>
      </c>
      <c r="V1017" t="s">
        <v>63</v>
      </c>
      <c r="W1017">
        <v>1.9</v>
      </c>
    </row>
    <row r="1018" spans="1:23" hidden="1" x14ac:dyDescent="0.3">
      <c r="A1018" t="s">
        <v>1629</v>
      </c>
      <c r="B1018" t="s">
        <v>1630</v>
      </c>
      <c r="C1018" t="s">
        <v>28</v>
      </c>
      <c r="D1018" t="s">
        <v>24</v>
      </c>
      <c r="E1018" t="s">
        <v>25</v>
      </c>
      <c r="F1018" t="s">
        <v>54</v>
      </c>
      <c r="G1018" t="s">
        <v>343</v>
      </c>
      <c r="H1018" t="s">
        <v>262</v>
      </c>
      <c r="I1018" t="s">
        <v>5</v>
      </c>
      <c r="J1018" t="s">
        <v>344</v>
      </c>
      <c r="K1018" t="s">
        <v>345</v>
      </c>
      <c r="L1018" t="s">
        <v>265</v>
      </c>
      <c r="M1018">
        <v>58</v>
      </c>
      <c r="N1018" t="b">
        <v>0</v>
      </c>
      <c r="O1018">
        <v>0.73638344226579511</v>
      </c>
      <c r="P1018">
        <v>0.71308016877637126</v>
      </c>
      <c r="Q1018">
        <v>0.76126126126126126</v>
      </c>
      <c r="R1018" t="s">
        <v>60</v>
      </c>
      <c r="S1018" t="s">
        <v>2462</v>
      </c>
      <c r="T1018" t="s">
        <v>2463</v>
      </c>
      <c r="U1018" t="b">
        <v>1</v>
      </c>
      <c r="V1018" t="s">
        <v>63</v>
      </c>
      <c r="W1018">
        <v>2.2999999999999998</v>
      </c>
    </row>
    <row r="1019" spans="1:23" hidden="1" x14ac:dyDescent="0.3">
      <c r="A1019" t="s">
        <v>1629</v>
      </c>
      <c r="B1019" t="s">
        <v>1630</v>
      </c>
      <c r="C1019" t="s">
        <v>28</v>
      </c>
      <c r="D1019" t="s">
        <v>24</v>
      </c>
      <c r="E1019" t="s">
        <v>25</v>
      </c>
      <c r="F1019" t="s">
        <v>54</v>
      </c>
      <c r="G1019" t="s">
        <v>348</v>
      </c>
      <c r="H1019" t="s">
        <v>262</v>
      </c>
      <c r="I1019" t="s">
        <v>5</v>
      </c>
      <c r="J1019" t="s">
        <v>349</v>
      </c>
      <c r="K1019" t="s">
        <v>350</v>
      </c>
      <c r="L1019" t="s">
        <v>265</v>
      </c>
      <c r="M1019">
        <v>59</v>
      </c>
      <c r="N1019" t="b">
        <v>0</v>
      </c>
      <c r="O1019">
        <v>0.73245614035087725</v>
      </c>
      <c r="P1019">
        <v>0.71367521367521369</v>
      </c>
      <c r="Q1019">
        <v>0.75225225225225223</v>
      </c>
      <c r="R1019" t="s">
        <v>60</v>
      </c>
      <c r="S1019" t="s">
        <v>2464</v>
      </c>
      <c r="T1019" t="s">
        <v>2465</v>
      </c>
      <c r="U1019" t="b">
        <v>1</v>
      </c>
      <c r="V1019" t="s">
        <v>63</v>
      </c>
      <c r="W1019">
        <v>2</v>
      </c>
    </row>
    <row r="1020" spans="1:23" hidden="1" x14ac:dyDescent="0.3">
      <c r="A1020" t="s">
        <v>1629</v>
      </c>
      <c r="B1020" t="s">
        <v>1630</v>
      </c>
      <c r="C1020" t="s">
        <v>28</v>
      </c>
      <c r="D1020" t="s">
        <v>24</v>
      </c>
      <c r="E1020" t="s">
        <v>25</v>
      </c>
      <c r="F1020" t="s">
        <v>54</v>
      </c>
      <c r="G1020" t="s">
        <v>353</v>
      </c>
      <c r="H1020" t="s">
        <v>262</v>
      </c>
      <c r="I1020" t="s">
        <v>5</v>
      </c>
      <c r="J1020" t="s">
        <v>354</v>
      </c>
      <c r="K1020" t="s">
        <v>355</v>
      </c>
      <c r="L1020" t="s">
        <v>265</v>
      </c>
      <c r="M1020">
        <v>60</v>
      </c>
      <c r="N1020" t="b">
        <v>0</v>
      </c>
      <c r="O1020">
        <v>0.72608695652173905</v>
      </c>
      <c r="P1020">
        <v>0.70168067226890751</v>
      </c>
      <c r="Q1020">
        <v>0.75225225225225223</v>
      </c>
      <c r="R1020" t="s">
        <v>60</v>
      </c>
      <c r="S1020" t="s">
        <v>2466</v>
      </c>
      <c r="T1020" t="s">
        <v>2467</v>
      </c>
      <c r="U1020" t="b">
        <v>1</v>
      </c>
      <c r="V1020" t="s">
        <v>63</v>
      </c>
      <c r="W1020">
        <v>2.4</v>
      </c>
    </row>
    <row r="1021" spans="1:23" hidden="1" x14ac:dyDescent="0.3">
      <c r="A1021" t="s">
        <v>1629</v>
      </c>
      <c r="B1021" t="s">
        <v>1630</v>
      </c>
      <c r="C1021" t="s">
        <v>28</v>
      </c>
      <c r="D1021" t="s">
        <v>24</v>
      </c>
      <c r="E1021" t="s">
        <v>25</v>
      </c>
      <c r="F1021" t="s">
        <v>54</v>
      </c>
      <c r="G1021" t="s">
        <v>358</v>
      </c>
      <c r="H1021" t="s">
        <v>262</v>
      </c>
      <c r="I1021" t="s">
        <v>5</v>
      </c>
      <c r="J1021" t="s">
        <v>359</v>
      </c>
      <c r="K1021" t="s">
        <v>360</v>
      </c>
      <c r="L1021" t="s">
        <v>265</v>
      </c>
      <c r="M1021">
        <v>61</v>
      </c>
      <c r="N1021" t="b">
        <v>0</v>
      </c>
      <c r="O1021">
        <v>0.7316017316017317</v>
      </c>
      <c r="P1021">
        <v>0.70416666666666672</v>
      </c>
      <c r="Q1021">
        <v>0.76126126126126126</v>
      </c>
      <c r="R1021" t="s">
        <v>60</v>
      </c>
      <c r="S1021" t="s">
        <v>2468</v>
      </c>
      <c r="T1021" t="s">
        <v>2469</v>
      </c>
      <c r="U1021" t="b">
        <v>1</v>
      </c>
      <c r="V1021" t="s">
        <v>63</v>
      </c>
      <c r="W1021">
        <v>1.8</v>
      </c>
    </row>
    <row r="1022" spans="1:23" hidden="1" x14ac:dyDescent="0.3">
      <c r="A1022" t="s">
        <v>1629</v>
      </c>
      <c r="B1022" t="s">
        <v>1630</v>
      </c>
      <c r="C1022" t="s">
        <v>28</v>
      </c>
      <c r="D1022" t="s">
        <v>24</v>
      </c>
      <c r="E1022" t="s">
        <v>25</v>
      </c>
      <c r="F1022" t="s">
        <v>363</v>
      </c>
      <c r="G1022" t="s">
        <v>364</v>
      </c>
      <c r="H1022" t="s">
        <v>365</v>
      </c>
      <c r="I1022" t="s">
        <v>13</v>
      </c>
      <c r="J1022" t="s">
        <v>366</v>
      </c>
      <c r="K1022" t="s">
        <v>367</v>
      </c>
      <c r="L1022" t="s">
        <v>368</v>
      </c>
      <c r="M1022">
        <v>42</v>
      </c>
      <c r="N1022" t="b">
        <v>0</v>
      </c>
      <c r="O1022">
        <v>0.81573498964803304</v>
      </c>
      <c r="P1022">
        <v>0.77865612648221338</v>
      </c>
      <c r="Q1022">
        <v>0.85652173913043483</v>
      </c>
      <c r="R1022" t="s">
        <v>60</v>
      </c>
      <c r="S1022" t="s">
        <v>2470</v>
      </c>
      <c r="T1022" t="s">
        <v>2471</v>
      </c>
      <c r="U1022" t="b">
        <v>1</v>
      </c>
      <c r="V1022" t="s">
        <v>63</v>
      </c>
      <c r="W1022">
        <v>2.4</v>
      </c>
    </row>
    <row r="1023" spans="1:23" hidden="1" x14ac:dyDescent="0.3">
      <c r="A1023" t="s">
        <v>1629</v>
      </c>
      <c r="B1023" t="s">
        <v>1630</v>
      </c>
      <c r="C1023" t="s">
        <v>28</v>
      </c>
      <c r="D1023" t="s">
        <v>24</v>
      </c>
      <c r="E1023" t="s">
        <v>25</v>
      </c>
      <c r="F1023" t="s">
        <v>363</v>
      </c>
      <c r="G1023" t="s">
        <v>371</v>
      </c>
      <c r="H1023" t="s">
        <v>365</v>
      </c>
      <c r="I1023" t="s">
        <v>13</v>
      </c>
      <c r="J1023" t="s">
        <v>372</v>
      </c>
      <c r="K1023" t="s">
        <v>373</v>
      </c>
      <c r="L1023" t="s">
        <v>368</v>
      </c>
      <c r="M1023">
        <v>43</v>
      </c>
      <c r="N1023" t="b">
        <v>0</v>
      </c>
      <c r="O1023">
        <v>0.83817427385892118</v>
      </c>
      <c r="P1023">
        <v>0.80158730158730163</v>
      </c>
      <c r="Q1023">
        <v>0.87826086956521743</v>
      </c>
      <c r="R1023" t="s">
        <v>60</v>
      </c>
      <c r="S1023" t="s">
        <v>2472</v>
      </c>
      <c r="T1023" t="s">
        <v>2473</v>
      </c>
      <c r="U1023" t="b">
        <v>1</v>
      </c>
      <c r="V1023" t="s">
        <v>63</v>
      </c>
      <c r="W1023">
        <v>2</v>
      </c>
    </row>
    <row r="1024" spans="1:23" hidden="1" x14ac:dyDescent="0.3">
      <c r="A1024" t="s">
        <v>1629</v>
      </c>
      <c r="B1024" t="s">
        <v>1630</v>
      </c>
      <c r="C1024" t="s">
        <v>28</v>
      </c>
      <c r="D1024" t="s">
        <v>24</v>
      </c>
      <c r="E1024" t="s">
        <v>25</v>
      </c>
      <c r="F1024" t="s">
        <v>363</v>
      </c>
      <c r="G1024" t="s">
        <v>376</v>
      </c>
      <c r="H1024" t="s">
        <v>365</v>
      </c>
      <c r="I1024" t="s">
        <v>13</v>
      </c>
      <c r="J1024" t="s">
        <v>377</v>
      </c>
      <c r="K1024" t="s">
        <v>378</v>
      </c>
      <c r="L1024" t="s">
        <v>368</v>
      </c>
      <c r="M1024">
        <v>44</v>
      </c>
      <c r="N1024" t="b">
        <v>0</v>
      </c>
      <c r="O1024">
        <v>0.84123711340206186</v>
      </c>
      <c r="P1024">
        <v>0.8</v>
      </c>
      <c r="Q1024">
        <v>0.88695652173913042</v>
      </c>
      <c r="R1024" t="s">
        <v>60</v>
      </c>
      <c r="S1024" t="s">
        <v>2474</v>
      </c>
      <c r="T1024" t="s">
        <v>2475</v>
      </c>
      <c r="U1024" t="b">
        <v>1</v>
      </c>
      <c r="V1024" t="s">
        <v>63</v>
      </c>
      <c r="W1024">
        <v>2</v>
      </c>
    </row>
    <row r="1025" spans="1:23" hidden="1" x14ac:dyDescent="0.3">
      <c r="A1025" t="s">
        <v>1629</v>
      </c>
      <c r="B1025" t="s">
        <v>1630</v>
      </c>
      <c r="C1025" t="s">
        <v>28</v>
      </c>
      <c r="D1025" t="s">
        <v>24</v>
      </c>
      <c r="E1025" t="s">
        <v>25</v>
      </c>
      <c r="F1025" t="s">
        <v>363</v>
      </c>
      <c r="G1025" t="s">
        <v>381</v>
      </c>
      <c r="H1025" t="s">
        <v>365</v>
      </c>
      <c r="I1025" t="s">
        <v>13</v>
      </c>
      <c r="J1025" t="s">
        <v>382</v>
      </c>
      <c r="K1025" t="s">
        <v>383</v>
      </c>
      <c r="L1025" t="s">
        <v>368</v>
      </c>
      <c r="M1025">
        <v>45</v>
      </c>
      <c r="N1025" t="b">
        <v>0</v>
      </c>
      <c r="O1025">
        <v>0.85416666666666663</v>
      </c>
      <c r="P1025">
        <v>0.82</v>
      </c>
      <c r="Q1025">
        <v>0.89130434782608692</v>
      </c>
      <c r="R1025" t="s">
        <v>60</v>
      </c>
      <c r="S1025" t="s">
        <v>2476</v>
      </c>
      <c r="T1025" t="s">
        <v>2477</v>
      </c>
      <c r="U1025" t="b">
        <v>1</v>
      </c>
      <c r="V1025" t="s">
        <v>63</v>
      </c>
      <c r="W1025">
        <v>2.5</v>
      </c>
    </row>
    <row r="1026" spans="1:23" hidden="1" x14ac:dyDescent="0.3">
      <c r="A1026" t="s">
        <v>1629</v>
      </c>
      <c r="B1026" t="s">
        <v>1630</v>
      </c>
      <c r="C1026" t="s">
        <v>28</v>
      </c>
      <c r="D1026" t="s">
        <v>24</v>
      </c>
      <c r="E1026" t="s">
        <v>25</v>
      </c>
      <c r="F1026" t="s">
        <v>363</v>
      </c>
      <c r="G1026" t="s">
        <v>386</v>
      </c>
      <c r="H1026" t="s">
        <v>365</v>
      </c>
      <c r="I1026" t="s">
        <v>13</v>
      </c>
      <c r="J1026" t="s">
        <v>387</v>
      </c>
      <c r="K1026" t="s">
        <v>388</v>
      </c>
      <c r="L1026" t="s">
        <v>368</v>
      </c>
      <c r="M1026">
        <v>46</v>
      </c>
      <c r="N1026" t="b">
        <v>0</v>
      </c>
      <c r="O1026">
        <v>0.83229813664596275</v>
      </c>
      <c r="P1026">
        <v>0.7944664031620553</v>
      </c>
      <c r="Q1026">
        <v>0.87391304347826082</v>
      </c>
      <c r="R1026" t="s">
        <v>60</v>
      </c>
      <c r="S1026" t="s">
        <v>2478</v>
      </c>
      <c r="T1026" t="s">
        <v>2479</v>
      </c>
      <c r="U1026" t="b">
        <v>1</v>
      </c>
      <c r="V1026" t="s">
        <v>63</v>
      </c>
      <c r="W1026">
        <v>2.1</v>
      </c>
    </row>
    <row r="1027" spans="1:23" hidden="1" x14ac:dyDescent="0.3">
      <c r="A1027" t="s">
        <v>1629</v>
      </c>
      <c r="B1027" t="s">
        <v>1630</v>
      </c>
      <c r="C1027" t="s">
        <v>28</v>
      </c>
      <c r="D1027" t="s">
        <v>24</v>
      </c>
      <c r="E1027" t="s">
        <v>25</v>
      </c>
      <c r="F1027" t="s">
        <v>363</v>
      </c>
      <c r="G1027" t="s">
        <v>391</v>
      </c>
      <c r="H1027" t="s">
        <v>365</v>
      </c>
      <c r="I1027" t="s">
        <v>13</v>
      </c>
      <c r="J1027" t="s">
        <v>392</v>
      </c>
      <c r="K1027" t="s">
        <v>393</v>
      </c>
      <c r="L1027" t="s">
        <v>368</v>
      </c>
      <c r="M1027">
        <v>47</v>
      </c>
      <c r="N1027" t="b">
        <v>0</v>
      </c>
      <c r="O1027">
        <v>0.83991683991683985</v>
      </c>
      <c r="P1027">
        <v>0.80478087649402386</v>
      </c>
      <c r="Q1027">
        <v>0.87826086956521743</v>
      </c>
      <c r="R1027" t="s">
        <v>60</v>
      </c>
      <c r="S1027" t="s">
        <v>2480</v>
      </c>
      <c r="T1027" t="s">
        <v>2481</v>
      </c>
      <c r="U1027" t="b">
        <v>1</v>
      </c>
      <c r="V1027" t="s">
        <v>63</v>
      </c>
      <c r="W1027">
        <v>2</v>
      </c>
    </row>
    <row r="1028" spans="1:23" hidden="1" x14ac:dyDescent="0.3">
      <c r="A1028" t="s">
        <v>1629</v>
      </c>
      <c r="B1028" t="s">
        <v>1630</v>
      </c>
      <c r="C1028" t="s">
        <v>28</v>
      </c>
      <c r="D1028" t="s">
        <v>24</v>
      </c>
      <c r="E1028" t="s">
        <v>25</v>
      </c>
      <c r="F1028" t="s">
        <v>363</v>
      </c>
      <c r="G1028" t="s">
        <v>396</v>
      </c>
      <c r="H1028" t="s">
        <v>365</v>
      </c>
      <c r="I1028" t="s">
        <v>13</v>
      </c>
      <c r="J1028" t="s">
        <v>397</v>
      </c>
      <c r="K1028" t="s">
        <v>398</v>
      </c>
      <c r="L1028" t="s">
        <v>368</v>
      </c>
      <c r="M1028">
        <v>48</v>
      </c>
      <c r="N1028" t="b">
        <v>0</v>
      </c>
      <c r="O1028">
        <v>0.84166666666666667</v>
      </c>
      <c r="P1028">
        <v>0.80800000000000005</v>
      </c>
      <c r="Q1028">
        <v>0.87826086956521743</v>
      </c>
      <c r="R1028" t="s">
        <v>60</v>
      </c>
      <c r="S1028" t="s">
        <v>2482</v>
      </c>
      <c r="T1028" t="s">
        <v>2483</v>
      </c>
      <c r="U1028" t="b">
        <v>1</v>
      </c>
      <c r="V1028" t="s">
        <v>63</v>
      </c>
      <c r="W1028">
        <v>2.5</v>
      </c>
    </row>
    <row r="1029" spans="1:23" hidden="1" x14ac:dyDescent="0.3">
      <c r="A1029" t="s">
        <v>1629</v>
      </c>
      <c r="B1029" t="s">
        <v>1630</v>
      </c>
      <c r="C1029" t="s">
        <v>28</v>
      </c>
      <c r="D1029" t="s">
        <v>24</v>
      </c>
      <c r="E1029" t="s">
        <v>25</v>
      </c>
      <c r="F1029" t="s">
        <v>363</v>
      </c>
      <c r="G1029" t="s">
        <v>401</v>
      </c>
      <c r="H1029" t="s">
        <v>365</v>
      </c>
      <c r="I1029" t="s">
        <v>13</v>
      </c>
      <c r="J1029" t="s">
        <v>402</v>
      </c>
      <c r="K1029" t="s">
        <v>403</v>
      </c>
      <c r="L1029" t="s">
        <v>368</v>
      </c>
      <c r="M1029">
        <v>49</v>
      </c>
      <c r="N1029" t="b">
        <v>0</v>
      </c>
      <c r="O1029">
        <v>0.84166666666666667</v>
      </c>
      <c r="P1029">
        <v>0.80800000000000005</v>
      </c>
      <c r="Q1029">
        <v>0.87826086956521743</v>
      </c>
      <c r="R1029" t="s">
        <v>60</v>
      </c>
      <c r="S1029" t="s">
        <v>2484</v>
      </c>
      <c r="T1029" t="s">
        <v>2485</v>
      </c>
      <c r="U1029" t="b">
        <v>1</v>
      </c>
      <c r="V1029" t="s">
        <v>63</v>
      </c>
      <c r="W1029">
        <v>2.1</v>
      </c>
    </row>
    <row r="1030" spans="1:23" hidden="1" x14ac:dyDescent="0.3">
      <c r="A1030" t="s">
        <v>1629</v>
      </c>
      <c r="B1030" t="s">
        <v>1630</v>
      </c>
      <c r="C1030" t="s">
        <v>28</v>
      </c>
      <c r="D1030" t="s">
        <v>24</v>
      </c>
      <c r="E1030" t="s">
        <v>25</v>
      </c>
      <c r="F1030" t="s">
        <v>363</v>
      </c>
      <c r="G1030" t="s">
        <v>406</v>
      </c>
      <c r="H1030" t="s">
        <v>365</v>
      </c>
      <c r="I1030" t="s">
        <v>13</v>
      </c>
      <c r="J1030" t="s">
        <v>407</v>
      </c>
      <c r="K1030" t="s">
        <v>408</v>
      </c>
      <c r="L1030" t="s">
        <v>368</v>
      </c>
      <c r="M1030">
        <v>50</v>
      </c>
      <c r="N1030" t="b">
        <v>0</v>
      </c>
      <c r="O1030">
        <v>0.83507306889352806</v>
      </c>
      <c r="P1030">
        <v>0.80321285140562249</v>
      </c>
      <c r="Q1030">
        <v>0.86956521739130432</v>
      </c>
      <c r="R1030" t="s">
        <v>60</v>
      </c>
      <c r="S1030" t="s">
        <v>2486</v>
      </c>
      <c r="T1030" t="s">
        <v>2487</v>
      </c>
      <c r="U1030" t="b">
        <v>1</v>
      </c>
      <c r="V1030" t="s">
        <v>63</v>
      </c>
      <c r="W1030">
        <v>2.5</v>
      </c>
    </row>
    <row r="1031" spans="1:23" hidden="1" x14ac:dyDescent="0.3">
      <c r="A1031" t="s">
        <v>1629</v>
      </c>
      <c r="B1031" t="s">
        <v>1630</v>
      </c>
      <c r="C1031" t="s">
        <v>28</v>
      </c>
      <c r="D1031" t="s">
        <v>24</v>
      </c>
      <c r="E1031" t="s">
        <v>25</v>
      </c>
      <c r="F1031" t="s">
        <v>363</v>
      </c>
      <c r="G1031" t="s">
        <v>411</v>
      </c>
      <c r="H1031" t="s">
        <v>365</v>
      </c>
      <c r="I1031" t="s">
        <v>13</v>
      </c>
      <c r="J1031" t="s">
        <v>412</v>
      </c>
      <c r="K1031" t="s">
        <v>413</v>
      </c>
      <c r="L1031" t="s">
        <v>368</v>
      </c>
      <c r="M1031">
        <v>51</v>
      </c>
      <c r="N1031" t="b">
        <v>0</v>
      </c>
      <c r="O1031">
        <v>0.8340248962655602</v>
      </c>
      <c r="P1031">
        <v>0.79761904761904767</v>
      </c>
      <c r="Q1031">
        <v>0.87391304347826082</v>
      </c>
      <c r="R1031" t="s">
        <v>60</v>
      </c>
      <c r="S1031" t="s">
        <v>2488</v>
      </c>
      <c r="T1031" t="s">
        <v>2489</v>
      </c>
      <c r="U1031" t="b">
        <v>1</v>
      </c>
      <c r="V1031" t="s">
        <v>63</v>
      </c>
      <c r="W1031">
        <v>2.1</v>
      </c>
    </row>
    <row r="1032" spans="1:23" hidden="1" x14ac:dyDescent="0.3">
      <c r="A1032" t="s">
        <v>1629</v>
      </c>
      <c r="B1032" t="s">
        <v>1630</v>
      </c>
      <c r="C1032" t="s">
        <v>28</v>
      </c>
      <c r="D1032" t="s">
        <v>24</v>
      </c>
      <c r="E1032" t="s">
        <v>25</v>
      </c>
      <c r="F1032" t="s">
        <v>363</v>
      </c>
      <c r="G1032" t="s">
        <v>416</v>
      </c>
      <c r="H1032" t="s">
        <v>365</v>
      </c>
      <c r="I1032" t="s">
        <v>13</v>
      </c>
      <c r="J1032" t="s">
        <v>417</v>
      </c>
      <c r="K1032" t="s">
        <v>418</v>
      </c>
      <c r="L1032" t="s">
        <v>368</v>
      </c>
      <c r="M1032">
        <v>52</v>
      </c>
      <c r="N1032" t="b">
        <v>0</v>
      </c>
      <c r="O1032">
        <v>0.83817427385892118</v>
      </c>
      <c r="P1032">
        <v>0.80158730158730163</v>
      </c>
      <c r="Q1032">
        <v>0.87826086956521743</v>
      </c>
      <c r="R1032" t="s">
        <v>60</v>
      </c>
      <c r="S1032" t="s">
        <v>2490</v>
      </c>
      <c r="T1032" t="s">
        <v>2491</v>
      </c>
      <c r="U1032" t="b">
        <v>1</v>
      </c>
      <c r="V1032" t="s">
        <v>63</v>
      </c>
      <c r="W1032">
        <v>2.1</v>
      </c>
    </row>
    <row r="1033" spans="1:23" hidden="1" x14ac:dyDescent="0.3">
      <c r="A1033" t="s">
        <v>1629</v>
      </c>
      <c r="B1033" t="s">
        <v>1630</v>
      </c>
      <c r="C1033" t="s">
        <v>28</v>
      </c>
      <c r="D1033" t="s">
        <v>24</v>
      </c>
      <c r="E1033" t="s">
        <v>25</v>
      </c>
      <c r="F1033" t="s">
        <v>363</v>
      </c>
      <c r="G1033" t="s">
        <v>421</v>
      </c>
      <c r="H1033" t="s">
        <v>365</v>
      </c>
      <c r="I1033" t="s">
        <v>13</v>
      </c>
      <c r="J1033" t="s">
        <v>422</v>
      </c>
      <c r="K1033" t="s">
        <v>423</v>
      </c>
      <c r="L1033" t="s">
        <v>368</v>
      </c>
      <c r="M1033">
        <v>53</v>
      </c>
      <c r="N1033" t="b">
        <v>0</v>
      </c>
      <c r="O1033">
        <v>0.83575883575883581</v>
      </c>
      <c r="P1033">
        <v>0.80079681274900394</v>
      </c>
      <c r="Q1033">
        <v>0.87391304347826082</v>
      </c>
      <c r="R1033" t="s">
        <v>60</v>
      </c>
      <c r="S1033" t="s">
        <v>2492</v>
      </c>
      <c r="T1033" t="s">
        <v>2493</v>
      </c>
      <c r="U1033" t="b">
        <v>1</v>
      </c>
      <c r="V1033" t="s">
        <v>63</v>
      </c>
      <c r="W1033">
        <v>2.1</v>
      </c>
    </row>
    <row r="1034" spans="1:23" hidden="1" x14ac:dyDescent="0.3">
      <c r="A1034" t="s">
        <v>1629</v>
      </c>
      <c r="B1034" t="s">
        <v>1630</v>
      </c>
      <c r="C1034" t="s">
        <v>28</v>
      </c>
      <c r="D1034" t="s">
        <v>24</v>
      </c>
      <c r="E1034" t="s">
        <v>25</v>
      </c>
      <c r="F1034" t="s">
        <v>363</v>
      </c>
      <c r="G1034" t="s">
        <v>426</v>
      </c>
      <c r="H1034" t="s">
        <v>365</v>
      </c>
      <c r="I1034" t="s">
        <v>13</v>
      </c>
      <c r="J1034" t="s">
        <v>427</v>
      </c>
      <c r="K1034" t="s">
        <v>428</v>
      </c>
      <c r="L1034" t="s">
        <v>368</v>
      </c>
      <c r="M1034">
        <v>54</v>
      </c>
      <c r="N1034" t="b">
        <v>0</v>
      </c>
      <c r="O1034">
        <v>0.84647302904564314</v>
      </c>
      <c r="P1034">
        <v>0.80952380952380953</v>
      </c>
      <c r="Q1034">
        <v>0.88695652173913042</v>
      </c>
      <c r="R1034" t="s">
        <v>60</v>
      </c>
      <c r="S1034" t="s">
        <v>2494</v>
      </c>
      <c r="T1034" t="s">
        <v>2495</v>
      </c>
      <c r="U1034" t="b">
        <v>1</v>
      </c>
      <c r="V1034" t="s">
        <v>63</v>
      </c>
      <c r="W1034">
        <v>2.2999999999999998</v>
      </c>
    </row>
    <row r="1035" spans="1:23" hidden="1" x14ac:dyDescent="0.3">
      <c r="A1035" t="s">
        <v>1629</v>
      </c>
      <c r="B1035" t="s">
        <v>1630</v>
      </c>
      <c r="C1035" t="s">
        <v>28</v>
      </c>
      <c r="D1035" t="s">
        <v>24</v>
      </c>
      <c r="E1035" t="s">
        <v>25</v>
      </c>
      <c r="F1035" t="s">
        <v>363</v>
      </c>
      <c r="G1035" t="s">
        <v>431</v>
      </c>
      <c r="H1035" t="s">
        <v>365</v>
      </c>
      <c r="I1035" t="s">
        <v>13</v>
      </c>
      <c r="J1035" t="s">
        <v>432</v>
      </c>
      <c r="K1035" t="s">
        <v>433</v>
      </c>
      <c r="L1035" t="s">
        <v>368</v>
      </c>
      <c r="M1035">
        <v>55</v>
      </c>
      <c r="N1035" t="b">
        <v>0</v>
      </c>
      <c r="O1035">
        <v>0.8340248962655602</v>
      </c>
      <c r="P1035">
        <v>0.79761904761904767</v>
      </c>
      <c r="Q1035">
        <v>0.87391304347826082</v>
      </c>
      <c r="R1035" t="s">
        <v>60</v>
      </c>
      <c r="S1035" t="s">
        <v>2496</v>
      </c>
      <c r="T1035" t="s">
        <v>2497</v>
      </c>
      <c r="U1035" t="b">
        <v>1</v>
      </c>
      <c r="V1035" t="s">
        <v>63</v>
      </c>
      <c r="W1035">
        <v>1.9</v>
      </c>
    </row>
    <row r="1036" spans="1:23" hidden="1" x14ac:dyDescent="0.3">
      <c r="A1036" t="s">
        <v>1629</v>
      </c>
      <c r="B1036" t="s">
        <v>1630</v>
      </c>
      <c r="C1036" t="s">
        <v>28</v>
      </c>
      <c r="D1036" t="s">
        <v>24</v>
      </c>
      <c r="E1036" t="s">
        <v>25</v>
      </c>
      <c r="F1036" t="s">
        <v>363</v>
      </c>
      <c r="G1036" t="s">
        <v>436</v>
      </c>
      <c r="H1036" t="s">
        <v>365</v>
      </c>
      <c r="I1036" t="s">
        <v>13</v>
      </c>
      <c r="J1036" t="s">
        <v>437</v>
      </c>
      <c r="K1036" t="s">
        <v>438</v>
      </c>
      <c r="L1036" t="s">
        <v>368</v>
      </c>
      <c r="M1036">
        <v>56</v>
      </c>
      <c r="N1036" t="b">
        <v>0</v>
      </c>
      <c r="O1036">
        <v>0.83507306889352806</v>
      </c>
      <c r="P1036">
        <v>0.80321285140562249</v>
      </c>
      <c r="Q1036">
        <v>0.86956521739130432</v>
      </c>
      <c r="R1036" t="s">
        <v>60</v>
      </c>
      <c r="S1036" t="s">
        <v>2498</v>
      </c>
      <c r="T1036" t="s">
        <v>2499</v>
      </c>
      <c r="U1036" t="b">
        <v>1</v>
      </c>
      <c r="V1036" t="s">
        <v>63</v>
      </c>
      <c r="W1036">
        <v>2.2999999999999998</v>
      </c>
    </row>
    <row r="1037" spans="1:23" hidden="1" x14ac:dyDescent="0.3">
      <c r="A1037" t="s">
        <v>1629</v>
      </c>
      <c r="B1037" t="s">
        <v>1630</v>
      </c>
      <c r="C1037" t="s">
        <v>28</v>
      </c>
      <c r="D1037" t="s">
        <v>24</v>
      </c>
      <c r="E1037" t="s">
        <v>25</v>
      </c>
      <c r="F1037" t="s">
        <v>363</v>
      </c>
      <c r="G1037" t="s">
        <v>441</v>
      </c>
      <c r="H1037" t="s">
        <v>365</v>
      </c>
      <c r="I1037" t="s">
        <v>13</v>
      </c>
      <c r="J1037" t="s">
        <v>442</v>
      </c>
      <c r="K1037" t="s">
        <v>443</v>
      </c>
      <c r="L1037" t="s">
        <v>368</v>
      </c>
      <c r="M1037">
        <v>57</v>
      </c>
      <c r="N1037" t="b">
        <v>0</v>
      </c>
      <c r="O1037">
        <v>0.84342379958246338</v>
      </c>
      <c r="P1037">
        <v>0.8112449799196787</v>
      </c>
      <c r="Q1037">
        <v>0.87826086956521743</v>
      </c>
      <c r="R1037" t="s">
        <v>60</v>
      </c>
      <c r="S1037" t="s">
        <v>2500</v>
      </c>
      <c r="T1037" t="s">
        <v>2501</v>
      </c>
      <c r="U1037" t="b">
        <v>1</v>
      </c>
      <c r="V1037" t="s">
        <v>63</v>
      </c>
      <c r="W1037">
        <v>2.1</v>
      </c>
    </row>
    <row r="1038" spans="1:23" hidden="1" x14ac:dyDescent="0.3">
      <c r="A1038" t="s">
        <v>1629</v>
      </c>
      <c r="B1038" t="s">
        <v>1630</v>
      </c>
      <c r="C1038" t="s">
        <v>28</v>
      </c>
      <c r="D1038" t="s">
        <v>24</v>
      </c>
      <c r="E1038" t="s">
        <v>25</v>
      </c>
      <c r="F1038" t="s">
        <v>363</v>
      </c>
      <c r="G1038" t="s">
        <v>446</v>
      </c>
      <c r="H1038" t="s">
        <v>365</v>
      </c>
      <c r="I1038" t="s">
        <v>13</v>
      </c>
      <c r="J1038" t="s">
        <v>447</v>
      </c>
      <c r="K1038" t="s">
        <v>448</v>
      </c>
      <c r="L1038" t="s">
        <v>368</v>
      </c>
      <c r="M1038">
        <v>58</v>
      </c>
      <c r="N1038" t="b">
        <v>0</v>
      </c>
      <c r="O1038">
        <v>0.83333333333333326</v>
      </c>
      <c r="P1038">
        <v>0.8</v>
      </c>
      <c r="Q1038">
        <v>0.86956521739130432</v>
      </c>
      <c r="R1038" t="s">
        <v>60</v>
      </c>
      <c r="S1038" t="s">
        <v>2502</v>
      </c>
      <c r="T1038" t="s">
        <v>2503</v>
      </c>
      <c r="U1038" t="b">
        <v>1</v>
      </c>
      <c r="V1038" t="s">
        <v>63</v>
      </c>
      <c r="W1038">
        <v>2.1</v>
      </c>
    </row>
    <row r="1039" spans="1:23" hidden="1" x14ac:dyDescent="0.3">
      <c r="A1039" t="s">
        <v>1629</v>
      </c>
      <c r="B1039" t="s">
        <v>1630</v>
      </c>
      <c r="C1039" t="s">
        <v>28</v>
      </c>
      <c r="D1039" t="s">
        <v>24</v>
      </c>
      <c r="E1039" t="s">
        <v>25</v>
      </c>
      <c r="F1039" t="s">
        <v>363</v>
      </c>
      <c r="G1039" t="s">
        <v>451</v>
      </c>
      <c r="H1039" t="s">
        <v>365</v>
      </c>
      <c r="I1039" t="s">
        <v>13</v>
      </c>
      <c r="J1039" t="s">
        <v>452</v>
      </c>
      <c r="K1039" t="s">
        <v>453</v>
      </c>
      <c r="L1039" t="s">
        <v>368</v>
      </c>
      <c r="M1039">
        <v>59</v>
      </c>
      <c r="N1039" t="b">
        <v>0</v>
      </c>
      <c r="O1039">
        <v>0.81818181818181823</v>
      </c>
      <c r="P1039">
        <v>0.77952755905511806</v>
      </c>
      <c r="Q1039">
        <v>0.86086956521739133</v>
      </c>
      <c r="R1039" t="s">
        <v>60</v>
      </c>
      <c r="S1039" t="s">
        <v>2504</v>
      </c>
      <c r="T1039" t="s">
        <v>2505</v>
      </c>
      <c r="U1039" t="b">
        <v>1</v>
      </c>
      <c r="V1039" t="s">
        <v>63</v>
      </c>
      <c r="W1039">
        <v>1.8</v>
      </c>
    </row>
    <row r="1040" spans="1:23" hidden="1" x14ac:dyDescent="0.3">
      <c r="A1040" t="s">
        <v>1629</v>
      </c>
      <c r="B1040" t="s">
        <v>1630</v>
      </c>
      <c r="C1040" t="s">
        <v>28</v>
      </c>
      <c r="D1040" t="s">
        <v>24</v>
      </c>
      <c r="E1040" t="s">
        <v>25</v>
      </c>
      <c r="F1040" t="s">
        <v>363</v>
      </c>
      <c r="G1040" t="s">
        <v>456</v>
      </c>
      <c r="H1040" t="s">
        <v>365</v>
      </c>
      <c r="I1040" t="s">
        <v>13</v>
      </c>
      <c r="J1040" t="s">
        <v>457</v>
      </c>
      <c r="K1040" t="s">
        <v>458</v>
      </c>
      <c r="L1040" t="s">
        <v>368</v>
      </c>
      <c r="M1040">
        <v>60</v>
      </c>
      <c r="N1040" t="b">
        <v>0</v>
      </c>
      <c r="O1040">
        <v>0.83471074380165289</v>
      </c>
      <c r="P1040">
        <v>0.79527559055118113</v>
      </c>
      <c r="Q1040">
        <v>0.87826086956521743</v>
      </c>
      <c r="R1040" t="s">
        <v>60</v>
      </c>
      <c r="S1040" t="s">
        <v>2506</v>
      </c>
      <c r="T1040" t="s">
        <v>2507</v>
      </c>
      <c r="U1040" t="b">
        <v>1</v>
      </c>
      <c r="V1040" t="s">
        <v>63</v>
      </c>
      <c r="W1040">
        <v>2.2999999999999998</v>
      </c>
    </row>
    <row r="1041" spans="1:23" hidden="1" x14ac:dyDescent="0.3">
      <c r="A1041" t="s">
        <v>1629</v>
      </c>
      <c r="B1041" t="s">
        <v>1630</v>
      </c>
      <c r="C1041" t="s">
        <v>28</v>
      </c>
      <c r="D1041" t="s">
        <v>24</v>
      </c>
      <c r="E1041" t="s">
        <v>25</v>
      </c>
      <c r="F1041" t="s">
        <v>363</v>
      </c>
      <c r="G1041" t="s">
        <v>461</v>
      </c>
      <c r="H1041" t="s">
        <v>365</v>
      </c>
      <c r="I1041" t="s">
        <v>13</v>
      </c>
      <c r="J1041" t="s">
        <v>462</v>
      </c>
      <c r="K1041" t="s">
        <v>463</v>
      </c>
      <c r="L1041" t="s">
        <v>368</v>
      </c>
      <c r="M1041">
        <v>61</v>
      </c>
      <c r="N1041" t="b">
        <v>0</v>
      </c>
      <c r="O1041">
        <v>0.81742738589211617</v>
      </c>
      <c r="P1041">
        <v>0.78174603174603174</v>
      </c>
      <c r="Q1041">
        <v>0.85652173913043483</v>
      </c>
      <c r="R1041" t="s">
        <v>60</v>
      </c>
      <c r="S1041" t="s">
        <v>2508</v>
      </c>
      <c r="T1041" t="s">
        <v>2509</v>
      </c>
      <c r="U1041" t="b">
        <v>1</v>
      </c>
      <c r="V1041" t="s">
        <v>63</v>
      </c>
      <c r="W1041">
        <v>1.9</v>
      </c>
    </row>
    <row r="1042" spans="1:23" hidden="1" x14ac:dyDescent="0.3">
      <c r="A1042" t="s">
        <v>1629</v>
      </c>
      <c r="B1042" t="s">
        <v>1630</v>
      </c>
      <c r="C1042" t="s">
        <v>28</v>
      </c>
      <c r="D1042" t="s">
        <v>24</v>
      </c>
      <c r="E1042" t="s">
        <v>25</v>
      </c>
      <c r="F1042" t="s">
        <v>363</v>
      </c>
      <c r="G1042" t="s">
        <v>466</v>
      </c>
      <c r="H1042" t="s">
        <v>467</v>
      </c>
      <c r="I1042" t="s">
        <v>9</v>
      </c>
      <c r="J1042" t="s">
        <v>468</v>
      </c>
      <c r="K1042" t="s">
        <v>469</v>
      </c>
      <c r="L1042" t="s">
        <v>470</v>
      </c>
      <c r="M1042">
        <v>42</v>
      </c>
      <c r="N1042" t="b">
        <v>0</v>
      </c>
      <c r="O1042">
        <v>0.83102493074792239</v>
      </c>
      <c r="P1042">
        <v>0.78125</v>
      </c>
      <c r="Q1042">
        <v>0.8875739644970414</v>
      </c>
      <c r="R1042" t="s">
        <v>60</v>
      </c>
      <c r="S1042" t="s">
        <v>2510</v>
      </c>
      <c r="T1042" t="s">
        <v>2511</v>
      </c>
      <c r="U1042" t="b">
        <v>1</v>
      </c>
      <c r="V1042" t="s">
        <v>63</v>
      </c>
      <c r="W1042">
        <v>1.8</v>
      </c>
    </row>
    <row r="1043" spans="1:23" hidden="1" x14ac:dyDescent="0.3">
      <c r="A1043" t="s">
        <v>1629</v>
      </c>
      <c r="B1043" t="s">
        <v>1630</v>
      </c>
      <c r="C1043" t="s">
        <v>28</v>
      </c>
      <c r="D1043" t="s">
        <v>24</v>
      </c>
      <c r="E1043" t="s">
        <v>25</v>
      </c>
      <c r="F1043" t="s">
        <v>363</v>
      </c>
      <c r="G1043" t="s">
        <v>473</v>
      </c>
      <c r="H1043" t="s">
        <v>467</v>
      </c>
      <c r="I1043" t="s">
        <v>9</v>
      </c>
      <c r="J1043" t="s">
        <v>474</v>
      </c>
      <c r="K1043" t="s">
        <v>475</v>
      </c>
      <c r="L1043" t="s">
        <v>470</v>
      </c>
      <c r="M1043">
        <v>43</v>
      </c>
      <c r="N1043" t="b">
        <v>0</v>
      </c>
      <c r="O1043">
        <v>0.79558011049723765</v>
      </c>
      <c r="P1043">
        <v>0.74611398963730569</v>
      </c>
      <c r="Q1043">
        <v>0.85207100591715978</v>
      </c>
      <c r="R1043" t="s">
        <v>60</v>
      </c>
      <c r="S1043" t="s">
        <v>2512</v>
      </c>
      <c r="T1043" t="s">
        <v>2513</v>
      </c>
      <c r="U1043" t="b">
        <v>1</v>
      </c>
      <c r="V1043" t="s">
        <v>63</v>
      </c>
      <c r="W1043">
        <v>2.2000000000000002</v>
      </c>
    </row>
    <row r="1044" spans="1:23" hidden="1" x14ac:dyDescent="0.3">
      <c r="A1044" t="s">
        <v>1629</v>
      </c>
      <c r="B1044" t="s">
        <v>1630</v>
      </c>
      <c r="C1044" t="s">
        <v>28</v>
      </c>
      <c r="D1044" t="s">
        <v>24</v>
      </c>
      <c r="E1044" t="s">
        <v>25</v>
      </c>
      <c r="F1044" t="s">
        <v>363</v>
      </c>
      <c r="G1044" t="s">
        <v>478</v>
      </c>
      <c r="H1044" t="s">
        <v>467</v>
      </c>
      <c r="I1044" t="s">
        <v>9</v>
      </c>
      <c r="J1044" t="s">
        <v>479</v>
      </c>
      <c r="K1044" t="s">
        <v>480</v>
      </c>
      <c r="L1044" t="s">
        <v>470</v>
      </c>
      <c r="M1044">
        <v>44</v>
      </c>
      <c r="N1044" t="b">
        <v>0</v>
      </c>
      <c r="O1044">
        <v>0.82485875706214684</v>
      </c>
      <c r="P1044">
        <v>0.78918918918918923</v>
      </c>
      <c r="Q1044">
        <v>0.86390532544378695</v>
      </c>
      <c r="R1044" t="s">
        <v>60</v>
      </c>
      <c r="S1044" t="s">
        <v>2514</v>
      </c>
      <c r="T1044" t="s">
        <v>2515</v>
      </c>
      <c r="U1044" t="b">
        <v>1</v>
      </c>
      <c r="V1044" t="s">
        <v>63</v>
      </c>
      <c r="W1044">
        <v>1.7</v>
      </c>
    </row>
    <row r="1045" spans="1:23" hidden="1" x14ac:dyDescent="0.3">
      <c r="A1045" t="s">
        <v>1629</v>
      </c>
      <c r="B1045" t="s">
        <v>1630</v>
      </c>
      <c r="C1045" t="s">
        <v>28</v>
      </c>
      <c r="D1045" t="s">
        <v>24</v>
      </c>
      <c r="E1045" t="s">
        <v>25</v>
      </c>
      <c r="F1045" t="s">
        <v>363</v>
      </c>
      <c r="G1045" t="s">
        <v>483</v>
      </c>
      <c r="H1045" t="s">
        <v>467</v>
      </c>
      <c r="I1045" t="s">
        <v>9</v>
      </c>
      <c r="J1045" t="s">
        <v>484</v>
      </c>
      <c r="K1045" t="s">
        <v>485</v>
      </c>
      <c r="L1045" t="s">
        <v>470</v>
      </c>
      <c r="M1045">
        <v>45</v>
      </c>
      <c r="N1045" t="b">
        <v>0</v>
      </c>
      <c r="O1045">
        <v>0.83473389355742289</v>
      </c>
      <c r="P1045">
        <v>0.79255319148936165</v>
      </c>
      <c r="Q1045">
        <v>0.88165680473372776</v>
      </c>
      <c r="R1045" t="s">
        <v>60</v>
      </c>
      <c r="S1045" t="s">
        <v>2516</v>
      </c>
      <c r="T1045" t="s">
        <v>2517</v>
      </c>
      <c r="U1045" t="b">
        <v>1</v>
      </c>
      <c r="V1045" t="s">
        <v>63</v>
      </c>
      <c r="W1045">
        <v>1.7</v>
      </c>
    </row>
    <row r="1046" spans="1:23" hidden="1" x14ac:dyDescent="0.3">
      <c r="A1046" t="s">
        <v>1629</v>
      </c>
      <c r="B1046" t="s">
        <v>1630</v>
      </c>
      <c r="C1046" t="s">
        <v>28</v>
      </c>
      <c r="D1046" t="s">
        <v>24</v>
      </c>
      <c r="E1046" t="s">
        <v>25</v>
      </c>
      <c r="F1046" t="s">
        <v>363</v>
      </c>
      <c r="G1046" t="s">
        <v>488</v>
      </c>
      <c r="H1046" t="s">
        <v>467</v>
      </c>
      <c r="I1046" t="s">
        <v>9</v>
      </c>
      <c r="J1046" t="s">
        <v>489</v>
      </c>
      <c r="K1046" t="s">
        <v>490</v>
      </c>
      <c r="L1046" t="s">
        <v>470</v>
      </c>
      <c r="M1046">
        <v>46</v>
      </c>
      <c r="N1046" t="b">
        <v>0</v>
      </c>
      <c r="O1046">
        <v>0.83008356545961004</v>
      </c>
      <c r="P1046">
        <v>0.78421052631578947</v>
      </c>
      <c r="Q1046">
        <v>0.88165680473372776</v>
      </c>
      <c r="R1046" t="s">
        <v>60</v>
      </c>
      <c r="S1046" t="s">
        <v>2518</v>
      </c>
      <c r="T1046" t="s">
        <v>2519</v>
      </c>
      <c r="U1046" t="b">
        <v>1</v>
      </c>
      <c r="V1046" t="s">
        <v>63</v>
      </c>
      <c r="W1046">
        <v>2.2999999999999998</v>
      </c>
    </row>
    <row r="1047" spans="1:23" hidden="1" x14ac:dyDescent="0.3">
      <c r="A1047" t="s">
        <v>1629</v>
      </c>
      <c r="B1047" t="s">
        <v>1630</v>
      </c>
      <c r="C1047" t="s">
        <v>28</v>
      </c>
      <c r="D1047" t="s">
        <v>24</v>
      </c>
      <c r="E1047" t="s">
        <v>25</v>
      </c>
      <c r="F1047" t="s">
        <v>363</v>
      </c>
      <c r="G1047" t="s">
        <v>493</v>
      </c>
      <c r="H1047" t="s">
        <v>467</v>
      </c>
      <c r="I1047" t="s">
        <v>9</v>
      </c>
      <c r="J1047" t="s">
        <v>494</v>
      </c>
      <c r="K1047" t="s">
        <v>495</v>
      </c>
      <c r="L1047" t="s">
        <v>470</v>
      </c>
      <c r="M1047">
        <v>47</v>
      </c>
      <c r="N1047" t="b">
        <v>0</v>
      </c>
      <c r="O1047">
        <v>0.81894150417827294</v>
      </c>
      <c r="P1047">
        <v>0.77368421052631575</v>
      </c>
      <c r="Q1047">
        <v>0.86982248520710059</v>
      </c>
      <c r="R1047" t="s">
        <v>60</v>
      </c>
      <c r="S1047" t="s">
        <v>2520</v>
      </c>
      <c r="T1047" t="s">
        <v>2521</v>
      </c>
      <c r="U1047" t="b">
        <v>1</v>
      </c>
      <c r="V1047" t="s">
        <v>63</v>
      </c>
      <c r="W1047">
        <v>1.7</v>
      </c>
    </row>
    <row r="1048" spans="1:23" hidden="1" x14ac:dyDescent="0.3">
      <c r="A1048" t="s">
        <v>1629</v>
      </c>
      <c r="B1048" t="s">
        <v>1630</v>
      </c>
      <c r="C1048" t="s">
        <v>28</v>
      </c>
      <c r="D1048" t="s">
        <v>24</v>
      </c>
      <c r="E1048" t="s">
        <v>25</v>
      </c>
      <c r="F1048" t="s">
        <v>363</v>
      </c>
      <c r="G1048" t="s">
        <v>498</v>
      </c>
      <c r="H1048" t="s">
        <v>467</v>
      </c>
      <c r="I1048" t="s">
        <v>9</v>
      </c>
      <c r="J1048" t="s">
        <v>499</v>
      </c>
      <c r="K1048" t="s">
        <v>500</v>
      </c>
      <c r="L1048" t="s">
        <v>470</v>
      </c>
      <c r="M1048">
        <v>48</v>
      </c>
      <c r="N1048" t="b">
        <v>0</v>
      </c>
      <c r="O1048">
        <v>0.82022471910112349</v>
      </c>
      <c r="P1048">
        <v>0.78074866310160429</v>
      </c>
      <c r="Q1048">
        <v>0.86390532544378695</v>
      </c>
      <c r="R1048" t="s">
        <v>60</v>
      </c>
      <c r="S1048" t="s">
        <v>2522</v>
      </c>
      <c r="T1048" t="s">
        <v>2523</v>
      </c>
      <c r="U1048" t="b">
        <v>1</v>
      </c>
      <c r="V1048" t="s">
        <v>63</v>
      </c>
      <c r="W1048">
        <v>1.7</v>
      </c>
    </row>
    <row r="1049" spans="1:23" hidden="1" x14ac:dyDescent="0.3">
      <c r="A1049" t="s">
        <v>1629</v>
      </c>
      <c r="B1049" t="s">
        <v>1630</v>
      </c>
      <c r="C1049" t="s">
        <v>28</v>
      </c>
      <c r="D1049" t="s">
        <v>24</v>
      </c>
      <c r="E1049" t="s">
        <v>25</v>
      </c>
      <c r="F1049" t="s">
        <v>363</v>
      </c>
      <c r="G1049" t="s">
        <v>503</v>
      </c>
      <c r="H1049" t="s">
        <v>467</v>
      </c>
      <c r="I1049" t="s">
        <v>9</v>
      </c>
      <c r="J1049" t="s">
        <v>504</v>
      </c>
      <c r="K1049" t="s">
        <v>505</v>
      </c>
      <c r="L1049" t="s">
        <v>470</v>
      </c>
      <c r="M1049">
        <v>49</v>
      </c>
      <c r="N1049" t="b">
        <v>0</v>
      </c>
      <c r="O1049">
        <v>0.8133704735376045</v>
      </c>
      <c r="P1049">
        <v>0.76842105263157889</v>
      </c>
      <c r="Q1049">
        <v>0.86390532544378695</v>
      </c>
      <c r="R1049" t="s">
        <v>60</v>
      </c>
      <c r="S1049" t="s">
        <v>2524</v>
      </c>
      <c r="T1049" t="s">
        <v>2525</v>
      </c>
      <c r="U1049" t="b">
        <v>1</v>
      </c>
      <c r="V1049" t="s">
        <v>63</v>
      </c>
      <c r="W1049">
        <v>3.5</v>
      </c>
    </row>
    <row r="1050" spans="1:23" hidden="1" x14ac:dyDescent="0.3">
      <c r="A1050" t="s">
        <v>1629</v>
      </c>
      <c r="B1050" t="s">
        <v>1630</v>
      </c>
      <c r="C1050" t="s">
        <v>28</v>
      </c>
      <c r="D1050" t="s">
        <v>24</v>
      </c>
      <c r="E1050" t="s">
        <v>25</v>
      </c>
      <c r="F1050" t="s">
        <v>363</v>
      </c>
      <c r="G1050" t="s">
        <v>508</v>
      </c>
      <c r="H1050" t="s">
        <v>467</v>
      </c>
      <c r="I1050" t="s">
        <v>9</v>
      </c>
      <c r="J1050" t="s">
        <v>509</v>
      </c>
      <c r="K1050" t="s">
        <v>510</v>
      </c>
      <c r="L1050" t="s">
        <v>470</v>
      </c>
      <c r="M1050">
        <v>50</v>
      </c>
      <c r="N1050" t="b">
        <v>0</v>
      </c>
      <c r="O1050">
        <v>0.81767955801104963</v>
      </c>
      <c r="P1050">
        <v>0.76683937823834192</v>
      </c>
      <c r="Q1050">
        <v>0.87573964497041423</v>
      </c>
      <c r="R1050" t="s">
        <v>60</v>
      </c>
      <c r="S1050" t="s">
        <v>2526</v>
      </c>
      <c r="T1050" t="s">
        <v>2527</v>
      </c>
      <c r="U1050" t="b">
        <v>1</v>
      </c>
      <c r="V1050" t="s">
        <v>63</v>
      </c>
      <c r="W1050">
        <v>2.2000000000000002</v>
      </c>
    </row>
    <row r="1051" spans="1:23" hidden="1" x14ac:dyDescent="0.3">
      <c r="A1051" t="s">
        <v>1629</v>
      </c>
      <c r="B1051" t="s">
        <v>1630</v>
      </c>
      <c r="C1051" t="s">
        <v>28</v>
      </c>
      <c r="D1051" t="s">
        <v>24</v>
      </c>
      <c r="E1051" t="s">
        <v>25</v>
      </c>
      <c r="F1051" t="s">
        <v>363</v>
      </c>
      <c r="G1051" t="s">
        <v>513</v>
      </c>
      <c r="H1051" t="s">
        <v>467</v>
      </c>
      <c r="I1051" t="s">
        <v>9</v>
      </c>
      <c r="J1051" t="s">
        <v>514</v>
      </c>
      <c r="K1051" t="s">
        <v>515</v>
      </c>
      <c r="L1051" t="s">
        <v>470</v>
      </c>
      <c r="M1051">
        <v>51</v>
      </c>
      <c r="N1051" t="b">
        <v>0</v>
      </c>
      <c r="O1051">
        <v>0.83333333333333326</v>
      </c>
      <c r="P1051">
        <v>0.78534031413612571</v>
      </c>
      <c r="Q1051">
        <v>0.8875739644970414</v>
      </c>
      <c r="R1051" t="s">
        <v>60</v>
      </c>
      <c r="S1051" t="s">
        <v>2528</v>
      </c>
      <c r="T1051" t="s">
        <v>2529</v>
      </c>
      <c r="U1051" t="b">
        <v>1</v>
      </c>
      <c r="V1051" t="s">
        <v>63</v>
      </c>
      <c r="W1051">
        <v>1.9</v>
      </c>
    </row>
    <row r="1052" spans="1:23" hidden="1" x14ac:dyDescent="0.3">
      <c r="A1052" t="s">
        <v>1629</v>
      </c>
      <c r="B1052" t="s">
        <v>1630</v>
      </c>
      <c r="C1052" t="s">
        <v>28</v>
      </c>
      <c r="D1052" t="s">
        <v>24</v>
      </c>
      <c r="E1052" t="s">
        <v>25</v>
      </c>
      <c r="F1052" t="s">
        <v>363</v>
      </c>
      <c r="G1052" t="s">
        <v>518</v>
      </c>
      <c r="H1052" t="s">
        <v>467</v>
      </c>
      <c r="I1052" t="s">
        <v>9</v>
      </c>
      <c r="J1052" t="s">
        <v>519</v>
      </c>
      <c r="K1052" t="s">
        <v>520</v>
      </c>
      <c r="L1052" t="s">
        <v>470</v>
      </c>
      <c r="M1052">
        <v>52</v>
      </c>
      <c r="N1052" t="b">
        <v>0</v>
      </c>
      <c r="O1052">
        <v>0.81792717086834721</v>
      </c>
      <c r="P1052">
        <v>0.77659574468085102</v>
      </c>
      <c r="Q1052">
        <v>0.86390532544378695</v>
      </c>
      <c r="R1052" t="s">
        <v>60</v>
      </c>
      <c r="S1052" t="s">
        <v>2530</v>
      </c>
      <c r="T1052" t="s">
        <v>2531</v>
      </c>
      <c r="U1052" t="b">
        <v>1</v>
      </c>
      <c r="V1052" t="s">
        <v>63</v>
      </c>
      <c r="W1052">
        <v>1.7</v>
      </c>
    </row>
    <row r="1053" spans="1:23" hidden="1" x14ac:dyDescent="0.3">
      <c r="A1053" t="s">
        <v>1629</v>
      </c>
      <c r="B1053" t="s">
        <v>1630</v>
      </c>
      <c r="C1053" t="s">
        <v>28</v>
      </c>
      <c r="D1053" t="s">
        <v>24</v>
      </c>
      <c r="E1053" t="s">
        <v>25</v>
      </c>
      <c r="F1053" t="s">
        <v>363</v>
      </c>
      <c r="G1053" t="s">
        <v>523</v>
      </c>
      <c r="H1053" t="s">
        <v>467</v>
      </c>
      <c r="I1053" t="s">
        <v>9</v>
      </c>
      <c r="J1053" t="s">
        <v>524</v>
      </c>
      <c r="K1053" t="s">
        <v>525</v>
      </c>
      <c r="L1053" t="s">
        <v>470</v>
      </c>
      <c r="M1053">
        <v>53</v>
      </c>
      <c r="N1053" t="b">
        <v>0</v>
      </c>
      <c r="O1053">
        <v>0.84090909090909094</v>
      </c>
      <c r="P1053">
        <v>0.80874316939890711</v>
      </c>
      <c r="Q1053">
        <v>0.87573964497041423</v>
      </c>
      <c r="R1053" t="s">
        <v>60</v>
      </c>
      <c r="S1053" t="s">
        <v>2532</v>
      </c>
      <c r="T1053" t="s">
        <v>2533</v>
      </c>
      <c r="U1053" t="b">
        <v>1</v>
      </c>
      <c r="V1053" t="s">
        <v>63</v>
      </c>
      <c r="W1053">
        <v>2.2000000000000002</v>
      </c>
    </row>
    <row r="1054" spans="1:23" hidden="1" x14ac:dyDescent="0.3">
      <c r="A1054" t="s">
        <v>1629</v>
      </c>
      <c r="B1054" t="s">
        <v>1630</v>
      </c>
      <c r="C1054" t="s">
        <v>28</v>
      </c>
      <c r="D1054" t="s">
        <v>24</v>
      </c>
      <c r="E1054" t="s">
        <v>25</v>
      </c>
      <c r="F1054" t="s">
        <v>363</v>
      </c>
      <c r="G1054" t="s">
        <v>528</v>
      </c>
      <c r="H1054" t="s">
        <v>467</v>
      </c>
      <c r="I1054" t="s">
        <v>9</v>
      </c>
      <c r="J1054" t="s">
        <v>529</v>
      </c>
      <c r="K1054" t="s">
        <v>530</v>
      </c>
      <c r="L1054" t="s">
        <v>470</v>
      </c>
      <c r="M1054">
        <v>54</v>
      </c>
      <c r="N1054" t="b">
        <v>0</v>
      </c>
      <c r="O1054">
        <v>0.83240223463687157</v>
      </c>
      <c r="P1054">
        <v>0.78835978835978837</v>
      </c>
      <c r="Q1054">
        <v>0.88165680473372776</v>
      </c>
      <c r="R1054" t="s">
        <v>60</v>
      </c>
      <c r="S1054" t="s">
        <v>2534</v>
      </c>
      <c r="T1054" t="s">
        <v>2535</v>
      </c>
      <c r="U1054" t="b">
        <v>1</v>
      </c>
      <c r="V1054" t="s">
        <v>63</v>
      </c>
      <c r="W1054">
        <v>1.8</v>
      </c>
    </row>
    <row r="1055" spans="1:23" hidden="1" x14ac:dyDescent="0.3">
      <c r="A1055" t="s">
        <v>1629</v>
      </c>
      <c r="B1055" t="s">
        <v>1630</v>
      </c>
      <c r="C1055" t="s">
        <v>28</v>
      </c>
      <c r="D1055" t="s">
        <v>24</v>
      </c>
      <c r="E1055" t="s">
        <v>25</v>
      </c>
      <c r="F1055" t="s">
        <v>363</v>
      </c>
      <c r="G1055" t="s">
        <v>533</v>
      </c>
      <c r="H1055" t="s">
        <v>467</v>
      </c>
      <c r="I1055" t="s">
        <v>9</v>
      </c>
      <c r="J1055" t="s">
        <v>534</v>
      </c>
      <c r="K1055" t="s">
        <v>535</v>
      </c>
      <c r="L1055" t="s">
        <v>470</v>
      </c>
      <c r="M1055">
        <v>55</v>
      </c>
      <c r="N1055" t="b">
        <v>0</v>
      </c>
      <c r="O1055">
        <v>0.81460674157303359</v>
      </c>
      <c r="P1055">
        <v>0.77540106951871657</v>
      </c>
      <c r="Q1055">
        <v>0.85798816568047342</v>
      </c>
      <c r="R1055" t="s">
        <v>60</v>
      </c>
      <c r="S1055" t="s">
        <v>2536</v>
      </c>
      <c r="T1055" t="s">
        <v>2537</v>
      </c>
      <c r="U1055" t="b">
        <v>1</v>
      </c>
      <c r="V1055" t="s">
        <v>63</v>
      </c>
      <c r="W1055">
        <v>1.8</v>
      </c>
    </row>
    <row r="1056" spans="1:23" hidden="1" x14ac:dyDescent="0.3">
      <c r="A1056" t="s">
        <v>1629</v>
      </c>
      <c r="B1056" t="s">
        <v>1630</v>
      </c>
      <c r="C1056" t="s">
        <v>28</v>
      </c>
      <c r="D1056" t="s">
        <v>24</v>
      </c>
      <c r="E1056" t="s">
        <v>25</v>
      </c>
      <c r="F1056" t="s">
        <v>363</v>
      </c>
      <c r="G1056" t="s">
        <v>538</v>
      </c>
      <c r="H1056" t="s">
        <v>467</v>
      </c>
      <c r="I1056" t="s">
        <v>9</v>
      </c>
      <c r="J1056" t="s">
        <v>539</v>
      </c>
      <c r="K1056" t="s">
        <v>540</v>
      </c>
      <c r="L1056" t="s">
        <v>470</v>
      </c>
      <c r="M1056">
        <v>56</v>
      </c>
      <c r="N1056" t="b">
        <v>0</v>
      </c>
      <c r="O1056">
        <v>0.81792717086834721</v>
      </c>
      <c r="P1056">
        <v>0.77659574468085102</v>
      </c>
      <c r="Q1056">
        <v>0.86390532544378695</v>
      </c>
      <c r="R1056" t="s">
        <v>60</v>
      </c>
      <c r="S1056" t="s">
        <v>2538</v>
      </c>
      <c r="T1056" t="s">
        <v>2539</v>
      </c>
      <c r="U1056" t="b">
        <v>1</v>
      </c>
      <c r="V1056" t="s">
        <v>63</v>
      </c>
      <c r="W1056">
        <v>2.2000000000000002</v>
      </c>
    </row>
    <row r="1057" spans="1:23" hidden="1" x14ac:dyDescent="0.3">
      <c r="A1057" t="s">
        <v>1629</v>
      </c>
      <c r="B1057" t="s">
        <v>1630</v>
      </c>
      <c r="C1057" t="s">
        <v>28</v>
      </c>
      <c r="D1057" t="s">
        <v>24</v>
      </c>
      <c r="E1057" t="s">
        <v>25</v>
      </c>
      <c r="F1057" t="s">
        <v>363</v>
      </c>
      <c r="G1057" t="s">
        <v>543</v>
      </c>
      <c r="H1057" t="s">
        <v>467</v>
      </c>
      <c r="I1057" t="s">
        <v>9</v>
      </c>
      <c r="J1057" t="s">
        <v>544</v>
      </c>
      <c r="K1057" t="s">
        <v>545</v>
      </c>
      <c r="L1057" t="s">
        <v>470</v>
      </c>
      <c r="M1057">
        <v>57</v>
      </c>
      <c r="N1057" t="b">
        <v>0</v>
      </c>
      <c r="O1057">
        <v>0.81111111111111112</v>
      </c>
      <c r="P1057">
        <v>0.76439790575916233</v>
      </c>
      <c r="Q1057">
        <v>0.86390532544378695</v>
      </c>
      <c r="R1057" t="s">
        <v>60</v>
      </c>
      <c r="S1057" t="s">
        <v>2540</v>
      </c>
      <c r="T1057" t="s">
        <v>2541</v>
      </c>
      <c r="U1057" t="b">
        <v>1</v>
      </c>
      <c r="V1057" t="s">
        <v>63</v>
      </c>
      <c r="W1057">
        <v>1.8</v>
      </c>
    </row>
    <row r="1058" spans="1:23" hidden="1" x14ac:dyDescent="0.3">
      <c r="A1058" t="s">
        <v>1629</v>
      </c>
      <c r="B1058" t="s">
        <v>1630</v>
      </c>
      <c r="C1058" t="s">
        <v>28</v>
      </c>
      <c r="D1058" t="s">
        <v>24</v>
      </c>
      <c r="E1058" t="s">
        <v>25</v>
      </c>
      <c r="F1058" t="s">
        <v>363</v>
      </c>
      <c r="G1058" t="s">
        <v>548</v>
      </c>
      <c r="H1058" t="s">
        <v>467</v>
      </c>
      <c r="I1058" t="s">
        <v>9</v>
      </c>
      <c r="J1058" t="s">
        <v>549</v>
      </c>
      <c r="K1058" t="s">
        <v>550</v>
      </c>
      <c r="L1058" t="s">
        <v>470</v>
      </c>
      <c r="M1058">
        <v>58</v>
      </c>
      <c r="N1058" t="b">
        <v>0</v>
      </c>
      <c r="O1058">
        <v>0.8314606741573034</v>
      </c>
      <c r="P1058">
        <v>0.79144385026737973</v>
      </c>
      <c r="Q1058">
        <v>0.87573964497041423</v>
      </c>
      <c r="R1058" t="s">
        <v>60</v>
      </c>
      <c r="S1058" t="s">
        <v>2542</v>
      </c>
      <c r="T1058" t="s">
        <v>2543</v>
      </c>
      <c r="U1058" t="b">
        <v>1</v>
      </c>
      <c r="V1058" t="s">
        <v>63</v>
      </c>
      <c r="W1058">
        <v>1.7</v>
      </c>
    </row>
    <row r="1059" spans="1:23" hidden="1" x14ac:dyDescent="0.3">
      <c r="A1059" t="s">
        <v>1629</v>
      </c>
      <c r="B1059" t="s">
        <v>1630</v>
      </c>
      <c r="C1059" t="s">
        <v>28</v>
      </c>
      <c r="D1059" t="s">
        <v>24</v>
      </c>
      <c r="E1059" t="s">
        <v>25</v>
      </c>
      <c r="F1059" t="s">
        <v>363</v>
      </c>
      <c r="G1059" t="s">
        <v>553</v>
      </c>
      <c r="H1059" t="s">
        <v>467</v>
      </c>
      <c r="I1059" t="s">
        <v>9</v>
      </c>
      <c r="J1059" t="s">
        <v>554</v>
      </c>
      <c r="K1059" t="s">
        <v>555</v>
      </c>
      <c r="L1059" t="s">
        <v>470</v>
      </c>
      <c r="M1059">
        <v>59</v>
      </c>
      <c r="N1059" t="b">
        <v>0</v>
      </c>
      <c r="O1059">
        <v>0.81894150417827294</v>
      </c>
      <c r="P1059">
        <v>0.77368421052631575</v>
      </c>
      <c r="Q1059">
        <v>0.86982248520710059</v>
      </c>
      <c r="R1059" t="s">
        <v>60</v>
      </c>
      <c r="S1059" t="s">
        <v>2544</v>
      </c>
      <c r="T1059" t="s">
        <v>2545</v>
      </c>
      <c r="U1059" t="b">
        <v>1</v>
      </c>
      <c r="V1059" t="s">
        <v>63</v>
      </c>
      <c r="W1059">
        <v>1.7</v>
      </c>
    </row>
    <row r="1060" spans="1:23" hidden="1" x14ac:dyDescent="0.3">
      <c r="A1060" t="s">
        <v>1629</v>
      </c>
      <c r="B1060" t="s">
        <v>1630</v>
      </c>
      <c r="C1060" t="s">
        <v>28</v>
      </c>
      <c r="D1060" t="s">
        <v>24</v>
      </c>
      <c r="E1060" t="s">
        <v>25</v>
      </c>
      <c r="F1060" t="s">
        <v>363</v>
      </c>
      <c r="G1060" t="s">
        <v>558</v>
      </c>
      <c r="H1060" t="s">
        <v>467</v>
      </c>
      <c r="I1060" t="s">
        <v>9</v>
      </c>
      <c r="J1060" t="s">
        <v>559</v>
      </c>
      <c r="K1060" t="s">
        <v>560</v>
      </c>
      <c r="L1060" t="s">
        <v>470</v>
      </c>
      <c r="M1060">
        <v>60</v>
      </c>
      <c r="N1060" t="b">
        <v>0</v>
      </c>
      <c r="O1060">
        <v>0.81792717086834721</v>
      </c>
      <c r="P1060">
        <v>0.77659574468085102</v>
      </c>
      <c r="Q1060">
        <v>0.86390532544378695</v>
      </c>
      <c r="R1060" t="s">
        <v>60</v>
      </c>
      <c r="S1060" t="s">
        <v>2546</v>
      </c>
      <c r="T1060" t="s">
        <v>2547</v>
      </c>
      <c r="U1060" t="b">
        <v>1</v>
      </c>
      <c r="V1060" t="s">
        <v>63</v>
      </c>
      <c r="W1060">
        <v>2.2999999999999998</v>
      </c>
    </row>
    <row r="1061" spans="1:23" hidden="1" x14ac:dyDescent="0.3">
      <c r="A1061" t="s">
        <v>1629</v>
      </c>
      <c r="B1061" t="s">
        <v>1630</v>
      </c>
      <c r="C1061" t="s">
        <v>28</v>
      </c>
      <c r="D1061" t="s">
        <v>24</v>
      </c>
      <c r="E1061" t="s">
        <v>25</v>
      </c>
      <c r="F1061" t="s">
        <v>363</v>
      </c>
      <c r="G1061" t="s">
        <v>563</v>
      </c>
      <c r="H1061" t="s">
        <v>467</v>
      </c>
      <c r="I1061" t="s">
        <v>9</v>
      </c>
      <c r="J1061" t="s">
        <v>564</v>
      </c>
      <c r="K1061" t="s">
        <v>565</v>
      </c>
      <c r="L1061" t="s">
        <v>470</v>
      </c>
      <c r="M1061">
        <v>61</v>
      </c>
      <c r="N1061" t="b">
        <v>0</v>
      </c>
      <c r="O1061">
        <v>0.83473389355742289</v>
      </c>
      <c r="P1061">
        <v>0.79255319148936165</v>
      </c>
      <c r="Q1061">
        <v>0.88165680473372776</v>
      </c>
      <c r="R1061" t="s">
        <v>60</v>
      </c>
      <c r="S1061" t="s">
        <v>2548</v>
      </c>
      <c r="T1061" t="s">
        <v>2549</v>
      </c>
      <c r="U1061" t="b">
        <v>1</v>
      </c>
      <c r="V1061" t="s">
        <v>63</v>
      </c>
      <c r="W1061">
        <v>1.9</v>
      </c>
    </row>
    <row r="1062" spans="1:23" hidden="1" x14ac:dyDescent="0.3">
      <c r="A1062" t="s">
        <v>1629</v>
      </c>
      <c r="B1062" t="s">
        <v>1630</v>
      </c>
      <c r="C1062" t="s">
        <v>28</v>
      </c>
      <c r="D1062" t="s">
        <v>24</v>
      </c>
      <c r="E1062" t="s">
        <v>25</v>
      </c>
      <c r="F1062" t="s">
        <v>363</v>
      </c>
      <c r="G1062" t="s">
        <v>568</v>
      </c>
      <c r="H1062" t="s">
        <v>569</v>
      </c>
      <c r="I1062" t="s">
        <v>11</v>
      </c>
      <c r="J1062" t="s">
        <v>570</v>
      </c>
      <c r="K1062" t="s">
        <v>571</v>
      </c>
      <c r="L1062" t="s">
        <v>572</v>
      </c>
      <c r="M1062">
        <v>42</v>
      </c>
      <c r="N1062" t="b">
        <v>0</v>
      </c>
      <c r="O1062">
        <v>0.86343612334801756</v>
      </c>
      <c r="P1062">
        <v>0.84482758620689657</v>
      </c>
      <c r="Q1062">
        <v>0.88288288288288286</v>
      </c>
      <c r="R1062" t="s">
        <v>60</v>
      </c>
      <c r="S1062" t="s">
        <v>2550</v>
      </c>
      <c r="T1062" t="s">
        <v>2551</v>
      </c>
      <c r="U1062" t="b">
        <v>1</v>
      </c>
      <c r="V1062" t="s">
        <v>63</v>
      </c>
      <c r="W1062">
        <v>2</v>
      </c>
    </row>
    <row r="1063" spans="1:23" hidden="1" x14ac:dyDescent="0.3">
      <c r="A1063" t="s">
        <v>1629</v>
      </c>
      <c r="B1063" t="s">
        <v>1630</v>
      </c>
      <c r="C1063" t="s">
        <v>28</v>
      </c>
      <c r="D1063" t="s">
        <v>24</v>
      </c>
      <c r="E1063" t="s">
        <v>25</v>
      </c>
      <c r="F1063" t="s">
        <v>363</v>
      </c>
      <c r="G1063" t="s">
        <v>575</v>
      </c>
      <c r="H1063" t="s">
        <v>569</v>
      </c>
      <c r="I1063" t="s">
        <v>11</v>
      </c>
      <c r="J1063" t="s">
        <v>576</v>
      </c>
      <c r="K1063" t="s">
        <v>577</v>
      </c>
      <c r="L1063" t="s">
        <v>572</v>
      </c>
      <c r="M1063">
        <v>43</v>
      </c>
      <c r="N1063" t="b">
        <v>0</v>
      </c>
      <c r="O1063">
        <v>0.8458149779735683</v>
      </c>
      <c r="P1063">
        <v>0.82758620689655171</v>
      </c>
      <c r="Q1063">
        <v>0.86486486486486491</v>
      </c>
      <c r="R1063" t="s">
        <v>60</v>
      </c>
      <c r="S1063" t="s">
        <v>2552</v>
      </c>
      <c r="T1063" t="s">
        <v>2553</v>
      </c>
      <c r="U1063" t="b">
        <v>1</v>
      </c>
      <c r="V1063" t="s">
        <v>63</v>
      </c>
      <c r="W1063">
        <v>2.2999999999999998</v>
      </c>
    </row>
    <row r="1064" spans="1:23" hidden="1" x14ac:dyDescent="0.3">
      <c r="A1064" t="s">
        <v>1629</v>
      </c>
      <c r="B1064" t="s">
        <v>1630</v>
      </c>
      <c r="C1064" t="s">
        <v>28</v>
      </c>
      <c r="D1064" t="s">
        <v>24</v>
      </c>
      <c r="E1064" t="s">
        <v>25</v>
      </c>
      <c r="F1064" t="s">
        <v>363</v>
      </c>
      <c r="G1064" t="s">
        <v>580</v>
      </c>
      <c r="H1064" t="s">
        <v>569</v>
      </c>
      <c r="I1064" t="s">
        <v>11</v>
      </c>
      <c r="J1064" t="s">
        <v>581</v>
      </c>
      <c r="K1064" t="s">
        <v>582</v>
      </c>
      <c r="L1064" t="s">
        <v>572</v>
      </c>
      <c r="M1064">
        <v>44</v>
      </c>
      <c r="N1064" t="b">
        <v>0</v>
      </c>
      <c r="O1064">
        <v>0.8488888888888888</v>
      </c>
      <c r="P1064">
        <v>0.83771929824561409</v>
      </c>
      <c r="Q1064">
        <v>0.86036036036036034</v>
      </c>
      <c r="R1064" t="s">
        <v>60</v>
      </c>
      <c r="S1064" t="s">
        <v>2554</v>
      </c>
      <c r="T1064" t="s">
        <v>2555</v>
      </c>
      <c r="U1064" t="b">
        <v>1</v>
      </c>
      <c r="V1064" t="s">
        <v>63</v>
      </c>
      <c r="W1064">
        <v>1.9</v>
      </c>
    </row>
    <row r="1065" spans="1:23" hidden="1" x14ac:dyDescent="0.3">
      <c r="A1065" t="s">
        <v>1629</v>
      </c>
      <c r="B1065" t="s">
        <v>1630</v>
      </c>
      <c r="C1065" t="s">
        <v>28</v>
      </c>
      <c r="D1065" t="s">
        <v>24</v>
      </c>
      <c r="E1065" t="s">
        <v>25</v>
      </c>
      <c r="F1065" t="s">
        <v>363</v>
      </c>
      <c r="G1065" t="s">
        <v>585</v>
      </c>
      <c r="H1065" t="s">
        <v>569</v>
      </c>
      <c r="I1065" t="s">
        <v>11</v>
      </c>
      <c r="J1065" t="s">
        <v>586</v>
      </c>
      <c r="K1065" t="s">
        <v>587</v>
      </c>
      <c r="L1065" t="s">
        <v>572</v>
      </c>
      <c r="M1065">
        <v>45</v>
      </c>
      <c r="N1065" t="b">
        <v>0</v>
      </c>
      <c r="O1065">
        <v>0.85022026431718056</v>
      </c>
      <c r="P1065">
        <v>0.8318965517241379</v>
      </c>
      <c r="Q1065">
        <v>0.86936936936936937</v>
      </c>
      <c r="R1065" t="s">
        <v>60</v>
      </c>
      <c r="S1065" t="s">
        <v>2556</v>
      </c>
      <c r="T1065" t="s">
        <v>2557</v>
      </c>
      <c r="U1065" t="b">
        <v>1</v>
      </c>
      <c r="V1065" t="s">
        <v>63</v>
      </c>
      <c r="W1065">
        <v>2.1</v>
      </c>
    </row>
    <row r="1066" spans="1:23" hidden="1" x14ac:dyDescent="0.3">
      <c r="A1066" t="s">
        <v>1629</v>
      </c>
      <c r="B1066" t="s">
        <v>1630</v>
      </c>
      <c r="C1066" t="s">
        <v>28</v>
      </c>
      <c r="D1066" t="s">
        <v>24</v>
      </c>
      <c r="E1066" t="s">
        <v>25</v>
      </c>
      <c r="F1066" t="s">
        <v>363</v>
      </c>
      <c r="G1066" t="s">
        <v>590</v>
      </c>
      <c r="H1066" t="s">
        <v>569</v>
      </c>
      <c r="I1066" t="s">
        <v>11</v>
      </c>
      <c r="J1066" t="s">
        <v>591</v>
      </c>
      <c r="K1066" t="s">
        <v>592</v>
      </c>
      <c r="L1066" t="s">
        <v>572</v>
      </c>
      <c r="M1066">
        <v>46</v>
      </c>
      <c r="N1066" t="b">
        <v>0</v>
      </c>
      <c r="O1066">
        <v>0.83956043956043958</v>
      </c>
      <c r="P1066">
        <v>0.81974248927038629</v>
      </c>
      <c r="Q1066">
        <v>0.86036036036036034</v>
      </c>
      <c r="R1066" t="s">
        <v>60</v>
      </c>
      <c r="S1066" t="s">
        <v>2558</v>
      </c>
      <c r="T1066" t="s">
        <v>2559</v>
      </c>
      <c r="U1066" t="b">
        <v>1</v>
      </c>
      <c r="V1066" t="s">
        <v>63</v>
      </c>
      <c r="W1066">
        <v>2.2999999999999998</v>
      </c>
    </row>
    <row r="1067" spans="1:23" hidden="1" x14ac:dyDescent="0.3">
      <c r="A1067" t="s">
        <v>1629</v>
      </c>
      <c r="B1067" t="s">
        <v>1630</v>
      </c>
      <c r="C1067" t="s">
        <v>28</v>
      </c>
      <c r="D1067" t="s">
        <v>24</v>
      </c>
      <c r="E1067" t="s">
        <v>25</v>
      </c>
      <c r="F1067" t="s">
        <v>363</v>
      </c>
      <c r="G1067" t="s">
        <v>595</v>
      </c>
      <c r="H1067" t="s">
        <v>569</v>
      </c>
      <c r="I1067" t="s">
        <v>11</v>
      </c>
      <c r="J1067" t="s">
        <v>596</v>
      </c>
      <c r="K1067" t="s">
        <v>597</v>
      </c>
      <c r="L1067" t="s">
        <v>572</v>
      </c>
      <c r="M1067">
        <v>47</v>
      </c>
      <c r="N1067" t="b">
        <v>0</v>
      </c>
      <c r="O1067">
        <v>0.84257206208425717</v>
      </c>
      <c r="P1067">
        <v>0.82969432314410485</v>
      </c>
      <c r="Q1067">
        <v>0.85585585585585588</v>
      </c>
      <c r="R1067" t="s">
        <v>60</v>
      </c>
      <c r="S1067" t="s">
        <v>2560</v>
      </c>
      <c r="T1067" t="s">
        <v>2561</v>
      </c>
      <c r="U1067" t="b">
        <v>1</v>
      </c>
      <c r="V1067" t="s">
        <v>63</v>
      </c>
      <c r="W1067">
        <v>1.9</v>
      </c>
    </row>
    <row r="1068" spans="1:23" hidden="1" x14ac:dyDescent="0.3">
      <c r="A1068" t="s">
        <v>1629</v>
      </c>
      <c r="B1068" t="s">
        <v>1630</v>
      </c>
      <c r="C1068" t="s">
        <v>28</v>
      </c>
      <c r="D1068" t="s">
        <v>24</v>
      </c>
      <c r="E1068" t="s">
        <v>25</v>
      </c>
      <c r="F1068" t="s">
        <v>363</v>
      </c>
      <c r="G1068" t="s">
        <v>600</v>
      </c>
      <c r="H1068" t="s">
        <v>569</v>
      </c>
      <c r="I1068" t="s">
        <v>11</v>
      </c>
      <c r="J1068" t="s">
        <v>601</v>
      </c>
      <c r="K1068" t="s">
        <v>602</v>
      </c>
      <c r="L1068" t="s">
        <v>572</v>
      </c>
      <c r="M1068">
        <v>48</v>
      </c>
      <c r="N1068" t="b">
        <v>0</v>
      </c>
      <c r="O1068">
        <v>0.8527472527472526</v>
      </c>
      <c r="P1068">
        <v>0.83261802575107291</v>
      </c>
      <c r="Q1068">
        <v>0.87387387387387383</v>
      </c>
      <c r="R1068" t="s">
        <v>60</v>
      </c>
      <c r="S1068" t="s">
        <v>2562</v>
      </c>
      <c r="T1068" t="s">
        <v>2563</v>
      </c>
      <c r="U1068" t="b">
        <v>1</v>
      </c>
      <c r="V1068" t="s">
        <v>63</v>
      </c>
      <c r="W1068">
        <v>2</v>
      </c>
    </row>
    <row r="1069" spans="1:23" hidden="1" x14ac:dyDescent="0.3">
      <c r="A1069" t="s">
        <v>1629</v>
      </c>
      <c r="B1069" t="s">
        <v>1630</v>
      </c>
      <c r="C1069" t="s">
        <v>28</v>
      </c>
      <c r="D1069" t="s">
        <v>24</v>
      </c>
      <c r="E1069" t="s">
        <v>25</v>
      </c>
      <c r="F1069" t="s">
        <v>363</v>
      </c>
      <c r="G1069" t="s">
        <v>605</v>
      </c>
      <c r="H1069" t="s">
        <v>569</v>
      </c>
      <c r="I1069" t="s">
        <v>11</v>
      </c>
      <c r="J1069" t="s">
        <v>606</v>
      </c>
      <c r="K1069" t="s">
        <v>607</v>
      </c>
      <c r="L1069" t="s">
        <v>572</v>
      </c>
      <c r="M1069">
        <v>49</v>
      </c>
      <c r="N1069" t="b">
        <v>0</v>
      </c>
      <c r="O1069">
        <v>0.84700665188470059</v>
      </c>
      <c r="P1069">
        <v>0.83406113537117899</v>
      </c>
      <c r="Q1069">
        <v>0.86036036036036034</v>
      </c>
      <c r="R1069" t="s">
        <v>60</v>
      </c>
      <c r="S1069" t="s">
        <v>2564</v>
      </c>
      <c r="T1069" t="s">
        <v>2565</v>
      </c>
      <c r="U1069" t="b">
        <v>1</v>
      </c>
      <c r="V1069" t="s">
        <v>63</v>
      </c>
      <c r="W1069">
        <v>2.2999999999999998</v>
      </c>
    </row>
    <row r="1070" spans="1:23" hidden="1" x14ac:dyDescent="0.3">
      <c r="A1070" t="s">
        <v>1629</v>
      </c>
      <c r="B1070" t="s">
        <v>1630</v>
      </c>
      <c r="C1070" t="s">
        <v>28</v>
      </c>
      <c r="D1070" t="s">
        <v>24</v>
      </c>
      <c r="E1070" t="s">
        <v>25</v>
      </c>
      <c r="F1070" t="s">
        <v>363</v>
      </c>
      <c r="G1070" t="s">
        <v>610</v>
      </c>
      <c r="H1070" t="s">
        <v>569</v>
      </c>
      <c r="I1070" t="s">
        <v>11</v>
      </c>
      <c r="J1070" t="s">
        <v>611</v>
      </c>
      <c r="K1070" t="s">
        <v>612</v>
      </c>
      <c r="L1070" t="s">
        <v>572</v>
      </c>
      <c r="M1070">
        <v>50</v>
      </c>
      <c r="N1070" t="b">
        <v>0</v>
      </c>
      <c r="O1070">
        <v>0.85022026431718056</v>
      </c>
      <c r="P1070">
        <v>0.8318965517241379</v>
      </c>
      <c r="Q1070">
        <v>0.86936936936936937</v>
      </c>
      <c r="R1070" t="s">
        <v>60</v>
      </c>
      <c r="S1070" t="s">
        <v>2566</v>
      </c>
      <c r="T1070" t="s">
        <v>2567</v>
      </c>
      <c r="U1070" t="b">
        <v>1</v>
      </c>
      <c r="V1070" t="s">
        <v>63</v>
      </c>
      <c r="W1070">
        <v>1.9</v>
      </c>
    </row>
    <row r="1071" spans="1:23" hidden="1" x14ac:dyDescent="0.3">
      <c r="A1071" t="s">
        <v>1629</v>
      </c>
      <c r="B1071" t="s">
        <v>1630</v>
      </c>
      <c r="C1071" t="s">
        <v>28</v>
      </c>
      <c r="D1071" t="s">
        <v>24</v>
      </c>
      <c r="E1071" t="s">
        <v>25</v>
      </c>
      <c r="F1071" t="s">
        <v>363</v>
      </c>
      <c r="G1071" t="s">
        <v>615</v>
      </c>
      <c r="H1071" t="s">
        <v>569</v>
      </c>
      <c r="I1071" t="s">
        <v>11</v>
      </c>
      <c r="J1071" t="s">
        <v>616</v>
      </c>
      <c r="K1071" t="s">
        <v>617</v>
      </c>
      <c r="L1071" t="s">
        <v>572</v>
      </c>
      <c r="M1071">
        <v>51</v>
      </c>
      <c r="N1071" t="b">
        <v>0</v>
      </c>
      <c r="O1071">
        <v>0.8590308370044053</v>
      </c>
      <c r="P1071">
        <v>0.84051724137931039</v>
      </c>
      <c r="Q1071">
        <v>0.8783783783783784</v>
      </c>
      <c r="R1071" t="s">
        <v>60</v>
      </c>
      <c r="S1071" t="s">
        <v>2568</v>
      </c>
      <c r="T1071" t="s">
        <v>2569</v>
      </c>
      <c r="U1071" t="b">
        <v>1</v>
      </c>
      <c r="V1071" t="s">
        <v>63</v>
      </c>
      <c r="W1071">
        <v>1.9</v>
      </c>
    </row>
    <row r="1072" spans="1:23" hidden="1" x14ac:dyDescent="0.3">
      <c r="A1072" t="s">
        <v>1629</v>
      </c>
      <c r="B1072" t="s">
        <v>1630</v>
      </c>
      <c r="C1072" t="s">
        <v>28</v>
      </c>
      <c r="D1072" t="s">
        <v>24</v>
      </c>
      <c r="E1072" t="s">
        <v>25</v>
      </c>
      <c r="F1072" t="s">
        <v>363</v>
      </c>
      <c r="G1072" t="s">
        <v>620</v>
      </c>
      <c r="H1072" t="s">
        <v>569</v>
      </c>
      <c r="I1072" t="s">
        <v>11</v>
      </c>
      <c r="J1072" t="s">
        <v>621</v>
      </c>
      <c r="K1072" t="s">
        <v>622</v>
      </c>
      <c r="L1072" t="s">
        <v>572</v>
      </c>
      <c r="M1072">
        <v>52</v>
      </c>
      <c r="N1072" t="b">
        <v>0</v>
      </c>
      <c r="O1072">
        <v>0.83116883116883122</v>
      </c>
      <c r="P1072">
        <v>0.8</v>
      </c>
      <c r="Q1072">
        <v>0.86486486486486491</v>
      </c>
      <c r="R1072" t="s">
        <v>60</v>
      </c>
      <c r="S1072" t="s">
        <v>2570</v>
      </c>
      <c r="T1072" t="s">
        <v>2571</v>
      </c>
      <c r="U1072" t="b">
        <v>1</v>
      </c>
      <c r="V1072" t="s">
        <v>63</v>
      </c>
      <c r="W1072">
        <v>2.2999999999999998</v>
      </c>
    </row>
    <row r="1073" spans="1:23" hidden="1" x14ac:dyDescent="0.3">
      <c r="A1073" t="s">
        <v>1629</v>
      </c>
      <c r="B1073" t="s">
        <v>1630</v>
      </c>
      <c r="C1073" t="s">
        <v>28</v>
      </c>
      <c r="D1073" t="s">
        <v>24</v>
      </c>
      <c r="E1073" t="s">
        <v>25</v>
      </c>
      <c r="F1073" t="s">
        <v>363</v>
      </c>
      <c r="G1073" t="s">
        <v>625</v>
      </c>
      <c r="H1073" t="s">
        <v>569</v>
      </c>
      <c r="I1073" t="s">
        <v>11</v>
      </c>
      <c r="J1073" t="s">
        <v>626</v>
      </c>
      <c r="K1073" t="s">
        <v>627</v>
      </c>
      <c r="L1073" t="s">
        <v>572</v>
      </c>
      <c r="M1073">
        <v>53</v>
      </c>
      <c r="N1073" t="b">
        <v>0</v>
      </c>
      <c r="O1073">
        <v>0.84835164835164845</v>
      </c>
      <c r="P1073">
        <v>0.8283261802575107</v>
      </c>
      <c r="Q1073">
        <v>0.86936936936936937</v>
      </c>
      <c r="R1073" t="s">
        <v>60</v>
      </c>
      <c r="S1073" t="s">
        <v>2572</v>
      </c>
      <c r="T1073" t="s">
        <v>2573</v>
      </c>
      <c r="U1073" t="b">
        <v>1</v>
      </c>
      <c r="V1073" t="s">
        <v>63</v>
      </c>
      <c r="W1073">
        <v>2.1</v>
      </c>
    </row>
    <row r="1074" spans="1:23" hidden="1" x14ac:dyDescent="0.3">
      <c r="A1074" t="s">
        <v>1629</v>
      </c>
      <c r="B1074" t="s">
        <v>1630</v>
      </c>
      <c r="C1074" t="s">
        <v>28</v>
      </c>
      <c r="D1074" t="s">
        <v>24</v>
      </c>
      <c r="E1074" t="s">
        <v>25</v>
      </c>
      <c r="F1074" t="s">
        <v>363</v>
      </c>
      <c r="G1074" t="s">
        <v>630</v>
      </c>
      <c r="H1074" t="s">
        <v>569</v>
      </c>
      <c r="I1074" t="s">
        <v>11</v>
      </c>
      <c r="J1074" t="s">
        <v>631</v>
      </c>
      <c r="K1074" t="s">
        <v>632</v>
      </c>
      <c r="L1074" t="s">
        <v>572</v>
      </c>
      <c r="M1074">
        <v>54</v>
      </c>
      <c r="N1074" t="b">
        <v>0</v>
      </c>
      <c r="O1074">
        <v>0.84632516703786187</v>
      </c>
      <c r="P1074">
        <v>0.83700440528634357</v>
      </c>
      <c r="Q1074">
        <v>0.85585585585585588</v>
      </c>
      <c r="R1074" t="s">
        <v>60</v>
      </c>
      <c r="S1074" t="s">
        <v>2574</v>
      </c>
      <c r="T1074" t="s">
        <v>2575</v>
      </c>
      <c r="U1074" t="b">
        <v>1</v>
      </c>
      <c r="V1074" t="s">
        <v>63</v>
      </c>
      <c r="W1074">
        <v>1.8</v>
      </c>
    </row>
    <row r="1075" spans="1:23" hidden="1" x14ac:dyDescent="0.3">
      <c r="A1075" t="s">
        <v>1629</v>
      </c>
      <c r="B1075" t="s">
        <v>1630</v>
      </c>
      <c r="C1075" t="s">
        <v>28</v>
      </c>
      <c r="D1075" t="s">
        <v>24</v>
      </c>
      <c r="E1075" t="s">
        <v>25</v>
      </c>
      <c r="F1075" t="s">
        <v>363</v>
      </c>
      <c r="G1075" t="s">
        <v>635</v>
      </c>
      <c r="H1075" t="s">
        <v>569</v>
      </c>
      <c r="I1075" t="s">
        <v>11</v>
      </c>
      <c r="J1075" t="s">
        <v>636</v>
      </c>
      <c r="K1075" t="s">
        <v>637</v>
      </c>
      <c r="L1075" t="s">
        <v>572</v>
      </c>
      <c r="M1075">
        <v>55</v>
      </c>
      <c r="N1075" t="b">
        <v>0</v>
      </c>
      <c r="O1075">
        <v>0.8507795100222717</v>
      </c>
      <c r="P1075">
        <v>0.84140969162995594</v>
      </c>
      <c r="Q1075">
        <v>0.86036036036036034</v>
      </c>
      <c r="R1075" t="s">
        <v>60</v>
      </c>
      <c r="S1075" t="s">
        <v>2576</v>
      </c>
      <c r="T1075" t="s">
        <v>2577</v>
      </c>
      <c r="U1075" t="b">
        <v>1</v>
      </c>
      <c r="V1075" t="s">
        <v>63</v>
      </c>
      <c r="W1075">
        <v>2.2999999999999998</v>
      </c>
    </row>
    <row r="1076" spans="1:23" hidden="1" x14ac:dyDescent="0.3">
      <c r="A1076" t="s">
        <v>1629</v>
      </c>
      <c r="B1076" t="s">
        <v>1630</v>
      </c>
      <c r="C1076" t="s">
        <v>28</v>
      </c>
      <c r="D1076" t="s">
        <v>24</v>
      </c>
      <c r="E1076" t="s">
        <v>25</v>
      </c>
      <c r="F1076" t="s">
        <v>363</v>
      </c>
      <c r="G1076" t="s">
        <v>640</v>
      </c>
      <c r="H1076" t="s">
        <v>569</v>
      </c>
      <c r="I1076" t="s">
        <v>11</v>
      </c>
      <c r="J1076" t="s">
        <v>641</v>
      </c>
      <c r="K1076" t="s">
        <v>642</v>
      </c>
      <c r="L1076" t="s">
        <v>572</v>
      </c>
      <c r="M1076">
        <v>56</v>
      </c>
      <c r="N1076" t="b">
        <v>0</v>
      </c>
      <c r="O1076">
        <v>0.83700440528634368</v>
      </c>
      <c r="P1076">
        <v>0.81896551724137934</v>
      </c>
      <c r="Q1076">
        <v>0.85585585585585588</v>
      </c>
      <c r="R1076" t="s">
        <v>60</v>
      </c>
      <c r="S1076" t="s">
        <v>2578</v>
      </c>
      <c r="T1076" t="s">
        <v>2579</v>
      </c>
      <c r="U1076" t="b">
        <v>1</v>
      </c>
      <c r="V1076" t="s">
        <v>63</v>
      </c>
      <c r="W1076">
        <v>1.3</v>
      </c>
    </row>
    <row r="1077" spans="1:23" hidden="1" x14ac:dyDescent="0.3">
      <c r="A1077" t="s">
        <v>1629</v>
      </c>
      <c r="B1077" t="s">
        <v>1630</v>
      </c>
      <c r="C1077" t="s">
        <v>28</v>
      </c>
      <c r="D1077" t="s">
        <v>24</v>
      </c>
      <c r="E1077" t="s">
        <v>25</v>
      </c>
      <c r="F1077" t="s">
        <v>363</v>
      </c>
      <c r="G1077" t="s">
        <v>645</v>
      </c>
      <c r="H1077" t="s">
        <v>569</v>
      </c>
      <c r="I1077" t="s">
        <v>11</v>
      </c>
      <c r="J1077" t="s">
        <v>646</v>
      </c>
      <c r="K1077" t="s">
        <v>647</v>
      </c>
      <c r="L1077" t="s">
        <v>572</v>
      </c>
      <c r="M1077">
        <v>57</v>
      </c>
      <c r="N1077" t="b">
        <v>0</v>
      </c>
      <c r="O1077">
        <v>0.84070796460176989</v>
      </c>
      <c r="P1077">
        <v>0.82608695652173914</v>
      </c>
      <c r="Q1077">
        <v>0.85585585585585588</v>
      </c>
      <c r="R1077" t="s">
        <v>60</v>
      </c>
      <c r="S1077" t="s">
        <v>2580</v>
      </c>
      <c r="T1077" t="s">
        <v>2581</v>
      </c>
      <c r="U1077" t="b">
        <v>1</v>
      </c>
      <c r="V1077" t="s">
        <v>63</v>
      </c>
      <c r="W1077">
        <v>1.3</v>
      </c>
    </row>
    <row r="1078" spans="1:23" hidden="1" x14ac:dyDescent="0.3">
      <c r="A1078" t="s">
        <v>1629</v>
      </c>
      <c r="B1078" t="s">
        <v>1630</v>
      </c>
      <c r="C1078" t="s">
        <v>28</v>
      </c>
      <c r="D1078" t="s">
        <v>24</v>
      </c>
      <c r="E1078" t="s">
        <v>25</v>
      </c>
      <c r="F1078" t="s">
        <v>363</v>
      </c>
      <c r="G1078" t="s">
        <v>650</v>
      </c>
      <c r="H1078" t="s">
        <v>569</v>
      </c>
      <c r="I1078" t="s">
        <v>11</v>
      </c>
      <c r="J1078" t="s">
        <v>651</v>
      </c>
      <c r="K1078" t="s">
        <v>652</v>
      </c>
      <c r="L1078" t="s">
        <v>572</v>
      </c>
      <c r="M1078">
        <v>58</v>
      </c>
      <c r="N1078" t="b">
        <v>0</v>
      </c>
      <c r="O1078">
        <v>0.8527472527472526</v>
      </c>
      <c r="P1078">
        <v>0.83261802575107291</v>
      </c>
      <c r="Q1078">
        <v>0.87387387387387383</v>
      </c>
      <c r="R1078" t="s">
        <v>60</v>
      </c>
      <c r="S1078" t="s">
        <v>2582</v>
      </c>
      <c r="T1078" t="s">
        <v>2583</v>
      </c>
      <c r="U1078" t="b">
        <v>1</v>
      </c>
      <c r="V1078" t="s">
        <v>63</v>
      </c>
      <c r="W1078">
        <v>1.3</v>
      </c>
    </row>
    <row r="1079" spans="1:23" hidden="1" x14ac:dyDescent="0.3">
      <c r="A1079" t="s">
        <v>1629</v>
      </c>
      <c r="B1079" t="s">
        <v>1630</v>
      </c>
      <c r="C1079" t="s">
        <v>28</v>
      </c>
      <c r="D1079" t="s">
        <v>24</v>
      </c>
      <c r="E1079" t="s">
        <v>25</v>
      </c>
      <c r="F1079" t="s">
        <v>363</v>
      </c>
      <c r="G1079" t="s">
        <v>655</v>
      </c>
      <c r="H1079" t="s">
        <v>569</v>
      </c>
      <c r="I1079" t="s">
        <v>11</v>
      </c>
      <c r="J1079" t="s">
        <v>656</v>
      </c>
      <c r="K1079" t="s">
        <v>657</v>
      </c>
      <c r="L1079" t="s">
        <v>572</v>
      </c>
      <c r="M1079">
        <v>59</v>
      </c>
      <c r="N1079" t="b">
        <v>0</v>
      </c>
      <c r="O1079">
        <v>0.85651214128035313</v>
      </c>
      <c r="P1079">
        <v>0.83982683982683981</v>
      </c>
      <c r="Q1079">
        <v>0.87387387387387383</v>
      </c>
      <c r="R1079" t="s">
        <v>60</v>
      </c>
      <c r="S1079" t="s">
        <v>2584</v>
      </c>
      <c r="T1079" t="s">
        <v>2585</v>
      </c>
      <c r="U1079" t="b">
        <v>1</v>
      </c>
      <c r="V1079" t="s">
        <v>63</v>
      </c>
      <c r="W1079">
        <v>1.7</v>
      </c>
    </row>
    <row r="1080" spans="1:23" hidden="1" x14ac:dyDescent="0.3">
      <c r="A1080" t="s">
        <v>1629</v>
      </c>
      <c r="B1080" t="s">
        <v>1630</v>
      </c>
      <c r="C1080" t="s">
        <v>28</v>
      </c>
      <c r="D1080" t="s">
        <v>24</v>
      </c>
      <c r="E1080" t="s">
        <v>25</v>
      </c>
      <c r="F1080" t="s">
        <v>363</v>
      </c>
      <c r="G1080" t="s">
        <v>660</v>
      </c>
      <c r="H1080" t="s">
        <v>569</v>
      </c>
      <c r="I1080" t="s">
        <v>11</v>
      </c>
      <c r="J1080" t="s">
        <v>661</v>
      </c>
      <c r="K1080" t="s">
        <v>662</v>
      </c>
      <c r="L1080" t="s">
        <v>572</v>
      </c>
      <c r="M1080">
        <v>60</v>
      </c>
      <c r="N1080" t="b">
        <v>0</v>
      </c>
      <c r="O1080">
        <v>0.84463894967177233</v>
      </c>
      <c r="P1080">
        <v>0.82127659574468082</v>
      </c>
      <c r="Q1080">
        <v>0.86936936936936937</v>
      </c>
      <c r="R1080" t="s">
        <v>60</v>
      </c>
      <c r="S1080" t="s">
        <v>2586</v>
      </c>
      <c r="T1080" t="s">
        <v>2587</v>
      </c>
      <c r="U1080" t="b">
        <v>1</v>
      </c>
      <c r="V1080" t="s">
        <v>63</v>
      </c>
      <c r="W1080">
        <v>1.3</v>
      </c>
    </row>
    <row r="1081" spans="1:23" hidden="1" x14ac:dyDescent="0.3">
      <c r="A1081" t="s">
        <v>1629</v>
      </c>
      <c r="B1081" t="s">
        <v>1630</v>
      </c>
      <c r="C1081" t="s">
        <v>28</v>
      </c>
      <c r="D1081" t="s">
        <v>24</v>
      </c>
      <c r="E1081" t="s">
        <v>25</v>
      </c>
      <c r="F1081" t="s">
        <v>363</v>
      </c>
      <c r="G1081" t="s">
        <v>665</v>
      </c>
      <c r="H1081" t="s">
        <v>569</v>
      </c>
      <c r="I1081" t="s">
        <v>11</v>
      </c>
      <c r="J1081" t="s">
        <v>666</v>
      </c>
      <c r="K1081" t="s">
        <v>667</v>
      </c>
      <c r="L1081" t="s">
        <v>572</v>
      </c>
      <c r="M1081">
        <v>61</v>
      </c>
      <c r="N1081" t="b">
        <v>0</v>
      </c>
      <c r="O1081">
        <v>0.8488888888888888</v>
      </c>
      <c r="P1081">
        <v>0.83771929824561409</v>
      </c>
      <c r="Q1081">
        <v>0.86036036036036034</v>
      </c>
      <c r="R1081" t="s">
        <v>60</v>
      </c>
      <c r="S1081" t="s">
        <v>2588</v>
      </c>
      <c r="T1081" t="s">
        <v>2589</v>
      </c>
      <c r="U1081" t="b">
        <v>1</v>
      </c>
      <c r="V1081" t="s">
        <v>63</v>
      </c>
      <c r="W1081">
        <v>1.7</v>
      </c>
    </row>
    <row r="1082" spans="1:23" hidden="1" x14ac:dyDescent="0.3">
      <c r="A1082" t="s">
        <v>1629</v>
      </c>
      <c r="B1082" t="s">
        <v>1630</v>
      </c>
      <c r="C1082" t="s">
        <v>28</v>
      </c>
      <c r="D1082" t="s">
        <v>26</v>
      </c>
      <c r="E1082" t="s">
        <v>27</v>
      </c>
      <c r="F1082" t="s">
        <v>54</v>
      </c>
      <c r="G1082" t="s">
        <v>55</v>
      </c>
      <c r="H1082" t="s">
        <v>56</v>
      </c>
      <c r="I1082" t="s">
        <v>7</v>
      </c>
      <c r="J1082" t="s">
        <v>57</v>
      </c>
      <c r="K1082" t="s">
        <v>58</v>
      </c>
      <c r="L1082" t="s">
        <v>59</v>
      </c>
      <c r="M1082">
        <v>42</v>
      </c>
      <c r="N1082" t="b">
        <v>1</v>
      </c>
      <c r="O1082">
        <v>0.79002079002079006</v>
      </c>
      <c r="P1082">
        <v>0.75697211155378485</v>
      </c>
      <c r="Q1082">
        <v>0.82608695652173914</v>
      </c>
      <c r="R1082" t="s">
        <v>60</v>
      </c>
      <c r="S1082" t="s">
        <v>2590</v>
      </c>
      <c r="T1082" t="s">
        <v>2591</v>
      </c>
      <c r="U1082" t="b">
        <v>1</v>
      </c>
      <c r="V1082" t="s">
        <v>63</v>
      </c>
      <c r="W1082">
        <v>4.4000000000000004</v>
      </c>
    </row>
    <row r="1083" spans="1:23" hidden="1" x14ac:dyDescent="0.3">
      <c r="A1083" t="s">
        <v>1629</v>
      </c>
      <c r="B1083" t="s">
        <v>1630</v>
      </c>
      <c r="C1083" t="s">
        <v>28</v>
      </c>
      <c r="D1083" t="s">
        <v>26</v>
      </c>
      <c r="E1083" t="s">
        <v>27</v>
      </c>
      <c r="F1083" t="s">
        <v>54</v>
      </c>
      <c r="G1083" t="s">
        <v>64</v>
      </c>
      <c r="H1083" t="s">
        <v>56</v>
      </c>
      <c r="I1083" t="s">
        <v>7</v>
      </c>
      <c r="J1083" t="s">
        <v>65</v>
      </c>
      <c r="K1083" t="s">
        <v>66</v>
      </c>
      <c r="L1083" t="s">
        <v>59</v>
      </c>
      <c r="M1083">
        <v>43</v>
      </c>
      <c r="N1083" t="b">
        <v>1</v>
      </c>
      <c r="O1083">
        <v>0.71428571428571419</v>
      </c>
      <c r="P1083">
        <v>0.69105691056910568</v>
      </c>
      <c r="Q1083">
        <v>0.73913043478260865</v>
      </c>
      <c r="R1083" t="s">
        <v>60</v>
      </c>
      <c r="S1083" t="s">
        <v>2592</v>
      </c>
      <c r="T1083" t="s">
        <v>2593</v>
      </c>
      <c r="U1083" t="b">
        <v>1</v>
      </c>
      <c r="V1083" t="s">
        <v>63</v>
      </c>
      <c r="W1083">
        <v>1.3</v>
      </c>
    </row>
    <row r="1084" spans="1:23" hidden="1" x14ac:dyDescent="0.3">
      <c r="A1084" t="s">
        <v>1629</v>
      </c>
      <c r="B1084" t="s">
        <v>1630</v>
      </c>
      <c r="C1084" t="s">
        <v>28</v>
      </c>
      <c r="D1084" t="s">
        <v>26</v>
      </c>
      <c r="E1084" t="s">
        <v>27</v>
      </c>
      <c r="F1084" t="s">
        <v>54</v>
      </c>
      <c r="G1084" t="s">
        <v>69</v>
      </c>
      <c r="H1084" t="s">
        <v>56</v>
      </c>
      <c r="I1084" t="s">
        <v>7</v>
      </c>
      <c r="J1084" t="s">
        <v>70</v>
      </c>
      <c r="K1084" t="s">
        <v>71</v>
      </c>
      <c r="L1084" t="s">
        <v>59</v>
      </c>
      <c r="M1084">
        <v>44</v>
      </c>
      <c r="N1084" t="b">
        <v>1</v>
      </c>
      <c r="O1084">
        <v>0.7653276955602536</v>
      </c>
      <c r="P1084">
        <v>0.74485596707818935</v>
      </c>
      <c r="Q1084">
        <v>0.78695652173913044</v>
      </c>
      <c r="R1084" t="s">
        <v>60</v>
      </c>
      <c r="S1084" t="s">
        <v>2594</v>
      </c>
      <c r="T1084" t="s">
        <v>2595</v>
      </c>
      <c r="U1084" t="b">
        <v>1</v>
      </c>
      <c r="V1084" t="s">
        <v>63</v>
      </c>
      <c r="W1084">
        <v>1.3</v>
      </c>
    </row>
    <row r="1085" spans="1:23" hidden="1" x14ac:dyDescent="0.3">
      <c r="A1085" t="s">
        <v>1629</v>
      </c>
      <c r="B1085" t="s">
        <v>1630</v>
      </c>
      <c r="C1085" t="s">
        <v>28</v>
      </c>
      <c r="D1085" t="s">
        <v>26</v>
      </c>
      <c r="E1085" t="s">
        <v>27</v>
      </c>
      <c r="F1085" t="s">
        <v>54</v>
      </c>
      <c r="G1085" t="s">
        <v>74</v>
      </c>
      <c r="H1085" t="s">
        <v>56</v>
      </c>
      <c r="I1085" t="s">
        <v>7</v>
      </c>
      <c r="J1085" t="s">
        <v>75</v>
      </c>
      <c r="K1085" t="s">
        <v>76</v>
      </c>
      <c r="L1085" t="s">
        <v>59</v>
      </c>
      <c r="M1085">
        <v>45</v>
      </c>
      <c r="N1085" t="b">
        <v>1</v>
      </c>
      <c r="O1085">
        <v>0.78813559322033888</v>
      </c>
      <c r="P1085">
        <v>0.76859504132231404</v>
      </c>
      <c r="Q1085">
        <v>0.80869565217391304</v>
      </c>
      <c r="R1085" t="s">
        <v>60</v>
      </c>
      <c r="S1085" t="s">
        <v>2596</v>
      </c>
      <c r="T1085" t="s">
        <v>2597</v>
      </c>
      <c r="U1085" t="b">
        <v>1</v>
      </c>
      <c r="V1085" t="s">
        <v>63</v>
      </c>
      <c r="W1085">
        <v>1.7</v>
      </c>
    </row>
    <row r="1086" spans="1:23" hidden="1" x14ac:dyDescent="0.3">
      <c r="A1086" t="s">
        <v>1629</v>
      </c>
      <c r="B1086" t="s">
        <v>1630</v>
      </c>
      <c r="C1086" t="s">
        <v>28</v>
      </c>
      <c r="D1086" t="s">
        <v>26</v>
      </c>
      <c r="E1086" t="s">
        <v>27</v>
      </c>
      <c r="F1086" t="s">
        <v>54</v>
      </c>
      <c r="G1086" t="s">
        <v>79</v>
      </c>
      <c r="H1086" t="s">
        <v>56</v>
      </c>
      <c r="I1086" t="s">
        <v>7</v>
      </c>
      <c r="J1086" t="s">
        <v>80</v>
      </c>
      <c r="K1086" t="s">
        <v>81</v>
      </c>
      <c r="L1086" t="s">
        <v>59</v>
      </c>
      <c r="M1086">
        <v>46</v>
      </c>
      <c r="N1086" t="b">
        <v>1</v>
      </c>
      <c r="O1086">
        <v>0.74418604651162801</v>
      </c>
      <c r="P1086">
        <v>0.72427983539094654</v>
      </c>
      <c r="Q1086">
        <v>0.76521739130434785</v>
      </c>
      <c r="R1086" t="s">
        <v>60</v>
      </c>
      <c r="S1086" t="s">
        <v>2598</v>
      </c>
      <c r="T1086" t="s">
        <v>2599</v>
      </c>
      <c r="U1086" t="b">
        <v>1</v>
      </c>
      <c r="V1086" t="s">
        <v>63</v>
      </c>
      <c r="W1086">
        <v>1.3</v>
      </c>
    </row>
    <row r="1087" spans="1:23" hidden="1" x14ac:dyDescent="0.3">
      <c r="A1087" t="s">
        <v>1629</v>
      </c>
      <c r="B1087" t="s">
        <v>1630</v>
      </c>
      <c r="C1087" t="s">
        <v>28</v>
      </c>
      <c r="D1087" t="s">
        <v>26</v>
      </c>
      <c r="E1087" t="s">
        <v>27</v>
      </c>
      <c r="F1087" t="s">
        <v>54</v>
      </c>
      <c r="G1087" t="s">
        <v>84</v>
      </c>
      <c r="H1087" t="s">
        <v>56</v>
      </c>
      <c r="I1087" t="s">
        <v>7</v>
      </c>
      <c r="J1087" t="s">
        <v>85</v>
      </c>
      <c r="K1087" t="s">
        <v>86</v>
      </c>
      <c r="L1087" t="s">
        <v>59</v>
      </c>
      <c r="M1087">
        <v>47</v>
      </c>
      <c r="N1087" t="b">
        <v>1</v>
      </c>
      <c r="O1087">
        <v>0.79002079002079006</v>
      </c>
      <c r="P1087">
        <v>0.75697211155378485</v>
      </c>
      <c r="Q1087">
        <v>0.82608695652173914</v>
      </c>
      <c r="R1087" t="s">
        <v>60</v>
      </c>
      <c r="S1087" t="s">
        <v>2600</v>
      </c>
      <c r="T1087" t="s">
        <v>2601</v>
      </c>
      <c r="U1087" t="b">
        <v>1</v>
      </c>
      <c r="V1087" t="s">
        <v>63</v>
      </c>
      <c r="W1087">
        <v>1.7</v>
      </c>
    </row>
    <row r="1088" spans="1:23" hidden="1" x14ac:dyDescent="0.3">
      <c r="A1088" t="s">
        <v>1629</v>
      </c>
      <c r="B1088" t="s">
        <v>1630</v>
      </c>
      <c r="C1088" t="s">
        <v>28</v>
      </c>
      <c r="D1088" t="s">
        <v>26</v>
      </c>
      <c r="E1088" t="s">
        <v>27</v>
      </c>
      <c r="F1088" t="s">
        <v>54</v>
      </c>
      <c r="G1088" t="s">
        <v>89</v>
      </c>
      <c r="H1088" t="s">
        <v>56</v>
      </c>
      <c r="I1088" t="s">
        <v>7</v>
      </c>
      <c r="J1088" t="s">
        <v>90</v>
      </c>
      <c r="K1088" t="s">
        <v>91</v>
      </c>
      <c r="L1088" t="s">
        <v>59</v>
      </c>
      <c r="M1088">
        <v>48</v>
      </c>
      <c r="N1088" t="b">
        <v>1</v>
      </c>
      <c r="O1088">
        <v>0.80761099365750522</v>
      </c>
      <c r="P1088">
        <v>0.78600823045267487</v>
      </c>
      <c r="Q1088">
        <v>0.83043478260869563</v>
      </c>
      <c r="R1088" t="s">
        <v>60</v>
      </c>
      <c r="S1088" t="s">
        <v>2602</v>
      </c>
      <c r="T1088" t="s">
        <v>2603</v>
      </c>
      <c r="U1088" t="b">
        <v>1</v>
      </c>
      <c r="V1088" t="s">
        <v>63</v>
      </c>
      <c r="W1088">
        <v>1.3</v>
      </c>
    </row>
    <row r="1089" spans="1:23" hidden="1" x14ac:dyDescent="0.3">
      <c r="A1089" t="s">
        <v>1629</v>
      </c>
      <c r="B1089" t="s">
        <v>1630</v>
      </c>
      <c r="C1089" t="s">
        <v>28</v>
      </c>
      <c r="D1089" t="s">
        <v>26</v>
      </c>
      <c r="E1089" t="s">
        <v>27</v>
      </c>
      <c r="F1089" t="s">
        <v>54</v>
      </c>
      <c r="G1089" t="s">
        <v>94</v>
      </c>
      <c r="H1089" t="s">
        <v>56</v>
      </c>
      <c r="I1089" t="s">
        <v>7</v>
      </c>
      <c r="J1089" t="s">
        <v>95</v>
      </c>
      <c r="K1089" t="s">
        <v>96</v>
      </c>
      <c r="L1089" t="s">
        <v>59</v>
      </c>
      <c r="M1089">
        <v>49</v>
      </c>
      <c r="N1089" t="b">
        <v>1</v>
      </c>
      <c r="O1089">
        <v>0.77142857142857146</v>
      </c>
      <c r="P1089">
        <v>0.72692307692307689</v>
      </c>
      <c r="Q1089">
        <v>0.82173913043478264</v>
      </c>
      <c r="R1089" t="s">
        <v>60</v>
      </c>
      <c r="S1089" t="s">
        <v>2604</v>
      </c>
      <c r="T1089" t="s">
        <v>2605</v>
      </c>
      <c r="U1089" t="b">
        <v>1</v>
      </c>
      <c r="V1089" t="s">
        <v>63</v>
      </c>
      <c r="W1089">
        <v>1.3</v>
      </c>
    </row>
    <row r="1090" spans="1:23" hidden="1" x14ac:dyDescent="0.3">
      <c r="A1090" t="s">
        <v>1629</v>
      </c>
      <c r="B1090" t="s">
        <v>1630</v>
      </c>
      <c r="C1090" t="s">
        <v>28</v>
      </c>
      <c r="D1090" t="s">
        <v>26</v>
      </c>
      <c r="E1090" t="s">
        <v>27</v>
      </c>
      <c r="F1090" t="s">
        <v>54</v>
      </c>
      <c r="G1090" t="s">
        <v>99</v>
      </c>
      <c r="H1090" t="s">
        <v>56</v>
      </c>
      <c r="I1090" t="s">
        <v>7</v>
      </c>
      <c r="J1090" t="s">
        <v>100</v>
      </c>
      <c r="K1090" t="s">
        <v>101</v>
      </c>
      <c r="L1090" t="s">
        <v>59</v>
      </c>
      <c r="M1090">
        <v>50</v>
      </c>
      <c r="N1090" t="b">
        <v>1</v>
      </c>
      <c r="O1090">
        <v>0.78600823045267498</v>
      </c>
      <c r="P1090">
        <v>0.74609375</v>
      </c>
      <c r="Q1090">
        <v>0.83043478260869563</v>
      </c>
      <c r="R1090" t="s">
        <v>60</v>
      </c>
      <c r="S1090" t="s">
        <v>2606</v>
      </c>
      <c r="T1090" t="s">
        <v>2607</v>
      </c>
      <c r="U1090" t="b">
        <v>1</v>
      </c>
      <c r="V1090" t="s">
        <v>63</v>
      </c>
      <c r="W1090">
        <v>1.7</v>
      </c>
    </row>
    <row r="1091" spans="1:23" hidden="1" x14ac:dyDescent="0.3">
      <c r="A1091" t="s">
        <v>1629</v>
      </c>
      <c r="B1091" t="s">
        <v>1630</v>
      </c>
      <c r="C1091" t="s">
        <v>28</v>
      </c>
      <c r="D1091" t="s">
        <v>26</v>
      </c>
      <c r="E1091" t="s">
        <v>27</v>
      </c>
      <c r="F1091" t="s">
        <v>54</v>
      </c>
      <c r="G1091" t="s">
        <v>104</v>
      </c>
      <c r="H1091" t="s">
        <v>56</v>
      </c>
      <c r="I1091" t="s">
        <v>7</v>
      </c>
      <c r="J1091" t="s">
        <v>105</v>
      </c>
      <c r="K1091" t="s">
        <v>106</v>
      </c>
      <c r="L1091" t="s">
        <v>59</v>
      </c>
      <c r="M1091">
        <v>51</v>
      </c>
      <c r="N1091" t="b">
        <v>1</v>
      </c>
      <c r="O1091">
        <v>0.75</v>
      </c>
      <c r="P1091">
        <v>0.73140495867768596</v>
      </c>
      <c r="Q1091">
        <v>0.76956521739130435</v>
      </c>
      <c r="R1091" t="s">
        <v>60</v>
      </c>
      <c r="S1091" t="s">
        <v>2608</v>
      </c>
      <c r="T1091" t="s">
        <v>2609</v>
      </c>
      <c r="U1091" t="b">
        <v>1</v>
      </c>
      <c r="V1091" t="s">
        <v>63</v>
      </c>
      <c r="W1091">
        <v>1.3</v>
      </c>
    </row>
    <row r="1092" spans="1:23" hidden="1" x14ac:dyDescent="0.3">
      <c r="A1092" t="s">
        <v>1629</v>
      </c>
      <c r="B1092" t="s">
        <v>1630</v>
      </c>
      <c r="C1092" t="s">
        <v>28</v>
      </c>
      <c r="D1092" t="s">
        <v>26</v>
      </c>
      <c r="E1092" t="s">
        <v>27</v>
      </c>
      <c r="F1092" t="s">
        <v>54</v>
      </c>
      <c r="G1092" t="s">
        <v>109</v>
      </c>
      <c r="H1092" t="s">
        <v>56</v>
      </c>
      <c r="I1092" t="s">
        <v>7</v>
      </c>
      <c r="J1092" t="s">
        <v>110</v>
      </c>
      <c r="K1092" t="s">
        <v>111</v>
      </c>
      <c r="L1092" t="s">
        <v>59</v>
      </c>
      <c r="M1092">
        <v>52</v>
      </c>
      <c r="N1092" t="b">
        <v>1</v>
      </c>
      <c r="O1092">
        <v>0.80167014613778709</v>
      </c>
      <c r="P1092">
        <v>0.77108433734939763</v>
      </c>
      <c r="Q1092">
        <v>0.83478260869565213</v>
      </c>
      <c r="R1092" t="s">
        <v>60</v>
      </c>
      <c r="S1092" t="s">
        <v>2610</v>
      </c>
      <c r="T1092" t="s">
        <v>2611</v>
      </c>
      <c r="U1092" t="b">
        <v>1</v>
      </c>
      <c r="V1092" t="s">
        <v>63</v>
      </c>
      <c r="W1092">
        <v>1.3</v>
      </c>
    </row>
    <row r="1093" spans="1:23" hidden="1" x14ac:dyDescent="0.3">
      <c r="A1093" t="s">
        <v>1629</v>
      </c>
      <c r="B1093" t="s">
        <v>1630</v>
      </c>
      <c r="C1093" t="s">
        <v>28</v>
      </c>
      <c r="D1093" t="s">
        <v>26</v>
      </c>
      <c r="E1093" t="s">
        <v>27</v>
      </c>
      <c r="F1093" t="s">
        <v>54</v>
      </c>
      <c r="G1093" t="s">
        <v>114</v>
      </c>
      <c r="H1093" t="s">
        <v>56</v>
      </c>
      <c r="I1093" t="s">
        <v>7</v>
      </c>
      <c r="J1093" t="s">
        <v>115</v>
      </c>
      <c r="K1093" t="s">
        <v>116</v>
      </c>
      <c r="L1093" t="s">
        <v>59</v>
      </c>
      <c r="M1093">
        <v>53</v>
      </c>
      <c r="N1093" t="b">
        <v>1</v>
      </c>
      <c r="O1093">
        <v>0.73730684326710816</v>
      </c>
      <c r="P1093">
        <v>0.7488789237668162</v>
      </c>
      <c r="Q1093">
        <v>0.72608695652173916</v>
      </c>
      <c r="R1093" t="s">
        <v>60</v>
      </c>
      <c r="S1093" t="s">
        <v>2612</v>
      </c>
      <c r="T1093" t="s">
        <v>2613</v>
      </c>
      <c r="U1093" t="b">
        <v>1</v>
      </c>
      <c r="V1093" t="s">
        <v>63</v>
      </c>
      <c r="W1093">
        <v>1.3</v>
      </c>
    </row>
    <row r="1094" spans="1:23" hidden="1" x14ac:dyDescent="0.3">
      <c r="A1094" t="s">
        <v>1629</v>
      </c>
      <c r="B1094" t="s">
        <v>1630</v>
      </c>
      <c r="C1094" t="s">
        <v>28</v>
      </c>
      <c r="D1094" t="s">
        <v>26</v>
      </c>
      <c r="E1094" t="s">
        <v>27</v>
      </c>
      <c r="F1094" t="s">
        <v>54</v>
      </c>
      <c r="G1094" t="s">
        <v>119</v>
      </c>
      <c r="H1094" t="s">
        <v>56</v>
      </c>
      <c r="I1094" t="s">
        <v>7</v>
      </c>
      <c r="J1094" t="s">
        <v>120</v>
      </c>
      <c r="K1094" t="s">
        <v>121</v>
      </c>
      <c r="L1094" t="s">
        <v>59</v>
      </c>
      <c r="M1094">
        <v>54</v>
      </c>
      <c r="N1094" t="b">
        <v>1</v>
      </c>
      <c r="O1094">
        <v>0.74730021598272134</v>
      </c>
      <c r="P1094">
        <v>0.74248927038626611</v>
      </c>
      <c r="Q1094">
        <v>0.75217391304347825</v>
      </c>
      <c r="R1094" t="s">
        <v>60</v>
      </c>
      <c r="S1094" t="s">
        <v>2614</v>
      </c>
      <c r="T1094" t="s">
        <v>2615</v>
      </c>
      <c r="U1094" t="b">
        <v>1</v>
      </c>
      <c r="V1094" t="s">
        <v>63</v>
      </c>
      <c r="W1094">
        <v>1.8</v>
      </c>
    </row>
    <row r="1095" spans="1:23" hidden="1" x14ac:dyDescent="0.3">
      <c r="A1095" t="s">
        <v>1629</v>
      </c>
      <c r="B1095" t="s">
        <v>1630</v>
      </c>
      <c r="C1095" t="s">
        <v>28</v>
      </c>
      <c r="D1095" t="s">
        <v>26</v>
      </c>
      <c r="E1095" t="s">
        <v>27</v>
      </c>
      <c r="F1095" t="s">
        <v>54</v>
      </c>
      <c r="G1095" t="s">
        <v>124</v>
      </c>
      <c r="H1095" t="s">
        <v>56</v>
      </c>
      <c r="I1095" t="s">
        <v>7</v>
      </c>
      <c r="J1095" t="s">
        <v>125</v>
      </c>
      <c r="K1095" t="s">
        <v>126</v>
      </c>
      <c r="L1095" t="s">
        <v>59</v>
      </c>
      <c r="M1095">
        <v>55</v>
      </c>
      <c r="N1095" t="b">
        <v>1</v>
      </c>
      <c r="O1095">
        <v>0.75</v>
      </c>
      <c r="P1095">
        <v>0.75663716814159288</v>
      </c>
      <c r="Q1095">
        <v>0.74347826086956526</v>
      </c>
      <c r="R1095" t="s">
        <v>60</v>
      </c>
      <c r="S1095" t="s">
        <v>2616</v>
      </c>
      <c r="T1095" t="s">
        <v>2617</v>
      </c>
      <c r="U1095" t="b">
        <v>1</v>
      </c>
      <c r="V1095" t="s">
        <v>63</v>
      </c>
      <c r="W1095">
        <v>1.4</v>
      </c>
    </row>
    <row r="1096" spans="1:23" hidden="1" x14ac:dyDescent="0.3">
      <c r="A1096" t="s">
        <v>1629</v>
      </c>
      <c r="B1096" t="s">
        <v>1630</v>
      </c>
      <c r="C1096" t="s">
        <v>28</v>
      </c>
      <c r="D1096" t="s">
        <v>26</v>
      </c>
      <c r="E1096" t="s">
        <v>27</v>
      </c>
      <c r="F1096" t="s">
        <v>54</v>
      </c>
      <c r="G1096" t="s">
        <v>129</v>
      </c>
      <c r="H1096" t="s">
        <v>56</v>
      </c>
      <c r="I1096" t="s">
        <v>7</v>
      </c>
      <c r="J1096" t="s">
        <v>130</v>
      </c>
      <c r="K1096" t="s">
        <v>131</v>
      </c>
      <c r="L1096" t="s">
        <v>59</v>
      </c>
      <c r="M1096">
        <v>56</v>
      </c>
      <c r="N1096" t="b">
        <v>1</v>
      </c>
      <c r="O1096">
        <v>0.79157894736842105</v>
      </c>
      <c r="P1096">
        <v>0.76734693877551019</v>
      </c>
      <c r="Q1096">
        <v>0.81739130434782614</v>
      </c>
      <c r="R1096" t="s">
        <v>60</v>
      </c>
      <c r="S1096" t="s">
        <v>2618</v>
      </c>
      <c r="T1096" t="s">
        <v>2619</v>
      </c>
      <c r="U1096" t="b">
        <v>1</v>
      </c>
      <c r="V1096" t="s">
        <v>63</v>
      </c>
      <c r="W1096">
        <v>1.7</v>
      </c>
    </row>
    <row r="1097" spans="1:23" hidden="1" x14ac:dyDescent="0.3">
      <c r="A1097" t="s">
        <v>1629</v>
      </c>
      <c r="B1097" t="s">
        <v>1630</v>
      </c>
      <c r="C1097" t="s">
        <v>28</v>
      </c>
      <c r="D1097" t="s">
        <v>26</v>
      </c>
      <c r="E1097" t="s">
        <v>27</v>
      </c>
      <c r="F1097" t="s">
        <v>54</v>
      </c>
      <c r="G1097" t="s">
        <v>134</v>
      </c>
      <c r="H1097" t="s">
        <v>56</v>
      </c>
      <c r="I1097" t="s">
        <v>7</v>
      </c>
      <c r="J1097" t="s">
        <v>135</v>
      </c>
      <c r="K1097" t="s">
        <v>136</v>
      </c>
      <c r="L1097" t="s">
        <v>59</v>
      </c>
      <c r="M1097">
        <v>57</v>
      </c>
      <c r="N1097" t="b">
        <v>1</v>
      </c>
      <c r="O1097">
        <v>0.76457883369330448</v>
      </c>
      <c r="P1097">
        <v>0.75965665236051505</v>
      </c>
      <c r="Q1097">
        <v>0.76956521739130435</v>
      </c>
      <c r="R1097" t="s">
        <v>60</v>
      </c>
      <c r="S1097" t="s">
        <v>2620</v>
      </c>
      <c r="T1097" t="s">
        <v>2621</v>
      </c>
      <c r="U1097" t="b">
        <v>1</v>
      </c>
      <c r="V1097" t="s">
        <v>63</v>
      </c>
      <c r="W1097">
        <v>1.3</v>
      </c>
    </row>
    <row r="1098" spans="1:23" hidden="1" x14ac:dyDescent="0.3">
      <c r="A1098" t="s">
        <v>1629</v>
      </c>
      <c r="B1098" t="s">
        <v>1630</v>
      </c>
      <c r="C1098" t="s">
        <v>28</v>
      </c>
      <c r="D1098" t="s">
        <v>26</v>
      </c>
      <c r="E1098" t="s">
        <v>27</v>
      </c>
      <c r="F1098" t="s">
        <v>54</v>
      </c>
      <c r="G1098" t="s">
        <v>139</v>
      </c>
      <c r="H1098" t="s">
        <v>56</v>
      </c>
      <c r="I1098" t="s">
        <v>7</v>
      </c>
      <c r="J1098" t="s">
        <v>140</v>
      </c>
      <c r="K1098" t="s">
        <v>141</v>
      </c>
      <c r="L1098" t="s">
        <v>59</v>
      </c>
      <c r="M1098">
        <v>58</v>
      </c>
      <c r="N1098" t="b">
        <v>1</v>
      </c>
      <c r="O1098">
        <v>0.79253112033195028</v>
      </c>
      <c r="P1098">
        <v>0.75793650793650791</v>
      </c>
      <c r="Q1098">
        <v>0.83043478260869563</v>
      </c>
      <c r="R1098" t="s">
        <v>60</v>
      </c>
      <c r="S1098" t="s">
        <v>2622</v>
      </c>
      <c r="T1098" t="s">
        <v>2623</v>
      </c>
      <c r="U1098" t="b">
        <v>1</v>
      </c>
      <c r="V1098" t="s">
        <v>63</v>
      </c>
      <c r="W1098">
        <v>1.3</v>
      </c>
    </row>
    <row r="1099" spans="1:23" hidden="1" x14ac:dyDescent="0.3">
      <c r="A1099" t="s">
        <v>1629</v>
      </c>
      <c r="B1099" t="s">
        <v>1630</v>
      </c>
      <c r="C1099" t="s">
        <v>28</v>
      </c>
      <c r="D1099" t="s">
        <v>26</v>
      </c>
      <c r="E1099" t="s">
        <v>27</v>
      </c>
      <c r="F1099" t="s">
        <v>54</v>
      </c>
      <c r="G1099" t="s">
        <v>144</v>
      </c>
      <c r="H1099" t="s">
        <v>56</v>
      </c>
      <c r="I1099" t="s">
        <v>7</v>
      </c>
      <c r="J1099" t="s">
        <v>145</v>
      </c>
      <c r="K1099" t="s">
        <v>146</v>
      </c>
      <c r="L1099" t="s">
        <v>59</v>
      </c>
      <c r="M1099">
        <v>59</v>
      </c>
      <c r="N1099" t="b">
        <v>1</v>
      </c>
      <c r="O1099">
        <v>0.79668049792531104</v>
      </c>
      <c r="P1099">
        <v>0.76190476190476186</v>
      </c>
      <c r="Q1099">
        <v>0.83478260869565213</v>
      </c>
      <c r="R1099" t="s">
        <v>60</v>
      </c>
      <c r="S1099" t="s">
        <v>2624</v>
      </c>
      <c r="T1099" t="s">
        <v>2625</v>
      </c>
      <c r="U1099" t="b">
        <v>1</v>
      </c>
      <c r="V1099" t="s">
        <v>63</v>
      </c>
      <c r="W1099">
        <v>1.7</v>
      </c>
    </row>
    <row r="1100" spans="1:23" hidden="1" x14ac:dyDescent="0.3">
      <c r="A1100" t="s">
        <v>1629</v>
      </c>
      <c r="B1100" t="s">
        <v>1630</v>
      </c>
      <c r="C1100" t="s">
        <v>28</v>
      </c>
      <c r="D1100" t="s">
        <v>26</v>
      </c>
      <c r="E1100" t="s">
        <v>27</v>
      </c>
      <c r="F1100" t="s">
        <v>54</v>
      </c>
      <c r="G1100" t="s">
        <v>149</v>
      </c>
      <c r="H1100" t="s">
        <v>56</v>
      </c>
      <c r="I1100" t="s">
        <v>7</v>
      </c>
      <c r="J1100" t="s">
        <v>150</v>
      </c>
      <c r="K1100" t="s">
        <v>151</v>
      </c>
      <c r="L1100" t="s">
        <v>59</v>
      </c>
      <c r="M1100">
        <v>60</v>
      </c>
      <c r="N1100" t="b">
        <v>1</v>
      </c>
      <c r="O1100">
        <v>0.77052631578947361</v>
      </c>
      <c r="P1100">
        <v>0.74693877551020404</v>
      </c>
      <c r="Q1100">
        <v>0.79565217391304344</v>
      </c>
      <c r="R1100" t="s">
        <v>60</v>
      </c>
      <c r="S1100" t="s">
        <v>2626</v>
      </c>
      <c r="T1100" t="s">
        <v>2627</v>
      </c>
      <c r="U1100" t="b">
        <v>1</v>
      </c>
      <c r="V1100" t="s">
        <v>63</v>
      </c>
      <c r="W1100">
        <v>1.3</v>
      </c>
    </row>
    <row r="1101" spans="1:23" hidden="1" x14ac:dyDescent="0.3">
      <c r="A1101" t="s">
        <v>1629</v>
      </c>
      <c r="B1101" t="s">
        <v>1630</v>
      </c>
      <c r="C1101" t="s">
        <v>28</v>
      </c>
      <c r="D1101" t="s">
        <v>26</v>
      </c>
      <c r="E1101" t="s">
        <v>27</v>
      </c>
      <c r="F1101" t="s">
        <v>54</v>
      </c>
      <c r="G1101" t="s">
        <v>154</v>
      </c>
      <c r="H1101" t="s">
        <v>56</v>
      </c>
      <c r="I1101" t="s">
        <v>7</v>
      </c>
      <c r="J1101" t="s">
        <v>155</v>
      </c>
      <c r="K1101" t="s">
        <v>156</v>
      </c>
      <c r="L1101" t="s">
        <v>59</v>
      </c>
      <c r="M1101">
        <v>61</v>
      </c>
      <c r="N1101" t="b">
        <v>1</v>
      </c>
      <c r="O1101">
        <v>0.76923076923076927</v>
      </c>
      <c r="P1101">
        <v>0.75630252100840334</v>
      </c>
      <c r="Q1101">
        <v>0.78260869565217395</v>
      </c>
      <c r="R1101" t="s">
        <v>60</v>
      </c>
      <c r="S1101" t="s">
        <v>2628</v>
      </c>
      <c r="T1101" t="s">
        <v>2629</v>
      </c>
      <c r="U1101" t="b">
        <v>1</v>
      </c>
      <c r="V1101" t="s">
        <v>63</v>
      </c>
      <c r="W1101">
        <v>1.3</v>
      </c>
    </row>
    <row r="1102" spans="1:23" hidden="1" x14ac:dyDescent="0.3">
      <c r="A1102" t="s">
        <v>1629</v>
      </c>
      <c r="B1102" t="s">
        <v>1630</v>
      </c>
      <c r="C1102" t="s">
        <v>28</v>
      </c>
      <c r="D1102" t="s">
        <v>26</v>
      </c>
      <c r="E1102" t="s">
        <v>27</v>
      </c>
      <c r="F1102" t="s">
        <v>54</v>
      </c>
      <c r="G1102" t="s">
        <v>159</v>
      </c>
      <c r="H1102" t="s">
        <v>160</v>
      </c>
      <c r="I1102" t="s">
        <v>3</v>
      </c>
      <c r="J1102" t="s">
        <v>161</v>
      </c>
      <c r="K1102" t="s">
        <v>162</v>
      </c>
      <c r="L1102" t="s">
        <v>163</v>
      </c>
      <c r="M1102">
        <v>42</v>
      </c>
      <c r="N1102" t="b">
        <v>0</v>
      </c>
      <c r="O1102">
        <v>0.72839506172839508</v>
      </c>
      <c r="P1102">
        <v>0.76129032258064511</v>
      </c>
      <c r="Q1102">
        <v>0.69822485207100593</v>
      </c>
      <c r="R1102" t="s">
        <v>60</v>
      </c>
      <c r="S1102" t="s">
        <v>2630</v>
      </c>
      <c r="T1102" t="s">
        <v>2631</v>
      </c>
      <c r="U1102" t="b">
        <v>1</v>
      </c>
      <c r="V1102" t="s">
        <v>63</v>
      </c>
      <c r="W1102">
        <v>1.6</v>
      </c>
    </row>
    <row r="1103" spans="1:23" hidden="1" x14ac:dyDescent="0.3">
      <c r="A1103" t="s">
        <v>1629</v>
      </c>
      <c r="B1103" t="s">
        <v>1630</v>
      </c>
      <c r="C1103" t="s">
        <v>28</v>
      </c>
      <c r="D1103" t="s">
        <v>26</v>
      </c>
      <c r="E1103" t="s">
        <v>27</v>
      </c>
      <c r="F1103" t="s">
        <v>54</v>
      </c>
      <c r="G1103" t="s">
        <v>166</v>
      </c>
      <c r="H1103" t="s">
        <v>160</v>
      </c>
      <c r="I1103" t="s">
        <v>3</v>
      </c>
      <c r="J1103" t="s">
        <v>167</v>
      </c>
      <c r="K1103" t="s">
        <v>168</v>
      </c>
      <c r="L1103" t="s">
        <v>163</v>
      </c>
      <c r="M1103">
        <v>43</v>
      </c>
      <c r="N1103" t="b">
        <v>0</v>
      </c>
      <c r="O1103">
        <v>0.80681818181818177</v>
      </c>
      <c r="P1103">
        <v>0.77595628415300544</v>
      </c>
      <c r="Q1103">
        <v>0.84023668639053251</v>
      </c>
      <c r="R1103" t="s">
        <v>60</v>
      </c>
      <c r="S1103" t="s">
        <v>2632</v>
      </c>
      <c r="T1103" t="s">
        <v>2633</v>
      </c>
      <c r="U1103" t="b">
        <v>1</v>
      </c>
      <c r="V1103" t="s">
        <v>63</v>
      </c>
      <c r="W1103">
        <v>1.2</v>
      </c>
    </row>
    <row r="1104" spans="1:23" hidden="1" x14ac:dyDescent="0.3">
      <c r="A1104" t="s">
        <v>1629</v>
      </c>
      <c r="B1104" t="s">
        <v>1630</v>
      </c>
      <c r="C1104" t="s">
        <v>28</v>
      </c>
      <c r="D1104" t="s">
        <v>26</v>
      </c>
      <c r="E1104" t="s">
        <v>27</v>
      </c>
      <c r="F1104" t="s">
        <v>54</v>
      </c>
      <c r="G1104" t="s">
        <v>171</v>
      </c>
      <c r="H1104" t="s">
        <v>160</v>
      </c>
      <c r="I1104" t="s">
        <v>3</v>
      </c>
      <c r="J1104" t="s">
        <v>172</v>
      </c>
      <c r="K1104" t="s">
        <v>173</v>
      </c>
      <c r="L1104" t="s">
        <v>163</v>
      </c>
      <c r="M1104">
        <v>44</v>
      </c>
      <c r="N1104" t="b">
        <v>0</v>
      </c>
      <c r="O1104">
        <v>0.77714285714285702</v>
      </c>
      <c r="P1104">
        <v>0.75138121546961323</v>
      </c>
      <c r="Q1104">
        <v>0.80473372781065089</v>
      </c>
      <c r="R1104" t="s">
        <v>60</v>
      </c>
      <c r="S1104" t="s">
        <v>2634</v>
      </c>
      <c r="T1104" t="s">
        <v>2635</v>
      </c>
      <c r="U1104" t="b">
        <v>1</v>
      </c>
      <c r="V1104" t="s">
        <v>63</v>
      </c>
      <c r="W1104">
        <v>1.2</v>
      </c>
    </row>
    <row r="1105" spans="1:23" hidden="1" x14ac:dyDescent="0.3">
      <c r="A1105" t="s">
        <v>1629</v>
      </c>
      <c r="B1105" t="s">
        <v>1630</v>
      </c>
      <c r="C1105" t="s">
        <v>28</v>
      </c>
      <c r="D1105" t="s">
        <v>26</v>
      </c>
      <c r="E1105" t="s">
        <v>27</v>
      </c>
      <c r="F1105" t="s">
        <v>54</v>
      </c>
      <c r="G1105" t="s">
        <v>176</v>
      </c>
      <c r="H1105" t="s">
        <v>160</v>
      </c>
      <c r="I1105" t="s">
        <v>3</v>
      </c>
      <c r="J1105" t="s">
        <v>177</v>
      </c>
      <c r="K1105" t="s">
        <v>178</v>
      </c>
      <c r="L1105" t="s">
        <v>163</v>
      </c>
      <c r="M1105">
        <v>45</v>
      </c>
      <c r="N1105" t="b">
        <v>0</v>
      </c>
      <c r="O1105">
        <v>0.7658402203856749</v>
      </c>
      <c r="P1105">
        <v>0.71649484536082475</v>
      </c>
      <c r="Q1105">
        <v>0.8224852071005917</v>
      </c>
      <c r="R1105" t="s">
        <v>60</v>
      </c>
      <c r="S1105" t="s">
        <v>2636</v>
      </c>
      <c r="T1105" t="s">
        <v>2637</v>
      </c>
      <c r="U1105" t="b">
        <v>1</v>
      </c>
      <c r="V1105" t="s">
        <v>63</v>
      </c>
      <c r="W1105">
        <v>1.1000000000000001</v>
      </c>
    </row>
    <row r="1106" spans="1:23" hidden="1" x14ac:dyDescent="0.3">
      <c r="A1106" t="s">
        <v>1629</v>
      </c>
      <c r="B1106" t="s">
        <v>1630</v>
      </c>
      <c r="C1106" t="s">
        <v>28</v>
      </c>
      <c r="D1106" t="s">
        <v>26</v>
      </c>
      <c r="E1106" t="s">
        <v>27</v>
      </c>
      <c r="F1106" t="s">
        <v>54</v>
      </c>
      <c r="G1106" t="s">
        <v>181</v>
      </c>
      <c r="H1106" t="s">
        <v>160</v>
      </c>
      <c r="I1106" t="s">
        <v>3</v>
      </c>
      <c r="J1106" t="s">
        <v>182</v>
      </c>
      <c r="K1106" t="s">
        <v>183</v>
      </c>
      <c r="L1106" t="s">
        <v>163</v>
      </c>
      <c r="M1106">
        <v>46</v>
      </c>
      <c r="N1106" t="b">
        <v>0</v>
      </c>
      <c r="O1106">
        <v>0.8125</v>
      </c>
      <c r="P1106">
        <v>0.78142076502732238</v>
      </c>
      <c r="Q1106">
        <v>0.84615384615384615</v>
      </c>
      <c r="R1106" t="s">
        <v>60</v>
      </c>
      <c r="S1106" t="s">
        <v>2638</v>
      </c>
      <c r="T1106" t="s">
        <v>2639</v>
      </c>
      <c r="U1106" t="b">
        <v>1</v>
      </c>
      <c r="V1106" t="s">
        <v>63</v>
      </c>
      <c r="W1106">
        <v>1.6</v>
      </c>
    </row>
    <row r="1107" spans="1:23" hidden="1" x14ac:dyDescent="0.3">
      <c r="A1107" t="s">
        <v>1629</v>
      </c>
      <c r="B1107" t="s">
        <v>1630</v>
      </c>
      <c r="C1107" t="s">
        <v>28</v>
      </c>
      <c r="D1107" t="s">
        <v>26</v>
      </c>
      <c r="E1107" t="s">
        <v>27</v>
      </c>
      <c r="F1107" t="s">
        <v>54</v>
      </c>
      <c r="G1107" t="s">
        <v>186</v>
      </c>
      <c r="H1107" t="s">
        <v>160</v>
      </c>
      <c r="I1107" t="s">
        <v>3</v>
      </c>
      <c r="J1107" t="s">
        <v>187</v>
      </c>
      <c r="K1107" t="s">
        <v>188</v>
      </c>
      <c r="L1107" t="s">
        <v>163</v>
      </c>
      <c r="M1107">
        <v>47</v>
      </c>
      <c r="N1107" t="b">
        <v>0</v>
      </c>
      <c r="O1107">
        <v>0.8262108262108262</v>
      </c>
      <c r="P1107">
        <v>0.79670329670329665</v>
      </c>
      <c r="Q1107">
        <v>0.85798816568047342</v>
      </c>
      <c r="R1107" t="s">
        <v>60</v>
      </c>
      <c r="S1107" t="s">
        <v>2640</v>
      </c>
      <c r="T1107" t="s">
        <v>2641</v>
      </c>
      <c r="U1107" t="b">
        <v>1</v>
      </c>
      <c r="V1107" t="s">
        <v>63</v>
      </c>
      <c r="W1107">
        <v>1.1000000000000001</v>
      </c>
    </row>
    <row r="1108" spans="1:23" hidden="1" x14ac:dyDescent="0.3">
      <c r="A1108" t="s">
        <v>1629</v>
      </c>
      <c r="B1108" t="s">
        <v>1630</v>
      </c>
      <c r="C1108" t="s">
        <v>28</v>
      </c>
      <c r="D1108" t="s">
        <v>26</v>
      </c>
      <c r="E1108" t="s">
        <v>27</v>
      </c>
      <c r="F1108" t="s">
        <v>54</v>
      </c>
      <c r="G1108" t="s">
        <v>191</v>
      </c>
      <c r="H1108" t="s">
        <v>160</v>
      </c>
      <c r="I1108" t="s">
        <v>3</v>
      </c>
      <c r="J1108" t="s">
        <v>192</v>
      </c>
      <c r="K1108" t="s">
        <v>193</v>
      </c>
      <c r="L1108" t="s">
        <v>163</v>
      </c>
      <c r="M1108">
        <v>48</v>
      </c>
      <c r="N1108" t="b">
        <v>0</v>
      </c>
      <c r="O1108">
        <v>0.78309859154929573</v>
      </c>
      <c r="P1108">
        <v>0.74731182795698925</v>
      </c>
      <c r="Q1108">
        <v>0.8224852071005917</v>
      </c>
      <c r="R1108" t="s">
        <v>60</v>
      </c>
      <c r="S1108" t="s">
        <v>2642</v>
      </c>
      <c r="T1108" t="s">
        <v>2643</v>
      </c>
      <c r="U1108" t="b">
        <v>1</v>
      </c>
      <c r="V1108" t="s">
        <v>63</v>
      </c>
      <c r="W1108">
        <v>1.1000000000000001</v>
      </c>
    </row>
    <row r="1109" spans="1:23" hidden="1" x14ac:dyDescent="0.3">
      <c r="A1109" t="s">
        <v>1629</v>
      </c>
      <c r="B1109" t="s">
        <v>1630</v>
      </c>
      <c r="C1109" t="s">
        <v>28</v>
      </c>
      <c r="D1109" t="s">
        <v>26</v>
      </c>
      <c r="E1109" t="s">
        <v>27</v>
      </c>
      <c r="F1109" t="s">
        <v>54</v>
      </c>
      <c r="G1109" t="s">
        <v>196</v>
      </c>
      <c r="H1109" t="s">
        <v>160</v>
      </c>
      <c r="I1109" t="s">
        <v>3</v>
      </c>
      <c r="J1109" t="s">
        <v>197</v>
      </c>
      <c r="K1109" t="s">
        <v>198</v>
      </c>
      <c r="L1109" t="s">
        <v>163</v>
      </c>
      <c r="M1109">
        <v>49</v>
      </c>
      <c r="N1109" t="b">
        <v>0</v>
      </c>
      <c r="O1109">
        <v>0.77142857142857146</v>
      </c>
      <c r="P1109">
        <v>0.7458563535911602</v>
      </c>
      <c r="Q1109">
        <v>0.79881656804733725</v>
      </c>
      <c r="R1109" t="s">
        <v>60</v>
      </c>
      <c r="S1109" t="s">
        <v>2644</v>
      </c>
      <c r="T1109" t="s">
        <v>2645</v>
      </c>
      <c r="U1109" t="b">
        <v>1</v>
      </c>
      <c r="V1109" t="s">
        <v>63</v>
      </c>
      <c r="W1109">
        <v>1.6</v>
      </c>
    </row>
    <row r="1110" spans="1:23" hidden="1" x14ac:dyDescent="0.3">
      <c r="A1110" t="s">
        <v>1629</v>
      </c>
      <c r="B1110" t="s">
        <v>1630</v>
      </c>
      <c r="C1110" t="s">
        <v>28</v>
      </c>
      <c r="D1110" t="s">
        <v>26</v>
      </c>
      <c r="E1110" t="s">
        <v>27</v>
      </c>
      <c r="F1110" t="s">
        <v>54</v>
      </c>
      <c r="G1110" t="s">
        <v>201</v>
      </c>
      <c r="H1110" t="s">
        <v>160</v>
      </c>
      <c r="I1110" t="s">
        <v>3</v>
      </c>
      <c r="J1110" t="s">
        <v>202</v>
      </c>
      <c r="K1110" t="s">
        <v>203</v>
      </c>
      <c r="L1110" t="s">
        <v>163</v>
      </c>
      <c r="M1110">
        <v>50</v>
      </c>
      <c r="N1110" t="b">
        <v>0</v>
      </c>
      <c r="O1110">
        <v>0.8125</v>
      </c>
      <c r="P1110">
        <v>0.78142076502732238</v>
      </c>
      <c r="Q1110">
        <v>0.84615384615384615</v>
      </c>
      <c r="R1110" t="s">
        <v>60</v>
      </c>
      <c r="S1110" t="s">
        <v>2646</v>
      </c>
      <c r="T1110" t="s">
        <v>2647</v>
      </c>
      <c r="U1110" t="b">
        <v>1</v>
      </c>
      <c r="V1110" t="s">
        <v>63</v>
      </c>
      <c r="W1110">
        <v>1.1000000000000001</v>
      </c>
    </row>
    <row r="1111" spans="1:23" hidden="1" x14ac:dyDescent="0.3">
      <c r="A1111" t="s">
        <v>1629</v>
      </c>
      <c r="B1111" t="s">
        <v>1630</v>
      </c>
      <c r="C1111" t="s">
        <v>28</v>
      </c>
      <c r="D1111" t="s">
        <v>26</v>
      </c>
      <c r="E1111" t="s">
        <v>27</v>
      </c>
      <c r="F1111" t="s">
        <v>54</v>
      </c>
      <c r="G1111" t="s">
        <v>206</v>
      </c>
      <c r="H1111" t="s">
        <v>160</v>
      </c>
      <c r="I1111" t="s">
        <v>3</v>
      </c>
      <c r="J1111" t="s">
        <v>207</v>
      </c>
      <c r="K1111" t="s">
        <v>208</v>
      </c>
      <c r="L1111" t="s">
        <v>163</v>
      </c>
      <c r="M1111">
        <v>51</v>
      </c>
      <c r="N1111" t="b">
        <v>0</v>
      </c>
      <c r="O1111">
        <v>0.82285714285714284</v>
      </c>
      <c r="P1111">
        <v>0.79558011049723754</v>
      </c>
      <c r="Q1111">
        <v>0.85207100591715978</v>
      </c>
      <c r="R1111" t="s">
        <v>60</v>
      </c>
      <c r="S1111" t="s">
        <v>2648</v>
      </c>
      <c r="T1111" t="s">
        <v>2649</v>
      </c>
      <c r="U1111" t="b">
        <v>1</v>
      </c>
      <c r="V1111" t="s">
        <v>63</v>
      </c>
      <c r="W1111">
        <v>1.2</v>
      </c>
    </row>
    <row r="1112" spans="1:23" hidden="1" x14ac:dyDescent="0.3">
      <c r="A1112" t="s">
        <v>1629</v>
      </c>
      <c r="B1112" t="s">
        <v>1630</v>
      </c>
      <c r="C1112" t="s">
        <v>28</v>
      </c>
      <c r="D1112" t="s">
        <v>26</v>
      </c>
      <c r="E1112" t="s">
        <v>27</v>
      </c>
      <c r="F1112" t="s">
        <v>54</v>
      </c>
      <c r="G1112" t="s">
        <v>211</v>
      </c>
      <c r="H1112" t="s">
        <v>160</v>
      </c>
      <c r="I1112" t="s">
        <v>3</v>
      </c>
      <c r="J1112" t="s">
        <v>212</v>
      </c>
      <c r="K1112" t="s">
        <v>213</v>
      </c>
      <c r="L1112" t="s">
        <v>163</v>
      </c>
      <c r="M1112">
        <v>52</v>
      </c>
      <c r="N1112" t="b">
        <v>0</v>
      </c>
      <c r="O1112">
        <v>0.79545454545454541</v>
      </c>
      <c r="P1112">
        <v>0.76502732240437155</v>
      </c>
      <c r="Q1112">
        <v>0.82840236686390534</v>
      </c>
      <c r="R1112" t="s">
        <v>60</v>
      </c>
      <c r="S1112" t="s">
        <v>2650</v>
      </c>
      <c r="T1112" t="s">
        <v>2651</v>
      </c>
      <c r="U1112" t="b">
        <v>1</v>
      </c>
      <c r="V1112" t="s">
        <v>63</v>
      </c>
      <c r="W1112">
        <v>1.2</v>
      </c>
    </row>
    <row r="1113" spans="1:23" hidden="1" x14ac:dyDescent="0.3">
      <c r="A1113" t="s">
        <v>1629</v>
      </c>
      <c r="B1113" t="s">
        <v>1630</v>
      </c>
      <c r="C1113" t="s">
        <v>28</v>
      </c>
      <c r="D1113" t="s">
        <v>26</v>
      </c>
      <c r="E1113" t="s">
        <v>27</v>
      </c>
      <c r="F1113" t="s">
        <v>54</v>
      </c>
      <c r="G1113" t="s">
        <v>216</v>
      </c>
      <c r="H1113" t="s">
        <v>160</v>
      </c>
      <c r="I1113" t="s">
        <v>3</v>
      </c>
      <c r="J1113" t="s">
        <v>217</v>
      </c>
      <c r="K1113" t="s">
        <v>218</v>
      </c>
      <c r="L1113" t="s">
        <v>163</v>
      </c>
      <c r="M1113">
        <v>53</v>
      </c>
      <c r="N1113" t="b">
        <v>0</v>
      </c>
      <c r="O1113">
        <v>0.81714285714285706</v>
      </c>
      <c r="P1113">
        <v>0.79005524861878451</v>
      </c>
      <c r="Q1113">
        <v>0.84615384615384615</v>
      </c>
      <c r="R1113" t="s">
        <v>60</v>
      </c>
      <c r="S1113" t="s">
        <v>2652</v>
      </c>
      <c r="T1113" t="s">
        <v>2653</v>
      </c>
      <c r="U1113" t="b">
        <v>1</v>
      </c>
      <c r="V1113" t="s">
        <v>63</v>
      </c>
      <c r="W1113">
        <v>1.6</v>
      </c>
    </row>
    <row r="1114" spans="1:23" hidden="1" x14ac:dyDescent="0.3">
      <c r="A1114" t="s">
        <v>1629</v>
      </c>
      <c r="B1114" t="s">
        <v>1630</v>
      </c>
      <c r="C1114" t="s">
        <v>28</v>
      </c>
      <c r="D1114" t="s">
        <v>26</v>
      </c>
      <c r="E1114" t="s">
        <v>27</v>
      </c>
      <c r="F1114" t="s">
        <v>54</v>
      </c>
      <c r="G1114" t="s">
        <v>221</v>
      </c>
      <c r="H1114" t="s">
        <v>160</v>
      </c>
      <c r="I1114" t="s">
        <v>3</v>
      </c>
      <c r="J1114" t="s">
        <v>222</v>
      </c>
      <c r="K1114" t="s">
        <v>223</v>
      </c>
      <c r="L1114" t="s">
        <v>163</v>
      </c>
      <c r="M1114">
        <v>54</v>
      </c>
      <c r="N1114" t="b">
        <v>0</v>
      </c>
      <c r="O1114">
        <v>0.78977272727272729</v>
      </c>
      <c r="P1114">
        <v>0.7595628415300546</v>
      </c>
      <c r="Q1114">
        <v>0.8224852071005917</v>
      </c>
      <c r="R1114" t="s">
        <v>60</v>
      </c>
      <c r="S1114" t="s">
        <v>2654</v>
      </c>
      <c r="T1114" t="s">
        <v>2655</v>
      </c>
      <c r="U1114" t="b">
        <v>1</v>
      </c>
      <c r="V1114" t="s">
        <v>63</v>
      </c>
      <c r="W1114">
        <v>1.1000000000000001</v>
      </c>
    </row>
    <row r="1115" spans="1:23" hidden="1" x14ac:dyDescent="0.3">
      <c r="A1115" t="s">
        <v>1629</v>
      </c>
      <c r="B1115" t="s">
        <v>1630</v>
      </c>
      <c r="C1115" t="s">
        <v>28</v>
      </c>
      <c r="D1115" t="s">
        <v>26</v>
      </c>
      <c r="E1115" t="s">
        <v>27</v>
      </c>
      <c r="F1115" t="s">
        <v>54</v>
      </c>
      <c r="G1115" t="s">
        <v>226</v>
      </c>
      <c r="H1115" t="s">
        <v>160</v>
      </c>
      <c r="I1115" t="s">
        <v>3</v>
      </c>
      <c r="J1115" t="s">
        <v>227</v>
      </c>
      <c r="K1115" t="s">
        <v>228</v>
      </c>
      <c r="L1115" t="s">
        <v>163</v>
      </c>
      <c r="M1115">
        <v>55</v>
      </c>
      <c r="N1115" t="b">
        <v>0</v>
      </c>
      <c r="O1115">
        <v>0.81126760563380274</v>
      </c>
      <c r="P1115">
        <v>0.77419354838709675</v>
      </c>
      <c r="Q1115">
        <v>0.85207100591715978</v>
      </c>
      <c r="R1115" t="s">
        <v>60</v>
      </c>
      <c r="S1115" t="s">
        <v>2656</v>
      </c>
      <c r="T1115" t="s">
        <v>2657</v>
      </c>
      <c r="U1115" t="b">
        <v>1</v>
      </c>
      <c r="V1115" t="s">
        <v>63</v>
      </c>
      <c r="W1115">
        <v>1.2</v>
      </c>
    </row>
    <row r="1116" spans="1:23" hidden="1" x14ac:dyDescent="0.3">
      <c r="A1116" t="s">
        <v>1629</v>
      </c>
      <c r="B1116" t="s">
        <v>1630</v>
      </c>
      <c r="C1116" t="s">
        <v>28</v>
      </c>
      <c r="D1116" t="s">
        <v>26</v>
      </c>
      <c r="E1116" t="s">
        <v>27</v>
      </c>
      <c r="F1116" t="s">
        <v>54</v>
      </c>
      <c r="G1116" t="s">
        <v>231</v>
      </c>
      <c r="H1116" t="s">
        <v>160</v>
      </c>
      <c r="I1116" t="s">
        <v>3</v>
      </c>
      <c r="J1116" t="s">
        <v>232</v>
      </c>
      <c r="K1116" t="s">
        <v>233</v>
      </c>
      <c r="L1116" t="s">
        <v>163</v>
      </c>
      <c r="M1116">
        <v>56</v>
      </c>
      <c r="N1116" t="b">
        <v>0</v>
      </c>
      <c r="O1116">
        <v>0.79665738161559885</v>
      </c>
      <c r="P1116">
        <v>0.75263157894736843</v>
      </c>
      <c r="Q1116">
        <v>0.84615384615384615</v>
      </c>
      <c r="R1116" t="s">
        <v>60</v>
      </c>
      <c r="S1116" t="s">
        <v>2658</v>
      </c>
      <c r="T1116" t="s">
        <v>2659</v>
      </c>
      <c r="U1116" t="b">
        <v>1</v>
      </c>
      <c r="V1116" t="s">
        <v>63</v>
      </c>
      <c r="W1116">
        <v>1.1000000000000001</v>
      </c>
    </row>
    <row r="1117" spans="1:23" hidden="1" x14ac:dyDescent="0.3">
      <c r="A1117" t="s">
        <v>1629</v>
      </c>
      <c r="B1117" t="s">
        <v>1630</v>
      </c>
      <c r="C1117" t="s">
        <v>28</v>
      </c>
      <c r="D1117" t="s">
        <v>26</v>
      </c>
      <c r="E1117" t="s">
        <v>27</v>
      </c>
      <c r="F1117" t="s">
        <v>54</v>
      </c>
      <c r="G1117" t="s">
        <v>236</v>
      </c>
      <c r="H1117" t="s">
        <v>160</v>
      </c>
      <c r="I1117" t="s">
        <v>3</v>
      </c>
      <c r="J1117" t="s">
        <v>237</v>
      </c>
      <c r="K1117" t="s">
        <v>238</v>
      </c>
      <c r="L1117" t="s">
        <v>163</v>
      </c>
      <c r="M1117">
        <v>57</v>
      </c>
      <c r="N1117" t="b">
        <v>0</v>
      </c>
      <c r="O1117">
        <v>0.79320113314447593</v>
      </c>
      <c r="P1117">
        <v>0.76086956521739135</v>
      </c>
      <c r="Q1117">
        <v>0.82840236686390534</v>
      </c>
      <c r="R1117" t="s">
        <v>60</v>
      </c>
      <c r="S1117" t="s">
        <v>2660</v>
      </c>
      <c r="T1117" t="s">
        <v>2661</v>
      </c>
      <c r="U1117" t="b">
        <v>1</v>
      </c>
      <c r="V1117" t="s">
        <v>63</v>
      </c>
      <c r="W1117">
        <v>1.6</v>
      </c>
    </row>
    <row r="1118" spans="1:23" hidden="1" x14ac:dyDescent="0.3">
      <c r="A1118" t="s">
        <v>1629</v>
      </c>
      <c r="B1118" t="s">
        <v>1630</v>
      </c>
      <c r="C1118" t="s">
        <v>28</v>
      </c>
      <c r="D1118" t="s">
        <v>26</v>
      </c>
      <c r="E1118" t="s">
        <v>27</v>
      </c>
      <c r="F1118" t="s">
        <v>54</v>
      </c>
      <c r="G1118" t="s">
        <v>241</v>
      </c>
      <c r="H1118" t="s">
        <v>160</v>
      </c>
      <c r="I1118" t="s">
        <v>3</v>
      </c>
      <c r="J1118" t="s">
        <v>242</v>
      </c>
      <c r="K1118" t="s">
        <v>243</v>
      </c>
      <c r="L1118" t="s">
        <v>163</v>
      </c>
      <c r="M1118">
        <v>58</v>
      </c>
      <c r="N1118" t="b">
        <v>0</v>
      </c>
      <c r="O1118">
        <v>0.79885057471264365</v>
      </c>
      <c r="P1118">
        <v>0.77653631284916202</v>
      </c>
      <c r="Q1118">
        <v>0.8224852071005917</v>
      </c>
      <c r="R1118" t="s">
        <v>60</v>
      </c>
      <c r="S1118" t="s">
        <v>2662</v>
      </c>
      <c r="T1118" t="s">
        <v>2663</v>
      </c>
      <c r="U1118" t="b">
        <v>1</v>
      </c>
      <c r="V1118" t="s">
        <v>63</v>
      </c>
      <c r="W1118">
        <v>1.2</v>
      </c>
    </row>
    <row r="1119" spans="1:23" hidden="1" x14ac:dyDescent="0.3">
      <c r="A1119" t="s">
        <v>1629</v>
      </c>
      <c r="B1119" t="s">
        <v>1630</v>
      </c>
      <c r="C1119" t="s">
        <v>28</v>
      </c>
      <c r="D1119" t="s">
        <v>26</v>
      </c>
      <c r="E1119" t="s">
        <v>27</v>
      </c>
      <c r="F1119" t="s">
        <v>54</v>
      </c>
      <c r="G1119" t="s">
        <v>246</v>
      </c>
      <c r="H1119" t="s">
        <v>160</v>
      </c>
      <c r="I1119" t="s">
        <v>3</v>
      </c>
      <c r="J1119" t="s">
        <v>247</v>
      </c>
      <c r="K1119" t="s">
        <v>248</v>
      </c>
      <c r="L1119" t="s">
        <v>163</v>
      </c>
      <c r="M1119">
        <v>59</v>
      </c>
      <c r="N1119" t="b">
        <v>0</v>
      </c>
      <c r="O1119">
        <v>0.72121212121212119</v>
      </c>
      <c r="P1119">
        <v>0.73913043478260865</v>
      </c>
      <c r="Q1119">
        <v>0.70414201183431957</v>
      </c>
      <c r="R1119" t="s">
        <v>60</v>
      </c>
      <c r="S1119" t="s">
        <v>2664</v>
      </c>
      <c r="T1119" t="s">
        <v>2665</v>
      </c>
      <c r="U1119" t="b">
        <v>1</v>
      </c>
      <c r="V1119" t="s">
        <v>63</v>
      </c>
      <c r="W1119">
        <v>1.1000000000000001</v>
      </c>
    </row>
    <row r="1120" spans="1:23" hidden="1" x14ac:dyDescent="0.3">
      <c r="A1120" t="s">
        <v>1629</v>
      </c>
      <c r="B1120" t="s">
        <v>1630</v>
      </c>
      <c r="C1120" t="s">
        <v>28</v>
      </c>
      <c r="D1120" t="s">
        <v>26</v>
      </c>
      <c r="E1120" t="s">
        <v>27</v>
      </c>
      <c r="F1120" t="s">
        <v>54</v>
      </c>
      <c r="G1120" t="s">
        <v>251</v>
      </c>
      <c r="H1120" t="s">
        <v>160</v>
      </c>
      <c r="I1120" t="s">
        <v>3</v>
      </c>
      <c r="J1120" t="s">
        <v>252</v>
      </c>
      <c r="K1120" t="s">
        <v>253</v>
      </c>
      <c r="L1120" t="s">
        <v>163</v>
      </c>
      <c r="M1120">
        <v>60</v>
      </c>
      <c r="N1120" t="b">
        <v>0</v>
      </c>
      <c r="O1120">
        <v>0.77363896848137548</v>
      </c>
      <c r="P1120">
        <v>0.75</v>
      </c>
      <c r="Q1120">
        <v>0.79881656804733725</v>
      </c>
      <c r="R1120" t="s">
        <v>60</v>
      </c>
      <c r="S1120" t="s">
        <v>2666</v>
      </c>
      <c r="T1120" t="s">
        <v>2667</v>
      </c>
      <c r="U1120" t="b">
        <v>1</v>
      </c>
      <c r="V1120" t="s">
        <v>63</v>
      </c>
      <c r="W1120">
        <v>1.6</v>
      </c>
    </row>
    <row r="1121" spans="1:23" hidden="1" x14ac:dyDescent="0.3">
      <c r="A1121" t="s">
        <v>1629</v>
      </c>
      <c r="B1121" t="s">
        <v>1630</v>
      </c>
      <c r="C1121" t="s">
        <v>28</v>
      </c>
      <c r="D1121" t="s">
        <v>26</v>
      </c>
      <c r="E1121" t="s">
        <v>27</v>
      </c>
      <c r="F1121" t="s">
        <v>54</v>
      </c>
      <c r="G1121" t="s">
        <v>256</v>
      </c>
      <c r="H1121" t="s">
        <v>160</v>
      </c>
      <c r="I1121" t="s">
        <v>3</v>
      </c>
      <c r="J1121" t="s">
        <v>257</v>
      </c>
      <c r="K1121" t="s">
        <v>258</v>
      </c>
      <c r="L1121" t="s">
        <v>163</v>
      </c>
      <c r="M1121">
        <v>61</v>
      </c>
      <c r="N1121" t="b">
        <v>0</v>
      </c>
      <c r="O1121">
        <v>0.79551820728291323</v>
      </c>
      <c r="P1121">
        <v>0.75531914893617025</v>
      </c>
      <c r="Q1121">
        <v>0.84023668639053251</v>
      </c>
      <c r="R1121" t="s">
        <v>60</v>
      </c>
      <c r="S1121" t="s">
        <v>2668</v>
      </c>
      <c r="T1121" t="s">
        <v>2669</v>
      </c>
      <c r="U1121" t="b">
        <v>1</v>
      </c>
      <c r="V1121" t="s">
        <v>63</v>
      </c>
      <c r="W1121">
        <v>1.2</v>
      </c>
    </row>
    <row r="1122" spans="1:23" hidden="1" x14ac:dyDescent="0.3">
      <c r="A1122" t="s">
        <v>1629</v>
      </c>
      <c r="B1122" t="s">
        <v>1630</v>
      </c>
      <c r="C1122" t="s">
        <v>28</v>
      </c>
      <c r="D1122" t="s">
        <v>26</v>
      </c>
      <c r="E1122" t="s">
        <v>27</v>
      </c>
      <c r="F1122" t="s">
        <v>54</v>
      </c>
      <c r="G1122" t="s">
        <v>261</v>
      </c>
      <c r="H1122" t="s">
        <v>262</v>
      </c>
      <c r="I1122" t="s">
        <v>5</v>
      </c>
      <c r="J1122" t="s">
        <v>263</v>
      </c>
      <c r="K1122" t="s">
        <v>264</v>
      </c>
      <c r="L1122" t="s">
        <v>265</v>
      </c>
      <c r="M1122">
        <v>42</v>
      </c>
      <c r="N1122" t="b">
        <v>0</v>
      </c>
      <c r="O1122">
        <v>0.80089485458612975</v>
      </c>
      <c r="P1122">
        <v>0.79555555555555557</v>
      </c>
      <c r="Q1122">
        <v>0.80630630630630629</v>
      </c>
      <c r="R1122" t="s">
        <v>60</v>
      </c>
      <c r="S1122" t="s">
        <v>2670</v>
      </c>
      <c r="T1122" t="s">
        <v>2671</v>
      </c>
      <c r="U1122" t="b">
        <v>1</v>
      </c>
      <c r="V1122" t="s">
        <v>63</v>
      </c>
      <c r="W1122">
        <v>1.3</v>
      </c>
    </row>
    <row r="1123" spans="1:23" hidden="1" x14ac:dyDescent="0.3">
      <c r="A1123" t="s">
        <v>1629</v>
      </c>
      <c r="B1123" t="s">
        <v>1630</v>
      </c>
      <c r="C1123" t="s">
        <v>28</v>
      </c>
      <c r="D1123" t="s">
        <v>26</v>
      </c>
      <c r="E1123" t="s">
        <v>27</v>
      </c>
      <c r="F1123" t="s">
        <v>54</v>
      </c>
      <c r="G1123" t="s">
        <v>268</v>
      </c>
      <c r="H1123" t="s">
        <v>262</v>
      </c>
      <c r="I1123" t="s">
        <v>5</v>
      </c>
      <c r="J1123" t="s">
        <v>269</v>
      </c>
      <c r="K1123" t="s">
        <v>270</v>
      </c>
      <c r="L1123" t="s">
        <v>265</v>
      </c>
      <c r="M1123">
        <v>43</v>
      </c>
      <c r="N1123" t="b">
        <v>0</v>
      </c>
      <c r="O1123">
        <v>0.76923076923076927</v>
      </c>
      <c r="P1123">
        <v>0.77272727272727271</v>
      </c>
      <c r="Q1123">
        <v>0.76576576576576572</v>
      </c>
      <c r="R1123" t="s">
        <v>60</v>
      </c>
      <c r="S1123" t="s">
        <v>2672</v>
      </c>
      <c r="T1123" t="s">
        <v>2673</v>
      </c>
      <c r="U1123" t="b">
        <v>1</v>
      </c>
      <c r="V1123" t="s">
        <v>63</v>
      </c>
      <c r="W1123">
        <v>1.8</v>
      </c>
    </row>
    <row r="1124" spans="1:23" hidden="1" x14ac:dyDescent="0.3">
      <c r="A1124" t="s">
        <v>1629</v>
      </c>
      <c r="B1124" t="s">
        <v>1630</v>
      </c>
      <c r="C1124" t="s">
        <v>28</v>
      </c>
      <c r="D1124" t="s">
        <v>26</v>
      </c>
      <c r="E1124" t="s">
        <v>27</v>
      </c>
      <c r="F1124" t="s">
        <v>54</v>
      </c>
      <c r="G1124" t="s">
        <v>273</v>
      </c>
      <c r="H1124" t="s">
        <v>262</v>
      </c>
      <c r="I1124" t="s">
        <v>5</v>
      </c>
      <c r="J1124" t="s">
        <v>274</v>
      </c>
      <c r="K1124" t="s">
        <v>275</v>
      </c>
      <c r="L1124" t="s">
        <v>265</v>
      </c>
      <c r="M1124">
        <v>44</v>
      </c>
      <c r="N1124" t="b">
        <v>0</v>
      </c>
      <c r="O1124">
        <v>0.75663716814159288</v>
      </c>
      <c r="P1124">
        <v>0.74347826086956526</v>
      </c>
      <c r="Q1124">
        <v>0.77027027027027029</v>
      </c>
      <c r="R1124" t="s">
        <v>60</v>
      </c>
      <c r="S1124" t="s">
        <v>2674</v>
      </c>
      <c r="T1124" t="s">
        <v>2675</v>
      </c>
      <c r="U1124" t="b">
        <v>1</v>
      </c>
      <c r="V1124" t="s">
        <v>63</v>
      </c>
      <c r="W1124">
        <v>1.3</v>
      </c>
    </row>
    <row r="1125" spans="1:23" hidden="1" x14ac:dyDescent="0.3">
      <c r="A1125" t="s">
        <v>1629</v>
      </c>
      <c r="B1125" t="s">
        <v>1630</v>
      </c>
      <c r="C1125" t="s">
        <v>28</v>
      </c>
      <c r="D1125" t="s">
        <v>26</v>
      </c>
      <c r="E1125" t="s">
        <v>27</v>
      </c>
      <c r="F1125" t="s">
        <v>54</v>
      </c>
      <c r="G1125" t="s">
        <v>278</v>
      </c>
      <c r="H1125" t="s">
        <v>262</v>
      </c>
      <c r="I1125" t="s">
        <v>5</v>
      </c>
      <c r="J1125" t="s">
        <v>279</v>
      </c>
      <c r="K1125" t="s">
        <v>280</v>
      </c>
      <c r="L1125" t="s">
        <v>265</v>
      </c>
      <c r="M1125">
        <v>45</v>
      </c>
      <c r="N1125" t="b">
        <v>0</v>
      </c>
      <c r="O1125">
        <v>0.81057268722466969</v>
      </c>
      <c r="P1125">
        <v>0.7931034482758621</v>
      </c>
      <c r="Q1125">
        <v>0.8288288288288288</v>
      </c>
      <c r="R1125" t="s">
        <v>60</v>
      </c>
      <c r="S1125" t="s">
        <v>2676</v>
      </c>
      <c r="T1125" t="s">
        <v>2677</v>
      </c>
      <c r="U1125" t="b">
        <v>1</v>
      </c>
      <c r="V1125" t="s">
        <v>63</v>
      </c>
      <c r="W1125">
        <v>1.3</v>
      </c>
    </row>
    <row r="1126" spans="1:23" hidden="1" x14ac:dyDescent="0.3">
      <c r="A1126" t="s">
        <v>1629</v>
      </c>
      <c r="B1126" t="s">
        <v>1630</v>
      </c>
      <c r="C1126" t="s">
        <v>28</v>
      </c>
      <c r="D1126" t="s">
        <v>26</v>
      </c>
      <c r="E1126" t="s">
        <v>27</v>
      </c>
      <c r="F1126" t="s">
        <v>54</v>
      </c>
      <c r="G1126" t="s">
        <v>283</v>
      </c>
      <c r="H1126" t="s">
        <v>262</v>
      </c>
      <c r="I1126" t="s">
        <v>5</v>
      </c>
      <c r="J1126" t="s">
        <v>284</v>
      </c>
      <c r="K1126" t="s">
        <v>285</v>
      </c>
      <c r="L1126" t="s">
        <v>265</v>
      </c>
      <c r="M1126">
        <v>46</v>
      </c>
      <c r="N1126" t="b">
        <v>0</v>
      </c>
      <c r="O1126">
        <v>0.80345572354211658</v>
      </c>
      <c r="P1126">
        <v>0.77178423236514526</v>
      </c>
      <c r="Q1126">
        <v>0.83783783783783783</v>
      </c>
      <c r="R1126" t="s">
        <v>60</v>
      </c>
      <c r="S1126" t="s">
        <v>2678</v>
      </c>
      <c r="T1126" t="s">
        <v>2679</v>
      </c>
      <c r="U1126" t="b">
        <v>1</v>
      </c>
      <c r="V1126" t="s">
        <v>63</v>
      </c>
      <c r="W1126">
        <v>1.7</v>
      </c>
    </row>
    <row r="1127" spans="1:23" hidden="1" x14ac:dyDescent="0.3">
      <c r="A1127" t="s">
        <v>1629</v>
      </c>
      <c r="B1127" t="s">
        <v>1630</v>
      </c>
      <c r="C1127" t="s">
        <v>28</v>
      </c>
      <c r="D1127" t="s">
        <v>26</v>
      </c>
      <c r="E1127" t="s">
        <v>27</v>
      </c>
      <c r="F1127" t="s">
        <v>54</v>
      </c>
      <c r="G1127" t="s">
        <v>288</v>
      </c>
      <c r="H1127" t="s">
        <v>262</v>
      </c>
      <c r="I1127" t="s">
        <v>5</v>
      </c>
      <c r="J1127" t="s">
        <v>289</v>
      </c>
      <c r="K1127" t="s">
        <v>290</v>
      </c>
      <c r="L1127" t="s">
        <v>265</v>
      </c>
      <c r="M1127">
        <v>47</v>
      </c>
      <c r="N1127" t="b">
        <v>0</v>
      </c>
      <c r="O1127">
        <v>0.81818181818181801</v>
      </c>
      <c r="P1127">
        <v>0.78749999999999998</v>
      </c>
      <c r="Q1127">
        <v>0.85135135135135132</v>
      </c>
      <c r="R1127" t="s">
        <v>60</v>
      </c>
      <c r="S1127" t="s">
        <v>2680</v>
      </c>
      <c r="T1127" t="s">
        <v>2681</v>
      </c>
      <c r="U1127" t="b">
        <v>1</v>
      </c>
      <c r="V1127" t="s">
        <v>63</v>
      </c>
      <c r="W1127">
        <v>1.3</v>
      </c>
    </row>
    <row r="1128" spans="1:23" hidden="1" x14ac:dyDescent="0.3">
      <c r="A1128" t="s">
        <v>1629</v>
      </c>
      <c r="B1128" t="s">
        <v>1630</v>
      </c>
      <c r="C1128" t="s">
        <v>28</v>
      </c>
      <c r="D1128" t="s">
        <v>26</v>
      </c>
      <c r="E1128" t="s">
        <v>27</v>
      </c>
      <c r="F1128" t="s">
        <v>54</v>
      </c>
      <c r="G1128" t="s">
        <v>293</v>
      </c>
      <c r="H1128" t="s">
        <v>262</v>
      </c>
      <c r="I1128" t="s">
        <v>5</v>
      </c>
      <c r="J1128" t="s">
        <v>294</v>
      </c>
      <c r="K1128" t="s">
        <v>295</v>
      </c>
      <c r="L1128" t="s">
        <v>265</v>
      </c>
      <c r="M1128">
        <v>48</v>
      </c>
      <c r="N1128" t="b">
        <v>0</v>
      </c>
      <c r="O1128">
        <v>0.74730021598272145</v>
      </c>
      <c r="P1128">
        <v>0.71784232365145229</v>
      </c>
      <c r="Q1128">
        <v>0.77927927927927931</v>
      </c>
      <c r="R1128" t="s">
        <v>60</v>
      </c>
      <c r="S1128" t="s">
        <v>2682</v>
      </c>
      <c r="T1128" t="s">
        <v>2683</v>
      </c>
      <c r="U1128" t="b">
        <v>1</v>
      </c>
      <c r="V1128" t="s">
        <v>63</v>
      </c>
      <c r="W1128">
        <v>1.3</v>
      </c>
    </row>
    <row r="1129" spans="1:23" hidden="1" x14ac:dyDescent="0.3">
      <c r="A1129" t="s">
        <v>1629</v>
      </c>
      <c r="B1129" t="s">
        <v>1630</v>
      </c>
      <c r="C1129" t="s">
        <v>28</v>
      </c>
      <c r="D1129" t="s">
        <v>26</v>
      </c>
      <c r="E1129" t="s">
        <v>27</v>
      </c>
      <c r="F1129" t="s">
        <v>54</v>
      </c>
      <c r="G1129" t="s">
        <v>298</v>
      </c>
      <c r="H1129" t="s">
        <v>262</v>
      </c>
      <c r="I1129" t="s">
        <v>5</v>
      </c>
      <c r="J1129" t="s">
        <v>299</v>
      </c>
      <c r="K1129" t="s">
        <v>300</v>
      </c>
      <c r="L1129" t="s">
        <v>265</v>
      </c>
      <c r="M1129">
        <v>49</v>
      </c>
      <c r="N1129" t="b">
        <v>0</v>
      </c>
      <c r="O1129">
        <v>0.82819383259911894</v>
      </c>
      <c r="P1129">
        <v>0.81034482758620685</v>
      </c>
      <c r="Q1129">
        <v>0.84684684684684686</v>
      </c>
      <c r="R1129" t="s">
        <v>60</v>
      </c>
      <c r="S1129" t="s">
        <v>2684</v>
      </c>
      <c r="T1129" t="s">
        <v>2685</v>
      </c>
      <c r="U1129" t="b">
        <v>1</v>
      </c>
      <c r="V1129" t="s">
        <v>63</v>
      </c>
      <c r="W1129">
        <v>1.8</v>
      </c>
    </row>
    <row r="1130" spans="1:23" hidden="1" x14ac:dyDescent="0.3">
      <c r="A1130" t="s">
        <v>1629</v>
      </c>
      <c r="B1130" t="s">
        <v>1630</v>
      </c>
      <c r="C1130" t="s">
        <v>28</v>
      </c>
      <c r="D1130" t="s">
        <v>26</v>
      </c>
      <c r="E1130" t="s">
        <v>27</v>
      </c>
      <c r="F1130" t="s">
        <v>54</v>
      </c>
      <c r="G1130" t="s">
        <v>303</v>
      </c>
      <c r="H1130" t="s">
        <v>262</v>
      </c>
      <c r="I1130" t="s">
        <v>5</v>
      </c>
      <c r="J1130" t="s">
        <v>304</v>
      </c>
      <c r="K1130" t="s">
        <v>305</v>
      </c>
      <c r="L1130" t="s">
        <v>265</v>
      </c>
      <c r="M1130">
        <v>50</v>
      </c>
      <c r="N1130" t="b">
        <v>0</v>
      </c>
      <c r="O1130">
        <v>0.74770642201834869</v>
      </c>
      <c r="P1130">
        <v>0.76168224299065423</v>
      </c>
      <c r="Q1130">
        <v>0.73423423423423428</v>
      </c>
      <c r="R1130" t="s">
        <v>60</v>
      </c>
      <c r="S1130" t="s">
        <v>2686</v>
      </c>
      <c r="T1130" t="s">
        <v>2687</v>
      </c>
      <c r="U1130" t="b">
        <v>1</v>
      </c>
      <c r="V1130" t="s">
        <v>63</v>
      </c>
      <c r="W1130">
        <v>1.3</v>
      </c>
    </row>
    <row r="1131" spans="1:23" hidden="1" x14ac:dyDescent="0.3">
      <c r="A1131" t="s">
        <v>1629</v>
      </c>
      <c r="B1131" t="s">
        <v>1630</v>
      </c>
      <c r="C1131" t="s">
        <v>28</v>
      </c>
      <c r="D1131" t="s">
        <v>26</v>
      </c>
      <c r="E1131" t="s">
        <v>27</v>
      </c>
      <c r="F1131" t="s">
        <v>54</v>
      </c>
      <c r="G1131" t="s">
        <v>308</v>
      </c>
      <c r="H1131" t="s">
        <v>262</v>
      </c>
      <c r="I1131" t="s">
        <v>5</v>
      </c>
      <c r="J1131" t="s">
        <v>309</v>
      </c>
      <c r="K1131" t="s">
        <v>310</v>
      </c>
      <c r="L1131" t="s">
        <v>265</v>
      </c>
      <c r="M1131">
        <v>51</v>
      </c>
      <c r="N1131" t="b">
        <v>0</v>
      </c>
      <c r="O1131">
        <v>0.80174291938997833</v>
      </c>
      <c r="P1131">
        <v>0.77637130801687759</v>
      </c>
      <c r="Q1131">
        <v>0.8288288288288288</v>
      </c>
      <c r="R1131" t="s">
        <v>60</v>
      </c>
      <c r="S1131" t="s">
        <v>2688</v>
      </c>
      <c r="T1131" t="s">
        <v>2689</v>
      </c>
      <c r="U1131" t="b">
        <v>1</v>
      </c>
      <c r="V1131" t="s">
        <v>63</v>
      </c>
      <c r="W1131">
        <v>1.4</v>
      </c>
    </row>
    <row r="1132" spans="1:23" hidden="1" x14ac:dyDescent="0.3">
      <c r="A1132" t="s">
        <v>1629</v>
      </c>
      <c r="B1132" t="s">
        <v>1630</v>
      </c>
      <c r="C1132" t="s">
        <v>28</v>
      </c>
      <c r="D1132" t="s">
        <v>26</v>
      </c>
      <c r="E1132" t="s">
        <v>27</v>
      </c>
      <c r="F1132" t="s">
        <v>54</v>
      </c>
      <c r="G1132" t="s">
        <v>313</v>
      </c>
      <c r="H1132" t="s">
        <v>262</v>
      </c>
      <c r="I1132" t="s">
        <v>5</v>
      </c>
      <c r="J1132" t="s">
        <v>314</v>
      </c>
      <c r="K1132" t="s">
        <v>315</v>
      </c>
      <c r="L1132" t="s">
        <v>265</v>
      </c>
      <c r="M1132">
        <v>52</v>
      </c>
      <c r="N1132" t="b">
        <v>0</v>
      </c>
      <c r="O1132">
        <v>0.74654377880184331</v>
      </c>
      <c r="P1132">
        <v>0.76415094339622647</v>
      </c>
      <c r="Q1132">
        <v>0.72972972972972971</v>
      </c>
      <c r="R1132" t="s">
        <v>60</v>
      </c>
      <c r="S1132" t="s">
        <v>2690</v>
      </c>
      <c r="T1132" t="s">
        <v>2691</v>
      </c>
      <c r="U1132" t="b">
        <v>1</v>
      </c>
      <c r="V1132" t="s">
        <v>63</v>
      </c>
      <c r="W1132">
        <v>1.7</v>
      </c>
    </row>
    <row r="1133" spans="1:23" hidden="1" x14ac:dyDescent="0.3">
      <c r="A1133" t="s">
        <v>1629</v>
      </c>
      <c r="B1133" t="s">
        <v>1630</v>
      </c>
      <c r="C1133" t="s">
        <v>28</v>
      </c>
      <c r="D1133" t="s">
        <v>26</v>
      </c>
      <c r="E1133" t="s">
        <v>27</v>
      </c>
      <c r="F1133" t="s">
        <v>54</v>
      </c>
      <c r="G1133" t="s">
        <v>318</v>
      </c>
      <c r="H1133" t="s">
        <v>262</v>
      </c>
      <c r="I1133" t="s">
        <v>5</v>
      </c>
      <c r="J1133" t="s">
        <v>319</v>
      </c>
      <c r="K1133" t="s">
        <v>320</v>
      </c>
      <c r="L1133" t="s">
        <v>265</v>
      </c>
      <c r="M1133">
        <v>53</v>
      </c>
      <c r="N1133" t="b">
        <v>0</v>
      </c>
      <c r="O1133">
        <v>0.82819383259911894</v>
      </c>
      <c r="P1133">
        <v>0.81034482758620685</v>
      </c>
      <c r="Q1133">
        <v>0.84684684684684686</v>
      </c>
      <c r="R1133" t="s">
        <v>60</v>
      </c>
      <c r="S1133" t="s">
        <v>2692</v>
      </c>
      <c r="T1133" t="s">
        <v>2693</v>
      </c>
      <c r="U1133" t="b">
        <v>1</v>
      </c>
      <c r="V1133" t="s">
        <v>63</v>
      </c>
      <c r="W1133">
        <v>1.4</v>
      </c>
    </row>
    <row r="1134" spans="1:23" hidden="1" x14ac:dyDescent="0.3">
      <c r="A1134" t="s">
        <v>1629</v>
      </c>
      <c r="B1134" t="s">
        <v>1630</v>
      </c>
      <c r="C1134" t="s">
        <v>28</v>
      </c>
      <c r="D1134" t="s">
        <v>26</v>
      </c>
      <c r="E1134" t="s">
        <v>27</v>
      </c>
      <c r="F1134" t="s">
        <v>54</v>
      </c>
      <c r="G1134" t="s">
        <v>323</v>
      </c>
      <c r="H1134" t="s">
        <v>262</v>
      </c>
      <c r="I1134" t="s">
        <v>5</v>
      </c>
      <c r="J1134" t="s">
        <v>324</v>
      </c>
      <c r="K1134" t="s">
        <v>325</v>
      </c>
      <c r="L1134" t="s">
        <v>265</v>
      </c>
      <c r="M1134">
        <v>54</v>
      </c>
      <c r="N1134" t="b">
        <v>0</v>
      </c>
      <c r="O1134">
        <v>0.81938325991189431</v>
      </c>
      <c r="P1134">
        <v>0.80172413793103448</v>
      </c>
      <c r="Q1134">
        <v>0.83783783783783783</v>
      </c>
      <c r="R1134" t="s">
        <v>60</v>
      </c>
      <c r="S1134" t="s">
        <v>2694</v>
      </c>
      <c r="T1134" t="s">
        <v>2695</v>
      </c>
      <c r="U1134" t="b">
        <v>1</v>
      </c>
      <c r="V1134" t="s">
        <v>63</v>
      </c>
      <c r="W1134">
        <v>1.3</v>
      </c>
    </row>
    <row r="1135" spans="1:23" hidden="1" x14ac:dyDescent="0.3">
      <c r="A1135" t="s">
        <v>1629</v>
      </c>
      <c r="B1135" t="s">
        <v>1630</v>
      </c>
      <c r="C1135" t="s">
        <v>28</v>
      </c>
      <c r="D1135" t="s">
        <v>26</v>
      </c>
      <c r="E1135" t="s">
        <v>27</v>
      </c>
      <c r="F1135" t="s">
        <v>54</v>
      </c>
      <c r="G1135" t="s">
        <v>328</v>
      </c>
      <c r="H1135" t="s">
        <v>262</v>
      </c>
      <c r="I1135" t="s">
        <v>5</v>
      </c>
      <c r="J1135" t="s">
        <v>329</v>
      </c>
      <c r="K1135" t="s">
        <v>330</v>
      </c>
      <c r="L1135" t="s">
        <v>265</v>
      </c>
      <c r="M1135">
        <v>55</v>
      </c>
      <c r="N1135" t="b">
        <v>0</v>
      </c>
      <c r="O1135">
        <v>0.76456876456876455</v>
      </c>
      <c r="P1135">
        <v>0.79227053140096615</v>
      </c>
      <c r="Q1135">
        <v>0.73873873873873874</v>
      </c>
      <c r="R1135" t="s">
        <v>60</v>
      </c>
      <c r="S1135" t="s">
        <v>2696</v>
      </c>
      <c r="T1135" t="s">
        <v>2697</v>
      </c>
      <c r="U1135" t="b">
        <v>1</v>
      </c>
      <c r="V1135" t="s">
        <v>63</v>
      </c>
      <c r="W1135">
        <v>1.8</v>
      </c>
    </row>
    <row r="1136" spans="1:23" hidden="1" x14ac:dyDescent="0.3">
      <c r="A1136" t="s">
        <v>1629</v>
      </c>
      <c r="B1136" t="s">
        <v>1630</v>
      </c>
      <c r="C1136" t="s">
        <v>28</v>
      </c>
      <c r="D1136" t="s">
        <v>26</v>
      </c>
      <c r="E1136" t="s">
        <v>27</v>
      </c>
      <c r="F1136" t="s">
        <v>54</v>
      </c>
      <c r="G1136" t="s">
        <v>333</v>
      </c>
      <c r="H1136" t="s">
        <v>262</v>
      </c>
      <c r="I1136" t="s">
        <v>5</v>
      </c>
      <c r="J1136" t="s">
        <v>334</v>
      </c>
      <c r="K1136" t="s">
        <v>335</v>
      </c>
      <c r="L1136" t="s">
        <v>265</v>
      </c>
      <c r="M1136">
        <v>56</v>
      </c>
      <c r="N1136" t="b">
        <v>0</v>
      </c>
      <c r="O1136">
        <v>0.78587196467991161</v>
      </c>
      <c r="P1136">
        <v>0.77056277056277056</v>
      </c>
      <c r="Q1136">
        <v>0.80180180180180183</v>
      </c>
      <c r="R1136" t="s">
        <v>60</v>
      </c>
      <c r="S1136" t="s">
        <v>2698</v>
      </c>
      <c r="T1136" t="s">
        <v>2699</v>
      </c>
      <c r="U1136" t="b">
        <v>1</v>
      </c>
      <c r="V1136" t="s">
        <v>63</v>
      </c>
      <c r="W1136">
        <v>1.4</v>
      </c>
    </row>
    <row r="1137" spans="1:23" hidden="1" x14ac:dyDescent="0.3">
      <c r="A1137" t="s">
        <v>1629</v>
      </c>
      <c r="B1137" t="s">
        <v>1630</v>
      </c>
      <c r="C1137" t="s">
        <v>28</v>
      </c>
      <c r="D1137" t="s">
        <v>26</v>
      </c>
      <c r="E1137" t="s">
        <v>27</v>
      </c>
      <c r="F1137" t="s">
        <v>54</v>
      </c>
      <c r="G1137" t="s">
        <v>338</v>
      </c>
      <c r="H1137" t="s">
        <v>262</v>
      </c>
      <c r="I1137" t="s">
        <v>5</v>
      </c>
      <c r="J1137" t="s">
        <v>339</v>
      </c>
      <c r="K1137" t="s">
        <v>340</v>
      </c>
      <c r="L1137" t="s">
        <v>265</v>
      </c>
      <c r="M1137">
        <v>57</v>
      </c>
      <c r="N1137" t="b">
        <v>0</v>
      </c>
      <c r="O1137">
        <v>0.84140969162995594</v>
      </c>
      <c r="P1137">
        <v>0.82327586206896552</v>
      </c>
      <c r="Q1137">
        <v>0.86036036036036034</v>
      </c>
      <c r="R1137" t="s">
        <v>60</v>
      </c>
      <c r="S1137" t="s">
        <v>2700</v>
      </c>
      <c r="T1137" t="s">
        <v>2701</v>
      </c>
      <c r="U1137" t="b">
        <v>1</v>
      </c>
      <c r="V1137" t="s">
        <v>63</v>
      </c>
      <c r="W1137">
        <v>1.3</v>
      </c>
    </row>
    <row r="1138" spans="1:23" hidden="1" x14ac:dyDescent="0.3">
      <c r="A1138" t="s">
        <v>1629</v>
      </c>
      <c r="B1138" t="s">
        <v>1630</v>
      </c>
      <c r="C1138" t="s">
        <v>28</v>
      </c>
      <c r="D1138" t="s">
        <v>26</v>
      </c>
      <c r="E1138" t="s">
        <v>27</v>
      </c>
      <c r="F1138" t="s">
        <v>54</v>
      </c>
      <c r="G1138" t="s">
        <v>343</v>
      </c>
      <c r="H1138" t="s">
        <v>262</v>
      </c>
      <c r="I1138" t="s">
        <v>5</v>
      </c>
      <c r="J1138" t="s">
        <v>344</v>
      </c>
      <c r="K1138" t="s">
        <v>345</v>
      </c>
      <c r="L1138" t="s">
        <v>265</v>
      </c>
      <c r="M1138">
        <v>58</v>
      </c>
      <c r="N1138" t="b">
        <v>0</v>
      </c>
      <c r="O1138">
        <v>0.8325991189427312</v>
      </c>
      <c r="P1138">
        <v>0.81465517241379315</v>
      </c>
      <c r="Q1138">
        <v>0.85135135135135132</v>
      </c>
      <c r="R1138" t="s">
        <v>60</v>
      </c>
      <c r="S1138" t="s">
        <v>2702</v>
      </c>
      <c r="T1138" t="s">
        <v>2703</v>
      </c>
      <c r="U1138" t="b">
        <v>1</v>
      </c>
      <c r="V1138" t="s">
        <v>63</v>
      </c>
      <c r="W1138">
        <v>1.3</v>
      </c>
    </row>
    <row r="1139" spans="1:23" hidden="1" x14ac:dyDescent="0.3">
      <c r="A1139" t="s">
        <v>1629</v>
      </c>
      <c r="B1139" t="s">
        <v>1630</v>
      </c>
      <c r="C1139" t="s">
        <v>28</v>
      </c>
      <c r="D1139" t="s">
        <v>26</v>
      </c>
      <c r="E1139" t="s">
        <v>27</v>
      </c>
      <c r="F1139" t="s">
        <v>54</v>
      </c>
      <c r="G1139" t="s">
        <v>348</v>
      </c>
      <c r="H1139" t="s">
        <v>262</v>
      </c>
      <c r="I1139" t="s">
        <v>5</v>
      </c>
      <c r="J1139" t="s">
        <v>349</v>
      </c>
      <c r="K1139" t="s">
        <v>350</v>
      </c>
      <c r="L1139" t="s">
        <v>265</v>
      </c>
      <c r="M1139">
        <v>59</v>
      </c>
      <c r="N1139" t="b">
        <v>0</v>
      </c>
      <c r="O1139">
        <v>0.79302832244008714</v>
      </c>
      <c r="P1139">
        <v>0.76793248945147674</v>
      </c>
      <c r="Q1139">
        <v>0.81981981981981977</v>
      </c>
      <c r="R1139" t="s">
        <v>60</v>
      </c>
      <c r="S1139" t="s">
        <v>2704</v>
      </c>
      <c r="T1139" t="s">
        <v>2705</v>
      </c>
      <c r="U1139" t="b">
        <v>1</v>
      </c>
      <c r="V1139" t="s">
        <v>63</v>
      </c>
      <c r="W1139">
        <v>1.8</v>
      </c>
    </row>
    <row r="1140" spans="1:23" hidden="1" x14ac:dyDescent="0.3">
      <c r="A1140" t="s">
        <v>1629</v>
      </c>
      <c r="B1140" t="s">
        <v>1630</v>
      </c>
      <c r="C1140" t="s">
        <v>28</v>
      </c>
      <c r="D1140" t="s">
        <v>26</v>
      </c>
      <c r="E1140" t="s">
        <v>27</v>
      </c>
      <c r="F1140" t="s">
        <v>54</v>
      </c>
      <c r="G1140" t="s">
        <v>353</v>
      </c>
      <c r="H1140" t="s">
        <v>262</v>
      </c>
      <c r="I1140" t="s">
        <v>5</v>
      </c>
      <c r="J1140" t="s">
        <v>354</v>
      </c>
      <c r="K1140" t="s">
        <v>355</v>
      </c>
      <c r="L1140" t="s">
        <v>265</v>
      </c>
      <c r="M1140">
        <v>60</v>
      </c>
      <c r="N1140" t="b">
        <v>0</v>
      </c>
      <c r="O1140">
        <v>0.8086021505376344</v>
      </c>
      <c r="P1140">
        <v>0.77366255144032925</v>
      </c>
      <c r="Q1140">
        <v>0.84684684684684686</v>
      </c>
      <c r="R1140" t="s">
        <v>60</v>
      </c>
      <c r="S1140" t="s">
        <v>2706</v>
      </c>
      <c r="T1140" t="s">
        <v>2707</v>
      </c>
      <c r="U1140" t="b">
        <v>1</v>
      </c>
      <c r="V1140" t="s">
        <v>63</v>
      </c>
      <c r="W1140">
        <v>1.4</v>
      </c>
    </row>
    <row r="1141" spans="1:23" hidden="1" x14ac:dyDescent="0.3">
      <c r="A1141" t="s">
        <v>1629</v>
      </c>
      <c r="B1141" t="s">
        <v>1630</v>
      </c>
      <c r="C1141" t="s">
        <v>28</v>
      </c>
      <c r="D1141" t="s">
        <v>26</v>
      </c>
      <c r="E1141" t="s">
        <v>27</v>
      </c>
      <c r="F1141" t="s">
        <v>54</v>
      </c>
      <c r="G1141" t="s">
        <v>358</v>
      </c>
      <c r="H1141" t="s">
        <v>262</v>
      </c>
      <c r="I1141" t="s">
        <v>5</v>
      </c>
      <c r="J1141" t="s">
        <v>359</v>
      </c>
      <c r="K1141" t="s">
        <v>360</v>
      </c>
      <c r="L1141" t="s">
        <v>265</v>
      </c>
      <c r="M1141">
        <v>61</v>
      </c>
      <c r="N1141" t="b">
        <v>0</v>
      </c>
      <c r="O1141">
        <v>0.80257510729613735</v>
      </c>
      <c r="P1141">
        <v>0.76639344262295084</v>
      </c>
      <c r="Q1141">
        <v>0.84234234234234229</v>
      </c>
      <c r="R1141" t="s">
        <v>60</v>
      </c>
      <c r="S1141" t="s">
        <v>2708</v>
      </c>
      <c r="T1141" t="s">
        <v>2709</v>
      </c>
      <c r="U1141" t="b">
        <v>1</v>
      </c>
      <c r="V1141" t="s">
        <v>63</v>
      </c>
      <c r="W1141">
        <v>1.8</v>
      </c>
    </row>
    <row r="1142" spans="1:23" hidden="1" x14ac:dyDescent="0.3">
      <c r="A1142" t="s">
        <v>1629</v>
      </c>
      <c r="B1142" t="s">
        <v>1630</v>
      </c>
      <c r="C1142" t="s">
        <v>28</v>
      </c>
      <c r="D1142" t="s">
        <v>26</v>
      </c>
      <c r="E1142" t="s">
        <v>27</v>
      </c>
      <c r="F1142" t="s">
        <v>363</v>
      </c>
      <c r="G1142" t="s">
        <v>364</v>
      </c>
      <c r="H1142" t="s">
        <v>365</v>
      </c>
      <c r="I1142" t="s">
        <v>13</v>
      </c>
      <c r="J1142" t="s">
        <v>366</v>
      </c>
      <c r="K1142" t="s">
        <v>367</v>
      </c>
      <c r="L1142" t="s">
        <v>368</v>
      </c>
      <c r="M1142">
        <v>42</v>
      </c>
      <c r="N1142" t="b">
        <v>0</v>
      </c>
      <c r="O1142">
        <v>0.86128364389233958</v>
      </c>
      <c r="P1142">
        <v>0.82213438735177868</v>
      </c>
      <c r="Q1142">
        <v>0.90434782608695652</v>
      </c>
      <c r="R1142" t="s">
        <v>60</v>
      </c>
      <c r="S1142" t="s">
        <v>2710</v>
      </c>
      <c r="T1142" t="s">
        <v>2711</v>
      </c>
      <c r="U1142" t="b">
        <v>1</v>
      </c>
      <c r="V1142" t="s">
        <v>63</v>
      </c>
      <c r="W1142">
        <v>1.4</v>
      </c>
    </row>
    <row r="1143" spans="1:23" hidden="1" x14ac:dyDescent="0.3">
      <c r="A1143" t="s">
        <v>1629</v>
      </c>
      <c r="B1143" t="s">
        <v>1630</v>
      </c>
      <c r="C1143" t="s">
        <v>28</v>
      </c>
      <c r="D1143" t="s">
        <v>26</v>
      </c>
      <c r="E1143" t="s">
        <v>27</v>
      </c>
      <c r="F1143" t="s">
        <v>363</v>
      </c>
      <c r="G1143" t="s">
        <v>371</v>
      </c>
      <c r="H1143" t="s">
        <v>365</v>
      </c>
      <c r="I1143" t="s">
        <v>13</v>
      </c>
      <c r="J1143" t="s">
        <v>372</v>
      </c>
      <c r="K1143" t="s">
        <v>373</v>
      </c>
      <c r="L1143" t="s">
        <v>368</v>
      </c>
      <c r="M1143">
        <v>43</v>
      </c>
      <c r="N1143" t="b">
        <v>0</v>
      </c>
      <c r="O1143">
        <v>0.86721991701244816</v>
      </c>
      <c r="P1143">
        <v>0.82936507936507942</v>
      </c>
      <c r="Q1143">
        <v>0.90869565217391302</v>
      </c>
      <c r="R1143" t="s">
        <v>60</v>
      </c>
      <c r="S1143" t="s">
        <v>2712</v>
      </c>
      <c r="T1143" t="s">
        <v>2713</v>
      </c>
      <c r="U1143" t="b">
        <v>1</v>
      </c>
      <c r="V1143" t="s">
        <v>63</v>
      </c>
      <c r="W1143">
        <v>1.3</v>
      </c>
    </row>
    <row r="1144" spans="1:23" hidden="1" x14ac:dyDescent="0.3">
      <c r="A1144" t="s">
        <v>1629</v>
      </c>
      <c r="B1144" t="s">
        <v>1630</v>
      </c>
      <c r="C1144" t="s">
        <v>28</v>
      </c>
      <c r="D1144" t="s">
        <v>26</v>
      </c>
      <c r="E1144" t="s">
        <v>27</v>
      </c>
      <c r="F1144" t="s">
        <v>363</v>
      </c>
      <c r="G1144" t="s">
        <v>376</v>
      </c>
      <c r="H1144" t="s">
        <v>365</v>
      </c>
      <c r="I1144" t="s">
        <v>13</v>
      </c>
      <c r="J1144" t="s">
        <v>377</v>
      </c>
      <c r="K1144" t="s">
        <v>378</v>
      </c>
      <c r="L1144" t="s">
        <v>368</v>
      </c>
      <c r="M1144">
        <v>44</v>
      </c>
      <c r="N1144" t="b">
        <v>0</v>
      </c>
      <c r="O1144">
        <v>0.86070686070686075</v>
      </c>
      <c r="P1144">
        <v>0.82470119521912355</v>
      </c>
      <c r="Q1144">
        <v>0.9</v>
      </c>
      <c r="R1144" t="s">
        <v>60</v>
      </c>
      <c r="S1144" t="s">
        <v>2714</v>
      </c>
      <c r="T1144" t="s">
        <v>2715</v>
      </c>
      <c r="U1144" t="b">
        <v>1</v>
      </c>
      <c r="V1144" t="s">
        <v>63</v>
      </c>
      <c r="W1144">
        <v>1.8</v>
      </c>
    </row>
    <row r="1145" spans="1:23" hidden="1" x14ac:dyDescent="0.3">
      <c r="A1145" t="s">
        <v>1629</v>
      </c>
      <c r="B1145" t="s">
        <v>1630</v>
      </c>
      <c r="C1145" t="s">
        <v>28</v>
      </c>
      <c r="D1145" t="s">
        <v>26</v>
      </c>
      <c r="E1145" t="s">
        <v>27</v>
      </c>
      <c r="F1145" t="s">
        <v>363</v>
      </c>
      <c r="G1145" t="s">
        <v>381</v>
      </c>
      <c r="H1145" t="s">
        <v>365</v>
      </c>
      <c r="I1145" t="s">
        <v>13</v>
      </c>
      <c r="J1145" t="s">
        <v>382</v>
      </c>
      <c r="K1145" t="s">
        <v>383</v>
      </c>
      <c r="L1145" t="s">
        <v>368</v>
      </c>
      <c r="M1145">
        <v>45</v>
      </c>
      <c r="N1145" t="b">
        <v>0</v>
      </c>
      <c r="O1145">
        <v>0.85714285714285698</v>
      </c>
      <c r="P1145">
        <v>0.82926829268292679</v>
      </c>
      <c r="Q1145">
        <v>0.88695652173913042</v>
      </c>
      <c r="R1145" t="s">
        <v>60</v>
      </c>
      <c r="S1145" t="s">
        <v>2716</v>
      </c>
      <c r="T1145" t="s">
        <v>2717</v>
      </c>
      <c r="U1145" t="b">
        <v>1</v>
      </c>
      <c r="V1145" t="s">
        <v>63</v>
      </c>
      <c r="W1145">
        <v>1.4</v>
      </c>
    </row>
    <row r="1146" spans="1:23" hidden="1" x14ac:dyDescent="0.3">
      <c r="A1146" t="s">
        <v>1629</v>
      </c>
      <c r="B1146" t="s">
        <v>1630</v>
      </c>
      <c r="C1146" t="s">
        <v>28</v>
      </c>
      <c r="D1146" t="s">
        <v>26</v>
      </c>
      <c r="E1146" t="s">
        <v>27</v>
      </c>
      <c r="F1146" t="s">
        <v>363</v>
      </c>
      <c r="G1146" t="s">
        <v>386</v>
      </c>
      <c r="H1146" t="s">
        <v>365</v>
      </c>
      <c r="I1146" t="s">
        <v>13</v>
      </c>
      <c r="J1146" t="s">
        <v>387</v>
      </c>
      <c r="K1146" t="s">
        <v>388</v>
      </c>
      <c r="L1146" t="s">
        <v>368</v>
      </c>
      <c r="M1146">
        <v>46</v>
      </c>
      <c r="N1146" t="b">
        <v>0</v>
      </c>
      <c r="O1146">
        <v>0.86307053941908707</v>
      </c>
      <c r="P1146">
        <v>0.82539682539682535</v>
      </c>
      <c r="Q1146">
        <v>0.90434782608695652</v>
      </c>
      <c r="R1146" t="s">
        <v>60</v>
      </c>
      <c r="S1146" t="s">
        <v>2718</v>
      </c>
      <c r="T1146" t="s">
        <v>2719</v>
      </c>
      <c r="U1146" t="b">
        <v>1</v>
      </c>
      <c r="V1146" t="s">
        <v>63</v>
      </c>
      <c r="W1146">
        <v>1.3</v>
      </c>
    </row>
    <row r="1147" spans="1:23" hidden="1" x14ac:dyDescent="0.3">
      <c r="A1147" t="s">
        <v>1629</v>
      </c>
      <c r="B1147" t="s">
        <v>1630</v>
      </c>
      <c r="C1147" t="s">
        <v>28</v>
      </c>
      <c r="D1147" t="s">
        <v>26</v>
      </c>
      <c r="E1147" t="s">
        <v>27</v>
      </c>
      <c r="F1147" t="s">
        <v>363</v>
      </c>
      <c r="G1147" t="s">
        <v>391</v>
      </c>
      <c r="H1147" t="s">
        <v>365</v>
      </c>
      <c r="I1147" t="s">
        <v>13</v>
      </c>
      <c r="J1147" t="s">
        <v>392</v>
      </c>
      <c r="K1147" t="s">
        <v>393</v>
      </c>
      <c r="L1147" t="s">
        <v>368</v>
      </c>
      <c r="M1147">
        <v>47</v>
      </c>
      <c r="N1147" t="b">
        <v>0</v>
      </c>
      <c r="O1147">
        <v>0.86128364389233958</v>
      </c>
      <c r="P1147">
        <v>0.82213438735177868</v>
      </c>
      <c r="Q1147">
        <v>0.90434782608695652</v>
      </c>
      <c r="R1147" t="s">
        <v>60</v>
      </c>
      <c r="S1147" t="s">
        <v>2720</v>
      </c>
      <c r="T1147" t="s">
        <v>2721</v>
      </c>
      <c r="U1147" t="b">
        <v>1</v>
      </c>
      <c r="V1147" t="s">
        <v>63</v>
      </c>
      <c r="W1147">
        <v>1.8</v>
      </c>
    </row>
    <row r="1148" spans="1:23" hidden="1" x14ac:dyDescent="0.3">
      <c r="A1148" t="s">
        <v>1629</v>
      </c>
      <c r="B1148" t="s">
        <v>1630</v>
      </c>
      <c r="C1148" t="s">
        <v>28</v>
      </c>
      <c r="D1148" t="s">
        <v>26</v>
      </c>
      <c r="E1148" t="s">
        <v>27</v>
      </c>
      <c r="F1148" t="s">
        <v>363</v>
      </c>
      <c r="G1148" t="s">
        <v>396</v>
      </c>
      <c r="H1148" t="s">
        <v>365</v>
      </c>
      <c r="I1148" t="s">
        <v>13</v>
      </c>
      <c r="J1148" t="s">
        <v>397</v>
      </c>
      <c r="K1148" t="s">
        <v>398</v>
      </c>
      <c r="L1148" t="s">
        <v>368</v>
      </c>
      <c r="M1148">
        <v>48</v>
      </c>
      <c r="N1148" t="b">
        <v>0</v>
      </c>
      <c r="O1148">
        <v>0.84836065573770492</v>
      </c>
      <c r="P1148">
        <v>0.80232558139534882</v>
      </c>
      <c r="Q1148">
        <v>0.9</v>
      </c>
      <c r="R1148" t="s">
        <v>60</v>
      </c>
      <c r="S1148" t="s">
        <v>2722</v>
      </c>
      <c r="T1148" t="s">
        <v>2723</v>
      </c>
      <c r="U1148" t="b">
        <v>1</v>
      </c>
      <c r="V1148" t="s">
        <v>63</v>
      </c>
      <c r="W1148">
        <v>1.3</v>
      </c>
    </row>
    <row r="1149" spans="1:23" hidden="1" x14ac:dyDescent="0.3">
      <c r="A1149" t="s">
        <v>1629</v>
      </c>
      <c r="B1149" t="s">
        <v>1630</v>
      </c>
      <c r="C1149" t="s">
        <v>28</v>
      </c>
      <c r="D1149" t="s">
        <v>26</v>
      </c>
      <c r="E1149" t="s">
        <v>27</v>
      </c>
      <c r="F1149" t="s">
        <v>363</v>
      </c>
      <c r="G1149" t="s">
        <v>401</v>
      </c>
      <c r="H1149" t="s">
        <v>365</v>
      </c>
      <c r="I1149" t="s">
        <v>13</v>
      </c>
      <c r="J1149" t="s">
        <v>402</v>
      </c>
      <c r="K1149" t="s">
        <v>403</v>
      </c>
      <c r="L1149" t="s">
        <v>368</v>
      </c>
      <c r="M1149">
        <v>49</v>
      </c>
      <c r="N1149" t="b">
        <v>0</v>
      </c>
      <c r="O1149">
        <v>0.84647302904564314</v>
      </c>
      <c r="P1149">
        <v>0.80952380952380953</v>
      </c>
      <c r="Q1149">
        <v>0.88695652173913042</v>
      </c>
      <c r="R1149" t="s">
        <v>60</v>
      </c>
      <c r="S1149" t="s">
        <v>2724</v>
      </c>
      <c r="T1149" t="s">
        <v>2725</v>
      </c>
      <c r="U1149" t="b">
        <v>1</v>
      </c>
      <c r="V1149" t="s">
        <v>63</v>
      </c>
      <c r="W1149">
        <v>1.3</v>
      </c>
    </row>
    <row r="1150" spans="1:23" hidden="1" x14ac:dyDescent="0.3">
      <c r="A1150" t="s">
        <v>1629</v>
      </c>
      <c r="B1150" t="s">
        <v>1630</v>
      </c>
      <c r="C1150" t="s">
        <v>28</v>
      </c>
      <c r="D1150" t="s">
        <v>26</v>
      </c>
      <c r="E1150" t="s">
        <v>27</v>
      </c>
      <c r="F1150" t="s">
        <v>363</v>
      </c>
      <c r="G1150" t="s">
        <v>406</v>
      </c>
      <c r="H1150" t="s">
        <v>365</v>
      </c>
      <c r="I1150" t="s">
        <v>13</v>
      </c>
      <c r="J1150" t="s">
        <v>407</v>
      </c>
      <c r="K1150" t="s">
        <v>408</v>
      </c>
      <c r="L1150" t="s">
        <v>368</v>
      </c>
      <c r="M1150">
        <v>50</v>
      </c>
      <c r="N1150" t="b">
        <v>0</v>
      </c>
      <c r="O1150">
        <v>0.85239085239085233</v>
      </c>
      <c r="P1150">
        <v>0.81673306772908372</v>
      </c>
      <c r="Q1150">
        <v>0.89130434782608692</v>
      </c>
      <c r="R1150" t="s">
        <v>60</v>
      </c>
      <c r="S1150" t="s">
        <v>2726</v>
      </c>
      <c r="T1150" t="s">
        <v>2727</v>
      </c>
      <c r="U1150" t="b">
        <v>1</v>
      </c>
      <c r="V1150" t="s">
        <v>63</v>
      </c>
      <c r="W1150">
        <v>1.8</v>
      </c>
    </row>
    <row r="1151" spans="1:23" hidden="1" x14ac:dyDescent="0.3">
      <c r="A1151" t="s">
        <v>1629</v>
      </c>
      <c r="B1151" t="s">
        <v>1630</v>
      </c>
      <c r="C1151" t="s">
        <v>28</v>
      </c>
      <c r="D1151" t="s">
        <v>26</v>
      </c>
      <c r="E1151" t="s">
        <v>27</v>
      </c>
      <c r="F1151" t="s">
        <v>363</v>
      </c>
      <c r="G1151" t="s">
        <v>411</v>
      </c>
      <c r="H1151" t="s">
        <v>365</v>
      </c>
      <c r="I1151" t="s">
        <v>13</v>
      </c>
      <c r="J1151" t="s">
        <v>412</v>
      </c>
      <c r="K1151" t="s">
        <v>413</v>
      </c>
      <c r="L1151" t="s">
        <v>368</v>
      </c>
      <c r="M1151">
        <v>51</v>
      </c>
      <c r="N1151" t="b">
        <v>0</v>
      </c>
      <c r="O1151">
        <v>0.85123966942148765</v>
      </c>
      <c r="P1151">
        <v>0.8110236220472441</v>
      </c>
      <c r="Q1151">
        <v>0.89565217391304353</v>
      </c>
      <c r="R1151" t="s">
        <v>60</v>
      </c>
      <c r="S1151" t="s">
        <v>2728</v>
      </c>
      <c r="T1151" t="s">
        <v>2729</v>
      </c>
      <c r="U1151" t="b">
        <v>1</v>
      </c>
      <c r="V1151" t="s">
        <v>63</v>
      </c>
      <c r="W1151">
        <v>1.3</v>
      </c>
    </row>
    <row r="1152" spans="1:23" hidden="1" x14ac:dyDescent="0.3">
      <c r="A1152" t="s">
        <v>1629</v>
      </c>
      <c r="B1152" t="s">
        <v>1630</v>
      </c>
      <c r="C1152" t="s">
        <v>28</v>
      </c>
      <c r="D1152" t="s">
        <v>26</v>
      </c>
      <c r="E1152" t="s">
        <v>27</v>
      </c>
      <c r="F1152" t="s">
        <v>363</v>
      </c>
      <c r="G1152" t="s">
        <v>416</v>
      </c>
      <c r="H1152" t="s">
        <v>365</v>
      </c>
      <c r="I1152" t="s">
        <v>13</v>
      </c>
      <c r="J1152" t="s">
        <v>417</v>
      </c>
      <c r="K1152" t="s">
        <v>418</v>
      </c>
      <c r="L1152" t="s">
        <v>368</v>
      </c>
      <c r="M1152">
        <v>52</v>
      </c>
      <c r="N1152" t="b">
        <v>0</v>
      </c>
      <c r="O1152">
        <v>0.86070686070686075</v>
      </c>
      <c r="P1152">
        <v>0.82470119521912355</v>
      </c>
      <c r="Q1152">
        <v>0.9</v>
      </c>
      <c r="R1152" t="s">
        <v>60</v>
      </c>
      <c r="S1152" t="s">
        <v>2730</v>
      </c>
      <c r="T1152" t="s">
        <v>2731</v>
      </c>
      <c r="U1152" t="b">
        <v>1</v>
      </c>
      <c r="V1152" t="s">
        <v>63</v>
      </c>
      <c r="W1152">
        <v>1.3</v>
      </c>
    </row>
    <row r="1153" spans="1:23" hidden="1" x14ac:dyDescent="0.3">
      <c r="A1153" t="s">
        <v>1629</v>
      </c>
      <c r="B1153" t="s">
        <v>1630</v>
      </c>
      <c r="C1153" t="s">
        <v>28</v>
      </c>
      <c r="D1153" t="s">
        <v>26</v>
      </c>
      <c r="E1153" t="s">
        <v>27</v>
      </c>
      <c r="F1153" t="s">
        <v>363</v>
      </c>
      <c r="G1153" t="s">
        <v>421</v>
      </c>
      <c r="H1153" t="s">
        <v>365</v>
      </c>
      <c r="I1153" t="s">
        <v>13</v>
      </c>
      <c r="J1153" t="s">
        <v>422</v>
      </c>
      <c r="K1153" t="s">
        <v>423</v>
      </c>
      <c r="L1153" t="s">
        <v>368</v>
      </c>
      <c r="M1153">
        <v>53</v>
      </c>
      <c r="N1153" t="b">
        <v>0</v>
      </c>
      <c r="O1153">
        <v>0.85477178423236522</v>
      </c>
      <c r="P1153">
        <v>0.81746031746031744</v>
      </c>
      <c r="Q1153">
        <v>0.89565217391304353</v>
      </c>
      <c r="R1153" t="s">
        <v>60</v>
      </c>
      <c r="S1153" t="s">
        <v>2732</v>
      </c>
      <c r="T1153" t="s">
        <v>2733</v>
      </c>
      <c r="U1153" t="b">
        <v>1</v>
      </c>
      <c r="V1153" t="s">
        <v>63</v>
      </c>
      <c r="W1153">
        <v>1.8</v>
      </c>
    </row>
    <row r="1154" spans="1:23" hidden="1" x14ac:dyDescent="0.3">
      <c r="A1154" t="s">
        <v>1629</v>
      </c>
      <c r="B1154" t="s">
        <v>1630</v>
      </c>
      <c r="C1154" t="s">
        <v>28</v>
      </c>
      <c r="D1154" t="s">
        <v>26</v>
      </c>
      <c r="E1154" t="s">
        <v>27</v>
      </c>
      <c r="F1154" t="s">
        <v>363</v>
      </c>
      <c r="G1154" t="s">
        <v>426</v>
      </c>
      <c r="H1154" t="s">
        <v>365</v>
      </c>
      <c r="I1154" t="s">
        <v>13</v>
      </c>
      <c r="J1154" t="s">
        <v>427</v>
      </c>
      <c r="K1154" t="s">
        <v>428</v>
      </c>
      <c r="L1154" t="s">
        <v>368</v>
      </c>
      <c r="M1154">
        <v>54</v>
      </c>
      <c r="N1154" t="b">
        <v>0</v>
      </c>
      <c r="O1154">
        <v>0.86192468619246865</v>
      </c>
      <c r="P1154">
        <v>0.83064516129032262</v>
      </c>
      <c r="Q1154">
        <v>0.89565217391304353</v>
      </c>
      <c r="R1154" t="s">
        <v>60</v>
      </c>
      <c r="S1154" t="s">
        <v>2734</v>
      </c>
      <c r="T1154" t="s">
        <v>2735</v>
      </c>
      <c r="U1154" t="b">
        <v>1</v>
      </c>
      <c r="V1154" t="s">
        <v>63</v>
      </c>
      <c r="W1154">
        <v>1.4</v>
      </c>
    </row>
    <row r="1155" spans="1:23" hidden="1" x14ac:dyDescent="0.3">
      <c r="A1155" t="s">
        <v>1629</v>
      </c>
      <c r="B1155" t="s">
        <v>1630</v>
      </c>
      <c r="C1155" t="s">
        <v>28</v>
      </c>
      <c r="D1155" t="s">
        <v>26</v>
      </c>
      <c r="E1155" t="s">
        <v>27</v>
      </c>
      <c r="F1155" t="s">
        <v>363</v>
      </c>
      <c r="G1155" t="s">
        <v>431</v>
      </c>
      <c r="H1155" t="s">
        <v>365</v>
      </c>
      <c r="I1155" t="s">
        <v>13</v>
      </c>
      <c r="J1155" t="s">
        <v>432</v>
      </c>
      <c r="K1155" t="s">
        <v>433</v>
      </c>
      <c r="L1155" t="s">
        <v>368</v>
      </c>
      <c r="M1155">
        <v>55</v>
      </c>
      <c r="N1155" t="b">
        <v>0</v>
      </c>
      <c r="O1155">
        <v>0.85123966942148765</v>
      </c>
      <c r="P1155">
        <v>0.8110236220472441</v>
      </c>
      <c r="Q1155">
        <v>0.89565217391304353</v>
      </c>
      <c r="R1155" t="s">
        <v>60</v>
      </c>
      <c r="S1155" t="s">
        <v>2736</v>
      </c>
      <c r="T1155" t="s">
        <v>2737</v>
      </c>
      <c r="U1155" t="b">
        <v>1</v>
      </c>
      <c r="V1155" t="s">
        <v>63</v>
      </c>
      <c r="W1155">
        <v>1.3</v>
      </c>
    </row>
    <row r="1156" spans="1:23" hidden="1" x14ac:dyDescent="0.3">
      <c r="A1156" t="s">
        <v>1629</v>
      </c>
      <c r="B1156" t="s">
        <v>1630</v>
      </c>
      <c r="C1156" t="s">
        <v>28</v>
      </c>
      <c r="D1156" t="s">
        <v>26</v>
      </c>
      <c r="E1156" t="s">
        <v>27</v>
      </c>
      <c r="F1156" t="s">
        <v>363</v>
      </c>
      <c r="G1156" t="s">
        <v>436</v>
      </c>
      <c r="H1156" t="s">
        <v>365</v>
      </c>
      <c r="I1156" t="s">
        <v>13</v>
      </c>
      <c r="J1156" t="s">
        <v>437</v>
      </c>
      <c r="K1156" t="s">
        <v>438</v>
      </c>
      <c r="L1156" t="s">
        <v>368</v>
      </c>
      <c r="M1156">
        <v>56</v>
      </c>
      <c r="N1156" t="b">
        <v>0</v>
      </c>
      <c r="O1156">
        <v>0.87136929460580903</v>
      </c>
      <c r="P1156">
        <v>0.83333333333333337</v>
      </c>
      <c r="Q1156">
        <v>0.91304347826086951</v>
      </c>
      <c r="R1156" t="s">
        <v>60</v>
      </c>
      <c r="S1156" t="s">
        <v>2738</v>
      </c>
      <c r="T1156" t="s">
        <v>2739</v>
      </c>
      <c r="U1156" t="b">
        <v>1</v>
      </c>
      <c r="V1156" t="s">
        <v>63</v>
      </c>
      <c r="W1156">
        <v>1.8</v>
      </c>
    </row>
    <row r="1157" spans="1:23" hidden="1" x14ac:dyDescent="0.3">
      <c r="A1157" t="s">
        <v>1629</v>
      </c>
      <c r="B1157" t="s">
        <v>1630</v>
      </c>
      <c r="C1157" t="s">
        <v>28</v>
      </c>
      <c r="D1157" t="s">
        <v>26</v>
      </c>
      <c r="E1157" t="s">
        <v>27</v>
      </c>
      <c r="F1157" t="s">
        <v>363</v>
      </c>
      <c r="G1157" t="s">
        <v>441</v>
      </c>
      <c r="H1157" t="s">
        <v>365</v>
      </c>
      <c r="I1157" t="s">
        <v>13</v>
      </c>
      <c r="J1157" t="s">
        <v>442</v>
      </c>
      <c r="K1157" t="s">
        <v>443</v>
      </c>
      <c r="L1157" t="s">
        <v>368</v>
      </c>
      <c r="M1157">
        <v>57</v>
      </c>
      <c r="N1157" t="b">
        <v>0</v>
      </c>
      <c r="O1157">
        <v>0.8565488565488566</v>
      </c>
      <c r="P1157">
        <v>0.82071713147410363</v>
      </c>
      <c r="Q1157">
        <v>0.89565217391304353</v>
      </c>
      <c r="R1157" t="s">
        <v>60</v>
      </c>
      <c r="S1157" t="s">
        <v>2740</v>
      </c>
      <c r="T1157" t="s">
        <v>2741</v>
      </c>
      <c r="U1157" t="b">
        <v>1</v>
      </c>
      <c r="V1157" t="s">
        <v>63</v>
      </c>
      <c r="W1157">
        <v>1.3</v>
      </c>
    </row>
    <row r="1158" spans="1:23" hidden="1" x14ac:dyDescent="0.3">
      <c r="A1158" t="s">
        <v>1629</v>
      </c>
      <c r="B1158" t="s">
        <v>1630</v>
      </c>
      <c r="C1158" t="s">
        <v>28</v>
      </c>
      <c r="D1158" t="s">
        <v>26</v>
      </c>
      <c r="E1158" t="s">
        <v>27</v>
      </c>
      <c r="F1158" t="s">
        <v>363</v>
      </c>
      <c r="G1158" t="s">
        <v>446</v>
      </c>
      <c r="H1158" t="s">
        <v>365</v>
      </c>
      <c r="I1158" t="s">
        <v>13</v>
      </c>
      <c r="J1158" t="s">
        <v>447</v>
      </c>
      <c r="K1158" t="s">
        <v>448</v>
      </c>
      <c r="L1158" t="s">
        <v>368</v>
      </c>
      <c r="M1158">
        <v>58</v>
      </c>
      <c r="N1158" t="b">
        <v>0</v>
      </c>
      <c r="O1158">
        <v>0.84166666666666667</v>
      </c>
      <c r="P1158">
        <v>0.80800000000000005</v>
      </c>
      <c r="Q1158">
        <v>0.87826086956521743</v>
      </c>
      <c r="R1158" t="s">
        <v>60</v>
      </c>
      <c r="S1158" t="s">
        <v>2742</v>
      </c>
      <c r="T1158" t="s">
        <v>2743</v>
      </c>
      <c r="U1158" t="b">
        <v>1</v>
      </c>
      <c r="V1158" t="s">
        <v>63</v>
      </c>
      <c r="W1158">
        <v>1.3</v>
      </c>
    </row>
    <row r="1159" spans="1:23" hidden="1" x14ac:dyDescent="0.3">
      <c r="A1159" t="s">
        <v>1629</v>
      </c>
      <c r="B1159" t="s">
        <v>1630</v>
      </c>
      <c r="C1159" t="s">
        <v>28</v>
      </c>
      <c r="D1159" t="s">
        <v>26</v>
      </c>
      <c r="E1159" t="s">
        <v>27</v>
      </c>
      <c r="F1159" t="s">
        <v>363</v>
      </c>
      <c r="G1159" t="s">
        <v>451</v>
      </c>
      <c r="H1159" t="s">
        <v>365</v>
      </c>
      <c r="I1159" t="s">
        <v>13</v>
      </c>
      <c r="J1159" t="s">
        <v>452</v>
      </c>
      <c r="K1159" t="s">
        <v>453</v>
      </c>
      <c r="L1159" t="s">
        <v>368</v>
      </c>
      <c r="M1159">
        <v>59</v>
      </c>
      <c r="N1159" t="b">
        <v>0</v>
      </c>
      <c r="O1159">
        <v>0.85833333333333339</v>
      </c>
      <c r="P1159">
        <v>0.82399999999999995</v>
      </c>
      <c r="Q1159">
        <v>0.89565217391304353</v>
      </c>
      <c r="R1159" t="s">
        <v>60</v>
      </c>
      <c r="S1159" t="s">
        <v>2744</v>
      </c>
      <c r="T1159" t="s">
        <v>2745</v>
      </c>
      <c r="U1159" t="b">
        <v>1</v>
      </c>
      <c r="V1159" t="s">
        <v>63</v>
      </c>
      <c r="W1159">
        <v>1.7</v>
      </c>
    </row>
    <row r="1160" spans="1:23" hidden="1" x14ac:dyDescent="0.3">
      <c r="A1160" t="s">
        <v>1629</v>
      </c>
      <c r="B1160" t="s">
        <v>1630</v>
      </c>
      <c r="C1160" t="s">
        <v>28</v>
      </c>
      <c r="D1160" t="s">
        <v>26</v>
      </c>
      <c r="E1160" t="s">
        <v>27</v>
      </c>
      <c r="F1160" t="s">
        <v>363</v>
      </c>
      <c r="G1160" t="s">
        <v>456</v>
      </c>
      <c r="H1160" t="s">
        <v>365</v>
      </c>
      <c r="I1160" t="s">
        <v>13</v>
      </c>
      <c r="J1160" t="s">
        <v>457</v>
      </c>
      <c r="K1160" t="s">
        <v>458</v>
      </c>
      <c r="L1160" t="s">
        <v>368</v>
      </c>
      <c r="M1160">
        <v>60</v>
      </c>
      <c r="N1160" t="b">
        <v>0</v>
      </c>
      <c r="O1160">
        <v>0.86956521739130432</v>
      </c>
      <c r="P1160">
        <v>0.83003952569169959</v>
      </c>
      <c r="Q1160">
        <v>0.91304347826086951</v>
      </c>
      <c r="R1160" t="s">
        <v>60</v>
      </c>
      <c r="S1160" t="s">
        <v>2746</v>
      </c>
      <c r="T1160" t="s">
        <v>2747</v>
      </c>
      <c r="U1160" t="b">
        <v>1</v>
      </c>
      <c r="V1160" t="s">
        <v>63</v>
      </c>
      <c r="W1160">
        <v>1.3</v>
      </c>
    </row>
    <row r="1161" spans="1:23" hidden="1" x14ac:dyDescent="0.3">
      <c r="A1161" t="s">
        <v>1629</v>
      </c>
      <c r="B1161" t="s">
        <v>1630</v>
      </c>
      <c r="C1161" t="s">
        <v>28</v>
      </c>
      <c r="D1161" t="s">
        <v>26</v>
      </c>
      <c r="E1161" t="s">
        <v>27</v>
      </c>
      <c r="F1161" t="s">
        <v>363</v>
      </c>
      <c r="G1161" t="s">
        <v>461</v>
      </c>
      <c r="H1161" t="s">
        <v>365</v>
      </c>
      <c r="I1161" t="s">
        <v>13</v>
      </c>
      <c r="J1161" t="s">
        <v>462</v>
      </c>
      <c r="K1161" t="s">
        <v>463</v>
      </c>
      <c r="L1161" t="s">
        <v>368</v>
      </c>
      <c r="M1161">
        <v>61</v>
      </c>
      <c r="N1161" t="b">
        <v>0</v>
      </c>
      <c r="O1161">
        <v>0.85185185185185197</v>
      </c>
      <c r="P1161">
        <v>0.80859375</v>
      </c>
      <c r="Q1161">
        <v>0.9</v>
      </c>
      <c r="R1161" t="s">
        <v>60</v>
      </c>
      <c r="S1161" t="s">
        <v>2748</v>
      </c>
      <c r="T1161" t="s">
        <v>2749</v>
      </c>
      <c r="U1161" t="b">
        <v>1</v>
      </c>
      <c r="V1161" t="s">
        <v>63</v>
      </c>
      <c r="W1161">
        <v>1.3</v>
      </c>
    </row>
    <row r="1162" spans="1:23" hidden="1" x14ac:dyDescent="0.3">
      <c r="A1162" t="s">
        <v>1629</v>
      </c>
      <c r="B1162" t="s">
        <v>1630</v>
      </c>
      <c r="C1162" t="s">
        <v>28</v>
      </c>
      <c r="D1162" t="s">
        <v>26</v>
      </c>
      <c r="E1162" t="s">
        <v>27</v>
      </c>
      <c r="F1162" t="s">
        <v>363</v>
      </c>
      <c r="G1162" t="s">
        <v>466</v>
      </c>
      <c r="H1162" t="s">
        <v>467</v>
      </c>
      <c r="I1162" t="s">
        <v>9</v>
      </c>
      <c r="J1162" t="s">
        <v>468</v>
      </c>
      <c r="K1162" t="s">
        <v>469</v>
      </c>
      <c r="L1162" t="s">
        <v>470</v>
      </c>
      <c r="M1162">
        <v>42</v>
      </c>
      <c r="N1162" t="b">
        <v>0</v>
      </c>
      <c r="O1162">
        <v>0.85070422535211254</v>
      </c>
      <c r="P1162">
        <v>0.81182795698924726</v>
      </c>
      <c r="Q1162">
        <v>0.89349112426035504</v>
      </c>
      <c r="R1162" t="s">
        <v>60</v>
      </c>
      <c r="S1162" t="s">
        <v>2750</v>
      </c>
      <c r="T1162" t="s">
        <v>2751</v>
      </c>
      <c r="U1162" t="b">
        <v>1</v>
      </c>
      <c r="V1162" t="s">
        <v>63</v>
      </c>
      <c r="W1162">
        <v>1.6</v>
      </c>
    </row>
    <row r="1163" spans="1:23" hidden="1" x14ac:dyDescent="0.3">
      <c r="A1163" t="s">
        <v>1629</v>
      </c>
      <c r="B1163" t="s">
        <v>1630</v>
      </c>
      <c r="C1163" t="s">
        <v>28</v>
      </c>
      <c r="D1163" t="s">
        <v>26</v>
      </c>
      <c r="E1163" t="s">
        <v>27</v>
      </c>
      <c r="F1163" t="s">
        <v>363</v>
      </c>
      <c r="G1163" t="s">
        <v>473</v>
      </c>
      <c r="H1163" t="s">
        <v>467</v>
      </c>
      <c r="I1163" t="s">
        <v>9</v>
      </c>
      <c r="J1163" t="s">
        <v>474</v>
      </c>
      <c r="K1163" t="s">
        <v>475</v>
      </c>
      <c r="L1163" t="s">
        <v>470</v>
      </c>
      <c r="M1163">
        <v>43</v>
      </c>
      <c r="N1163" t="b">
        <v>0</v>
      </c>
      <c r="O1163">
        <v>0.84180790960451968</v>
      </c>
      <c r="P1163">
        <v>0.80540540540540539</v>
      </c>
      <c r="Q1163">
        <v>0.88165680473372776</v>
      </c>
      <c r="R1163" t="s">
        <v>60</v>
      </c>
      <c r="S1163" t="s">
        <v>2752</v>
      </c>
      <c r="T1163" t="s">
        <v>2753</v>
      </c>
      <c r="U1163" t="b">
        <v>1</v>
      </c>
      <c r="V1163" t="s">
        <v>63</v>
      </c>
      <c r="W1163">
        <v>1.2</v>
      </c>
    </row>
    <row r="1164" spans="1:23" hidden="1" x14ac:dyDescent="0.3">
      <c r="A1164" t="s">
        <v>1629</v>
      </c>
      <c r="B1164" t="s">
        <v>1630</v>
      </c>
      <c r="C1164" t="s">
        <v>28</v>
      </c>
      <c r="D1164" t="s">
        <v>26</v>
      </c>
      <c r="E1164" t="s">
        <v>27</v>
      </c>
      <c r="F1164" t="s">
        <v>363</v>
      </c>
      <c r="G1164" t="s">
        <v>478</v>
      </c>
      <c r="H1164" t="s">
        <v>467</v>
      </c>
      <c r="I1164" t="s">
        <v>9</v>
      </c>
      <c r="J1164" t="s">
        <v>479</v>
      </c>
      <c r="K1164" t="s">
        <v>480</v>
      </c>
      <c r="L1164" t="s">
        <v>470</v>
      </c>
      <c r="M1164">
        <v>44</v>
      </c>
      <c r="N1164" t="b">
        <v>0</v>
      </c>
      <c r="O1164">
        <v>0.84900284900284884</v>
      </c>
      <c r="P1164">
        <v>0.81868131868131866</v>
      </c>
      <c r="Q1164">
        <v>0.88165680473372776</v>
      </c>
      <c r="R1164" t="s">
        <v>60</v>
      </c>
      <c r="S1164" t="s">
        <v>2754</v>
      </c>
      <c r="T1164" t="s">
        <v>2755</v>
      </c>
      <c r="U1164" t="b">
        <v>1</v>
      </c>
      <c r="V1164" t="s">
        <v>63</v>
      </c>
      <c r="W1164">
        <v>1.2</v>
      </c>
    </row>
    <row r="1165" spans="1:23" hidden="1" x14ac:dyDescent="0.3">
      <c r="A1165" t="s">
        <v>1629</v>
      </c>
      <c r="B1165" t="s">
        <v>1630</v>
      </c>
      <c r="C1165" t="s">
        <v>28</v>
      </c>
      <c r="D1165" t="s">
        <v>26</v>
      </c>
      <c r="E1165" t="s">
        <v>27</v>
      </c>
      <c r="F1165" t="s">
        <v>363</v>
      </c>
      <c r="G1165" t="s">
        <v>483</v>
      </c>
      <c r="H1165" t="s">
        <v>467</v>
      </c>
      <c r="I1165" t="s">
        <v>9</v>
      </c>
      <c r="J1165" t="s">
        <v>484</v>
      </c>
      <c r="K1165" t="s">
        <v>485</v>
      </c>
      <c r="L1165" t="s">
        <v>470</v>
      </c>
      <c r="M1165">
        <v>45</v>
      </c>
      <c r="N1165" t="b">
        <v>0</v>
      </c>
      <c r="O1165">
        <v>0.86118980169971671</v>
      </c>
      <c r="P1165">
        <v>0.82608695652173914</v>
      </c>
      <c r="Q1165">
        <v>0.89940828402366868</v>
      </c>
      <c r="R1165" t="s">
        <v>60</v>
      </c>
      <c r="S1165" t="s">
        <v>2756</v>
      </c>
      <c r="T1165" t="s">
        <v>2757</v>
      </c>
      <c r="U1165" t="b">
        <v>1</v>
      </c>
      <c r="V1165" t="s">
        <v>63</v>
      </c>
      <c r="W1165">
        <v>1.6</v>
      </c>
    </row>
    <row r="1166" spans="1:23" hidden="1" x14ac:dyDescent="0.3">
      <c r="A1166" t="s">
        <v>1629</v>
      </c>
      <c r="B1166" t="s">
        <v>1630</v>
      </c>
      <c r="C1166" t="s">
        <v>28</v>
      </c>
      <c r="D1166" t="s">
        <v>26</v>
      </c>
      <c r="E1166" t="s">
        <v>27</v>
      </c>
      <c r="F1166" t="s">
        <v>363</v>
      </c>
      <c r="G1166" t="s">
        <v>488</v>
      </c>
      <c r="H1166" t="s">
        <v>467</v>
      </c>
      <c r="I1166" t="s">
        <v>9</v>
      </c>
      <c r="J1166" t="s">
        <v>489</v>
      </c>
      <c r="K1166" t="s">
        <v>490</v>
      </c>
      <c r="L1166" t="s">
        <v>470</v>
      </c>
      <c r="M1166">
        <v>46</v>
      </c>
      <c r="N1166" t="b">
        <v>0</v>
      </c>
      <c r="O1166">
        <v>0.84507042253521136</v>
      </c>
      <c r="P1166">
        <v>0.80645161290322576</v>
      </c>
      <c r="Q1166">
        <v>0.8875739644970414</v>
      </c>
      <c r="R1166" t="s">
        <v>60</v>
      </c>
      <c r="S1166" t="s">
        <v>2758</v>
      </c>
      <c r="T1166" t="s">
        <v>2759</v>
      </c>
      <c r="U1166" t="b">
        <v>1</v>
      </c>
      <c r="V1166" t="s">
        <v>63</v>
      </c>
      <c r="W1166">
        <v>1.2</v>
      </c>
    </row>
    <row r="1167" spans="1:23" hidden="1" x14ac:dyDescent="0.3">
      <c r="A1167" t="s">
        <v>1629</v>
      </c>
      <c r="B1167" t="s">
        <v>1630</v>
      </c>
      <c r="C1167" t="s">
        <v>28</v>
      </c>
      <c r="D1167" t="s">
        <v>26</v>
      </c>
      <c r="E1167" t="s">
        <v>27</v>
      </c>
      <c r="F1167" t="s">
        <v>363</v>
      </c>
      <c r="G1167" t="s">
        <v>493</v>
      </c>
      <c r="H1167" t="s">
        <v>467</v>
      </c>
      <c r="I1167" t="s">
        <v>9</v>
      </c>
      <c r="J1167" t="s">
        <v>494</v>
      </c>
      <c r="K1167" t="s">
        <v>495</v>
      </c>
      <c r="L1167" t="s">
        <v>470</v>
      </c>
      <c r="M1167">
        <v>47</v>
      </c>
      <c r="N1167" t="b">
        <v>0</v>
      </c>
      <c r="O1167">
        <v>0.84419263456090643</v>
      </c>
      <c r="P1167">
        <v>0.80978260869565222</v>
      </c>
      <c r="Q1167">
        <v>0.88165680473372776</v>
      </c>
      <c r="R1167" t="s">
        <v>60</v>
      </c>
      <c r="S1167" t="s">
        <v>2760</v>
      </c>
      <c r="T1167" t="s">
        <v>2761</v>
      </c>
      <c r="U1167" t="b">
        <v>1</v>
      </c>
      <c r="V1167" t="s">
        <v>63</v>
      </c>
      <c r="W1167">
        <v>1.2</v>
      </c>
    </row>
    <row r="1168" spans="1:23" hidden="1" x14ac:dyDescent="0.3">
      <c r="A1168" t="s">
        <v>1629</v>
      </c>
      <c r="B1168" t="s">
        <v>1630</v>
      </c>
      <c r="C1168" t="s">
        <v>28</v>
      </c>
      <c r="D1168" t="s">
        <v>26</v>
      </c>
      <c r="E1168" t="s">
        <v>27</v>
      </c>
      <c r="F1168" t="s">
        <v>363</v>
      </c>
      <c r="G1168" t="s">
        <v>498</v>
      </c>
      <c r="H1168" t="s">
        <v>467</v>
      </c>
      <c r="I1168" t="s">
        <v>9</v>
      </c>
      <c r="J1168" t="s">
        <v>499</v>
      </c>
      <c r="K1168" t="s">
        <v>500</v>
      </c>
      <c r="L1168" t="s">
        <v>470</v>
      </c>
      <c r="M1168">
        <v>48</v>
      </c>
      <c r="N1168" t="b">
        <v>0</v>
      </c>
      <c r="O1168">
        <v>0.82681564245810057</v>
      </c>
      <c r="P1168">
        <v>0.78306878306878303</v>
      </c>
      <c r="Q1168">
        <v>0.87573964497041423</v>
      </c>
      <c r="R1168" t="s">
        <v>60</v>
      </c>
      <c r="S1168" t="s">
        <v>2762</v>
      </c>
      <c r="T1168" t="s">
        <v>2763</v>
      </c>
      <c r="U1168" t="b">
        <v>1</v>
      </c>
      <c r="V1168" t="s">
        <v>63</v>
      </c>
      <c r="W1168">
        <v>1.2</v>
      </c>
    </row>
    <row r="1169" spans="1:23" hidden="1" x14ac:dyDescent="0.3">
      <c r="A1169" t="s">
        <v>1629</v>
      </c>
      <c r="B1169" t="s">
        <v>1630</v>
      </c>
      <c r="C1169" t="s">
        <v>28</v>
      </c>
      <c r="D1169" t="s">
        <v>26</v>
      </c>
      <c r="E1169" t="s">
        <v>27</v>
      </c>
      <c r="F1169" t="s">
        <v>363</v>
      </c>
      <c r="G1169" t="s">
        <v>503</v>
      </c>
      <c r="H1169" t="s">
        <v>467</v>
      </c>
      <c r="I1169" t="s">
        <v>9</v>
      </c>
      <c r="J1169" t="s">
        <v>504</v>
      </c>
      <c r="K1169" t="s">
        <v>505</v>
      </c>
      <c r="L1169" t="s">
        <v>470</v>
      </c>
      <c r="M1169">
        <v>49</v>
      </c>
      <c r="N1169" t="b">
        <v>0</v>
      </c>
      <c r="O1169">
        <v>0.84507042253521136</v>
      </c>
      <c r="P1169">
        <v>0.80645161290322576</v>
      </c>
      <c r="Q1169">
        <v>0.8875739644970414</v>
      </c>
      <c r="R1169" t="s">
        <v>60</v>
      </c>
      <c r="S1169" t="s">
        <v>2764</v>
      </c>
      <c r="T1169" t="s">
        <v>2765</v>
      </c>
      <c r="U1169" t="b">
        <v>1</v>
      </c>
      <c r="V1169" t="s">
        <v>63</v>
      </c>
      <c r="W1169">
        <v>1.6</v>
      </c>
    </row>
    <row r="1170" spans="1:23" hidden="1" x14ac:dyDescent="0.3">
      <c r="A1170" t="s">
        <v>1629</v>
      </c>
      <c r="B1170" t="s">
        <v>1630</v>
      </c>
      <c r="C1170" t="s">
        <v>28</v>
      </c>
      <c r="D1170" t="s">
        <v>26</v>
      </c>
      <c r="E1170" t="s">
        <v>27</v>
      </c>
      <c r="F1170" t="s">
        <v>363</v>
      </c>
      <c r="G1170" t="s">
        <v>508</v>
      </c>
      <c r="H1170" t="s">
        <v>467</v>
      </c>
      <c r="I1170" t="s">
        <v>9</v>
      </c>
      <c r="J1170" t="s">
        <v>509</v>
      </c>
      <c r="K1170" t="s">
        <v>510</v>
      </c>
      <c r="L1170" t="s">
        <v>470</v>
      </c>
      <c r="M1170">
        <v>50</v>
      </c>
      <c r="N1170" t="b">
        <v>0</v>
      </c>
      <c r="O1170">
        <v>0.85310734463276838</v>
      </c>
      <c r="P1170">
        <v>0.81621621621621621</v>
      </c>
      <c r="Q1170">
        <v>0.89349112426035504</v>
      </c>
      <c r="R1170" t="s">
        <v>60</v>
      </c>
      <c r="S1170" t="s">
        <v>2766</v>
      </c>
      <c r="T1170" t="s">
        <v>2767</v>
      </c>
      <c r="U1170" t="b">
        <v>1</v>
      </c>
      <c r="V1170" t="s">
        <v>63</v>
      </c>
      <c r="W1170">
        <v>1.2</v>
      </c>
    </row>
    <row r="1171" spans="1:23" hidden="1" x14ac:dyDescent="0.3">
      <c r="A1171" t="s">
        <v>1629</v>
      </c>
      <c r="B1171" t="s">
        <v>1630</v>
      </c>
      <c r="C1171" t="s">
        <v>28</v>
      </c>
      <c r="D1171" t="s">
        <v>26</v>
      </c>
      <c r="E1171" t="s">
        <v>27</v>
      </c>
      <c r="F1171" t="s">
        <v>363</v>
      </c>
      <c r="G1171" t="s">
        <v>513</v>
      </c>
      <c r="H1171" t="s">
        <v>467</v>
      </c>
      <c r="I1171" t="s">
        <v>9</v>
      </c>
      <c r="J1171" t="s">
        <v>514</v>
      </c>
      <c r="K1171" t="s">
        <v>515</v>
      </c>
      <c r="L1171" t="s">
        <v>470</v>
      </c>
      <c r="M1171">
        <v>51</v>
      </c>
      <c r="N1171" t="b">
        <v>0</v>
      </c>
      <c r="O1171">
        <v>0.8539325842696629</v>
      </c>
      <c r="P1171">
        <v>0.81283422459893051</v>
      </c>
      <c r="Q1171">
        <v>0.89940828402366868</v>
      </c>
      <c r="R1171" t="s">
        <v>60</v>
      </c>
      <c r="S1171" t="s">
        <v>2768</v>
      </c>
      <c r="T1171" t="s">
        <v>2769</v>
      </c>
      <c r="U1171" t="b">
        <v>1</v>
      </c>
      <c r="V1171" t="s">
        <v>63</v>
      </c>
      <c r="W1171">
        <v>1.2</v>
      </c>
    </row>
    <row r="1172" spans="1:23" hidden="1" x14ac:dyDescent="0.3">
      <c r="A1172" t="s">
        <v>1629</v>
      </c>
      <c r="B1172" t="s">
        <v>1630</v>
      </c>
      <c r="C1172" t="s">
        <v>28</v>
      </c>
      <c r="D1172" t="s">
        <v>26</v>
      </c>
      <c r="E1172" t="s">
        <v>27</v>
      </c>
      <c r="F1172" t="s">
        <v>363</v>
      </c>
      <c r="G1172" t="s">
        <v>518</v>
      </c>
      <c r="H1172" t="s">
        <v>467</v>
      </c>
      <c r="I1172" t="s">
        <v>9</v>
      </c>
      <c r="J1172" t="s">
        <v>519</v>
      </c>
      <c r="K1172" t="s">
        <v>520</v>
      </c>
      <c r="L1172" t="s">
        <v>470</v>
      </c>
      <c r="M1172">
        <v>52</v>
      </c>
      <c r="N1172" t="b">
        <v>0</v>
      </c>
      <c r="O1172">
        <v>0.84419263456090643</v>
      </c>
      <c r="P1172">
        <v>0.80978260869565222</v>
      </c>
      <c r="Q1172">
        <v>0.88165680473372776</v>
      </c>
      <c r="R1172" t="s">
        <v>60</v>
      </c>
      <c r="S1172" t="s">
        <v>2770</v>
      </c>
      <c r="T1172" t="s">
        <v>2771</v>
      </c>
      <c r="U1172" t="b">
        <v>1</v>
      </c>
      <c r="V1172" t="s">
        <v>63</v>
      </c>
      <c r="W1172">
        <v>1.2</v>
      </c>
    </row>
    <row r="1173" spans="1:23" hidden="1" x14ac:dyDescent="0.3">
      <c r="A1173" t="s">
        <v>1629</v>
      </c>
      <c r="B1173" t="s">
        <v>1630</v>
      </c>
      <c r="C1173" t="s">
        <v>28</v>
      </c>
      <c r="D1173" t="s">
        <v>26</v>
      </c>
      <c r="E1173" t="s">
        <v>27</v>
      </c>
      <c r="F1173" t="s">
        <v>363</v>
      </c>
      <c r="G1173" t="s">
        <v>523</v>
      </c>
      <c r="H1173" t="s">
        <v>467</v>
      </c>
      <c r="I1173" t="s">
        <v>9</v>
      </c>
      <c r="J1173" t="s">
        <v>524</v>
      </c>
      <c r="K1173" t="s">
        <v>525</v>
      </c>
      <c r="L1173" t="s">
        <v>470</v>
      </c>
      <c r="M1173">
        <v>53</v>
      </c>
      <c r="N1173" t="b">
        <v>0</v>
      </c>
      <c r="O1173">
        <v>0.84813753581661899</v>
      </c>
      <c r="P1173">
        <v>0.82222222222222219</v>
      </c>
      <c r="Q1173">
        <v>0.87573964497041423</v>
      </c>
      <c r="R1173" t="s">
        <v>60</v>
      </c>
      <c r="S1173" t="s">
        <v>2772</v>
      </c>
      <c r="T1173" t="s">
        <v>2773</v>
      </c>
      <c r="U1173" t="b">
        <v>1</v>
      </c>
      <c r="V1173" t="s">
        <v>63</v>
      </c>
      <c r="W1173">
        <v>1.6</v>
      </c>
    </row>
    <row r="1174" spans="1:23" hidden="1" x14ac:dyDescent="0.3">
      <c r="A1174" t="s">
        <v>1629</v>
      </c>
      <c r="B1174" t="s">
        <v>1630</v>
      </c>
      <c r="C1174" t="s">
        <v>28</v>
      </c>
      <c r="D1174" t="s">
        <v>26</v>
      </c>
      <c r="E1174" t="s">
        <v>27</v>
      </c>
      <c r="F1174" t="s">
        <v>363</v>
      </c>
      <c r="G1174" t="s">
        <v>528</v>
      </c>
      <c r="H1174" t="s">
        <v>467</v>
      </c>
      <c r="I1174" t="s">
        <v>9</v>
      </c>
      <c r="J1174" t="s">
        <v>529</v>
      </c>
      <c r="K1174" t="s">
        <v>530</v>
      </c>
      <c r="L1174" t="s">
        <v>470</v>
      </c>
      <c r="M1174">
        <v>54</v>
      </c>
      <c r="N1174" t="b">
        <v>0</v>
      </c>
      <c r="O1174">
        <v>0.86609686609686609</v>
      </c>
      <c r="P1174">
        <v>0.8351648351648352</v>
      </c>
      <c r="Q1174">
        <v>0.89940828402366868</v>
      </c>
      <c r="R1174" t="s">
        <v>60</v>
      </c>
      <c r="S1174" t="s">
        <v>2774</v>
      </c>
      <c r="T1174" t="s">
        <v>2775</v>
      </c>
      <c r="U1174" t="b">
        <v>1</v>
      </c>
      <c r="V1174" t="s">
        <v>63</v>
      </c>
      <c r="W1174">
        <v>1.2</v>
      </c>
    </row>
    <row r="1175" spans="1:23" hidden="1" x14ac:dyDescent="0.3">
      <c r="A1175" t="s">
        <v>1629</v>
      </c>
      <c r="B1175" t="s">
        <v>1630</v>
      </c>
      <c r="C1175" t="s">
        <v>28</v>
      </c>
      <c r="D1175" t="s">
        <v>26</v>
      </c>
      <c r="E1175" t="s">
        <v>27</v>
      </c>
      <c r="F1175" t="s">
        <v>363</v>
      </c>
      <c r="G1175" t="s">
        <v>533</v>
      </c>
      <c r="H1175" t="s">
        <v>467</v>
      </c>
      <c r="I1175" t="s">
        <v>9</v>
      </c>
      <c r="J1175" t="s">
        <v>534</v>
      </c>
      <c r="K1175" t="s">
        <v>535</v>
      </c>
      <c r="L1175" t="s">
        <v>470</v>
      </c>
      <c r="M1175">
        <v>55</v>
      </c>
      <c r="N1175" t="b">
        <v>0</v>
      </c>
      <c r="O1175">
        <v>0.84330484330484323</v>
      </c>
      <c r="P1175">
        <v>0.81318681318681318</v>
      </c>
      <c r="Q1175">
        <v>0.87573964497041423</v>
      </c>
      <c r="R1175" t="s">
        <v>60</v>
      </c>
      <c r="S1175" t="s">
        <v>2776</v>
      </c>
      <c r="T1175" t="s">
        <v>2777</v>
      </c>
      <c r="U1175" t="b">
        <v>1</v>
      </c>
      <c r="V1175" t="s">
        <v>63</v>
      </c>
      <c r="W1175">
        <v>1.2</v>
      </c>
    </row>
    <row r="1176" spans="1:23" hidden="1" x14ac:dyDescent="0.3">
      <c r="A1176" t="s">
        <v>1629</v>
      </c>
      <c r="B1176" t="s">
        <v>1630</v>
      </c>
      <c r="C1176" t="s">
        <v>28</v>
      </c>
      <c r="D1176" t="s">
        <v>26</v>
      </c>
      <c r="E1176" t="s">
        <v>27</v>
      </c>
      <c r="F1176" t="s">
        <v>363</v>
      </c>
      <c r="G1176" t="s">
        <v>538</v>
      </c>
      <c r="H1176" t="s">
        <v>467</v>
      </c>
      <c r="I1176" t="s">
        <v>9</v>
      </c>
      <c r="J1176" t="s">
        <v>539</v>
      </c>
      <c r="K1176" t="s">
        <v>540</v>
      </c>
      <c r="L1176" t="s">
        <v>470</v>
      </c>
      <c r="M1176">
        <v>56</v>
      </c>
      <c r="N1176" t="b">
        <v>0</v>
      </c>
      <c r="O1176">
        <v>0.83286118980169965</v>
      </c>
      <c r="P1176">
        <v>0.79891304347826086</v>
      </c>
      <c r="Q1176">
        <v>0.86982248520710059</v>
      </c>
      <c r="R1176" t="s">
        <v>60</v>
      </c>
      <c r="S1176" t="s">
        <v>2778</v>
      </c>
      <c r="T1176" t="s">
        <v>2779</v>
      </c>
      <c r="U1176" t="b">
        <v>1</v>
      </c>
      <c r="V1176" t="s">
        <v>63</v>
      </c>
      <c r="W1176">
        <v>1.6</v>
      </c>
    </row>
    <row r="1177" spans="1:23" hidden="1" x14ac:dyDescent="0.3">
      <c r="A1177" t="s">
        <v>1629</v>
      </c>
      <c r="B1177" t="s">
        <v>1630</v>
      </c>
      <c r="C1177" t="s">
        <v>28</v>
      </c>
      <c r="D1177" t="s">
        <v>26</v>
      </c>
      <c r="E1177" t="s">
        <v>27</v>
      </c>
      <c r="F1177" t="s">
        <v>363</v>
      </c>
      <c r="G1177" t="s">
        <v>543</v>
      </c>
      <c r="H1177" t="s">
        <v>467</v>
      </c>
      <c r="I1177" t="s">
        <v>9</v>
      </c>
      <c r="J1177" t="s">
        <v>544</v>
      </c>
      <c r="K1177" t="s">
        <v>545</v>
      </c>
      <c r="L1177" t="s">
        <v>470</v>
      </c>
      <c r="M1177">
        <v>57</v>
      </c>
      <c r="N1177" t="b">
        <v>0</v>
      </c>
      <c r="O1177">
        <v>0.81232492997198891</v>
      </c>
      <c r="P1177">
        <v>0.77127659574468088</v>
      </c>
      <c r="Q1177">
        <v>0.85798816568047342</v>
      </c>
      <c r="R1177" t="s">
        <v>60</v>
      </c>
      <c r="S1177" t="s">
        <v>2780</v>
      </c>
      <c r="T1177" t="s">
        <v>2781</v>
      </c>
      <c r="U1177" t="b">
        <v>1</v>
      </c>
      <c r="V1177" t="s">
        <v>63</v>
      </c>
      <c r="W1177">
        <v>1.2</v>
      </c>
    </row>
    <row r="1178" spans="1:23" hidden="1" x14ac:dyDescent="0.3">
      <c r="A1178" t="s">
        <v>1629</v>
      </c>
      <c r="B1178" t="s">
        <v>1630</v>
      </c>
      <c r="C1178" t="s">
        <v>28</v>
      </c>
      <c r="D1178" t="s">
        <v>26</v>
      </c>
      <c r="E1178" t="s">
        <v>27</v>
      </c>
      <c r="F1178" t="s">
        <v>363</v>
      </c>
      <c r="G1178" t="s">
        <v>548</v>
      </c>
      <c r="H1178" t="s">
        <v>467</v>
      </c>
      <c r="I1178" t="s">
        <v>9</v>
      </c>
      <c r="J1178" t="s">
        <v>549</v>
      </c>
      <c r="K1178" t="s">
        <v>550</v>
      </c>
      <c r="L1178" t="s">
        <v>470</v>
      </c>
      <c r="M1178">
        <v>58</v>
      </c>
      <c r="N1178" t="b">
        <v>0</v>
      </c>
      <c r="O1178">
        <v>0.83286118980169965</v>
      </c>
      <c r="P1178">
        <v>0.79891304347826086</v>
      </c>
      <c r="Q1178">
        <v>0.86982248520710059</v>
      </c>
      <c r="R1178" t="s">
        <v>60</v>
      </c>
      <c r="S1178" t="s">
        <v>2782</v>
      </c>
      <c r="T1178" t="s">
        <v>2783</v>
      </c>
      <c r="U1178" t="b">
        <v>1</v>
      </c>
      <c r="V1178" t="s">
        <v>63</v>
      </c>
      <c r="W1178">
        <v>1.2</v>
      </c>
    </row>
    <row r="1179" spans="1:23" hidden="1" x14ac:dyDescent="0.3">
      <c r="A1179" t="s">
        <v>1629</v>
      </c>
      <c r="B1179" t="s">
        <v>1630</v>
      </c>
      <c r="C1179" t="s">
        <v>28</v>
      </c>
      <c r="D1179" t="s">
        <v>26</v>
      </c>
      <c r="E1179" t="s">
        <v>27</v>
      </c>
      <c r="F1179" t="s">
        <v>363</v>
      </c>
      <c r="G1179" t="s">
        <v>553</v>
      </c>
      <c r="H1179" t="s">
        <v>467</v>
      </c>
      <c r="I1179" t="s">
        <v>9</v>
      </c>
      <c r="J1179" t="s">
        <v>554</v>
      </c>
      <c r="K1179" t="s">
        <v>555</v>
      </c>
      <c r="L1179" t="s">
        <v>470</v>
      </c>
      <c r="M1179">
        <v>59</v>
      </c>
      <c r="N1179" t="b">
        <v>0</v>
      </c>
      <c r="O1179">
        <v>0.84033613445378152</v>
      </c>
      <c r="P1179">
        <v>0.7978723404255319</v>
      </c>
      <c r="Q1179">
        <v>0.8875739644970414</v>
      </c>
      <c r="R1179" t="s">
        <v>60</v>
      </c>
      <c r="S1179" t="s">
        <v>2784</v>
      </c>
      <c r="T1179" t="s">
        <v>2785</v>
      </c>
      <c r="U1179" t="b">
        <v>1</v>
      </c>
      <c r="V1179" t="s">
        <v>63</v>
      </c>
      <c r="W1179">
        <v>1.2</v>
      </c>
    </row>
    <row r="1180" spans="1:23" hidden="1" x14ac:dyDescent="0.3">
      <c r="A1180" t="s">
        <v>1629</v>
      </c>
      <c r="B1180" t="s">
        <v>1630</v>
      </c>
      <c r="C1180" t="s">
        <v>28</v>
      </c>
      <c r="D1180" t="s">
        <v>26</v>
      </c>
      <c r="E1180" t="s">
        <v>27</v>
      </c>
      <c r="F1180" t="s">
        <v>363</v>
      </c>
      <c r="G1180" t="s">
        <v>558</v>
      </c>
      <c r="H1180" t="s">
        <v>467</v>
      </c>
      <c r="I1180" t="s">
        <v>9</v>
      </c>
      <c r="J1180" t="s">
        <v>559</v>
      </c>
      <c r="K1180" t="s">
        <v>560</v>
      </c>
      <c r="L1180" t="s">
        <v>470</v>
      </c>
      <c r="M1180">
        <v>60</v>
      </c>
      <c r="N1180" t="b">
        <v>0</v>
      </c>
      <c r="O1180">
        <v>0.84330484330484323</v>
      </c>
      <c r="P1180">
        <v>0.81318681318681318</v>
      </c>
      <c r="Q1180">
        <v>0.87573964497041423</v>
      </c>
      <c r="R1180" t="s">
        <v>60</v>
      </c>
      <c r="S1180" t="s">
        <v>2786</v>
      </c>
      <c r="T1180" t="s">
        <v>2787</v>
      </c>
      <c r="U1180" t="b">
        <v>1</v>
      </c>
      <c r="V1180" t="s">
        <v>63</v>
      </c>
      <c r="W1180">
        <v>1.6</v>
      </c>
    </row>
    <row r="1181" spans="1:23" hidden="1" x14ac:dyDescent="0.3">
      <c r="A1181" t="s">
        <v>1629</v>
      </c>
      <c r="B1181" t="s">
        <v>1630</v>
      </c>
      <c r="C1181" t="s">
        <v>28</v>
      </c>
      <c r="D1181" t="s">
        <v>26</v>
      </c>
      <c r="E1181" t="s">
        <v>27</v>
      </c>
      <c r="F1181" t="s">
        <v>363</v>
      </c>
      <c r="G1181" t="s">
        <v>563</v>
      </c>
      <c r="H1181" t="s">
        <v>467</v>
      </c>
      <c r="I1181" t="s">
        <v>9</v>
      </c>
      <c r="J1181" t="s">
        <v>564</v>
      </c>
      <c r="K1181" t="s">
        <v>565</v>
      </c>
      <c r="L1181" t="s">
        <v>470</v>
      </c>
      <c r="M1181">
        <v>61</v>
      </c>
      <c r="N1181" t="b">
        <v>0</v>
      </c>
      <c r="O1181">
        <v>0.85310734463276838</v>
      </c>
      <c r="P1181">
        <v>0.81621621621621621</v>
      </c>
      <c r="Q1181">
        <v>0.89349112426035504</v>
      </c>
      <c r="R1181" t="s">
        <v>60</v>
      </c>
      <c r="S1181" t="s">
        <v>2788</v>
      </c>
      <c r="T1181" t="s">
        <v>2789</v>
      </c>
      <c r="U1181" t="b">
        <v>1</v>
      </c>
      <c r="V1181" t="s">
        <v>63</v>
      </c>
      <c r="W1181">
        <v>1.2</v>
      </c>
    </row>
    <row r="1182" spans="1:23" x14ac:dyDescent="0.3">
      <c r="A1182" t="s">
        <v>1629</v>
      </c>
      <c r="B1182" t="s">
        <v>1630</v>
      </c>
      <c r="C1182" t="s">
        <v>28</v>
      </c>
      <c r="D1182" t="s">
        <v>26</v>
      </c>
      <c r="E1182" t="s">
        <v>27</v>
      </c>
      <c r="F1182" t="s">
        <v>363</v>
      </c>
      <c r="G1182" t="s">
        <v>600</v>
      </c>
      <c r="H1182" t="s">
        <v>569</v>
      </c>
      <c r="I1182" t="s">
        <v>11</v>
      </c>
      <c r="J1182" t="s">
        <v>601</v>
      </c>
      <c r="K1182" t="s">
        <v>602</v>
      </c>
      <c r="L1182" t="s">
        <v>572</v>
      </c>
      <c r="M1182">
        <v>48</v>
      </c>
      <c r="N1182" t="b">
        <v>0</v>
      </c>
      <c r="O1182">
        <v>0.83549783549783596</v>
      </c>
      <c r="P1182">
        <v>0.8041666666666667</v>
      </c>
      <c r="Q1182">
        <v>0.86936936936936937</v>
      </c>
      <c r="R1182" t="s">
        <v>60</v>
      </c>
      <c r="S1182" t="s">
        <v>2802</v>
      </c>
      <c r="T1182" t="s">
        <v>2803</v>
      </c>
      <c r="U1182" t="b">
        <v>1</v>
      </c>
      <c r="V1182" t="s">
        <v>63</v>
      </c>
      <c r="W1182">
        <v>1.3</v>
      </c>
    </row>
    <row r="1183" spans="1:23" x14ac:dyDescent="0.3">
      <c r="A1183" t="s">
        <v>1629</v>
      </c>
      <c r="B1183" t="s">
        <v>1630</v>
      </c>
      <c r="C1183" t="s">
        <v>28</v>
      </c>
      <c r="D1183" t="s">
        <v>26</v>
      </c>
      <c r="E1183" t="s">
        <v>27</v>
      </c>
      <c r="F1183" t="s">
        <v>363</v>
      </c>
      <c r="G1183" t="s">
        <v>595</v>
      </c>
      <c r="H1183" t="s">
        <v>569</v>
      </c>
      <c r="I1183" t="s">
        <v>11</v>
      </c>
      <c r="J1183" t="s">
        <v>596</v>
      </c>
      <c r="K1183" t="s">
        <v>597</v>
      </c>
      <c r="L1183" t="s">
        <v>572</v>
      </c>
      <c r="M1183">
        <v>47</v>
      </c>
      <c r="N1183" t="b">
        <v>0</v>
      </c>
      <c r="O1183">
        <v>0.83982683982683981</v>
      </c>
      <c r="P1183">
        <v>0.80833333333333335</v>
      </c>
      <c r="Q1183">
        <v>0.87387387387387383</v>
      </c>
      <c r="R1183" t="s">
        <v>60</v>
      </c>
      <c r="S1183" t="s">
        <v>2800</v>
      </c>
      <c r="T1183" t="s">
        <v>2801</v>
      </c>
      <c r="U1183" t="b">
        <v>1</v>
      </c>
      <c r="V1183" t="s">
        <v>63</v>
      </c>
      <c r="W1183">
        <v>1.3</v>
      </c>
    </row>
    <row r="1184" spans="1:23" x14ac:dyDescent="0.3">
      <c r="A1184" t="s">
        <v>1629</v>
      </c>
      <c r="B1184" t="s">
        <v>1630</v>
      </c>
      <c r="C1184" t="s">
        <v>28</v>
      </c>
      <c r="D1184" t="s">
        <v>26</v>
      </c>
      <c r="E1184" t="s">
        <v>27</v>
      </c>
      <c r="F1184" t="s">
        <v>363</v>
      </c>
      <c r="G1184" t="s">
        <v>630</v>
      </c>
      <c r="H1184" t="s">
        <v>569</v>
      </c>
      <c r="I1184" t="s">
        <v>11</v>
      </c>
      <c r="J1184" t="s">
        <v>631</v>
      </c>
      <c r="K1184" t="s">
        <v>632</v>
      </c>
      <c r="L1184" t="s">
        <v>572</v>
      </c>
      <c r="M1184">
        <v>54</v>
      </c>
      <c r="N1184" t="b">
        <v>0</v>
      </c>
      <c r="O1184">
        <v>0.84140969162995594</v>
      </c>
      <c r="P1184">
        <v>0.82327586206896552</v>
      </c>
      <c r="Q1184">
        <v>0.86036036036036034</v>
      </c>
      <c r="R1184" t="s">
        <v>60</v>
      </c>
      <c r="S1184" t="s">
        <v>2814</v>
      </c>
      <c r="T1184" t="s">
        <v>2815</v>
      </c>
      <c r="U1184" t="b">
        <v>1</v>
      </c>
      <c r="V1184" t="s">
        <v>63</v>
      </c>
      <c r="W1184">
        <v>1.3</v>
      </c>
    </row>
    <row r="1185" spans="1:23" x14ac:dyDescent="0.3">
      <c r="A1185" t="s">
        <v>1629</v>
      </c>
      <c r="B1185" t="s">
        <v>1630</v>
      </c>
      <c r="C1185" t="s">
        <v>28</v>
      </c>
      <c r="D1185" t="s">
        <v>26</v>
      </c>
      <c r="E1185" t="s">
        <v>27</v>
      </c>
      <c r="F1185" t="s">
        <v>363</v>
      </c>
      <c r="G1185" t="s">
        <v>585</v>
      </c>
      <c r="H1185" t="s">
        <v>569</v>
      </c>
      <c r="I1185" t="s">
        <v>11</v>
      </c>
      <c r="J1185" t="s">
        <v>586</v>
      </c>
      <c r="K1185" t="s">
        <v>587</v>
      </c>
      <c r="L1185" t="s">
        <v>572</v>
      </c>
      <c r="M1185">
        <v>45</v>
      </c>
      <c r="N1185" t="b">
        <v>0</v>
      </c>
      <c r="O1185">
        <v>0.8416485900216919</v>
      </c>
      <c r="P1185">
        <v>0.81171548117154813</v>
      </c>
      <c r="Q1185">
        <v>0.87387387387387383</v>
      </c>
      <c r="R1185" t="s">
        <v>60</v>
      </c>
      <c r="S1185" t="s">
        <v>2796</v>
      </c>
      <c r="T1185" t="s">
        <v>2797</v>
      </c>
      <c r="U1185" t="b">
        <v>1</v>
      </c>
      <c r="V1185" t="s">
        <v>63</v>
      </c>
      <c r="W1185">
        <v>1.3</v>
      </c>
    </row>
    <row r="1186" spans="1:23" x14ac:dyDescent="0.3">
      <c r="A1186" t="s">
        <v>1629</v>
      </c>
      <c r="B1186" t="s">
        <v>1630</v>
      </c>
      <c r="C1186" t="s">
        <v>28</v>
      </c>
      <c r="D1186" t="s">
        <v>26</v>
      </c>
      <c r="E1186" t="s">
        <v>27</v>
      </c>
      <c r="F1186" t="s">
        <v>363</v>
      </c>
      <c r="G1186" t="s">
        <v>650</v>
      </c>
      <c r="H1186" t="s">
        <v>569</v>
      </c>
      <c r="I1186" t="s">
        <v>11</v>
      </c>
      <c r="J1186" t="s">
        <v>651</v>
      </c>
      <c r="K1186" t="s">
        <v>652</v>
      </c>
      <c r="L1186" t="s">
        <v>572</v>
      </c>
      <c r="M1186">
        <v>58</v>
      </c>
      <c r="N1186" t="b">
        <v>0</v>
      </c>
      <c r="O1186">
        <v>0.84531590413943347</v>
      </c>
      <c r="P1186">
        <v>0.81856540084388185</v>
      </c>
      <c r="Q1186">
        <v>0.87387387387387383</v>
      </c>
      <c r="R1186" t="s">
        <v>60</v>
      </c>
      <c r="S1186" t="s">
        <v>2822</v>
      </c>
      <c r="T1186" t="s">
        <v>2823</v>
      </c>
      <c r="U1186" t="b">
        <v>1</v>
      </c>
      <c r="V1186" t="s">
        <v>63</v>
      </c>
      <c r="W1186">
        <v>1.8</v>
      </c>
    </row>
    <row r="1187" spans="1:23" x14ac:dyDescent="0.3">
      <c r="A1187" t="s">
        <v>1629</v>
      </c>
      <c r="B1187" t="s">
        <v>1630</v>
      </c>
      <c r="C1187" t="s">
        <v>28</v>
      </c>
      <c r="D1187" t="s">
        <v>26</v>
      </c>
      <c r="E1187" t="s">
        <v>27</v>
      </c>
      <c r="F1187" t="s">
        <v>363</v>
      </c>
      <c r="G1187" t="s">
        <v>645</v>
      </c>
      <c r="H1187" t="s">
        <v>569</v>
      </c>
      <c r="I1187" t="s">
        <v>11</v>
      </c>
      <c r="J1187" t="s">
        <v>646</v>
      </c>
      <c r="K1187" t="s">
        <v>647</v>
      </c>
      <c r="L1187" t="s">
        <v>572</v>
      </c>
      <c r="M1187">
        <v>57</v>
      </c>
      <c r="N1187" t="b">
        <v>0</v>
      </c>
      <c r="O1187">
        <v>0.84901531728665192</v>
      </c>
      <c r="P1187">
        <v>0.82553191489361699</v>
      </c>
      <c r="Q1187">
        <v>0.87387387387387383</v>
      </c>
      <c r="R1187" t="s">
        <v>60</v>
      </c>
      <c r="S1187" t="s">
        <v>2820</v>
      </c>
      <c r="T1187" t="s">
        <v>2821</v>
      </c>
      <c r="U1187" t="b">
        <v>1</v>
      </c>
      <c r="V1187" t="s">
        <v>63</v>
      </c>
      <c r="W1187">
        <v>1.3</v>
      </c>
    </row>
    <row r="1188" spans="1:23" x14ac:dyDescent="0.3">
      <c r="A1188" t="s">
        <v>1629</v>
      </c>
      <c r="B1188" t="s">
        <v>1630</v>
      </c>
      <c r="C1188" t="s">
        <v>28</v>
      </c>
      <c r="D1188" t="s">
        <v>26</v>
      </c>
      <c r="E1188" t="s">
        <v>27</v>
      </c>
      <c r="F1188" t="s">
        <v>363</v>
      </c>
      <c r="G1188" t="s">
        <v>665</v>
      </c>
      <c r="H1188" t="s">
        <v>569</v>
      </c>
      <c r="I1188" t="s">
        <v>11</v>
      </c>
      <c r="J1188" t="s">
        <v>666</v>
      </c>
      <c r="K1188" t="s">
        <v>667</v>
      </c>
      <c r="L1188" t="s">
        <v>572</v>
      </c>
      <c r="M1188">
        <v>61</v>
      </c>
      <c r="N1188" t="b">
        <v>0</v>
      </c>
      <c r="O1188">
        <v>0.84955752212389379</v>
      </c>
      <c r="P1188">
        <v>0.83478260869565213</v>
      </c>
      <c r="Q1188">
        <v>0.86486486486486491</v>
      </c>
      <c r="R1188" t="s">
        <v>60</v>
      </c>
      <c r="S1188" t="s">
        <v>2828</v>
      </c>
      <c r="T1188" t="s">
        <v>2829</v>
      </c>
      <c r="U1188" t="b">
        <v>1</v>
      </c>
      <c r="V1188" t="s">
        <v>63</v>
      </c>
      <c r="W1188">
        <v>1.3</v>
      </c>
    </row>
    <row r="1189" spans="1:23" x14ac:dyDescent="0.3">
      <c r="A1189" t="s">
        <v>1629</v>
      </c>
      <c r="B1189" t="s">
        <v>1630</v>
      </c>
      <c r="C1189" t="s">
        <v>28</v>
      </c>
      <c r="D1189" t="s">
        <v>26</v>
      </c>
      <c r="E1189" t="s">
        <v>27</v>
      </c>
      <c r="F1189" t="s">
        <v>363</v>
      </c>
      <c r="G1189" t="s">
        <v>590</v>
      </c>
      <c r="H1189" t="s">
        <v>569</v>
      </c>
      <c r="I1189" t="s">
        <v>11</v>
      </c>
      <c r="J1189" t="s">
        <v>591</v>
      </c>
      <c r="K1189" t="s">
        <v>592</v>
      </c>
      <c r="L1189" t="s">
        <v>572</v>
      </c>
      <c r="M1189">
        <v>46</v>
      </c>
      <c r="N1189" t="b">
        <v>0</v>
      </c>
      <c r="O1189">
        <v>0.85087719298245612</v>
      </c>
      <c r="P1189">
        <v>0.82905982905982911</v>
      </c>
      <c r="Q1189">
        <v>0.87387387387387383</v>
      </c>
      <c r="R1189" t="s">
        <v>60</v>
      </c>
      <c r="S1189" t="s">
        <v>2798</v>
      </c>
      <c r="T1189" t="s">
        <v>2799</v>
      </c>
      <c r="U1189" t="b">
        <v>1</v>
      </c>
      <c r="V1189" t="s">
        <v>63</v>
      </c>
      <c r="W1189">
        <v>1.8</v>
      </c>
    </row>
    <row r="1190" spans="1:23" x14ac:dyDescent="0.3">
      <c r="A1190" t="s">
        <v>1629</v>
      </c>
      <c r="B1190" t="s">
        <v>1630</v>
      </c>
      <c r="C1190" t="s">
        <v>28</v>
      </c>
      <c r="D1190" t="s">
        <v>26</v>
      </c>
      <c r="E1190" t="s">
        <v>27</v>
      </c>
      <c r="F1190" t="s">
        <v>363</v>
      </c>
      <c r="G1190" t="s">
        <v>605</v>
      </c>
      <c r="H1190" t="s">
        <v>569</v>
      </c>
      <c r="I1190" t="s">
        <v>11</v>
      </c>
      <c r="J1190" t="s">
        <v>606</v>
      </c>
      <c r="K1190" t="s">
        <v>607</v>
      </c>
      <c r="L1190" t="s">
        <v>572</v>
      </c>
      <c r="M1190">
        <v>49</v>
      </c>
      <c r="N1190" t="b">
        <v>0</v>
      </c>
      <c r="O1190">
        <v>0.85144124168514423</v>
      </c>
      <c r="P1190">
        <v>0.83842794759825323</v>
      </c>
      <c r="Q1190">
        <v>0.86486486486486491</v>
      </c>
      <c r="R1190" t="s">
        <v>60</v>
      </c>
      <c r="S1190" t="s">
        <v>2804</v>
      </c>
      <c r="T1190" t="s">
        <v>2805</v>
      </c>
      <c r="U1190" t="b">
        <v>1</v>
      </c>
      <c r="V1190" t="s">
        <v>63</v>
      </c>
      <c r="W1190">
        <v>1.7</v>
      </c>
    </row>
    <row r="1191" spans="1:23" x14ac:dyDescent="0.3">
      <c r="A1191" t="s">
        <v>1629</v>
      </c>
      <c r="B1191" t="s">
        <v>1630</v>
      </c>
      <c r="C1191" t="s">
        <v>28</v>
      </c>
      <c r="D1191" t="s">
        <v>26</v>
      </c>
      <c r="E1191" t="s">
        <v>27</v>
      </c>
      <c r="F1191" t="s">
        <v>363</v>
      </c>
      <c r="G1191" t="s">
        <v>610</v>
      </c>
      <c r="H1191" t="s">
        <v>569</v>
      </c>
      <c r="I1191" t="s">
        <v>11</v>
      </c>
      <c r="J1191" t="s">
        <v>611</v>
      </c>
      <c r="K1191" t="s">
        <v>612</v>
      </c>
      <c r="L1191" t="s">
        <v>572</v>
      </c>
      <c r="M1191">
        <v>50</v>
      </c>
      <c r="N1191" t="b">
        <v>0</v>
      </c>
      <c r="O1191">
        <v>0.85152838427947608</v>
      </c>
      <c r="P1191">
        <v>0.82627118644067798</v>
      </c>
      <c r="Q1191">
        <v>0.8783783783783784</v>
      </c>
      <c r="R1191" t="s">
        <v>60</v>
      </c>
      <c r="S1191" t="s">
        <v>2806</v>
      </c>
      <c r="T1191" t="s">
        <v>2807</v>
      </c>
      <c r="U1191" t="b">
        <v>1</v>
      </c>
      <c r="V1191" t="s">
        <v>63</v>
      </c>
      <c r="W1191">
        <v>1.4</v>
      </c>
    </row>
    <row r="1192" spans="1:23" x14ac:dyDescent="0.3">
      <c r="A1192" t="s">
        <v>1629</v>
      </c>
      <c r="B1192" t="s">
        <v>1630</v>
      </c>
      <c r="C1192" t="s">
        <v>28</v>
      </c>
      <c r="D1192" t="s">
        <v>26</v>
      </c>
      <c r="E1192" t="s">
        <v>27</v>
      </c>
      <c r="F1192" t="s">
        <v>363</v>
      </c>
      <c r="G1192" t="s">
        <v>660</v>
      </c>
      <c r="H1192" t="s">
        <v>569</v>
      </c>
      <c r="I1192" t="s">
        <v>11</v>
      </c>
      <c r="J1192" t="s">
        <v>661</v>
      </c>
      <c r="K1192" t="s">
        <v>662</v>
      </c>
      <c r="L1192" t="s">
        <v>572</v>
      </c>
      <c r="M1192">
        <v>60</v>
      </c>
      <c r="N1192" t="b">
        <v>0</v>
      </c>
      <c r="O1192">
        <v>0.85339168490153183</v>
      </c>
      <c r="P1192">
        <v>0.82978723404255317</v>
      </c>
      <c r="Q1192">
        <v>0.8783783783783784</v>
      </c>
      <c r="R1192" t="s">
        <v>60</v>
      </c>
      <c r="S1192" t="s">
        <v>2826</v>
      </c>
      <c r="T1192" t="s">
        <v>2827</v>
      </c>
      <c r="U1192" t="b">
        <v>1</v>
      </c>
      <c r="V1192" t="s">
        <v>63</v>
      </c>
      <c r="W1192">
        <v>1.7</v>
      </c>
    </row>
    <row r="1193" spans="1:23" x14ac:dyDescent="0.3">
      <c r="A1193" t="s">
        <v>1629</v>
      </c>
      <c r="B1193" t="s">
        <v>1630</v>
      </c>
      <c r="C1193" t="s">
        <v>28</v>
      </c>
      <c r="D1193" t="s">
        <v>26</v>
      </c>
      <c r="E1193" t="s">
        <v>27</v>
      </c>
      <c r="F1193" t="s">
        <v>363</v>
      </c>
      <c r="G1193" t="s">
        <v>580</v>
      </c>
      <c r="H1193" t="s">
        <v>569</v>
      </c>
      <c r="I1193" t="s">
        <v>11</v>
      </c>
      <c r="J1193" t="s">
        <v>581</v>
      </c>
      <c r="K1193" t="s">
        <v>582</v>
      </c>
      <c r="L1193" t="s">
        <v>572</v>
      </c>
      <c r="M1193">
        <v>44</v>
      </c>
      <c r="N1193" t="b">
        <v>0</v>
      </c>
      <c r="O1193">
        <v>0.85398230088495586</v>
      </c>
      <c r="P1193">
        <v>0.83913043478260874</v>
      </c>
      <c r="Q1193">
        <v>0.86936936936936937</v>
      </c>
      <c r="R1193" t="s">
        <v>60</v>
      </c>
      <c r="S1193" t="s">
        <v>2794</v>
      </c>
      <c r="T1193" t="s">
        <v>2795</v>
      </c>
      <c r="U1193" t="b">
        <v>1</v>
      </c>
      <c r="V1193" t="s">
        <v>63</v>
      </c>
      <c r="W1193">
        <v>1.4</v>
      </c>
    </row>
    <row r="1194" spans="1:23" x14ac:dyDescent="0.3">
      <c r="A1194" t="s">
        <v>1629</v>
      </c>
      <c r="B1194" t="s">
        <v>1630</v>
      </c>
      <c r="C1194" t="s">
        <v>28</v>
      </c>
      <c r="D1194" t="s">
        <v>26</v>
      </c>
      <c r="E1194" t="s">
        <v>27</v>
      </c>
      <c r="F1194" t="s">
        <v>363</v>
      </c>
      <c r="G1194" t="s">
        <v>640</v>
      </c>
      <c r="H1194" t="s">
        <v>569</v>
      </c>
      <c r="I1194" t="s">
        <v>11</v>
      </c>
      <c r="J1194" t="s">
        <v>641</v>
      </c>
      <c r="K1194" t="s">
        <v>642</v>
      </c>
      <c r="L1194" t="s">
        <v>572</v>
      </c>
      <c r="M1194">
        <v>56</v>
      </c>
      <c r="N1194" t="b">
        <v>0</v>
      </c>
      <c r="O1194">
        <v>0.85398230088495586</v>
      </c>
      <c r="P1194">
        <v>0.83913043478260874</v>
      </c>
      <c r="Q1194">
        <v>0.86936936936936937</v>
      </c>
      <c r="R1194" t="s">
        <v>60</v>
      </c>
      <c r="S1194" t="s">
        <v>2818</v>
      </c>
      <c r="T1194" t="s">
        <v>2819</v>
      </c>
      <c r="U1194" t="b">
        <v>1</v>
      </c>
      <c r="V1194" t="s">
        <v>63</v>
      </c>
      <c r="W1194">
        <v>1.3</v>
      </c>
    </row>
    <row r="1195" spans="1:23" x14ac:dyDescent="0.3">
      <c r="A1195" t="s">
        <v>1629</v>
      </c>
      <c r="B1195" t="s">
        <v>1630</v>
      </c>
      <c r="C1195" t="s">
        <v>28</v>
      </c>
      <c r="D1195" t="s">
        <v>26</v>
      </c>
      <c r="E1195" t="s">
        <v>27</v>
      </c>
      <c r="F1195" t="s">
        <v>363</v>
      </c>
      <c r="G1195" t="s">
        <v>620</v>
      </c>
      <c r="H1195" t="s">
        <v>569</v>
      </c>
      <c r="I1195" t="s">
        <v>11</v>
      </c>
      <c r="J1195" t="s">
        <v>621</v>
      </c>
      <c r="K1195" t="s">
        <v>622</v>
      </c>
      <c r="L1195" t="s">
        <v>572</v>
      </c>
      <c r="M1195">
        <v>52</v>
      </c>
      <c r="N1195" t="b">
        <v>0</v>
      </c>
      <c r="O1195">
        <v>0.85403050108932466</v>
      </c>
      <c r="P1195">
        <v>0.8270042194092827</v>
      </c>
      <c r="Q1195">
        <v>0.88288288288288286</v>
      </c>
      <c r="R1195" t="s">
        <v>60</v>
      </c>
      <c r="S1195" t="s">
        <v>2810</v>
      </c>
      <c r="T1195" t="s">
        <v>2811</v>
      </c>
      <c r="U1195" t="b">
        <v>1</v>
      </c>
      <c r="V1195" t="s">
        <v>63</v>
      </c>
      <c r="W1195">
        <v>1.8</v>
      </c>
    </row>
    <row r="1196" spans="1:23" x14ac:dyDescent="0.3">
      <c r="A1196" t="s">
        <v>1629</v>
      </c>
      <c r="B1196" t="s">
        <v>1630</v>
      </c>
      <c r="C1196" t="s">
        <v>28</v>
      </c>
      <c r="D1196" t="s">
        <v>26</v>
      </c>
      <c r="E1196" t="s">
        <v>27</v>
      </c>
      <c r="F1196" t="s">
        <v>363</v>
      </c>
      <c r="G1196" t="s">
        <v>625</v>
      </c>
      <c r="H1196" t="s">
        <v>569</v>
      </c>
      <c r="I1196" t="s">
        <v>11</v>
      </c>
      <c r="J1196" t="s">
        <v>626</v>
      </c>
      <c r="K1196" t="s">
        <v>627</v>
      </c>
      <c r="L1196" t="s">
        <v>572</v>
      </c>
      <c r="M1196">
        <v>53</v>
      </c>
      <c r="N1196" t="b">
        <v>0</v>
      </c>
      <c r="O1196">
        <v>0.85776805251641142</v>
      </c>
      <c r="P1196">
        <v>0.83404255319148934</v>
      </c>
      <c r="Q1196">
        <v>0.88288288288288286</v>
      </c>
      <c r="R1196" t="s">
        <v>60</v>
      </c>
      <c r="S1196" t="s">
        <v>2812</v>
      </c>
      <c r="T1196" t="s">
        <v>2813</v>
      </c>
      <c r="U1196" t="b">
        <v>1</v>
      </c>
      <c r="V1196" t="s">
        <v>63</v>
      </c>
      <c r="W1196">
        <v>1.3</v>
      </c>
    </row>
    <row r="1197" spans="1:23" x14ac:dyDescent="0.3">
      <c r="A1197" t="s">
        <v>1629</v>
      </c>
      <c r="B1197" t="s">
        <v>1630</v>
      </c>
      <c r="C1197" t="s">
        <v>28</v>
      </c>
      <c r="D1197" t="s">
        <v>26</v>
      </c>
      <c r="E1197" t="s">
        <v>27</v>
      </c>
      <c r="F1197" t="s">
        <v>363</v>
      </c>
      <c r="G1197" t="s">
        <v>568</v>
      </c>
      <c r="H1197" t="s">
        <v>569</v>
      </c>
      <c r="I1197" t="s">
        <v>11</v>
      </c>
      <c r="J1197" t="s">
        <v>570</v>
      </c>
      <c r="K1197" t="s">
        <v>571</v>
      </c>
      <c r="L1197" t="s">
        <v>572</v>
      </c>
      <c r="M1197">
        <v>42</v>
      </c>
      <c r="N1197" t="b">
        <v>0</v>
      </c>
      <c r="O1197">
        <v>0.85838779956427014</v>
      </c>
      <c r="P1197">
        <v>0.83122362869198307</v>
      </c>
      <c r="Q1197">
        <v>0.88738738738738743</v>
      </c>
      <c r="R1197" t="s">
        <v>60</v>
      </c>
      <c r="S1197" t="s">
        <v>2790</v>
      </c>
      <c r="T1197" t="s">
        <v>2791</v>
      </c>
      <c r="U1197" t="b">
        <v>1</v>
      </c>
      <c r="V1197" t="s">
        <v>63</v>
      </c>
      <c r="W1197">
        <v>1.3</v>
      </c>
    </row>
    <row r="1198" spans="1:23" x14ac:dyDescent="0.3">
      <c r="A1198" t="s">
        <v>1629</v>
      </c>
      <c r="B1198" t="s">
        <v>1630</v>
      </c>
      <c r="C1198" t="s">
        <v>28</v>
      </c>
      <c r="D1198" t="s">
        <v>26</v>
      </c>
      <c r="E1198" t="s">
        <v>27</v>
      </c>
      <c r="F1198" t="s">
        <v>363</v>
      </c>
      <c r="G1198" t="s">
        <v>575</v>
      </c>
      <c r="H1198" t="s">
        <v>569</v>
      </c>
      <c r="I1198" t="s">
        <v>11</v>
      </c>
      <c r="J1198" t="s">
        <v>576</v>
      </c>
      <c r="K1198" t="s">
        <v>577</v>
      </c>
      <c r="L1198" t="s">
        <v>572</v>
      </c>
      <c r="M1198">
        <v>43</v>
      </c>
      <c r="N1198" t="b">
        <v>0</v>
      </c>
      <c r="O1198">
        <v>0.85964912280701755</v>
      </c>
      <c r="P1198">
        <v>0.83760683760683763</v>
      </c>
      <c r="Q1198">
        <v>0.88288288288288286</v>
      </c>
      <c r="R1198" t="s">
        <v>60</v>
      </c>
      <c r="S1198" t="s">
        <v>2792</v>
      </c>
      <c r="T1198" t="s">
        <v>2793</v>
      </c>
      <c r="U1198" t="b">
        <v>1</v>
      </c>
      <c r="V1198" t="s">
        <v>63</v>
      </c>
      <c r="W1198">
        <v>1.8</v>
      </c>
    </row>
    <row r="1199" spans="1:23" x14ac:dyDescent="0.3">
      <c r="A1199" t="s">
        <v>1629</v>
      </c>
      <c r="B1199" t="s">
        <v>1630</v>
      </c>
      <c r="C1199" t="s">
        <v>28</v>
      </c>
      <c r="D1199" t="s">
        <v>26</v>
      </c>
      <c r="E1199" t="s">
        <v>27</v>
      </c>
      <c r="F1199" t="s">
        <v>363</v>
      </c>
      <c r="G1199" t="s">
        <v>635</v>
      </c>
      <c r="H1199" t="s">
        <v>569</v>
      </c>
      <c r="I1199" t="s">
        <v>11</v>
      </c>
      <c r="J1199" t="s">
        <v>636</v>
      </c>
      <c r="K1199" t="s">
        <v>637</v>
      </c>
      <c r="L1199" t="s">
        <v>572</v>
      </c>
      <c r="M1199">
        <v>55</v>
      </c>
      <c r="N1199" t="b">
        <v>0</v>
      </c>
      <c r="O1199">
        <v>0.86283185840707977</v>
      </c>
      <c r="P1199">
        <v>0.84782608695652173</v>
      </c>
      <c r="Q1199">
        <v>0.8783783783783784</v>
      </c>
      <c r="R1199" t="s">
        <v>60</v>
      </c>
      <c r="S1199" t="s">
        <v>2816</v>
      </c>
      <c r="T1199" t="s">
        <v>2817</v>
      </c>
      <c r="U1199" t="b">
        <v>1</v>
      </c>
      <c r="V1199" t="s">
        <v>63</v>
      </c>
      <c r="W1199">
        <v>1.8</v>
      </c>
    </row>
    <row r="1200" spans="1:23" x14ac:dyDescent="0.3">
      <c r="A1200" t="s">
        <v>1629</v>
      </c>
      <c r="B1200" t="s">
        <v>1630</v>
      </c>
      <c r="C1200" t="s">
        <v>28</v>
      </c>
      <c r="D1200" t="s">
        <v>26</v>
      </c>
      <c r="E1200" t="s">
        <v>27</v>
      </c>
      <c r="F1200" t="s">
        <v>363</v>
      </c>
      <c r="G1200" t="s">
        <v>655</v>
      </c>
      <c r="H1200" t="s">
        <v>569</v>
      </c>
      <c r="I1200" t="s">
        <v>11</v>
      </c>
      <c r="J1200" t="s">
        <v>656</v>
      </c>
      <c r="K1200" t="s">
        <v>657</v>
      </c>
      <c r="L1200" t="s">
        <v>572</v>
      </c>
      <c r="M1200">
        <v>59</v>
      </c>
      <c r="N1200" t="b">
        <v>0</v>
      </c>
      <c r="O1200">
        <v>0.86283185840707977</v>
      </c>
      <c r="P1200">
        <v>0.84782608695652173</v>
      </c>
      <c r="Q1200">
        <v>0.8783783783783784</v>
      </c>
      <c r="R1200" t="s">
        <v>60</v>
      </c>
      <c r="S1200" t="s">
        <v>2824</v>
      </c>
      <c r="T1200" t="s">
        <v>2825</v>
      </c>
      <c r="U1200" t="b">
        <v>1</v>
      </c>
      <c r="V1200" t="s">
        <v>63</v>
      </c>
      <c r="W1200">
        <v>1.4</v>
      </c>
    </row>
    <row r="1201" spans="1:23" x14ac:dyDescent="0.3">
      <c r="A1201" t="s">
        <v>1629</v>
      </c>
      <c r="B1201" t="s">
        <v>1630</v>
      </c>
      <c r="C1201" t="s">
        <v>28</v>
      </c>
      <c r="D1201" t="s">
        <v>26</v>
      </c>
      <c r="E1201" t="s">
        <v>27</v>
      </c>
      <c r="F1201" t="s">
        <v>363</v>
      </c>
      <c r="G1201" t="s">
        <v>615</v>
      </c>
      <c r="H1201" t="s">
        <v>569</v>
      </c>
      <c r="I1201" t="s">
        <v>11</v>
      </c>
      <c r="J1201" t="s">
        <v>616</v>
      </c>
      <c r="K1201" t="s">
        <v>617</v>
      </c>
      <c r="L1201" t="s">
        <v>572</v>
      </c>
      <c r="M1201">
        <v>51</v>
      </c>
      <c r="N1201" t="b">
        <v>0</v>
      </c>
      <c r="O1201">
        <v>0.86343612334801756</v>
      </c>
      <c r="P1201">
        <v>0.84482758620689657</v>
      </c>
      <c r="Q1201">
        <v>0.88288288288288286</v>
      </c>
      <c r="R1201" t="s">
        <v>60</v>
      </c>
      <c r="S1201" t="s">
        <v>2808</v>
      </c>
      <c r="T1201" t="s">
        <v>2809</v>
      </c>
      <c r="U1201" t="b">
        <v>1</v>
      </c>
      <c r="V1201" t="s">
        <v>63</v>
      </c>
      <c r="W1201">
        <v>1.4</v>
      </c>
    </row>
    <row r="1202" spans="1:23" hidden="1" x14ac:dyDescent="0.3">
      <c r="A1202" t="s">
        <v>2830</v>
      </c>
      <c r="B1202" t="s">
        <v>2831</v>
      </c>
      <c r="C1202" t="s">
        <v>29</v>
      </c>
      <c r="D1202" t="s">
        <v>18</v>
      </c>
      <c r="E1202" t="s">
        <v>19</v>
      </c>
      <c r="F1202" t="s">
        <v>54</v>
      </c>
      <c r="G1202" t="s">
        <v>55</v>
      </c>
      <c r="H1202" t="s">
        <v>56</v>
      </c>
      <c r="I1202" t="s">
        <v>7</v>
      </c>
      <c r="J1202" t="s">
        <v>57</v>
      </c>
      <c r="K1202" t="s">
        <v>58</v>
      </c>
      <c r="L1202" t="s">
        <v>59</v>
      </c>
      <c r="M1202">
        <v>42</v>
      </c>
      <c r="N1202" t="b">
        <v>1</v>
      </c>
      <c r="O1202">
        <v>0.78496868475991644</v>
      </c>
      <c r="P1202">
        <v>0.75502008032128509</v>
      </c>
      <c r="Q1202">
        <v>0.81739130434782614</v>
      </c>
      <c r="R1202" t="s">
        <v>60</v>
      </c>
      <c r="S1202" t="s">
        <v>2832</v>
      </c>
      <c r="T1202" t="s">
        <v>2833</v>
      </c>
      <c r="U1202" t="b">
        <v>0</v>
      </c>
      <c r="V1202" t="s">
        <v>63</v>
      </c>
      <c r="W1202">
        <v>127.8</v>
      </c>
    </row>
    <row r="1203" spans="1:23" hidden="1" x14ac:dyDescent="0.3">
      <c r="A1203" t="s">
        <v>2830</v>
      </c>
      <c r="B1203" t="s">
        <v>2831</v>
      </c>
      <c r="C1203" t="s">
        <v>29</v>
      </c>
      <c r="D1203" t="s">
        <v>18</v>
      </c>
      <c r="E1203" t="s">
        <v>19</v>
      </c>
      <c r="F1203" t="s">
        <v>54</v>
      </c>
      <c r="G1203" t="s">
        <v>64</v>
      </c>
      <c r="H1203" t="s">
        <v>56</v>
      </c>
      <c r="I1203" t="s">
        <v>7</v>
      </c>
      <c r="J1203" t="s">
        <v>65</v>
      </c>
      <c r="K1203" t="s">
        <v>66</v>
      </c>
      <c r="L1203" t="s">
        <v>59</v>
      </c>
      <c r="M1203">
        <v>43</v>
      </c>
      <c r="N1203" t="b">
        <v>1</v>
      </c>
      <c r="O1203">
        <v>0.74239350912778912</v>
      </c>
      <c r="P1203">
        <v>0.69581749049429653</v>
      </c>
      <c r="Q1203">
        <v>0.79565217391304344</v>
      </c>
      <c r="R1203" t="s">
        <v>60</v>
      </c>
      <c r="S1203" t="s">
        <v>2834</v>
      </c>
      <c r="T1203" t="s">
        <v>2835</v>
      </c>
      <c r="U1203" t="b">
        <v>0</v>
      </c>
      <c r="V1203" t="s">
        <v>63</v>
      </c>
      <c r="W1203">
        <v>53</v>
      </c>
    </row>
    <row r="1204" spans="1:23" hidden="1" x14ac:dyDescent="0.3">
      <c r="A1204" t="s">
        <v>2830</v>
      </c>
      <c r="B1204" t="s">
        <v>2831</v>
      </c>
      <c r="C1204" t="s">
        <v>29</v>
      </c>
      <c r="D1204" t="s">
        <v>18</v>
      </c>
      <c r="E1204" t="s">
        <v>19</v>
      </c>
      <c r="F1204" t="s">
        <v>54</v>
      </c>
      <c r="G1204" t="s">
        <v>69</v>
      </c>
      <c r="H1204" t="s">
        <v>56</v>
      </c>
      <c r="I1204" t="s">
        <v>7</v>
      </c>
      <c r="J1204" t="s">
        <v>70</v>
      </c>
      <c r="K1204" t="s">
        <v>71</v>
      </c>
      <c r="L1204" t="s">
        <v>59</v>
      </c>
      <c r="M1204">
        <v>44</v>
      </c>
      <c r="N1204" t="b">
        <v>1</v>
      </c>
      <c r="O1204">
        <v>0.74239350912778912</v>
      </c>
      <c r="P1204">
        <v>0.69581749049429653</v>
      </c>
      <c r="Q1204">
        <v>0.79565217391304344</v>
      </c>
      <c r="R1204" t="s">
        <v>60</v>
      </c>
      <c r="S1204" t="s">
        <v>2836</v>
      </c>
      <c r="T1204" t="s">
        <v>2837</v>
      </c>
      <c r="U1204" t="b">
        <v>0</v>
      </c>
      <c r="V1204" t="s">
        <v>63</v>
      </c>
      <c r="W1204">
        <v>53.5</v>
      </c>
    </row>
    <row r="1205" spans="1:23" hidden="1" x14ac:dyDescent="0.3">
      <c r="A1205" t="s">
        <v>2830</v>
      </c>
      <c r="B1205" t="s">
        <v>2831</v>
      </c>
      <c r="C1205" t="s">
        <v>29</v>
      </c>
      <c r="D1205" t="s">
        <v>18</v>
      </c>
      <c r="E1205" t="s">
        <v>19</v>
      </c>
      <c r="F1205" t="s">
        <v>54</v>
      </c>
      <c r="G1205" t="s">
        <v>74</v>
      </c>
      <c r="H1205" t="s">
        <v>56</v>
      </c>
      <c r="I1205" t="s">
        <v>7</v>
      </c>
      <c r="J1205" t="s">
        <v>75</v>
      </c>
      <c r="K1205" t="s">
        <v>76</v>
      </c>
      <c r="L1205" t="s">
        <v>59</v>
      </c>
      <c r="M1205">
        <v>45</v>
      </c>
      <c r="N1205" t="b">
        <v>1</v>
      </c>
      <c r="O1205">
        <v>0.74239350912778912</v>
      </c>
      <c r="P1205">
        <v>0.69581749049429653</v>
      </c>
      <c r="Q1205">
        <v>0.79565217391304344</v>
      </c>
      <c r="R1205" t="s">
        <v>60</v>
      </c>
      <c r="S1205" t="s">
        <v>2838</v>
      </c>
      <c r="T1205" t="s">
        <v>2839</v>
      </c>
      <c r="U1205" t="b">
        <v>0</v>
      </c>
      <c r="V1205" t="s">
        <v>63</v>
      </c>
      <c r="W1205">
        <v>53.1</v>
      </c>
    </row>
    <row r="1206" spans="1:23" hidden="1" x14ac:dyDescent="0.3">
      <c r="A1206" t="s">
        <v>2830</v>
      </c>
      <c r="B1206" t="s">
        <v>2831</v>
      </c>
      <c r="C1206" t="s">
        <v>29</v>
      </c>
      <c r="D1206" t="s">
        <v>18</v>
      </c>
      <c r="E1206" t="s">
        <v>19</v>
      </c>
      <c r="F1206" t="s">
        <v>54</v>
      </c>
      <c r="G1206" t="s">
        <v>79</v>
      </c>
      <c r="H1206" t="s">
        <v>56</v>
      </c>
      <c r="I1206" t="s">
        <v>7</v>
      </c>
      <c r="J1206" t="s">
        <v>80</v>
      </c>
      <c r="K1206" t="s">
        <v>81</v>
      </c>
      <c r="L1206" t="s">
        <v>59</v>
      </c>
      <c r="M1206">
        <v>46</v>
      </c>
      <c r="N1206" t="b">
        <v>1</v>
      </c>
      <c r="O1206">
        <v>0.74239350912778912</v>
      </c>
      <c r="P1206">
        <v>0.69581749049429653</v>
      </c>
      <c r="Q1206">
        <v>0.79565217391304344</v>
      </c>
      <c r="R1206" t="s">
        <v>60</v>
      </c>
      <c r="S1206" t="s">
        <v>2840</v>
      </c>
      <c r="T1206" t="s">
        <v>2841</v>
      </c>
      <c r="U1206" t="b">
        <v>0</v>
      </c>
      <c r="V1206" t="s">
        <v>63</v>
      </c>
      <c r="W1206">
        <v>53.3</v>
      </c>
    </row>
    <row r="1207" spans="1:23" hidden="1" x14ac:dyDescent="0.3">
      <c r="A1207" t="s">
        <v>2830</v>
      </c>
      <c r="B1207" t="s">
        <v>2831</v>
      </c>
      <c r="C1207" t="s">
        <v>29</v>
      </c>
      <c r="D1207" t="s">
        <v>18</v>
      </c>
      <c r="E1207" t="s">
        <v>19</v>
      </c>
      <c r="F1207" t="s">
        <v>54</v>
      </c>
      <c r="G1207" t="s">
        <v>84</v>
      </c>
      <c r="H1207" t="s">
        <v>56</v>
      </c>
      <c r="I1207" t="s">
        <v>7</v>
      </c>
      <c r="J1207" t="s">
        <v>85</v>
      </c>
      <c r="K1207" t="s">
        <v>86</v>
      </c>
      <c r="L1207" t="s">
        <v>59</v>
      </c>
      <c r="M1207">
        <v>47</v>
      </c>
      <c r="N1207" t="b">
        <v>1</v>
      </c>
      <c r="O1207">
        <v>0.74239350912778912</v>
      </c>
      <c r="P1207">
        <v>0.69581749049429653</v>
      </c>
      <c r="Q1207">
        <v>0.79565217391304344</v>
      </c>
      <c r="R1207" t="s">
        <v>60</v>
      </c>
      <c r="S1207" t="s">
        <v>2842</v>
      </c>
      <c r="T1207" t="s">
        <v>2843</v>
      </c>
      <c r="U1207" t="b">
        <v>0</v>
      </c>
      <c r="V1207" t="s">
        <v>63</v>
      </c>
      <c r="W1207">
        <v>53.1</v>
      </c>
    </row>
    <row r="1208" spans="1:23" hidden="1" x14ac:dyDescent="0.3">
      <c r="A1208" t="s">
        <v>2830</v>
      </c>
      <c r="B1208" t="s">
        <v>2831</v>
      </c>
      <c r="C1208" t="s">
        <v>29</v>
      </c>
      <c r="D1208" t="s">
        <v>18</v>
      </c>
      <c r="E1208" t="s">
        <v>19</v>
      </c>
      <c r="F1208" t="s">
        <v>54</v>
      </c>
      <c r="G1208" t="s">
        <v>89</v>
      </c>
      <c r="H1208" t="s">
        <v>56</v>
      </c>
      <c r="I1208" t="s">
        <v>7</v>
      </c>
      <c r="J1208" t="s">
        <v>90</v>
      </c>
      <c r="K1208" t="s">
        <v>91</v>
      </c>
      <c r="L1208" t="s">
        <v>59</v>
      </c>
      <c r="M1208">
        <v>48</v>
      </c>
      <c r="N1208" t="b">
        <v>1</v>
      </c>
      <c r="O1208">
        <v>0.74239350912778912</v>
      </c>
      <c r="P1208">
        <v>0.69581749049429653</v>
      </c>
      <c r="Q1208">
        <v>0.79565217391304344</v>
      </c>
      <c r="R1208" t="s">
        <v>60</v>
      </c>
      <c r="S1208" t="s">
        <v>2844</v>
      </c>
      <c r="T1208" t="s">
        <v>2845</v>
      </c>
      <c r="U1208" t="b">
        <v>0</v>
      </c>
      <c r="V1208" t="s">
        <v>63</v>
      </c>
      <c r="W1208">
        <v>53.7</v>
      </c>
    </row>
    <row r="1209" spans="1:23" hidden="1" x14ac:dyDescent="0.3">
      <c r="A1209" t="s">
        <v>2830</v>
      </c>
      <c r="B1209" t="s">
        <v>2831</v>
      </c>
      <c r="C1209" t="s">
        <v>29</v>
      </c>
      <c r="D1209" t="s">
        <v>18</v>
      </c>
      <c r="E1209" t="s">
        <v>19</v>
      </c>
      <c r="F1209" t="s">
        <v>54</v>
      </c>
      <c r="G1209" t="s">
        <v>94</v>
      </c>
      <c r="H1209" t="s">
        <v>56</v>
      </c>
      <c r="I1209" t="s">
        <v>7</v>
      </c>
      <c r="J1209" t="s">
        <v>95</v>
      </c>
      <c r="K1209" t="s">
        <v>96</v>
      </c>
      <c r="L1209" t="s">
        <v>59</v>
      </c>
      <c r="M1209">
        <v>49</v>
      </c>
      <c r="N1209" t="b">
        <v>1</v>
      </c>
      <c r="O1209">
        <v>0.74239350912778912</v>
      </c>
      <c r="P1209">
        <v>0.69581749049429653</v>
      </c>
      <c r="Q1209">
        <v>0.79565217391304344</v>
      </c>
      <c r="R1209" t="s">
        <v>60</v>
      </c>
      <c r="S1209" t="s">
        <v>2846</v>
      </c>
      <c r="T1209" t="s">
        <v>2847</v>
      </c>
      <c r="U1209" t="b">
        <v>0</v>
      </c>
      <c r="V1209" t="s">
        <v>63</v>
      </c>
      <c r="W1209">
        <v>53.2</v>
      </c>
    </row>
    <row r="1210" spans="1:23" hidden="1" x14ac:dyDescent="0.3">
      <c r="A1210" t="s">
        <v>2830</v>
      </c>
      <c r="B1210" t="s">
        <v>2831</v>
      </c>
      <c r="C1210" t="s">
        <v>29</v>
      </c>
      <c r="D1210" t="s">
        <v>18</v>
      </c>
      <c r="E1210" t="s">
        <v>19</v>
      </c>
      <c r="F1210" t="s">
        <v>54</v>
      </c>
      <c r="G1210" t="s">
        <v>99</v>
      </c>
      <c r="H1210" t="s">
        <v>56</v>
      </c>
      <c r="I1210" t="s">
        <v>7</v>
      </c>
      <c r="J1210" t="s">
        <v>100</v>
      </c>
      <c r="K1210" t="s">
        <v>101</v>
      </c>
      <c r="L1210" t="s">
        <v>59</v>
      </c>
      <c r="M1210">
        <v>50</v>
      </c>
      <c r="N1210" t="b">
        <v>1</v>
      </c>
      <c r="O1210">
        <v>0.74239350912778912</v>
      </c>
      <c r="P1210">
        <v>0.69581749049429653</v>
      </c>
      <c r="Q1210">
        <v>0.79565217391304344</v>
      </c>
      <c r="R1210" t="s">
        <v>60</v>
      </c>
      <c r="S1210" t="s">
        <v>2848</v>
      </c>
      <c r="T1210" t="s">
        <v>2849</v>
      </c>
      <c r="U1210" t="b">
        <v>0</v>
      </c>
      <c r="V1210" t="s">
        <v>63</v>
      </c>
      <c r="W1210">
        <v>53.1</v>
      </c>
    </row>
    <row r="1211" spans="1:23" hidden="1" x14ac:dyDescent="0.3">
      <c r="A1211" t="s">
        <v>2830</v>
      </c>
      <c r="B1211" t="s">
        <v>2831</v>
      </c>
      <c r="C1211" t="s">
        <v>29</v>
      </c>
      <c r="D1211" t="s">
        <v>18</v>
      </c>
      <c r="E1211" t="s">
        <v>19</v>
      </c>
      <c r="F1211" t="s">
        <v>54</v>
      </c>
      <c r="G1211" t="s">
        <v>104</v>
      </c>
      <c r="H1211" t="s">
        <v>56</v>
      </c>
      <c r="I1211" t="s">
        <v>7</v>
      </c>
      <c r="J1211" t="s">
        <v>105</v>
      </c>
      <c r="K1211" t="s">
        <v>106</v>
      </c>
      <c r="L1211" t="s">
        <v>59</v>
      </c>
      <c r="M1211">
        <v>51</v>
      </c>
      <c r="N1211" t="b">
        <v>1</v>
      </c>
      <c r="O1211">
        <v>0.74239350912778912</v>
      </c>
      <c r="P1211">
        <v>0.69581749049429653</v>
      </c>
      <c r="Q1211">
        <v>0.79565217391304344</v>
      </c>
      <c r="R1211" t="s">
        <v>60</v>
      </c>
      <c r="S1211" t="s">
        <v>2850</v>
      </c>
      <c r="T1211" t="s">
        <v>2851</v>
      </c>
      <c r="U1211" t="b">
        <v>0</v>
      </c>
      <c r="V1211" t="s">
        <v>63</v>
      </c>
      <c r="W1211">
        <v>53.1</v>
      </c>
    </row>
    <row r="1212" spans="1:23" hidden="1" x14ac:dyDescent="0.3">
      <c r="A1212" t="s">
        <v>2830</v>
      </c>
      <c r="B1212" t="s">
        <v>2831</v>
      </c>
      <c r="C1212" t="s">
        <v>29</v>
      </c>
      <c r="D1212" t="s">
        <v>18</v>
      </c>
      <c r="E1212" t="s">
        <v>19</v>
      </c>
      <c r="F1212" t="s">
        <v>54</v>
      </c>
      <c r="G1212" t="s">
        <v>109</v>
      </c>
      <c r="H1212" t="s">
        <v>56</v>
      </c>
      <c r="I1212" t="s">
        <v>7</v>
      </c>
      <c r="J1212" t="s">
        <v>110</v>
      </c>
      <c r="K1212" t="s">
        <v>111</v>
      </c>
      <c r="L1212" t="s">
        <v>59</v>
      </c>
      <c r="M1212">
        <v>52</v>
      </c>
      <c r="N1212" t="b">
        <v>1</v>
      </c>
      <c r="O1212">
        <v>0.74239350912778912</v>
      </c>
      <c r="P1212">
        <v>0.69581749049429653</v>
      </c>
      <c r="Q1212">
        <v>0.79565217391304344</v>
      </c>
      <c r="R1212" t="s">
        <v>60</v>
      </c>
      <c r="S1212" t="s">
        <v>2852</v>
      </c>
      <c r="T1212" t="s">
        <v>2853</v>
      </c>
      <c r="U1212" t="b">
        <v>0</v>
      </c>
      <c r="V1212" t="s">
        <v>63</v>
      </c>
      <c r="W1212">
        <v>53.4</v>
      </c>
    </row>
    <row r="1213" spans="1:23" hidden="1" x14ac:dyDescent="0.3">
      <c r="A1213" t="s">
        <v>2830</v>
      </c>
      <c r="B1213" t="s">
        <v>2831</v>
      </c>
      <c r="C1213" t="s">
        <v>29</v>
      </c>
      <c r="D1213" t="s">
        <v>18</v>
      </c>
      <c r="E1213" t="s">
        <v>19</v>
      </c>
      <c r="F1213" t="s">
        <v>54</v>
      </c>
      <c r="G1213" t="s">
        <v>114</v>
      </c>
      <c r="H1213" t="s">
        <v>56</v>
      </c>
      <c r="I1213" t="s">
        <v>7</v>
      </c>
      <c r="J1213" t="s">
        <v>115</v>
      </c>
      <c r="K1213" t="s">
        <v>116</v>
      </c>
      <c r="L1213" t="s">
        <v>59</v>
      </c>
      <c r="M1213">
        <v>53</v>
      </c>
      <c r="N1213" t="b">
        <v>1</v>
      </c>
      <c r="O1213">
        <v>0.74239350912778912</v>
      </c>
      <c r="P1213">
        <v>0.69581749049429653</v>
      </c>
      <c r="Q1213">
        <v>0.79565217391304344</v>
      </c>
      <c r="R1213" t="s">
        <v>60</v>
      </c>
      <c r="S1213" t="s">
        <v>2854</v>
      </c>
      <c r="T1213" t="s">
        <v>2855</v>
      </c>
      <c r="U1213" t="b">
        <v>0</v>
      </c>
      <c r="V1213" t="s">
        <v>63</v>
      </c>
      <c r="W1213">
        <v>53.4</v>
      </c>
    </row>
    <row r="1214" spans="1:23" hidden="1" x14ac:dyDescent="0.3">
      <c r="A1214" t="s">
        <v>2830</v>
      </c>
      <c r="B1214" t="s">
        <v>2831</v>
      </c>
      <c r="C1214" t="s">
        <v>29</v>
      </c>
      <c r="D1214" t="s">
        <v>18</v>
      </c>
      <c r="E1214" t="s">
        <v>19</v>
      </c>
      <c r="F1214" t="s">
        <v>54</v>
      </c>
      <c r="G1214" t="s">
        <v>119</v>
      </c>
      <c r="H1214" t="s">
        <v>56</v>
      </c>
      <c r="I1214" t="s">
        <v>7</v>
      </c>
      <c r="J1214" t="s">
        <v>120</v>
      </c>
      <c r="K1214" t="s">
        <v>121</v>
      </c>
      <c r="L1214" t="s">
        <v>59</v>
      </c>
      <c r="M1214">
        <v>54</v>
      </c>
      <c r="N1214" t="b">
        <v>1</v>
      </c>
      <c r="O1214">
        <v>0.74239350912778912</v>
      </c>
      <c r="P1214">
        <v>0.69581749049429653</v>
      </c>
      <c r="Q1214">
        <v>0.79565217391304344</v>
      </c>
      <c r="R1214" t="s">
        <v>60</v>
      </c>
      <c r="S1214" t="s">
        <v>2856</v>
      </c>
      <c r="T1214" t="s">
        <v>2857</v>
      </c>
      <c r="U1214" t="b">
        <v>0</v>
      </c>
      <c r="V1214" t="s">
        <v>63</v>
      </c>
      <c r="W1214">
        <v>54</v>
      </c>
    </row>
    <row r="1215" spans="1:23" hidden="1" x14ac:dyDescent="0.3">
      <c r="A1215" t="s">
        <v>2830</v>
      </c>
      <c r="B1215" t="s">
        <v>2831</v>
      </c>
      <c r="C1215" t="s">
        <v>29</v>
      </c>
      <c r="D1215" t="s">
        <v>18</v>
      </c>
      <c r="E1215" t="s">
        <v>19</v>
      </c>
      <c r="F1215" t="s">
        <v>54</v>
      </c>
      <c r="G1215" t="s">
        <v>124</v>
      </c>
      <c r="H1215" t="s">
        <v>56</v>
      </c>
      <c r="I1215" t="s">
        <v>7</v>
      </c>
      <c r="J1215" t="s">
        <v>125</v>
      </c>
      <c r="K1215" t="s">
        <v>126</v>
      </c>
      <c r="L1215" t="s">
        <v>59</v>
      </c>
      <c r="M1215">
        <v>55</v>
      </c>
      <c r="N1215" t="b">
        <v>1</v>
      </c>
      <c r="O1215">
        <v>0.74239350912778912</v>
      </c>
      <c r="P1215">
        <v>0.69581749049429653</v>
      </c>
      <c r="Q1215">
        <v>0.79565217391304344</v>
      </c>
      <c r="R1215" t="s">
        <v>60</v>
      </c>
      <c r="S1215" t="s">
        <v>2858</v>
      </c>
      <c r="T1215" t="s">
        <v>2859</v>
      </c>
      <c r="U1215" t="b">
        <v>0</v>
      </c>
      <c r="V1215" t="s">
        <v>63</v>
      </c>
      <c r="W1215">
        <v>53.6</v>
      </c>
    </row>
    <row r="1216" spans="1:23" hidden="1" x14ac:dyDescent="0.3">
      <c r="A1216" t="s">
        <v>2830</v>
      </c>
      <c r="B1216" t="s">
        <v>2831</v>
      </c>
      <c r="C1216" t="s">
        <v>29</v>
      </c>
      <c r="D1216" t="s">
        <v>18</v>
      </c>
      <c r="E1216" t="s">
        <v>19</v>
      </c>
      <c r="F1216" t="s">
        <v>54</v>
      </c>
      <c r="G1216" t="s">
        <v>129</v>
      </c>
      <c r="H1216" t="s">
        <v>56</v>
      </c>
      <c r="I1216" t="s">
        <v>7</v>
      </c>
      <c r="J1216" t="s">
        <v>130</v>
      </c>
      <c r="K1216" t="s">
        <v>131</v>
      </c>
      <c r="L1216" t="s">
        <v>59</v>
      </c>
      <c r="M1216">
        <v>56</v>
      </c>
      <c r="N1216" t="b">
        <v>1</v>
      </c>
      <c r="O1216">
        <v>0.74239350912778912</v>
      </c>
      <c r="P1216">
        <v>0.69581749049429653</v>
      </c>
      <c r="Q1216">
        <v>0.79565217391304344</v>
      </c>
      <c r="R1216" t="s">
        <v>60</v>
      </c>
      <c r="S1216" t="s">
        <v>2860</v>
      </c>
      <c r="T1216" t="s">
        <v>2861</v>
      </c>
      <c r="U1216" t="b">
        <v>0</v>
      </c>
      <c r="V1216" t="s">
        <v>63</v>
      </c>
      <c r="W1216">
        <v>53.3</v>
      </c>
    </row>
    <row r="1217" spans="1:23" hidden="1" x14ac:dyDescent="0.3">
      <c r="A1217" t="s">
        <v>2830</v>
      </c>
      <c r="B1217" t="s">
        <v>2831</v>
      </c>
      <c r="C1217" t="s">
        <v>29</v>
      </c>
      <c r="D1217" t="s">
        <v>18</v>
      </c>
      <c r="E1217" t="s">
        <v>19</v>
      </c>
      <c r="F1217" t="s">
        <v>54</v>
      </c>
      <c r="G1217" t="s">
        <v>134</v>
      </c>
      <c r="H1217" t="s">
        <v>56</v>
      </c>
      <c r="I1217" t="s">
        <v>7</v>
      </c>
      <c r="J1217" t="s">
        <v>135</v>
      </c>
      <c r="K1217" t="s">
        <v>136</v>
      </c>
      <c r="L1217" t="s">
        <v>59</v>
      </c>
      <c r="M1217">
        <v>57</v>
      </c>
      <c r="N1217" t="b">
        <v>1</v>
      </c>
      <c r="O1217">
        <v>0.74239350912778912</v>
      </c>
      <c r="P1217">
        <v>0.69581749049429653</v>
      </c>
      <c r="Q1217">
        <v>0.79565217391304344</v>
      </c>
      <c r="R1217" t="s">
        <v>60</v>
      </c>
      <c r="S1217" t="s">
        <v>2862</v>
      </c>
      <c r="T1217" t="s">
        <v>2863</v>
      </c>
      <c r="U1217" t="b">
        <v>0</v>
      </c>
      <c r="V1217" t="s">
        <v>63</v>
      </c>
      <c r="W1217">
        <v>53.7</v>
      </c>
    </row>
    <row r="1218" spans="1:23" hidden="1" x14ac:dyDescent="0.3">
      <c r="A1218" t="s">
        <v>2830</v>
      </c>
      <c r="B1218" t="s">
        <v>2831</v>
      </c>
      <c r="C1218" t="s">
        <v>29</v>
      </c>
      <c r="D1218" t="s">
        <v>18</v>
      </c>
      <c r="E1218" t="s">
        <v>19</v>
      </c>
      <c r="F1218" t="s">
        <v>54</v>
      </c>
      <c r="G1218" t="s">
        <v>139</v>
      </c>
      <c r="H1218" t="s">
        <v>56</v>
      </c>
      <c r="I1218" t="s">
        <v>7</v>
      </c>
      <c r="J1218" t="s">
        <v>140</v>
      </c>
      <c r="K1218" t="s">
        <v>141</v>
      </c>
      <c r="L1218" t="s">
        <v>59</v>
      </c>
      <c r="M1218">
        <v>58</v>
      </c>
      <c r="N1218" t="b">
        <v>1</v>
      </c>
      <c r="O1218">
        <v>0.74239350912778912</v>
      </c>
      <c r="P1218">
        <v>0.69581749049429653</v>
      </c>
      <c r="Q1218">
        <v>0.79565217391304344</v>
      </c>
      <c r="R1218" t="s">
        <v>60</v>
      </c>
      <c r="S1218" t="s">
        <v>2864</v>
      </c>
      <c r="T1218" t="s">
        <v>2865</v>
      </c>
      <c r="U1218" t="b">
        <v>0</v>
      </c>
      <c r="V1218" t="s">
        <v>63</v>
      </c>
      <c r="W1218">
        <v>53.5</v>
      </c>
    </row>
    <row r="1219" spans="1:23" hidden="1" x14ac:dyDescent="0.3">
      <c r="A1219" t="s">
        <v>2830</v>
      </c>
      <c r="B1219" t="s">
        <v>2831</v>
      </c>
      <c r="C1219" t="s">
        <v>29</v>
      </c>
      <c r="D1219" t="s">
        <v>18</v>
      </c>
      <c r="E1219" t="s">
        <v>19</v>
      </c>
      <c r="F1219" t="s">
        <v>54</v>
      </c>
      <c r="G1219" t="s">
        <v>144</v>
      </c>
      <c r="H1219" t="s">
        <v>56</v>
      </c>
      <c r="I1219" t="s">
        <v>7</v>
      </c>
      <c r="J1219" t="s">
        <v>145</v>
      </c>
      <c r="K1219" t="s">
        <v>146</v>
      </c>
      <c r="L1219" t="s">
        <v>59</v>
      </c>
      <c r="M1219">
        <v>59</v>
      </c>
      <c r="N1219" t="b">
        <v>1</v>
      </c>
      <c r="O1219">
        <v>0.74239350912778912</v>
      </c>
      <c r="P1219">
        <v>0.69581749049429653</v>
      </c>
      <c r="Q1219">
        <v>0.79565217391304344</v>
      </c>
      <c r="R1219" t="s">
        <v>60</v>
      </c>
      <c r="S1219" t="s">
        <v>2866</v>
      </c>
      <c r="T1219" t="s">
        <v>2867</v>
      </c>
      <c r="U1219" t="b">
        <v>0</v>
      </c>
      <c r="V1219" t="s">
        <v>63</v>
      </c>
      <c r="W1219">
        <v>53.2</v>
      </c>
    </row>
    <row r="1220" spans="1:23" hidden="1" x14ac:dyDescent="0.3">
      <c r="A1220" t="s">
        <v>2830</v>
      </c>
      <c r="B1220" t="s">
        <v>2831</v>
      </c>
      <c r="C1220" t="s">
        <v>29</v>
      </c>
      <c r="D1220" t="s">
        <v>18</v>
      </c>
      <c r="E1220" t="s">
        <v>19</v>
      </c>
      <c r="F1220" t="s">
        <v>54</v>
      </c>
      <c r="G1220" t="s">
        <v>149</v>
      </c>
      <c r="H1220" t="s">
        <v>56</v>
      </c>
      <c r="I1220" t="s">
        <v>7</v>
      </c>
      <c r="J1220" t="s">
        <v>150</v>
      </c>
      <c r="K1220" t="s">
        <v>151</v>
      </c>
      <c r="L1220" t="s">
        <v>59</v>
      </c>
      <c r="M1220">
        <v>60</v>
      </c>
      <c r="N1220" t="b">
        <v>1</v>
      </c>
      <c r="O1220">
        <v>0.74239350912778912</v>
      </c>
      <c r="P1220">
        <v>0.69581749049429653</v>
      </c>
      <c r="Q1220">
        <v>0.79565217391304344</v>
      </c>
      <c r="R1220" t="s">
        <v>60</v>
      </c>
      <c r="S1220" t="s">
        <v>2868</v>
      </c>
      <c r="T1220" t="s">
        <v>2869</v>
      </c>
      <c r="U1220" t="b">
        <v>0</v>
      </c>
      <c r="V1220" t="s">
        <v>63</v>
      </c>
      <c r="W1220">
        <v>53.4</v>
      </c>
    </row>
    <row r="1221" spans="1:23" hidden="1" x14ac:dyDescent="0.3">
      <c r="A1221" t="s">
        <v>2830</v>
      </c>
      <c r="B1221" t="s">
        <v>2831</v>
      </c>
      <c r="C1221" t="s">
        <v>29</v>
      </c>
      <c r="D1221" t="s">
        <v>18</v>
      </c>
      <c r="E1221" t="s">
        <v>19</v>
      </c>
      <c r="F1221" t="s">
        <v>54</v>
      </c>
      <c r="G1221" t="s">
        <v>154</v>
      </c>
      <c r="H1221" t="s">
        <v>56</v>
      </c>
      <c r="I1221" t="s">
        <v>7</v>
      </c>
      <c r="J1221" t="s">
        <v>155</v>
      </c>
      <c r="K1221" t="s">
        <v>156</v>
      </c>
      <c r="L1221" t="s">
        <v>59</v>
      </c>
      <c r="M1221">
        <v>61</v>
      </c>
      <c r="N1221" t="b">
        <v>1</v>
      </c>
      <c r="O1221">
        <v>0.74239350912778912</v>
      </c>
      <c r="P1221">
        <v>0.69581749049429653</v>
      </c>
      <c r="Q1221">
        <v>0.79565217391304344</v>
      </c>
      <c r="R1221" t="s">
        <v>60</v>
      </c>
      <c r="S1221" t="s">
        <v>2870</v>
      </c>
      <c r="T1221" t="s">
        <v>2871</v>
      </c>
      <c r="U1221" t="b">
        <v>0</v>
      </c>
      <c r="V1221" t="s">
        <v>63</v>
      </c>
      <c r="W1221">
        <v>53.6</v>
      </c>
    </row>
    <row r="1222" spans="1:23" hidden="1" x14ac:dyDescent="0.3">
      <c r="A1222" t="s">
        <v>2830</v>
      </c>
      <c r="B1222" t="s">
        <v>2831</v>
      </c>
      <c r="C1222" t="s">
        <v>29</v>
      </c>
      <c r="D1222" t="s">
        <v>18</v>
      </c>
      <c r="E1222" t="s">
        <v>19</v>
      </c>
      <c r="F1222" t="s">
        <v>54</v>
      </c>
      <c r="G1222" t="s">
        <v>159</v>
      </c>
      <c r="H1222" t="s">
        <v>160</v>
      </c>
      <c r="I1222" t="s">
        <v>3</v>
      </c>
      <c r="J1222" t="s">
        <v>161</v>
      </c>
      <c r="K1222" t="s">
        <v>162</v>
      </c>
      <c r="L1222" t="s">
        <v>163</v>
      </c>
      <c r="M1222">
        <v>42</v>
      </c>
      <c r="N1222" t="b">
        <v>0</v>
      </c>
      <c r="O1222">
        <v>0.75482093663911842</v>
      </c>
      <c r="P1222">
        <v>0.70618556701030932</v>
      </c>
      <c r="Q1222">
        <v>0.81065088757396453</v>
      </c>
      <c r="R1222" t="s">
        <v>60</v>
      </c>
      <c r="S1222" t="s">
        <v>2872</v>
      </c>
      <c r="T1222" t="s">
        <v>2873</v>
      </c>
      <c r="U1222" t="b">
        <v>0</v>
      </c>
      <c r="V1222" t="s">
        <v>63</v>
      </c>
      <c r="W1222">
        <v>53.5</v>
      </c>
    </row>
    <row r="1223" spans="1:23" hidden="1" x14ac:dyDescent="0.3">
      <c r="A1223" t="s">
        <v>2830</v>
      </c>
      <c r="B1223" t="s">
        <v>2831</v>
      </c>
      <c r="C1223" t="s">
        <v>29</v>
      </c>
      <c r="D1223" t="s">
        <v>18</v>
      </c>
      <c r="E1223" t="s">
        <v>19</v>
      </c>
      <c r="F1223" t="s">
        <v>54</v>
      </c>
      <c r="G1223" t="s">
        <v>166</v>
      </c>
      <c r="H1223" t="s">
        <v>160</v>
      </c>
      <c r="I1223" t="s">
        <v>3</v>
      </c>
      <c r="J1223" t="s">
        <v>167</v>
      </c>
      <c r="K1223" t="s">
        <v>168</v>
      </c>
      <c r="L1223" t="s">
        <v>163</v>
      </c>
      <c r="M1223">
        <v>43</v>
      </c>
      <c r="N1223" t="b">
        <v>0</v>
      </c>
      <c r="O1223">
        <v>0.75482093663911842</v>
      </c>
      <c r="P1223">
        <v>0.70618556701030932</v>
      </c>
      <c r="Q1223">
        <v>0.81065088757396453</v>
      </c>
      <c r="R1223" t="s">
        <v>60</v>
      </c>
      <c r="S1223" t="s">
        <v>2874</v>
      </c>
      <c r="T1223" t="s">
        <v>2875</v>
      </c>
      <c r="U1223" t="b">
        <v>0</v>
      </c>
      <c r="V1223" t="s">
        <v>63</v>
      </c>
      <c r="W1223">
        <v>51.3</v>
      </c>
    </row>
    <row r="1224" spans="1:23" hidden="1" x14ac:dyDescent="0.3">
      <c r="A1224" t="s">
        <v>2830</v>
      </c>
      <c r="B1224" t="s">
        <v>2831</v>
      </c>
      <c r="C1224" t="s">
        <v>29</v>
      </c>
      <c r="D1224" t="s">
        <v>18</v>
      </c>
      <c r="E1224" t="s">
        <v>19</v>
      </c>
      <c r="F1224" t="s">
        <v>54</v>
      </c>
      <c r="G1224" t="s">
        <v>171</v>
      </c>
      <c r="H1224" t="s">
        <v>160</v>
      </c>
      <c r="I1224" t="s">
        <v>3</v>
      </c>
      <c r="J1224" t="s">
        <v>172</v>
      </c>
      <c r="K1224" t="s">
        <v>173</v>
      </c>
      <c r="L1224" t="s">
        <v>163</v>
      </c>
      <c r="M1224">
        <v>44</v>
      </c>
      <c r="N1224" t="b">
        <v>0</v>
      </c>
      <c r="O1224">
        <v>0.75482093663911842</v>
      </c>
      <c r="P1224">
        <v>0.70618556701030932</v>
      </c>
      <c r="Q1224">
        <v>0.81065088757396453</v>
      </c>
      <c r="R1224" t="s">
        <v>60</v>
      </c>
      <c r="S1224" t="s">
        <v>2876</v>
      </c>
      <c r="T1224" t="s">
        <v>2877</v>
      </c>
      <c r="U1224" t="b">
        <v>0</v>
      </c>
      <c r="V1224" t="s">
        <v>63</v>
      </c>
      <c r="W1224">
        <v>51.1</v>
      </c>
    </row>
    <row r="1225" spans="1:23" hidden="1" x14ac:dyDescent="0.3">
      <c r="A1225" t="s">
        <v>2830</v>
      </c>
      <c r="B1225" t="s">
        <v>2831</v>
      </c>
      <c r="C1225" t="s">
        <v>29</v>
      </c>
      <c r="D1225" t="s">
        <v>18</v>
      </c>
      <c r="E1225" t="s">
        <v>19</v>
      </c>
      <c r="F1225" t="s">
        <v>54</v>
      </c>
      <c r="G1225" t="s">
        <v>176</v>
      </c>
      <c r="H1225" t="s">
        <v>160</v>
      </c>
      <c r="I1225" t="s">
        <v>3</v>
      </c>
      <c r="J1225" t="s">
        <v>177</v>
      </c>
      <c r="K1225" t="s">
        <v>178</v>
      </c>
      <c r="L1225" t="s">
        <v>163</v>
      </c>
      <c r="M1225">
        <v>45</v>
      </c>
      <c r="N1225" t="b">
        <v>0</v>
      </c>
      <c r="O1225">
        <v>0.75482093663911842</v>
      </c>
      <c r="P1225">
        <v>0.70618556701030932</v>
      </c>
      <c r="Q1225">
        <v>0.81065088757396453</v>
      </c>
      <c r="R1225" t="s">
        <v>60</v>
      </c>
      <c r="S1225" t="s">
        <v>2878</v>
      </c>
      <c r="T1225" t="s">
        <v>2879</v>
      </c>
      <c r="U1225" t="b">
        <v>0</v>
      </c>
      <c r="V1225" t="s">
        <v>63</v>
      </c>
      <c r="W1225">
        <v>50.9</v>
      </c>
    </row>
    <row r="1226" spans="1:23" hidden="1" x14ac:dyDescent="0.3">
      <c r="A1226" t="s">
        <v>2830</v>
      </c>
      <c r="B1226" t="s">
        <v>2831</v>
      </c>
      <c r="C1226" t="s">
        <v>29</v>
      </c>
      <c r="D1226" t="s">
        <v>18</v>
      </c>
      <c r="E1226" t="s">
        <v>19</v>
      </c>
      <c r="F1226" t="s">
        <v>54</v>
      </c>
      <c r="G1226" t="s">
        <v>181</v>
      </c>
      <c r="H1226" t="s">
        <v>160</v>
      </c>
      <c r="I1226" t="s">
        <v>3</v>
      </c>
      <c r="J1226" t="s">
        <v>182</v>
      </c>
      <c r="K1226" t="s">
        <v>183</v>
      </c>
      <c r="L1226" t="s">
        <v>163</v>
      </c>
      <c r="M1226">
        <v>46</v>
      </c>
      <c r="N1226" t="b">
        <v>0</v>
      </c>
      <c r="O1226">
        <v>0.75482093663911842</v>
      </c>
      <c r="P1226">
        <v>0.70618556701030932</v>
      </c>
      <c r="Q1226">
        <v>0.81065088757396453</v>
      </c>
      <c r="R1226" t="s">
        <v>60</v>
      </c>
      <c r="S1226" t="s">
        <v>2880</v>
      </c>
      <c r="T1226" t="s">
        <v>2881</v>
      </c>
      <c r="U1226" t="b">
        <v>0</v>
      </c>
      <c r="V1226" t="s">
        <v>63</v>
      </c>
      <c r="W1226">
        <v>51.1</v>
      </c>
    </row>
    <row r="1227" spans="1:23" hidden="1" x14ac:dyDescent="0.3">
      <c r="A1227" t="s">
        <v>2830</v>
      </c>
      <c r="B1227" t="s">
        <v>2831</v>
      </c>
      <c r="C1227" t="s">
        <v>29</v>
      </c>
      <c r="D1227" t="s">
        <v>18</v>
      </c>
      <c r="E1227" t="s">
        <v>19</v>
      </c>
      <c r="F1227" t="s">
        <v>54</v>
      </c>
      <c r="G1227" t="s">
        <v>186</v>
      </c>
      <c r="H1227" t="s">
        <v>160</v>
      </c>
      <c r="I1227" t="s">
        <v>3</v>
      </c>
      <c r="J1227" t="s">
        <v>187</v>
      </c>
      <c r="K1227" t="s">
        <v>188</v>
      </c>
      <c r="L1227" t="s">
        <v>163</v>
      </c>
      <c r="M1227">
        <v>47</v>
      </c>
      <c r="N1227" t="b">
        <v>0</v>
      </c>
      <c r="O1227">
        <v>0.75482093663911842</v>
      </c>
      <c r="P1227">
        <v>0.70618556701030932</v>
      </c>
      <c r="Q1227">
        <v>0.81065088757396453</v>
      </c>
      <c r="R1227" t="s">
        <v>60</v>
      </c>
      <c r="S1227" t="s">
        <v>2882</v>
      </c>
      <c r="T1227" t="s">
        <v>2883</v>
      </c>
      <c r="U1227" t="b">
        <v>0</v>
      </c>
      <c r="V1227" t="s">
        <v>63</v>
      </c>
      <c r="W1227">
        <v>51.2</v>
      </c>
    </row>
    <row r="1228" spans="1:23" hidden="1" x14ac:dyDescent="0.3">
      <c r="A1228" t="s">
        <v>2830</v>
      </c>
      <c r="B1228" t="s">
        <v>2831</v>
      </c>
      <c r="C1228" t="s">
        <v>29</v>
      </c>
      <c r="D1228" t="s">
        <v>18</v>
      </c>
      <c r="E1228" t="s">
        <v>19</v>
      </c>
      <c r="F1228" t="s">
        <v>54</v>
      </c>
      <c r="G1228" t="s">
        <v>191</v>
      </c>
      <c r="H1228" t="s">
        <v>160</v>
      </c>
      <c r="I1228" t="s">
        <v>3</v>
      </c>
      <c r="J1228" t="s">
        <v>192</v>
      </c>
      <c r="K1228" t="s">
        <v>193</v>
      </c>
      <c r="L1228" t="s">
        <v>163</v>
      </c>
      <c r="M1228">
        <v>48</v>
      </c>
      <c r="N1228" t="b">
        <v>0</v>
      </c>
      <c r="O1228">
        <v>0.75482093663911842</v>
      </c>
      <c r="P1228">
        <v>0.70618556701030932</v>
      </c>
      <c r="Q1228">
        <v>0.81065088757396453</v>
      </c>
      <c r="R1228" t="s">
        <v>60</v>
      </c>
      <c r="S1228" t="s">
        <v>2884</v>
      </c>
      <c r="T1228" t="s">
        <v>2885</v>
      </c>
      <c r="U1228" t="b">
        <v>0</v>
      </c>
      <c r="V1228" t="s">
        <v>63</v>
      </c>
      <c r="W1228">
        <v>51.3</v>
      </c>
    </row>
    <row r="1229" spans="1:23" hidden="1" x14ac:dyDescent="0.3">
      <c r="A1229" t="s">
        <v>2830</v>
      </c>
      <c r="B1229" t="s">
        <v>2831</v>
      </c>
      <c r="C1229" t="s">
        <v>29</v>
      </c>
      <c r="D1229" t="s">
        <v>18</v>
      </c>
      <c r="E1229" t="s">
        <v>19</v>
      </c>
      <c r="F1229" t="s">
        <v>54</v>
      </c>
      <c r="G1229" t="s">
        <v>196</v>
      </c>
      <c r="H1229" t="s">
        <v>160</v>
      </c>
      <c r="I1229" t="s">
        <v>3</v>
      </c>
      <c r="J1229" t="s">
        <v>197</v>
      </c>
      <c r="K1229" t="s">
        <v>198</v>
      </c>
      <c r="L1229" t="s">
        <v>163</v>
      </c>
      <c r="M1229">
        <v>49</v>
      </c>
      <c r="N1229" t="b">
        <v>0</v>
      </c>
      <c r="O1229">
        <v>0.75482093663911842</v>
      </c>
      <c r="P1229">
        <v>0.70618556701030932</v>
      </c>
      <c r="Q1229">
        <v>0.81065088757396453</v>
      </c>
      <c r="R1229" t="s">
        <v>60</v>
      </c>
      <c r="S1229" t="s">
        <v>2886</v>
      </c>
      <c r="T1229" t="s">
        <v>2887</v>
      </c>
      <c r="U1229" t="b">
        <v>0</v>
      </c>
      <c r="V1229" t="s">
        <v>63</v>
      </c>
      <c r="W1229">
        <v>51.5</v>
      </c>
    </row>
    <row r="1230" spans="1:23" hidden="1" x14ac:dyDescent="0.3">
      <c r="A1230" t="s">
        <v>2830</v>
      </c>
      <c r="B1230" t="s">
        <v>2831</v>
      </c>
      <c r="C1230" t="s">
        <v>29</v>
      </c>
      <c r="D1230" t="s">
        <v>18</v>
      </c>
      <c r="E1230" t="s">
        <v>19</v>
      </c>
      <c r="F1230" t="s">
        <v>54</v>
      </c>
      <c r="G1230" t="s">
        <v>201</v>
      </c>
      <c r="H1230" t="s">
        <v>160</v>
      </c>
      <c r="I1230" t="s">
        <v>3</v>
      </c>
      <c r="J1230" t="s">
        <v>202</v>
      </c>
      <c r="K1230" t="s">
        <v>203</v>
      </c>
      <c r="L1230" t="s">
        <v>163</v>
      </c>
      <c r="M1230">
        <v>50</v>
      </c>
      <c r="N1230" t="b">
        <v>0</v>
      </c>
      <c r="O1230">
        <v>0.75482093663911842</v>
      </c>
      <c r="P1230">
        <v>0.70618556701030932</v>
      </c>
      <c r="Q1230">
        <v>0.81065088757396453</v>
      </c>
      <c r="R1230" t="s">
        <v>60</v>
      </c>
      <c r="S1230" t="s">
        <v>2888</v>
      </c>
      <c r="T1230" t="s">
        <v>2889</v>
      </c>
      <c r="U1230" t="b">
        <v>0</v>
      </c>
      <c r="V1230" t="s">
        <v>63</v>
      </c>
      <c r="W1230">
        <v>50.1</v>
      </c>
    </row>
    <row r="1231" spans="1:23" hidden="1" x14ac:dyDescent="0.3">
      <c r="A1231" t="s">
        <v>2830</v>
      </c>
      <c r="B1231" t="s">
        <v>2831</v>
      </c>
      <c r="C1231" t="s">
        <v>29</v>
      </c>
      <c r="D1231" t="s">
        <v>18</v>
      </c>
      <c r="E1231" t="s">
        <v>19</v>
      </c>
      <c r="F1231" t="s">
        <v>54</v>
      </c>
      <c r="G1231" t="s">
        <v>206</v>
      </c>
      <c r="H1231" t="s">
        <v>160</v>
      </c>
      <c r="I1231" t="s">
        <v>3</v>
      </c>
      <c r="J1231" t="s">
        <v>207</v>
      </c>
      <c r="K1231" t="s">
        <v>208</v>
      </c>
      <c r="L1231" t="s">
        <v>163</v>
      </c>
      <c r="M1231">
        <v>51</v>
      </c>
      <c r="N1231" t="b">
        <v>0</v>
      </c>
      <c r="O1231">
        <v>0.75482093663911842</v>
      </c>
      <c r="P1231">
        <v>0.70618556701030932</v>
      </c>
      <c r="Q1231">
        <v>0.81065088757396453</v>
      </c>
      <c r="R1231" t="s">
        <v>60</v>
      </c>
      <c r="S1231" t="s">
        <v>2890</v>
      </c>
      <c r="T1231" t="s">
        <v>2891</v>
      </c>
      <c r="U1231" t="b">
        <v>0</v>
      </c>
      <c r="V1231" t="s">
        <v>63</v>
      </c>
      <c r="W1231">
        <v>51.6</v>
      </c>
    </row>
    <row r="1232" spans="1:23" hidden="1" x14ac:dyDescent="0.3">
      <c r="A1232" t="s">
        <v>2830</v>
      </c>
      <c r="B1232" t="s">
        <v>2831</v>
      </c>
      <c r="C1232" t="s">
        <v>29</v>
      </c>
      <c r="D1232" t="s">
        <v>18</v>
      </c>
      <c r="E1232" t="s">
        <v>19</v>
      </c>
      <c r="F1232" t="s">
        <v>54</v>
      </c>
      <c r="G1232" t="s">
        <v>211</v>
      </c>
      <c r="H1232" t="s">
        <v>160</v>
      </c>
      <c r="I1232" t="s">
        <v>3</v>
      </c>
      <c r="J1232" t="s">
        <v>212</v>
      </c>
      <c r="K1232" t="s">
        <v>213</v>
      </c>
      <c r="L1232" t="s">
        <v>163</v>
      </c>
      <c r="M1232">
        <v>52</v>
      </c>
      <c r="N1232" t="b">
        <v>0</v>
      </c>
      <c r="O1232">
        <v>0.75482093663911842</v>
      </c>
      <c r="P1232">
        <v>0.70618556701030932</v>
      </c>
      <c r="Q1232">
        <v>0.81065088757396453</v>
      </c>
      <c r="R1232" t="s">
        <v>60</v>
      </c>
      <c r="S1232" t="s">
        <v>2892</v>
      </c>
      <c r="T1232" t="s">
        <v>2893</v>
      </c>
      <c r="U1232" t="b">
        <v>0</v>
      </c>
      <c r="V1232" t="s">
        <v>63</v>
      </c>
      <c r="W1232">
        <v>51</v>
      </c>
    </row>
    <row r="1233" spans="1:23" hidden="1" x14ac:dyDescent="0.3">
      <c r="A1233" t="s">
        <v>2830</v>
      </c>
      <c r="B1233" t="s">
        <v>2831</v>
      </c>
      <c r="C1233" t="s">
        <v>29</v>
      </c>
      <c r="D1233" t="s">
        <v>18</v>
      </c>
      <c r="E1233" t="s">
        <v>19</v>
      </c>
      <c r="F1233" t="s">
        <v>54</v>
      </c>
      <c r="G1233" t="s">
        <v>216</v>
      </c>
      <c r="H1233" t="s">
        <v>160</v>
      </c>
      <c r="I1233" t="s">
        <v>3</v>
      </c>
      <c r="J1233" t="s">
        <v>217</v>
      </c>
      <c r="K1233" t="s">
        <v>218</v>
      </c>
      <c r="L1233" t="s">
        <v>163</v>
      </c>
      <c r="M1233">
        <v>53</v>
      </c>
      <c r="N1233" t="b">
        <v>0</v>
      </c>
      <c r="O1233">
        <v>0.75482093663911842</v>
      </c>
      <c r="P1233">
        <v>0.70618556701030932</v>
      </c>
      <c r="Q1233">
        <v>0.81065088757396453</v>
      </c>
      <c r="R1233" t="s">
        <v>60</v>
      </c>
      <c r="S1233" t="s">
        <v>2894</v>
      </c>
      <c r="T1233" t="s">
        <v>2895</v>
      </c>
      <c r="U1233" t="b">
        <v>0</v>
      </c>
      <c r="V1233" t="s">
        <v>63</v>
      </c>
      <c r="W1233">
        <v>52.2</v>
      </c>
    </row>
    <row r="1234" spans="1:23" hidden="1" x14ac:dyDescent="0.3">
      <c r="A1234" t="s">
        <v>2830</v>
      </c>
      <c r="B1234" t="s">
        <v>2831</v>
      </c>
      <c r="C1234" t="s">
        <v>29</v>
      </c>
      <c r="D1234" t="s">
        <v>18</v>
      </c>
      <c r="E1234" t="s">
        <v>19</v>
      </c>
      <c r="F1234" t="s">
        <v>54</v>
      </c>
      <c r="G1234" t="s">
        <v>221</v>
      </c>
      <c r="H1234" t="s">
        <v>160</v>
      </c>
      <c r="I1234" t="s">
        <v>3</v>
      </c>
      <c r="J1234" t="s">
        <v>222</v>
      </c>
      <c r="K1234" t="s">
        <v>223</v>
      </c>
      <c r="L1234" t="s">
        <v>163</v>
      </c>
      <c r="M1234">
        <v>54</v>
      </c>
      <c r="N1234" t="b">
        <v>0</v>
      </c>
      <c r="O1234">
        <v>0.75482093663911842</v>
      </c>
      <c r="P1234">
        <v>0.70618556701030932</v>
      </c>
      <c r="Q1234">
        <v>0.81065088757396453</v>
      </c>
      <c r="R1234" t="s">
        <v>60</v>
      </c>
      <c r="S1234" t="s">
        <v>2896</v>
      </c>
      <c r="T1234" t="s">
        <v>2897</v>
      </c>
      <c r="U1234" t="b">
        <v>0</v>
      </c>
      <c r="V1234" t="s">
        <v>63</v>
      </c>
      <c r="W1234">
        <v>51.7</v>
      </c>
    </row>
    <row r="1235" spans="1:23" hidden="1" x14ac:dyDescent="0.3">
      <c r="A1235" t="s">
        <v>2830</v>
      </c>
      <c r="B1235" t="s">
        <v>2831</v>
      </c>
      <c r="C1235" t="s">
        <v>29</v>
      </c>
      <c r="D1235" t="s">
        <v>18</v>
      </c>
      <c r="E1235" t="s">
        <v>19</v>
      </c>
      <c r="F1235" t="s">
        <v>54</v>
      </c>
      <c r="G1235" t="s">
        <v>226</v>
      </c>
      <c r="H1235" t="s">
        <v>160</v>
      </c>
      <c r="I1235" t="s">
        <v>3</v>
      </c>
      <c r="J1235" t="s">
        <v>227</v>
      </c>
      <c r="K1235" t="s">
        <v>228</v>
      </c>
      <c r="L1235" t="s">
        <v>163</v>
      </c>
      <c r="M1235">
        <v>55</v>
      </c>
      <c r="N1235" t="b">
        <v>0</v>
      </c>
      <c r="O1235">
        <v>0.75482093663911842</v>
      </c>
      <c r="P1235">
        <v>0.70618556701030932</v>
      </c>
      <c r="Q1235">
        <v>0.81065088757396453</v>
      </c>
      <c r="R1235" t="s">
        <v>60</v>
      </c>
      <c r="S1235" t="s">
        <v>2898</v>
      </c>
      <c r="T1235" t="s">
        <v>2899</v>
      </c>
      <c r="U1235" t="b">
        <v>0</v>
      </c>
      <c r="V1235" t="s">
        <v>63</v>
      </c>
      <c r="W1235">
        <v>52</v>
      </c>
    </row>
    <row r="1236" spans="1:23" hidden="1" x14ac:dyDescent="0.3">
      <c r="A1236" t="s">
        <v>2830</v>
      </c>
      <c r="B1236" t="s">
        <v>2831</v>
      </c>
      <c r="C1236" t="s">
        <v>29</v>
      </c>
      <c r="D1236" t="s">
        <v>18</v>
      </c>
      <c r="E1236" t="s">
        <v>19</v>
      </c>
      <c r="F1236" t="s">
        <v>54</v>
      </c>
      <c r="G1236" t="s">
        <v>231</v>
      </c>
      <c r="H1236" t="s">
        <v>160</v>
      </c>
      <c r="I1236" t="s">
        <v>3</v>
      </c>
      <c r="J1236" t="s">
        <v>232</v>
      </c>
      <c r="K1236" t="s">
        <v>233</v>
      </c>
      <c r="L1236" t="s">
        <v>163</v>
      </c>
      <c r="M1236">
        <v>56</v>
      </c>
      <c r="N1236" t="b">
        <v>0</v>
      </c>
      <c r="O1236">
        <v>0.75482093663911842</v>
      </c>
      <c r="P1236">
        <v>0.70618556701030932</v>
      </c>
      <c r="Q1236">
        <v>0.81065088757396453</v>
      </c>
      <c r="R1236" t="s">
        <v>60</v>
      </c>
      <c r="S1236" t="s">
        <v>2900</v>
      </c>
      <c r="T1236" t="s">
        <v>2901</v>
      </c>
      <c r="U1236" t="b">
        <v>0</v>
      </c>
      <c r="V1236" t="s">
        <v>63</v>
      </c>
      <c r="W1236">
        <v>51.6</v>
      </c>
    </row>
    <row r="1237" spans="1:23" hidden="1" x14ac:dyDescent="0.3">
      <c r="A1237" t="s">
        <v>2830</v>
      </c>
      <c r="B1237" t="s">
        <v>2831</v>
      </c>
      <c r="C1237" t="s">
        <v>29</v>
      </c>
      <c r="D1237" t="s">
        <v>18</v>
      </c>
      <c r="E1237" t="s">
        <v>19</v>
      </c>
      <c r="F1237" t="s">
        <v>54</v>
      </c>
      <c r="G1237" t="s">
        <v>236</v>
      </c>
      <c r="H1237" t="s">
        <v>160</v>
      </c>
      <c r="I1237" t="s">
        <v>3</v>
      </c>
      <c r="J1237" t="s">
        <v>237</v>
      </c>
      <c r="K1237" t="s">
        <v>238</v>
      </c>
      <c r="L1237" t="s">
        <v>163</v>
      </c>
      <c r="M1237">
        <v>57</v>
      </c>
      <c r="N1237" t="b">
        <v>0</v>
      </c>
      <c r="O1237">
        <v>0.75482093663911842</v>
      </c>
      <c r="P1237">
        <v>0.70618556701030932</v>
      </c>
      <c r="Q1237">
        <v>0.81065088757396453</v>
      </c>
      <c r="R1237" t="s">
        <v>60</v>
      </c>
      <c r="S1237" t="s">
        <v>2902</v>
      </c>
      <c r="T1237" t="s">
        <v>2903</v>
      </c>
      <c r="U1237" t="b">
        <v>0</v>
      </c>
      <c r="V1237" t="s">
        <v>63</v>
      </c>
      <c r="W1237">
        <v>51.5</v>
      </c>
    </row>
    <row r="1238" spans="1:23" hidden="1" x14ac:dyDescent="0.3">
      <c r="A1238" t="s">
        <v>2830</v>
      </c>
      <c r="B1238" t="s">
        <v>2831</v>
      </c>
      <c r="C1238" t="s">
        <v>29</v>
      </c>
      <c r="D1238" t="s">
        <v>18</v>
      </c>
      <c r="E1238" t="s">
        <v>19</v>
      </c>
      <c r="F1238" t="s">
        <v>54</v>
      </c>
      <c r="G1238" t="s">
        <v>241</v>
      </c>
      <c r="H1238" t="s">
        <v>160</v>
      </c>
      <c r="I1238" t="s">
        <v>3</v>
      </c>
      <c r="J1238" t="s">
        <v>242</v>
      </c>
      <c r="K1238" t="s">
        <v>243</v>
      </c>
      <c r="L1238" t="s">
        <v>163</v>
      </c>
      <c r="M1238">
        <v>58</v>
      </c>
      <c r="N1238" t="b">
        <v>0</v>
      </c>
      <c r="O1238">
        <v>0.75482093663911842</v>
      </c>
      <c r="P1238">
        <v>0.70618556701030932</v>
      </c>
      <c r="Q1238">
        <v>0.81065088757396453</v>
      </c>
      <c r="R1238" t="s">
        <v>60</v>
      </c>
      <c r="S1238" t="s">
        <v>2904</v>
      </c>
      <c r="T1238" t="s">
        <v>2905</v>
      </c>
      <c r="U1238" t="b">
        <v>0</v>
      </c>
      <c r="V1238" t="s">
        <v>63</v>
      </c>
      <c r="W1238">
        <v>51.4</v>
      </c>
    </row>
    <row r="1239" spans="1:23" hidden="1" x14ac:dyDescent="0.3">
      <c r="A1239" t="s">
        <v>2830</v>
      </c>
      <c r="B1239" t="s">
        <v>2831</v>
      </c>
      <c r="C1239" t="s">
        <v>29</v>
      </c>
      <c r="D1239" t="s">
        <v>18</v>
      </c>
      <c r="E1239" t="s">
        <v>19</v>
      </c>
      <c r="F1239" t="s">
        <v>54</v>
      </c>
      <c r="G1239" t="s">
        <v>246</v>
      </c>
      <c r="H1239" t="s">
        <v>160</v>
      </c>
      <c r="I1239" t="s">
        <v>3</v>
      </c>
      <c r="J1239" t="s">
        <v>247</v>
      </c>
      <c r="K1239" t="s">
        <v>248</v>
      </c>
      <c r="L1239" t="s">
        <v>163</v>
      </c>
      <c r="M1239">
        <v>59</v>
      </c>
      <c r="N1239" t="b">
        <v>0</v>
      </c>
      <c r="O1239">
        <v>0.75482093663911842</v>
      </c>
      <c r="P1239">
        <v>0.70618556701030932</v>
      </c>
      <c r="Q1239">
        <v>0.81065088757396453</v>
      </c>
      <c r="R1239" t="s">
        <v>60</v>
      </c>
      <c r="S1239" t="s">
        <v>2906</v>
      </c>
      <c r="T1239" t="s">
        <v>2907</v>
      </c>
      <c r="U1239" t="b">
        <v>0</v>
      </c>
      <c r="V1239" t="s">
        <v>63</v>
      </c>
      <c r="W1239">
        <v>51.2</v>
      </c>
    </row>
    <row r="1240" spans="1:23" hidden="1" x14ac:dyDescent="0.3">
      <c r="A1240" t="s">
        <v>2830</v>
      </c>
      <c r="B1240" t="s">
        <v>2831</v>
      </c>
      <c r="C1240" t="s">
        <v>29</v>
      </c>
      <c r="D1240" t="s">
        <v>18</v>
      </c>
      <c r="E1240" t="s">
        <v>19</v>
      </c>
      <c r="F1240" t="s">
        <v>54</v>
      </c>
      <c r="G1240" t="s">
        <v>251</v>
      </c>
      <c r="H1240" t="s">
        <v>160</v>
      </c>
      <c r="I1240" t="s">
        <v>3</v>
      </c>
      <c r="J1240" t="s">
        <v>252</v>
      </c>
      <c r="K1240" t="s">
        <v>253</v>
      </c>
      <c r="L1240" t="s">
        <v>163</v>
      </c>
      <c r="M1240">
        <v>60</v>
      </c>
      <c r="N1240" t="b">
        <v>0</v>
      </c>
      <c r="O1240">
        <v>0.75482093663911842</v>
      </c>
      <c r="P1240">
        <v>0.70618556701030932</v>
      </c>
      <c r="Q1240">
        <v>0.81065088757396453</v>
      </c>
      <c r="R1240" t="s">
        <v>60</v>
      </c>
      <c r="S1240" t="s">
        <v>2908</v>
      </c>
      <c r="T1240" t="s">
        <v>2909</v>
      </c>
      <c r="U1240" t="b">
        <v>0</v>
      </c>
      <c r="V1240" t="s">
        <v>63</v>
      </c>
      <c r="W1240">
        <v>51.6</v>
      </c>
    </row>
    <row r="1241" spans="1:23" hidden="1" x14ac:dyDescent="0.3">
      <c r="A1241" t="s">
        <v>2830</v>
      </c>
      <c r="B1241" t="s">
        <v>2831</v>
      </c>
      <c r="C1241" t="s">
        <v>29</v>
      </c>
      <c r="D1241" t="s">
        <v>18</v>
      </c>
      <c r="E1241" t="s">
        <v>19</v>
      </c>
      <c r="F1241" t="s">
        <v>54</v>
      </c>
      <c r="G1241" t="s">
        <v>256</v>
      </c>
      <c r="H1241" t="s">
        <v>160</v>
      </c>
      <c r="I1241" t="s">
        <v>3</v>
      </c>
      <c r="J1241" t="s">
        <v>257</v>
      </c>
      <c r="K1241" t="s">
        <v>258</v>
      </c>
      <c r="L1241" t="s">
        <v>163</v>
      </c>
      <c r="M1241">
        <v>61</v>
      </c>
      <c r="N1241" t="b">
        <v>0</v>
      </c>
      <c r="O1241">
        <v>0.75482093663911842</v>
      </c>
      <c r="P1241">
        <v>0.70618556701030932</v>
      </c>
      <c r="Q1241">
        <v>0.81065088757396453</v>
      </c>
      <c r="R1241" t="s">
        <v>60</v>
      </c>
      <c r="S1241" t="s">
        <v>2910</v>
      </c>
      <c r="T1241" t="s">
        <v>2911</v>
      </c>
      <c r="U1241" t="b">
        <v>0</v>
      </c>
      <c r="V1241" t="s">
        <v>63</v>
      </c>
      <c r="W1241">
        <v>51</v>
      </c>
    </row>
    <row r="1242" spans="1:23" hidden="1" x14ac:dyDescent="0.3">
      <c r="A1242" t="s">
        <v>2830</v>
      </c>
      <c r="B1242" t="s">
        <v>2831</v>
      </c>
      <c r="C1242" t="s">
        <v>29</v>
      </c>
      <c r="D1242" t="s">
        <v>18</v>
      </c>
      <c r="E1242" t="s">
        <v>19</v>
      </c>
      <c r="F1242" t="s">
        <v>54</v>
      </c>
      <c r="G1242" t="s">
        <v>261</v>
      </c>
      <c r="H1242" t="s">
        <v>262</v>
      </c>
      <c r="I1242" t="s">
        <v>5</v>
      </c>
      <c r="J1242" t="s">
        <v>263</v>
      </c>
      <c r="K1242" t="s">
        <v>264</v>
      </c>
      <c r="L1242" t="s">
        <v>265</v>
      </c>
      <c r="M1242">
        <v>42</v>
      </c>
      <c r="N1242" t="b">
        <v>0</v>
      </c>
      <c r="O1242">
        <v>0.76923076923076927</v>
      </c>
      <c r="P1242">
        <v>0.75107296137339052</v>
      </c>
      <c r="Q1242">
        <v>0.78828828828828834</v>
      </c>
      <c r="R1242" t="s">
        <v>60</v>
      </c>
      <c r="S1242" t="s">
        <v>2912</v>
      </c>
      <c r="T1242" t="s">
        <v>2913</v>
      </c>
      <c r="U1242" t="b">
        <v>0</v>
      </c>
      <c r="V1242" t="s">
        <v>63</v>
      </c>
      <c r="W1242">
        <v>53.8</v>
      </c>
    </row>
    <row r="1243" spans="1:23" hidden="1" x14ac:dyDescent="0.3">
      <c r="A1243" t="s">
        <v>2830</v>
      </c>
      <c r="B1243" t="s">
        <v>2831</v>
      </c>
      <c r="C1243" t="s">
        <v>29</v>
      </c>
      <c r="D1243" t="s">
        <v>18</v>
      </c>
      <c r="E1243" t="s">
        <v>19</v>
      </c>
      <c r="F1243" t="s">
        <v>54</v>
      </c>
      <c r="G1243" t="s">
        <v>268</v>
      </c>
      <c r="H1243" t="s">
        <v>262</v>
      </c>
      <c r="I1243" t="s">
        <v>5</v>
      </c>
      <c r="J1243" t="s">
        <v>269</v>
      </c>
      <c r="K1243" t="s">
        <v>270</v>
      </c>
      <c r="L1243" t="s">
        <v>265</v>
      </c>
      <c r="M1243">
        <v>43</v>
      </c>
      <c r="N1243" t="b">
        <v>0</v>
      </c>
      <c r="O1243">
        <v>0.76923076923076927</v>
      </c>
      <c r="P1243">
        <v>0.75107296137339052</v>
      </c>
      <c r="Q1243">
        <v>0.78828828828828834</v>
      </c>
      <c r="R1243" t="s">
        <v>60</v>
      </c>
      <c r="S1243" t="s">
        <v>2914</v>
      </c>
      <c r="T1243" t="s">
        <v>2915</v>
      </c>
      <c r="U1243" t="b">
        <v>0</v>
      </c>
      <c r="V1243" t="s">
        <v>63</v>
      </c>
      <c r="W1243">
        <v>53.3</v>
      </c>
    </row>
    <row r="1244" spans="1:23" hidden="1" x14ac:dyDescent="0.3">
      <c r="A1244" t="s">
        <v>2830</v>
      </c>
      <c r="B1244" t="s">
        <v>2831</v>
      </c>
      <c r="C1244" t="s">
        <v>29</v>
      </c>
      <c r="D1244" t="s">
        <v>18</v>
      </c>
      <c r="E1244" t="s">
        <v>19</v>
      </c>
      <c r="F1244" t="s">
        <v>54</v>
      </c>
      <c r="G1244" t="s">
        <v>273</v>
      </c>
      <c r="H1244" t="s">
        <v>262</v>
      </c>
      <c r="I1244" t="s">
        <v>5</v>
      </c>
      <c r="J1244" t="s">
        <v>274</v>
      </c>
      <c r="K1244" t="s">
        <v>275</v>
      </c>
      <c r="L1244" t="s">
        <v>265</v>
      </c>
      <c r="M1244">
        <v>44</v>
      </c>
      <c r="N1244" t="b">
        <v>0</v>
      </c>
      <c r="O1244">
        <v>0.76923076923076927</v>
      </c>
      <c r="P1244">
        <v>0.75107296137339052</v>
      </c>
      <c r="Q1244">
        <v>0.78828828828828834</v>
      </c>
      <c r="R1244" t="s">
        <v>60</v>
      </c>
      <c r="S1244" t="s">
        <v>2916</v>
      </c>
      <c r="T1244" t="s">
        <v>2917</v>
      </c>
      <c r="U1244" t="b">
        <v>0</v>
      </c>
      <c r="V1244" t="s">
        <v>63</v>
      </c>
      <c r="W1244">
        <v>52.7</v>
      </c>
    </row>
    <row r="1245" spans="1:23" hidden="1" x14ac:dyDescent="0.3">
      <c r="A1245" t="s">
        <v>2830</v>
      </c>
      <c r="B1245" t="s">
        <v>2831</v>
      </c>
      <c r="C1245" t="s">
        <v>29</v>
      </c>
      <c r="D1245" t="s">
        <v>18</v>
      </c>
      <c r="E1245" t="s">
        <v>19</v>
      </c>
      <c r="F1245" t="s">
        <v>54</v>
      </c>
      <c r="G1245" t="s">
        <v>278</v>
      </c>
      <c r="H1245" t="s">
        <v>262</v>
      </c>
      <c r="I1245" t="s">
        <v>5</v>
      </c>
      <c r="J1245" t="s">
        <v>279</v>
      </c>
      <c r="K1245" t="s">
        <v>280</v>
      </c>
      <c r="L1245" t="s">
        <v>265</v>
      </c>
      <c r="M1245">
        <v>45</v>
      </c>
      <c r="N1245" t="b">
        <v>0</v>
      </c>
      <c r="O1245">
        <v>0.76923076923076927</v>
      </c>
      <c r="P1245">
        <v>0.75107296137339052</v>
      </c>
      <c r="Q1245">
        <v>0.78828828828828834</v>
      </c>
      <c r="R1245" t="s">
        <v>60</v>
      </c>
      <c r="S1245" t="s">
        <v>2918</v>
      </c>
      <c r="T1245" t="s">
        <v>2919</v>
      </c>
      <c r="U1245" t="b">
        <v>0</v>
      </c>
      <c r="V1245" t="s">
        <v>63</v>
      </c>
      <c r="W1245">
        <v>52.8</v>
      </c>
    </row>
    <row r="1246" spans="1:23" hidden="1" x14ac:dyDescent="0.3">
      <c r="A1246" t="s">
        <v>2830</v>
      </c>
      <c r="B1246" t="s">
        <v>2831</v>
      </c>
      <c r="C1246" t="s">
        <v>29</v>
      </c>
      <c r="D1246" t="s">
        <v>18</v>
      </c>
      <c r="E1246" t="s">
        <v>19</v>
      </c>
      <c r="F1246" t="s">
        <v>54</v>
      </c>
      <c r="G1246" t="s">
        <v>283</v>
      </c>
      <c r="H1246" t="s">
        <v>262</v>
      </c>
      <c r="I1246" t="s">
        <v>5</v>
      </c>
      <c r="J1246" t="s">
        <v>284</v>
      </c>
      <c r="K1246" t="s">
        <v>285</v>
      </c>
      <c r="L1246" t="s">
        <v>265</v>
      </c>
      <c r="M1246">
        <v>46</v>
      </c>
      <c r="N1246" t="b">
        <v>0</v>
      </c>
      <c r="O1246">
        <v>0.76923076923076927</v>
      </c>
      <c r="P1246">
        <v>0.75107296137339052</v>
      </c>
      <c r="Q1246">
        <v>0.78828828828828834</v>
      </c>
      <c r="R1246" t="s">
        <v>60</v>
      </c>
      <c r="S1246" t="s">
        <v>2920</v>
      </c>
      <c r="T1246" t="s">
        <v>2921</v>
      </c>
      <c r="U1246" t="b">
        <v>0</v>
      </c>
      <c r="V1246" t="s">
        <v>63</v>
      </c>
      <c r="W1246">
        <v>54.1</v>
      </c>
    </row>
    <row r="1247" spans="1:23" hidden="1" x14ac:dyDescent="0.3">
      <c r="A1247" t="s">
        <v>2830</v>
      </c>
      <c r="B1247" t="s">
        <v>2831</v>
      </c>
      <c r="C1247" t="s">
        <v>29</v>
      </c>
      <c r="D1247" t="s">
        <v>18</v>
      </c>
      <c r="E1247" t="s">
        <v>19</v>
      </c>
      <c r="F1247" t="s">
        <v>54</v>
      </c>
      <c r="G1247" t="s">
        <v>288</v>
      </c>
      <c r="H1247" t="s">
        <v>262</v>
      </c>
      <c r="I1247" t="s">
        <v>5</v>
      </c>
      <c r="J1247" t="s">
        <v>289</v>
      </c>
      <c r="K1247" t="s">
        <v>290</v>
      </c>
      <c r="L1247" t="s">
        <v>265</v>
      </c>
      <c r="M1247">
        <v>47</v>
      </c>
      <c r="N1247" t="b">
        <v>0</v>
      </c>
      <c r="O1247">
        <v>0.76923076923076927</v>
      </c>
      <c r="P1247">
        <v>0.75107296137339052</v>
      </c>
      <c r="Q1247">
        <v>0.78828828828828834</v>
      </c>
      <c r="R1247" t="s">
        <v>60</v>
      </c>
      <c r="S1247" t="s">
        <v>2922</v>
      </c>
      <c r="T1247" t="s">
        <v>2923</v>
      </c>
      <c r="U1247" t="b">
        <v>0</v>
      </c>
      <c r="V1247" t="s">
        <v>63</v>
      </c>
      <c r="W1247">
        <v>53.5</v>
      </c>
    </row>
    <row r="1248" spans="1:23" hidden="1" x14ac:dyDescent="0.3">
      <c r="A1248" t="s">
        <v>2830</v>
      </c>
      <c r="B1248" t="s">
        <v>2831</v>
      </c>
      <c r="C1248" t="s">
        <v>29</v>
      </c>
      <c r="D1248" t="s">
        <v>18</v>
      </c>
      <c r="E1248" t="s">
        <v>19</v>
      </c>
      <c r="F1248" t="s">
        <v>54</v>
      </c>
      <c r="G1248" t="s">
        <v>293</v>
      </c>
      <c r="H1248" t="s">
        <v>262</v>
      </c>
      <c r="I1248" t="s">
        <v>5</v>
      </c>
      <c r="J1248" t="s">
        <v>294</v>
      </c>
      <c r="K1248" t="s">
        <v>295</v>
      </c>
      <c r="L1248" t="s">
        <v>265</v>
      </c>
      <c r="M1248">
        <v>48</v>
      </c>
      <c r="N1248" t="b">
        <v>0</v>
      </c>
      <c r="O1248">
        <v>0.76923076923076927</v>
      </c>
      <c r="P1248">
        <v>0.75107296137339052</v>
      </c>
      <c r="Q1248">
        <v>0.78828828828828834</v>
      </c>
      <c r="R1248" t="s">
        <v>60</v>
      </c>
      <c r="S1248" t="s">
        <v>2924</v>
      </c>
      <c r="T1248" t="s">
        <v>2925</v>
      </c>
      <c r="U1248" t="b">
        <v>0</v>
      </c>
      <c r="V1248" t="s">
        <v>63</v>
      </c>
      <c r="W1248">
        <v>53.3</v>
      </c>
    </row>
    <row r="1249" spans="1:23" hidden="1" x14ac:dyDescent="0.3">
      <c r="A1249" t="s">
        <v>2830</v>
      </c>
      <c r="B1249" t="s">
        <v>2831</v>
      </c>
      <c r="C1249" t="s">
        <v>29</v>
      </c>
      <c r="D1249" t="s">
        <v>18</v>
      </c>
      <c r="E1249" t="s">
        <v>19</v>
      </c>
      <c r="F1249" t="s">
        <v>54</v>
      </c>
      <c r="G1249" t="s">
        <v>298</v>
      </c>
      <c r="H1249" t="s">
        <v>262</v>
      </c>
      <c r="I1249" t="s">
        <v>5</v>
      </c>
      <c r="J1249" t="s">
        <v>299</v>
      </c>
      <c r="K1249" t="s">
        <v>300</v>
      </c>
      <c r="L1249" t="s">
        <v>265</v>
      </c>
      <c r="M1249">
        <v>49</v>
      </c>
      <c r="N1249" t="b">
        <v>0</v>
      </c>
      <c r="O1249">
        <v>0.76923076923076927</v>
      </c>
      <c r="P1249">
        <v>0.75107296137339052</v>
      </c>
      <c r="Q1249">
        <v>0.78828828828828834</v>
      </c>
      <c r="R1249" t="s">
        <v>60</v>
      </c>
      <c r="S1249" t="s">
        <v>2926</v>
      </c>
      <c r="T1249" t="s">
        <v>2927</v>
      </c>
      <c r="U1249" t="b">
        <v>0</v>
      </c>
      <c r="V1249" t="s">
        <v>63</v>
      </c>
      <c r="W1249">
        <v>54.3</v>
      </c>
    </row>
    <row r="1250" spans="1:23" hidden="1" x14ac:dyDescent="0.3">
      <c r="A1250" t="s">
        <v>2830</v>
      </c>
      <c r="B1250" t="s">
        <v>2831</v>
      </c>
      <c r="C1250" t="s">
        <v>29</v>
      </c>
      <c r="D1250" t="s">
        <v>18</v>
      </c>
      <c r="E1250" t="s">
        <v>19</v>
      </c>
      <c r="F1250" t="s">
        <v>54</v>
      </c>
      <c r="G1250" t="s">
        <v>303</v>
      </c>
      <c r="H1250" t="s">
        <v>262</v>
      </c>
      <c r="I1250" t="s">
        <v>5</v>
      </c>
      <c r="J1250" t="s">
        <v>304</v>
      </c>
      <c r="K1250" t="s">
        <v>305</v>
      </c>
      <c r="L1250" t="s">
        <v>265</v>
      </c>
      <c r="M1250">
        <v>50</v>
      </c>
      <c r="N1250" t="b">
        <v>0</v>
      </c>
      <c r="O1250">
        <v>0.76923076923076927</v>
      </c>
      <c r="P1250">
        <v>0.75107296137339052</v>
      </c>
      <c r="Q1250">
        <v>0.78828828828828834</v>
      </c>
      <c r="R1250" t="s">
        <v>60</v>
      </c>
      <c r="S1250" t="s">
        <v>2928</v>
      </c>
      <c r="T1250" t="s">
        <v>2929</v>
      </c>
      <c r="U1250" t="b">
        <v>0</v>
      </c>
      <c r="V1250" t="s">
        <v>63</v>
      </c>
      <c r="W1250">
        <v>53.1</v>
      </c>
    </row>
    <row r="1251" spans="1:23" hidden="1" x14ac:dyDescent="0.3">
      <c r="A1251" t="s">
        <v>2830</v>
      </c>
      <c r="B1251" t="s">
        <v>2831</v>
      </c>
      <c r="C1251" t="s">
        <v>29</v>
      </c>
      <c r="D1251" t="s">
        <v>18</v>
      </c>
      <c r="E1251" t="s">
        <v>19</v>
      </c>
      <c r="F1251" t="s">
        <v>54</v>
      </c>
      <c r="G1251" t="s">
        <v>308</v>
      </c>
      <c r="H1251" t="s">
        <v>262</v>
      </c>
      <c r="I1251" t="s">
        <v>5</v>
      </c>
      <c r="J1251" t="s">
        <v>309</v>
      </c>
      <c r="K1251" t="s">
        <v>310</v>
      </c>
      <c r="L1251" t="s">
        <v>265</v>
      </c>
      <c r="M1251">
        <v>51</v>
      </c>
      <c r="N1251" t="b">
        <v>0</v>
      </c>
      <c r="O1251">
        <v>0.76923076923076927</v>
      </c>
      <c r="P1251">
        <v>0.75107296137339052</v>
      </c>
      <c r="Q1251">
        <v>0.78828828828828834</v>
      </c>
      <c r="R1251" t="s">
        <v>60</v>
      </c>
      <c r="S1251" t="s">
        <v>2930</v>
      </c>
      <c r="T1251" t="s">
        <v>2931</v>
      </c>
      <c r="U1251" t="b">
        <v>0</v>
      </c>
      <c r="V1251" t="s">
        <v>63</v>
      </c>
      <c r="W1251">
        <v>51.8</v>
      </c>
    </row>
    <row r="1252" spans="1:23" hidden="1" x14ac:dyDescent="0.3">
      <c r="A1252" t="s">
        <v>2830</v>
      </c>
      <c r="B1252" t="s">
        <v>2831</v>
      </c>
      <c r="C1252" t="s">
        <v>29</v>
      </c>
      <c r="D1252" t="s">
        <v>18</v>
      </c>
      <c r="E1252" t="s">
        <v>19</v>
      </c>
      <c r="F1252" t="s">
        <v>54</v>
      </c>
      <c r="G1252" t="s">
        <v>313</v>
      </c>
      <c r="H1252" t="s">
        <v>262</v>
      </c>
      <c r="I1252" t="s">
        <v>5</v>
      </c>
      <c r="J1252" t="s">
        <v>314</v>
      </c>
      <c r="K1252" t="s">
        <v>315</v>
      </c>
      <c r="L1252" t="s">
        <v>265</v>
      </c>
      <c r="M1252">
        <v>52</v>
      </c>
      <c r="N1252" t="b">
        <v>0</v>
      </c>
      <c r="O1252">
        <v>0.76923076923076927</v>
      </c>
      <c r="P1252">
        <v>0.75107296137339052</v>
      </c>
      <c r="Q1252">
        <v>0.78828828828828834</v>
      </c>
      <c r="R1252" t="s">
        <v>60</v>
      </c>
      <c r="S1252" t="s">
        <v>2932</v>
      </c>
      <c r="T1252" t="s">
        <v>2933</v>
      </c>
      <c r="U1252" t="b">
        <v>0</v>
      </c>
      <c r="V1252" t="s">
        <v>63</v>
      </c>
      <c r="W1252">
        <v>53.2</v>
      </c>
    </row>
    <row r="1253" spans="1:23" hidden="1" x14ac:dyDescent="0.3">
      <c r="A1253" t="s">
        <v>2830</v>
      </c>
      <c r="B1253" t="s">
        <v>2831</v>
      </c>
      <c r="C1253" t="s">
        <v>29</v>
      </c>
      <c r="D1253" t="s">
        <v>18</v>
      </c>
      <c r="E1253" t="s">
        <v>19</v>
      </c>
      <c r="F1253" t="s">
        <v>54</v>
      </c>
      <c r="G1253" t="s">
        <v>318</v>
      </c>
      <c r="H1253" t="s">
        <v>262</v>
      </c>
      <c r="I1253" t="s">
        <v>5</v>
      </c>
      <c r="J1253" t="s">
        <v>319</v>
      </c>
      <c r="K1253" t="s">
        <v>320</v>
      </c>
      <c r="L1253" t="s">
        <v>265</v>
      </c>
      <c r="M1253">
        <v>53</v>
      </c>
      <c r="N1253" t="b">
        <v>0</v>
      </c>
      <c r="O1253">
        <v>0.76923076923076927</v>
      </c>
      <c r="P1253">
        <v>0.75107296137339052</v>
      </c>
      <c r="Q1253">
        <v>0.78828828828828834</v>
      </c>
      <c r="R1253" t="s">
        <v>60</v>
      </c>
      <c r="S1253" t="s">
        <v>2934</v>
      </c>
      <c r="T1253" t="s">
        <v>2935</v>
      </c>
      <c r="U1253" t="b">
        <v>0</v>
      </c>
      <c r="V1253" t="s">
        <v>63</v>
      </c>
      <c r="W1253">
        <v>53.5</v>
      </c>
    </row>
    <row r="1254" spans="1:23" hidden="1" x14ac:dyDescent="0.3">
      <c r="A1254" t="s">
        <v>2830</v>
      </c>
      <c r="B1254" t="s">
        <v>2831</v>
      </c>
      <c r="C1254" t="s">
        <v>29</v>
      </c>
      <c r="D1254" t="s">
        <v>18</v>
      </c>
      <c r="E1254" t="s">
        <v>19</v>
      </c>
      <c r="F1254" t="s">
        <v>54</v>
      </c>
      <c r="G1254" t="s">
        <v>323</v>
      </c>
      <c r="H1254" t="s">
        <v>262</v>
      </c>
      <c r="I1254" t="s">
        <v>5</v>
      </c>
      <c r="J1254" t="s">
        <v>324</v>
      </c>
      <c r="K1254" t="s">
        <v>325</v>
      </c>
      <c r="L1254" t="s">
        <v>265</v>
      </c>
      <c r="M1254">
        <v>54</v>
      </c>
      <c r="N1254" t="b">
        <v>0</v>
      </c>
      <c r="O1254">
        <v>0.76923076923076927</v>
      </c>
      <c r="P1254">
        <v>0.75107296137339052</v>
      </c>
      <c r="Q1254">
        <v>0.78828828828828834</v>
      </c>
      <c r="R1254" t="s">
        <v>60</v>
      </c>
      <c r="S1254" t="s">
        <v>2936</v>
      </c>
      <c r="T1254" t="s">
        <v>2937</v>
      </c>
      <c r="U1254" t="b">
        <v>0</v>
      </c>
      <c r="V1254" t="s">
        <v>63</v>
      </c>
      <c r="W1254">
        <v>53.9</v>
      </c>
    </row>
    <row r="1255" spans="1:23" hidden="1" x14ac:dyDescent="0.3">
      <c r="A1255" t="s">
        <v>2830</v>
      </c>
      <c r="B1255" t="s">
        <v>2831</v>
      </c>
      <c r="C1255" t="s">
        <v>29</v>
      </c>
      <c r="D1255" t="s">
        <v>18</v>
      </c>
      <c r="E1255" t="s">
        <v>19</v>
      </c>
      <c r="F1255" t="s">
        <v>54</v>
      </c>
      <c r="G1255" t="s">
        <v>328</v>
      </c>
      <c r="H1255" t="s">
        <v>262</v>
      </c>
      <c r="I1255" t="s">
        <v>5</v>
      </c>
      <c r="J1255" t="s">
        <v>329</v>
      </c>
      <c r="K1255" t="s">
        <v>330</v>
      </c>
      <c r="L1255" t="s">
        <v>265</v>
      </c>
      <c r="M1255">
        <v>55</v>
      </c>
      <c r="N1255" t="b">
        <v>0</v>
      </c>
      <c r="O1255">
        <v>0.76923076923076927</v>
      </c>
      <c r="P1255">
        <v>0.75107296137339052</v>
      </c>
      <c r="Q1255">
        <v>0.78828828828828834</v>
      </c>
      <c r="R1255" t="s">
        <v>60</v>
      </c>
      <c r="S1255" t="s">
        <v>2938</v>
      </c>
      <c r="T1255" t="s">
        <v>2939</v>
      </c>
      <c r="U1255" t="b">
        <v>0</v>
      </c>
      <c r="V1255" t="s">
        <v>63</v>
      </c>
      <c r="W1255">
        <v>53.8</v>
      </c>
    </row>
    <row r="1256" spans="1:23" hidden="1" x14ac:dyDescent="0.3">
      <c r="A1256" t="s">
        <v>2830</v>
      </c>
      <c r="B1256" t="s">
        <v>2831</v>
      </c>
      <c r="C1256" t="s">
        <v>29</v>
      </c>
      <c r="D1256" t="s">
        <v>18</v>
      </c>
      <c r="E1256" t="s">
        <v>19</v>
      </c>
      <c r="F1256" t="s">
        <v>54</v>
      </c>
      <c r="G1256" t="s">
        <v>333</v>
      </c>
      <c r="H1256" t="s">
        <v>262</v>
      </c>
      <c r="I1256" t="s">
        <v>5</v>
      </c>
      <c r="J1256" t="s">
        <v>334</v>
      </c>
      <c r="K1256" t="s">
        <v>335</v>
      </c>
      <c r="L1256" t="s">
        <v>265</v>
      </c>
      <c r="M1256">
        <v>56</v>
      </c>
      <c r="N1256" t="b">
        <v>0</v>
      </c>
      <c r="O1256">
        <v>0.76923076923076927</v>
      </c>
      <c r="P1256">
        <v>0.75107296137339052</v>
      </c>
      <c r="Q1256">
        <v>0.78828828828828834</v>
      </c>
      <c r="R1256" t="s">
        <v>60</v>
      </c>
      <c r="S1256" t="s">
        <v>2940</v>
      </c>
      <c r="T1256" t="s">
        <v>2941</v>
      </c>
      <c r="U1256" t="b">
        <v>0</v>
      </c>
      <c r="V1256" t="s">
        <v>63</v>
      </c>
      <c r="W1256">
        <v>54.2</v>
      </c>
    </row>
    <row r="1257" spans="1:23" hidden="1" x14ac:dyDescent="0.3">
      <c r="A1257" t="s">
        <v>2830</v>
      </c>
      <c r="B1257" t="s">
        <v>2831</v>
      </c>
      <c r="C1257" t="s">
        <v>29</v>
      </c>
      <c r="D1257" t="s">
        <v>18</v>
      </c>
      <c r="E1257" t="s">
        <v>19</v>
      </c>
      <c r="F1257" t="s">
        <v>54</v>
      </c>
      <c r="G1257" t="s">
        <v>338</v>
      </c>
      <c r="H1257" t="s">
        <v>262</v>
      </c>
      <c r="I1257" t="s">
        <v>5</v>
      </c>
      <c r="J1257" t="s">
        <v>339</v>
      </c>
      <c r="K1257" t="s">
        <v>340</v>
      </c>
      <c r="L1257" t="s">
        <v>265</v>
      </c>
      <c r="M1257">
        <v>57</v>
      </c>
      <c r="N1257" t="b">
        <v>0</v>
      </c>
      <c r="O1257">
        <v>0.76923076923076927</v>
      </c>
      <c r="P1257">
        <v>0.75107296137339052</v>
      </c>
      <c r="Q1257">
        <v>0.78828828828828834</v>
      </c>
      <c r="R1257" t="s">
        <v>60</v>
      </c>
      <c r="S1257" t="s">
        <v>2942</v>
      </c>
      <c r="T1257" t="s">
        <v>2943</v>
      </c>
      <c r="U1257" t="b">
        <v>0</v>
      </c>
      <c r="V1257" t="s">
        <v>63</v>
      </c>
      <c r="W1257">
        <v>53.3</v>
      </c>
    </row>
    <row r="1258" spans="1:23" hidden="1" x14ac:dyDescent="0.3">
      <c r="A1258" t="s">
        <v>2830</v>
      </c>
      <c r="B1258" t="s">
        <v>2831</v>
      </c>
      <c r="C1258" t="s">
        <v>29</v>
      </c>
      <c r="D1258" t="s">
        <v>18</v>
      </c>
      <c r="E1258" t="s">
        <v>19</v>
      </c>
      <c r="F1258" t="s">
        <v>54</v>
      </c>
      <c r="G1258" t="s">
        <v>343</v>
      </c>
      <c r="H1258" t="s">
        <v>262</v>
      </c>
      <c r="I1258" t="s">
        <v>5</v>
      </c>
      <c r="J1258" t="s">
        <v>344</v>
      </c>
      <c r="K1258" t="s">
        <v>345</v>
      </c>
      <c r="L1258" t="s">
        <v>265</v>
      </c>
      <c r="M1258">
        <v>58</v>
      </c>
      <c r="N1258" t="b">
        <v>0</v>
      </c>
      <c r="O1258">
        <v>0.76923076923076927</v>
      </c>
      <c r="P1258">
        <v>0.75107296137339052</v>
      </c>
      <c r="Q1258">
        <v>0.78828828828828834</v>
      </c>
      <c r="R1258" t="s">
        <v>60</v>
      </c>
      <c r="S1258" t="s">
        <v>2944</v>
      </c>
      <c r="T1258" t="s">
        <v>2945</v>
      </c>
      <c r="U1258" t="b">
        <v>0</v>
      </c>
      <c r="V1258" t="s">
        <v>63</v>
      </c>
      <c r="W1258">
        <v>52.9</v>
      </c>
    </row>
    <row r="1259" spans="1:23" hidden="1" x14ac:dyDescent="0.3">
      <c r="A1259" t="s">
        <v>2830</v>
      </c>
      <c r="B1259" t="s">
        <v>2831</v>
      </c>
      <c r="C1259" t="s">
        <v>29</v>
      </c>
      <c r="D1259" t="s">
        <v>18</v>
      </c>
      <c r="E1259" t="s">
        <v>19</v>
      </c>
      <c r="F1259" t="s">
        <v>54</v>
      </c>
      <c r="G1259" t="s">
        <v>348</v>
      </c>
      <c r="H1259" t="s">
        <v>262</v>
      </c>
      <c r="I1259" t="s">
        <v>5</v>
      </c>
      <c r="J1259" t="s">
        <v>349</v>
      </c>
      <c r="K1259" t="s">
        <v>350</v>
      </c>
      <c r="L1259" t="s">
        <v>265</v>
      </c>
      <c r="M1259">
        <v>59</v>
      </c>
      <c r="N1259" t="b">
        <v>0</v>
      </c>
      <c r="O1259">
        <v>0.76923076923076927</v>
      </c>
      <c r="P1259">
        <v>0.75107296137339052</v>
      </c>
      <c r="Q1259">
        <v>0.78828828828828834</v>
      </c>
      <c r="R1259" t="s">
        <v>60</v>
      </c>
      <c r="S1259" t="s">
        <v>2946</v>
      </c>
      <c r="T1259" t="s">
        <v>2947</v>
      </c>
      <c r="U1259" t="b">
        <v>0</v>
      </c>
      <c r="V1259" t="s">
        <v>63</v>
      </c>
      <c r="W1259">
        <v>53.3</v>
      </c>
    </row>
    <row r="1260" spans="1:23" hidden="1" x14ac:dyDescent="0.3">
      <c r="A1260" t="s">
        <v>2830</v>
      </c>
      <c r="B1260" t="s">
        <v>2831</v>
      </c>
      <c r="C1260" t="s">
        <v>29</v>
      </c>
      <c r="D1260" t="s">
        <v>18</v>
      </c>
      <c r="E1260" t="s">
        <v>19</v>
      </c>
      <c r="F1260" t="s">
        <v>54</v>
      </c>
      <c r="G1260" t="s">
        <v>353</v>
      </c>
      <c r="H1260" t="s">
        <v>262</v>
      </c>
      <c r="I1260" t="s">
        <v>5</v>
      </c>
      <c r="J1260" t="s">
        <v>354</v>
      </c>
      <c r="K1260" t="s">
        <v>355</v>
      </c>
      <c r="L1260" t="s">
        <v>265</v>
      </c>
      <c r="M1260">
        <v>60</v>
      </c>
      <c r="N1260" t="b">
        <v>0</v>
      </c>
      <c r="O1260">
        <v>0.76923076923076927</v>
      </c>
      <c r="P1260">
        <v>0.75107296137339052</v>
      </c>
      <c r="Q1260">
        <v>0.78828828828828834</v>
      </c>
      <c r="R1260" t="s">
        <v>60</v>
      </c>
      <c r="S1260" t="s">
        <v>2948</v>
      </c>
      <c r="T1260" t="s">
        <v>2949</v>
      </c>
      <c r="U1260" t="b">
        <v>0</v>
      </c>
      <c r="V1260" t="s">
        <v>63</v>
      </c>
      <c r="W1260">
        <v>53.6</v>
      </c>
    </row>
    <row r="1261" spans="1:23" hidden="1" x14ac:dyDescent="0.3">
      <c r="A1261" t="s">
        <v>2830</v>
      </c>
      <c r="B1261" t="s">
        <v>2831</v>
      </c>
      <c r="C1261" t="s">
        <v>29</v>
      </c>
      <c r="D1261" t="s">
        <v>18</v>
      </c>
      <c r="E1261" t="s">
        <v>19</v>
      </c>
      <c r="F1261" t="s">
        <v>54</v>
      </c>
      <c r="G1261" t="s">
        <v>358</v>
      </c>
      <c r="H1261" t="s">
        <v>262</v>
      </c>
      <c r="I1261" t="s">
        <v>5</v>
      </c>
      <c r="J1261" t="s">
        <v>359</v>
      </c>
      <c r="K1261" t="s">
        <v>360</v>
      </c>
      <c r="L1261" t="s">
        <v>265</v>
      </c>
      <c r="M1261">
        <v>61</v>
      </c>
      <c r="N1261" t="b">
        <v>0</v>
      </c>
      <c r="O1261">
        <v>0.76923076923076927</v>
      </c>
      <c r="P1261">
        <v>0.75107296137339052</v>
      </c>
      <c r="Q1261">
        <v>0.78828828828828834</v>
      </c>
      <c r="R1261" t="s">
        <v>60</v>
      </c>
      <c r="S1261" t="s">
        <v>2950</v>
      </c>
      <c r="T1261" t="s">
        <v>2951</v>
      </c>
      <c r="U1261" t="b">
        <v>0</v>
      </c>
      <c r="V1261" t="s">
        <v>63</v>
      </c>
      <c r="W1261">
        <v>53.2</v>
      </c>
    </row>
    <row r="1262" spans="1:23" hidden="1" x14ac:dyDescent="0.3">
      <c r="A1262" t="s">
        <v>2830</v>
      </c>
      <c r="B1262" t="s">
        <v>2831</v>
      </c>
      <c r="C1262" t="s">
        <v>29</v>
      </c>
      <c r="D1262" t="s">
        <v>18</v>
      </c>
      <c r="E1262" t="s">
        <v>19</v>
      </c>
      <c r="F1262" t="s">
        <v>363</v>
      </c>
      <c r="G1262" t="s">
        <v>364</v>
      </c>
      <c r="H1262" t="s">
        <v>365</v>
      </c>
      <c r="I1262" t="s">
        <v>13</v>
      </c>
      <c r="J1262" t="s">
        <v>366</v>
      </c>
      <c r="K1262" t="s">
        <v>367</v>
      </c>
      <c r="L1262" t="s">
        <v>368</v>
      </c>
      <c r="M1262">
        <v>42</v>
      </c>
      <c r="N1262" t="b">
        <v>0</v>
      </c>
      <c r="O1262">
        <v>0.76859504132231404</v>
      </c>
      <c r="P1262">
        <v>0.73228346456692917</v>
      </c>
      <c r="Q1262">
        <v>0.80869565217391304</v>
      </c>
      <c r="R1262" t="s">
        <v>60</v>
      </c>
      <c r="S1262" t="s">
        <v>2952</v>
      </c>
      <c r="T1262" t="s">
        <v>2953</v>
      </c>
      <c r="U1262" t="b">
        <v>0</v>
      </c>
      <c r="V1262" t="s">
        <v>63</v>
      </c>
      <c r="W1262">
        <v>225</v>
      </c>
    </row>
    <row r="1263" spans="1:23" hidden="1" x14ac:dyDescent="0.3">
      <c r="A1263" t="s">
        <v>2830</v>
      </c>
      <c r="B1263" t="s">
        <v>2831</v>
      </c>
      <c r="C1263" t="s">
        <v>29</v>
      </c>
      <c r="D1263" t="s">
        <v>18</v>
      </c>
      <c r="E1263" t="s">
        <v>19</v>
      </c>
      <c r="F1263" t="s">
        <v>363</v>
      </c>
      <c r="G1263" t="s">
        <v>371</v>
      </c>
      <c r="H1263" t="s">
        <v>365</v>
      </c>
      <c r="I1263" t="s">
        <v>13</v>
      </c>
      <c r="J1263" t="s">
        <v>372</v>
      </c>
      <c r="K1263" t="s">
        <v>373</v>
      </c>
      <c r="L1263" t="s">
        <v>368</v>
      </c>
      <c r="M1263">
        <v>43</v>
      </c>
      <c r="N1263" t="b">
        <v>0</v>
      </c>
      <c r="O1263">
        <v>0.78902953586497893</v>
      </c>
      <c r="P1263">
        <v>0.76639344262295084</v>
      </c>
      <c r="Q1263">
        <v>0.81304347826086953</v>
      </c>
      <c r="R1263" t="s">
        <v>60</v>
      </c>
      <c r="S1263" t="s">
        <v>2954</v>
      </c>
      <c r="T1263" t="s">
        <v>2955</v>
      </c>
      <c r="U1263" t="b">
        <v>0</v>
      </c>
      <c r="V1263" t="s">
        <v>63</v>
      </c>
      <c r="W1263">
        <v>210</v>
      </c>
    </row>
    <row r="1264" spans="1:23" hidden="1" x14ac:dyDescent="0.3">
      <c r="A1264" t="s">
        <v>2830</v>
      </c>
      <c r="B1264" t="s">
        <v>2831</v>
      </c>
      <c r="C1264" t="s">
        <v>29</v>
      </c>
      <c r="D1264" t="s">
        <v>18</v>
      </c>
      <c r="E1264" t="s">
        <v>19</v>
      </c>
      <c r="F1264" t="s">
        <v>363</v>
      </c>
      <c r="G1264" t="s">
        <v>376</v>
      </c>
      <c r="H1264" t="s">
        <v>365</v>
      </c>
      <c r="I1264" t="s">
        <v>13</v>
      </c>
      <c r="J1264" t="s">
        <v>377</v>
      </c>
      <c r="K1264" t="s">
        <v>378</v>
      </c>
      <c r="L1264" t="s">
        <v>368</v>
      </c>
      <c r="M1264">
        <v>44</v>
      </c>
      <c r="N1264" t="b">
        <v>0</v>
      </c>
      <c r="O1264">
        <v>0.79917184265010366</v>
      </c>
      <c r="P1264">
        <v>0.76284584980237158</v>
      </c>
      <c r="Q1264">
        <v>0.83913043478260874</v>
      </c>
      <c r="R1264" t="s">
        <v>60</v>
      </c>
      <c r="S1264" t="s">
        <v>2956</v>
      </c>
      <c r="T1264" t="s">
        <v>2957</v>
      </c>
      <c r="U1264" t="b">
        <v>0</v>
      </c>
      <c r="V1264" t="s">
        <v>63</v>
      </c>
      <c r="W1264">
        <v>237.5</v>
      </c>
    </row>
    <row r="1265" spans="1:23" hidden="1" x14ac:dyDescent="0.3">
      <c r="A1265" t="s">
        <v>2830</v>
      </c>
      <c r="B1265" t="s">
        <v>2831</v>
      </c>
      <c r="C1265" t="s">
        <v>29</v>
      </c>
      <c r="D1265" t="s">
        <v>18</v>
      </c>
      <c r="E1265" t="s">
        <v>19</v>
      </c>
      <c r="F1265" t="s">
        <v>363</v>
      </c>
      <c r="G1265" t="s">
        <v>381</v>
      </c>
      <c r="H1265" t="s">
        <v>365</v>
      </c>
      <c r="I1265" t="s">
        <v>13</v>
      </c>
      <c r="J1265" t="s">
        <v>382</v>
      </c>
      <c r="K1265" t="s">
        <v>383</v>
      </c>
      <c r="L1265" t="s">
        <v>368</v>
      </c>
      <c r="M1265">
        <v>45</v>
      </c>
      <c r="N1265" t="b">
        <v>0</v>
      </c>
      <c r="O1265">
        <v>0.80338266384778023</v>
      </c>
      <c r="P1265">
        <v>0.78189300411522633</v>
      </c>
      <c r="Q1265">
        <v>0.82608695652173914</v>
      </c>
      <c r="R1265" t="s">
        <v>60</v>
      </c>
      <c r="S1265" t="s">
        <v>2958</v>
      </c>
      <c r="T1265" t="s">
        <v>2959</v>
      </c>
      <c r="U1265" t="b">
        <v>0</v>
      </c>
      <c r="V1265" t="s">
        <v>63</v>
      </c>
      <c r="W1265">
        <v>226.1</v>
      </c>
    </row>
    <row r="1266" spans="1:23" hidden="1" x14ac:dyDescent="0.3">
      <c r="A1266" t="s">
        <v>2830</v>
      </c>
      <c r="B1266" t="s">
        <v>2831</v>
      </c>
      <c r="C1266" t="s">
        <v>29</v>
      </c>
      <c r="D1266" t="s">
        <v>18</v>
      </c>
      <c r="E1266" t="s">
        <v>19</v>
      </c>
      <c r="F1266" t="s">
        <v>363</v>
      </c>
      <c r="G1266" t="s">
        <v>386</v>
      </c>
      <c r="H1266" t="s">
        <v>365</v>
      </c>
      <c r="I1266" t="s">
        <v>13</v>
      </c>
      <c r="J1266" t="s">
        <v>387</v>
      </c>
      <c r="K1266" t="s">
        <v>388</v>
      </c>
      <c r="L1266" t="s">
        <v>368</v>
      </c>
      <c r="M1266">
        <v>46</v>
      </c>
      <c r="N1266" t="b">
        <v>0</v>
      </c>
      <c r="O1266">
        <v>0.79833679833679827</v>
      </c>
      <c r="P1266">
        <v>0.76494023904382469</v>
      </c>
      <c r="Q1266">
        <v>0.83478260869565213</v>
      </c>
      <c r="R1266" t="s">
        <v>60</v>
      </c>
      <c r="S1266" t="s">
        <v>2960</v>
      </c>
      <c r="T1266" t="s">
        <v>2961</v>
      </c>
      <c r="U1266" t="b">
        <v>0</v>
      </c>
      <c r="V1266" t="s">
        <v>63</v>
      </c>
      <c r="W1266">
        <v>225.5</v>
      </c>
    </row>
    <row r="1267" spans="1:23" hidden="1" x14ac:dyDescent="0.3">
      <c r="A1267" t="s">
        <v>2830</v>
      </c>
      <c r="B1267" t="s">
        <v>2831</v>
      </c>
      <c r="C1267" t="s">
        <v>29</v>
      </c>
      <c r="D1267" t="s">
        <v>18</v>
      </c>
      <c r="E1267" t="s">
        <v>19</v>
      </c>
      <c r="F1267" t="s">
        <v>363</v>
      </c>
      <c r="G1267" t="s">
        <v>391</v>
      </c>
      <c r="H1267" t="s">
        <v>365</v>
      </c>
      <c r="I1267" t="s">
        <v>13</v>
      </c>
      <c r="J1267" t="s">
        <v>392</v>
      </c>
      <c r="K1267" t="s">
        <v>393</v>
      </c>
      <c r="L1267" t="s">
        <v>368</v>
      </c>
      <c r="M1267">
        <v>47</v>
      </c>
      <c r="N1267" t="b">
        <v>0</v>
      </c>
      <c r="O1267">
        <v>0.78455284552845539</v>
      </c>
      <c r="P1267">
        <v>0.73664122137404575</v>
      </c>
      <c r="Q1267">
        <v>0.83913043478260874</v>
      </c>
      <c r="R1267" t="s">
        <v>60</v>
      </c>
      <c r="S1267" t="s">
        <v>2962</v>
      </c>
      <c r="T1267" t="s">
        <v>2963</v>
      </c>
      <c r="U1267" t="b">
        <v>0</v>
      </c>
      <c r="V1267" t="s">
        <v>63</v>
      </c>
      <c r="W1267">
        <v>240.7</v>
      </c>
    </row>
    <row r="1268" spans="1:23" hidden="1" x14ac:dyDescent="0.3">
      <c r="A1268" t="s">
        <v>2830</v>
      </c>
      <c r="B1268" t="s">
        <v>2831</v>
      </c>
      <c r="C1268" t="s">
        <v>29</v>
      </c>
      <c r="D1268" t="s">
        <v>18</v>
      </c>
      <c r="E1268" t="s">
        <v>19</v>
      </c>
      <c r="F1268" t="s">
        <v>363</v>
      </c>
      <c r="G1268" t="s">
        <v>396</v>
      </c>
      <c r="H1268" t="s">
        <v>365</v>
      </c>
      <c r="I1268" t="s">
        <v>13</v>
      </c>
      <c r="J1268" t="s">
        <v>397</v>
      </c>
      <c r="K1268" t="s">
        <v>398</v>
      </c>
      <c r="L1268" t="s">
        <v>368</v>
      </c>
      <c r="M1268">
        <v>48</v>
      </c>
      <c r="N1268" t="b">
        <v>0</v>
      </c>
      <c r="O1268">
        <v>0.79915433403805503</v>
      </c>
      <c r="P1268">
        <v>0.77777777777777779</v>
      </c>
      <c r="Q1268">
        <v>0.82173913043478264</v>
      </c>
      <c r="R1268" t="s">
        <v>60</v>
      </c>
      <c r="S1268" t="s">
        <v>2964</v>
      </c>
      <c r="T1268" t="s">
        <v>2965</v>
      </c>
      <c r="U1268" t="b">
        <v>0</v>
      </c>
      <c r="V1268" t="s">
        <v>63</v>
      </c>
      <c r="W1268">
        <v>213.2</v>
      </c>
    </row>
    <row r="1269" spans="1:23" hidden="1" x14ac:dyDescent="0.3">
      <c r="A1269" t="s">
        <v>2830</v>
      </c>
      <c r="B1269" t="s">
        <v>2831</v>
      </c>
      <c r="C1269" t="s">
        <v>29</v>
      </c>
      <c r="D1269" t="s">
        <v>18</v>
      </c>
      <c r="E1269" t="s">
        <v>19</v>
      </c>
      <c r="F1269" t="s">
        <v>363</v>
      </c>
      <c r="G1269" t="s">
        <v>401</v>
      </c>
      <c r="H1269" t="s">
        <v>365</v>
      </c>
      <c r="I1269" t="s">
        <v>13</v>
      </c>
      <c r="J1269" t="s">
        <v>402</v>
      </c>
      <c r="K1269" t="s">
        <v>403</v>
      </c>
      <c r="L1269" t="s">
        <v>368</v>
      </c>
      <c r="M1269">
        <v>49</v>
      </c>
      <c r="N1269" t="b">
        <v>0</v>
      </c>
      <c r="O1269">
        <v>0.79831932773109249</v>
      </c>
      <c r="P1269">
        <v>0.77235772357723576</v>
      </c>
      <c r="Q1269">
        <v>0.82608695652173914</v>
      </c>
      <c r="R1269" t="s">
        <v>60</v>
      </c>
      <c r="S1269" t="s">
        <v>2966</v>
      </c>
      <c r="T1269" t="s">
        <v>2967</v>
      </c>
      <c r="U1269" t="b">
        <v>0</v>
      </c>
      <c r="V1269" t="s">
        <v>63</v>
      </c>
      <c r="W1269">
        <v>239.7</v>
      </c>
    </row>
    <row r="1270" spans="1:23" hidden="1" x14ac:dyDescent="0.3">
      <c r="A1270" t="s">
        <v>2830</v>
      </c>
      <c r="B1270" t="s">
        <v>2831</v>
      </c>
      <c r="C1270" t="s">
        <v>29</v>
      </c>
      <c r="D1270" t="s">
        <v>18</v>
      </c>
      <c r="E1270" t="s">
        <v>19</v>
      </c>
      <c r="F1270" t="s">
        <v>363</v>
      </c>
      <c r="G1270" t="s">
        <v>406</v>
      </c>
      <c r="H1270" t="s">
        <v>365</v>
      </c>
      <c r="I1270" t="s">
        <v>13</v>
      </c>
      <c r="J1270" t="s">
        <v>407</v>
      </c>
      <c r="K1270" t="s">
        <v>408</v>
      </c>
      <c r="L1270" t="s">
        <v>368</v>
      </c>
      <c r="M1270">
        <v>50</v>
      </c>
      <c r="N1270" t="b">
        <v>0</v>
      </c>
      <c r="O1270">
        <v>0.80252100840336138</v>
      </c>
      <c r="P1270">
        <v>0.77642276422764223</v>
      </c>
      <c r="Q1270">
        <v>0.83043478260869563</v>
      </c>
      <c r="R1270" t="s">
        <v>60</v>
      </c>
      <c r="S1270" t="s">
        <v>2968</v>
      </c>
      <c r="T1270" t="s">
        <v>2969</v>
      </c>
      <c r="U1270" t="b">
        <v>0</v>
      </c>
      <c r="V1270" t="s">
        <v>63</v>
      </c>
      <c r="W1270">
        <v>223.7</v>
      </c>
    </row>
    <row r="1271" spans="1:23" hidden="1" x14ac:dyDescent="0.3">
      <c r="A1271" t="s">
        <v>2830</v>
      </c>
      <c r="B1271" t="s">
        <v>2831</v>
      </c>
      <c r="C1271" t="s">
        <v>29</v>
      </c>
      <c r="D1271" t="s">
        <v>18</v>
      </c>
      <c r="E1271" t="s">
        <v>19</v>
      </c>
      <c r="F1271" t="s">
        <v>363</v>
      </c>
      <c r="G1271" t="s">
        <v>411</v>
      </c>
      <c r="H1271" t="s">
        <v>365</v>
      </c>
      <c r="I1271" t="s">
        <v>13</v>
      </c>
      <c r="J1271" t="s">
        <v>412</v>
      </c>
      <c r="K1271" t="s">
        <v>413</v>
      </c>
      <c r="L1271" t="s">
        <v>368</v>
      </c>
      <c r="M1271">
        <v>51</v>
      </c>
      <c r="N1271" t="b">
        <v>0</v>
      </c>
      <c r="O1271">
        <v>0.81183932346723031</v>
      </c>
      <c r="P1271">
        <v>0.79012345679012341</v>
      </c>
      <c r="Q1271">
        <v>0.83478260869565213</v>
      </c>
      <c r="R1271" t="s">
        <v>60</v>
      </c>
      <c r="S1271" t="s">
        <v>2970</v>
      </c>
      <c r="T1271" t="s">
        <v>2971</v>
      </c>
      <c r="U1271" t="b">
        <v>0</v>
      </c>
      <c r="V1271" t="s">
        <v>63</v>
      </c>
      <c r="W1271">
        <v>240.5</v>
      </c>
    </row>
    <row r="1272" spans="1:23" hidden="1" x14ac:dyDescent="0.3">
      <c r="A1272" t="s">
        <v>2830</v>
      </c>
      <c r="B1272" t="s">
        <v>2831</v>
      </c>
      <c r="C1272" t="s">
        <v>29</v>
      </c>
      <c r="D1272" t="s">
        <v>18</v>
      </c>
      <c r="E1272" t="s">
        <v>19</v>
      </c>
      <c r="F1272" t="s">
        <v>363</v>
      </c>
      <c r="G1272" t="s">
        <v>416</v>
      </c>
      <c r="H1272" t="s">
        <v>365</v>
      </c>
      <c r="I1272" t="s">
        <v>13</v>
      </c>
      <c r="J1272" t="s">
        <v>417</v>
      </c>
      <c r="K1272" t="s">
        <v>418</v>
      </c>
      <c r="L1272" t="s">
        <v>368</v>
      </c>
      <c r="M1272">
        <v>52</v>
      </c>
      <c r="N1272" t="b">
        <v>0</v>
      </c>
      <c r="O1272">
        <v>0.77801268498942933</v>
      </c>
      <c r="P1272">
        <v>0.75720164609053497</v>
      </c>
      <c r="Q1272">
        <v>0.8</v>
      </c>
      <c r="R1272" t="s">
        <v>60</v>
      </c>
      <c r="S1272" t="s">
        <v>2972</v>
      </c>
      <c r="T1272" t="s">
        <v>2973</v>
      </c>
      <c r="U1272" t="b">
        <v>0</v>
      </c>
      <c r="V1272" t="s">
        <v>63</v>
      </c>
      <c r="W1272">
        <v>241.6</v>
      </c>
    </row>
    <row r="1273" spans="1:23" hidden="1" x14ac:dyDescent="0.3">
      <c r="A1273" t="s">
        <v>2830</v>
      </c>
      <c r="B1273" t="s">
        <v>2831</v>
      </c>
      <c r="C1273" t="s">
        <v>29</v>
      </c>
      <c r="D1273" t="s">
        <v>18</v>
      </c>
      <c r="E1273" t="s">
        <v>19</v>
      </c>
      <c r="F1273" t="s">
        <v>363</v>
      </c>
      <c r="G1273" t="s">
        <v>421</v>
      </c>
      <c r="H1273" t="s">
        <v>365</v>
      </c>
      <c r="I1273" t="s">
        <v>13</v>
      </c>
      <c r="J1273" t="s">
        <v>422</v>
      </c>
      <c r="K1273" t="s">
        <v>423</v>
      </c>
      <c r="L1273" t="s">
        <v>368</v>
      </c>
      <c r="M1273">
        <v>53</v>
      </c>
      <c r="N1273" t="b">
        <v>0</v>
      </c>
      <c r="O1273">
        <v>0.78315789473684205</v>
      </c>
      <c r="P1273">
        <v>0.75918367346938775</v>
      </c>
      <c r="Q1273">
        <v>0.80869565217391304</v>
      </c>
      <c r="R1273" t="s">
        <v>60</v>
      </c>
      <c r="S1273" t="s">
        <v>2974</v>
      </c>
      <c r="T1273" t="s">
        <v>2975</v>
      </c>
      <c r="U1273" t="b">
        <v>0</v>
      </c>
      <c r="V1273" t="s">
        <v>63</v>
      </c>
      <c r="W1273">
        <v>236.8</v>
      </c>
    </row>
    <row r="1274" spans="1:23" hidden="1" x14ac:dyDescent="0.3">
      <c r="A1274" t="s">
        <v>2830</v>
      </c>
      <c r="B1274" t="s">
        <v>2831</v>
      </c>
      <c r="C1274" t="s">
        <v>29</v>
      </c>
      <c r="D1274" t="s">
        <v>18</v>
      </c>
      <c r="E1274" t="s">
        <v>19</v>
      </c>
      <c r="F1274" t="s">
        <v>363</v>
      </c>
      <c r="G1274" t="s">
        <v>426</v>
      </c>
      <c r="H1274" t="s">
        <v>365</v>
      </c>
      <c r="I1274" t="s">
        <v>13</v>
      </c>
      <c r="J1274" t="s">
        <v>427</v>
      </c>
      <c r="K1274" t="s">
        <v>428</v>
      </c>
      <c r="L1274" t="s">
        <v>368</v>
      </c>
      <c r="M1274">
        <v>54</v>
      </c>
      <c r="N1274" t="b">
        <v>0</v>
      </c>
      <c r="O1274">
        <v>0.79166666666666674</v>
      </c>
      <c r="P1274">
        <v>0.76</v>
      </c>
      <c r="Q1274">
        <v>0.82608695652173914</v>
      </c>
      <c r="R1274" t="s">
        <v>60</v>
      </c>
      <c r="S1274" t="s">
        <v>2976</v>
      </c>
      <c r="T1274" t="s">
        <v>2977</v>
      </c>
      <c r="U1274" t="b">
        <v>0</v>
      </c>
      <c r="V1274" t="s">
        <v>63</v>
      </c>
      <c r="W1274">
        <v>186.8</v>
      </c>
    </row>
    <row r="1275" spans="1:23" hidden="1" x14ac:dyDescent="0.3">
      <c r="A1275" t="s">
        <v>2830</v>
      </c>
      <c r="B1275" t="s">
        <v>2831</v>
      </c>
      <c r="C1275" t="s">
        <v>29</v>
      </c>
      <c r="D1275" t="s">
        <v>18</v>
      </c>
      <c r="E1275" t="s">
        <v>19</v>
      </c>
      <c r="F1275" t="s">
        <v>363</v>
      </c>
      <c r="G1275" t="s">
        <v>431</v>
      </c>
      <c r="H1275" t="s">
        <v>365</v>
      </c>
      <c r="I1275" t="s">
        <v>13</v>
      </c>
      <c r="J1275" t="s">
        <v>432</v>
      </c>
      <c r="K1275" t="s">
        <v>433</v>
      </c>
      <c r="L1275" t="s">
        <v>368</v>
      </c>
      <c r="M1275">
        <v>55</v>
      </c>
      <c r="N1275" t="b">
        <v>0</v>
      </c>
      <c r="O1275">
        <v>0.80425531914893622</v>
      </c>
      <c r="P1275">
        <v>0.78749999999999998</v>
      </c>
      <c r="Q1275">
        <v>0.82173913043478264</v>
      </c>
      <c r="R1275" t="s">
        <v>60</v>
      </c>
      <c r="S1275" t="s">
        <v>2978</v>
      </c>
      <c r="T1275" t="s">
        <v>2979</v>
      </c>
      <c r="U1275" t="b">
        <v>0</v>
      </c>
      <c r="V1275" t="s">
        <v>63</v>
      </c>
      <c r="W1275">
        <v>241.4</v>
      </c>
    </row>
    <row r="1276" spans="1:23" hidden="1" x14ac:dyDescent="0.3">
      <c r="A1276" t="s">
        <v>2830</v>
      </c>
      <c r="B1276" t="s">
        <v>2831</v>
      </c>
      <c r="C1276" t="s">
        <v>29</v>
      </c>
      <c r="D1276" t="s">
        <v>18</v>
      </c>
      <c r="E1276" t="s">
        <v>19</v>
      </c>
      <c r="F1276" t="s">
        <v>363</v>
      </c>
      <c r="G1276" t="s">
        <v>436</v>
      </c>
      <c r="H1276" t="s">
        <v>365</v>
      </c>
      <c r="I1276" t="s">
        <v>13</v>
      </c>
      <c r="J1276" t="s">
        <v>437</v>
      </c>
      <c r="K1276" t="s">
        <v>438</v>
      </c>
      <c r="L1276" t="s">
        <v>368</v>
      </c>
      <c r="M1276">
        <v>56</v>
      </c>
      <c r="N1276" t="b">
        <v>0</v>
      </c>
      <c r="O1276">
        <v>0.78242677824267781</v>
      </c>
      <c r="P1276">
        <v>0.75403225806451613</v>
      </c>
      <c r="Q1276">
        <v>0.81304347826086953</v>
      </c>
      <c r="R1276" t="s">
        <v>60</v>
      </c>
      <c r="S1276" t="s">
        <v>2980</v>
      </c>
      <c r="T1276" t="s">
        <v>2981</v>
      </c>
      <c r="U1276" t="b">
        <v>0</v>
      </c>
      <c r="V1276" t="s">
        <v>63</v>
      </c>
      <c r="W1276">
        <v>200.4</v>
      </c>
    </row>
    <row r="1277" spans="1:23" hidden="1" x14ac:dyDescent="0.3">
      <c r="A1277" t="s">
        <v>2830</v>
      </c>
      <c r="B1277" t="s">
        <v>2831</v>
      </c>
      <c r="C1277" t="s">
        <v>29</v>
      </c>
      <c r="D1277" t="s">
        <v>18</v>
      </c>
      <c r="E1277" t="s">
        <v>19</v>
      </c>
      <c r="F1277" t="s">
        <v>363</v>
      </c>
      <c r="G1277" t="s">
        <v>441</v>
      </c>
      <c r="H1277" t="s">
        <v>365</v>
      </c>
      <c r="I1277" t="s">
        <v>13</v>
      </c>
      <c r="J1277" t="s">
        <v>442</v>
      </c>
      <c r="K1277" t="s">
        <v>443</v>
      </c>
      <c r="L1277" t="s">
        <v>368</v>
      </c>
      <c r="M1277">
        <v>57</v>
      </c>
      <c r="N1277" t="b">
        <v>0</v>
      </c>
      <c r="O1277">
        <v>0.79324894514767941</v>
      </c>
      <c r="P1277">
        <v>0.77049180327868849</v>
      </c>
      <c r="Q1277">
        <v>0.81739130434782614</v>
      </c>
      <c r="R1277" t="s">
        <v>60</v>
      </c>
      <c r="S1277" t="s">
        <v>2982</v>
      </c>
      <c r="T1277" t="s">
        <v>2983</v>
      </c>
      <c r="U1277" t="b">
        <v>0</v>
      </c>
      <c r="V1277" t="s">
        <v>63</v>
      </c>
      <c r="W1277">
        <v>227.5</v>
      </c>
    </row>
    <row r="1278" spans="1:23" hidden="1" x14ac:dyDescent="0.3">
      <c r="A1278" t="s">
        <v>2830</v>
      </c>
      <c r="B1278" t="s">
        <v>2831</v>
      </c>
      <c r="C1278" t="s">
        <v>29</v>
      </c>
      <c r="D1278" t="s">
        <v>18</v>
      </c>
      <c r="E1278" t="s">
        <v>19</v>
      </c>
      <c r="F1278" t="s">
        <v>363</v>
      </c>
      <c r="G1278" t="s">
        <v>446</v>
      </c>
      <c r="H1278" t="s">
        <v>365</v>
      </c>
      <c r="I1278" t="s">
        <v>13</v>
      </c>
      <c r="J1278" t="s">
        <v>447</v>
      </c>
      <c r="K1278" t="s">
        <v>448</v>
      </c>
      <c r="L1278" t="s">
        <v>368</v>
      </c>
      <c r="M1278">
        <v>58</v>
      </c>
      <c r="N1278" t="b">
        <v>0</v>
      </c>
      <c r="O1278">
        <v>0.78315789473684205</v>
      </c>
      <c r="P1278">
        <v>0.75918367346938775</v>
      </c>
      <c r="Q1278">
        <v>0.80869565217391304</v>
      </c>
      <c r="R1278" t="s">
        <v>60</v>
      </c>
      <c r="S1278" t="s">
        <v>2984</v>
      </c>
      <c r="T1278" t="s">
        <v>2985</v>
      </c>
      <c r="U1278" t="b">
        <v>0</v>
      </c>
      <c r="V1278" t="s">
        <v>63</v>
      </c>
      <c r="W1278">
        <v>239.5</v>
      </c>
    </row>
    <row r="1279" spans="1:23" hidden="1" x14ac:dyDescent="0.3">
      <c r="A1279" t="s">
        <v>2830</v>
      </c>
      <c r="B1279" t="s">
        <v>2831</v>
      </c>
      <c r="C1279" t="s">
        <v>29</v>
      </c>
      <c r="D1279" t="s">
        <v>18</v>
      </c>
      <c r="E1279" t="s">
        <v>19</v>
      </c>
      <c r="F1279" t="s">
        <v>363</v>
      </c>
      <c r="G1279" t="s">
        <v>451</v>
      </c>
      <c r="H1279" t="s">
        <v>365</v>
      </c>
      <c r="I1279" t="s">
        <v>13</v>
      </c>
      <c r="J1279" t="s">
        <v>452</v>
      </c>
      <c r="K1279" t="s">
        <v>453</v>
      </c>
      <c r="L1279" t="s">
        <v>368</v>
      </c>
      <c r="M1279">
        <v>59</v>
      </c>
      <c r="N1279" t="b">
        <v>0</v>
      </c>
      <c r="O1279">
        <v>0.78170478170478175</v>
      </c>
      <c r="P1279">
        <v>0.74900398406374502</v>
      </c>
      <c r="Q1279">
        <v>0.81739130434782614</v>
      </c>
      <c r="R1279" t="s">
        <v>60</v>
      </c>
      <c r="S1279" t="s">
        <v>2986</v>
      </c>
      <c r="T1279" t="s">
        <v>2987</v>
      </c>
      <c r="U1279" t="b">
        <v>0</v>
      </c>
      <c r="V1279" t="s">
        <v>63</v>
      </c>
      <c r="W1279">
        <v>183.8</v>
      </c>
    </row>
    <row r="1280" spans="1:23" hidden="1" x14ac:dyDescent="0.3">
      <c r="A1280" t="s">
        <v>2830</v>
      </c>
      <c r="B1280" t="s">
        <v>2831</v>
      </c>
      <c r="C1280" t="s">
        <v>29</v>
      </c>
      <c r="D1280" t="s">
        <v>18</v>
      </c>
      <c r="E1280" t="s">
        <v>19</v>
      </c>
      <c r="F1280" t="s">
        <v>363</v>
      </c>
      <c r="G1280" t="s">
        <v>456</v>
      </c>
      <c r="H1280" t="s">
        <v>365</v>
      </c>
      <c r="I1280" t="s">
        <v>13</v>
      </c>
      <c r="J1280" t="s">
        <v>457</v>
      </c>
      <c r="K1280" t="s">
        <v>458</v>
      </c>
      <c r="L1280" t="s">
        <v>368</v>
      </c>
      <c r="M1280">
        <v>60</v>
      </c>
      <c r="N1280" t="b">
        <v>0</v>
      </c>
      <c r="O1280">
        <v>0.79069767441860461</v>
      </c>
      <c r="P1280">
        <v>0.76954732510288071</v>
      </c>
      <c r="Q1280">
        <v>0.81304347826086953</v>
      </c>
      <c r="R1280" t="s">
        <v>60</v>
      </c>
      <c r="S1280" t="s">
        <v>2988</v>
      </c>
      <c r="T1280" t="s">
        <v>2989</v>
      </c>
      <c r="U1280" t="b">
        <v>0</v>
      </c>
      <c r="V1280" t="s">
        <v>63</v>
      </c>
      <c r="W1280">
        <v>199.7</v>
      </c>
    </row>
    <row r="1281" spans="1:23" hidden="1" x14ac:dyDescent="0.3">
      <c r="A1281" t="s">
        <v>2830</v>
      </c>
      <c r="B1281" t="s">
        <v>2831</v>
      </c>
      <c r="C1281" t="s">
        <v>29</v>
      </c>
      <c r="D1281" t="s">
        <v>18</v>
      </c>
      <c r="E1281" t="s">
        <v>19</v>
      </c>
      <c r="F1281" t="s">
        <v>363</v>
      </c>
      <c r="G1281" t="s">
        <v>461</v>
      </c>
      <c r="H1281" t="s">
        <v>365</v>
      </c>
      <c r="I1281" t="s">
        <v>13</v>
      </c>
      <c r="J1281" t="s">
        <v>462</v>
      </c>
      <c r="K1281" t="s">
        <v>463</v>
      </c>
      <c r="L1281" t="s">
        <v>368</v>
      </c>
      <c r="M1281">
        <v>61</v>
      </c>
      <c r="N1281" t="b">
        <v>0</v>
      </c>
      <c r="O1281">
        <v>0.8</v>
      </c>
      <c r="P1281">
        <v>0.78333333333333333</v>
      </c>
      <c r="Q1281">
        <v>0.81739130434782614</v>
      </c>
      <c r="R1281" t="s">
        <v>60</v>
      </c>
      <c r="S1281" t="s">
        <v>2990</v>
      </c>
      <c r="T1281" t="s">
        <v>2991</v>
      </c>
      <c r="U1281" t="b">
        <v>0</v>
      </c>
      <c r="V1281" t="s">
        <v>63</v>
      </c>
      <c r="W1281">
        <v>209.1</v>
      </c>
    </row>
    <row r="1282" spans="1:23" hidden="1" x14ac:dyDescent="0.3">
      <c r="A1282" t="s">
        <v>2830</v>
      </c>
      <c r="B1282" t="s">
        <v>2831</v>
      </c>
      <c r="C1282" t="s">
        <v>29</v>
      </c>
      <c r="D1282" t="s">
        <v>18</v>
      </c>
      <c r="E1282" t="s">
        <v>19</v>
      </c>
      <c r="F1282" t="s">
        <v>363</v>
      </c>
      <c r="G1282" t="s">
        <v>466</v>
      </c>
      <c r="H1282" t="s">
        <v>467</v>
      </c>
      <c r="I1282" t="s">
        <v>9</v>
      </c>
      <c r="J1282" t="s">
        <v>468</v>
      </c>
      <c r="K1282" t="s">
        <v>469</v>
      </c>
      <c r="L1282" t="s">
        <v>470</v>
      </c>
      <c r="M1282">
        <v>42</v>
      </c>
      <c r="N1282" t="b">
        <v>0</v>
      </c>
      <c r="O1282">
        <v>0.78977272727272729</v>
      </c>
      <c r="P1282">
        <v>0.7595628415300546</v>
      </c>
      <c r="Q1282">
        <v>0.8224852071005917</v>
      </c>
      <c r="R1282" t="s">
        <v>60</v>
      </c>
      <c r="S1282" t="s">
        <v>2992</v>
      </c>
      <c r="T1282" t="s">
        <v>2993</v>
      </c>
      <c r="U1282" t="b">
        <v>0</v>
      </c>
      <c r="V1282" t="s">
        <v>63</v>
      </c>
      <c r="W1282">
        <v>211.8</v>
      </c>
    </row>
    <row r="1283" spans="1:23" hidden="1" x14ac:dyDescent="0.3">
      <c r="A1283" t="s">
        <v>2830</v>
      </c>
      <c r="B1283" t="s">
        <v>2831</v>
      </c>
      <c r="C1283" t="s">
        <v>29</v>
      </c>
      <c r="D1283" t="s">
        <v>18</v>
      </c>
      <c r="E1283" t="s">
        <v>19</v>
      </c>
      <c r="F1283" t="s">
        <v>363</v>
      </c>
      <c r="G1283" t="s">
        <v>473</v>
      </c>
      <c r="H1283" t="s">
        <v>467</v>
      </c>
      <c r="I1283" t="s">
        <v>9</v>
      </c>
      <c r="J1283" t="s">
        <v>474</v>
      </c>
      <c r="K1283" t="s">
        <v>475</v>
      </c>
      <c r="L1283" t="s">
        <v>470</v>
      </c>
      <c r="M1283">
        <v>43</v>
      </c>
      <c r="N1283" t="b">
        <v>0</v>
      </c>
      <c r="O1283">
        <v>0.80886426592797789</v>
      </c>
      <c r="P1283">
        <v>0.76041666666666663</v>
      </c>
      <c r="Q1283">
        <v>0.86390532544378695</v>
      </c>
      <c r="R1283" t="s">
        <v>60</v>
      </c>
      <c r="S1283" t="s">
        <v>2994</v>
      </c>
      <c r="T1283" t="s">
        <v>2995</v>
      </c>
      <c r="U1283" t="b">
        <v>0</v>
      </c>
      <c r="V1283" t="s">
        <v>63</v>
      </c>
      <c r="W1283">
        <v>198.9</v>
      </c>
    </row>
    <row r="1284" spans="1:23" hidden="1" x14ac:dyDescent="0.3">
      <c r="A1284" t="s">
        <v>2830</v>
      </c>
      <c r="B1284" t="s">
        <v>2831</v>
      </c>
      <c r="C1284" t="s">
        <v>29</v>
      </c>
      <c r="D1284" t="s">
        <v>18</v>
      </c>
      <c r="E1284" t="s">
        <v>19</v>
      </c>
      <c r="F1284" t="s">
        <v>363</v>
      </c>
      <c r="G1284" t="s">
        <v>478</v>
      </c>
      <c r="H1284" t="s">
        <v>467</v>
      </c>
      <c r="I1284" t="s">
        <v>9</v>
      </c>
      <c r="J1284" t="s">
        <v>479</v>
      </c>
      <c r="K1284" t="s">
        <v>480</v>
      </c>
      <c r="L1284" t="s">
        <v>470</v>
      </c>
      <c r="M1284">
        <v>44</v>
      </c>
      <c r="N1284" t="b">
        <v>0</v>
      </c>
      <c r="O1284">
        <v>0.78062678062678059</v>
      </c>
      <c r="P1284">
        <v>0.75274725274725274</v>
      </c>
      <c r="Q1284">
        <v>0.81065088757396453</v>
      </c>
      <c r="R1284" t="s">
        <v>60</v>
      </c>
      <c r="S1284" t="s">
        <v>2996</v>
      </c>
      <c r="T1284" t="s">
        <v>2997</v>
      </c>
      <c r="U1284" t="b">
        <v>0</v>
      </c>
      <c r="V1284" t="s">
        <v>63</v>
      </c>
      <c r="W1284">
        <v>171.8</v>
      </c>
    </row>
    <row r="1285" spans="1:23" hidden="1" x14ac:dyDescent="0.3">
      <c r="A1285" t="s">
        <v>2830</v>
      </c>
      <c r="B1285" t="s">
        <v>2831</v>
      </c>
      <c r="C1285" t="s">
        <v>29</v>
      </c>
      <c r="D1285" t="s">
        <v>18</v>
      </c>
      <c r="E1285" t="s">
        <v>19</v>
      </c>
      <c r="F1285" t="s">
        <v>363</v>
      </c>
      <c r="G1285" t="s">
        <v>483</v>
      </c>
      <c r="H1285" t="s">
        <v>467</v>
      </c>
      <c r="I1285" t="s">
        <v>9</v>
      </c>
      <c r="J1285" t="s">
        <v>484</v>
      </c>
      <c r="K1285" t="s">
        <v>485</v>
      </c>
      <c r="L1285" t="s">
        <v>470</v>
      </c>
      <c r="M1285">
        <v>45</v>
      </c>
      <c r="N1285" t="b">
        <v>0</v>
      </c>
      <c r="O1285">
        <v>0.80337078651685379</v>
      </c>
      <c r="P1285">
        <v>0.76470588235294112</v>
      </c>
      <c r="Q1285">
        <v>0.84615384615384615</v>
      </c>
      <c r="R1285" t="s">
        <v>60</v>
      </c>
      <c r="S1285" t="s">
        <v>2998</v>
      </c>
      <c r="T1285" t="s">
        <v>2999</v>
      </c>
      <c r="U1285" t="b">
        <v>0</v>
      </c>
      <c r="V1285" t="s">
        <v>63</v>
      </c>
      <c r="W1285">
        <v>199</v>
      </c>
    </row>
    <row r="1286" spans="1:23" hidden="1" x14ac:dyDescent="0.3">
      <c r="A1286" t="s">
        <v>2830</v>
      </c>
      <c r="B1286" t="s">
        <v>2831</v>
      </c>
      <c r="C1286" t="s">
        <v>29</v>
      </c>
      <c r="D1286" t="s">
        <v>18</v>
      </c>
      <c r="E1286" t="s">
        <v>19</v>
      </c>
      <c r="F1286" t="s">
        <v>363</v>
      </c>
      <c r="G1286" t="s">
        <v>488</v>
      </c>
      <c r="H1286" t="s">
        <v>467</v>
      </c>
      <c r="I1286" t="s">
        <v>9</v>
      </c>
      <c r="J1286" t="s">
        <v>489</v>
      </c>
      <c r="K1286" t="s">
        <v>490</v>
      </c>
      <c r="L1286" t="s">
        <v>470</v>
      </c>
      <c r="M1286">
        <v>46</v>
      </c>
      <c r="N1286" t="b">
        <v>0</v>
      </c>
      <c r="O1286">
        <v>0.79772079772079774</v>
      </c>
      <c r="P1286">
        <v>0.76923076923076927</v>
      </c>
      <c r="Q1286">
        <v>0.82840236686390534</v>
      </c>
      <c r="R1286" t="s">
        <v>60</v>
      </c>
      <c r="S1286" t="s">
        <v>3000</v>
      </c>
      <c r="T1286" t="s">
        <v>3001</v>
      </c>
      <c r="U1286" t="b">
        <v>0</v>
      </c>
      <c r="V1286" t="s">
        <v>63</v>
      </c>
      <c r="W1286">
        <v>186</v>
      </c>
    </row>
    <row r="1287" spans="1:23" hidden="1" x14ac:dyDescent="0.3">
      <c r="A1287" t="s">
        <v>2830</v>
      </c>
      <c r="B1287" t="s">
        <v>2831</v>
      </c>
      <c r="C1287" t="s">
        <v>29</v>
      </c>
      <c r="D1287" t="s">
        <v>18</v>
      </c>
      <c r="E1287" t="s">
        <v>19</v>
      </c>
      <c r="F1287" t="s">
        <v>363</v>
      </c>
      <c r="G1287" t="s">
        <v>493</v>
      </c>
      <c r="H1287" t="s">
        <v>467</v>
      </c>
      <c r="I1287" t="s">
        <v>9</v>
      </c>
      <c r="J1287" t="s">
        <v>494</v>
      </c>
      <c r="K1287" t="s">
        <v>495</v>
      </c>
      <c r="L1287" t="s">
        <v>470</v>
      </c>
      <c r="M1287">
        <v>47</v>
      </c>
      <c r="N1287" t="b">
        <v>0</v>
      </c>
      <c r="O1287">
        <v>0.78021978021978022</v>
      </c>
      <c r="P1287">
        <v>0.72820512820512817</v>
      </c>
      <c r="Q1287">
        <v>0.84023668639053251</v>
      </c>
      <c r="R1287" t="s">
        <v>60</v>
      </c>
      <c r="S1287" t="s">
        <v>3002</v>
      </c>
      <c r="T1287" t="s">
        <v>3003</v>
      </c>
      <c r="U1287" t="b">
        <v>0</v>
      </c>
      <c r="V1287" t="s">
        <v>63</v>
      </c>
      <c r="W1287">
        <v>200.3</v>
      </c>
    </row>
    <row r="1288" spans="1:23" hidden="1" x14ac:dyDescent="0.3">
      <c r="A1288" t="s">
        <v>2830</v>
      </c>
      <c r="B1288" t="s">
        <v>2831</v>
      </c>
      <c r="C1288" t="s">
        <v>29</v>
      </c>
      <c r="D1288" t="s">
        <v>18</v>
      </c>
      <c r="E1288" t="s">
        <v>19</v>
      </c>
      <c r="F1288" t="s">
        <v>363</v>
      </c>
      <c r="G1288" t="s">
        <v>498</v>
      </c>
      <c r="H1288" t="s">
        <v>467</v>
      </c>
      <c r="I1288" t="s">
        <v>9</v>
      </c>
      <c r="J1288" t="s">
        <v>499</v>
      </c>
      <c r="K1288" t="s">
        <v>500</v>
      </c>
      <c r="L1288" t="s">
        <v>470</v>
      </c>
      <c r="M1288">
        <v>48</v>
      </c>
      <c r="N1288" t="b">
        <v>0</v>
      </c>
      <c r="O1288">
        <v>0.78787878787878785</v>
      </c>
      <c r="P1288">
        <v>0.73711340206185572</v>
      </c>
      <c r="Q1288">
        <v>0.84615384615384615</v>
      </c>
      <c r="R1288" t="s">
        <v>60</v>
      </c>
      <c r="S1288" t="s">
        <v>3004</v>
      </c>
      <c r="T1288" t="s">
        <v>3005</v>
      </c>
      <c r="U1288" t="b">
        <v>0</v>
      </c>
      <c r="V1288" t="s">
        <v>63</v>
      </c>
      <c r="W1288">
        <v>172.4</v>
      </c>
    </row>
    <row r="1289" spans="1:23" hidden="1" x14ac:dyDescent="0.3">
      <c r="A1289" t="s">
        <v>2830</v>
      </c>
      <c r="B1289" t="s">
        <v>2831</v>
      </c>
      <c r="C1289" t="s">
        <v>29</v>
      </c>
      <c r="D1289" t="s">
        <v>18</v>
      </c>
      <c r="E1289" t="s">
        <v>19</v>
      </c>
      <c r="F1289" t="s">
        <v>363</v>
      </c>
      <c r="G1289" t="s">
        <v>503</v>
      </c>
      <c r="H1289" t="s">
        <v>467</v>
      </c>
      <c r="I1289" t="s">
        <v>9</v>
      </c>
      <c r="J1289" t="s">
        <v>504</v>
      </c>
      <c r="K1289" t="s">
        <v>505</v>
      </c>
      <c r="L1289" t="s">
        <v>470</v>
      </c>
      <c r="M1289">
        <v>49</v>
      </c>
      <c r="N1289" t="b">
        <v>0</v>
      </c>
      <c r="O1289">
        <v>0.78991596638655459</v>
      </c>
      <c r="P1289">
        <v>0.75</v>
      </c>
      <c r="Q1289">
        <v>0.83431952662721898</v>
      </c>
      <c r="R1289" t="s">
        <v>60</v>
      </c>
      <c r="S1289" t="s">
        <v>3006</v>
      </c>
      <c r="T1289" t="s">
        <v>3007</v>
      </c>
      <c r="U1289" t="b">
        <v>0</v>
      </c>
      <c r="V1289" t="s">
        <v>63</v>
      </c>
      <c r="W1289">
        <v>226.3</v>
      </c>
    </row>
    <row r="1290" spans="1:23" hidden="1" x14ac:dyDescent="0.3">
      <c r="A1290" t="s">
        <v>2830</v>
      </c>
      <c r="B1290" t="s">
        <v>2831</v>
      </c>
      <c r="C1290" t="s">
        <v>29</v>
      </c>
      <c r="D1290" t="s">
        <v>18</v>
      </c>
      <c r="E1290" t="s">
        <v>19</v>
      </c>
      <c r="F1290" t="s">
        <v>363</v>
      </c>
      <c r="G1290" t="s">
        <v>508</v>
      </c>
      <c r="H1290" t="s">
        <v>467</v>
      </c>
      <c r="I1290" t="s">
        <v>9</v>
      </c>
      <c r="J1290" t="s">
        <v>509</v>
      </c>
      <c r="K1290" t="s">
        <v>510</v>
      </c>
      <c r="L1290" t="s">
        <v>470</v>
      </c>
      <c r="M1290">
        <v>50</v>
      </c>
      <c r="N1290" t="b">
        <v>0</v>
      </c>
      <c r="O1290">
        <v>0.81564245810055858</v>
      </c>
      <c r="P1290">
        <v>0.77248677248677244</v>
      </c>
      <c r="Q1290">
        <v>0.86390532544378695</v>
      </c>
      <c r="R1290" t="s">
        <v>60</v>
      </c>
      <c r="S1290" t="s">
        <v>3008</v>
      </c>
      <c r="T1290" t="s">
        <v>3009</v>
      </c>
      <c r="U1290" t="b">
        <v>0</v>
      </c>
      <c r="V1290" t="s">
        <v>63</v>
      </c>
      <c r="W1290">
        <v>172.6</v>
      </c>
    </row>
    <row r="1291" spans="1:23" hidden="1" x14ac:dyDescent="0.3">
      <c r="A1291" t="s">
        <v>2830</v>
      </c>
      <c r="B1291" t="s">
        <v>2831</v>
      </c>
      <c r="C1291" t="s">
        <v>29</v>
      </c>
      <c r="D1291" t="s">
        <v>18</v>
      </c>
      <c r="E1291" t="s">
        <v>19</v>
      </c>
      <c r="F1291" t="s">
        <v>363</v>
      </c>
      <c r="G1291" t="s">
        <v>513</v>
      </c>
      <c r="H1291" t="s">
        <v>467</v>
      </c>
      <c r="I1291" t="s">
        <v>9</v>
      </c>
      <c r="J1291" t="s">
        <v>514</v>
      </c>
      <c r="K1291" t="s">
        <v>515</v>
      </c>
      <c r="L1291" t="s">
        <v>470</v>
      </c>
      <c r="M1291">
        <v>51</v>
      </c>
      <c r="N1291" t="b">
        <v>0</v>
      </c>
      <c r="O1291">
        <v>0.79999999999999982</v>
      </c>
      <c r="P1291">
        <v>0.76344086021505375</v>
      </c>
      <c r="Q1291">
        <v>0.84023668639053251</v>
      </c>
      <c r="R1291" t="s">
        <v>60</v>
      </c>
      <c r="S1291" t="s">
        <v>3010</v>
      </c>
      <c r="T1291" t="s">
        <v>3011</v>
      </c>
      <c r="U1291" t="b">
        <v>0</v>
      </c>
      <c r="V1291" t="s">
        <v>63</v>
      </c>
      <c r="W1291">
        <v>172.2</v>
      </c>
    </row>
    <row r="1292" spans="1:23" hidden="1" x14ac:dyDescent="0.3">
      <c r="A1292" t="s">
        <v>2830</v>
      </c>
      <c r="B1292" t="s">
        <v>2831</v>
      </c>
      <c r="C1292" t="s">
        <v>29</v>
      </c>
      <c r="D1292" t="s">
        <v>18</v>
      </c>
      <c r="E1292" t="s">
        <v>19</v>
      </c>
      <c r="F1292" t="s">
        <v>363</v>
      </c>
      <c r="G1292" t="s">
        <v>518</v>
      </c>
      <c r="H1292" t="s">
        <v>467</v>
      </c>
      <c r="I1292" t="s">
        <v>9</v>
      </c>
      <c r="J1292" t="s">
        <v>519</v>
      </c>
      <c r="K1292" t="s">
        <v>520</v>
      </c>
      <c r="L1292" t="s">
        <v>470</v>
      </c>
      <c r="M1292">
        <v>52</v>
      </c>
      <c r="N1292" t="b">
        <v>0</v>
      </c>
      <c r="O1292">
        <v>0.76454293628808856</v>
      </c>
      <c r="P1292">
        <v>0.71875</v>
      </c>
      <c r="Q1292">
        <v>0.81656804733727806</v>
      </c>
      <c r="R1292" t="s">
        <v>60</v>
      </c>
      <c r="S1292" t="s">
        <v>3012</v>
      </c>
      <c r="T1292" t="s">
        <v>3013</v>
      </c>
      <c r="U1292" t="b">
        <v>0</v>
      </c>
      <c r="V1292" t="s">
        <v>63</v>
      </c>
      <c r="W1292">
        <v>198.3</v>
      </c>
    </row>
    <row r="1293" spans="1:23" hidden="1" x14ac:dyDescent="0.3">
      <c r="A1293" t="s">
        <v>2830</v>
      </c>
      <c r="B1293" t="s">
        <v>2831</v>
      </c>
      <c r="C1293" t="s">
        <v>29</v>
      </c>
      <c r="D1293" t="s">
        <v>18</v>
      </c>
      <c r="E1293" t="s">
        <v>19</v>
      </c>
      <c r="F1293" t="s">
        <v>363</v>
      </c>
      <c r="G1293" t="s">
        <v>523</v>
      </c>
      <c r="H1293" t="s">
        <v>467</v>
      </c>
      <c r="I1293" t="s">
        <v>9</v>
      </c>
      <c r="J1293" t="s">
        <v>524</v>
      </c>
      <c r="K1293" t="s">
        <v>525</v>
      </c>
      <c r="L1293" t="s">
        <v>470</v>
      </c>
      <c r="M1293">
        <v>53</v>
      </c>
      <c r="N1293" t="b">
        <v>0</v>
      </c>
      <c r="O1293">
        <v>0.79551820728291323</v>
      </c>
      <c r="P1293">
        <v>0.75531914893617025</v>
      </c>
      <c r="Q1293">
        <v>0.84023668639053251</v>
      </c>
      <c r="R1293" t="s">
        <v>60</v>
      </c>
      <c r="S1293" t="s">
        <v>3014</v>
      </c>
      <c r="T1293" t="s">
        <v>3015</v>
      </c>
      <c r="U1293" t="b">
        <v>0</v>
      </c>
      <c r="V1293" t="s">
        <v>63</v>
      </c>
      <c r="W1293">
        <v>170.5</v>
      </c>
    </row>
    <row r="1294" spans="1:23" hidden="1" x14ac:dyDescent="0.3">
      <c r="A1294" t="s">
        <v>2830</v>
      </c>
      <c r="B1294" t="s">
        <v>2831</v>
      </c>
      <c r="C1294" t="s">
        <v>29</v>
      </c>
      <c r="D1294" t="s">
        <v>18</v>
      </c>
      <c r="E1294" t="s">
        <v>19</v>
      </c>
      <c r="F1294" t="s">
        <v>363</v>
      </c>
      <c r="G1294" t="s">
        <v>528</v>
      </c>
      <c r="H1294" t="s">
        <v>467</v>
      </c>
      <c r="I1294" t="s">
        <v>9</v>
      </c>
      <c r="J1294" t="s">
        <v>529</v>
      </c>
      <c r="K1294" t="s">
        <v>530</v>
      </c>
      <c r="L1294" t="s">
        <v>470</v>
      </c>
      <c r="M1294">
        <v>54</v>
      </c>
      <c r="N1294" t="b">
        <v>0</v>
      </c>
      <c r="O1294">
        <v>0.7988826815642458</v>
      </c>
      <c r="P1294">
        <v>0.75661375661375663</v>
      </c>
      <c r="Q1294">
        <v>0.84615384615384615</v>
      </c>
      <c r="R1294" t="s">
        <v>60</v>
      </c>
      <c r="S1294" t="s">
        <v>3016</v>
      </c>
      <c r="T1294" t="s">
        <v>3017</v>
      </c>
      <c r="U1294" t="b">
        <v>0</v>
      </c>
      <c r="V1294" t="s">
        <v>63</v>
      </c>
      <c r="W1294">
        <v>225.7</v>
      </c>
    </row>
    <row r="1295" spans="1:23" hidden="1" x14ac:dyDescent="0.3">
      <c r="A1295" t="s">
        <v>2830</v>
      </c>
      <c r="B1295" t="s">
        <v>2831</v>
      </c>
      <c r="C1295" t="s">
        <v>29</v>
      </c>
      <c r="D1295" t="s">
        <v>18</v>
      </c>
      <c r="E1295" t="s">
        <v>19</v>
      </c>
      <c r="F1295" t="s">
        <v>363</v>
      </c>
      <c r="G1295" t="s">
        <v>533</v>
      </c>
      <c r="H1295" t="s">
        <v>467</v>
      </c>
      <c r="I1295" t="s">
        <v>9</v>
      </c>
      <c r="J1295" t="s">
        <v>534</v>
      </c>
      <c r="K1295" t="s">
        <v>535</v>
      </c>
      <c r="L1295" t="s">
        <v>470</v>
      </c>
      <c r="M1295">
        <v>55</v>
      </c>
      <c r="N1295" t="b">
        <v>0</v>
      </c>
      <c r="O1295">
        <v>0.82386363636363646</v>
      </c>
      <c r="P1295">
        <v>0.79234972677595628</v>
      </c>
      <c r="Q1295">
        <v>0.85798816568047342</v>
      </c>
      <c r="R1295" t="s">
        <v>60</v>
      </c>
      <c r="S1295" t="s">
        <v>3018</v>
      </c>
      <c r="T1295" t="s">
        <v>3019</v>
      </c>
      <c r="U1295" t="b">
        <v>0</v>
      </c>
      <c r="V1295" t="s">
        <v>63</v>
      </c>
      <c r="W1295">
        <v>213.6</v>
      </c>
    </row>
    <row r="1296" spans="1:23" hidden="1" x14ac:dyDescent="0.3">
      <c r="A1296" t="s">
        <v>2830</v>
      </c>
      <c r="B1296" t="s">
        <v>2831</v>
      </c>
      <c r="C1296" t="s">
        <v>29</v>
      </c>
      <c r="D1296" t="s">
        <v>18</v>
      </c>
      <c r="E1296" t="s">
        <v>19</v>
      </c>
      <c r="F1296" t="s">
        <v>363</v>
      </c>
      <c r="G1296" t="s">
        <v>538</v>
      </c>
      <c r="H1296" t="s">
        <v>467</v>
      </c>
      <c r="I1296" t="s">
        <v>9</v>
      </c>
      <c r="J1296" t="s">
        <v>539</v>
      </c>
      <c r="K1296" t="s">
        <v>540</v>
      </c>
      <c r="L1296" t="s">
        <v>470</v>
      </c>
      <c r="M1296">
        <v>56</v>
      </c>
      <c r="N1296" t="b">
        <v>0</v>
      </c>
      <c r="O1296">
        <v>0.79999999999999982</v>
      </c>
      <c r="P1296">
        <v>0.76344086021505375</v>
      </c>
      <c r="Q1296">
        <v>0.84023668639053251</v>
      </c>
      <c r="R1296" t="s">
        <v>60</v>
      </c>
      <c r="S1296" t="s">
        <v>3020</v>
      </c>
      <c r="T1296" t="s">
        <v>3021</v>
      </c>
      <c r="U1296" t="b">
        <v>0</v>
      </c>
      <c r="V1296" t="s">
        <v>63</v>
      </c>
      <c r="W1296">
        <v>241.1</v>
      </c>
    </row>
    <row r="1297" spans="1:23" hidden="1" x14ac:dyDescent="0.3">
      <c r="A1297" t="s">
        <v>2830</v>
      </c>
      <c r="B1297" t="s">
        <v>2831</v>
      </c>
      <c r="C1297" t="s">
        <v>29</v>
      </c>
      <c r="D1297" t="s">
        <v>18</v>
      </c>
      <c r="E1297" t="s">
        <v>19</v>
      </c>
      <c r="F1297" t="s">
        <v>363</v>
      </c>
      <c r="G1297" t="s">
        <v>543</v>
      </c>
      <c r="H1297" t="s">
        <v>467</v>
      </c>
      <c r="I1297" t="s">
        <v>9</v>
      </c>
      <c r="J1297" t="s">
        <v>544</v>
      </c>
      <c r="K1297" t="s">
        <v>545</v>
      </c>
      <c r="L1297" t="s">
        <v>470</v>
      </c>
      <c r="M1297">
        <v>57</v>
      </c>
      <c r="N1297" t="b">
        <v>0</v>
      </c>
      <c r="O1297">
        <v>0.80691642651296835</v>
      </c>
      <c r="P1297">
        <v>0.7865168539325843</v>
      </c>
      <c r="Q1297">
        <v>0.82840236686390534</v>
      </c>
      <c r="R1297" t="s">
        <v>60</v>
      </c>
      <c r="S1297" t="s">
        <v>3022</v>
      </c>
      <c r="T1297" t="s">
        <v>3023</v>
      </c>
      <c r="U1297" t="b">
        <v>0</v>
      </c>
      <c r="V1297" t="s">
        <v>63</v>
      </c>
      <c r="W1297">
        <v>172.5</v>
      </c>
    </row>
    <row r="1298" spans="1:23" hidden="1" x14ac:dyDescent="0.3">
      <c r="A1298" t="s">
        <v>2830</v>
      </c>
      <c r="B1298" t="s">
        <v>2831</v>
      </c>
      <c r="C1298" t="s">
        <v>29</v>
      </c>
      <c r="D1298" t="s">
        <v>18</v>
      </c>
      <c r="E1298" t="s">
        <v>19</v>
      </c>
      <c r="F1298" t="s">
        <v>363</v>
      </c>
      <c r="G1298" t="s">
        <v>548</v>
      </c>
      <c r="H1298" t="s">
        <v>467</v>
      </c>
      <c r="I1298" t="s">
        <v>9</v>
      </c>
      <c r="J1298" t="s">
        <v>549</v>
      </c>
      <c r="K1298" t="s">
        <v>550</v>
      </c>
      <c r="L1298" t="s">
        <v>470</v>
      </c>
      <c r="M1298">
        <v>58</v>
      </c>
      <c r="N1298" t="b">
        <v>0</v>
      </c>
      <c r="O1298">
        <v>0.77717391304347827</v>
      </c>
      <c r="P1298">
        <v>0.71859296482412061</v>
      </c>
      <c r="Q1298">
        <v>0.84615384615384615</v>
      </c>
      <c r="R1298" t="s">
        <v>60</v>
      </c>
      <c r="S1298" t="s">
        <v>3024</v>
      </c>
      <c r="T1298" t="s">
        <v>3025</v>
      </c>
      <c r="U1298" t="b">
        <v>0</v>
      </c>
      <c r="V1298" t="s">
        <v>63</v>
      </c>
      <c r="W1298">
        <v>183.8</v>
      </c>
    </row>
    <row r="1299" spans="1:23" hidden="1" x14ac:dyDescent="0.3">
      <c r="A1299" t="s">
        <v>2830</v>
      </c>
      <c r="B1299" t="s">
        <v>2831</v>
      </c>
      <c r="C1299" t="s">
        <v>29</v>
      </c>
      <c r="D1299" t="s">
        <v>18</v>
      </c>
      <c r="E1299" t="s">
        <v>19</v>
      </c>
      <c r="F1299" t="s">
        <v>363</v>
      </c>
      <c r="G1299" t="s">
        <v>553</v>
      </c>
      <c r="H1299" t="s">
        <v>467</v>
      </c>
      <c r="I1299" t="s">
        <v>9</v>
      </c>
      <c r="J1299" t="s">
        <v>554</v>
      </c>
      <c r="K1299" t="s">
        <v>555</v>
      </c>
      <c r="L1299" t="s">
        <v>470</v>
      </c>
      <c r="M1299">
        <v>59</v>
      </c>
      <c r="N1299" t="b">
        <v>0</v>
      </c>
      <c r="O1299">
        <v>0.79444444444444451</v>
      </c>
      <c r="P1299">
        <v>0.74869109947643975</v>
      </c>
      <c r="Q1299">
        <v>0.84615384615384615</v>
      </c>
      <c r="R1299" t="s">
        <v>60</v>
      </c>
      <c r="S1299" t="s">
        <v>3026</v>
      </c>
      <c r="T1299" t="s">
        <v>3027</v>
      </c>
      <c r="U1299" t="b">
        <v>0</v>
      </c>
      <c r="V1299" t="s">
        <v>63</v>
      </c>
      <c r="W1299">
        <v>198.5</v>
      </c>
    </row>
    <row r="1300" spans="1:23" hidden="1" x14ac:dyDescent="0.3">
      <c r="A1300" t="s">
        <v>2830</v>
      </c>
      <c r="B1300" t="s">
        <v>2831</v>
      </c>
      <c r="C1300" t="s">
        <v>29</v>
      </c>
      <c r="D1300" t="s">
        <v>18</v>
      </c>
      <c r="E1300" t="s">
        <v>19</v>
      </c>
      <c r="F1300" t="s">
        <v>363</v>
      </c>
      <c r="G1300" t="s">
        <v>558</v>
      </c>
      <c r="H1300" t="s">
        <v>467</v>
      </c>
      <c r="I1300" t="s">
        <v>9</v>
      </c>
      <c r="J1300" t="s">
        <v>559</v>
      </c>
      <c r="K1300" t="s">
        <v>560</v>
      </c>
      <c r="L1300" t="s">
        <v>470</v>
      </c>
      <c r="M1300">
        <v>60</v>
      </c>
      <c r="N1300" t="b">
        <v>0</v>
      </c>
      <c r="O1300">
        <v>0.80110497237569056</v>
      </c>
      <c r="P1300">
        <v>0.75129533678756477</v>
      </c>
      <c r="Q1300">
        <v>0.85798816568047342</v>
      </c>
      <c r="R1300" t="s">
        <v>60</v>
      </c>
      <c r="S1300" t="s">
        <v>3028</v>
      </c>
      <c r="T1300" t="s">
        <v>3029</v>
      </c>
      <c r="U1300" t="b">
        <v>0</v>
      </c>
      <c r="V1300" t="s">
        <v>63</v>
      </c>
      <c r="W1300">
        <v>200.8</v>
      </c>
    </row>
    <row r="1301" spans="1:23" hidden="1" x14ac:dyDescent="0.3">
      <c r="A1301" t="s">
        <v>2830</v>
      </c>
      <c r="B1301" t="s">
        <v>2831</v>
      </c>
      <c r="C1301" t="s">
        <v>29</v>
      </c>
      <c r="D1301" t="s">
        <v>18</v>
      </c>
      <c r="E1301" t="s">
        <v>19</v>
      </c>
      <c r="F1301" t="s">
        <v>363</v>
      </c>
      <c r="G1301" t="s">
        <v>563</v>
      </c>
      <c r="H1301" t="s">
        <v>467</v>
      </c>
      <c r="I1301" t="s">
        <v>9</v>
      </c>
      <c r="J1301" t="s">
        <v>564</v>
      </c>
      <c r="K1301" t="s">
        <v>565</v>
      </c>
      <c r="L1301" t="s">
        <v>470</v>
      </c>
      <c r="M1301">
        <v>61</v>
      </c>
      <c r="N1301" t="b">
        <v>0</v>
      </c>
      <c r="O1301">
        <v>0.81894150417827294</v>
      </c>
      <c r="P1301">
        <v>0.77368421052631575</v>
      </c>
      <c r="Q1301">
        <v>0.86982248520710059</v>
      </c>
      <c r="R1301" t="s">
        <v>60</v>
      </c>
      <c r="S1301" t="s">
        <v>3030</v>
      </c>
      <c r="T1301" t="s">
        <v>3031</v>
      </c>
      <c r="U1301" t="b">
        <v>0</v>
      </c>
      <c r="V1301" t="s">
        <v>63</v>
      </c>
      <c r="W1301">
        <v>173.2</v>
      </c>
    </row>
    <row r="1302" spans="1:23" hidden="1" x14ac:dyDescent="0.3">
      <c r="A1302" t="s">
        <v>2830</v>
      </c>
      <c r="B1302" t="s">
        <v>2831</v>
      </c>
      <c r="C1302" t="s">
        <v>29</v>
      </c>
      <c r="D1302" t="s">
        <v>18</v>
      </c>
      <c r="E1302" t="s">
        <v>19</v>
      </c>
      <c r="F1302" t="s">
        <v>363</v>
      </c>
      <c r="G1302" t="s">
        <v>568</v>
      </c>
      <c r="H1302" t="s">
        <v>569</v>
      </c>
      <c r="I1302" t="s">
        <v>11</v>
      </c>
      <c r="J1302" t="s">
        <v>570</v>
      </c>
      <c r="K1302" t="s">
        <v>571</v>
      </c>
      <c r="L1302" t="s">
        <v>572</v>
      </c>
      <c r="M1302">
        <v>42</v>
      </c>
      <c r="N1302" t="b">
        <v>0</v>
      </c>
      <c r="O1302">
        <v>0.82959641255605376</v>
      </c>
      <c r="P1302">
        <v>0.8258928571428571</v>
      </c>
      <c r="Q1302">
        <v>0.83333333333333337</v>
      </c>
      <c r="R1302" t="s">
        <v>60</v>
      </c>
      <c r="S1302" t="s">
        <v>3032</v>
      </c>
      <c r="T1302" t="s">
        <v>3033</v>
      </c>
      <c r="U1302" t="b">
        <v>0</v>
      </c>
      <c r="V1302" t="s">
        <v>63</v>
      </c>
      <c r="W1302">
        <v>222.3</v>
      </c>
    </row>
    <row r="1303" spans="1:23" hidden="1" x14ac:dyDescent="0.3">
      <c r="A1303" t="s">
        <v>2830</v>
      </c>
      <c r="B1303" t="s">
        <v>2831</v>
      </c>
      <c r="C1303" t="s">
        <v>29</v>
      </c>
      <c r="D1303" t="s">
        <v>18</v>
      </c>
      <c r="E1303" t="s">
        <v>19</v>
      </c>
      <c r="F1303" t="s">
        <v>363</v>
      </c>
      <c r="G1303" t="s">
        <v>575</v>
      </c>
      <c r="H1303" t="s">
        <v>569</v>
      </c>
      <c r="I1303" t="s">
        <v>11</v>
      </c>
      <c r="J1303" t="s">
        <v>576</v>
      </c>
      <c r="K1303" t="s">
        <v>577</v>
      </c>
      <c r="L1303" t="s">
        <v>572</v>
      </c>
      <c r="M1303">
        <v>43</v>
      </c>
      <c r="N1303" t="b">
        <v>0</v>
      </c>
      <c r="O1303">
        <v>0.81333333333333346</v>
      </c>
      <c r="P1303">
        <v>0.80263157894736847</v>
      </c>
      <c r="Q1303">
        <v>0.82432432432432434</v>
      </c>
      <c r="R1303" t="s">
        <v>60</v>
      </c>
      <c r="S1303" t="s">
        <v>3034</v>
      </c>
      <c r="T1303" t="s">
        <v>3035</v>
      </c>
      <c r="U1303" t="b">
        <v>0</v>
      </c>
      <c r="V1303" t="s">
        <v>63</v>
      </c>
      <c r="W1303">
        <v>234.2</v>
      </c>
    </row>
    <row r="1304" spans="1:23" hidden="1" x14ac:dyDescent="0.3">
      <c r="A1304" t="s">
        <v>2830</v>
      </c>
      <c r="B1304" t="s">
        <v>2831</v>
      </c>
      <c r="C1304" t="s">
        <v>29</v>
      </c>
      <c r="D1304" t="s">
        <v>18</v>
      </c>
      <c r="E1304" t="s">
        <v>19</v>
      </c>
      <c r="F1304" t="s">
        <v>363</v>
      </c>
      <c r="G1304" t="s">
        <v>580</v>
      </c>
      <c r="H1304" t="s">
        <v>569</v>
      </c>
      <c r="I1304" t="s">
        <v>11</v>
      </c>
      <c r="J1304" t="s">
        <v>581</v>
      </c>
      <c r="K1304" t="s">
        <v>582</v>
      </c>
      <c r="L1304" t="s">
        <v>572</v>
      </c>
      <c r="M1304">
        <v>44</v>
      </c>
      <c r="N1304" t="b">
        <v>0</v>
      </c>
      <c r="O1304">
        <v>0.8355555555555555</v>
      </c>
      <c r="P1304">
        <v>0.82456140350877194</v>
      </c>
      <c r="Q1304">
        <v>0.84684684684684686</v>
      </c>
      <c r="R1304" t="s">
        <v>60</v>
      </c>
      <c r="S1304" t="s">
        <v>3036</v>
      </c>
      <c r="T1304" t="s">
        <v>3037</v>
      </c>
      <c r="U1304" t="b">
        <v>0</v>
      </c>
      <c r="V1304" t="s">
        <v>63</v>
      </c>
      <c r="W1304">
        <v>169.5</v>
      </c>
    </row>
    <row r="1305" spans="1:23" hidden="1" x14ac:dyDescent="0.3">
      <c r="A1305" t="s">
        <v>2830</v>
      </c>
      <c r="B1305" t="s">
        <v>2831</v>
      </c>
      <c r="C1305" t="s">
        <v>29</v>
      </c>
      <c r="D1305" t="s">
        <v>18</v>
      </c>
      <c r="E1305" t="s">
        <v>19</v>
      </c>
      <c r="F1305" t="s">
        <v>363</v>
      </c>
      <c r="G1305" t="s">
        <v>585</v>
      </c>
      <c r="H1305" t="s">
        <v>569</v>
      </c>
      <c r="I1305" t="s">
        <v>11</v>
      </c>
      <c r="J1305" t="s">
        <v>586</v>
      </c>
      <c r="K1305" t="s">
        <v>587</v>
      </c>
      <c r="L1305" t="s">
        <v>572</v>
      </c>
      <c r="M1305">
        <v>45</v>
      </c>
      <c r="N1305" t="b">
        <v>0</v>
      </c>
      <c r="O1305">
        <v>0.82850779510022277</v>
      </c>
      <c r="P1305">
        <v>0.81938325991189431</v>
      </c>
      <c r="Q1305">
        <v>0.83783783783783783</v>
      </c>
      <c r="R1305" t="s">
        <v>60</v>
      </c>
      <c r="S1305" t="s">
        <v>3038</v>
      </c>
      <c r="T1305" t="s">
        <v>3039</v>
      </c>
      <c r="U1305" t="b">
        <v>0</v>
      </c>
      <c r="V1305" t="s">
        <v>63</v>
      </c>
      <c r="W1305">
        <v>183.5</v>
      </c>
    </row>
    <row r="1306" spans="1:23" hidden="1" x14ac:dyDescent="0.3">
      <c r="A1306" t="s">
        <v>2830</v>
      </c>
      <c r="B1306" t="s">
        <v>2831</v>
      </c>
      <c r="C1306" t="s">
        <v>29</v>
      </c>
      <c r="D1306" t="s">
        <v>18</v>
      </c>
      <c r="E1306" t="s">
        <v>19</v>
      </c>
      <c r="F1306" t="s">
        <v>363</v>
      </c>
      <c r="G1306" t="s">
        <v>590</v>
      </c>
      <c r="H1306" t="s">
        <v>569</v>
      </c>
      <c r="I1306" t="s">
        <v>11</v>
      </c>
      <c r="J1306" t="s">
        <v>591</v>
      </c>
      <c r="K1306" t="s">
        <v>592</v>
      </c>
      <c r="L1306" t="s">
        <v>572</v>
      </c>
      <c r="M1306">
        <v>46</v>
      </c>
      <c r="N1306" t="b">
        <v>0</v>
      </c>
      <c r="O1306">
        <v>0.80973451327433632</v>
      </c>
      <c r="P1306">
        <v>0.79565217391304344</v>
      </c>
      <c r="Q1306">
        <v>0.82432432432432434</v>
      </c>
      <c r="R1306" t="s">
        <v>60</v>
      </c>
      <c r="S1306" t="s">
        <v>3040</v>
      </c>
      <c r="T1306" t="s">
        <v>3041</v>
      </c>
      <c r="U1306" t="b">
        <v>0</v>
      </c>
      <c r="V1306" t="s">
        <v>63</v>
      </c>
      <c r="W1306">
        <v>186.2</v>
      </c>
    </row>
    <row r="1307" spans="1:23" hidden="1" x14ac:dyDescent="0.3">
      <c r="A1307" t="s">
        <v>2830</v>
      </c>
      <c r="B1307" t="s">
        <v>2831</v>
      </c>
      <c r="C1307" t="s">
        <v>29</v>
      </c>
      <c r="D1307" t="s">
        <v>18</v>
      </c>
      <c r="E1307" t="s">
        <v>19</v>
      </c>
      <c r="F1307" t="s">
        <v>363</v>
      </c>
      <c r="G1307" t="s">
        <v>595</v>
      </c>
      <c r="H1307" t="s">
        <v>569</v>
      </c>
      <c r="I1307" t="s">
        <v>11</v>
      </c>
      <c r="J1307" t="s">
        <v>596</v>
      </c>
      <c r="K1307" t="s">
        <v>597</v>
      </c>
      <c r="L1307" t="s">
        <v>572</v>
      </c>
      <c r="M1307">
        <v>47</v>
      </c>
      <c r="N1307" t="b">
        <v>0</v>
      </c>
      <c r="O1307">
        <v>0.81838074398249461</v>
      </c>
      <c r="P1307">
        <v>0.79574468085106387</v>
      </c>
      <c r="Q1307">
        <v>0.84234234234234229</v>
      </c>
      <c r="R1307" t="s">
        <v>60</v>
      </c>
      <c r="S1307" t="s">
        <v>3042</v>
      </c>
      <c r="T1307" t="s">
        <v>3043</v>
      </c>
      <c r="U1307" t="b">
        <v>0</v>
      </c>
      <c r="V1307" t="s">
        <v>63</v>
      </c>
      <c r="W1307">
        <v>194.3</v>
      </c>
    </row>
    <row r="1308" spans="1:23" hidden="1" x14ac:dyDescent="0.3">
      <c r="A1308" t="s">
        <v>2830</v>
      </c>
      <c r="B1308" t="s">
        <v>2831</v>
      </c>
      <c r="C1308" t="s">
        <v>29</v>
      </c>
      <c r="D1308" t="s">
        <v>18</v>
      </c>
      <c r="E1308" t="s">
        <v>19</v>
      </c>
      <c r="F1308" t="s">
        <v>363</v>
      </c>
      <c r="G1308" t="s">
        <v>600</v>
      </c>
      <c r="H1308" t="s">
        <v>569</v>
      </c>
      <c r="I1308" t="s">
        <v>11</v>
      </c>
      <c r="J1308" t="s">
        <v>601</v>
      </c>
      <c r="K1308" t="s">
        <v>602</v>
      </c>
      <c r="L1308" t="s">
        <v>572</v>
      </c>
      <c r="M1308">
        <v>48</v>
      </c>
      <c r="N1308" t="b">
        <v>0</v>
      </c>
      <c r="O1308">
        <v>0.82894736842105265</v>
      </c>
      <c r="P1308">
        <v>0.80769230769230771</v>
      </c>
      <c r="Q1308">
        <v>0.85135135135135132</v>
      </c>
      <c r="R1308" t="s">
        <v>60</v>
      </c>
      <c r="S1308" t="s">
        <v>3044</v>
      </c>
      <c r="T1308" t="s">
        <v>3045</v>
      </c>
      <c r="U1308" t="b">
        <v>0</v>
      </c>
      <c r="V1308" t="s">
        <v>63</v>
      </c>
      <c r="W1308">
        <v>233.4</v>
      </c>
    </row>
    <row r="1309" spans="1:23" hidden="1" x14ac:dyDescent="0.3">
      <c r="A1309" t="s">
        <v>2830</v>
      </c>
      <c r="B1309" t="s">
        <v>2831</v>
      </c>
      <c r="C1309" t="s">
        <v>29</v>
      </c>
      <c r="D1309" t="s">
        <v>18</v>
      </c>
      <c r="E1309" t="s">
        <v>19</v>
      </c>
      <c r="F1309" t="s">
        <v>363</v>
      </c>
      <c r="G1309" t="s">
        <v>605</v>
      </c>
      <c r="H1309" t="s">
        <v>569</v>
      </c>
      <c r="I1309" t="s">
        <v>11</v>
      </c>
      <c r="J1309" t="s">
        <v>606</v>
      </c>
      <c r="K1309" t="s">
        <v>607</v>
      </c>
      <c r="L1309" t="s">
        <v>572</v>
      </c>
      <c r="M1309">
        <v>49</v>
      </c>
      <c r="N1309" t="b">
        <v>0</v>
      </c>
      <c r="O1309">
        <v>0.82300884955752207</v>
      </c>
      <c r="P1309">
        <v>0.80869565217391304</v>
      </c>
      <c r="Q1309">
        <v>0.83783783783783783</v>
      </c>
      <c r="R1309" t="s">
        <v>60</v>
      </c>
      <c r="S1309" t="s">
        <v>3046</v>
      </c>
      <c r="T1309" t="s">
        <v>3047</v>
      </c>
      <c r="U1309" t="b">
        <v>0</v>
      </c>
      <c r="V1309" t="s">
        <v>63</v>
      </c>
      <c r="W1309">
        <v>220.4</v>
      </c>
    </row>
    <row r="1310" spans="1:23" hidden="1" x14ac:dyDescent="0.3">
      <c r="A1310" t="s">
        <v>2830</v>
      </c>
      <c r="B1310" t="s">
        <v>2831</v>
      </c>
      <c r="C1310" t="s">
        <v>29</v>
      </c>
      <c r="D1310" t="s">
        <v>18</v>
      </c>
      <c r="E1310" t="s">
        <v>19</v>
      </c>
      <c r="F1310" t="s">
        <v>363</v>
      </c>
      <c r="G1310" t="s">
        <v>610</v>
      </c>
      <c r="H1310" t="s">
        <v>569</v>
      </c>
      <c r="I1310" t="s">
        <v>11</v>
      </c>
      <c r="J1310" t="s">
        <v>611</v>
      </c>
      <c r="K1310" t="s">
        <v>612</v>
      </c>
      <c r="L1310" t="s">
        <v>572</v>
      </c>
      <c r="M1310">
        <v>50</v>
      </c>
      <c r="N1310" t="b">
        <v>0</v>
      </c>
      <c r="O1310">
        <v>0.81333333333333346</v>
      </c>
      <c r="P1310">
        <v>0.80263157894736847</v>
      </c>
      <c r="Q1310">
        <v>0.82432432432432434</v>
      </c>
      <c r="R1310" t="s">
        <v>60</v>
      </c>
      <c r="S1310" t="s">
        <v>3048</v>
      </c>
      <c r="T1310" t="s">
        <v>3049</v>
      </c>
      <c r="U1310" t="b">
        <v>0</v>
      </c>
      <c r="V1310" t="s">
        <v>63</v>
      </c>
      <c r="W1310">
        <v>221</v>
      </c>
    </row>
    <row r="1311" spans="1:23" hidden="1" x14ac:dyDescent="0.3">
      <c r="A1311" t="s">
        <v>2830</v>
      </c>
      <c r="B1311" t="s">
        <v>2831</v>
      </c>
      <c r="C1311" t="s">
        <v>29</v>
      </c>
      <c r="D1311" t="s">
        <v>18</v>
      </c>
      <c r="E1311" t="s">
        <v>19</v>
      </c>
      <c r="F1311" t="s">
        <v>363</v>
      </c>
      <c r="G1311" t="s">
        <v>615</v>
      </c>
      <c r="H1311" t="s">
        <v>569</v>
      </c>
      <c r="I1311" t="s">
        <v>11</v>
      </c>
      <c r="J1311" t="s">
        <v>616</v>
      </c>
      <c r="K1311" t="s">
        <v>617</v>
      </c>
      <c r="L1311" t="s">
        <v>572</v>
      </c>
      <c r="M1311">
        <v>51</v>
      </c>
      <c r="N1311" t="b">
        <v>0</v>
      </c>
      <c r="O1311">
        <v>0.81415929203539827</v>
      </c>
      <c r="P1311">
        <v>0.8</v>
      </c>
      <c r="Q1311">
        <v>0.8288288288288288</v>
      </c>
      <c r="R1311" t="s">
        <v>60</v>
      </c>
      <c r="S1311" t="s">
        <v>3050</v>
      </c>
      <c r="T1311" t="s">
        <v>3051</v>
      </c>
      <c r="U1311" t="b">
        <v>0</v>
      </c>
      <c r="V1311" t="s">
        <v>63</v>
      </c>
      <c r="W1311">
        <v>220.4</v>
      </c>
    </row>
    <row r="1312" spans="1:23" hidden="1" x14ac:dyDescent="0.3">
      <c r="A1312" t="s">
        <v>2830</v>
      </c>
      <c r="B1312" t="s">
        <v>2831</v>
      </c>
      <c r="C1312" t="s">
        <v>29</v>
      </c>
      <c r="D1312" t="s">
        <v>18</v>
      </c>
      <c r="E1312" t="s">
        <v>19</v>
      </c>
      <c r="F1312" t="s">
        <v>363</v>
      </c>
      <c r="G1312" t="s">
        <v>620</v>
      </c>
      <c r="H1312" t="s">
        <v>569</v>
      </c>
      <c r="I1312" t="s">
        <v>11</v>
      </c>
      <c r="J1312" t="s">
        <v>621</v>
      </c>
      <c r="K1312" t="s">
        <v>622</v>
      </c>
      <c r="L1312" t="s">
        <v>572</v>
      </c>
      <c r="M1312">
        <v>52</v>
      </c>
      <c r="N1312" t="b">
        <v>0</v>
      </c>
      <c r="O1312">
        <v>0.8258928571428571</v>
      </c>
      <c r="P1312">
        <v>0.81858407079646023</v>
      </c>
      <c r="Q1312">
        <v>0.83333333333333337</v>
      </c>
      <c r="R1312" t="s">
        <v>60</v>
      </c>
      <c r="S1312" t="s">
        <v>3052</v>
      </c>
      <c r="T1312" t="s">
        <v>3053</v>
      </c>
      <c r="U1312" t="b">
        <v>0</v>
      </c>
      <c r="V1312" t="s">
        <v>63</v>
      </c>
      <c r="W1312">
        <v>220.4</v>
      </c>
    </row>
    <row r="1313" spans="1:23" hidden="1" x14ac:dyDescent="0.3">
      <c r="A1313" t="s">
        <v>2830</v>
      </c>
      <c r="B1313" t="s">
        <v>2831</v>
      </c>
      <c r="C1313" t="s">
        <v>29</v>
      </c>
      <c r="D1313" t="s">
        <v>18</v>
      </c>
      <c r="E1313" t="s">
        <v>19</v>
      </c>
      <c r="F1313" t="s">
        <v>363</v>
      </c>
      <c r="G1313" t="s">
        <v>625</v>
      </c>
      <c r="H1313" t="s">
        <v>569</v>
      </c>
      <c r="I1313" t="s">
        <v>11</v>
      </c>
      <c r="J1313" t="s">
        <v>626</v>
      </c>
      <c r="K1313" t="s">
        <v>627</v>
      </c>
      <c r="L1313" t="s">
        <v>572</v>
      </c>
      <c r="M1313">
        <v>53</v>
      </c>
      <c r="N1313" t="b">
        <v>0</v>
      </c>
      <c r="O1313">
        <v>0.81677704194260492</v>
      </c>
      <c r="P1313">
        <v>0.80086580086580084</v>
      </c>
      <c r="Q1313">
        <v>0.83333333333333337</v>
      </c>
      <c r="R1313" t="s">
        <v>60</v>
      </c>
      <c r="S1313" t="s">
        <v>3054</v>
      </c>
      <c r="T1313" t="s">
        <v>3055</v>
      </c>
      <c r="U1313" t="b">
        <v>0</v>
      </c>
      <c r="V1313" t="s">
        <v>63</v>
      </c>
      <c r="W1313">
        <v>233</v>
      </c>
    </row>
    <row r="1314" spans="1:23" hidden="1" x14ac:dyDescent="0.3">
      <c r="A1314" t="s">
        <v>2830</v>
      </c>
      <c r="B1314" t="s">
        <v>2831</v>
      </c>
      <c r="C1314" t="s">
        <v>29</v>
      </c>
      <c r="D1314" t="s">
        <v>18</v>
      </c>
      <c r="E1314" t="s">
        <v>19</v>
      </c>
      <c r="F1314" t="s">
        <v>363</v>
      </c>
      <c r="G1314" t="s">
        <v>630</v>
      </c>
      <c r="H1314" t="s">
        <v>569</v>
      </c>
      <c r="I1314" t="s">
        <v>11</v>
      </c>
      <c r="J1314" t="s">
        <v>631</v>
      </c>
      <c r="K1314" t="s">
        <v>632</v>
      </c>
      <c r="L1314" t="s">
        <v>572</v>
      </c>
      <c r="M1314">
        <v>54</v>
      </c>
      <c r="N1314" t="b">
        <v>0</v>
      </c>
      <c r="O1314">
        <v>0.81938325991189431</v>
      </c>
      <c r="P1314">
        <v>0.80172413793103448</v>
      </c>
      <c r="Q1314">
        <v>0.83783783783783783</v>
      </c>
      <c r="R1314" t="s">
        <v>60</v>
      </c>
      <c r="S1314" t="s">
        <v>3056</v>
      </c>
      <c r="T1314" t="s">
        <v>3057</v>
      </c>
      <c r="U1314" t="b">
        <v>0</v>
      </c>
      <c r="V1314" t="s">
        <v>63</v>
      </c>
      <c r="W1314">
        <v>192.9</v>
      </c>
    </row>
    <row r="1315" spans="1:23" hidden="1" x14ac:dyDescent="0.3">
      <c r="A1315" t="s">
        <v>2830</v>
      </c>
      <c r="B1315" t="s">
        <v>2831</v>
      </c>
      <c r="C1315" t="s">
        <v>29</v>
      </c>
      <c r="D1315" t="s">
        <v>18</v>
      </c>
      <c r="E1315" t="s">
        <v>19</v>
      </c>
      <c r="F1315" t="s">
        <v>363</v>
      </c>
      <c r="G1315" t="s">
        <v>635</v>
      </c>
      <c r="H1315" t="s">
        <v>569</v>
      </c>
      <c r="I1315" t="s">
        <v>11</v>
      </c>
      <c r="J1315" t="s">
        <v>636</v>
      </c>
      <c r="K1315" t="s">
        <v>637</v>
      </c>
      <c r="L1315" t="s">
        <v>572</v>
      </c>
      <c r="M1315">
        <v>55</v>
      </c>
      <c r="N1315" t="b">
        <v>0</v>
      </c>
      <c r="O1315">
        <v>0.8318584070796462</v>
      </c>
      <c r="P1315">
        <v>0.81739130434782614</v>
      </c>
      <c r="Q1315">
        <v>0.84684684684684686</v>
      </c>
      <c r="R1315" t="s">
        <v>60</v>
      </c>
      <c r="S1315" t="s">
        <v>3058</v>
      </c>
      <c r="T1315" t="s">
        <v>3059</v>
      </c>
      <c r="U1315" t="b">
        <v>0</v>
      </c>
      <c r="V1315" t="s">
        <v>63</v>
      </c>
      <c r="W1315">
        <v>233.5</v>
      </c>
    </row>
    <row r="1316" spans="1:23" hidden="1" x14ac:dyDescent="0.3">
      <c r="A1316" t="s">
        <v>2830</v>
      </c>
      <c r="B1316" t="s">
        <v>2831</v>
      </c>
      <c r="C1316" t="s">
        <v>29</v>
      </c>
      <c r="D1316" t="s">
        <v>18</v>
      </c>
      <c r="E1316" t="s">
        <v>19</v>
      </c>
      <c r="F1316" t="s">
        <v>363</v>
      </c>
      <c r="G1316" t="s">
        <v>640</v>
      </c>
      <c r="H1316" t="s">
        <v>569</v>
      </c>
      <c r="I1316" t="s">
        <v>11</v>
      </c>
      <c r="J1316" t="s">
        <v>641</v>
      </c>
      <c r="K1316" t="s">
        <v>642</v>
      </c>
      <c r="L1316" t="s">
        <v>572</v>
      </c>
      <c r="M1316">
        <v>56</v>
      </c>
      <c r="N1316" t="b">
        <v>0</v>
      </c>
      <c r="O1316">
        <v>0.82142857142857151</v>
      </c>
      <c r="P1316">
        <v>0.81415929203539827</v>
      </c>
      <c r="Q1316">
        <v>0.8288288288288288</v>
      </c>
      <c r="R1316" t="s">
        <v>60</v>
      </c>
      <c r="S1316" t="s">
        <v>3060</v>
      </c>
      <c r="T1316" t="s">
        <v>3061</v>
      </c>
      <c r="U1316" t="b">
        <v>0</v>
      </c>
      <c r="V1316" t="s">
        <v>63</v>
      </c>
      <c r="W1316">
        <v>195.3</v>
      </c>
    </row>
    <row r="1317" spans="1:23" hidden="1" x14ac:dyDescent="0.3">
      <c r="A1317" t="s">
        <v>2830</v>
      </c>
      <c r="B1317" t="s">
        <v>2831</v>
      </c>
      <c r="C1317" t="s">
        <v>29</v>
      </c>
      <c r="D1317" t="s">
        <v>18</v>
      </c>
      <c r="E1317" t="s">
        <v>19</v>
      </c>
      <c r="F1317" t="s">
        <v>363</v>
      </c>
      <c r="G1317" t="s">
        <v>645</v>
      </c>
      <c r="H1317" t="s">
        <v>569</v>
      </c>
      <c r="I1317" t="s">
        <v>11</v>
      </c>
      <c r="J1317" t="s">
        <v>646</v>
      </c>
      <c r="K1317" t="s">
        <v>647</v>
      </c>
      <c r="L1317" t="s">
        <v>572</v>
      </c>
      <c r="M1317">
        <v>57</v>
      </c>
      <c r="N1317" t="b">
        <v>0</v>
      </c>
      <c r="O1317">
        <v>0.8169642857142857</v>
      </c>
      <c r="P1317">
        <v>0.80973451327433632</v>
      </c>
      <c r="Q1317">
        <v>0.82432432432432434</v>
      </c>
      <c r="R1317" t="s">
        <v>60</v>
      </c>
      <c r="S1317" t="s">
        <v>3062</v>
      </c>
      <c r="T1317" t="s">
        <v>3063</v>
      </c>
      <c r="U1317" t="b">
        <v>0</v>
      </c>
      <c r="V1317" t="s">
        <v>63</v>
      </c>
      <c r="W1317">
        <v>181.5</v>
      </c>
    </row>
    <row r="1318" spans="1:23" hidden="1" x14ac:dyDescent="0.3">
      <c r="A1318" t="s">
        <v>2830</v>
      </c>
      <c r="B1318" t="s">
        <v>2831</v>
      </c>
      <c r="C1318" t="s">
        <v>29</v>
      </c>
      <c r="D1318" t="s">
        <v>18</v>
      </c>
      <c r="E1318" t="s">
        <v>19</v>
      </c>
      <c r="F1318" t="s">
        <v>363</v>
      </c>
      <c r="G1318" t="s">
        <v>650</v>
      </c>
      <c r="H1318" t="s">
        <v>569</v>
      </c>
      <c r="I1318" t="s">
        <v>11</v>
      </c>
      <c r="J1318" t="s">
        <v>651</v>
      </c>
      <c r="K1318" t="s">
        <v>652</v>
      </c>
      <c r="L1318" t="s">
        <v>572</v>
      </c>
      <c r="M1318">
        <v>58</v>
      </c>
      <c r="N1318" t="b">
        <v>0</v>
      </c>
      <c r="O1318">
        <v>0.81415929203539827</v>
      </c>
      <c r="P1318">
        <v>0.8</v>
      </c>
      <c r="Q1318">
        <v>0.8288288288288288</v>
      </c>
      <c r="R1318" t="s">
        <v>60</v>
      </c>
      <c r="S1318" t="s">
        <v>3064</v>
      </c>
      <c r="T1318" t="s">
        <v>3065</v>
      </c>
      <c r="U1318" t="b">
        <v>0</v>
      </c>
      <c r="V1318" t="s">
        <v>63</v>
      </c>
      <c r="W1318">
        <v>234.8</v>
      </c>
    </row>
    <row r="1319" spans="1:23" hidden="1" x14ac:dyDescent="0.3">
      <c r="A1319" t="s">
        <v>2830</v>
      </c>
      <c r="B1319" t="s">
        <v>2831</v>
      </c>
      <c r="C1319" t="s">
        <v>29</v>
      </c>
      <c r="D1319" t="s">
        <v>18</v>
      </c>
      <c r="E1319" t="s">
        <v>19</v>
      </c>
      <c r="F1319" t="s">
        <v>363</v>
      </c>
      <c r="G1319" t="s">
        <v>655</v>
      </c>
      <c r="H1319" t="s">
        <v>569</v>
      </c>
      <c r="I1319" t="s">
        <v>11</v>
      </c>
      <c r="J1319" t="s">
        <v>656</v>
      </c>
      <c r="K1319" t="s">
        <v>657</v>
      </c>
      <c r="L1319" t="s">
        <v>572</v>
      </c>
      <c r="M1319">
        <v>59</v>
      </c>
      <c r="N1319" t="b">
        <v>0</v>
      </c>
      <c r="O1319">
        <v>0.80260303687635581</v>
      </c>
      <c r="P1319">
        <v>0.77405857740585771</v>
      </c>
      <c r="Q1319">
        <v>0.83333333333333337</v>
      </c>
      <c r="R1319" t="s">
        <v>60</v>
      </c>
      <c r="S1319" t="s">
        <v>3066</v>
      </c>
      <c r="T1319" t="s">
        <v>3067</v>
      </c>
      <c r="U1319" t="b">
        <v>0</v>
      </c>
      <c r="V1319" t="s">
        <v>63</v>
      </c>
      <c r="W1319">
        <v>247.7</v>
      </c>
    </row>
    <row r="1320" spans="1:23" hidden="1" x14ac:dyDescent="0.3">
      <c r="A1320" t="s">
        <v>2830</v>
      </c>
      <c r="B1320" t="s">
        <v>2831</v>
      </c>
      <c r="C1320" t="s">
        <v>29</v>
      </c>
      <c r="D1320" t="s">
        <v>18</v>
      </c>
      <c r="E1320" t="s">
        <v>19</v>
      </c>
      <c r="F1320" t="s">
        <v>363</v>
      </c>
      <c r="G1320" t="s">
        <v>660</v>
      </c>
      <c r="H1320" t="s">
        <v>569</v>
      </c>
      <c r="I1320" t="s">
        <v>11</v>
      </c>
      <c r="J1320" t="s">
        <v>661</v>
      </c>
      <c r="K1320" t="s">
        <v>662</v>
      </c>
      <c r="L1320" t="s">
        <v>572</v>
      </c>
      <c r="M1320">
        <v>60</v>
      </c>
      <c r="N1320" t="b">
        <v>0</v>
      </c>
      <c r="O1320">
        <v>0.82926829268292679</v>
      </c>
      <c r="P1320">
        <v>0.81659388646288211</v>
      </c>
      <c r="Q1320">
        <v>0.84234234234234229</v>
      </c>
      <c r="R1320" t="s">
        <v>60</v>
      </c>
      <c r="S1320" t="s">
        <v>3068</v>
      </c>
      <c r="T1320" t="s">
        <v>3069</v>
      </c>
      <c r="U1320" t="b">
        <v>0</v>
      </c>
      <c r="V1320" t="s">
        <v>63</v>
      </c>
      <c r="W1320">
        <v>229.8</v>
      </c>
    </row>
    <row r="1321" spans="1:23" hidden="1" x14ac:dyDescent="0.3">
      <c r="A1321" t="s">
        <v>2830</v>
      </c>
      <c r="B1321" t="s">
        <v>2831</v>
      </c>
      <c r="C1321" t="s">
        <v>29</v>
      </c>
      <c r="D1321" t="s">
        <v>18</v>
      </c>
      <c r="E1321" t="s">
        <v>19</v>
      </c>
      <c r="F1321" t="s">
        <v>363</v>
      </c>
      <c r="G1321" t="s">
        <v>665</v>
      </c>
      <c r="H1321" t="s">
        <v>569</v>
      </c>
      <c r="I1321" t="s">
        <v>11</v>
      </c>
      <c r="J1321" t="s">
        <v>666</v>
      </c>
      <c r="K1321" t="s">
        <v>667</v>
      </c>
      <c r="L1321" t="s">
        <v>572</v>
      </c>
      <c r="M1321">
        <v>61</v>
      </c>
      <c r="N1321" t="b">
        <v>0</v>
      </c>
      <c r="O1321">
        <v>0.83370288248337032</v>
      </c>
      <c r="P1321">
        <v>0.82096069868995636</v>
      </c>
      <c r="Q1321">
        <v>0.84684684684684686</v>
      </c>
      <c r="R1321" t="s">
        <v>60</v>
      </c>
      <c r="S1321" t="s">
        <v>3070</v>
      </c>
      <c r="T1321" t="s">
        <v>3071</v>
      </c>
      <c r="U1321" t="b">
        <v>0</v>
      </c>
      <c r="V1321" t="s">
        <v>63</v>
      </c>
      <c r="W1321">
        <v>229.6</v>
      </c>
    </row>
    <row r="1322" spans="1:23" hidden="1" x14ac:dyDescent="0.3">
      <c r="A1322" t="s">
        <v>2830</v>
      </c>
      <c r="B1322" t="s">
        <v>2831</v>
      </c>
      <c r="C1322" t="s">
        <v>29</v>
      </c>
      <c r="D1322" t="s">
        <v>20</v>
      </c>
      <c r="E1322" t="s">
        <v>21</v>
      </c>
      <c r="F1322" t="s">
        <v>54</v>
      </c>
      <c r="G1322" t="s">
        <v>55</v>
      </c>
      <c r="H1322" t="s">
        <v>56</v>
      </c>
      <c r="I1322" t="s">
        <v>7</v>
      </c>
      <c r="J1322" t="s">
        <v>57</v>
      </c>
      <c r="K1322" t="s">
        <v>58</v>
      </c>
      <c r="L1322" t="s">
        <v>59</v>
      </c>
      <c r="M1322">
        <v>42</v>
      </c>
      <c r="N1322" t="b">
        <v>1</v>
      </c>
      <c r="O1322">
        <v>0.77707006369426745</v>
      </c>
      <c r="R1322" t="s">
        <v>670</v>
      </c>
      <c r="S1322" t="s">
        <v>3072</v>
      </c>
      <c r="T1322" t="s">
        <v>3073</v>
      </c>
      <c r="U1322" t="b">
        <v>1</v>
      </c>
      <c r="V1322" t="s">
        <v>63</v>
      </c>
      <c r="W1322">
        <v>1.8</v>
      </c>
    </row>
    <row r="1323" spans="1:23" hidden="1" x14ac:dyDescent="0.3">
      <c r="A1323" t="s">
        <v>2830</v>
      </c>
      <c r="B1323" t="s">
        <v>2831</v>
      </c>
      <c r="C1323" t="s">
        <v>29</v>
      </c>
      <c r="D1323" t="s">
        <v>20</v>
      </c>
      <c r="E1323" t="s">
        <v>21</v>
      </c>
      <c r="F1323" t="s">
        <v>54</v>
      </c>
      <c r="G1323" t="s">
        <v>64</v>
      </c>
      <c r="H1323" t="s">
        <v>56</v>
      </c>
      <c r="I1323" t="s">
        <v>7</v>
      </c>
      <c r="J1323" t="s">
        <v>65</v>
      </c>
      <c r="K1323" t="s">
        <v>66</v>
      </c>
      <c r="L1323" t="s">
        <v>59</v>
      </c>
      <c r="M1323">
        <v>43</v>
      </c>
      <c r="N1323" t="b">
        <v>1</v>
      </c>
      <c r="O1323">
        <v>0.71610169491525433</v>
      </c>
      <c r="R1323" t="s">
        <v>670</v>
      </c>
      <c r="S1323" t="s">
        <v>3074</v>
      </c>
      <c r="T1323" t="s">
        <v>3075</v>
      </c>
      <c r="U1323" t="b">
        <v>1</v>
      </c>
      <c r="V1323" t="s">
        <v>63</v>
      </c>
      <c r="W1323">
        <v>0.7</v>
      </c>
    </row>
    <row r="1324" spans="1:23" hidden="1" x14ac:dyDescent="0.3">
      <c r="A1324" t="s">
        <v>2830</v>
      </c>
      <c r="B1324" t="s">
        <v>2831</v>
      </c>
      <c r="C1324" t="s">
        <v>29</v>
      </c>
      <c r="D1324" t="s">
        <v>20</v>
      </c>
      <c r="E1324" t="s">
        <v>21</v>
      </c>
      <c r="F1324" t="s">
        <v>54</v>
      </c>
      <c r="G1324" t="s">
        <v>69</v>
      </c>
      <c r="H1324" t="s">
        <v>56</v>
      </c>
      <c r="I1324" t="s">
        <v>7</v>
      </c>
      <c r="J1324" t="s">
        <v>70</v>
      </c>
      <c r="K1324" t="s">
        <v>71</v>
      </c>
      <c r="L1324" t="s">
        <v>59</v>
      </c>
      <c r="M1324">
        <v>44</v>
      </c>
      <c r="N1324" t="b">
        <v>1</v>
      </c>
      <c r="O1324">
        <v>0.773218142548596</v>
      </c>
      <c r="R1324" t="s">
        <v>670</v>
      </c>
      <c r="S1324" t="s">
        <v>3076</v>
      </c>
      <c r="T1324" t="s">
        <v>3077</v>
      </c>
      <c r="U1324" t="b">
        <v>1</v>
      </c>
      <c r="V1324" t="s">
        <v>63</v>
      </c>
      <c r="W1324">
        <v>1.2</v>
      </c>
    </row>
    <row r="1325" spans="1:23" hidden="1" x14ac:dyDescent="0.3">
      <c r="A1325" t="s">
        <v>2830</v>
      </c>
      <c r="B1325" t="s">
        <v>2831</v>
      </c>
      <c r="C1325" t="s">
        <v>29</v>
      </c>
      <c r="D1325" t="s">
        <v>20</v>
      </c>
      <c r="E1325" t="s">
        <v>21</v>
      </c>
      <c r="F1325" t="s">
        <v>54</v>
      </c>
      <c r="G1325" t="s">
        <v>74</v>
      </c>
      <c r="H1325" t="s">
        <v>56</v>
      </c>
      <c r="I1325" t="s">
        <v>7</v>
      </c>
      <c r="J1325" t="s">
        <v>75</v>
      </c>
      <c r="K1325" t="s">
        <v>76</v>
      </c>
      <c r="L1325" t="s">
        <v>59</v>
      </c>
      <c r="M1325">
        <v>45</v>
      </c>
      <c r="N1325" t="b">
        <v>1</v>
      </c>
      <c r="O1325">
        <v>0.73939393939393938</v>
      </c>
      <c r="R1325" t="s">
        <v>670</v>
      </c>
      <c r="S1325" t="s">
        <v>3078</v>
      </c>
      <c r="T1325" t="s">
        <v>3079</v>
      </c>
      <c r="U1325" t="b">
        <v>1</v>
      </c>
      <c r="V1325" t="s">
        <v>63</v>
      </c>
      <c r="W1325">
        <v>0.6</v>
      </c>
    </row>
    <row r="1326" spans="1:23" hidden="1" x14ac:dyDescent="0.3">
      <c r="A1326" t="s">
        <v>2830</v>
      </c>
      <c r="B1326" t="s">
        <v>2831</v>
      </c>
      <c r="C1326" t="s">
        <v>29</v>
      </c>
      <c r="D1326" t="s">
        <v>20</v>
      </c>
      <c r="E1326" t="s">
        <v>21</v>
      </c>
      <c r="F1326" t="s">
        <v>54</v>
      </c>
      <c r="G1326" t="s">
        <v>79</v>
      </c>
      <c r="H1326" t="s">
        <v>56</v>
      </c>
      <c r="I1326" t="s">
        <v>7</v>
      </c>
      <c r="J1326" t="s">
        <v>80</v>
      </c>
      <c r="K1326" t="s">
        <v>81</v>
      </c>
      <c r="L1326" t="s">
        <v>59</v>
      </c>
      <c r="M1326">
        <v>46</v>
      </c>
      <c r="N1326" t="b">
        <v>1</v>
      </c>
      <c r="O1326">
        <v>0.7366167023554604</v>
      </c>
      <c r="R1326" t="s">
        <v>670</v>
      </c>
      <c r="S1326" t="s">
        <v>3080</v>
      </c>
      <c r="T1326" t="s">
        <v>3081</v>
      </c>
      <c r="U1326" t="b">
        <v>1</v>
      </c>
      <c r="V1326" t="s">
        <v>63</v>
      </c>
      <c r="W1326">
        <v>0.6</v>
      </c>
    </row>
    <row r="1327" spans="1:23" hidden="1" x14ac:dyDescent="0.3">
      <c r="A1327" t="s">
        <v>2830</v>
      </c>
      <c r="B1327" t="s">
        <v>2831</v>
      </c>
      <c r="C1327" t="s">
        <v>29</v>
      </c>
      <c r="D1327" t="s">
        <v>20</v>
      </c>
      <c r="E1327" t="s">
        <v>21</v>
      </c>
      <c r="F1327" t="s">
        <v>54</v>
      </c>
      <c r="G1327" t="s">
        <v>84</v>
      </c>
      <c r="H1327" t="s">
        <v>56</v>
      </c>
      <c r="I1327" t="s">
        <v>7</v>
      </c>
      <c r="J1327" t="s">
        <v>85</v>
      </c>
      <c r="K1327" t="s">
        <v>86</v>
      </c>
      <c r="L1327" t="s">
        <v>59</v>
      </c>
      <c r="M1327">
        <v>47</v>
      </c>
      <c r="N1327" t="b">
        <v>1</v>
      </c>
      <c r="O1327">
        <v>0.7295081967213114</v>
      </c>
      <c r="R1327" t="s">
        <v>670</v>
      </c>
      <c r="S1327" t="s">
        <v>3082</v>
      </c>
      <c r="T1327" t="s">
        <v>3083</v>
      </c>
      <c r="U1327" t="b">
        <v>1</v>
      </c>
      <c r="V1327" t="s">
        <v>63</v>
      </c>
      <c r="W1327">
        <v>0.8</v>
      </c>
    </row>
    <row r="1328" spans="1:23" hidden="1" x14ac:dyDescent="0.3">
      <c r="A1328" t="s">
        <v>2830</v>
      </c>
      <c r="B1328" t="s">
        <v>2831</v>
      </c>
      <c r="C1328" t="s">
        <v>29</v>
      </c>
      <c r="D1328" t="s">
        <v>20</v>
      </c>
      <c r="E1328" t="s">
        <v>21</v>
      </c>
      <c r="F1328" t="s">
        <v>54</v>
      </c>
      <c r="G1328" t="s">
        <v>89</v>
      </c>
      <c r="H1328" t="s">
        <v>56</v>
      </c>
      <c r="I1328" t="s">
        <v>7</v>
      </c>
      <c r="J1328" t="s">
        <v>90</v>
      </c>
      <c r="K1328" t="s">
        <v>91</v>
      </c>
      <c r="L1328" t="s">
        <v>59</v>
      </c>
      <c r="M1328">
        <v>48</v>
      </c>
      <c r="N1328" t="b">
        <v>1</v>
      </c>
      <c r="O1328">
        <v>0.74028629856850714</v>
      </c>
      <c r="R1328" t="s">
        <v>670</v>
      </c>
      <c r="S1328" t="s">
        <v>3084</v>
      </c>
      <c r="T1328" t="s">
        <v>3085</v>
      </c>
      <c r="U1328" t="b">
        <v>1</v>
      </c>
      <c r="V1328" t="s">
        <v>63</v>
      </c>
      <c r="W1328">
        <v>0.6</v>
      </c>
    </row>
    <row r="1329" spans="1:23" hidden="1" x14ac:dyDescent="0.3">
      <c r="A1329" t="s">
        <v>2830</v>
      </c>
      <c r="B1329" t="s">
        <v>2831</v>
      </c>
      <c r="C1329" t="s">
        <v>29</v>
      </c>
      <c r="D1329" t="s">
        <v>20</v>
      </c>
      <c r="E1329" t="s">
        <v>21</v>
      </c>
      <c r="F1329" t="s">
        <v>54</v>
      </c>
      <c r="G1329" t="s">
        <v>94</v>
      </c>
      <c r="H1329" t="s">
        <v>56</v>
      </c>
      <c r="I1329" t="s">
        <v>7</v>
      </c>
      <c r="J1329" t="s">
        <v>95</v>
      </c>
      <c r="K1329" t="s">
        <v>96</v>
      </c>
      <c r="L1329" t="s">
        <v>59</v>
      </c>
      <c r="M1329">
        <v>49</v>
      </c>
      <c r="N1329" t="b">
        <v>1</v>
      </c>
      <c r="O1329">
        <v>0.72323232323232334</v>
      </c>
      <c r="R1329" t="s">
        <v>670</v>
      </c>
      <c r="S1329" t="s">
        <v>3086</v>
      </c>
      <c r="T1329" t="s">
        <v>3087</v>
      </c>
      <c r="U1329" t="b">
        <v>1</v>
      </c>
      <c r="V1329" t="s">
        <v>63</v>
      </c>
      <c r="W1329">
        <v>0.6</v>
      </c>
    </row>
    <row r="1330" spans="1:23" hidden="1" x14ac:dyDescent="0.3">
      <c r="A1330" t="s">
        <v>2830</v>
      </c>
      <c r="B1330" t="s">
        <v>2831</v>
      </c>
      <c r="C1330" t="s">
        <v>29</v>
      </c>
      <c r="D1330" t="s">
        <v>20</v>
      </c>
      <c r="E1330" t="s">
        <v>21</v>
      </c>
      <c r="F1330" t="s">
        <v>54</v>
      </c>
      <c r="G1330" t="s">
        <v>99</v>
      </c>
      <c r="H1330" t="s">
        <v>56</v>
      </c>
      <c r="I1330" t="s">
        <v>7</v>
      </c>
      <c r="J1330" t="s">
        <v>100</v>
      </c>
      <c r="K1330" t="s">
        <v>101</v>
      </c>
      <c r="L1330" t="s">
        <v>59</v>
      </c>
      <c r="M1330">
        <v>50</v>
      </c>
      <c r="N1330" t="b">
        <v>1</v>
      </c>
      <c r="O1330">
        <v>0.67289719626168221</v>
      </c>
      <c r="R1330" t="s">
        <v>670</v>
      </c>
      <c r="S1330" t="s">
        <v>3088</v>
      </c>
      <c r="T1330" t="s">
        <v>3089</v>
      </c>
      <c r="U1330" t="b">
        <v>1</v>
      </c>
      <c r="V1330" t="s">
        <v>63</v>
      </c>
      <c r="W1330">
        <v>0.6</v>
      </c>
    </row>
    <row r="1331" spans="1:23" hidden="1" x14ac:dyDescent="0.3">
      <c r="A1331" t="s">
        <v>2830</v>
      </c>
      <c r="B1331" t="s">
        <v>2831</v>
      </c>
      <c r="C1331" t="s">
        <v>29</v>
      </c>
      <c r="D1331" t="s">
        <v>20</v>
      </c>
      <c r="E1331" t="s">
        <v>21</v>
      </c>
      <c r="F1331" t="s">
        <v>54</v>
      </c>
      <c r="G1331" t="s">
        <v>104</v>
      </c>
      <c r="H1331" t="s">
        <v>56</v>
      </c>
      <c r="I1331" t="s">
        <v>7</v>
      </c>
      <c r="J1331" t="s">
        <v>105</v>
      </c>
      <c r="K1331" t="s">
        <v>106</v>
      </c>
      <c r="L1331" t="s">
        <v>59</v>
      </c>
      <c r="M1331">
        <v>51</v>
      </c>
      <c r="N1331" t="b">
        <v>1</v>
      </c>
      <c r="O1331">
        <v>0.73210633946830272</v>
      </c>
      <c r="R1331" t="s">
        <v>670</v>
      </c>
      <c r="S1331" t="s">
        <v>3090</v>
      </c>
      <c r="T1331" t="s">
        <v>3091</v>
      </c>
      <c r="U1331" t="b">
        <v>1</v>
      </c>
      <c r="V1331" t="s">
        <v>63</v>
      </c>
      <c r="W1331">
        <v>0.6</v>
      </c>
    </row>
    <row r="1332" spans="1:23" hidden="1" x14ac:dyDescent="0.3">
      <c r="A1332" t="s">
        <v>2830</v>
      </c>
      <c r="B1332" t="s">
        <v>2831</v>
      </c>
      <c r="C1332" t="s">
        <v>29</v>
      </c>
      <c r="D1332" t="s">
        <v>20</v>
      </c>
      <c r="E1332" t="s">
        <v>21</v>
      </c>
      <c r="F1332" t="s">
        <v>54</v>
      </c>
      <c r="G1332" t="s">
        <v>109</v>
      </c>
      <c r="H1332" t="s">
        <v>56</v>
      </c>
      <c r="I1332" t="s">
        <v>7</v>
      </c>
      <c r="J1332" t="s">
        <v>110</v>
      </c>
      <c r="K1332" t="s">
        <v>111</v>
      </c>
      <c r="L1332" t="s">
        <v>59</v>
      </c>
      <c r="M1332">
        <v>52</v>
      </c>
      <c r="N1332" t="b">
        <v>1</v>
      </c>
      <c r="O1332">
        <v>0.73839662447257393</v>
      </c>
      <c r="R1332" t="s">
        <v>670</v>
      </c>
      <c r="S1332" t="s">
        <v>3092</v>
      </c>
      <c r="T1332" t="s">
        <v>3093</v>
      </c>
      <c r="U1332" t="b">
        <v>1</v>
      </c>
      <c r="V1332" t="s">
        <v>63</v>
      </c>
      <c r="W1332">
        <v>0.6</v>
      </c>
    </row>
    <row r="1333" spans="1:23" hidden="1" x14ac:dyDescent="0.3">
      <c r="A1333" t="s">
        <v>2830</v>
      </c>
      <c r="B1333" t="s">
        <v>2831</v>
      </c>
      <c r="C1333" t="s">
        <v>29</v>
      </c>
      <c r="D1333" t="s">
        <v>20</v>
      </c>
      <c r="E1333" t="s">
        <v>21</v>
      </c>
      <c r="F1333" t="s">
        <v>54</v>
      </c>
      <c r="G1333" t="s">
        <v>114</v>
      </c>
      <c r="H1333" t="s">
        <v>56</v>
      </c>
      <c r="I1333" t="s">
        <v>7</v>
      </c>
      <c r="J1333" t="s">
        <v>115</v>
      </c>
      <c r="K1333" t="s">
        <v>116</v>
      </c>
      <c r="L1333" t="s">
        <v>59</v>
      </c>
      <c r="M1333">
        <v>53</v>
      </c>
      <c r="N1333" t="b">
        <v>1</v>
      </c>
      <c r="O1333">
        <v>0.73809523809523814</v>
      </c>
      <c r="R1333" t="s">
        <v>670</v>
      </c>
      <c r="S1333" t="s">
        <v>3094</v>
      </c>
      <c r="T1333" t="s">
        <v>3095</v>
      </c>
      <c r="U1333" t="b">
        <v>1</v>
      </c>
      <c r="V1333" t="s">
        <v>63</v>
      </c>
      <c r="W1333">
        <v>0.6</v>
      </c>
    </row>
    <row r="1334" spans="1:23" hidden="1" x14ac:dyDescent="0.3">
      <c r="A1334" t="s">
        <v>2830</v>
      </c>
      <c r="B1334" t="s">
        <v>2831</v>
      </c>
      <c r="C1334" t="s">
        <v>29</v>
      </c>
      <c r="D1334" t="s">
        <v>20</v>
      </c>
      <c r="E1334" t="s">
        <v>21</v>
      </c>
      <c r="F1334" t="s">
        <v>54</v>
      </c>
      <c r="G1334" t="s">
        <v>119</v>
      </c>
      <c r="H1334" t="s">
        <v>56</v>
      </c>
      <c r="I1334" t="s">
        <v>7</v>
      </c>
      <c r="J1334" t="s">
        <v>120</v>
      </c>
      <c r="K1334" t="s">
        <v>121</v>
      </c>
      <c r="L1334" t="s">
        <v>59</v>
      </c>
      <c r="M1334">
        <v>54</v>
      </c>
      <c r="N1334" t="b">
        <v>1</v>
      </c>
      <c r="O1334">
        <v>0.72376873661670249</v>
      </c>
      <c r="R1334" t="s">
        <v>670</v>
      </c>
      <c r="S1334" t="s">
        <v>3096</v>
      </c>
      <c r="T1334" t="s">
        <v>3097</v>
      </c>
      <c r="U1334" t="b">
        <v>1</v>
      </c>
      <c r="V1334" t="s">
        <v>63</v>
      </c>
      <c r="W1334">
        <v>0.6</v>
      </c>
    </row>
    <row r="1335" spans="1:23" hidden="1" x14ac:dyDescent="0.3">
      <c r="A1335" t="s">
        <v>2830</v>
      </c>
      <c r="B1335" t="s">
        <v>2831</v>
      </c>
      <c r="C1335" t="s">
        <v>29</v>
      </c>
      <c r="D1335" t="s">
        <v>20</v>
      </c>
      <c r="E1335" t="s">
        <v>21</v>
      </c>
      <c r="F1335" t="s">
        <v>54</v>
      </c>
      <c r="G1335" t="s">
        <v>124</v>
      </c>
      <c r="H1335" t="s">
        <v>56</v>
      </c>
      <c r="I1335" t="s">
        <v>7</v>
      </c>
      <c r="J1335" t="s">
        <v>125</v>
      </c>
      <c r="K1335" t="s">
        <v>126</v>
      </c>
      <c r="L1335" t="s">
        <v>59</v>
      </c>
      <c r="M1335">
        <v>55</v>
      </c>
      <c r="N1335" t="b">
        <v>1</v>
      </c>
      <c r="O1335">
        <v>0.76106194690265483</v>
      </c>
      <c r="R1335" t="s">
        <v>670</v>
      </c>
      <c r="S1335" t="s">
        <v>3098</v>
      </c>
      <c r="T1335" t="s">
        <v>3099</v>
      </c>
      <c r="U1335" t="b">
        <v>1</v>
      </c>
      <c r="V1335" t="s">
        <v>63</v>
      </c>
      <c r="W1335">
        <v>0.6</v>
      </c>
    </row>
    <row r="1336" spans="1:23" hidden="1" x14ac:dyDescent="0.3">
      <c r="A1336" t="s">
        <v>2830</v>
      </c>
      <c r="B1336" t="s">
        <v>2831</v>
      </c>
      <c r="C1336" t="s">
        <v>29</v>
      </c>
      <c r="D1336" t="s">
        <v>20</v>
      </c>
      <c r="E1336" t="s">
        <v>21</v>
      </c>
      <c r="F1336" t="s">
        <v>54</v>
      </c>
      <c r="G1336" t="s">
        <v>129</v>
      </c>
      <c r="H1336" t="s">
        <v>56</v>
      </c>
      <c r="I1336" t="s">
        <v>7</v>
      </c>
      <c r="J1336" t="s">
        <v>130</v>
      </c>
      <c r="K1336" t="s">
        <v>131</v>
      </c>
      <c r="L1336" t="s">
        <v>59</v>
      </c>
      <c r="M1336">
        <v>56</v>
      </c>
      <c r="N1336" t="b">
        <v>1</v>
      </c>
      <c r="O1336">
        <v>0.76190476190476175</v>
      </c>
      <c r="R1336" t="s">
        <v>670</v>
      </c>
      <c r="S1336" t="s">
        <v>3100</v>
      </c>
      <c r="T1336" t="s">
        <v>3101</v>
      </c>
      <c r="U1336" t="b">
        <v>1</v>
      </c>
      <c r="V1336" t="s">
        <v>63</v>
      </c>
      <c r="W1336">
        <v>0.6</v>
      </c>
    </row>
    <row r="1337" spans="1:23" hidden="1" x14ac:dyDescent="0.3">
      <c r="A1337" t="s">
        <v>2830</v>
      </c>
      <c r="B1337" t="s">
        <v>2831</v>
      </c>
      <c r="C1337" t="s">
        <v>29</v>
      </c>
      <c r="D1337" t="s">
        <v>20</v>
      </c>
      <c r="E1337" t="s">
        <v>21</v>
      </c>
      <c r="F1337" t="s">
        <v>54</v>
      </c>
      <c r="G1337" t="s">
        <v>134</v>
      </c>
      <c r="H1337" t="s">
        <v>56</v>
      </c>
      <c r="I1337" t="s">
        <v>7</v>
      </c>
      <c r="J1337" t="s">
        <v>135</v>
      </c>
      <c r="K1337" t="s">
        <v>136</v>
      </c>
      <c r="L1337" t="s">
        <v>59</v>
      </c>
      <c r="M1337">
        <v>57</v>
      </c>
      <c r="N1337" t="b">
        <v>1</v>
      </c>
      <c r="O1337">
        <v>0.73833671399594325</v>
      </c>
      <c r="R1337" t="s">
        <v>670</v>
      </c>
      <c r="S1337" t="s">
        <v>3102</v>
      </c>
      <c r="T1337" t="s">
        <v>3103</v>
      </c>
      <c r="U1337" t="b">
        <v>1</v>
      </c>
      <c r="V1337" t="s">
        <v>63</v>
      </c>
      <c r="W1337">
        <v>0.6</v>
      </c>
    </row>
    <row r="1338" spans="1:23" hidden="1" x14ac:dyDescent="0.3">
      <c r="A1338" t="s">
        <v>2830</v>
      </c>
      <c r="B1338" t="s">
        <v>2831</v>
      </c>
      <c r="C1338" t="s">
        <v>29</v>
      </c>
      <c r="D1338" t="s">
        <v>20</v>
      </c>
      <c r="E1338" t="s">
        <v>21</v>
      </c>
      <c r="F1338" t="s">
        <v>54</v>
      </c>
      <c r="G1338" t="s">
        <v>139</v>
      </c>
      <c r="H1338" t="s">
        <v>56</v>
      </c>
      <c r="I1338" t="s">
        <v>7</v>
      </c>
      <c r="J1338" t="s">
        <v>140</v>
      </c>
      <c r="K1338" t="s">
        <v>141</v>
      </c>
      <c r="L1338" t="s">
        <v>59</v>
      </c>
      <c r="M1338">
        <v>58</v>
      </c>
      <c r="N1338" t="b">
        <v>1</v>
      </c>
      <c r="O1338">
        <v>0.7283702213279678</v>
      </c>
      <c r="R1338" t="s">
        <v>670</v>
      </c>
      <c r="S1338" t="s">
        <v>3104</v>
      </c>
      <c r="T1338" t="s">
        <v>3105</v>
      </c>
      <c r="U1338" t="b">
        <v>1</v>
      </c>
      <c r="V1338" t="s">
        <v>63</v>
      </c>
      <c r="W1338">
        <v>0.6</v>
      </c>
    </row>
    <row r="1339" spans="1:23" hidden="1" x14ac:dyDescent="0.3">
      <c r="A1339" t="s">
        <v>2830</v>
      </c>
      <c r="B1339" t="s">
        <v>2831</v>
      </c>
      <c r="C1339" t="s">
        <v>29</v>
      </c>
      <c r="D1339" t="s">
        <v>20</v>
      </c>
      <c r="E1339" t="s">
        <v>21</v>
      </c>
      <c r="F1339" t="s">
        <v>54</v>
      </c>
      <c r="G1339" t="s">
        <v>144</v>
      </c>
      <c r="H1339" t="s">
        <v>56</v>
      </c>
      <c r="I1339" t="s">
        <v>7</v>
      </c>
      <c r="J1339" t="s">
        <v>145</v>
      </c>
      <c r="K1339" t="s">
        <v>146</v>
      </c>
      <c r="L1339" t="s">
        <v>59</v>
      </c>
      <c r="M1339">
        <v>59</v>
      </c>
      <c r="N1339" t="b">
        <v>1</v>
      </c>
      <c r="O1339">
        <v>0.7361702127659574</v>
      </c>
      <c r="R1339" t="s">
        <v>670</v>
      </c>
      <c r="S1339" t="s">
        <v>3106</v>
      </c>
      <c r="T1339" t="s">
        <v>3107</v>
      </c>
      <c r="U1339" t="b">
        <v>1</v>
      </c>
      <c r="V1339" t="s">
        <v>63</v>
      </c>
      <c r="W1339">
        <v>0.6</v>
      </c>
    </row>
    <row r="1340" spans="1:23" hidden="1" x14ac:dyDescent="0.3">
      <c r="A1340" t="s">
        <v>2830</v>
      </c>
      <c r="B1340" t="s">
        <v>2831</v>
      </c>
      <c r="C1340" t="s">
        <v>29</v>
      </c>
      <c r="D1340" t="s">
        <v>20</v>
      </c>
      <c r="E1340" t="s">
        <v>21</v>
      </c>
      <c r="F1340" t="s">
        <v>54</v>
      </c>
      <c r="G1340" t="s">
        <v>149</v>
      </c>
      <c r="H1340" t="s">
        <v>56</v>
      </c>
      <c r="I1340" t="s">
        <v>7</v>
      </c>
      <c r="J1340" t="s">
        <v>150</v>
      </c>
      <c r="K1340" t="s">
        <v>151</v>
      </c>
      <c r="L1340" t="s">
        <v>59</v>
      </c>
      <c r="M1340">
        <v>60</v>
      </c>
      <c r="N1340" t="b">
        <v>1</v>
      </c>
      <c r="O1340">
        <v>0.80178173719376389</v>
      </c>
      <c r="R1340" t="s">
        <v>670</v>
      </c>
      <c r="S1340" t="s">
        <v>3108</v>
      </c>
      <c r="T1340" t="s">
        <v>3109</v>
      </c>
      <c r="U1340" t="b">
        <v>1</v>
      </c>
      <c r="V1340" t="s">
        <v>63</v>
      </c>
      <c r="W1340">
        <v>0.6</v>
      </c>
    </row>
    <row r="1341" spans="1:23" hidden="1" x14ac:dyDescent="0.3">
      <c r="A1341" t="s">
        <v>2830</v>
      </c>
      <c r="B1341" t="s">
        <v>2831</v>
      </c>
      <c r="C1341" t="s">
        <v>29</v>
      </c>
      <c r="D1341" t="s">
        <v>20</v>
      </c>
      <c r="E1341" t="s">
        <v>21</v>
      </c>
      <c r="F1341" t="s">
        <v>54</v>
      </c>
      <c r="G1341" t="s">
        <v>154</v>
      </c>
      <c r="H1341" t="s">
        <v>56</v>
      </c>
      <c r="I1341" t="s">
        <v>7</v>
      </c>
      <c r="J1341" t="s">
        <v>155</v>
      </c>
      <c r="K1341" t="s">
        <v>156</v>
      </c>
      <c r="L1341" t="s">
        <v>59</v>
      </c>
      <c r="M1341">
        <v>61</v>
      </c>
      <c r="N1341" t="b">
        <v>1</v>
      </c>
      <c r="O1341">
        <v>0.72368421052631582</v>
      </c>
      <c r="R1341" t="s">
        <v>670</v>
      </c>
      <c r="S1341" t="s">
        <v>3110</v>
      </c>
      <c r="T1341" t="s">
        <v>3111</v>
      </c>
      <c r="U1341" t="b">
        <v>1</v>
      </c>
      <c r="V1341" t="s">
        <v>63</v>
      </c>
      <c r="W1341">
        <v>0.9</v>
      </c>
    </row>
    <row r="1342" spans="1:23" hidden="1" x14ac:dyDescent="0.3">
      <c r="A1342" t="s">
        <v>2830</v>
      </c>
      <c r="B1342" t="s">
        <v>2831</v>
      </c>
      <c r="C1342" t="s">
        <v>29</v>
      </c>
      <c r="D1342" t="s">
        <v>20</v>
      </c>
      <c r="E1342" t="s">
        <v>21</v>
      </c>
      <c r="F1342" t="s">
        <v>54</v>
      </c>
      <c r="G1342" t="s">
        <v>159</v>
      </c>
      <c r="H1342" t="s">
        <v>160</v>
      </c>
      <c r="I1342" t="s">
        <v>3</v>
      </c>
      <c r="J1342" t="s">
        <v>161</v>
      </c>
      <c r="K1342" t="s">
        <v>162</v>
      </c>
      <c r="L1342" t="s">
        <v>163</v>
      </c>
      <c r="M1342">
        <v>42</v>
      </c>
      <c r="N1342" t="b">
        <v>0</v>
      </c>
      <c r="O1342">
        <v>0.74863387978142093</v>
      </c>
      <c r="R1342" t="s">
        <v>670</v>
      </c>
      <c r="S1342" t="s">
        <v>3112</v>
      </c>
      <c r="T1342" t="s">
        <v>3113</v>
      </c>
      <c r="U1342" t="b">
        <v>1</v>
      </c>
      <c r="V1342" t="s">
        <v>63</v>
      </c>
      <c r="W1342">
        <v>0.6</v>
      </c>
    </row>
    <row r="1343" spans="1:23" hidden="1" x14ac:dyDescent="0.3">
      <c r="A1343" t="s">
        <v>2830</v>
      </c>
      <c r="B1343" t="s">
        <v>2831</v>
      </c>
      <c r="C1343" t="s">
        <v>29</v>
      </c>
      <c r="D1343" t="s">
        <v>20</v>
      </c>
      <c r="E1343" t="s">
        <v>21</v>
      </c>
      <c r="F1343" t="s">
        <v>54</v>
      </c>
      <c r="G1343" t="s">
        <v>166</v>
      </c>
      <c r="H1343" t="s">
        <v>160</v>
      </c>
      <c r="I1343" t="s">
        <v>3</v>
      </c>
      <c r="J1343" t="s">
        <v>167</v>
      </c>
      <c r="K1343" t="s">
        <v>168</v>
      </c>
      <c r="L1343" t="s">
        <v>163</v>
      </c>
      <c r="M1343">
        <v>43</v>
      </c>
      <c r="N1343" t="b">
        <v>0</v>
      </c>
      <c r="O1343">
        <v>0.75783475783475784</v>
      </c>
      <c r="R1343" t="s">
        <v>670</v>
      </c>
      <c r="S1343" t="s">
        <v>3114</v>
      </c>
      <c r="T1343" t="s">
        <v>3115</v>
      </c>
      <c r="U1343" t="b">
        <v>1</v>
      </c>
      <c r="V1343" t="s">
        <v>63</v>
      </c>
      <c r="W1343">
        <v>0.6</v>
      </c>
    </row>
    <row r="1344" spans="1:23" hidden="1" x14ac:dyDescent="0.3">
      <c r="A1344" t="s">
        <v>2830</v>
      </c>
      <c r="B1344" t="s">
        <v>2831</v>
      </c>
      <c r="C1344" t="s">
        <v>29</v>
      </c>
      <c r="D1344" t="s">
        <v>20</v>
      </c>
      <c r="E1344" t="s">
        <v>21</v>
      </c>
      <c r="F1344" t="s">
        <v>54</v>
      </c>
      <c r="G1344" t="s">
        <v>171</v>
      </c>
      <c r="H1344" t="s">
        <v>160</v>
      </c>
      <c r="I1344" t="s">
        <v>3</v>
      </c>
      <c r="J1344" t="s">
        <v>172</v>
      </c>
      <c r="K1344" t="s">
        <v>173</v>
      </c>
      <c r="L1344" t="s">
        <v>163</v>
      </c>
      <c r="M1344">
        <v>44</v>
      </c>
      <c r="N1344" t="b">
        <v>0</v>
      </c>
      <c r="O1344">
        <v>0.79428571428571437</v>
      </c>
      <c r="R1344" t="s">
        <v>670</v>
      </c>
      <c r="S1344" t="s">
        <v>3116</v>
      </c>
      <c r="T1344" t="s">
        <v>3117</v>
      </c>
      <c r="U1344" t="b">
        <v>1</v>
      </c>
      <c r="V1344" t="s">
        <v>63</v>
      </c>
      <c r="W1344">
        <v>0.7</v>
      </c>
    </row>
    <row r="1345" spans="1:23" hidden="1" x14ac:dyDescent="0.3">
      <c r="A1345" t="s">
        <v>2830</v>
      </c>
      <c r="B1345" t="s">
        <v>2831</v>
      </c>
      <c r="C1345" t="s">
        <v>29</v>
      </c>
      <c r="D1345" t="s">
        <v>20</v>
      </c>
      <c r="E1345" t="s">
        <v>21</v>
      </c>
      <c r="F1345" t="s">
        <v>54</v>
      </c>
      <c r="G1345" t="s">
        <v>176</v>
      </c>
      <c r="H1345" t="s">
        <v>160</v>
      </c>
      <c r="I1345" t="s">
        <v>3</v>
      </c>
      <c r="J1345" t="s">
        <v>177</v>
      </c>
      <c r="K1345" t="s">
        <v>178</v>
      </c>
      <c r="L1345" t="s">
        <v>163</v>
      </c>
      <c r="M1345">
        <v>45</v>
      </c>
      <c r="N1345" t="b">
        <v>0</v>
      </c>
      <c r="O1345">
        <v>0.72727272727272729</v>
      </c>
      <c r="R1345" t="s">
        <v>670</v>
      </c>
      <c r="S1345" t="s">
        <v>3118</v>
      </c>
      <c r="T1345" t="s">
        <v>3119</v>
      </c>
      <c r="U1345" t="b">
        <v>1</v>
      </c>
      <c r="V1345" t="s">
        <v>63</v>
      </c>
      <c r="W1345">
        <v>0.6</v>
      </c>
    </row>
    <row r="1346" spans="1:23" hidden="1" x14ac:dyDescent="0.3">
      <c r="A1346" t="s">
        <v>2830</v>
      </c>
      <c r="B1346" t="s">
        <v>2831</v>
      </c>
      <c r="C1346" t="s">
        <v>29</v>
      </c>
      <c r="D1346" t="s">
        <v>20</v>
      </c>
      <c r="E1346" t="s">
        <v>21</v>
      </c>
      <c r="F1346" t="s">
        <v>54</v>
      </c>
      <c r="G1346" t="s">
        <v>181</v>
      </c>
      <c r="H1346" t="s">
        <v>160</v>
      </c>
      <c r="I1346" t="s">
        <v>3</v>
      </c>
      <c r="J1346" t="s">
        <v>182</v>
      </c>
      <c r="K1346" t="s">
        <v>183</v>
      </c>
      <c r="L1346" t="s">
        <v>163</v>
      </c>
      <c r="M1346">
        <v>46</v>
      </c>
      <c r="N1346" t="b">
        <v>0</v>
      </c>
      <c r="O1346">
        <v>0.74431818181818177</v>
      </c>
      <c r="R1346" t="s">
        <v>670</v>
      </c>
      <c r="S1346" t="s">
        <v>3120</v>
      </c>
      <c r="T1346" t="s">
        <v>3121</v>
      </c>
      <c r="U1346" t="b">
        <v>1</v>
      </c>
      <c r="V1346" t="s">
        <v>63</v>
      </c>
      <c r="W1346">
        <v>0.6</v>
      </c>
    </row>
    <row r="1347" spans="1:23" hidden="1" x14ac:dyDescent="0.3">
      <c r="A1347" t="s">
        <v>2830</v>
      </c>
      <c r="B1347" t="s">
        <v>2831</v>
      </c>
      <c r="C1347" t="s">
        <v>29</v>
      </c>
      <c r="D1347" t="s">
        <v>20</v>
      </c>
      <c r="E1347" t="s">
        <v>21</v>
      </c>
      <c r="F1347" t="s">
        <v>54</v>
      </c>
      <c r="G1347" t="s">
        <v>186</v>
      </c>
      <c r="H1347" t="s">
        <v>160</v>
      </c>
      <c r="I1347" t="s">
        <v>3</v>
      </c>
      <c r="J1347" t="s">
        <v>187</v>
      </c>
      <c r="K1347" t="s">
        <v>188</v>
      </c>
      <c r="L1347" t="s">
        <v>163</v>
      </c>
      <c r="M1347">
        <v>47</v>
      </c>
      <c r="N1347" t="b">
        <v>0</v>
      </c>
      <c r="O1347">
        <v>0.77053824362606227</v>
      </c>
      <c r="R1347" t="s">
        <v>670</v>
      </c>
      <c r="S1347" t="s">
        <v>3122</v>
      </c>
      <c r="T1347" t="s">
        <v>3123</v>
      </c>
      <c r="U1347" t="b">
        <v>1</v>
      </c>
      <c r="V1347" t="s">
        <v>63</v>
      </c>
      <c r="W1347">
        <v>0.6</v>
      </c>
    </row>
    <row r="1348" spans="1:23" hidden="1" x14ac:dyDescent="0.3">
      <c r="A1348" t="s">
        <v>2830</v>
      </c>
      <c r="B1348" t="s">
        <v>2831</v>
      </c>
      <c r="C1348" t="s">
        <v>29</v>
      </c>
      <c r="D1348" t="s">
        <v>20</v>
      </c>
      <c r="E1348" t="s">
        <v>21</v>
      </c>
      <c r="F1348" t="s">
        <v>54</v>
      </c>
      <c r="G1348" t="s">
        <v>191</v>
      </c>
      <c r="H1348" t="s">
        <v>160</v>
      </c>
      <c r="I1348" t="s">
        <v>3</v>
      </c>
      <c r="J1348" t="s">
        <v>192</v>
      </c>
      <c r="K1348" t="s">
        <v>193</v>
      </c>
      <c r="L1348" t="s">
        <v>163</v>
      </c>
      <c r="M1348">
        <v>48</v>
      </c>
      <c r="N1348" t="b">
        <v>0</v>
      </c>
      <c r="O1348">
        <v>0.76300578034682087</v>
      </c>
      <c r="R1348" t="s">
        <v>670</v>
      </c>
      <c r="S1348" t="s">
        <v>3124</v>
      </c>
      <c r="T1348" t="s">
        <v>3125</v>
      </c>
      <c r="U1348" t="b">
        <v>1</v>
      </c>
      <c r="V1348" t="s">
        <v>63</v>
      </c>
      <c r="W1348">
        <v>0.6</v>
      </c>
    </row>
    <row r="1349" spans="1:23" hidden="1" x14ac:dyDescent="0.3">
      <c r="A1349" t="s">
        <v>2830</v>
      </c>
      <c r="B1349" t="s">
        <v>2831</v>
      </c>
      <c r="C1349" t="s">
        <v>29</v>
      </c>
      <c r="D1349" t="s">
        <v>20</v>
      </c>
      <c r="E1349" t="s">
        <v>21</v>
      </c>
      <c r="F1349" t="s">
        <v>54</v>
      </c>
      <c r="G1349" t="s">
        <v>196</v>
      </c>
      <c r="H1349" t="s">
        <v>160</v>
      </c>
      <c r="I1349" t="s">
        <v>3</v>
      </c>
      <c r="J1349" t="s">
        <v>197</v>
      </c>
      <c r="K1349" t="s">
        <v>198</v>
      </c>
      <c r="L1349" t="s">
        <v>163</v>
      </c>
      <c r="M1349">
        <v>49</v>
      </c>
      <c r="N1349" t="b">
        <v>0</v>
      </c>
      <c r="O1349">
        <v>0.75200000000000011</v>
      </c>
      <c r="R1349" t="s">
        <v>670</v>
      </c>
      <c r="S1349" t="s">
        <v>3126</v>
      </c>
      <c r="T1349" t="s">
        <v>3127</v>
      </c>
      <c r="U1349" t="b">
        <v>1</v>
      </c>
      <c r="V1349" t="s">
        <v>63</v>
      </c>
      <c r="W1349">
        <v>0.6</v>
      </c>
    </row>
    <row r="1350" spans="1:23" hidden="1" x14ac:dyDescent="0.3">
      <c r="A1350" t="s">
        <v>2830</v>
      </c>
      <c r="B1350" t="s">
        <v>2831</v>
      </c>
      <c r="C1350" t="s">
        <v>29</v>
      </c>
      <c r="D1350" t="s">
        <v>20</v>
      </c>
      <c r="E1350" t="s">
        <v>21</v>
      </c>
      <c r="F1350" t="s">
        <v>54</v>
      </c>
      <c r="G1350" t="s">
        <v>201</v>
      </c>
      <c r="H1350" t="s">
        <v>160</v>
      </c>
      <c r="I1350" t="s">
        <v>3</v>
      </c>
      <c r="J1350" t="s">
        <v>202</v>
      </c>
      <c r="K1350" t="s">
        <v>203</v>
      </c>
      <c r="L1350" t="s">
        <v>163</v>
      </c>
      <c r="M1350">
        <v>50</v>
      </c>
      <c r="N1350" t="b">
        <v>0</v>
      </c>
      <c r="O1350">
        <v>0.76243093922651939</v>
      </c>
      <c r="R1350" t="s">
        <v>670</v>
      </c>
      <c r="S1350" t="s">
        <v>3128</v>
      </c>
      <c r="T1350" t="s">
        <v>3129</v>
      </c>
      <c r="U1350" t="b">
        <v>1</v>
      </c>
      <c r="V1350" t="s">
        <v>63</v>
      </c>
      <c r="W1350">
        <v>0.6</v>
      </c>
    </row>
    <row r="1351" spans="1:23" hidden="1" x14ac:dyDescent="0.3">
      <c r="A1351" t="s">
        <v>2830</v>
      </c>
      <c r="B1351" t="s">
        <v>2831</v>
      </c>
      <c r="C1351" t="s">
        <v>29</v>
      </c>
      <c r="D1351" t="s">
        <v>20</v>
      </c>
      <c r="E1351" t="s">
        <v>21</v>
      </c>
      <c r="F1351" t="s">
        <v>54</v>
      </c>
      <c r="G1351" t="s">
        <v>206</v>
      </c>
      <c r="H1351" t="s">
        <v>160</v>
      </c>
      <c r="I1351" t="s">
        <v>3</v>
      </c>
      <c r="J1351" t="s">
        <v>207</v>
      </c>
      <c r="K1351" t="s">
        <v>208</v>
      </c>
      <c r="L1351" t="s">
        <v>163</v>
      </c>
      <c r="M1351">
        <v>51</v>
      </c>
      <c r="N1351" t="b">
        <v>0</v>
      </c>
      <c r="O1351">
        <v>0.72521246458923516</v>
      </c>
      <c r="R1351" t="s">
        <v>670</v>
      </c>
      <c r="S1351" t="s">
        <v>3130</v>
      </c>
      <c r="T1351" t="s">
        <v>3131</v>
      </c>
      <c r="U1351" t="b">
        <v>1</v>
      </c>
      <c r="V1351" t="s">
        <v>63</v>
      </c>
      <c r="W1351">
        <v>0.7</v>
      </c>
    </row>
    <row r="1352" spans="1:23" hidden="1" x14ac:dyDescent="0.3">
      <c r="A1352" t="s">
        <v>2830</v>
      </c>
      <c r="B1352" t="s">
        <v>2831</v>
      </c>
      <c r="C1352" t="s">
        <v>29</v>
      </c>
      <c r="D1352" t="s">
        <v>20</v>
      </c>
      <c r="E1352" t="s">
        <v>21</v>
      </c>
      <c r="F1352" t="s">
        <v>54</v>
      </c>
      <c r="G1352" t="s">
        <v>211</v>
      </c>
      <c r="H1352" t="s">
        <v>160</v>
      </c>
      <c r="I1352" t="s">
        <v>3</v>
      </c>
      <c r="J1352" t="s">
        <v>212</v>
      </c>
      <c r="K1352" t="s">
        <v>213</v>
      </c>
      <c r="L1352" t="s">
        <v>163</v>
      </c>
      <c r="M1352">
        <v>52</v>
      </c>
      <c r="N1352" t="b">
        <v>0</v>
      </c>
      <c r="O1352">
        <v>0.75630252100840334</v>
      </c>
      <c r="R1352" t="s">
        <v>670</v>
      </c>
      <c r="S1352" t="s">
        <v>3132</v>
      </c>
      <c r="T1352" t="s">
        <v>3133</v>
      </c>
      <c r="U1352" t="b">
        <v>1</v>
      </c>
      <c r="V1352" t="s">
        <v>63</v>
      </c>
      <c r="W1352">
        <v>0.7</v>
      </c>
    </row>
    <row r="1353" spans="1:23" hidden="1" x14ac:dyDescent="0.3">
      <c r="A1353" t="s">
        <v>2830</v>
      </c>
      <c r="B1353" t="s">
        <v>2831</v>
      </c>
      <c r="C1353" t="s">
        <v>29</v>
      </c>
      <c r="D1353" t="s">
        <v>20</v>
      </c>
      <c r="E1353" t="s">
        <v>21</v>
      </c>
      <c r="F1353" t="s">
        <v>54</v>
      </c>
      <c r="G1353" t="s">
        <v>216</v>
      </c>
      <c r="H1353" t="s">
        <v>160</v>
      </c>
      <c r="I1353" t="s">
        <v>3</v>
      </c>
      <c r="J1353" t="s">
        <v>217</v>
      </c>
      <c r="K1353" t="s">
        <v>218</v>
      </c>
      <c r="L1353" t="s">
        <v>163</v>
      </c>
      <c r="M1353">
        <v>53</v>
      </c>
      <c r="N1353" t="b">
        <v>0</v>
      </c>
      <c r="O1353">
        <v>0.75492957746478873</v>
      </c>
      <c r="R1353" t="s">
        <v>670</v>
      </c>
      <c r="S1353" t="s">
        <v>3134</v>
      </c>
      <c r="T1353" t="s">
        <v>3135</v>
      </c>
      <c r="U1353" t="b">
        <v>1</v>
      </c>
      <c r="V1353" t="s">
        <v>63</v>
      </c>
      <c r="W1353">
        <v>0.6</v>
      </c>
    </row>
    <row r="1354" spans="1:23" hidden="1" x14ac:dyDescent="0.3">
      <c r="A1354" t="s">
        <v>2830</v>
      </c>
      <c r="B1354" t="s">
        <v>2831</v>
      </c>
      <c r="C1354" t="s">
        <v>29</v>
      </c>
      <c r="D1354" t="s">
        <v>20</v>
      </c>
      <c r="E1354" t="s">
        <v>21</v>
      </c>
      <c r="F1354" t="s">
        <v>54</v>
      </c>
      <c r="G1354" t="s">
        <v>221</v>
      </c>
      <c r="H1354" t="s">
        <v>160</v>
      </c>
      <c r="I1354" t="s">
        <v>3</v>
      </c>
      <c r="J1354" t="s">
        <v>222</v>
      </c>
      <c r="K1354" t="s">
        <v>223</v>
      </c>
      <c r="L1354" t="s">
        <v>163</v>
      </c>
      <c r="M1354">
        <v>54</v>
      </c>
      <c r="N1354" t="b">
        <v>0</v>
      </c>
      <c r="O1354">
        <v>0.76033057851239672</v>
      </c>
      <c r="R1354" t="s">
        <v>670</v>
      </c>
      <c r="S1354" t="s">
        <v>3136</v>
      </c>
      <c r="T1354" t="s">
        <v>3137</v>
      </c>
      <c r="U1354" t="b">
        <v>1</v>
      </c>
      <c r="V1354" t="s">
        <v>63</v>
      </c>
      <c r="W1354">
        <v>0.6</v>
      </c>
    </row>
    <row r="1355" spans="1:23" hidden="1" x14ac:dyDescent="0.3">
      <c r="A1355" t="s">
        <v>2830</v>
      </c>
      <c r="B1355" t="s">
        <v>2831</v>
      </c>
      <c r="C1355" t="s">
        <v>29</v>
      </c>
      <c r="D1355" t="s">
        <v>20</v>
      </c>
      <c r="E1355" t="s">
        <v>21</v>
      </c>
      <c r="F1355" t="s">
        <v>54</v>
      </c>
      <c r="G1355" t="s">
        <v>226</v>
      </c>
      <c r="H1355" t="s">
        <v>160</v>
      </c>
      <c r="I1355" t="s">
        <v>3</v>
      </c>
      <c r="J1355" t="s">
        <v>227</v>
      </c>
      <c r="K1355" t="s">
        <v>228</v>
      </c>
      <c r="L1355" t="s">
        <v>163</v>
      </c>
      <c r="M1355">
        <v>55</v>
      </c>
      <c r="N1355" t="b">
        <v>0</v>
      </c>
      <c r="O1355">
        <v>0.77348066298342533</v>
      </c>
      <c r="R1355" t="s">
        <v>670</v>
      </c>
      <c r="S1355" t="s">
        <v>3138</v>
      </c>
      <c r="T1355" t="s">
        <v>3139</v>
      </c>
      <c r="U1355" t="b">
        <v>1</v>
      </c>
      <c r="V1355" t="s">
        <v>63</v>
      </c>
      <c r="W1355">
        <v>0.6</v>
      </c>
    </row>
    <row r="1356" spans="1:23" hidden="1" x14ac:dyDescent="0.3">
      <c r="A1356" t="s">
        <v>2830</v>
      </c>
      <c r="B1356" t="s">
        <v>2831</v>
      </c>
      <c r="C1356" t="s">
        <v>29</v>
      </c>
      <c r="D1356" t="s">
        <v>20</v>
      </c>
      <c r="E1356" t="s">
        <v>21</v>
      </c>
      <c r="F1356" t="s">
        <v>54</v>
      </c>
      <c r="G1356" t="s">
        <v>231</v>
      </c>
      <c r="H1356" t="s">
        <v>160</v>
      </c>
      <c r="I1356" t="s">
        <v>3</v>
      </c>
      <c r="J1356" t="s">
        <v>232</v>
      </c>
      <c r="K1356" t="s">
        <v>233</v>
      </c>
      <c r="L1356" t="s">
        <v>163</v>
      </c>
      <c r="M1356">
        <v>56</v>
      </c>
      <c r="N1356" t="b">
        <v>0</v>
      </c>
      <c r="O1356">
        <v>0.75294117647058834</v>
      </c>
      <c r="R1356" t="s">
        <v>670</v>
      </c>
      <c r="S1356" t="s">
        <v>3140</v>
      </c>
      <c r="T1356" t="s">
        <v>3141</v>
      </c>
      <c r="U1356" t="b">
        <v>1</v>
      </c>
      <c r="V1356" t="s">
        <v>63</v>
      </c>
      <c r="W1356">
        <v>0.6</v>
      </c>
    </row>
    <row r="1357" spans="1:23" hidden="1" x14ac:dyDescent="0.3">
      <c r="A1357" t="s">
        <v>2830</v>
      </c>
      <c r="B1357" t="s">
        <v>2831</v>
      </c>
      <c r="C1357" t="s">
        <v>29</v>
      </c>
      <c r="D1357" t="s">
        <v>20</v>
      </c>
      <c r="E1357" t="s">
        <v>21</v>
      </c>
      <c r="F1357" t="s">
        <v>54</v>
      </c>
      <c r="G1357" t="s">
        <v>236</v>
      </c>
      <c r="H1357" t="s">
        <v>160</v>
      </c>
      <c r="I1357" t="s">
        <v>3</v>
      </c>
      <c r="J1357" t="s">
        <v>237</v>
      </c>
      <c r="K1357" t="s">
        <v>238</v>
      </c>
      <c r="L1357" t="s">
        <v>163</v>
      </c>
      <c r="M1357">
        <v>57</v>
      </c>
      <c r="N1357" t="b">
        <v>0</v>
      </c>
      <c r="O1357">
        <v>0.78260869565217395</v>
      </c>
      <c r="R1357" t="s">
        <v>670</v>
      </c>
      <c r="S1357" t="s">
        <v>3142</v>
      </c>
      <c r="T1357" t="s">
        <v>3143</v>
      </c>
      <c r="U1357" t="b">
        <v>1</v>
      </c>
      <c r="V1357" t="s">
        <v>63</v>
      </c>
      <c r="W1357">
        <v>0.6</v>
      </c>
    </row>
    <row r="1358" spans="1:23" hidden="1" x14ac:dyDescent="0.3">
      <c r="A1358" t="s">
        <v>2830</v>
      </c>
      <c r="B1358" t="s">
        <v>2831</v>
      </c>
      <c r="C1358" t="s">
        <v>29</v>
      </c>
      <c r="D1358" t="s">
        <v>20</v>
      </c>
      <c r="E1358" t="s">
        <v>21</v>
      </c>
      <c r="F1358" t="s">
        <v>54</v>
      </c>
      <c r="G1358" t="s">
        <v>241</v>
      </c>
      <c r="H1358" t="s">
        <v>160</v>
      </c>
      <c r="I1358" t="s">
        <v>3</v>
      </c>
      <c r="J1358" t="s">
        <v>242</v>
      </c>
      <c r="K1358" t="s">
        <v>243</v>
      </c>
      <c r="L1358" t="s">
        <v>163</v>
      </c>
      <c r="M1358">
        <v>58</v>
      </c>
      <c r="N1358" t="b">
        <v>0</v>
      </c>
      <c r="O1358">
        <v>0.73513513513513518</v>
      </c>
      <c r="R1358" t="s">
        <v>670</v>
      </c>
      <c r="S1358" t="s">
        <v>3144</v>
      </c>
      <c r="T1358" t="s">
        <v>3145</v>
      </c>
      <c r="U1358" t="b">
        <v>1</v>
      </c>
      <c r="V1358" t="s">
        <v>63</v>
      </c>
      <c r="W1358">
        <v>1.3</v>
      </c>
    </row>
    <row r="1359" spans="1:23" hidden="1" x14ac:dyDescent="0.3">
      <c r="A1359" t="s">
        <v>2830</v>
      </c>
      <c r="B1359" t="s">
        <v>2831</v>
      </c>
      <c r="C1359" t="s">
        <v>29</v>
      </c>
      <c r="D1359" t="s">
        <v>20</v>
      </c>
      <c r="E1359" t="s">
        <v>21</v>
      </c>
      <c r="F1359" t="s">
        <v>54</v>
      </c>
      <c r="G1359" t="s">
        <v>246</v>
      </c>
      <c r="H1359" t="s">
        <v>160</v>
      </c>
      <c r="I1359" t="s">
        <v>3</v>
      </c>
      <c r="J1359" t="s">
        <v>247</v>
      </c>
      <c r="K1359" t="s">
        <v>248</v>
      </c>
      <c r="L1359" t="s">
        <v>163</v>
      </c>
      <c r="M1359">
        <v>59</v>
      </c>
      <c r="N1359" t="b">
        <v>0</v>
      </c>
      <c r="O1359">
        <v>0.76243093922651939</v>
      </c>
      <c r="R1359" t="s">
        <v>670</v>
      </c>
      <c r="S1359" t="s">
        <v>3146</v>
      </c>
      <c r="T1359" t="s">
        <v>3147</v>
      </c>
      <c r="U1359" t="b">
        <v>1</v>
      </c>
      <c r="V1359" t="s">
        <v>63</v>
      </c>
      <c r="W1359">
        <v>0.6</v>
      </c>
    </row>
    <row r="1360" spans="1:23" hidden="1" x14ac:dyDescent="0.3">
      <c r="A1360" t="s">
        <v>2830</v>
      </c>
      <c r="B1360" t="s">
        <v>2831</v>
      </c>
      <c r="C1360" t="s">
        <v>29</v>
      </c>
      <c r="D1360" t="s">
        <v>20</v>
      </c>
      <c r="E1360" t="s">
        <v>21</v>
      </c>
      <c r="F1360" t="s">
        <v>54</v>
      </c>
      <c r="G1360" t="s">
        <v>251</v>
      </c>
      <c r="H1360" t="s">
        <v>160</v>
      </c>
      <c r="I1360" t="s">
        <v>3</v>
      </c>
      <c r="J1360" t="s">
        <v>252</v>
      </c>
      <c r="K1360" t="s">
        <v>253</v>
      </c>
      <c r="L1360" t="s">
        <v>163</v>
      </c>
      <c r="M1360">
        <v>60</v>
      </c>
      <c r="N1360" t="b">
        <v>0</v>
      </c>
      <c r="O1360">
        <v>0.78409090909090906</v>
      </c>
      <c r="R1360" t="s">
        <v>670</v>
      </c>
      <c r="S1360" t="s">
        <v>3148</v>
      </c>
      <c r="T1360" t="s">
        <v>3149</v>
      </c>
      <c r="U1360" t="b">
        <v>1</v>
      </c>
      <c r="V1360" t="s">
        <v>63</v>
      </c>
      <c r="W1360">
        <v>0.6</v>
      </c>
    </row>
    <row r="1361" spans="1:23" hidden="1" x14ac:dyDescent="0.3">
      <c r="A1361" t="s">
        <v>2830</v>
      </c>
      <c r="B1361" t="s">
        <v>2831</v>
      </c>
      <c r="C1361" t="s">
        <v>29</v>
      </c>
      <c r="D1361" t="s">
        <v>20</v>
      </c>
      <c r="E1361" t="s">
        <v>21</v>
      </c>
      <c r="F1361" t="s">
        <v>54</v>
      </c>
      <c r="G1361" t="s">
        <v>256</v>
      </c>
      <c r="H1361" t="s">
        <v>160</v>
      </c>
      <c r="I1361" t="s">
        <v>3</v>
      </c>
      <c r="J1361" t="s">
        <v>257</v>
      </c>
      <c r="K1361" t="s">
        <v>258</v>
      </c>
      <c r="L1361" t="s">
        <v>163</v>
      </c>
      <c r="M1361">
        <v>61</v>
      </c>
      <c r="N1361" t="b">
        <v>0</v>
      </c>
      <c r="O1361">
        <v>0.77492877492877488</v>
      </c>
      <c r="R1361" t="s">
        <v>670</v>
      </c>
      <c r="S1361" t="s">
        <v>3150</v>
      </c>
      <c r="T1361" t="s">
        <v>3151</v>
      </c>
      <c r="U1361" t="b">
        <v>1</v>
      </c>
      <c r="V1361" t="s">
        <v>63</v>
      </c>
      <c r="W1361">
        <v>0.8</v>
      </c>
    </row>
    <row r="1362" spans="1:23" hidden="1" x14ac:dyDescent="0.3">
      <c r="A1362" t="s">
        <v>2830</v>
      </c>
      <c r="B1362" t="s">
        <v>2831</v>
      </c>
      <c r="C1362" t="s">
        <v>29</v>
      </c>
      <c r="D1362" t="s">
        <v>20</v>
      </c>
      <c r="E1362" t="s">
        <v>21</v>
      </c>
      <c r="F1362" t="s">
        <v>54</v>
      </c>
      <c r="G1362" t="s">
        <v>261</v>
      </c>
      <c r="H1362" t="s">
        <v>262</v>
      </c>
      <c r="I1362" t="s">
        <v>5</v>
      </c>
      <c r="J1362" t="s">
        <v>263</v>
      </c>
      <c r="K1362" t="s">
        <v>264</v>
      </c>
      <c r="L1362" t="s">
        <v>265</v>
      </c>
      <c r="M1362">
        <v>42</v>
      </c>
      <c r="N1362" t="b">
        <v>0</v>
      </c>
      <c r="O1362">
        <v>0.75159235668789803</v>
      </c>
      <c r="R1362" t="s">
        <v>670</v>
      </c>
      <c r="S1362" t="s">
        <v>3152</v>
      </c>
      <c r="T1362" t="s">
        <v>3153</v>
      </c>
      <c r="U1362" t="b">
        <v>1</v>
      </c>
      <c r="V1362" t="s">
        <v>63</v>
      </c>
      <c r="W1362">
        <v>0.6</v>
      </c>
    </row>
    <row r="1363" spans="1:23" hidden="1" x14ac:dyDescent="0.3">
      <c r="A1363" t="s">
        <v>2830</v>
      </c>
      <c r="B1363" t="s">
        <v>2831</v>
      </c>
      <c r="C1363" t="s">
        <v>29</v>
      </c>
      <c r="D1363" t="s">
        <v>20</v>
      </c>
      <c r="E1363" t="s">
        <v>21</v>
      </c>
      <c r="F1363" t="s">
        <v>54</v>
      </c>
      <c r="G1363" t="s">
        <v>268</v>
      </c>
      <c r="H1363" t="s">
        <v>262</v>
      </c>
      <c r="I1363" t="s">
        <v>5</v>
      </c>
      <c r="J1363" t="s">
        <v>269</v>
      </c>
      <c r="K1363" t="s">
        <v>270</v>
      </c>
      <c r="L1363" t="s">
        <v>265</v>
      </c>
      <c r="M1363">
        <v>43</v>
      </c>
      <c r="N1363" t="b">
        <v>0</v>
      </c>
      <c r="O1363">
        <v>0.7531914893617021</v>
      </c>
      <c r="R1363" t="s">
        <v>670</v>
      </c>
      <c r="S1363" t="s">
        <v>3154</v>
      </c>
      <c r="T1363" t="s">
        <v>3155</v>
      </c>
      <c r="U1363" t="b">
        <v>1</v>
      </c>
      <c r="V1363" t="s">
        <v>63</v>
      </c>
      <c r="W1363">
        <v>0.7</v>
      </c>
    </row>
    <row r="1364" spans="1:23" hidden="1" x14ac:dyDescent="0.3">
      <c r="A1364" t="s">
        <v>2830</v>
      </c>
      <c r="B1364" t="s">
        <v>2831</v>
      </c>
      <c r="C1364" t="s">
        <v>29</v>
      </c>
      <c r="D1364" t="s">
        <v>20</v>
      </c>
      <c r="E1364" t="s">
        <v>21</v>
      </c>
      <c r="F1364" t="s">
        <v>54</v>
      </c>
      <c r="G1364" t="s">
        <v>273</v>
      </c>
      <c r="H1364" t="s">
        <v>262</v>
      </c>
      <c r="I1364" t="s">
        <v>5</v>
      </c>
      <c r="J1364" t="s">
        <v>274</v>
      </c>
      <c r="K1364" t="s">
        <v>275</v>
      </c>
      <c r="L1364" t="s">
        <v>265</v>
      </c>
      <c r="M1364">
        <v>44</v>
      </c>
      <c r="N1364" t="b">
        <v>0</v>
      </c>
      <c r="O1364">
        <v>0.74518201284796559</v>
      </c>
      <c r="R1364" t="s">
        <v>670</v>
      </c>
      <c r="S1364" t="s">
        <v>3156</v>
      </c>
      <c r="T1364" t="s">
        <v>3157</v>
      </c>
      <c r="U1364" t="b">
        <v>1</v>
      </c>
      <c r="V1364" t="s">
        <v>63</v>
      </c>
      <c r="W1364">
        <v>0.6</v>
      </c>
    </row>
    <row r="1365" spans="1:23" hidden="1" x14ac:dyDescent="0.3">
      <c r="A1365" t="s">
        <v>2830</v>
      </c>
      <c r="B1365" t="s">
        <v>2831</v>
      </c>
      <c r="C1365" t="s">
        <v>29</v>
      </c>
      <c r="D1365" t="s">
        <v>20</v>
      </c>
      <c r="E1365" t="s">
        <v>21</v>
      </c>
      <c r="F1365" t="s">
        <v>54</v>
      </c>
      <c r="G1365" t="s">
        <v>278</v>
      </c>
      <c r="H1365" t="s">
        <v>262</v>
      </c>
      <c r="I1365" t="s">
        <v>5</v>
      </c>
      <c r="J1365" t="s">
        <v>279</v>
      </c>
      <c r="K1365" t="s">
        <v>280</v>
      </c>
      <c r="L1365" t="s">
        <v>265</v>
      </c>
      <c r="M1365">
        <v>45</v>
      </c>
      <c r="N1365" t="b">
        <v>0</v>
      </c>
      <c r="O1365">
        <v>0.70196078431372555</v>
      </c>
      <c r="R1365" t="s">
        <v>670</v>
      </c>
      <c r="S1365" t="s">
        <v>3158</v>
      </c>
      <c r="T1365" t="s">
        <v>3159</v>
      </c>
      <c r="U1365" t="b">
        <v>1</v>
      </c>
      <c r="V1365" t="s">
        <v>63</v>
      </c>
      <c r="W1365">
        <v>0.6</v>
      </c>
    </row>
    <row r="1366" spans="1:23" hidden="1" x14ac:dyDescent="0.3">
      <c r="A1366" t="s">
        <v>2830</v>
      </c>
      <c r="B1366" t="s">
        <v>2831</v>
      </c>
      <c r="C1366" t="s">
        <v>29</v>
      </c>
      <c r="D1366" t="s">
        <v>20</v>
      </c>
      <c r="E1366" t="s">
        <v>21</v>
      </c>
      <c r="F1366" t="s">
        <v>54</v>
      </c>
      <c r="G1366" t="s">
        <v>283</v>
      </c>
      <c r="H1366" t="s">
        <v>262</v>
      </c>
      <c r="I1366" t="s">
        <v>5</v>
      </c>
      <c r="J1366" t="s">
        <v>284</v>
      </c>
      <c r="K1366" t="s">
        <v>285</v>
      </c>
      <c r="L1366" t="s">
        <v>265</v>
      </c>
      <c r="M1366">
        <v>46</v>
      </c>
      <c r="N1366" t="b">
        <v>0</v>
      </c>
      <c r="O1366">
        <v>0.76271186440677974</v>
      </c>
      <c r="R1366" t="s">
        <v>670</v>
      </c>
      <c r="S1366" t="s">
        <v>3160</v>
      </c>
      <c r="T1366" t="s">
        <v>3161</v>
      </c>
      <c r="U1366" t="b">
        <v>1</v>
      </c>
      <c r="V1366" t="s">
        <v>63</v>
      </c>
      <c r="W1366">
        <v>0.8</v>
      </c>
    </row>
    <row r="1367" spans="1:23" hidden="1" x14ac:dyDescent="0.3">
      <c r="A1367" t="s">
        <v>2830</v>
      </c>
      <c r="B1367" t="s">
        <v>2831</v>
      </c>
      <c r="C1367" t="s">
        <v>29</v>
      </c>
      <c r="D1367" t="s">
        <v>20</v>
      </c>
      <c r="E1367" t="s">
        <v>21</v>
      </c>
      <c r="F1367" t="s">
        <v>54</v>
      </c>
      <c r="G1367" t="s">
        <v>288</v>
      </c>
      <c r="H1367" t="s">
        <v>262</v>
      </c>
      <c r="I1367" t="s">
        <v>5</v>
      </c>
      <c r="J1367" t="s">
        <v>289</v>
      </c>
      <c r="K1367" t="s">
        <v>290</v>
      </c>
      <c r="L1367" t="s">
        <v>265</v>
      </c>
      <c r="M1367">
        <v>47</v>
      </c>
      <c r="N1367" t="b">
        <v>0</v>
      </c>
      <c r="O1367">
        <v>0.77489177489177496</v>
      </c>
      <c r="R1367" t="s">
        <v>670</v>
      </c>
      <c r="S1367" t="s">
        <v>3162</v>
      </c>
      <c r="T1367" t="s">
        <v>3163</v>
      </c>
      <c r="U1367" t="b">
        <v>1</v>
      </c>
      <c r="V1367" t="s">
        <v>63</v>
      </c>
      <c r="W1367">
        <v>0.6</v>
      </c>
    </row>
    <row r="1368" spans="1:23" hidden="1" x14ac:dyDescent="0.3">
      <c r="A1368" t="s">
        <v>2830</v>
      </c>
      <c r="B1368" t="s">
        <v>2831</v>
      </c>
      <c r="C1368" t="s">
        <v>29</v>
      </c>
      <c r="D1368" t="s">
        <v>20</v>
      </c>
      <c r="E1368" t="s">
        <v>21</v>
      </c>
      <c r="F1368" t="s">
        <v>54</v>
      </c>
      <c r="G1368" t="s">
        <v>293</v>
      </c>
      <c r="H1368" t="s">
        <v>262</v>
      </c>
      <c r="I1368" t="s">
        <v>5</v>
      </c>
      <c r="J1368" t="s">
        <v>294</v>
      </c>
      <c r="K1368" t="s">
        <v>295</v>
      </c>
      <c r="L1368" t="s">
        <v>265</v>
      </c>
      <c r="M1368">
        <v>48</v>
      </c>
      <c r="N1368" t="b">
        <v>0</v>
      </c>
      <c r="O1368">
        <v>0.73728813559322037</v>
      </c>
      <c r="R1368" t="s">
        <v>670</v>
      </c>
      <c r="S1368" t="s">
        <v>3164</v>
      </c>
      <c r="T1368" t="s">
        <v>3165</v>
      </c>
      <c r="U1368" t="b">
        <v>1</v>
      </c>
      <c r="V1368" t="s">
        <v>63</v>
      </c>
      <c r="W1368">
        <v>0.6</v>
      </c>
    </row>
    <row r="1369" spans="1:23" hidden="1" x14ac:dyDescent="0.3">
      <c r="A1369" t="s">
        <v>2830</v>
      </c>
      <c r="B1369" t="s">
        <v>2831</v>
      </c>
      <c r="C1369" t="s">
        <v>29</v>
      </c>
      <c r="D1369" t="s">
        <v>20</v>
      </c>
      <c r="E1369" t="s">
        <v>21</v>
      </c>
      <c r="F1369" t="s">
        <v>54</v>
      </c>
      <c r="G1369" t="s">
        <v>298</v>
      </c>
      <c r="H1369" t="s">
        <v>262</v>
      </c>
      <c r="I1369" t="s">
        <v>5</v>
      </c>
      <c r="J1369" t="s">
        <v>299</v>
      </c>
      <c r="K1369" t="s">
        <v>300</v>
      </c>
      <c r="L1369" t="s">
        <v>265</v>
      </c>
      <c r="M1369">
        <v>49</v>
      </c>
      <c r="N1369" t="b">
        <v>0</v>
      </c>
      <c r="O1369">
        <v>0.73029045643153523</v>
      </c>
      <c r="R1369" t="s">
        <v>670</v>
      </c>
      <c r="S1369" t="s">
        <v>3166</v>
      </c>
      <c r="T1369" t="s">
        <v>3167</v>
      </c>
      <c r="U1369" t="b">
        <v>1</v>
      </c>
      <c r="V1369" t="s">
        <v>63</v>
      </c>
      <c r="W1369">
        <v>0.6</v>
      </c>
    </row>
    <row r="1370" spans="1:23" hidden="1" x14ac:dyDescent="0.3">
      <c r="A1370" t="s">
        <v>2830</v>
      </c>
      <c r="B1370" t="s">
        <v>2831</v>
      </c>
      <c r="C1370" t="s">
        <v>29</v>
      </c>
      <c r="D1370" t="s">
        <v>20</v>
      </c>
      <c r="E1370" t="s">
        <v>21</v>
      </c>
      <c r="F1370" t="s">
        <v>54</v>
      </c>
      <c r="G1370" t="s">
        <v>303</v>
      </c>
      <c r="H1370" t="s">
        <v>262</v>
      </c>
      <c r="I1370" t="s">
        <v>5</v>
      </c>
      <c r="J1370" t="s">
        <v>304</v>
      </c>
      <c r="K1370" t="s">
        <v>305</v>
      </c>
      <c r="L1370" t="s">
        <v>265</v>
      </c>
      <c r="M1370">
        <v>50</v>
      </c>
      <c r="N1370" t="b">
        <v>0</v>
      </c>
      <c r="O1370">
        <v>0.72955974842767291</v>
      </c>
      <c r="R1370" t="s">
        <v>670</v>
      </c>
      <c r="S1370" t="s">
        <v>3168</v>
      </c>
      <c r="T1370" t="s">
        <v>3169</v>
      </c>
      <c r="U1370" t="b">
        <v>1</v>
      </c>
      <c r="V1370" t="s">
        <v>63</v>
      </c>
      <c r="W1370">
        <v>0.6</v>
      </c>
    </row>
    <row r="1371" spans="1:23" hidden="1" x14ac:dyDescent="0.3">
      <c r="A1371" t="s">
        <v>2830</v>
      </c>
      <c r="B1371" t="s">
        <v>2831</v>
      </c>
      <c r="C1371" t="s">
        <v>29</v>
      </c>
      <c r="D1371" t="s">
        <v>20</v>
      </c>
      <c r="E1371" t="s">
        <v>21</v>
      </c>
      <c r="F1371" t="s">
        <v>54</v>
      </c>
      <c r="G1371" t="s">
        <v>308</v>
      </c>
      <c r="H1371" t="s">
        <v>262</v>
      </c>
      <c r="I1371" t="s">
        <v>5</v>
      </c>
      <c r="J1371" t="s">
        <v>309</v>
      </c>
      <c r="K1371" t="s">
        <v>310</v>
      </c>
      <c r="L1371" t="s">
        <v>265</v>
      </c>
      <c r="M1371">
        <v>51</v>
      </c>
      <c r="N1371" t="b">
        <v>0</v>
      </c>
      <c r="O1371">
        <v>0.74645030425963488</v>
      </c>
      <c r="R1371" t="s">
        <v>670</v>
      </c>
      <c r="S1371" t="s">
        <v>3170</v>
      </c>
      <c r="T1371" t="s">
        <v>3171</v>
      </c>
      <c r="U1371" t="b">
        <v>1</v>
      </c>
      <c r="V1371" t="s">
        <v>63</v>
      </c>
      <c r="W1371">
        <v>0.6</v>
      </c>
    </row>
    <row r="1372" spans="1:23" hidden="1" x14ac:dyDescent="0.3">
      <c r="A1372" t="s">
        <v>2830</v>
      </c>
      <c r="B1372" t="s">
        <v>2831</v>
      </c>
      <c r="C1372" t="s">
        <v>29</v>
      </c>
      <c r="D1372" t="s">
        <v>20</v>
      </c>
      <c r="E1372" t="s">
        <v>21</v>
      </c>
      <c r="F1372" t="s">
        <v>54</v>
      </c>
      <c r="G1372" t="s">
        <v>313</v>
      </c>
      <c r="H1372" t="s">
        <v>262</v>
      </c>
      <c r="I1372" t="s">
        <v>5</v>
      </c>
      <c r="J1372" t="s">
        <v>314</v>
      </c>
      <c r="K1372" t="s">
        <v>315</v>
      </c>
      <c r="L1372" t="s">
        <v>265</v>
      </c>
      <c r="M1372">
        <v>52</v>
      </c>
      <c r="N1372" t="b">
        <v>0</v>
      </c>
      <c r="O1372">
        <v>0.75906183368869928</v>
      </c>
      <c r="R1372" t="s">
        <v>670</v>
      </c>
      <c r="S1372" t="s">
        <v>3172</v>
      </c>
      <c r="T1372" t="s">
        <v>3173</v>
      </c>
      <c r="U1372" t="b">
        <v>1</v>
      </c>
      <c r="V1372" t="s">
        <v>63</v>
      </c>
      <c r="W1372">
        <v>0.6</v>
      </c>
    </row>
    <row r="1373" spans="1:23" hidden="1" x14ac:dyDescent="0.3">
      <c r="A1373" t="s">
        <v>2830</v>
      </c>
      <c r="B1373" t="s">
        <v>2831</v>
      </c>
      <c r="C1373" t="s">
        <v>29</v>
      </c>
      <c r="D1373" t="s">
        <v>20</v>
      </c>
      <c r="E1373" t="s">
        <v>21</v>
      </c>
      <c r="F1373" t="s">
        <v>54</v>
      </c>
      <c r="G1373" t="s">
        <v>318</v>
      </c>
      <c r="H1373" t="s">
        <v>262</v>
      </c>
      <c r="I1373" t="s">
        <v>5</v>
      </c>
      <c r="J1373" t="s">
        <v>319</v>
      </c>
      <c r="K1373" t="s">
        <v>320</v>
      </c>
      <c r="L1373" t="s">
        <v>265</v>
      </c>
      <c r="M1373">
        <v>53</v>
      </c>
      <c r="N1373" t="b">
        <v>0</v>
      </c>
      <c r="O1373">
        <v>0.78587196467991161</v>
      </c>
      <c r="R1373" t="s">
        <v>670</v>
      </c>
      <c r="S1373" t="s">
        <v>3174</v>
      </c>
      <c r="T1373" t="s">
        <v>3175</v>
      </c>
      <c r="U1373" t="b">
        <v>1</v>
      </c>
      <c r="V1373" t="s">
        <v>63</v>
      </c>
      <c r="W1373">
        <v>0.9</v>
      </c>
    </row>
    <row r="1374" spans="1:23" hidden="1" x14ac:dyDescent="0.3">
      <c r="A1374" t="s">
        <v>2830</v>
      </c>
      <c r="B1374" t="s">
        <v>2831</v>
      </c>
      <c r="C1374" t="s">
        <v>29</v>
      </c>
      <c r="D1374" t="s">
        <v>20</v>
      </c>
      <c r="E1374" t="s">
        <v>21</v>
      </c>
      <c r="F1374" t="s">
        <v>54</v>
      </c>
      <c r="G1374" t="s">
        <v>323</v>
      </c>
      <c r="H1374" t="s">
        <v>262</v>
      </c>
      <c r="I1374" t="s">
        <v>5</v>
      </c>
      <c r="J1374" t="s">
        <v>324</v>
      </c>
      <c r="K1374" t="s">
        <v>325</v>
      </c>
      <c r="L1374" t="s">
        <v>265</v>
      </c>
      <c r="M1374">
        <v>54</v>
      </c>
      <c r="N1374" t="b">
        <v>0</v>
      </c>
      <c r="O1374">
        <v>0.75</v>
      </c>
      <c r="R1374" t="s">
        <v>670</v>
      </c>
      <c r="S1374" t="s">
        <v>3176</v>
      </c>
      <c r="T1374" t="s">
        <v>3177</v>
      </c>
      <c r="U1374" t="b">
        <v>1</v>
      </c>
      <c r="V1374" t="s">
        <v>63</v>
      </c>
      <c r="W1374">
        <v>0.6</v>
      </c>
    </row>
    <row r="1375" spans="1:23" hidden="1" x14ac:dyDescent="0.3">
      <c r="A1375" t="s">
        <v>2830</v>
      </c>
      <c r="B1375" t="s">
        <v>2831</v>
      </c>
      <c r="C1375" t="s">
        <v>29</v>
      </c>
      <c r="D1375" t="s">
        <v>20</v>
      </c>
      <c r="E1375" t="s">
        <v>21</v>
      </c>
      <c r="F1375" t="s">
        <v>54</v>
      </c>
      <c r="G1375" t="s">
        <v>328</v>
      </c>
      <c r="H1375" t="s">
        <v>262</v>
      </c>
      <c r="I1375" t="s">
        <v>5</v>
      </c>
      <c r="J1375" t="s">
        <v>329</v>
      </c>
      <c r="K1375" t="s">
        <v>330</v>
      </c>
      <c r="L1375" t="s">
        <v>265</v>
      </c>
      <c r="M1375">
        <v>55</v>
      </c>
      <c r="N1375" t="b">
        <v>0</v>
      </c>
      <c r="O1375">
        <v>0.79458239277652365</v>
      </c>
      <c r="R1375" t="s">
        <v>670</v>
      </c>
      <c r="S1375" t="s">
        <v>3178</v>
      </c>
      <c r="T1375" t="s">
        <v>3179</v>
      </c>
      <c r="U1375" t="b">
        <v>1</v>
      </c>
      <c r="V1375" t="s">
        <v>63</v>
      </c>
      <c r="W1375">
        <v>0.6</v>
      </c>
    </row>
    <row r="1376" spans="1:23" hidden="1" x14ac:dyDescent="0.3">
      <c r="A1376" t="s">
        <v>2830</v>
      </c>
      <c r="B1376" t="s">
        <v>2831</v>
      </c>
      <c r="C1376" t="s">
        <v>29</v>
      </c>
      <c r="D1376" t="s">
        <v>20</v>
      </c>
      <c r="E1376" t="s">
        <v>21</v>
      </c>
      <c r="F1376" t="s">
        <v>54</v>
      </c>
      <c r="G1376" t="s">
        <v>333</v>
      </c>
      <c r="H1376" t="s">
        <v>262</v>
      </c>
      <c r="I1376" t="s">
        <v>5</v>
      </c>
      <c r="J1376" t="s">
        <v>334</v>
      </c>
      <c r="K1376" t="s">
        <v>335</v>
      </c>
      <c r="L1376" t="s">
        <v>265</v>
      </c>
      <c r="M1376">
        <v>56</v>
      </c>
      <c r="N1376" t="b">
        <v>0</v>
      </c>
      <c r="O1376">
        <v>0.71311475409836067</v>
      </c>
      <c r="R1376" t="s">
        <v>670</v>
      </c>
      <c r="S1376" t="s">
        <v>3180</v>
      </c>
      <c r="T1376" t="s">
        <v>3181</v>
      </c>
      <c r="U1376" t="b">
        <v>1</v>
      </c>
      <c r="V1376" t="s">
        <v>63</v>
      </c>
      <c r="W1376">
        <v>0.7</v>
      </c>
    </row>
    <row r="1377" spans="1:23" hidden="1" x14ac:dyDescent="0.3">
      <c r="A1377" t="s">
        <v>2830</v>
      </c>
      <c r="B1377" t="s">
        <v>2831</v>
      </c>
      <c r="C1377" t="s">
        <v>29</v>
      </c>
      <c r="D1377" t="s">
        <v>20</v>
      </c>
      <c r="E1377" t="s">
        <v>21</v>
      </c>
      <c r="F1377" t="s">
        <v>54</v>
      </c>
      <c r="G1377" t="s">
        <v>338</v>
      </c>
      <c r="H1377" t="s">
        <v>262</v>
      </c>
      <c r="I1377" t="s">
        <v>5</v>
      </c>
      <c r="J1377" t="s">
        <v>339</v>
      </c>
      <c r="K1377" t="s">
        <v>340</v>
      </c>
      <c r="L1377" t="s">
        <v>265</v>
      </c>
      <c r="M1377">
        <v>57</v>
      </c>
      <c r="N1377" t="b">
        <v>0</v>
      </c>
      <c r="O1377">
        <v>0.76659528907922914</v>
      </c>
      <c r="R1377" t="s">
        <v>670</v>
      </c>
      <c r="S1377" t="s">
        <v>3182</v>
      </c>
      <c r="T1377" t="s">
        <v>3183</v>
      </c>
      <c r="U1377" t="b">
        <v>1</v>
      </c>
      <c r="V1377" t="s">
        <v>63</v>
      </c>
      <c r="W1377">
        <v>0.6</v>
      </c>
    </row>
    <row r="1378" spans="1:23" hidden="1" x14ac:dyDescent="0.3">
      <c r="A1378" t="s">
        <v>2830</v>
      </c>
      <c r="B1378" t="s">
        <v>2831</v>
      </c>
      <c r="C1378" t="s">
        <v>29</v>
      </c>
      <c r="D1378" t="s">
        <v>20</v>
      </c>
      <c r="E1378" t="s">
        <v>21</v>
      </c>
      <c r="F1378" t="s">
        <v>54</v>
      </c>
      <c r="G1378" t="s">
        <v>343</v>
      </c>
      <c r="H1378" t="s">
        <v>262</v>
      </c>
      <c r="I1378" t="s">
        <v>5</v>
      </c>
      <c r="J1378" t="s">
        <v>344</v>
      </c>
      <c r="K1378" t="s">
        <v>345</v>
      </c>
      <c r="L1378" t="s">
        <v>265</v>
      </c>
      <c r="M1378">
        <v>58</v>
      </c>
      <c r="N1378" t="b">
        <v>0</v>
      </c>
      <c r="O1378">
        <v>0.743099787685775</v>
      </c>
      <c r="R1378" t="s">
        <v>670</v>
      </c>
      <c r="S1378" t="s">
        <v>3184</v>
      </c>
      <c r="T1378" t="s">
        <v>3185</v>
      </c>
      <c r="U1378" t="b">
        <v>1</v>
      </c>
      <c r="V1378" t="s">
        <v>63</v>
      </c>
      <c r="W1378">
        <v>0.8</v>
      </c>
    </row>
    <row r="1379" spans="1:23" hidden="1" x14ac:dyDescent="0.3">
      <c r="A1379" t="s">
        <v>2830</v>
      </c>
      <c r="B1379" t="s">
        <v>2831</v>
      </c>
      <c r="C1379" t="s">
        <v>29</v>
      </c>
      <c r="D1379" t="s">
        <v>20</v>
      </c>
      <c r="E1379" t="s">
        <v>21</v>
      </c>
      <c r="F1379" t="s">
        <v>54</v>
      </c>
      <c r="G1379" t="s">
        <v>348</v>
      </c>
      <c r="H1379" t="s">
        <v>262</v>
      </c>
      <c r="I1379" t="s">
        <v>5</v>
      </c>
      <c r="J1379" t="s">
        <v>349</v>
      </c>
      <c r="K1379" t="s">
        <v>350</v>
      </c>
      <c r="L1379" t="s">
        <v>265</v>
      </c>
      <c r="M1379">
        <v>59</v>
      </c>
      <c r="N1379" t="b">
        <v>0</v>
      </c>
      <c r="O1379">
        <v>0.72016460905349811</v>
      </c>
      <c r="R1379" t="s">
        <v>670</v>
      </c>
      <c r="S1379" t="s">
        <v>3186</v>
      </c>
      <c r="T1379" t="s">
        <v>3187</v>
      </c>
      <c r="U1379" t="b">
        <v>1</v>
      </c>
      <c r="V1379" t="s">
        <v>63</v>
      </c>
      <c r="W1379">
        <v>0.6</v>
      </c>
    </row>
    <row r="1380" spans="1:23" hidden="1" x14ac:dyDescent="0.3">
      <c r="A1380" t="s">
        <v>2830</v>
      </c>
      <c r="B1380" t="s">
        <v>2831</v>
      </c>
      <c r="C1380" t="s">
        <v>29</v>
      </c>
      <c r="D1380" t="s">
        <v>20</v>
      </c>
      <c r="E1380" t="s">
        <v>21</v>
      </c>
      <c r="F1380" t="s">
        <v>54</v>
      </c>
      <c r="G1380" t="s">
        <v>353</v>
      </c>
      <c r="H1380" t="s">
        <v>262</v>
      </c>
      <c r="I1380" t="s">
        <v>5</v>
      </c>
      <c r="J1380" t="s">
        <v>354</v>
      </c>
      <c r="K1380" t="s">
        <v>355</v>
      </c>
      <c r="L1380" t="s">
        <v>265</v>
      </c>
      <c r="M1380">
        <v>60</v>
      </c>
      <c r="N1380" t="b">
        <v>0</v>
      </c>
      <c r="O1380">
        <v>0.74739039665970775</v>
      </c>
      <c r="R1380" t="s">
        <v>670</v>
      </c>
      <c r="S1380" t="s">
        <v>3188</v>
      </c>
      <c r="T1380" t="s">
        <v>3189</v>
      </c>
      <c r="U1380" t="b">
        <v>1</v>
      </c>
      <c r="V1380" t="s">
        <v>63</v>
      </c>
      <c r="W1380">
        <v>0.6</v>
      </c>
    </row>
    <row r="1381" spans="1:23" hidden="1" x14ac:dyDescent="0.3">
      <c r="A1381" t="s">
        <v>2830</v>
      </c>
      <c r="B1381" t="s">
        <v>2831</v>
      </c>
      <c r="C1381" t="s">
        <v>29</v>
      </c>
      <c r="D1381" t="s">
        <v>20</v>
      </c>
      <c r="E1381" t="s">
        <v>21</v>
      </c>
      <c r="F1381" t="s">
        <v>54</v>
      </c>
      <c r="G1381" t="s">
        <v>358</v>
      </c>
      <c r="H1381" t="s">
        <v>262</v>
      </c>
      <c r="I1381" t="s">
        <v>5</v>
      </c>
      <c r="J1381" t="s">
        <v>359</v>
      </c>
      <c r="K1381" t="s">
        <v>360</v>
      </c>
      <c r="L1381" t="s">
        <v>265</v>
      </c>
      <c r="M1381">
        <v>61</v>
      </c>
      <c r="N1381" t="b">
        <v>0</v>
      </c>
      <c r="O1381">
        <v>0.75555555555555542</v>
      </c>
      <c r="R1381" t="s">
        <v>670</v>
      </c>
      <c r="S1381" t="s">
        <v>3190</v>
      </c>
      <c r="T1381" t="s">
        <v>3191</v>
      </c>
      <c r="U1381" t="b">
        <v>1</v>
      </c>
      <c r="V1381" t="s">
        <v>63</v>
      </c>
      <c r="W1381">
        <v>0.6</v>
      </c>
    </row>
    <row r="1382" spans="1:23" hidden="1" x14ac:dyDescent="0.3">
      <c r="A1382" t="s">
        <v>2830</v>
      </c>
      <c r="B1382" t="s">
        <v>2831</v>
      </c>
      <c r="C1382" t="s">
        <v>29</v>
      </c>
      <c r="D1382" t="s">
        <v>20</v>
      </c>
      <c r="E1382" t="s">
        <v>21</v>
      </c>
      <c r="F1382" t="s">
        <v>363</v>
      </c>
      <c r="G1382" t="s">
        <v>364</v>
      </c>
      <c r="H1382" t="s">
        <v>365</v>
      </c>
      <c r="I1382" t="s">
        <v>13</v>
      </c>
      <c r="J1382" t="s">
        <v>366</v>
      </c>
      <c r="K1382" t="s">
        <v>367</v>
      </c>
      <c r="L1382" t="s">
        <v>368</v>
      </c>
      <c r="M1382">
        <v>42</v>
      </c>
      <c r="N1382" t="b">
        <v>0</v>
      </c>
      <c r="O1382">
        <v>0.79002079002079006</v>
      </c>
      <c r="R1382" t="s">
        <v>670</v>
      </c>
      <c r="S1382" t="s">
        <v>3192</v>
      </c>
      <c r="T1382" t="s">
        <v>3193</v>
      </c>
      <c r="U1382" t="b">
        <v>1</v>
      </c>
      <c r="V1382" t="s">
        <v>63</v>
      </c>
      <c r="W1382">
        <v>0.6</v>
      </c>
    </row>
    <row r="1383" spans="1:23" hidden="1" x14ac:dyDescent="0.3">
      <c r="A1383" t="s">
        <v>2830</v>
      </c>
      <c r="B1383" t="s">
        <v>2831</v>
      </c>
      <c r="C1383" t="s">
        <v>29</v>
      </c>
      <c r="D1383" t="s">
        <v>20</v>
      </c>
      <c r="E1383" t="s">
        <v>21</v>
      </c>
      <c r="F1383" t="s">
        <v>363</v>
      </c>
      <c r="G1383" t="s">
        <v>371</v>
      </c>
      <c r="H1383" t="s">
        <v>365</v>
      </c>
      <c r="I1383" t="s">
        <v>13</v>
      </c>
      <c r="J1383" t="s">
        <v>372</v>
      </c>
      <c r="K1383" t="s">
        <v>373</v>
      </c>
      <c r="L1383" t="s">
        <v>368</v>
      </c>
      <c r="M1383">
        <v>43</v>
      </c>
      <c r="N1383" t="b">
        <v>0</v>
      </c>
      <c r="O1383">
        <v>0.79237288135593231</v>
      </c>
      <c r="R1383" t="s">
        <v>670</v>
      </c>
      <c r="S1383" t="s">
        <v>3194</v>
      </c>
      <c r="T1383" t="s">
        <v>3195</v>
      </c>
      <c r="U1383" t="b">
        <v>1</v>
      </c>
      <c r="V1383" t="s">
        <v>63</v>
      </c>
      <c r="W1383">
        <v>0.6</v>
      </c>
    </row>
    <row r="1384" spans="1:23" hidden="1" x14ac:dyDescent="0.3">
      <c r="A1384" t="s">
        <v>2830</v>
      </c>
      <c r="B1384" t="s">
        <v>2831</v>
      </c>
      <c r="C1384" t="s">
        <v>29</v>
      </c>
      <c r="D1384" t="s">
        <v>20</v>
      </c>
      <c r="E1384" t="s">
        <v>21</v>
      </c>
      <c r="F1384" t="s">
        <v>363</v>
      </c>
      <c r="G1384" t="s">
        <v>376</v>
      </c>
      <c r="H1384" t="s">
        <v>365</v>
      </c>
      <c r="I1384" t="s">
        <v>13</v>
      </c>
      <c r="J1384" t="s">
        <v>377</v>
      </c>
      <c r="K1384" t="s">
        <v>378</v>
      </c>
      <c r="L1384" t="s">
        <v>368</v>
      </c>
      <c r="M1384">
        <v>44</v>
      </c>
      <c r="N1384" t="b">
        <v>0</v>
      </c>
      <c r="O1384">
        <v>0.78099173553719015</v>
      </c>
      <c r="R1384" t="s">
        <v>670</v>
      </c>
      <c r="S1384" t="s">
        <v>3196</v>
      </c>
      <c r="T1384" t="s">
        <v>3197</v>
      </c>
      <c r="U1384" t="b">
        <v>1</v>
      </c>
      <c r="V1384" t="s">
        <v>63</v>
      </c>
      <c r="W1384">
        <v>0.6</v>
      </c>
    </row>
    <row r="1385" spans="1:23" hidden="1" x14ac:dyDescent="0.3">
      <c r="A1385" t="s">
        <v>2830</v>
      </c>
      <c r="B1385" t="s">
        <v>2831</v>
      </c>
      <c r="C1385" t="s">
        <v>29</v>
      </c>
      <c r="D1385" t="s">
        <v>20</v>
      </c>
      <c r="E1385" t="s">
        <v>21</v>
      </c>
      <c r="F1385" t="s">
        <v>363</v>
      </c>
      <c r="G1385" t="s">
        <v>381</v>
      </c>
      <c r="H1385" t="s">
        <v>365</v>
      </c>
      <c r="I1385" t="s">
        <v>13</v>
      </c>
      <c r="J1385" t="s">
        <v>382</v>
      </c>
      <c r="K1385" t="s">
        <v>383</v>
      </c>
      <c r="L1385" t="s">
        <v>368</v>
      </c>
      <c r="M1385">
        <v>45</v>
      </c>
      <c r="N1385" t="b">
        <v>0</v>
      </c>
      <c r="O1385">
        <v>0.78406708595387842</v>
      </c>
      <c r="R1385" t="s">
        <v>670</v>
      </c>
      <c r="S1385" t="s">
        <v>3198</v>
      </c>
      <c r="T1385" t="s">
        <v>3199</v>
      </c>
      <c r="U1385" t="b">
        <v>1</v>
      </c>
      <c r="V1385" t="s">
        <v>63</v>
      </c>
      <c r="W1385">
        <v>0.6</v>
      </c>
    </row>
    <row r="1386" spans="1:23" hidden="1" x14ac:dyDescent="0.3">
      <c r="A1386" t="s">
        <v>2830</v>
      </c>
      <c r="B1386" t="s">
        <v>2831</v>
      </c>
      <c r="C1386" t="s">
        <v>29</v>
      </c>
      <c r="D1386" t="s">
        <v>20</v>
      </c>
      <c r="E1386" t="s">
        <v>21</v>
      </c>
      <c r="F1386" t="s">
        <v>363</v>
      </c>
      <c r="G1386" t="s">
        <v>386</v>
      </c>
      <c r="H1386" t="s">
        <v>365</v>
      </c>
      <c r="I1386" t="s">
        <v>13</v>
      </c>
      <c r="J1386" t="s">
        <v>387</v>
      </c>
      <c r="K1386" t="s">
        <v>388</v>
      </c>
      <c r="L1386" t="s">
        <v>368</v>
      </c>
      <c r="M1386">
        <v>46</v>
      </c>
      <c r="N1386" t="b">
        <v>0</v>
      </c>
      <c r="O1386">
        <v>0.76955602536997891</v>
      </c>
      <c r="R1386" t="s">
        <v>670</v>
      </c>
      <c r="S1386" t="s">
        <v>3200</v>
      </c>
      <c r="T1386" t="s">
        <v>3201</v>
      </c>
      <c r="U1386" t="b">
        <v>1</v>
      </c>
      <c r="V1386" t="s">
        <v>63</v>
      </c>
      <c r="W1386">
        <v>0.6</v>
      </c>
    </row>
    <row r="1387" spans="1:23" hidden="1" x14ac:dyDescent="0.3">
      <c r="A1387" t="s">
        <v>2830</v>
      </c>
      <c r="B1387" t="s">
        <v>2831</v>
      </c>
      <c r="C1387" t="s">
        <v>29</v>
      </c>
      <c r="D1387" t="s">
        <v>20</v>
      </c>
      <c r="E1387" t="s">
        <v>21</v>
      </c>
      <c r="F1387" t="s">
        <v>363</v>
      </c>
      <c r="G1387" t="s">
        <v>391</v>
      </c>
      <c r="H1387" t="s">
        <v>365</v>
      </c>
      <c r="I1387" t="s">
        <v>13</v>
      </c>
      <c r="J1387" t="s">
        <v>392</v>
      </c>
      <c r="K1387" t="s">
        <v>393</v>
      </c>
      <c r="L1387" t="s">
        <v>368</v>
      </c>
      <c r="M1387">
        <v>47</v>
      </c>
      <c r="N1387" t="b">
        <v>0</v>
      </c>
      <c r="O1387">
        <v>0.78260869565217395</v>
      </c>
      <c r="R1387" t="s">
        <v>670</v>
      </c>
      <c r="S1387" t="s">
        <v>3202</v>
      </c>
      <c r="T1387" t="s">
        <v>3203</v>
      </c>
      <c r="U1387" t="b">
        <v>1</v>
      </c>
      <c r="V1387" t="s">
        <v>63</v>
      </c>
      <c r="W1387">
        <v>0.6</v>
      </c>
    </row>
    <row r="1388" spans="1:23" hidden="1" x14ac:dyDescent="0.3">
      <c r="A1388" t="s">
        <v>2830</v>
      </c>
      <c r="B1388" t="s">
        <v>2831</v>
      </c>
      <c r="C1388" t="s">
        <v>29</v>
      </c>
      <c r="D1388" t="s">
        <v>20</v>
      </c>
      <c r="E1388" t="s">
        <v>21</v>
      </c>
      <c r="F1388" t="s">
        <v>363</v>
      </c>
      <c r="G1388" t="s">
        <v>396</v>
      </c>
      <c r="H1388" t="s">
        <v>365</v>
      </c>
      <c r="I1388" t="s">
        <v>13</v>
      </c>
      <c r="J1388" t="s">
        <v>397</v>
      </c>
      <c r="K1388" t="s">
        <v>398</v>
      </c>
      <c r="L1388" t="s">
        <v>368</v>
      </c>
      <c r="M1388">
        <v>48</v>
      </c>
      <c r="N1388" t="b">
        <v>0</v>
      </c>
      <c r="O1388">
        <v>0.80084745762711873</v>
      </c>
      <c r="R1388" t="s">
        <v>670</v>
      </c>
      <c r="S1388" t="s">
        <v>3204</v>
      </c>
      <c r="T1388" t="s">
        <v>3205</v>
      </c>
      <c r="U1388" t="b">
        <v>1</v>
      </c>
      <c r="V1388" t="s">
        <v>63</v>
      </c>
      <c r="W1388">
        <v>0.6</v>
      </c>
    </row>
    <row r="1389" spans="1:23" hidden="1" x14ac:dyDescent="0.3">
      <c r="A1389" t="s">
        <v>2830</v>
      </c>
      <c r="B1389" t="s">
        <v>2831</v>
      </c>
      <c r="C1389" t="s">
        <v>29</v>
      </c>
      <c r="D1389" t="s">
        <v>20</v>
      </c>
      <c r="E1389" t="s">
        <v>21</v>
      </c>
      <c r="F1389" t="s">
        <v>363</v>
      </c>
      <c r="G1389" t="s">
        <v>401</v>
      </c>
      <c r="H1389" t="s">
        <v>365</v>
      </c>
      <c r="I1389" t="s">
        <v>13</v>
      </c>
      <c r="J1389" t="s">
        <v>402</v>
      </c>
      <c r="K1389" t="s">
        <v>403</v>
      </c>
      <c r="L1389" t="s">
        <v>368</v>
      </c>
      <c r="M1389">
        <v>49</v>
      </c>
      <c r="N1389" t="b">
        <v>0</v>
      </c>
      <c r="O1389">
        <v>0.79746835443037989</v>
      </c>
      <c r="R1389" t="s">
        <v>670</v>
      </c>
      <c r="S1389" t="s">
        <v>3206</v>
      </c>
      <c r="T1389" t="s">
        <v>3207</v>
      </c>
      <c r="U1389" t="b">
        <v>1</v>
      </c>
      <c r="V1389" t="s">
        <v>63</v>
      </c>
      <c r="W1389">
        <v>0.6</v>
      </c>
    </row>
    <row r="1390" spans="1:23" hidden="1" x14ac:dyDescent="0.3">
      <c r="A1390" t="s">
        <v>2830</v>
      </c>
      <c r="B1390" t="s">
        <v>2831</v>
      </c>
      <c r="C1390" t="s">
        <v>29</v>
      </c>
      <c r="D1390" t="s">
        <v>20</v>
      </c>
      <c r="E1390" t="s">
        <v>21</v>
      </c>
      <c r="F1390" t="s">
        <v>363</v>
      </c>
      <c r="G1390" t="s">
        <v>406</v>
      </c>
      <c r="H1390" t="s">
        <v>365</v>
      </c>
      <c r="I1390" t="s">
        <v>13</v>
      </c>
      <c r="J1390" t="s">
        <v>407</v>
      </c>
      <c r="K1390" t="s">
        <v>408</v>
      </c>
      <c r="L1390" t="s">
        <v>368</v>
      </c>
      <c r="M1390">
        <v>50</v>
      </c>
      <c r="N1390" t="b">
        <v>0</v>
      </c>
      <c r="O1390">
        <v>0.78980891719745228</v>
      </c>
      <c r="R1390" t="s">
        <v>670</v>
      </c>
      <c r="S1390" t="s">
        <v>3208</v>
      </c>
      <c r="T1390" t="s">
        <v>3209</v>
      </c>
      <c r="U1390" t="b">
        <v>1</v>
      </c>
      <c r="V1390" t="s">
        <v>63</v>
      </c>
      <c r="W1390">
        <v>0.6</v>
      </c>
    </row>
    <row r="1391" spans="1:23" hidden="1" x14ac:dyDescent="0.3">
      <c r="A1391" t="s">
        <v>2830</v>
      </c>
      <c r="B1391" t="s">
        <v>2831</v>
      </c>
      <c r="C1391" t="s">
        <v>29</v>
      </c>
      <c r="D1391" t="s">
        <v>20</v>
      </c>
      <c r="E1391" t="s">
        <v>21</v>
      </c>
      <c r="F1391" t="s">
        <v>363</v>
      </c>
      <c r="G1391" t="s">
        <v>411</v>
      </c>
      <c r="H1391" t="s">
        <v>365</v>
      </c>
      <c r="I1391" t="s">
        <v>13</v>
      </c>
      <c r="J1391" t="s">
        <v>412</v>
      </c>
      <c r="K1391" t="s">
        <v>413</v>
      </c>
      <c r="L1391" t="s">
        <v>368</v>
      </c>
      <c r="M1391">
        <v>51</v>
      </c>
      <c r="N1391" t="b">
        <v>0</v>
      </c>
      <c r="O1391">
        <v>0.80425531914893633</v>
      </c>
      <c r="R1391" t="s">
        <v>670</v>
      </c>
      <c r="S1391" t="s">
        <v>3210</v>
      </c>
      <c r="T1391" t="s">
        <v>3211</v>
      </c>
      <c r="U1391" t="b">
        <v>1</v>
      </c>
      <c r="V1391" t="s">
        <v>63</v>
      </c>
      <c r="W1391">
        <v>0.6</v>
      </c>
    </row>
    <row r="1392" spans="1:23" hidden="1" x14ac:dyDescent="0.3">
      <c r="A1392" t="s">
        <v>2830</v>
      </c>
      <c r="B1392" t="s">
        <v>2831</v>
      </c>
      <c r="C1392" t="s">
        <v>29</v>
      </c>
      <c r="D1392" t="s">
        <v>20</v>
      </c>
      <c r="E1392" t="s">
        <v>21</v>
      </c>
      <c r="F1392" t="s">
        <v>363</v>
      </c>
      <c r="G1392" t="s">
        <v>416</v>
      </c>
      <c r="H1392" t="s">
        <v>365</v>
      </c>
      <c r="I1392" t="s">
        <v>13</v>
      </c>
      <c r="J1392" t="s">
        <v>417</v>
      </c>
      <c r="K1392" t="s">
        <v>418</v>
      </c>
      <c r="L1392" t="s">
        <v>368</v>
      </c>
      <c r="M1392">
        <v>52</v>
      </c>
      <c r="N1392" t="b">
        <v>0</v>
      </c>
      <c r="O1392">
        <v>0.81779661016949157</v>
      </c>
      <c r="R1392" t="s">
        <v>670</v>
      </c>
      <c r="S1392" t="s">
        <v>3212</v>
      </c>
      <c r="T1392" t="s">
        <v>3213</v>
      </c>
      <c r="U1392" t="b">
        <v>1</v>
      </c>
      <c r="V1392" t="s">
        <v>63</v>
      </c>
      <c r="W1392">
        <v>0.6</v>
      </c>
    </row>
    <row r="1393" spans="1:23" hidden="1" x14ac:dyDescent="0.3">
      <c r="A1393" t="s">
        <v>2830</v>
      </c>
      <c r="B1393" t="s">
        <v>2831</v>
      </c>
      <c r="C1393" t="s">
        <v>29</v>
      </c>
      <c r="D1393" t="s">
        <v>20</v>
      </c>
      <c r="E1393" t="s">
        <v>21</v>
      </c>
      <c r="F1393" t="s">
        <v>363</v>
      </c>
      <c r="G1393" t="s">
        <v>421</v>
      </c>
      <c r="H1393" t="s">
        <v>365</v>
      </c>
      <c r="I1393" t="s">
        <v>13</v>
      </c>
      <c r="J1393" t="s">
        <v>422</v>
      </c>
      <c r="K1393" t="s">
        <v>423</v>
      </c>
      <c r="L1393" t="s">
        <v>368</v>
      </c>
      <c r="M1393">
        <v>53</v>
      </c>
      <c r="N1393" t="b">
        <v>0</v>
      </c>
      <c r="O1393">
        <v>0.7773109243697478</v>
      </c>
      <c r="R1393" t="s">
        <v>670</v>
      </c>
      <c r="S1393" t="s">
        <v>3214</v>
      </c>
      <c r="T1393" t="s">
        <v>3215</v>
      </c>
      <c r="U1393" t="b">
        <v>1</v>
      </c>
      <c r="V1393" t="s">
        <v>63</v>
      </c>
      <c r="W1393">
        <v>0.8</v>
      </c>
    </row>
    <row r="1394" spans="1:23" hidden="1" x14ac:dyDescent="0.3">
      <c r="A1394" t="s">
        <v>2830</v>
      </c>
      <c r="B1394" t="s">
        <v>2831</v>
      </c>
      <c r="C1394" t="s">
        <v>29</v>
      </c>
      <c r="D1394" t="s">
        <v>20</v>
      </c>
      <c r="E1394" t="s">
        <v>21</v>
      </c>
      <c r="F1394" t="s">
        <v>363</v>
      </c>
      <c r="G1394" t="s">
        <v>426</v>
      </c>
      <c r="H1394" t="s">
        <v>365</v>
      </c>
      <c r="I1394" t="s">
        <v>13</v>
      </c>
      <c r="J1394" t="s">
        <v>427</v>
      </c>
      <c r="K1394" t="s">
        <v>428</v>
      </c>
      <c r="L1394" t="s">
        <v>368</v>
      </c>
      <c r="M1394">
        <v>54</v>
      </c>
      <c r="N1394" t="b">
        <v>0</v>
      </c>
      <c r="O1394">
        <v>0.78481012658227844</v>
      </c>
      <c r="R1394" t="s">
        <v>670</v>
      </c>
      <c r="S1394" t="s">
        <v>3216</v>
      </c>
      <c r="T1394" t="s">
        <v>3217</v>
      </c>
      <c r="U1394" t="b">
        <v>1</v>
      </c>
      <c r="V1394" t="s">
        <v>63</v>
      </c>
      <c r="W1394">
        <v>0.6</v>
      </c>
    </row>
    <row r="1395" spans="1:23" hidden="1" x14ac:dyDescent="0.3">
      <c r="A1395" t="s">
        <v>2830</v>
      </c>
      <c r="B1395" t="s">
        <v>2831</v>
      </c>
      <c r="C1395" t="s">
        <v>29</v>
      </c>
      <c r="D1395" t="s">
        <v>20</v>
      </c>
      <c r="E1395" t="s">
        <v>21</v>
      </c>
      <c r="F1395" t="s">
        <v>363</v>
      </c>
      <c r="G1395" t="s">
        <v>431</v>
      </c>
      <c r="H1395" t="s">
        <v>365</v>
      </c>
      <c r="I1395" t="s">
        <v>13</v>
      </c>
      <c r="J1395" t="s">
        <v>432</v>
      </c>
      <c r="K1395" t="s">
        <v>433</v>
      </c>
      <c r="L1395" t="s">
        <v>368</v>
      </c>
      <c r="M1395">
        <v>55</v>
      </c>
      <c r="N1395" t="b">
        <v>0</v>
      </c>
      <c r="O1395">
        <v>0.78333333333333344</v>
      </c>
      <c r="R1395" t="s">
        <v>670</v>
      </c>
      <c r="S1395" t="s">
        <v>3218</v>
      </c>
      <c r="T1395" t="s">
        <v>3219</v>
      </c>
      <c r="U1395" t="b">
        <v>1</v>
      </c>
      <c r="V1395" t="s">
        <v>63</v>
      </c>
      <c r="W1395">
        <v>0.6</v>
      </c>
    </row>
    <row r="1396" spans="1:23" hidden="1" x14ac:dyDescent="0.3">
      <c r="A1396" t="s">
        <v>2830</v>
      </c>
      <c r="B1396" t="s">
        <v>2831</v>
      </c>
      <c r="C1396" t="s">
        <v>29</v>
      </c>
      <c r="D1396" t="s">
        <v>20</v>
      </c>
      <c r="E1396" t="s">
        <v>21</v>
      </c>
      <c r="F1396" t="s">
        <v>363</v>
      </c>
      <c r="G1396" t="s">
        <v>436</v>
      </c>
      <c r="H1396" t="s">
        <v>365</v>
      </c>
      <c r="I1396" t="s">
        <v>13</v>
      </c>
      <c r="J1396" t="s">
        <v>437</v>
      </c>
      <c r="K1396" t="s">
        <v>438</v>
      </c>
      <c r="L1396" t="s">
        <v>368</v>
      </c>
      <c r="M1396">
        <v>56</v>
      </c>
      <c r="N1396" t="b">
        <v>0</v>
      </c>
      <c r="O1396">
        <v>0.80170575692963753</v>
      </c>
      <c r="R1396" t="s">
        <v>670</v>
      </c>
      <c r="S1396" t="s">
        <v>3220</v>
      </c>
      <c r="T1396" t="s">
        <v>3221</v>
      </c>
      <c r="U1396" t="b">
        <v>1</v>
      </c>
      <c r="V1396" t="s">
        <v>63</v>
      </c>
      <c r="W1396">
        <v>0.6</v>
      </c>
    </row>
    <row r="1397" spans="1:23" hidden="1" x14ac:dyDescent="0.3">
      <c r="A1397" t="s">
        <v>2830</v>
      </c>
      <c r="B1397" t="s">
        <v>2831</v>
      </c>
      <c r="C1397" t="s">
        <v>29</v>
      </c>
      <c r="D1397" t="s">
        <v>20</v>
      </c>
      <c r="E1397" t="s">
        <v>21</v>
      </c>
      <c r="F1397" t="s">
        <v>363</v>
      </c>
      <c r="G1397" t="s">
        <v>441</v>
      </c>
      <c r="H1397" t="s">
        <v>365</v>
      </c>
      <c r="I1397" t="s">
        <v>13</v>
      </c>
      <c r="J1397" t="s">
        <v>442</v>
      </c>
      <c r="K1397" t="s">
        <v>443</v>
      </c>
      <c r="L1397" t="s">
        <v>368</v>
      </c>
      <c r="M1397">
        <v>57</v>
      </c>
      <c r="N1397" t="b">
        <v>0</v>
      </c>
      <c r="O1397">
        <v>0.79002079002079006</v>
      </c>
      <c r="R1397" t="s">
        <v>670</v>
      </c>
      <c r="S1397" t="s">
        <v>3222</v>
      </c>
      <c r="T1397" t="s">
        <v>3223</v>
      </c>
      <c r="U1397" t="b">
        <v>1</v>
      </c>
      <c r="V1397" t="s">
        <v>63</v>
      </c>
      <c r="W1397">
        <v>0.7</v>
      </c>
    </row>
    <row r="1398" spans="1:23" hidden="1" x14ac:dyDescent="0.3">
      <c r="A1398" t="s">
        <v>2830</v>
      </c>
      <c r="B1398" t="s">
        <v>2831</v>
      </c>
      <c r="C1398" t="s">
        <v>29</v>
      </c>
      <c r="D1398" t="s">
        <v>20</v>
      </c>
      <c r="E1398" t="s">
        <v>21</v>
      </c>
      <c r="F1398" t="s">
        <v>363</v>
      </c>
      <c r="G1398" t="s">
        <v>446</v>
      </c>
      <c r="H1398" t="s">
        <v>365</v>
      </c>
      <c r="I1398" t="s">
        <v>13</v>
      </c>
      <c r="J1398" t="s">
        <v>447</v>
      </c>
      <c r="K1398" t="s">
        <v>448</v>
      </c>
      <c r="L1398" t="s">
        <v>368</v>
      </c>
      <c r="M1398">
        <v>58</v>
      </c>
      <c r="N1398" t="b">
        <v>0</v>
      </c>
      <c r="O1398">
        <v>0.79749478079331937</v>
      </c>
      <c r="R1398" t="s">
        <v>670</v>
      </c>
      <c r="S1398" t="s">
        <v>3224</v>
      </c>
      <c r="T1398" t="s">
        <v>3225</v>
      </c>
      <c r="U1398" t="b">
        <v>1</v>
      </c>
      <c r="V1398" t="s">
        <v>63</v>
      </c>
      <c r="W1398">
        <v>0.6</v>
      </c>
    </row>
    <row r="1399" spans="1:23" hidden="1" x14ac:dyDescent="0.3">
      <c r="A1399" t="s">
        <v>2830</v>
      </c>
      <c r="B1399" t="s">
        <v>2831</v>
      </c>
      <c r="C1399" t="s">
        <v>29</v>
      </c>
      <c r="D1399" t="s">
        <v>20</v>
      </c>
      <c r="E1399" t="s">
        <v>21</v>
      </c>
      <c r="F1399" t="s">
        <v>363</v>
      </c>
      <c r="G1399" t="s">
        <v>451</v>
      </c>
      <c r="H1399" t="s">
        <v>365</v>
      </c>
      <c r="I1399" t="s">
        <v>13</v>
      </c>
      <c r="J1399" t="s">
        <v>452</v>
      </c>
      <c r="K1399" t="s">
        <v>453</v>
      </c>
      <c r="L1399" t="s">
        <v>368</v>
      </c>
      <c r="M1399">
        <v>59</v>
      </c>
      <c r="N1399" t="b">
        <v>0</v>
      </c>
      <c r="O1399">
        <v>0.78695652173913044</v>
      </c>
      <c r="R1399" t="s">
        <v>670</v>
      </c>
      <c r="S1399" t="s">
        <v>3226</v>
      </c>
      <c r="T1399" t="s">
        <v>3227</v>
      </c>
      <c r="U1399" t="b">
        <v>1</v>
      </c>
      <c r="V1399" t="s">
        <v>63</v>
      </c>
      <c r="W1399">
        <v>0.6</v>
      </c>
    </row>
    <row r="1400" spans="1:23" hidden="1" x14ac:dyDescent="0.3">
      <c r="A1400" t="s">
        <v>2830</v>
      </c>
      <c r="B1400" t="s">
        <v>2831</v>
      </c>
      <c r="C1400" t="s">
        <v>29</v>
      </c>
      <c r="D1400" t="s">
        <v>20</v>
      </c>
      <c r="E1400" t="s">
        <v>21</v>
      </c>
      <c r="F1400" t="s">
        <v>363</v>
      </c>
      <c r="G1400" t="s">
        <v>456</v>
      </c>
      <c r="H1400" t="s">
        <v>365</v>
      </c>
      <c r="I1400" t="s">
        <v>13</v>
      </c>
      <c r="J1400" t="s">
        <v>457</v>
      </c>
      <c r="K1400" t="s">
        <v>458</v>
      </c>
      <c r="L1400" t="s">
        <v>368</v>
      </c>
      <c r="M1400">
        <v>60</v>
      </c>
      <c r="N1400" t="b">
        <v>0</v>
      </c>
      <c r="O1400">
        <v>0.77868852459016391</v>
      </c>
      <c r="R1400" t="s">
        <v>670</v>
      </c>
      <c r="S1400" t="s">
        <v>3228</v>
      </c>
      <c r="T1400" t="s">
        <v>3229</v>
      </c>
      <c r="U1400" t="b">
        <v>1</v>
      </c>
      <c r="V1400" t="s">
        <v>63</v>
      </c>
      <c r="W1400">
        <v>0.6</v>
      </c>
    </row>
    <row r="1401" spans="1:23" hidden="1" x14ac:dyDescent="0.3">
      <c r="A1401" t="s">
        <v>2830</v>
      </c>
      <c r="B1401" t="s">
        <v>2831</v>
      </c>
      <c r="C1401" t="s">
        <v>29</v>
      </c>
      <c r="D1401" t="s">
        <v>20</v>
      </c>
      <c r="E1401" t="s">
        <v>21</v>
      </c>
      <c r="F1401" t="s">
        <v>363</v>
      </c>
      <c r="G1401" t="s">
        <v>461</v>
      </c>
      <c r="H1401" t="s">
        <v>365</v>
      </c>
      <c r="I1401" t="s">
        <v>13</v>
      </c>
      <c r="J1401" t="s">
        <v>462</v>
      </c>
      <c r="K1401" t="s">
        <v>463</v>
      </c>
      <c r="L1401" t="s">
        <v>368</v>
      </c>
      <c r="M1401">
        <v>61</v>
      </c>
      <c r="N1401" t="b">
        <v>0</v>
      </c>
      <c r="O1401">
        <v>0.79508196721311475</v>
      </c>
      <c r="R1401" t="s">
        <v>670</v>
      </c>
      <c r="S1401" t="s">
        <v>3230</v>
      </c>
      <c r="T1401" t="s">
        <v>3231</v>
      </c>
      <c r="U1401" t="b">
        <v>1</v>
      </c>
      <c r="V1401" t="s">
        <v>63</v>
      </c>
      <c r="W1401">
        <v>0.6</v>
      </c>
    </row>
    <row r="1402" spans="1:23" hidden="1" x14ac:dyDescent="0.3">
      <c r="A1402" t="s">
        <v>2830</v>
      </c>
      <c r="B1402" t="s">
        <v>2831</v>
      </c>
      <c r="C1402" t="s">
        <v>29</v>
      </c>
      <c r="D1402" t="s">
        <v>20</v>
      </c>
      <c r="E1402" t="s">
        <v>21</v>
      </c>
      <c r="F1402" t="s">
        <v>363</v>
      </c>
      <c r="G1402" t="s">
        <v>466</v>
      </c>
      <c r="H1402" t="s">
        <v>467</v>
      </c>
      <c r="I1402" t="s">
        <v>9</v>
      </c>
      <c r="J1402" t="s">
        <v>468</v>
      </c>
      <c r="K1402" t="s">
        <v>469</v>
      </c>
      <c r="L1402" t="s">
        <v>470</v>
      </c>
      <c r="M1402">
        <v>42</v>
      </c>
      <c r="N1402" t="b">
        <v>0</v>
      </c>
      <c r="O1402">
        <v>0.79538904899135443</v>
      </c>
      <c r="R1402" t="s">
        <v>670</v>
      </c>
      <c r="S1402" t="s">
        <v>3232</v>
      </c>
      <c r="T1402" t="s">
        <v>3233</v>
      </c>
      <c r="U1402" t="b">
        <v>1</v>
      </c>
      <c r="V1402" t="s">
        <v>63</v>
      </c>
      <c r="W1402">
        <v>0.6</v>
      </c>
    </row>
    <row r="1403" spans="1:23" hidden="1" x14ac:dyDescent="0.3">
      <c r="A1403" t="s">
        <v>2830</v>
      </c>
      <c r="B1403" t="s">
        <v>2831</v>
      </c>
      <c r="C1403" t="s">
        <v>29</v>
      </c>
      <c r="D1403" t="s">
        <v>20</v>
      </c>
      <c r="E1403" t="s">
        <v>21</v>
      </c>
      <c r="F1403" t="s">
        <v>363</v>
      </c>
      <c r="G1403" t="s">
        <v>473</v>
      </c>
      <c r="H1403" t="s">
        <v>467</v>
      </c>
      <c r="I1403" t="s">
        <v>9</v>
      </c>
      <c r="J1403" t="s">
        <v>474</v>
      </c>
      <c r="K1403" t="s">
        <v>475</v>
      </c>
      <c r="L1403" t="s">
        <v>470</v>
      </c>
      <c r="M1403">
        <v>43</v>
      </c>
      <c r="N1403" t="b">
        <v>0</v>
      </c>
      <c r="O1403">
        <v>0.77777777777777779</v>
      </c>
      <c r="R1403" t="s">
        <v>670</v>
      </c>
      <c r="S1403" t="s">
        <v>3234</v>
      </c>
      <c r="T1403" t="s">
        <v>3235</v>
      </c>
      <c r="U1403" t="b">
        <v>1</v>
      </c>
      <c r="V1403" t="s">
        <v>63</v>
      </c>
      <c r="W1403">
        <v>0.6</v>
      </c>
    </row>
    <row r="1404" spans="1:23" hidden="1" x14ac:dyDescent="0.3">
      <c r="A1404" t="s">
        <v>2830</v>
      </c>
      <c r="B1404" t="s">
        <v>2831</v>
      </c>
      <c r="C1404" t="s">
        <v>29</v>
      </c>
      <c r="D1404" t="s">
        <v>20</v>
      </c>
      <c r="E1404" t="s">
        <v>21</v>
      </c>
      <c r="F1404" t="s">
        <v>363</v>
      </c>
      <c r="G1404" t="s">
        <v>478</v>
      </c>
      <c r="H1404" t="s">
        <v>467</v>
      </c>
      <c r="I1404" t="s">
        <v>9</v>
      </c>
      <c r="J1404" t="s">
        <v>479</v>
      </c>
      <c r="K1404" t="s">
        <v>480</v>
      </c>
      <c r="L1404" t="s">
        <v>470</v>
      </c>
      <c r="M1404">
        <v>44</v>
      </c>
      <c r="N1404" t="b">
        <v>0</v>
      </c>
      <c r="O1404">
        <v>0.80116959064327486</v>
      </c>
      <c r="R1404" t="s">
        <v>670</v>
      </c>
      <c r="S1404" t="s">
        <v>3236</v>
      </c>
      <c r="T1404" t="s">
        <v>3237</v>
      </c>
      <c r="U1404" t="b">
        <v>1</v>
      </c>
      <c r="V1404" t="s">
        <v>63</v>
      </c>
      <c r="W1404">
        <v>0.6</v>
      </c>
    </row>
    <row r="1405" spans="1:23" hidden="1" x14ac:dyDescent="0.3">
      <c r="A1405" t="s">
        <v>2830</v>
      </c>
      <c r="B1405" t="s">
        <v>2831</v>
      </c>
      <c r="C1405" t="s">
        <v>29</v>
      </c>
      <c r="D1405" t="s">
        <v>20</v>
      </c>
      <c r="E1405" t="s">
        <v>21</v>
      </c>
      <c r="F1405" t="s">
        <v>363</v>
      </c>
      <c r="G1405" t="s">
        <v>483</v>
      </c>
      <c r="H1405" t="s">
        <v>467</v>
      </c>
      <c r="I1405" t="s">
        <v>9</v>
      </c>
      <c r="J1405" t="s">
        <v>484</v>
      </c>
      <c r="K1405" t="s">
        <v>485</v>
      </c>
      <c r="L1405" t="s">
        <v>470</v>
      </c>
      <c r="M1405">
        <v>45</v>
      </c>
      <c r="N1405" t="b">
        <v>0</v>
      </c>
      <c r="O1405">
        <v>0.81632653061224481</v>
      </c>
      <c r="R1405" t="s">
        <v>670</v>
      </c>
      <c r="S1405" t="s">
        <v>3238</v>
      </c>
      <c r="T1405" t="s">
        <v>3239</v>
      </c>
      <c r="U1405" t="b">
        <v>1</v>
      </c>
      <c r="V1405" t="s">
        <v>63</v>
      </c>
      <c r="W1405">
        <v>0.6</v>
      </c>
    </row>
    <row r="1406" spans="1:23" hidden="1" x14ac:dyDescent="0.3">
      <c r="A1406" t="s">
        <v>2830</v>
      </c>
      <c r="B1406" t="s">
        <v>2831</v>
      </c>
      <c r="C1406" t="s">
        <v>29</v>
      </c>
      <c r="D1406" t="s">
        <v>20</v>
      </c>
      <c r="E1406" t="s">
        <v>21</v>
      </c>
      <c r="F1406" t="s">
        <v>363</v>
      </c>
      <c r="G1406" t="s">
        <v>488</v>
      </c>
      <c r="H1406" t="s">
        <v>467</v>
      </c>
      <c r="I1406" t="s">
        <v>9</v>
      </c>
      <c r="J1406" t="s">
        <v>489</v>
      </c>
      <c r="K1406" t="s">
        <v>490</v>
      </c>
      <c r="L1406" t="s">
        <v>470</v>
      </c>
      <c r="M1406">
        <v>46</v>
      </c>
      <c r="N1406" t="b">
        <v>0</v>
      </c>
      <c r="O1406">
        <v>0.77653631284916202</v>
      </c>
      <c r="R1406" t="s">
        <v>670</v>
      </c>
      <c r="S1406" t="s">
        <v>3240</v>
      </c>
      <c r="T1406" t="s">
        <v>3241</v>
      </c>
      <c r="U1406" t="b">
        <v>1</v>
      </c>
      <c r="V1406" t="s">
        <v>63</v>
      </c>
      <c r="W1406">
        <v>0.6</v>
      </c>
    </row>
    <row r="1407" spans="1:23" hidden="1" x14ac:dyDescent="0.3">
      <c r="A1407" t="s">
        <v>2830</v>
      </c>
      <c r="B1407" t="s">
        <v>2831</v>
      </c>
      <c r="C1407" t="s">
        <v>29</v>
      </c>
      <c r="D1407" t="s">
        <v>20</v>
      </c>
      <c r="E1407" t="s">
        <v>21</v>
      </c>
      <c r="F1407" t="s">
        <v>363</v>
      </c>
      <c r="G1407" t="s">
        <v>493</v>
      </c>
      <c r="H1407" t="s">
        <v>467</v>
      </c>
      <c r="I1407" t="s">
        <v>9</v>
      </c>
      <c r="J1407" t="s">
        <v>494</v>
      </c>
      <c r="K1407" t="s">
        <v>495</v>
      </c>
      <c r="L1407" t="s">
        <v>470</v>
      </c>
      <c r="M1407">
        <v>47</v>
      </c>
      <c r="N1407" t="b">
        <v>0</v>
      </c>
      <c r="O1407">
        <v>0.78260869565217395</v>
      </c>
      <c r="R1407" t="s">
        <v>670</v>
      </c>
      <c r="S1407" t="s">
        <v>3242</v>
      </c>
      <c r="T1407" t="s">
        <v>3243</v>
      </c>
      <c r="U1407" t="b">
        <v>1</v>
      </c>
      <c r="V1407" t="s">
        <v>63</v>
      </c>
      <c r="W1407">
        <v>0.6</v>
      </c>
    </row>
    <row r="1408" spans="1:23" hidden="1" x14ac:dyDescent="0.3">
      <c r="A1408" t="s">
        <v>2830</v>
      </c>
      <c r="B1408" t="s">
        <v>2831</v>
      </c>
      <c r="C1408" t="s">
        <v>29</v>
      </c>
      <c r="D1408" t="s">
        <v>20</v>
      </c>
      <c r="E1408" t="s">
        <v>21</v>
      </c>
      <c r="F1408" t="s">
        <v>363</v>
      </c>
      <c r="G1408" t="s">
        <v>498</v>
      </c>
      <c r="H1408" t="s">
        <v>467</v>
      </c>
      <c r="I1408" t="s">
        <v>9</v>
      </c>
      <c r="J1408" t="s">
        <v>499</v>
      </c>
      <c r="K1408" t="s">
        <v>500</v>
      </c>
      <c r="L1408" t="s">
        <v>470</v>
      </c>
      <c r="M1408">
        <v>48</v>
      </c>
      <c r="N1408" t="b">
        <v>0</v>
      </c>
      <c r="O1408">
        <v>0.78089887640449451</v>
      </c>
      <c r="R1408" t="s">
        <v>670</v>
      </c>
      <c r="S1408" t="s">
        <v>3244</v>
      </c>
      <c r="T1408" t="s">
        <v>3245</v>
      </c>
      <c r="U1408" t="b">
        <v>1</v>
      </c>
      <c r="V1408" t="s">
        <v>63</v>
      </c>
      <c r="W1408">
        <v>0.6</v>
      </c>
    </row>
    <row r="1409" spans="1:23" hidden="1" x14ac:dyDescent="0.3">
      <c r="A1409" t="s">
        <v>2830</v>
      </c>
      <c r="B1409" t="s">
        <v>2831</v>
      </c>
      <c r="C1409" t="s">
        <v>29</v>
      </c>
      <c r="D1409" t="s">
        <v>20</v>
      </c>
      <c r="E1409" t="s">
        <v>21</v>
      </c>
      <c r="F1409" t="s">
        <v>363</v>
      </c>
      <c r="G1409" t="s">
        <v>503</v>
      </c>
      <c r="H1409" t="s">
        <v>467</v>
      </c>
      <c r="I1409" t="s">
        <v>9</v>
      </c>
      <c r="J1409" t="s">
        <v>504</v>
      </c>
      <c r="K1409" t="s">
        <v>505</v>
      </c>
      <c r="L1409" t="s">
        <v>470</v>
      </c>
      <c r="M1409">
        <v>49</v>
      </c>
      <c r="N1409" t="b">
        <v>0</v>
      </c>
      <c r="O1409">
        <v>0.79428571428571437</v>
      </c>
      <c r="R1409" t="s">
        <v>670</v>
      </c>
      <c r="S1409" t="s">
        <v>3246</v>
      </c>
      <c r="T1409" t="s">
        <v>3247</v>
      </c>
      <c r="U1409" t="b">
        <v>1</v>
      </c>
      <c r="V1409" t="s">
        <v>63</v>
      </c>
      <c r="W1409">
        <v>0.6</v>
      </c>
    </row>
    <row r="1410" spans="1:23" hidden="1" x14ac:dyDescent="0.3">
      <c r="A1410" t="s">
        <v>2830</v>
      </c>
      <c r="B1410" t="s">
        <v>2831</v>
      </c>
      <c r="C1410" t="s">
        <v>29</v>
      </c>
      <c r="D1410" t="s">
        <v>20</v>
      </c>
      <c r="E1410" t="s">
        <v>21</v>
      </c>
      <c r="F1410" t="s">
        <v>363</v>
      </c>
      <c r="G1410" t="s">
        <v>508</v>
      </c>
      <c r="H1410" t="s">
        <v>467</v>
      </c>
      <c r="I1410" t="s">
        <v>9</v>
      </c>
      <c r="J1410" t="s">
        <v>509</v>
      </c>
      <c r="K1410" t="s">
        <v>510</v>
      </c>
      <c r="L1410" t="s">
        <v>470</v>
      </c>
      <c r="M1410">
        <v>50</v>
      </c>
      <c r="N1410" t="b">
        <v>0</v>
      </c>
      <c r="O1410">
        <v>0.76923076923076927</v>
      </c>
      <c r="R1410" t="s">
        <v>670</v>
      </c>
      <c r="S1410" t="s">
        <v>3248</v>
      </c>
      <c r="T1410" t="s">
        <v>3249</v>
      </c>
      <c r="U1410" t="b">
        <v>1</v>
      </c>
      <c r="V1410" t="s">
        <v>63</v>
      </c>
      <c r="W1410">
        <v>0.6</v>
      </c>
    </row>
    <row r="1411" spans="1:23" hidden="1" x14ac:dyDescent="0.3">
      <c r="A1411" t="s">
        <v>2830</v>
      </c>
      <c r="B1411" t="s">
        <v>2831</v>
      </c>
      <c r="C1411" t="s">
        <v>29</v>
      </c>
      <c r="D1411" t="s">
        <v>20</v>
      </c>
      <c r="E1411" t="s">
        <v>21</v>
      </c>
      <c r="F1411" t="s">
        <v>363</v>
      </c>
      <c r="G1411" t="s">
        <v>513</v>
      </c>
      <c r="H1411" t="s">
        <v>467</v>
      </c>
      <c r="I1411" t="s">
        <v>9</v>
      </c>
      <c r="J1411" t="s">
        <v>514</v>
      </c>
      <c r="K1411" t="s">
        <v>515</v>
      </c>
      <c r="L1411" t="s">
        <v>470</v>
      </c>
      <c r="M1411">
        <v>51</v>
      </c>
      <c r="N1411" t="b">
        <v>0</v>
      </c>
      <c r="O1411">
        <v>0.77272727272727271</v>
      </c>
      <c r="R1411" t="s">
        <v>670</v>
      </c>
      <c r="S1411" t="s">
        <v>3250</v>
      </c>
      <c r="T1411" t="s">
        <v>3251</v>
      </c>
      <c r="U1411" t="b">
        <v>1</v>
      </c>
      <c r="V1411" t="s">
        <v>63</v>
      </c>
      <c r="W1411">
        <v>0.6</v>
      </c>
    </row>
    <row r="1412" spans="1:23" hidden="1" x14ac:dyDescent="0.3">
      <c r="A1412" t="s">
        <v>2830</v>
      </c>
      <c r="B1412" t="s">
        <v>2831</v>
      </c>
      <c r="C1412" t="s">
        <v>29</v>
      </c>
      <c r="D1412" t="s">
        <v>20</v>
      </c>
      <c r="E1412" t="s">
        <v>21</v>
      </c>
      <c r="F1412" t="s">
        <v>363</v>
      </c>
      <c r="G1412" t="s">
        <v>518</v>
      </c>
      <c r="H1412" t="s">
        <v>467</v>
      </c>
      <c r="I1412" t="s">
        <v>9</v>
      </c>
      <c r="J1412" t="s">
        <v>519</v>
      </c>
      <c r="K1412" t="s">
        <v>520</v>
      </c>
      <c r="L1412" t="s">
        <v>470</v>
      </c>
      <c r="M1412">
        <v>52</v>
      </c>
      <c r="N1412" t="b">
        <v>0</v>
      </c>
      <c r="O1412">
        <v>0.7580174927113702</v>
      </c>
      <c r="R1412" t="s">
        <v>670</v>
      </c>
      <c r="S1412" t="s">
        <v>3252</v>
      </c>
      <c r="T1412" t="s">
        <v>3253</v>
      </c>
      <c r="U1412" t="b">
        <v>1</v>
      </c>
      <c r="V1412" t="s">
        <v>63</v>
      </c>
      <c r="W1412">
        <v>0.6</v>
      </c>
    </row>
    <row r="1413" spans="1:23" hidden="1" x14ac:dyDescent="0.3">
      <c r="A1413" t="s">
        <v>2830</v>
      </c>
      <c r="B1413" t="s">
        <v>2831</v>
      </c>
      <c r="C1413" t="s">
        <v>29</v>
      </c>
      <c r="D1413" t="s">
        <v>20</v>
      </c>
      <c r="E1413" t="s">
        <v>21</v>
      </c>
      <c r="F1413" t="s">
        <v>363</v>
      </c>
      <c r="G1413" t="s">
        <v>523</v>
      </c>
      <c r="H1413" t="s">
        <v>467</v>
      </c>
      <c r="I1413" t="s">
        <v>9</v>
      </c>
      <c r="J1413" t="s">
        <v>524</v>
      </c>
      <c r="K1413" t="s">
        <v>525</v>
      </c>
      <c r="L1413" t="s">
        <v>470</v>
      </c>
      <c r="M1413">
        <v>53</v>
      </c>
      <c r="N1413" t="b">
        <v>0</v>
      </c>
      <c r="O1413">
        <v>0.79300291545189505</v>
      </c>
      <c r="R1413" t="s">
        <v>670</v>
      </c>
      <c r="S1413" t="s">
        <v>3254</v>
      </c>
      <c r="T1413" t="s">
        <v>3255</v>
      </c>
      <c r="U1413" t="b">
        <v>1</v>
      </c>
      <c r="V1413" t="s">
        <v>63</v>
      </c>
      <c r="W1413">
        <v>0.6</v>
      </c>
    </row>
    <row r="1414" spans="1:23" hidden="1" x14ac:dyDescent="0.3">
      <c r="A1414" t="s">
        <v>2830</v>
      </c>
      <c r="B1414" t="s">
        <v>2831</v>
      </c>
      <c r="C1414" t="s">
        <v>29</v>
      </c>
      <c r="D1414" t="s">
        <v>20</v>
      </c>
      <c r="E1414" t="s">
        <v>21</v>
      </c>
      <c r="F1414" t="s">
        <v>363</v>
      </c>
      <c r="G1414" t="s">
        <v>528</v>
      </c>
      <c r="H1414" t="s">
        <v>467</v>
      </c>
      <c r="I1414" t="s">
        <v>9</v>
      </c>
      <c r="J1414" t="s">
        <v>529</v>
      </c>
      <c r="K1414" t="s">
        <v>530</v>
      </c>
      <c r="L1414" t="s">
        <v>470</v>
      </c>
      <c r="M1414">
        <v>54</v>
      </c>
      <c r="N1414" t="b">
        <v>0</v>
      </c>
      <c r="O1414">
        <v>0.78753541076487255</v>
      </c>
      <c r="R1414" t="s">
        <v>670</v>
      </c>
      <c r="S1414" t="s">
        <v>3256</v>
      </c>
      <c r="T1414" t="s">
        <v>3257</v>
      </c>
      <c r="U1414" t="b">
        <v>1</v>
      </c>
      <c r="V1414" t="s">
        <v>63</v>
      </c>
      <c r="W1414">
        <v>0.6</v>
      </c>
    </row>
    <row r="1415" spans="1:23" hidden="1" x14ac:dyDescent="0.3">
      <c r="A1415" t="s">
        <v>2830</v>
      </c>
      <c r="B1415" t="s">
        <v>2831</v>
      </c>
      <c r="C1415" t="s">
        <v>29</v>
      </c>
      <c r="D1415" t="s">
        <v>20</v>
      </c>
      <c r="E1415" t="s">
        <v>21</v>
      </c>
      <c r="F1415" t="s">
        <v>363</v>
      </c>
      <c r="G1415" t="s">
        <v>533</v>
      </c>
      <c r="H1415" t="s">
        <v>467</v>
      </c>
      <c r="I1415" t="s">
        <v>9</v>
      </c>
      <c r="J1415" t="s">
        <v>534</v>
      </c>
      <c r="K1415" t="s">
        <v>535</v>
      </c>
      <c r="L1415" t="s">
        <v>470</v>
      </c>
      <c r="M1415">
        <v>55</v>
      </c>
      <c r="N1415" t="b">
        <v>0</v>
      </c>
      <c r="O1415">
        <v>0.81049562682215737</v>
      </c>
      <c r="R1415" t="s">
        <v>670</v>
      </c>
      <c r="S1415" t="s">
        <v>3258</v>
      </c>
      <c r="T1415" t="s">
        <v>3259</v>
      </c>
      <c r="U1415" t="b">
        <v>1</v>
      </c>
      <c r="V1415" t="s">
        <v>63</v>
      </c>
      <c r="W1415">
        <v>0.7</v>
      </c>
    </row>
    <row r="1416" spans="1:23" hidden="1" x14ac:dyDescent="0.3">
      <c r="A1416" t="s">
        <v>2830</v>
      </c>
      <c r="B1416" t="s">
        <v>2831</v>
      </c>
      <c r="C1416" t="s">
        <v>29</v>
      </c>
      <c r="D1416" t="s">
        <v>20</v>
      </c>
      <c r="E1416" t="s">
        <v>21</v>
      </c>
      <c r="F1416" t="s">
        <v>363</v>
      </c>
      <c r="G1416" t="s">
        <v>538</v>
      </c>
      <c r="H1416" t="s">
        <v>467</v>
      </c>
      <c r="I1416" t="s">
        <v>9</v>
      </c>
      <c r="J1416" t="s">
        <v>539</v>
      </c>
      <c r="K1416" t="s">
        <v>540</v>
      </c>
      <c r="L1416" t="s">
        <v>470</v>
      </c>
      <c r="M1416">
        <v>56</v>
      </c>
      <c r="N1416" t="b">
        <v>0</v>
      </c>
      <c r="O1416">
        <v>0.76744186046511631</v>
      </c>
      <c r="R1416" t="s">
        <v>670</v>
      </c>
      <c r="S1416" t="s">
        <v>3260</v>
      </c>
      <c r="T1416" t="s">
        <v>3261</v>
      </c>
      <c r="U1416" t="b">
        <v>1</v>
      </c>
      <c r="V1416" t="s">
        <v>63</v>
      </c>
      <c r="W1416">
        <v>0.6</v>
      </c>
    </row>
    <row r="1417" spans="1:23" hidden="1" x14ac:dyDescent="0.3">
      <c r="A1417" t="s">
        <v>2830</v>
      </c>
      <c r="B1417" t="s">
        <v>2831</v>
      </c>
      <c r="C1417" t="s">
        <v>29</v>
      </c>
      <c r="D1417" t="s">
        <v>20</v>
      </c>
      <c r="E1417" t="s">
        <v>21</v>
      </c>
      <c r="F1417" t="s">
        <v>363</v>
      </c>
      <c r="G1417" t="s">
        <v>543</v>
      </c>
      <c r="H1417" t="s">
        <v>467</v>
      </c>
      <c r="I1417" t="s">
        <v>9</v>
      </c>
      <c r="J1417" t="s">
        <v>544</v>
      </c>
      <c r="K1417" t="s">
        <v>545</v>
      </c>
      <c r="L1417" t="s">
        <v>470</v>
      </c>
      <c r="M1417">
        <v>57</v>
      </c>
      <c r="N1417" t="b">
        <v>0</v>
      </c>
      <c r="O1417">
        <v>0.73684210526315785</v>
      </c>
      <c r="R1417" t="s">
        <v>670</v>
      </c>
      <c r="S1417" t="s">
        <v>3262</v>
      </c>
      <c r="T1417" t="s">
        <v>3263</v>
      </c>
      <c r="U1417" t="b">
        <v>1</v>
      </c>
      <c r="V1417" t="s">
        <v>63</v>
      </c>
      <c r="W1417">
        <v>0.7</v>
      </c>
    </row>
    <row r="1418" spans="1:23" hidden="1" x14ac:dyDescent="0.3">
      <c r="A1418" t="s">
        <v>2830</v>
      </c>
      <c r="B1418" t="s">
        <v>2831</v>
      </c>
      <c r="C1418" t="s">
        <v>29</v>
      </c>
      <c r="D1418" t="s">
        <v>20</v>
      </c>
      <c r="E1418" t="s">
        <v>21</v>
      </c>
      <c r="F1418" t="s">
        <v>363</v>
      </c>
      <c r="G1418" t="s">
        <v>548</v>
      </c>
      <c r="H1418" t="s">
        <v>467</v>
      </c>
      <c r="I1418" t="s">
        <v>9</v>
      </c>
      <c r="J1418" t="s">
        <v>549</v>
      </c>
      <c r="K1418" t="s">
        <v>550</v>
      </c>
      <c r="L1418" t="s">
        <v>470</v>
      </c>
      <c r="M1418">
        <v>58</v>
      </c>
      <c r="N1418" t="b">
        <v>0</v>
      </c>
      <c r="O1418">
        <v>0.78488372093023262</v>
      </c>
      <c r="R1418" t="s">
        <v>670</v>
      </c>
      <c r="S1418" t="s">
        <v>3264</v>
      </c>
      <c r="T1418" t="s">
        <v>3265</v>
      </c>
      <c r="U1418" t="b">
        <v>1</v>
      </c>
      <c r="V1418" t="s">
        <v>63</v>
      </c>
      <c r="W1418">
        <v>0.6</v>
      </c>
    </row>
    <row r="1419" spans="1:23" hidden="1" x14ac:dyDescent="0.3">
      <c r="A1419" t="s">
        <v>2830</v>
      </c>
      <c r="B1419" t="s">
        <v>2831</v>
      </c>
      <c r="C1419" t="s">
        <v>29</v>
      </c>
      <c r="D1419" t="s">
        <v>20</v>
      </c>
      <c r="E1419" t="s">
        <v>21</v>
      </c>
      <c r="F1419" t="s">
        <v>363</v>
      </c>
      <c r="G1419" t="s">
        <v>553</v>
      </c>
      <c r="H1419" t="s">
        <v>467</v>
      </c>
      <c r="I1419" t="s">
        <v>9</v>
      </c>
      <c r="J1419" t="s">
        <v>554</v>
      </c>
      <c r="K1419" t="s">
        <v>555</v>
      </c>
      <c r="L1419" t="s">
        <v>470</v>
      </c>
      <c r="M1419">
        <v>59</v>
      </c>
      <c r="N1419" t="b">
        <v>0</v>
      </c>
      <c r="O1419">
        <v>0.80466472303206993</v>
      </c>
      <c r="R1419" t="s">
        <v>670</v>
      </c>
      <c r="S1419" t="s">
        <v>3266</v>
      </c>
      <c r="T1419" t="s">
        <v>3267</v>
      </c>
      <c r="U1419" t="b">
        <v>1</v>
      </c>
      <c r="V1419" t="s">
        <v>63</v>
      </c>
      <c r="W1419">
        <v>0.5</v>
      </c>
    </row>
    <row r="1420" spans="1:23" hidden="1" x14ac:dyDescent="0.3">
      <c r="A1420" t="s">
        <v>2830</v>
      </c>
      <c r="B1420" t="s">
        <v>2831</v>
      </c>
      <c r="C1420" t="s">
        <v>29</v>
      </c>
      <c r="D1420" t="s">
        <v>20</v>
      </c>
      <c r="E1420" t="s">
        <v>21</v>
      </c>
      <c r="F1420" t="s">
        <v>363</v>
      </c>
      <c r="G1420" t="s">
        <v>558</v>
      </c>
      <c r="H1420" t="s">
        <v>467</v>
      </c>
      <c r="I1420" t="s">
        <v>9</v>
      </c>
      <c r="J1420" t="s">
        <v>559</v>
      </c>
      <c r="K1420" t="s">
        <v>560</v>
      </c>
      <c r="L1420" t="s">
        <v>470</v>
      </c>
      <c r="M1420">
        <v>60</v>
      </c>
      <c r="N1420" t="b">
        <v>0</v>
      </c>
      <c r="O1420">
        <v>0.78717201166180761</v>
      </c>
      <c r="R1420" t="s">
        <v>670</v>
      </c>
      <c r="S1420" t="s">
        <v>3268</v>
      </c>
      <c r="T1420" t="s">
        <v>3269</v>
      </c>
      <c r="U1420" t="b">
        <v>1</v>
      </c>
      <c r="V1420" t="s">
        <v>63</v>
      </c>
      <c r="W1420">
        <v>0.6</v>
      </c>
    </row>
    <row r="1421" spans="1:23" hidden="1" x14ac:dyDescent="0.3">
      <c r="A1421" t="s">
        <v>2830</v>
      </c>
      <c r="B1421" t="s">
        <v>2831</v>
      </c>
      <c r="C1421" t="s">
        <v>29</v>
      </c>
      <c r="D1421" t="s">
        <v>20</v>
      </c>
      <c r="E1421" t="s">
        <v>21</v>
      </c>
      <c r="F1421" t="s">
        <v>363</v>
      </c>
      <c r="G1421" t="s">
        <v>563</v>
      </c>
      <c r="H1421" t="s">
        <v>467</v>
      </c>
      <c r="I1421" t="s">
        <v>9</v>
      </c>
      <c r="J1421" t="s">
        <v>564</v>
      </c>
      <c r="K1421" t="s">
        <v>565</v>
      </c>
      <c r="L1421" t="s">
        <v>470</v>
      </c>
      <c r="M1421">
        <v>61</v>
      </c>
      <c r="N1421" t="b">
        <v>0</v>
      </c>
      <c r="O1421">
        <v>0.78717201166180761</v>
      </c>
      <c r="R1421" t="s">
        <v>670</v>
      </c>
      <c r="S1421" t="s">
        <v>3270</v>
      </c>
      <c r="T1421" t="s">
        <v>3271</v>
      </c>
      <c r="U1421" t="b">
        <v>1</v>
      </c>
      <c r="V1421" t="s">
        <v>63</v>
      </c>
      <c r="W1421">
        <v>0.6</v>
      </c>
    </row>
    <row r="1422" spans="1:23" hidden="1" x14ac:dyDescent="0.3">
      <c r="A1422" t="s">
        <v>2830</v>
      </c>
      <c r="B1422" t="s">
        <v>2831</v>
      </c>
      <c r="C1422" t="s">
        <v>29</v>
      </c>
      <c r="D1422" t="s">
        <v>20</v>
      </c>
      <c r="E1422" t="s">
        <v>21</v>
      </c>
      <c r="F1422" t="s">
        <v>363</v>
      </c>
      <c r="G1422" t="s">
        <v>568</v>
      </c>
      <c r="H1422" t="s">
        <v>569</v>
      </c>
      <c r="I1422" t="s">
        <v>11</v>
      </c>
      <c r="J1422" t="s">
        <v>570</v>
      </c>
      <c r="K1422" t="s">
        <v>571</v>
      </c>
      <c r="L1422" t="s">
        <v>572</v>
      </c>
      <c r="M1422">
        <v>42</v>
      </c>
      <c r="N1422" t="b">
        <v>0</v>
      </c>
      <c r="O1422">
        <v>0.83370288248337032</v>
      </c>
      <c r="R1422" t="s">
        <v>670</v>
      </c>
      <c r="S1422" t="s">
        <v>3272</v>
      </c>
      <c r="T1422" t="s">
        <v>3273</v>
      </c>
      <c r="U1422" t="b">
        <v>1</v>
      </c>
      <c r="V1422" t="s">
        <v>63</v>
      </c>
      <c r="W1422">
        <v>0.6</v>
      </c>
    </row>
    <row r="1423" spans="1:23" hidden="1" x14ac:dyDescent="0.3">
      <c r="A1423" t="s">
        <v>2830</v>
      </c>
      <c r="B1423" t="s">
        <v>2831</v>
      </c>
      <c r="C1423" t="s">
        <v>29</v>
      </c>
      <c r="D1423" t="s">
        <v>20</v>
      </c>
      <c r="E1423" t="s">
        <v>21</v>
      </c>
      <c r="F1423" t="s">
        <v>363</v>
      </c>
      <c r="G1423" t="s">
        <v>575</v>
      </c>
      <c r="H1423" t="s">
        <v>569</v>
      </c>
      <c r="I1423" t="s">
        <v>11</v>
      </c>
      <c r="J1423" t="s">
        <v>576</v>
      </c>
      <c r="K1423" t="s">
        <v>577</v>
      </c>
      <c r="L1423" t="s">
        <v>572</v>
      </c>
      <c r="M1423">
        <v>43</v>
      </c>
      <c r="N1423" t="b">
        <v>0</v>
      </c>
      <c r="O1423">
        <v>0.81917211328976047</v>
      </c>
      <c r="R1423" t="s">
        <v>670</v>
      </c>
      <c r="S1423" t="s">
        <v>3274</v>
      </c>
      <c r="T1423" t="s">
        <v>3275</v>
      </c>
      <c r="U1423" t="b">
        <v>1</v>
      </c>
      <c r="V1423" t="s">
        <v>63</v>
      </c>
      <c r="W1423">
        <v>0.6</v>
      </c>
    </row>
    <row r="1424" spans="1:23" hidden="1" x14ac:dyDescent="0.3">
      <c r="A1424" t="s">
        <v>2830</v>
      </c>
      <c r="B1424" t="s">
        <v>2831</v>
      </c>
      <c r="C1424" t="s">
        <v>29</v>
      </c>
      <c r="D1424" t="s">
        <v>20</v>
      </c>
      <c r="E1424" t="s">
        <v>21</v>
      </c>
      <c r="F1424" t="s">
        <v>363</v>
      </c>
      <c r="G1424" t="s">
        <v>580</v>
      </c>
      <c r="H1424" t="s">
        <v>569</v>
      </c>
      <c r="I1424" t="s">
        <v>11</v>
      </c>
      <c r="J1424" t="s">
        <v>581</v>
      </c>
      <c r="K1424" t="s">
        <v>582</v>
      </c>
      <c r="L1424" t="s">
        <v>572</v>
      </c>
      <c r="M1424">
        <v>44</v>
      </c>
      <c r="N1424" t="b">
        <v>0</v>
      </c>
      <c r="O1424">
        <v>0.79399141630901293</v>
      </c>
      <c r="R1424" t="s">
        <v>670</v>
      </c>
      <c r="S1424" t="s">
        <v>3276</v>
      </c>
      <c r="T1424" t="s">
        <v>3277</v>
      </c>
      <c r="U1424" t="b">
        <v>1</v>
      </c>
      <c r="V1424" t="s">
        <v>63</v>
      </c>
      <c r="W1424">
        <v>0.6</v>
      </c>
    </row>
    <row r="1425" spans="1:23" hidden="1" x14ac:dyDescent="0.3">
      <c r="A1425" t="s">
        <v>2830</v>
      </c>
      <c r="B1425" t="s">
        <v>2831</v>
      </c>
      <c r="C1425" t="s">
        <v>29</v>
      </c>
      <c r="D1425" t="s">
        <v>20</v>
      </c>
      <c r="E1425" t="s">
        <v>21</v>
      </c>
      <c r="F1425" t="s">
        <v>363</v>
      </c>
      <c r="G1425" t="s">
        <v>585</v>
      </c>
      <c r="H1425" t="s">
        <v>569</v>
      </c>
      <c r="I1425" t="s">
        <v>11</v>
      </c>
      <c r="J1425" t="s">
        <v>586</v>
      </c>
      <c r="K1425" t="s">
        <v>587</v>
      </c>
      <c r="L1425" t="s">
        <v>572</v>
      </c>
      <c r="M1425">
        <v>45</v>
      </c>
      <c r="N1425" t="b">
        <v>0</v>
      </c>
      <c r="O1425">
        <v>0.82850779510022277</v>
      </c>
      <c r="R1425" t="s">
        <v>670</v>
      </c>
      <c r="S1425" t="s">
        <v>3278</v>
      </c>
      <c r="T1425" t="s">
        <v>3279</v>
      </c>
      <c r="U1425" t="b">
        <v>1</v>
      </c>
      <c r="V1425" t="s">
        <v>63</v>
      </c>
      <c r="W1425">
        <v>0.6</v>
      </c>
    </row>
    <row r="1426" spans="1:23" hidden="1" x14ac:dyDescent="0.3">
      <c r="A1426" t="s">
        <v>2830</v>
      </c>
      <c r="B1426" t="s">
        <v>2831</v>
      </c>
      <c r="C1426" t="s">
        <v>29</v>
      </c>
      <c r="D1426" t="s">
        <v>20</v>
      </c>
      <c r="E1426" t="s">
        <v>21</v>
      </c>
      <c r="F1426" t="s">
        <v>363</v>
      </c>
      <c r="G1426" t="s">
        <v>590</v>
      </c>
      <c r="H1426" t="s">
        <v>569</v>
      </c>
      <c r="I1426" t="s">
        <v>11</v>
      </c>
      <c r="J1426" t="s">
        <v>591</v>
      </c>
      <c r="K1426" t="s">
        <v>592</v>
      </c>
      <c r="L1426" t="s">
        <v>572</v>
      </c>
      <c r="M1426">
        <v>46</v>
      </c>
      <c r="N1426" t="b">
        <v>0</v>
      </c>
      <c r="O1426">
        <v>0.816593886462882</v>
      </c>
      <c r="R1426" t="s">
        <v>670</v>
      </c>
      <c r="S1426" t="s">
        <v>3280</v>
      </c>
      <c r="T1426" t="s">
        <v>3281</v>
      </c>
      <c r="U1426" t="b">
        <v>1</v>
      </c>
      <c r="V1426" t="s">
        <v>63</v>
      </c>
      <c r="W1426">
        <v>0.6</v>
      </c>
    </row>
    <row r="1427" spans="1:23" hidden="1" x14ac:dyDescent="0.3">
      <c r="A1427" t="s">
        <v>2830</v>
      </c>
      <c r="B1427" t="s">
        <v>2831</v>
      </c>
      <c r="C1427" t="s">
        <v>29</v>
      </c>
      <c r="D1427" t="s">
        <v>20</v>
      </c>
      <c r="E1427" t="s">
        <v>21</v>
      </c>
      <c r="F1427" t="s">
        <v>363</v>
      </c>
      <c r="G1427" t="s">
        <v>595</v>
      </c>
      <c r="H1427" t="s">
        <v>569</v>
      </c>
      <c r="I1427" t="s">
        <v>11</v>
      </c>
      <c r="J1427" t="s">
        <v>596</v>
      </c>
      <c r="K1427" t="s">
        <v>597</v>
      </c>
      <c r="L1427" t="s">
        <v>572</v>
      </c>
      <c r="M1427">
        <v>47</v>
      </c>
      <c r="N1427" t="b">
        <v>0</v>
      </c>
      <c r="O1427">
        <v>0.8</v>
      </c>
      <c r="R1427" t="s">
        <v>670</v>
      </c>
      <c r="S1427" t="s">
        <v>3282</v>
      </c>
      <c r="T1427" t="s">
        <v>3283</v>
      </c>
      <c r="U1427" t="b">
        <v>1</v>
      </c>
      <c r="V1427" t="s">
        <v>63</v>
      </c>
      <c r="W1427">
        <v>0.6</v>
      </c>
    </row>
    <row r="1428" spans="1:23" hidden="1" x14ac:dyDescent="0.3">
      <c r="A1428" t="s">
        <v>2830</v>
      </c>
      <c r="B1428" t="s">
        <v>2831</v>
      </c>
      <c r="C1428" t="s">
        <v>29</v>
      </c>
      <c r="D1428" t="s">
        <v>20</v>
      </c>
      <c r="E1428" t="s">
        <v>21</v>
      </c>
      <c r="F1428" t="s">
        <v>363</v>
      </c>
      <c r="G1428" t="s">
        <v>600</v>
      </c>
      <c r="H1428" t="s">
        <v>569</v>
      </c>
      <c r="I1428" t="s">
        <v>11</v>
      </c>
      <c r="J1428" t="s">
        <v>601</v>
      </c>
      <c r="K1428" t="s">
        <v>602</v>
      </c>
      <c r="L1428" t="s">
        <v>572</v>
      </c>
      <c r="M1428">
        <v>48</v>
      </c>
      <c r="N1428" t="b">
        <v>0</v>
      </c>
      <c r="O1428">
        <v>0.82483370288248348</v>
      </c>
      <c r="R1428" t="s">
        <v>670</v>
      </c>
      <c r="S1428" t="s">
        <v>3284</v>
      </c>
      <c r="T1428" t="s">
        <v>3285</v>
      </c>
      <c r="U1428" t="b">
        <v>1</v>
      </c>
      <c r="V1428" t="s">
        <v>63</v>
      </c>
      <c r="W1428">
        <v>0.6</v>
      </c>
    </row>
    <row r="1429" spans="1:23" hidden="1" x14ac:dyDescent="0.3">
      <c r="A1429" t="s">
        <v>2830</v>
      </c>
      <c r="B1429" t="s">
        <v>2831</v>
      </c>
      <c r="C1429" t="s">
        <v>29</v>
      </c>
      <c r="D1429" t="s">
        <v>20</v>
      </c>
      <c r="E1429" t="s">
        <v>21</v>
      </c>
      <c r="F1429" t="s">
        <v>363</v>
      </c>
      <c r="G1429" t="s">
        <v>605</v>
      </c>
      <c r="H1429" t="s">
        <v>569</v>
      </c>
      <c r="I1429" t="s">
        <v>11</v>
      </c>
      <c r="J1429" t="s">
        <v>606</v>
      </c>
      <c r="K1429" t="s">
        <v>607</v>
      </c>
      <c r="L1429" t="s">
        <v>572</v>
      </c>
      <c r="M1429">
        <v>49</v>
      </c>
      <c r="N1429" t="b">
        <v>0</v>
      </c>
      <c r="O1429">
        <v>0.84563758389261745</v>
      </c>
      <c r="R1429" t="s">
        <v>670</v>
      </c>
      <c r="S1429" t="s">
        <v>3286</v>
      </c>
      <c r="T1429" t="s">
        <v>3287</v>
      </c>
      <c r="U1429" t="b">
        <v>1</v>
      </c>
      <c r="V1429" t="s">
        <v>63</v>
      </c>
      <c r="W1429">
        <v>0.6</v>
      </c>
    </row>
    <row r="1430" spans="1:23" hidden="1" x14ac:dyDescent="0.3">
      <c r="A1430" t="s">
        <v>2830</v>
      </c>
      <c r="B1430" t="s">
        <v>2831</v>
      </c>
      <c r="C1430" t="s">
        <v>29</v>
      </c>
      <c r="D1430" t="s">
        <v>20</v>
      </c>
      <c r="E1430" t="s">
        <v>21</v>
      </c>
      <c r="F1430" t="s">
        <v>363</v>
      </c>
      <c r="G1430" t="s">
        <v>610</v>
      </c>
      <c r="H1430" t="s">
        <v>569</v>
      </c>
      <c r="I1430" t="s">
        <v>11</v>
      </c>
      <c r="J1430" t="s">
        <v>611</v>
      </c>
      <c r="K1430" t="s">
        <v>612</v>
      </c>
      <c r="L1430" t="s">
        <v>572</v>
      </c>
      <c r="M1430">
        <v>50</v>
      </c>
      <c r="N1430" t="b">
        <v>0</v>
      </c>
      <c r="O1430">
        <v>0.83111111111111113</v>
      </c>
      <c r="R1430" t="s">
        <v>670</v>
      </c>
      <c r="S1430" t="s">
        <v>3288</v>
      </c>
      <c r="T1430" t="s">
        <v>3289</v>
      </c>
      <c r="U1430" t="b">
        <v>1</v>
      </c>
      <c r="V1430" t="s">
        <v>63</v>
      </c>
      <c r="W1430">
        <v>0.5</v>
      </c>
    </row>
    <row r="1431" spans="1:23" hidden="1" x14ac:dyDescent="0.3">
      <c r="A1431" t="s">
        <v>2830</v>
      </c>
      <c r="B1431" t="s">
        <v>2831</v>
      </c>
      <c r="C1431" t="s">
        <v>29</v>
      </c>
      <c r="D1431" t="s">
        <v>20</v>
      </c>
      <c r="E1431" t="s">
        <v>21</v>
      </c>
      <c r="F1431" t="s">
        <v>363</v>
      </c>
      <c r="G1431" t="s">
        <v>615</v>
      </c>
      <c r="H1431" t="s">
        <v>569</v>
      </c>
      <c r="I1431" t="s">
        <v>11</v>
      </c>
      <c r="J1431" t="s">
        <v>616</v>
      </c>
      <c r="K1431" t="s">
        <v>617</v>
      </c>
      <c r="L1431" t="s">
        <v>572</v>
      </c>
      <c r="M1431">
        <v>51</v>
      </c>
      <c r="N1431" t="b">
        <v>0</v>
      </c>
      <c r="O1431">
        <v>0.82302771855010659</v>
      </c>
      <c r="R1431" t="s">
        <v>670</v>
      </c>
      <c r="S1431" t="s">
        <v>3290</v>
      </c>
      <c r="T1431" t="s">
        <v>3291</v>
      </c>
      <c r="U1431" t="b">
        <v>1</v>
      </c>
      <c r="V1431" t="s">
        <v>63</v>
      </c>
      <c r="W1431">
        <v>0.9</v>
      </c>
    </row>
    <row r="1432" spans="1:23" hidden="1" x14ac:dyDescent="0.3">
      <c r="A1432" t="s">
        <v>2830</v>
      </c>
      <c r="B1432" t="s">
        <v>2831</v>
      </c>
      <c r="C1432" t="s">
        <v>29</v>
      </c>
      <c r="D1432" t="s">
        <v>20</v>
      </c>
      <c r="E1432" t="s">
        <v>21</v>
      </c>
      <c r="F1432" t="s">
        <v>363</v>
      </c>
      <c r="G1432" t="s">
        <v>620</v>
      </c>
      <c r="H1432" t="s">
        <v>569</v>
      </c>
      <c r="I1432" t="s">
        <v>11</v>
      </c>
      <c r="J1432" t="s">
        <v>621</v>
      </c>
      <c r="K1432" t="s">
        <v>622</v>
      </c>
      <c r="L1432" t="s">
        <v>572</v>
      </c>
      <c r="M1432">
        <v>52</v>
      </c>
      <c r="N1432" t="b">
        <v>0</v>
      </c>
      <c r="O1432">
        <v>0.84000000000000008</v>
      </c>
      <c r="R1432" t="s">
        <v>670</v>
      </c>
      <c r="S1432" t="s">
        <v>3292</v>
      </c>
      <c r="T1432" t="s">
        <v>3293</v>
      </c>
      <c r="U1432" t="b">
        <v>1</v>
      </c>
      <c r="V1432" t="s">
        <v>63</v>
      </c>
      <c r="W1432">
        <v>0.6</v>
      </c>
    </row>
    <row r="1433" spans="1:23" hidden="1" x14ac:dyDescent="0.3">
      <c r="A1433" t="s">
        <v>2830</v>
      </c>
      <c r="B1433" t="s">
        <v>2831</v>
      </c>
      <c r="C1433" t="s">
        <v>29</v>
      </c>
      <c r="D1433" t="s">
        <v>20</v>
      </c>
      <c r="E1433" t="s">
        <v>21</v>
      </c>
      <c r="F1433" t="s">
        <v>363</v>
      </c>
      <c r="G1433" t="s">
        <v>625</v>
      </c>
      <c r="H1433" t="s">
        <v>569</v>
      </c>
      <c r="I1433" t="s">
        <v>11</v>
      </c>
      <c r="J1433" t="s">
        <v>626</v>
      </c>
      <c r="K1433" t="s">
        <v>627</v>
      </c>
      <c r="L1433" t="s">
        <v>572</v>
      </c>
      <c r="M1433">
        <v>53</v>
      </c>
      <c r="N1433" t="b">
        <v>0</v>
      </c>
      <c r="O1433">
        <v>0.81758241758241768</v>
      </c>
      <c r="R1433" t="s">
        <v>670</v>
      </c>
      <c r="S1433" t="s">
        <v>3294</v>
      </c>
      <c r="T1433" t="s">
        <v>3295</v>
      </c>
      <c r="U1433" t="b">
        <v>1</v>
      </c>
      <c r="V1433" t="s">
        <v>63</v>
      </c>
      <c r="W1433">
        <v>0.6</v>
      </c>
    </row>
    <row r="1434" spans="1:23" hidden="1" x14ac:dyDescent="0.3">
      <c r="A1434" t="s">
        <v>2830</v>
      </c>
      <c r="B1434" t="s">
        <v>2831</v>
      </c>
      <c r="C1434" t="s">
        <v>29</v>
      </c>
      <c r="D1434" t="s">
        <v>20</v>
      </c>
      <c r="E1434" t="s">
        <v>21</v>
      </c>
      <c r="F1434" t="s">
        <v>363</v>
      </c>
      <c r="G1434" t="s">
        <v>630</v>
      </c>
      <c r="H1434" t="s">
        <v>569</v>
      </c>
      <c r="I1434" t="s">
        <v>11</v>
      </c>
      <c r="J1434" t="s">
        <v>631</v>
      </c>
      <c r="K1434" t="s">
        <v>632</v>
      </c>
      <c r="L1434" t="s">
        <v>572</v>
      </c>
      <c r="M1434">
        <v>54</v>
      </c>
      <c r="N1434" t="b">
        <v>0</v>
      </c>
      <c r="O1434">
        <v>0.81318681318681318</v>
      </c>
      <c r="R1434" t="s">
        <v>670</v>
      </c>
      <c r="S1434" t="s">
        <v>3296</v>
      </c>
      <c r="T1434" t="s">
        <v>3297</v>
      </c>
      <c r="U1434" t="b">
        <v>1</v>
      </c>
      <c r="V1434" t="s">
        <v>63</v>
      </c>
      <c r="W1434">
        <v>0.6</v>
      </c>
    </row>
    <row r="1435" spans="1:23" hidden="1" x14ac:dyDescent="0.3">
      <c r="A1435" t="s">
        <v>2830</v>
      </c>
      <c r="B1435" t="s">
        <v>2831</v>
      </c>
      <c r="C1435" t="s">
        <v>29</v>
      </c>
      <c r="D1435" t="s">
        <v>20</v>
      </c>
      <c r="E1435" t="s">
        <v>21</v>
      </c>
      <c r="F1435" t="s">
        <v>363</v>
      </c>
      <c r="G1435" t="s">
        <v>635</v>
      </c>
      <c r="H1435" t="s">
        <v>569</v>
      </c>
      <c r="I1435" t="s">
        <v>11</v>
      </c>
      <c r="J1435" t="s">
        <v>636</v>
      </c>
      <c r="K1435" t="s">
        <v>637</v>
      </c>
      <c r="L1435" t="s">
        <v>572</v>
      </c>
      <c r="M1435">
        <v>55</v>
      </c>
      <c r="N1435" t="b">
        <v>0</v>
      </c>
      <c r="O1435">
        <v>0.83668903803132</v>
      </c>
      <c r="R1435" t="s">
        <v>670</v>
      </c>
      <c r="S1435" t="s">
        <v>3298</v>
      </c>
      <c r="T1435" t="s">
        <v>3299</v>
      </c>
      <c r="U1435" t="b">
        <v>1</v>
      </c>
      <c r="V1435" t="s">
        <v>63</v>
      </c>
      <c r="W1435">
        <v>0.6</v>
      </c>
    </row>
    <row r="1436" spans="1:23" hidden="1" x14ac:dyDescent="0.3">
      <c r="A1436" t="s">
        <v>2830</v>
      </c>
      <c r="B1436" t="s">
        <v>2831</v>
      </c>
      <c r="C1436" t="s">
        <v>29</v>
      </c>
      <c r="D1436" t="s">
        <v>20</v>
      </c>
      <c r="E1436" t="s">
        <v>21</v>
      </c>
      <c r="F1436" t="s">
        <v>363</v>
      </c>
      <c r="G1436" t="s">
        <v>640</v>
      </c>
      <c r="H1436" t="s">
        <v>569</v>
      </c>
      <c r="I1436" t="s">
        <v>11</v>
      </c>
      <c r="J1436" t="s">
        <v>641</v>
      </c>
      <c r="K1436" t="s">
        <v>642</v>
      </c>
      <c r="L1436" t="s">
        <v>572</v>
      </c>
      <c r="M1436">
        <v>56</v>
      </c>
      <c r="N1436" t="b">
        <v>0</v>
      </c>
      <c r="O1436">
        <v>0.82039911308203983</v>
      </c>
      <c r="R1436" t="s">
        <v>670</v>
      </c>
      <c r="S1436" t="s">
        <v>3300</v>
      </c>
      <c r="T1436" t="s">
        <v>3301</v>
      </c>
      <c r="U1436" t="b">
        <v>1</v>
      </c>
      <c r="V1436" t="s">
        <v>63</v>
      </c>
      <c r="W1436">
        <v>0.6</v>
      </c>
    </row>
    <row r="1437" spans="1:23" hidden="1" x14ac:dyDescent="0.3">
      <c r="A1437" t="s">
        <v>2830</v>
      </c>
      <c r="B1437" t="s">
        <v>2831</v>
      </c>
      <c r="C1437" t="s">
        <v>29</v>
      </c>
      <c r="D1437" t="s">
        <v>20</v>
      </c>
      <c r="E1437" t="s">
        <v>21</v>
      </c>
      <c r="F1437" t="s">
        <v>363</v>
      </c>
      <c r="G1437" t="s">
        <v>645</v>
      </c>
      <c r="H1437" t="s">
        <v>569</v>
      </c>
      <c r="I1437" t="s">
        <v>11</v>
      </c>
      <c r="J1437" t="s">
        <v>646</v>
      </c>
      <c r="K1437" t="s">
        <v>647</v>
      </c>
      <c r="L1437" t="s">
        <v>572</v>
      </c>
      <c r="M1437">
        <v>57</v>
      </c>
      <c r="N1437" t="b">
        <v>0</v>
      </c>
      <c r="O1437">
        <v>0.81758241758241768</v>
      </c>
      <c r="R1437" t="s">
        <v>670</v>
      </c>
      <c r="S1437" t="s">
        <v>3302</v>
      </c>
      <c r="T1437" t="s">
        <v>3303</v>
      </c>
      <c r="U1437" t="b">
        <v>1</v>
      </c>
      <c r="V1437" t="s">
        <v>63</v>
      </c>
      <c r="W1437">
        <v>0.6</v>
      </c>
    </row>
    <row r="1438" spans="1:23" hidden="1" x14ac:dyDescent="0.3">
      <c r="A1438" t="s">
        <v>2830</v>
      </c>
      <c r="B1438" t="s">
        <v>2831</v>
      </c>
      <c r="C1438" t="s">
        <v>29</v>
      </c>
      <c r="D1438" t="s">
        <v>20</v>
      </c>
      <c r="E1438" t="s">
        <v>21</v>
      </c>
      <c r="F1438" t="s">
        <v>363</v>
      </c>
      <c r="G1438" t="s">
        <v>650</v>
      </c>
      <c r="H1438" t="s">
        <v>569</v>
      </c>
      <c r="I1438" t="s">
        <v>11</v>
      </c>
      <c r="J1438" t="s">
        <v>651</v>
      </c>
      <c r="K1438" t="s">
        <v>652</v>
      </c>
      <c r="L1438" t="s">
        <v>572</v>
      </c>
      <c r="M1438">
        <v>58</v>
      </c>
      <c r="N1438" t="b">
        <v>0</v>
      </c>
      <c r="O1438">
        <v>0.80973451327433632</v>
      </c>
      <c r="R1438" t="s">
        <v>670</v>
      </c>
      <c r="S1438" t="s">
        <v>3304</v>
      </c>
      <c r="T1438" t="s">
        <v>3305</v>
      </c>
      <c r="U1438" t="b">
        <v>1</v>
      </c>
      <c r="V1438" t="s">
        <v>63</v>
      </c>
      <c r="W1438">
        <v>0.7</v>
      </c>
    </row>
    <row r="1439" spans="1:23" hidden="1" x14ac:dyDescent="0.3">
      <c r="A1439" t="s">
        <v>2830</v>
      </c>
      <c r="B1439" t="s">
        <v>2831</v>
      </c>
      <c r="C1439" t="s">
        <v>29</v>
      </c>
      <c r="D1439" t="s">
        <v>20</v>
      </c>
      <c r="E1439" t="s">
        <v>21</v>
      </c>
      <c r="F1439" t="s">
        <v>363</v>
      </c>
      <c r="G1439" t="s">
        <v>655</v>
      </c>
      <c r="H1439" t="s">
        <v>569</v>
      </c>
      <c r="I1439" t="s">
        <v>11</v>
      </c>
      <c r="J1439" t="s">
        <v>656</v>
      </c>
      <c r="K1439" t="s">
        <v>657</v>
      </c>
      <c r="L1439" t="s">
        <v>572</v>
      </c>
      <c r="M1439">
        <v>59</v>
      </c>
      <c r="N1439" t="b">
        <v>0</v>
      </c>
      <c r="O1439">
        <v>0.8318584070796462</v>
      </c>
      <c r="R1439" t="s">
        <v>670</v>
      </c>
      <c r="S1439" t="s">
        <v>3306</v>
      </c>
      <c r="T1439" t="s">
        <v>3307</v>
      </c>
      <c r="U1439" t="b">
        <v>1</v>
      </c>
      <c r="V1439" t="s">
        <v>63</v>
      </c>
      <c r="W1439">
        <v>0</v>
      </c>
    </row>
    <row r="1440" spans="1:23" hidden="1" x14ac:dyDescent="0.3">
      <c r="A1440" t="s">
        <v>2830</v>
      </c>
      <c r="B1440" t="s">
        <v>2831</v>
      </c>
      <c r="C1440" t="s">
        <v>29</v>
      </c>
      <c r="D1440" t="s">
        <v>20</v>
      </c>
      <c r="E1440" t="s">
        <v>21</v>
      </c>
      <c r="F1440" t="s">
        <v>363</v>
      </c>
      <c r="G1440" t="s">
        <v>660</v>
      </c>
      <c r="H1440" t="s">
        <v>569</v>
      </c>
      <c r="I1440" t="s">
        <v>11</v>
      </c>
      <c r="J1440" t="s">
        <v>661</v>
      </c>
      <c r="K1440" t="s">
        <v>662</v>
      </c>
      <c r="L1440" t="s">
        <v>572</v>
      </c>
      <c r="M1440">
        <v>60</v>
      </c>
      <c r="N1440" t="b">
        <v>0</v>
      </c>
      <c r="O1440">
        <v>0.82378854625550657</v>
      </c>
      <c r="R1440" t="s">
        <v>670</v>
      </c>
      <c r="S1440" t="s">
        <v>3308</v>
      </c>
      <c r="T1440" t="s">
        <v>3309</v>
      </c>
      <c r="U1440" t="b">
        <v>1</v>
      </c>
      <c r="V1440" t="s">
        <v>63</v>
      </c>
      <c r="W1440">
        <v>0</v>
      </c>
    </row>
    <row r="1441" spans="1:23" hidden="1" x14ac:dyDescent="0.3">
      <c r="A1441" t="s">
        <v>2830</v>
      </c>
      <c r="B1441" t="s">
        <v>2831</v>
      </c>
      <c r="C1441" t="s">
        <v>29</v>
      </c>
      <c r="D1441" t="s">
        <v>20</v>
      </c>
      <c r="E1441" t="s">
        <v>21</v>
      </c>
      <c r="F1441" t="s">
        <v>363</v>
      </c>
      <c r="G1441" t="s">
        <v>665</v>
      </c>
      <c r="H1441" t="s">
        <v>569</v>
      </c>
      <c r="I1441" t="s">
        <v>11</v>
      </c>
      <c r="J1441" t="s">
        <v>666</v>
      </c>
      <c r="K1441" t="s">
        <v>667</v>
      </c>
      <c r="L1441" t="s">
        <v>572</v>
      </c>
      <c r="M1441">
        <v>61</v>
      </c>
      <c r="N1441" t="b">
        <v>0</v>
      </c>
      <c r="O1441">
        <v>0.8351648351648352</v>
      </c>
      <c r="R1441" t="s">
        <v>670</v>
      </c>
      <c r="S1441" t="s">
        <v>3310</v>
      </c>
      <c r="T1441" t="s">
        <v>3311</v>
      </c>
      <c r="U1441" t="b">
        <v>1</v>
      </c>
      <c r="V1441" t="s">
        <v>63</v>
      </c>
      <c r="W1441">
        <v>0</v>
      </c>
    </row>
    <row r="1442" spans="1:23" hidden="1" x14ac:dyDescent="0.3">
      <c r="A1442" t="s">
        <v>2830</v>
      </c>
      <c r="B1442" t="s">
        <v>2831</v>
      </c>
      <c r="C1442" t="s">
        <v>29</v>
      </c>
      <c r="D1442" t="s">
        <v>22</v>
      </c>
      <c r="E1442" t="s">
        <v>23</v>
      </c>
      <c r="F1442" t="s">
        <v>54</v>
      </c>
      <c r="G1442" t="s">
        <v>55</v>
      </c>
      <c r="H1442" t="s">
        <v>56</v>
      </c>
      <c r="I1442" t="s">
        <v>7</v>
      </c>
      <c r="J1442" t="s">
        <v>57</v>
      </c>
      <c r="K1442" t="s">
        <v>58</v>
      </c>
      <c r="L1442" t="s">
        <v>59</v>
      </c>
      <c r="M1442">
        <v>42</v>
      </c>
      <c r="N1442" t="b">
        <v>1</v>
      </c>
      <c r="O1442">
        <v>0.77801268498942933</v>
      </c>
      <c r="P1442">
        <v>0.75720164609053497</v>
      </c>
      <c r="Q1442">
        <v>0.8</v>
      </c>
      <c r="R1442" t="s">
        <v>60</v>
      </c>
      <c r="S1442" t="s">
        <v>3312</v>
      </c>
      <c r="T1442" t="s">
        <v>3313</v>
      </c>
      <c r="U1442" t="b">
        <v>1</v>
      </c>
      <c r="V1442" t="s">
        <v>63</v>
      </c>
      <c r="W1442">
        <v>6</v>
      </c>
    </row>
    <row r="1443" spans="1:23" hidden="1" x14ac:dyDescent="0.3">
      <c r="A1443" t="s">
        <v>2830</v>
      </c>
      <c r="B1443" t="s">
        <v>2831</v>
      </c>
      <c r="C1443" t="s">
        <v>29</v>
      </c>
      <c r="D1443" t="s">
        <v>22</v>
      </c>
      <c r="E1443" t="s">
        <v>23</v>
      </c>
      <c r="F1443" t="s">
        <v>54</v>
      </c>
      <c r="G1443" t="s">
        <v>64</v>
      </c>
      <c r="H1443" t="s">
        <v>56</v>
      </c>
      <c r="I1443" t="s">
        <v>7</v>
      </c>
      <c r="J1443" t="s">
        <v>65</v>
      </c>
      <c r="K1443" t="s">
        <v>66</v>
      </c>
      <c r="L1443" t="s">
        <v>59</v>
      </c>
      <c r="M1443">
        <v>43</v>
      </c>
      <c r="N1443" t="b">
        <v>1</v>
      </c>
      <c r="O1443">
        <v>0.70736842105263165</v>
      </c>
      <c r="P1443">
        <v>0.68571428571428572</v>
      </c>
      <c r="Q1443">
        <v>0.73043478260869565</v>
      </c>
      <c r="R1443" t="s">
        <v>60</v>
      </c>
      <c r="S1443" t="s">
        <v>3314</v>
      </c>
      <c r="T1443" t="s">
        <v>3315</v>
      </c>
      <c r="U1443" t="b">
        <v>1</v>
      </c>
      <c r="V1443" t="s">
        <v>63</v>
      </c>
      <c r="W1443">
        <v>2.8</v>
      </c>
    </row>
    <row r="1444" spans="1:23" hidden="1" x14ac:dyDescent="0.3">
      <c r="A1444" t="s">
        <v>2830</v>
      </c>
      <c r="B1444" t="s">
        <v>2831</v>
      </c>
      <c r="C1444" t="s">
        <v>29</v>
      </c>
      <c r="D1444" t="s">
        <v>22</v>
      </c>
      <c r="E1444" t="s">
        <v>23</v>
      </c>
      <c r="F1444" t="s">
        <v>54</v>
      </c>
      <c r="G1444" t="s">
        <v>69</v>
      </c>
      <c r="H1444" t="s">
        <v>56</v>
      </c>
      <c r="I1444" t="s">
        <v>7</v>
      </c>
      <c r="J1444" t="s">
        <v>70</v>
      </c>
      <c r="K1444" t="s">
        <v>71</v>
      </c>
      <c r="L1444" t="s">
        <v>59</v>
      </c>
      <c r="M1444">
        <v>44</v>
      </c>
      <c r="N1444" t="b">
        <v>1</v>
      </c>
      <c r="O1444">
        <v>0.77682403433476388</v>
      </c>
      <c r="P1444">
        <v>0.76694915254237284</v>
      </c>
      <c r="Q1444">
        <v>0.78695652173913044</v>
      </c>
      <c r="R1444" t="s">
        <v>60</v>
      </c>
      <c r="S1444" t="s">
        <v>3316</v>
      </c>
      <c r="T1444" t="s">
        <v>3317</v>
      </c>
      <c r="U1444" t="b">
        <v>1</v>
      </c>
      <c r="V1444" t="s">
        <v>63</v>
      </c>
      <c r="W1444">
        <v>1.4</v>
      </c>
    </row>
    <row r="1445" spans="1:23" hidden="1" x14ac:dyDescent="0.3">
      <c r="A1445" t="s">
        <v>2830</v>
      </c>
      <c r="B1445" t="s">
        <v>2831</v>
      </c>
      <c r="C1445" t="s">
        <v>29</v>
      </c>
      <c r="D1445" t="s">
        <v>22</v>
      </c>
      <c r="E1445" t="s">
        <v>23</v>
      </c>
      <c r="F1445" t="s">
        <v>54</v>
      </c>
      <c r="G1445" t="s">
        <v>74</v>
      </c>
      <c r="H1445" t="s">
        <v>56</v>
      </c>
      <c r="I1445" t="s">
        <v>7</v>
      </c>
      <c r="J1445" t="s">
        <v>75</v>
      </c>
      <c r="K1445" t="s">
        <v>76</v>
      </c>
      <c r="L1445" t="s">
        <v>59</v>
      </c>
      <c r="M1445">
        <v>45</v>
      </c>
      <c r="N1445" t="b">
        <v>1</v>
      </c>
      <c r="O1445">
        <v>0.73641851106639833</v>
      </c>
      <c r="P1445">
        <v>0.6853932584269663</v>
      </c>
      <c r="Q1445">
        <v>0.79565217391304344</v>
      </c>
      <c r="R1445" t="s">
        <v>60</v>
      </c>
      <c r="S1445" t="s">
        <v>3318</v>
      </c>
      <c r="T1445" t="s">
        <v>3319</v>
      </c>
      <c r="U1445" t="b">
        <v>1</v>
      </c>
      <c r="V1445" t="s">
        <v>63</v>
      </c>
      <c r="W1445">
        <v>1.8</v>
      </c>
    </row>
    <row r="1446" spans="1:23" hidden="1" x14ac:dyDescent="0.3">
      <c r="A1446" t="s">
        <v>2830</v>
      </c>
      <c r="B1446" t="s">
        <v>2831</v>
      </c>
      <c r="C1446" t="s">
        <v>29</v>
      </c>
      <c r="D1446" t="s">
        <v>22</v>
      </c>
      <c r="E1446" t="s">
        <v>23</v>
      </c>
      <c r="F1446" t="s">
        <v>54</v>
      </c>
      <c r="G1446" t="s">
        <v>79</v>
      </c>
      <c r="H1446" t="s">
        <v>56</v>
      </c>
      <c r="I1446" t="s">
        <v>7</v>
      </c>
      <c r="J1446" t="s">
        <v>80</v>
      </c>
      <c r="K1446" t="s">
        <v>81</v>
      </c>
      <c r="L1446" t="s">
        <v>59</v>
      </c>
      <c r="M1446">
        <v>46</v>
      </c>
      <c r="N1446" t="b">
        <v>1</v>
      </c>
      <c r="O1446">
        <v>0.71914893617021292</v>
      </c>
      <c r="P1446">
        <v>0.70416666666666672</v>
      </c>
      <c r="Q1446">
        <v>0.73478260869565215</v>
      </c>
      <c r="R1446" t="s">
        <v>60</v>
      </c>
      <c r="S1446" t="s">
        <v>3320</v>
      </c>
      <c r="T1446" t="s">
        <v>3321</v>
      </c>
      <c r="U1446" t="b">
        <v>1</v>
      </c>
      <c r="V1446" t="s">
        <v>63</v>
      </c>
      <c r="W1446">
        <v>1.4</v>
      </c>
    </row>
    <row r="1447" spans="1:23" hidden="1" x14ac:dyDescent="0.3">
      <c r="A1447" t="s">
        <v>2830</v>
      </c>
      <c r="B1447" t="s">
        <v>2831</v>
      </c>
      <c r="C1447" t="s">
        <v>29</v>
      </c>
      <c r="D1447" t="s">
        <v>22</v>
      </c>
      <c r="E1447" t="s">
        <v>23</v>
      </c>
      <c r="F1447" t="s">
        <v>54</v>
      </c>
      <c r="G1447" t="s">
        <v>84</v>
      </c>
      <c r="H1447" t="s">
        <v>56</v>
      </c>
      <c r="I1447" t="s">
        <v>7</v>
      </c>
      <c r="J1447" t="s">
        <v>85</v>
      </c>
      <c r="K1447" t="s">
        <v>86</v>
      </c>
      <c r="L1447" t="s">
        <v>59</v>
      </c>
      <c r="M1447">
        <v>47</v>
      </c>
      <c r="N1447" t="b">
        <v>1</v>
      </c>
      <c r="O1447">
        <v>0.73619631901840499</v>
      </c>
      <c r="P1447">
        <v>0.69498069498069504</v>
      </c>
      <c r="Q1447">
        <v>0.78260869565217395</v>
      </c>
      <c r="R1447" t="s">
        <v>60</v>
      </c>
      <c r="S1447" t="s">
        <v>3322</v>
      </c>
      <c r="T1447" t="s">
        <v>3323</v>
      </c>
      <c r="U1447" t="b">
        <v>1</v>
      </c>
      <c r="V1447" t="s">
        <v>63</v>
      </c>
      <c r="W1447">
        <v>1.6</v>
      </c>
    </row>
    <row r="1448" spans="1:23" hidden="1" x14ac:dyDescent="0.3">
      <c r="A1448" t="s">
        <v>2830</v>
      </c>
      <c r="B1448" t="s">
        <v>2831</v>
      </c>
      <c r="C1448" t="s">
        <v>29</v>
      </c>
      <c r="D1448" t="s">
        <v>22</v>
      </c>
      <c r="E1448" t="s">
        <v>23</v>
      </c>
      <c r="F1448" t="s">
        <v>54</v>
      </c>
      <c r="G1448" t="s">
        <v>89</v>
      </c>
      <c r="H1448" t="s">
        <v>56</v>
      </c>
      <c r="I1448" t="s">
        <v>7</v>
      </c>
      <c r="J1448" t="s">
        <v>90</v>
      </c>
      <c r="K1448" t="s">
        <v>91</v>
      </c>
      <c r="L1448" t="s">
        <v>59</v>
      </c>
      <c r="M1448">
        <v>48</v>
      </c>
      <c r="N1448" t="b">
        <v>1</v>
      </c>
      <c r="O1448">
        <v>0.74693877551020416</v>
      </c>
      <c r="P1448">
        <v>0.7038461538461539</v>
      </c>
      <c r="Q1448">
        <v>0.79565217391304344</v>
      </c>
      <c r="R1448" t="s">
        <v>60</v>
      </c>
      <c r="S1448" t="s">
        <v>3324</v>
      </c>
      <c r="T1448" t="s">
        <v>3325</v>
      </c>
      <c r="U1448" t="b">
        <v>1</v>
      </c>
      <c r="V1448" t="s">
        <v>63</v>
      </c>
      <c r="W1448">
        <v>1.4</v>
      </c>
    </row>
    <row r="1449" spans="1:23" hidden="1" x14ac:dyDescent="0.3">
      <c r="A1449" t="s">
        <v>2830</v>
      </c>
      <c r="B1449" t="s">
        <v>2831</v>
      </c>
      <c r="C1449" t="s">
        <v>29</v>
      </c>
      <c r="D1449" t="s">
        <v>22</v>
      </c>
      <c r="E1449" t="s">
        <v>23</v>
      </c>
      <c r="F1449" t="s">
        <v>54</v>
      </c>
      <c r="G1449" t="s">
        <v>94</v>
      </c>
      <c r="H1449" t="s">
        <v>56</v>
      </c>
      <c r="I1449" t="s">
        <v>7</v>
      </c>
      <c r="J1449" t="s">
        <v>95</v>
      </c>
      <c r="K1449" t="s">
        <v>96</v>
      </c>
      <c r="L1449" t="s">
        <v>59</v>
      </c>
      <c r="M1449">
        <v>49</v>
      </c>
      <c r="N1449" t="b">
        <v>1</v>
      </c>
      <c r="O1449">
        <v>0.72032193158953728</v>
      </c>
      <c r="P1449">
        <v>0.67041198501872656</v>
      </c>
      <c r="Q1449">
        <v>0.77826086956521734</v>
      </c>
      <c r="R1449" t="s">
        <v>60</v>
      </c>
      <c r="S1449" t="s">
        <v>3326</v>
      </c>
      <c r="T1449" t="s">
        <v>3327</v>
      </c>
      <c r="U1449" t="b">
        <v>1</v>
      </c>
      <c r="V1449" t="s">
        <v>63</v>
      </c>
      <c r="W1449">
        <v>1.4</v>
      </c>
    </row>
    <row r="1450" spans="1:23" hidden="1" x14ac:dyDescent="0.3">
      <c r="A1450" t="s">
        <v>2830</v>
      </c>
      <c r="B1450" t="s">
        <v>2831</v>
      </c>
      <c r="C1450" t="s">
        <v>29</v>
      </c>
      <c r="D1450" t="s">
        <v>22</v>
      </c>
      <c r="E1450" t="s">
        <v>23</v>
      </c>
      <c r="F1450" t="s">
        <v>54</v>
      </c>
      <c r="G1450" t="s">
        <v>99</v>
      </c>
      <c r="H1450" t="s">
        <v>56</v>
      </c>
      <c r="I1450" t="s">
        <v>7</v>
      </c>
      <c r="J1450" t="s">
        <v>100</v>
      </c>
      <c r="K1450" t="s">
        <v>101</v>
      </c>
      <c r="L1450" t="s">
        <v>59</v>
      </c>
      <c r="M1450">
        <v>50</v>
      </c>
      <c r="N1450" t="b">
        <v>1</v>
      </c>
      <c r="O1450">
        <v>0.67282809611829952</v>
      </c>
      <c r="P1450">
        <v>0.58520900321543412</v>
      </c>
      <c r="Q1450">
        <v>0.79130434782608694</v>
      </c>
      <c r="R1450" t="s">
        <v>60</v>
      </c>
      <c r="S1450" t="s">
        <v>3328</v>
      </c>
      <c r="T1450" t="s">
        <v>3329</v>
      </c>
      <c r="U1450" t="b">
        <v>1</v>
      </c>
      <c r="V1450" t="s">
        <v>63</v>
      </c>
      <c r="W1450">
        <v>1.4</v>
      </c>
    </row>
    <row r="1451" spans="1:23" hidden="1" x14ac:dyDescent="0.3">
      <c r="A1451" t="s">
        <v>2830</v>
      </c>
      <c r="B1451" t="s">
        <v>2831</v>
      </c>
      <c r="C1451" t="s">
        <v>29</v>
      </c>
      <c r="D1451" t="s">
        <v>22</v>
      </c>
      <c r="E1451" t="s">
        <v>23</v>
      </c>
      <c r="F1451" t="s">
        <v>54</v>
      </c>
      <c r="G1451" t="s">
        <v>104</v>
      </c>
      <c r="H1451" t="s">
        <v>56</v>
      </c>
      <c r="I1451" t="s">
        <v>7</v>
      </c>
      <c r="J1451" t="s">
        <v>105</v>
      </c>
      <c r="K1451" t="s">
        <v>106</v>
      </c>
      <c r="L1451" t="s">
        <v>59</v>
      </c>
      <c r="M1451">
        <v>51</v>
      </c>
      <c r="N1451" t="b">
        <v>1</v>
      </c>
      <c r="O1451">
        <v>0.74134419551934827</v>
      </c>
      <c r="P1451">
        <v>0.69731800766283525</v>
      </c>
      <c r="Q1451">
        <v>0.79130434782608694</v>
      </c>
      <c r="R1451" t="s">
        <v>60</v>
      </c>
      <c r="S1451" t="s">
        <v>3330</v>
      </c>
      <c r="T1451" t="s">
        <v>3331</v>
      </c>
      <c r="U1451" t="b">
        <v>1</v>
      </c>
      <c r="V1451" t="s">
        <v>63</v>
      </c>
      <c r="W1451">
        <v>1.8</v>
      </c>
    </row>
    <row r="1452" spans="1:23" hidden="1" x14ac:dyDescent="0.3">
      <c r="A1452" t="s">
        <v>2830</v>
      </c>
      <c r="B1452" t="s">
        <v>2831</v>
      </c>
      <c r="C1452" t="s">
        <v>29</v>
      </c>
      <c r="D1452" t="s">
        <v>22</v>
      </c>
      <c r="E1452" t="s">
        <v>23</v>
      </c>
      <c r="F1452" t="s">
        <v>54</v>
      </c>
      <c r="G1452" t="s">
        <v>109</v>
      </c>
      <c r="H1452" t="s">
        <v>56</v>
      </c>
      <c r="I1452" t="s">
        <v>7</v>
      </c>
      <c r="J1452" t="s">
        <v>110</v>
      </c>
      <c r="K1452" t="s">
        <v>111</v>
      </c>
      <c r="L1452" t="s">
        <v>59</v>
      </c>
      <c r="M1452">
        <v>52</v>
      </c>
      <c r="N1452" t="b">
        <v>1</v>
      </c>
      <c r="O1452">
        <v>0.73109243697478987</v>
      </c>
      <c r="P1452">
        <v>0.70731707317073167</v>
      </c>
      <c r="Q1452">
        <v>0.75652173913043474</v>
      </c>
      <c r="R1452" t="s">
        <v>60</v>
      </c>
      <c r="S1452" t="s">
        <v>3332</v>
      </c>
      <c r="T1452" t="s">
        <v>3333</v>
      </c>
      <c r="U1452" t="b">
        <v>1</v>
      </c>
      <c r="V1452" t="s">
        <v>63</v>
      </c>
      <c r="W1452">
        <v>1.4</v>
      </c>
    </row>
    <row r="1453" spans="1:23" hidden="1" x14ac:dyDescent="0.3">
      <c r="A1453" t="s">
        <v>2830</v>
      </c>
      <c r="B1453" t="s">
        <v>2831</v>
      </c>
      <c r="C1453" t="s">
        <v>29</v>
      </c>
      <c r="D1453" t="s">
        <v>22</v>
      </c>
      <c r="E1453" t="s">
        <v>23</v>
      </c>
      <c r="F1453" t="s">
        <v>54</v>
      </c>
      <c r="G1453" t="s">
        <v>114</v>
      </c>
      <c r="H1453" t="s">
        <v>56</v>
      </c>
      <c r="I1453" t="s">
        <v>7</v>
      </c>
      <c r="J1453" t="s">
        <v>115</v>
      </c>
      <c r="K1453" t="s">
        <v>116</v>
      </c>
      <c r="L1453" t="s">
        <v>59</v>
      </c>
      <c r="M1453">
        <v>53</v>
      </c>
      <c r="N1453" t="b">
        <v>1</v>
      </c>
      <c r="O1453">
        <v>0.73663366336633662</v>
      </c>
      <c r="P1453">
        <v>0.67636363636363639</v>
      </c>
      <c r="Q1453">
        <v>0.80869565217391304</v>
      </c>
      <c r="R1453" t="s">
        <v>60</v>
      </c>
      <c r="S1453" t="s">
        <v>3334</v>
      </c>
      <c r="T1453" t="s">
        <v>3335</v>
      </c>
      <c r="U1453" t="b">
        <v>1</v>
      </c>
      <c r="V1453" t="s">
        <v>63</v>
      </c>
      <c r="W1453">
        <v>1.4</v>
      </c>
    </row>
    <row r="1454" spans="1:23" hidden="1" x14ac:dyDescent="0.3">
      <c r="A1454" t="s">
        <v>2830</v>
      </c>
      <c r="B1454" t="s">
        <v>2831</v>
      </c>
      <c r="C1454" t="s">
        <v>29</v>
      </c>
      <c r="D1454" t="s">
        <v>22</v>
      </c>
      <c r="E1454" t="s">
        <v>23</v>
      </c>
      <c r="F1454" t="s">
        <v>54</v>
      </c>
      <c r="G1454" t="s">
        <v>119</v>
      </c>
      <c r="H1454" t="s">
        <v>56</v>
      </c>
      <c r="I1454" t="s">
        <v>7</v>
      </c>
      <c r="J1454" t="s">
        <v>120</v>
      </c>
      <c r="K1454" t="s">
        <v>121</v>
      </c>
      <c r="L1454" t="s">
        <v>59</v>
      </c>
      <c r="M1454">
        <v>54</v>
      </c>
      <c r="N1454" t="b">
        <v>1</v>
      </c>
      <c r="O1454">
        <v>0.7350427350427351</v>
      </c>
      <c r="P1454">
        <v>0.72268907563025209</v>
      </c>
      <c r="Q1454">
        <v>0.74782608695652175</v>
      </c>
      <c r="R1454" t="s">
        <v>60</v>
      </c>
      <c r="S1454" t="s">
        <v>3336</v>
      </c>
      <c r="T1454" t="s">
        <v>3337</v>
      </c>
      <c r="U1454" t="b">
        <v>1</v>
      </c>
      <c r="V1454" t="s">
        <v>63</v>
      </c>
      <c r="W1454">
        <v>1.4</v>
      </c>
    </row>
    <row r="1455" spans="1:23" hidden="1" x14ac:dyDescent="0.3">
      <c r="A1455" t="s">
        <v>2830</v>
      </c>
      <c r="B1455" t="s">
        <v>2831</v>
      </c>
      <c r="C1455" t="s">
        <v>29</v>
      </c>
      <c r="D1455" t="s">
        <v>22</v>
      </c>
      <c r="E1455" t="s">
        <v>23</v>
      </c>
      <c r="F1455" t="s">
        <v>54</v>
      </c>
      <c r="G1455" t="s">
        <v>124</v>
      </c>
      <c r="H1455" t="s">
        <v>56</v>
      </c>
      <c r="I1455" t="s">
        <v>7</v>
      </c>
      <c r="J1455" t="s">
        <v>125</v>
      </c>
      <c r="K1455" t="s">
        <v>126</v>
      </c>
      <c r="L1455" t="s">
        <v>59</v>
      </c>
      <c r="M1455">
        <v>55</v>
      </c>
      <c r="N1455" t="b">
        <v>1</v>
      </c>
      <c r="O1455">
        <v>0.75604395604395591</v>
      </c>
      <c r="P1455">
        <v>0.76444444444444448</v>
      </c>
      <c r="Q1455">
        <v>0.74782608695652175</v>
      </c>
      <c r="R1455" t="s">
        <v>60</v>
      </c>
      <c r="S1455" t="s">
        <v>3338</v>
      </c>
      <c r="T1455" t="s">
        <v>3339</v>
      </c>
      <c r="U1455" t="b">
        <v>1</v>
      </c>
      <c r="V1455" t="s">
        <v>63</v>
      </c>
      <c r="W1455">
        <v>1.3</v>
      </c>
    </row>
    <row r="1456" spans="1:23" hidden="1" x14ac:dyDescent="0.3">
      <c r="A1456" t="s">
        <v>2830</v>
      </c>
      <c r="B1456" t="s">
        <v>2831</v>
      </c>
      <c r="C1456" t="s">
        <v>29</v>
      </c>
      <c r="D1456" t="s">
        <v>22</v>
      </c>
      <c r="E1456" t="s">
        <v>23</v>
      </c>
      <c r="F1456" t="s">
        <v>54</v>
      </c>
      <c r="G1456" t="s">
        <v>129</v>
      </c>
      <c r="H1456" t="s">
        <v>56</v>
      </c>
      <c r="I1456" t="s">
        <v>7</v>
      </c>
      <c r="J1456" t="s">
        <v>130</v>
      </c>
      <c r="K1456" t="s">
        <v>131</v>
      </c>
      <c r="L1456" t="s">
        <v>59</v>
      </c>
      <c r="M1456">
        <v>56</v>
      </c>
      <c r="N1456" t="b">
        <v>1</v>
      </c>
      <c r="O1456">
        <v>0.75463917525773194</v>
      </c>
      <c r="P1456">
        <v>0.71764705882352942</v>
      </c>
      <c r="Q1456">
        <v>0.79565217391304344</v>
      </c>
      <c r="R1456" t="s">
        <v>60</v>
      </c>
      <c r="S1456" t="s">
        <v>3340</v>
      </c>
      <c r="T1456" t="s">
        <v>3341</v>
      </c>
      <c r="U1456" t="b">
        <v>1</v>
      </c>
      <c r="V1456" t="s">
        <v>63</v>
      </c>
      <c r="W1456">
        <v>1.4</v>
      </c>
    </row>
    <row r="1457" spans="1:23" hidden="1" x14ac:dyDescent="0.3">
      <c r="A1457" t="s">
        <v>2830</v>
      </c>
      <c r="B1457" t="s">
        <v>2831</v>
      </c>
      <c r="C1457" t="s">
        <v>29</v>
      </c>
      <c r="D1457" t="s">
        <v>22</v>
      </c>
      <c r="E1457" t="s">
        <v>23</v>
      </c>
      <c r="F1457" t="s">
        <v>54</v>
      </c>
      <c r="G1457" t="s">
        <v>134</v>
      </c>
      <c r="H1457" t="s">
        <v>56</v>
      </c>
      <c r="I1457" t="s">
        <v>7</v>
      </c>
      <c r="J1457" t="s">
        <v>135</v>
      </c>
      <c r="K1457" t="s">
        <v>136</v>
      </c>
      <c r="L1457" t="s">
        <v>59</v>
      </c>
      <c r="M1457">
        <v>57</v>
      </c>
      <c r="N1457" t="b">
        <v>1</v>
      </c>
      <c r="O1457">
        <v>0.74193548387096775</v>
      </c>
      <c r="P1457">
        <v>0.69172932330827064</v>
      </c>
      <c r="Q1457">
        <v>0.8</v>
      </c>
      <c r="R1457" t="s">
        <v>60</v>
      </c>
      <c r="S1457" t="s">
        <v>3342</v>
      </c>
      <c r="T1457" t="s">
        <v>3343</v>
      </c>
      <c r="U1457" t="b">
        <v>1</v>
      </c>
      <c r="V1457" t="s">
        <v>63</v>
      </c>
      <c r="W1457">
        <v>1.8</v>
      </c>
    </row>
    <row r="1458" spans="1:23" hidden="1" x14ac:dyDescent="0.3">
      <c r="A1458" t="s">
        <v>2830</v>
      </c>
      <c r="B1458" t="s">
        <v>2831</v>
      </c>
      <c r="C1458" t="s">
        <v>29</v>
      </c>
      <c r="D1458" t="s">
        <v>22</v>
      </c>
      <c r="E1458" t="s">
        <v>23</v>
      </c>
      <c r="F1458" t="s">
        <v>54</v>
      </c>
      <c r="G1458" t="s">
        <v>139</v>
      </c>
      <c r="H1458" t="s">
        <v>56</v>
      </c>
      <c r="I1458" t="s">
        <v>7</v>
      </c>
      <c r="J1458" t="s">
        <v>140</v>
      </c>
      <c r="K1458" t="s">
        <v>141</v>
      </c>
      <c r="L1458" t="s">
        <v>59</v>
      </c>
      <c r="M1458">
        <v>58</v>
      </c>
      <c r="N1458" t="b">
        <v>1</v>
      </c>
      <c r="O1458">
        <v>0.72255489021956087</v>
      </c>
      <c r="P1458">
        <v>0.66789667896678961</v>
      </c>
      <c r="Q1458">
        <v>0.78695652173913044</v>
      </c>
      <c r="R1458" t="s">
        <v>60</v>
      </c>
      <c r="S1458" t="s">
        <v>3344</v>
      </c>
      <c r="T1458" t="s">
        <v>3345</v>
      </c>
      <c r="U1458" t="b">
        <v>1</v>
      </c>
      <c r="V1458" t="s">
        <v>63</v>
      </c>
      <c r="W1458">
        <v>1.4</v>
      </c>
    </row>
    <row r="1459" spans="1:23" hidden="1" x14ac:dyDescent="0.3">
      <c r="A1459" t="s">
        <v>2830</v>
      </c>
      <c r="B1459" t="s">
        <v>2831</v>
      </c>
      <c r="C1459" t="s">
        <v>29</v>
      </c>
      <c r="D1459" t="s">
        <v>22</v>
      </c>
      <c r="E1459" t="s">
        <v>23</v>
      </c>
      <c r="F1459" t="s">
        <v>54</v>
      </c>
      <c r="G1459" t="s">
        <v>144</v>
      </c>
      <c r="H1459" t="s">
        <v>56</v>
      </c>
      <c r="I1459" t="s">
        <v>7</v>
      </c>
      <c r="J1459" t="s">
        <v>145</v>
      </c>
      <c r="K1459" t="s">
        <v>146</v>
      </c>
      <c r="L1459" t="s">
        <v>59</v>
      </c>
      <c r="M1459">
        <v>59</v>
      </c>
      <c r="N1459" t="b">
        <v>1</v>
      </c>
      <c r="O1459">
        <v>0.72573839662447248</v>
      </c>
      <c r="P1459">
        <v>0.70491803278688525</v>
      </c>
      <c r="Q1459">
        <v>0.74782608695652175</v>
      </c>
      <c r="R1459" t="s">
        <v>60</v>
      </c>
      <c r="S1459" t="s">
        <v>3346</v>
      </c>
      <c r="T1459" t="s">
        <v>3347</v>
      </c>
      <c r="U1459" t="b">
        <v>1</v>
      </c>
      <c r="V1459" t="s">
        <v>63</v>
      </c>
      <c r="W1459">
        <v>1.6</v>
      </c>
    </row>
    <row r="1460" spans="1:23" hidden="1" x14ac:dyDescent="0.3">
      <c r="A1460" t="s">
        <v>2830</v>
      </c>
      <c r="B1460" t="s">
        <v>2831</v>
      </c>
      <c r="C1460" t="s">
        <v>29</v>
      </c>
      <c r="D1460" t="s">
        <v>22</v>
      </c>
      <c r="E1460" t="s">
        <v>23</v>
      </c>
      <c r="F1460" t="s">
        <v>54</v>
      </c>
      <c r="G1460" t="s">
        <v>149</v>
      </c>
      <c r="H1460" t="s">
        <v>56</v>
      </c>
      <c r="I1460" t="s">
        <v>7</v>
      </c>
      <c r="J1460" t="s">
        <v>150</v>
      </c>
      <c r="K1460" t="s">
        <v>151</v>
      </c>
      <c r="L1460" t="s">
        <v>59</v>
      </c>
      <c r="M1460">
        <v>60</v>
      </c>
      <c r="N1460" t="b">
        <v>1</v>
      </c>
      <c r="O1460">
        <v>0.80888888888888899</v>
      </c>
      <c r="P1460">
        <v>0.82727272727272727</v>
      </c>
      <c r="Q1460">
        <v>0.79130434782608694</v>
      </c>
      <c r="R1460" t="s">
        <v>60</v>
      </c>
      <c r="S1460" t="s">
        <v>3348</v>
      </c>
      <c r="T1460" t="s">
        <v>3349</v>
      </c>
      <c r="U1460" t="b">
        <v>1</v>
      </c>
      <c r="V1460" t="s">
        <v>63</v>
      </c>
      <c r="W1460">
        <v>1.4</v>
      </c>
    </row>
    <row r="1461" spans="1:23" hidden="1" x14ac:dyDescent="0.3">
      <c r="A1461" t="s">
        <v>2830</v>
      </c>
      <c r="B1461" t="s">
        <v>2831</v>
      </c>
      <c r="C1461" t="s">
        <v>29</v>
      </c>
      <c r="D1461" t="s">
        <v>22</v>
      </c>
      <c r="E1461" t="s">
        <v>23</v>
      </c>
      <c r="F1461" t="s">
        <v>54</v>
      </c>
      <c r="G1461" t="s">
        <v>154</v>
      </c>
      <c r="H1461" t="s">
        <v>56</v>
      </c>
      <c r="I1461" t="s">
        <v>7</v>
      </c>
      <c r="J1461" t="s">
        <v>155</v>
      </c>
      <c r="K1461" t="s">
        <v>156</v>
      </c>
      <c r="L1461" t="s">
        <v>59</v>
      </c>
      <c r="M1461">
        <v>61</v>
      </c>
      <c r="N1461" t="b">
        <v>1</v>
      </c>
      <c r="O1461">
        <v>0.7264770240700219</v>
      </c>
      <c r="P1461">
        <v>0.7312775330396476</v>
      </c>
      <c r="Q1461">
        <v>0.72173913043478266</v>
      </c>
      <c r="R1461" t="s">
        <v>60</v>
      </c>
      <c r="S1461" t="s">
        <v>3350</v>
      </c>
      <c r="T1461" t="s">
        <v>3351</v>
      </c>
      <c r="U1461" t="b">
        <v>1</v>
      </c>
      <c r="V1461" t="s">
        <v>63</v>
      </c>
      <c r="W1461">
        <v>1.4</v>
      </c>
    </row>
    <row r="1462" spans="1:23" hidden="1" x14ac:dyDescent="0.3">
      <c r="A1462" t="s">
        <v>2830</v>
      </c>
      <c r="B1462" t="s">
        <v>2831</v>
      </c>
      <c r="C1462" t="s">
        <v>29</v>
      </c>
      <c r="D1462" t="s">
        <v>22</v>
      </c>
      <c r="E1462" t="s">
        <v>23</v>
      </c>
      <c r="F1462" t="s">
        <v>54</v>
      </c>
      <c r="G1462" t="s">
        <v>159</v>
      </c>
      <c r="H1462" t="s">
        <v>160</v>
      </c>
      <c r="I1462" t="s">
        <v>3</v>
      </c>
      <c r="J1462" t="s">
        <v>161</v>
      </c>
      <c r="K1462" t="s">
        <v>162</v>
      </c>
      <c r="L1462" t="s">
        <v>163</v>
      </c>
      <c r="M1462">
        <v>42</v>
      </c>
      <c r="N1462" t="b">
        <v>0</v>
      </c>
      <c r="O1462">
        <v>0.75543478260869557</v>
      </c>
      <c r="P1462">
        <v>0.69849246231155782</v>
      </c>
      <c r="Q1462">
        <v>0.8224852071005917</v>
      </c>
      <c r="R1462" t="s">
        <v>60</v>
      </c>
      <c r="S1462" t="s">
        <v>3352</v>
      </c>
      <c r="T1462" t="s">
        <v>3353</v>
      </c>
      <c r="U1462" t="b">
        <v>1</v>
      </c>
      <c r="V1462" t="s">
        <v>63</v>
      </c>
      <c r="W1462">
        <v>1.3</v>
      </c>
    </row>
    <row r="1463" spans="1:23" hidden="1" x14ac:dyDescent="0.3">
      <c r="A1463" t="s">
        <v>2830</v>
      </c>
      <c r="B1463" t="s">
        <v>2831</v>
      </c>
      <c r="C1463" t="s">
        <v>29</v>
      </c>
      <c r="D1463" t="s">
        <v>22</v>
      </c>
      <c r="E1463" t="s">
        <v>23</v>
      </c>
      <c r="F1463" t="s">
        <v>54</v>
      </c>
      <c r="G1463" t="s">
        <v>166</v>
      </c>
      <c r="H1463" t="s">
        <v>160</v>
      </c>
      <c r="I1463" t="s">
        <v>3</v>
      </c>
      <c r="J1463" t="s">
        <v>167</v>
      </c>
      <c r="K1463" t="s">
        <v>168</v>
      </c>
      <c r="L1463" t="s">
        <v>163</v>
      </c>
      <c r="M1463">
        <v>43</v>
      </c>
      <c r="N1463" t="b">
        <v>0</v>
      </c>
      <c r="O1463">
        <v>0.75920679886685549</v>
      </c>
      <c r="P1463">
        <v>0.72826086956521741</v>
      </c>
      <c r="Q1463">
        <v>0.79289940828402372</v>
      </c>
      <c r="R1463" t="s">
        <v>60</v>
      </c>
      <c r="S1463" t="s">
        <v>3354</v>
      </c>
      <c r="T1463" t="s">
        <v>3355</v>
      </c>
      <c r="U1463" t="b">
        <v>1</v>
      </c>
      <c r="V1463" t="s">
        <v>63</v>
      </c>
      <c r="W1463">
        <v>1.7</v>
      </c>
    </row>
    <row r="1464" spans="1:23" hidden="1" x14ac:dyDescent="0.3">
      <c r="A1464" t="s">
        <v>2830</v>
      </c>
      <c r="B1464" t="s">
        <v>2831</v>
      </c>
      <c r="C1464" t="s">
        <v>29</v>
      </c>
      <c r="D1464" t="s">
        <v>22</v>
      </c>
      <c r="E1464" t="s">
        <v>23</v>
      </c>
      <c r="F1464" t="s">
        <v>54</v>
      </c>
      <c r="G1464" t="s">
        <v>171</v>
      </c>
      <c r="H1464" t="s">
        <v>160</v>
      </c>
      <c r="I1464" t="s">
        <v>3</v>
      </c>
      <c r="J1464" t="s">
        <v>172</v>
      </c>
      <c r="K1464" t="s">
        <v>173</v>
      </c>
      <c r="L1464" t="s">
        <v>163</v>
      </c>
      <c r="M1464">
        <v>44</v>
      </c>
      <c r="N1464" t="b">
        <v>0</v>
      </c>
      <c r="O1464">
        <v>0.79545454545454541</v>
      </c>
      <c r="P1464">
        <v>0.76502732240437155</v>
      </c>
      <c r="Q1464">
        <v>0.82840236686390534</v>
      </c>
      <c r="R1464" t="s">
        <v>60</v>
      </c>
      <c r="S1464" t="s">
        <v>3356</v>
      </c>
      <c r="T1464" t="s">
        <v>3357</v>
      </c>
      <c r="U1464" t="b">
        <v>1</v>
      </c>
      <c r="V1464" t="s">
        <v>63</v>
      </c>
      <c r="W1464">
        <v>1.3</v>
      </c>
    </row>
    <row r="1465" spans="1:23" hidden="1" x14ac:dyDescent="0.3">
      <c r="A1465" t="s">
        <v>2830</v>
      </c>
      <c r="B1465" t="s">
        <v>2831</v>
      </c>
      <c r="C1465" t="s">
        <v>29</v>
      </c>
      <c r="D1465" t="s">
        <v>22</v>
      </c>
      <c r="E1465" t="s">
        <v>23</v>
      </c>
      <c r="F1465" t="s">
        <v>54</v>
      </c>
      <c r="G1465" t="s">
        <v>176</v>
      </c>
      <c r="H1465" t="s">
        <v>160</v>
      </c>
      <c r="I1465" t="s">
        <v>3</v>
      </c>
      <c r="J1465" t="s">
        <v>177</v>
      </c>
      <c r="K1465" t="s">
        <v>178</v>
      </c>
      <c r="L1465" t="s">
        <v>163</v>
      </c>
      <c r="M1465">
        <v>45</v>
      </c>
      <c r="N1465" t="b">
        <v>0</v>
      </c>
      <c r="O1465">
        <v>0.7231638418079096</v>
      </c>
      <c r="P1465">
        <v>0.69189189189189193</v>
      </c>
      <c r="Q1465">
        <v>0.75739644970414199</v>
      </c>
      <c r="R1465" t="s">
        <v>60</v>
      </c>
      <c r="S1465" t="s">
        <v>3358</v>
      </c>
      <c r="T1465" t="s">
        <v>3359</v>
      </c>
      <c r="U1465" t="b">
        <v>1</v>
      </c>
      <c r="V1465" t="s">
        <v>63</v>
      </c>
      <c r="W1465">
        <v>1.3</v>
      </c>
    </row>
    <row r="1466" spans="1:23" hidden="1" x14ac:dyDescent="0.3">
      <c r="A1466" t="s">
        <v>2830</v>
      </c>
      <c r="B1466" t="s">
        <v>2831</v>
      </c>
      <c r="C1466" t="s">
        <v>29</v>
      </c>
      <c r="D1466" t="s">
        <v>22</v>
      </c>
      <c r="E1466" t="s">
        <v>23</v>
      </c>
      <c r="F1466" t="s">
        <v>54</v>
      </c>
      <c r="G1466" t="s">
        <v>181</v>
      </c>
      <c r="H1466" t="s">
        <v>160</v>
      </c>
      <c r="I1466" t="s">
        <v>3</v>
      </c>
      <c r="J1466" t="s">
        <v>182</v>
      </c>
      <c r="K1466" t="s">
        <v>183</v>
      </c>
      <c r="L1466" t="s">
        <v>163</v>
      </c>
      <c r="M1466">
        <v>46</v>
      </c>
      <c r="N1466" t="b">
        <v>0</v>
      </c>
      <c r="O1466">
        <v>0.75141242937853103</v>
      </c>
      <c r="P1466">
        <v>0.7189189189189189</v>
      </c>
      <c r="Q1466">
        <v>0.78698224852071008</v>
      </c>
      <c r="R1466" t="s">
        <v>60</v>
      </c>
      <c r="S1466" t="s">
        <v>3360</v>
      </c>
      <c r="T1466" t="s">
        <v>3361</v>
      </c>
      <c r="U1466" t="b">
        <v>1</v>
      </c>
      <c r="V1466" t="s">
        <v>63</v>
      </c>
      <c r="W1466">
        <v>1.3</v>
      </c>
    </row>
    <row r="1467" spans="1:23" hidden="1" x14ac:dyDescent="0.3">
      <c r="A1467" t="s">
        <v>2830</v>
      </c>
      <c r="B1467" t="s">
        <v>2831</v>
      </c>
      <c r="C1467" t="s">
        <v>29</v>
      </c>
      <c r="D1467" t="s">
        <v>22</v>
      </c>
      <c r="E1467" t="s">
        <v>23</v>
      </c>
      <c r="F1467" t="s">
        <v>54</v>
      </c>
      <c r="G1467" t="s">
        <v>186</v>
      </c>
      <c r="H1467" t="s">
        <v>160</v>
      </c>
      <c r="I1467" t="s">
        <v>3</v>
      </c>
      <c r="J1467" t="s">
        <v>187</v>
      </c>
      <c r="K1467" t="s">
        <v>188</v>
      </c>
      <c r="L1467" t="s">
        <v>163</v>
      </c>
      <c r="M1467">
        <v>47</v>
      </c>
      <c r="N1467" t="b">
        <v>0</v>
      </c>
      <c r="O1467">
        <v>0.76619718309859164</v>
      </c>
      <c r="P1467">
        <v>0.73118279569892475</v>
      </c>
      <c r="Q1467">
        <v>0.80473372781065089</v>
      </c>
      <c r="R1467" t="s">
        <v>60</v>
      </c>
      <c r="S1467" t="s">
        <v>3362</v>
      </c>
      <c r="T1467" t="s">
        <v>3363</v>
      </c>
      <c r="U1467" t="b">
        <v>1</v>
      </c>
      <c r="V1467" t="s">
        <v>63</v>
      </c>
      <c r="W1467">
        <v>1.3</v>
      </c>
    </row>
    <row r="1468" spans="1:23" hidden="1" x14ac:dyDescent="0.3">
      <c r="A1468" t="s">
        <v>2830</v>
      </c>
      <c r="B1468" t="s">
        <v>2831</v>
      </c>
      <c r="C1468" t="s">
        <v>29</v>
      </c>
      <c r="D1468" t="s">
        <v>22</v>
      </c>
      <c r="E1468" t="s">
        <v>23</v>
      </c>
      <c r="F1468" t="s">
        <v>54</v>
      </c>
      <c r="G1468" t="s">
        <v>191</v>
      </c>
      <c r="H1468" t="s">
        <v>160</v>
      </c>
      <c r="I1468" t="s">
        <v>3</v>
      </c>
      <c r="J1468" t="s">
        <v>192</v>
      </c>
      <c r="K1468" t="s">
        <v>193</v>
      </c>
      <c r="L1468" t="s">
        <v>163</v>
      </c>
      <c r="M1468">
        <v>48</v>
      </c>
      <c r="N1468" t="b">
        <v>0</v>
      </c>
      <c r="O1468">
        <v>0.75862068965517249</v>
      </c>
      <c r="P1468">
        <v>0.73743016759776536</v>
      </c>
      <c r="Q1468">
        <v>0.78106508875739644</v>
      </c>
      <c r="R1468" t="s">
        <v>60</v>
      </c>
      <c r="S1468" t="s">
        <v>3364</v>
      </c>
      <c r="T1468" t="s">
        <v>3365</v>
      </c>
      <c r="U1468" t="b">
        <v>1</v>
      </c>
      <c r="V1468" t="s">
        <v>63</v>
      </c>
      <c r="W1468">
        <v>2.1</v>
      </c>
    </row>
    <row r="1469" spans="1:23" hidden="1" x14ac:dyDescent="0.3">
      <c r="A1469" t="s">
        <v>2830</v>
      </c>
      <c r="B1469" t="s">
        <v>2831</v>
      </c>
      <c r="C1469" t="s">
        <v>29</v>
      </c>
      <c r="D1469" t="s">
        <v>22</v>
      </c>
      <c r="E1469" t="s">
        <v>23</v>
      </c>
      <c r="F1469" t="s">
        <v>54</v>
      </c>
      <c r="G1469" t="s">
        <v>196</v>
      </c>
      <c r="H1469" t="s">
        <v>160</v>
      </c>
      <c r="I1469" t="s">
        <v>3</v>
      </c>
      <c r="J1469" t="s">
        <v>197</v>
      </c>
      <c r="K1469" t="s">
        <v>198</v>
      </c>
      <c r="L1469" t="s">
        <v>163</v>
      </c>
      <c r="M1469">
        <v>49</v>
      </c>
      <c r="N1469" t="b">
        <v>0</v>
      </c>
      <c r="O1469">
        <v>0.76392572944297077</v>
      </c>
      <c r="P1469">
        <v>0.69230769230769229</v>
      </c>
      <c r="Q1469">
        <v>0.85207100591715978</v>
      </c>
      <c r="R1469" t="s">
        <v>60</v>
      </c>
      <c r="S1469" t="s">
        <v>3366</v>
      </c>
      <c r="T1469" t="s">
        <v>3367</v>
      </c>
      <c r="U1469" t="b">
        <v>1</v>
      </c>
      <c r="V1469" t="s">
        <v>63</v>
      </c>
      <c r="W1469">
        <v>1.3</v>
      </c>
    </row>
    <row r="1470" spans="1:23" hidden="1" x14ac:dyDescent="0.3">
      <c r="A1470" t="s">
        <v>2830</v>
      </c>
      <c r="B1470" t="s">
        <v>2831</v>
      </c>
      <c r="C1470" t="s">
        <v>29</v>
      </c>
      <c r="D1470" t="s">
        <v>22</v>
      </c>
      <c r="E1470" t="s">
        <v>23</v>
      </c>
      <c r="F1470" t="s">
        <v>54</v>
      </c>
      <c r="G1470" t="s">
        <v>201</v>
      </c>
      <c r="H1470" t="s">
        <v>160</v>
      </c>
      <c r="I1470" t="s">
        <v>3</v>
      </c>
      <c r="J1470" t="s">
        <v>202</v>
      </c>
      <c r="K1470" t="s">
        <v>203</v>
      </c>
      <c r="L1470" t="s">
        <v>163</v>
      </c>
      <c r="M1470">
        <v>50</v>
      </c>
      <c r="N1470" t="b">
        <v>0</v>
      </c>
      <c r="O1470">
        <v>0.73770491803278671</v>
      </c>
      <c r="P1470">
        <v>0.68527918781725883</v>
      </c>
      <c r="Q1470">
        <v>0.79881656804733725</v>
      </c>
      <c r="R1470" t="s">
        <v>60</v>
      </c>
      <c r="S1470" t="s">
        <v>3368</v>
      </c>
      <c r="T1470" t="s">
        <v>3369</v>
      </c>
      <c r="U1470" t="b">
        <v>1</v>
      </c>
      <c r="V1470" t="s">
        <v>63</v>
      </c>
      <c r="W1470">
        <v>1.6</v>
      </c>
    </row>
    <row r="1471" spans="1:23" hidden="1" x14ac:dyDescent="0.3">
      <c r="A1471" t="s">
        <v>2830</v>
      </c>
      <c r="B1471" t="s">
        <v>2831</v>
      </c>
      <c r="C1471" t="s">
        <v>29</v>
      </c>
      <c r="D1471" t="s">
        <v>22</v>
      </c>
      <c r="E1471" t="s">
        <v>23</v>
      </c>
      <c r="F1471" t="s">
        <v>54</v>
      </c>
      <c r="G1471" t="s">
        <v>206</v>
      </c>
      <c r="H1471" t="s">
        <v>160</v>
      </c>
      <c r="I1471" t="s">
        <v>3</v>
      </c>
      <c r="J1471" t="s">
        <v>207</v>
      </c>
      <c r="K1471" t="s">
        <v>208</v>
      </c>
      <c r="L1471" t="s">
        <v>163</v>
      </c>
      <c r="M1471">
        <v>51</v>
      </c>
      <c r="N1471" t="b">
        <v>0</v>
      </c>
      <c r="O1471">
        <v>0.73239436619718312</v>
      </c>
      <c r="P1471">
        <v>0.69892473118279574</v>
      </c>
      <c r="Q1471">
        <v>0.76923076923076927</v>
      </c>
      <c r="R1471" t="s">
        <v>60</v>
      </c>
      <c r="S1471" t="s">
        <v>3370</v>
      </c>
      <c r="T1471" t="s">
        <v>3371</v>
      </c>
      <c r="U1471" t="b">
        <v>1</v>
      </c>
      <c r="V1471" t="s">
        <v>63</v>
      </c>
      <c r="W1471">
        <v>1.3</v>
      </c>
    </row>
    <row r="1472" spans="1:23" hidden="1" x14ac:dyDescent="0.3">
      <c r="A1472" t="s">
        <v>2830</v>
      </c>
      <c r="B1472" t="s">
        <v>2831</v>
      </c>
      <c r="C1472" t="s">
        <v>29</v>
      </c>
      <c r="D1472" t="s">
        <v>22</v>
      </c>
      <c r="E1472" t="s">
        <v>23</v>
      </c>
      <c r="F1472" t="s">
        <v>54</v>
      </c>
      <c r="G1472" t="s">
        <v>211</v>
      </c>
      <c r="H1472" t="s">
        <v>160</v>
      </c>
      <c r="I1472" t="s">
        <v>3</v>
      </c>
      <c r="J1472" t="s">
        <v>212</v>
      </c>
      <c r="K1472" t="s">
        <v>213</v>
      </c>
      <c r="L1472" t="s">
        <v>163</v>
      </c>
      <c r="M1472">
        <v>52</v>
      </c>
      <c r="N1472" t="b">
        <v>0</v>
      </c>
      <c r="O1472">
        <v>0.75766016713091922</v>
      </c>
      <c r="P1472">
        <v>0.71578947368421053</v>
      </c>
      <c r="Q1472">
        <v>0.80473372781065089</v>
      </c>
      <c r="R1472" t="s">
        <v>60</v>
      </c>
      <c r="S1472" t="s">
        <v>3372</v>
      </c>
      <c r="T1472" t="s">
        <v>3373</v>
      </c>
      <c r="U1472" t="b">
        <v>1</v>
      </c>
      <c r="V1472" t="s">
        <v>63</v>
      </c>
      <c r="W1472">
        <v>1.3</v>
      </c>
    </row>
    <row r="1473" spans="1:23" hidden="1" x14ac:dyDescent="0.3">
      <c r="A1473" t="s">
        <v>2830</v>
      </c>
      <c r="B1473" t="s">
        <v>2831</v>
      </c>
      <c r="C1473" t="s">
        <v>29</v>
      </c>
      <c r="D1473" t="s">
        <v>22</v>
      </c>
      <c r="E1473" t="s">
        <v>23</v>
      </c>
      <c r="F1473" t="s">
        <v>54</v>
      </c>
      <c r="G1473" t="s">
        <v>216</v>
      </c>
      <c r="H1473" t="s">
        <v>160</v>
      </c>
      <c r="I1473" t="s">
        <v>3</v>
      </c>
      <c r="J1473" t="s">
        <v>217</v>
      </c>
      <c r="K1473" t="s">
        <v>218</v>
      </c>
      <c r="L1473" t="s">
        <v>163</v>
      </c>
      <c r="M1473">
        <v>53</v>
      </c>
      <c r="N1473" t="b">
        <v>0</v>
      </c>
      <c r="O1473">
        <v>0.75070028011204482</v>
      </c>
      <c r="P1473">
        <v>0.71276595744680848</v>
      </c>
      <c r="Q1473">
        <v>0.79289940828402372</v>
      </c>
      <c r="R1473" t="s">
        <v>60</v>
      </c>
      <c r="S1473" t="s">
        <v>3374</v>
      </c>
      <c r="T1473" t="s">
        <v>3375</v>
      </c>
      <c r="U1473" t="b">
        <v>1</v>
      </c>
      <c r="V1473" t="s">
        <v>63</v>
      </c>
      <c r="W1473">
        <v>1.3</v>
      </c>
    </row>
    <row r="1474" spans="1:23" hidden="1" x14ac:dyDescent="0.3">
      <c r="A1474" t="s">
        <v>2830</v>
      </c>
      <c r="B1474" t="s">
        <v>2831</v>
      </c>
      <c r="C1474" t="s">
        <v>29</v>
      </c>
      <c r="D1474" t="s">
        <v>22</v>
      </c>
      <c r="E1474" t="s">
        <v>23</v>
      </c>
      <c r="F1474" t="s">
        <v>54</v>
      </c>
      <c r="G1474" t="s">
        <v>221</v>
      </c>
      <c r="H1474" t="s">
        <v>160</v>
      </c>
      <c r="I1474" t="s">
        <v>3</v>
      </c>
      <c r="J1474" t="s">
        <v>222</v>
      </c>
      <c r="K1474" t="s">
        <v>223</v>
      </c>
      <c r="L1474" t="s">
        <v>163</v>
      </c>
      <c r="M1474">
        <v>54</v>
      </c>
      <c r="N1474" t="b">
        <v>0</v>
      </c>
      <c r="O1474">
        <v>0.76712328767123295</v>
      </c>
      <c r="P1474">
        <v>0.7142857142857143</v>
      </c>
      <c r="Q1474">
        <v>0.82840236686390534</v>
      </c>
      <c r="R1474" t="s">
        <v>60</v>
      </c>
      <c r="S1474" t="s">
        <v>3376</v>
      </c>
      <c r="T1474" t="s">
        <v>3377</v>
      </c>
      <c r="U1474" t="b">
        <v>1</v>
      </c>
      <c r="V1474" t="s">
        <v>63</v>
      </c>
      <c r="W1474">
        <v>1.3</v>
      </c>
    </row>
    <row r="1475" spans="1:23" hidden="1" x14ac:dyDescent="0.3">
      <c r="A1475" t="s">
        <v>2830</v>
      </c>
      <c r="B1475" t="s">
        <v>2831</v>
      </c>
      <c r="C1475" t="s">
        <v>29</v>
      </c>
      <c r="D1475" t="s">
        <v>22</v>
      </c>
      <c r="E1475" t="s">
        <v>23</v>
      </c>
      <c r="F1475" t="s">
        <v>54</v>
      </c>
      <c r="G1475" t="s">
        <v>226</v>
      </c>
      <c r="H1475" t="s">
        <v>160</v>
      </c>
      <c r="I1475" t="s">
        <v>3</v>
      </c>
      <c r="J1475" t="s">
        <v>227</v>
      </c>
      <c r="K1475" t="s">
        <v>228</v>
      </c>
      <c r="L1475" t="s">
        <v>163</v>
      </c>
      <c r="M1475">
        <v>55</v>
      </c>
      <c r="N1475" t="b">
        <v>0</v>
      </c>
      <c r="O1475">
        <v>0.78021978021978022</v>
      </c>
      <c r="P1475">
        <v>0.72820512820512817</v>
      </c>
      <c r="Q1475">
        <v>0.84023668639053251</v>
      </c>
      <c r="R1475" t="s">
        <v>60</v>
      </c>
      <c r="S1475" t="s">
        <v>3378</v>
      </c>
      <c r="T1475" t="s">
        <v>3379</v>
      </c>
      <c r="U1475" t="b">
        <v>1</v>
      </c>
      <c r="V1475" t="s">
        <v>63</v>
      </c>
      <c r="W1475">
        <v>1.3</v>
      </c>
    </row>
    <row r="1476" spans="1:23" hidden="1" x14ac:dyDescent="0.3">
      <c r="A1476" t="s">
        <v>2830</v>
      </c>
      <c r="B1476" t="s">
        <v>2831</v>
      </c>
      <c r="C1476" t="s">
        <v>29</v>
      </c>
      <c r="D1476" t="s">
        <v>22</v>
      </c>
      <c r="E1476" t="s">
        <v>23</v>
      </c>
      <c r="F1476" t="s">
        <v>54</v>
      </c>
      <c r="G1476" t="s">
        <v>231</v>
      </c>
      <c r="H1476" t="s">
        <v>160</v>
      </c>
      <c r="I1476" t="s">
        <v>3</v>
      </c>
      <c r="J1476" t="s">
        <v>232</v>
      </c>
      <c r="K1476" t="s">
        <v>233</v>
      </c>
      <c r="L1476" t="s">
        <v>163</v>
      </c>
      <c r="M1476">
        <v>56</v>
      </c>
      <c r="N1476" t="b">
        <v>0</v>
      </c>
      <c r="O1476">
        <v>0.76023391812865493</v>
      </c>
      <c r="P1476">
        <v>0.75144508670520227</v>
      </c>
      <c r="Q1476">
        <v>0.76923076923076927</v>
      </c>
      <c r="R1476" t="s">
        <v>60</v>
      </c>
      <c r="S1476" t="s">
        <v>3380</v>
      </c>
      <c r="T1476" t="s">
        <v>3381</v>
      </c>
      <c r="U1476" t="b">
        <v>1</v>
      </c>
      <c r="V1476" t="s">
        <v>63</v>
      </c>
      <c r="W1476">
        <v>1.3</v>
      </c>
    </row>
    <row r="1477" spans="1:23" hidden="1" x14ac:dyDescent="0.3">
      <c r="A1477" t="s">
        <v>2830</v>
      </c>
      <c r="B1477" t="s">
        <v>2831</v>
      </c>
      <c r="C1477" t="s">
        <v>29</v>
      </c>
      <c r="D1477" t="s">
        <v>22</v>
      </c>
      <c r="E1477" t="s">
        <v>23</v>
      </c>
      <c r="F1477" t="s">
        <v>54</v>
      </c>
      <c r="G1477" t="s">
        <v>236</v>
      </c>
      <c r="H1477" t="s">
        <v>160</v>
      </c>
      <c r="I1477" t="s">
        <v>3</v>
      </c>
      <c r="J1477" t="s">
        <v>237</v>
      </c>
      <c r="K1477" t="s">
        <v>238</v>
      </c>
      <c r="L1477" t="s">
        <v>163</v>
      </c>
      <c r="M1477">
        <v>57</v>
      </c>
      <c r="N1477" t="b">
        <v>0</v>
      </c>
      <c r="O1477">
        <v>0.78386167146974062</v>
      </c>
      <c r="P1477">
        <v>0.7640449438202247</v>
      </c>
      <c r="Q1477">
        <v>0.80473372781065089</v>
      </c>
      <c r="R1477" t="s">
        <v>60</v>
      </c>
      <c r="S1477" t="s">
        <v>3382</v>
      </c>
      <c r="T1477" t="s">
        <v>3383</v>
      </c>
      <c r="U1477" t="b">
        <v>1</v>
      </c>
      <c r="V1477" t="s">
        <v>63</v>
      </c>
      <c r="W1477">
        <v>1.7</v>
      </c>
    </row>
    <row r="1478" spans="1:23" hidden="1" x14ac:dyDescent="0.3">
      <c r="A1478" t="s">
        <v>2830</v>
      </c>
      <c r="B1478" t="s">
        <v>2831</v>
      </c>
      <c r="C1478" t="s">
        <v>29</v>
      </c>
      <c r="D1478" t="s">
        <v>22</v>
      </c>
      <c r="E1478" t="s">
        <v>23</v>
      </c>
      <c r="F1478" t="s">
        <v>54</v>
      </c>
      <c r="G1478" t="s">
        <v>241</v>
      </c>
      <c r="H1478" t="s">
        <v>160</v>
      </c>
      <c r="I1478" t="s">
        <v>3</v>
      </c>
      <c r="J1478" t="s">
        <v>242</v>
      </c>
      <c r="K1478" t="s">
        <v>243</v>
      </c>
      <c r="L1478" t="s">
        <v>163</v>
      </c>
      <c r="M1478">
        <v>58</v>
      </c>
      <c r="N1478" t="b">
        <v>0</v>
      </c>
      <c r="O1478">
        <v>0.73655913978494614</v>
      </c>
      <c r="P1478">
        <v>0.67487684729064035</v>
      </c>
      <c r="Q1478">
        <v>0.81065088757396453</v>
      </c>
      <c r="R1478" t="s">
        <v>60</v>
      </c>
      <c r="S1478" t="s">
        <v>3384</v>
      </c>
      <c r="T1478" t="s">
        <v>3385</v>
      </c>
      <c r="U1478" t="b">
        <v>1</v>
      </c>
      <c r="V1478" t="s">
        <v>63</v>
      </c>
      <c r="W1478">
        <v>1.5</v>
      </c>
    </row>
    <row r="1479" spans="1:23" hidden="1" x14ac:dyDescent="0.3">
      <c r="A1479" t="s">
        <v>2830</v>
      </c>
      <c r="B1479" t="s">
        <v>2831</v>
      </c>
      <c r="C1479" t="s">
        <v>29</v>
      </c>
      <c r="D1479" t="s">
        <v>22</v>
      </c>
      <c r="E1479" t="s">
        <v>23</v>
      </c>
      <c r="F1479" t="s">
        <v>54</v>
      </c>
      <c r="G1479" t="s">
        <v>246</v>
      </c>
      <c r="H1479" t="s">
        <v>160</v>
      </c>
      <c r="I1479" t="s">
        <v>3</v>
      </c>
      <c r="J1479" t="s">
        <v>247</v>
      </c>
      <c r="K1479" t="s">
        <v>248</v>
      </c>
      <c r="L1479" t="s">
        <v>163</v>
      </c>
      <c r="M1479">
        <v>59</v>
      </c>
      <c r="N1479" t="b">
        <v>0</v>
      </c>
      <c r="O1479">
        <v>0.76373626373626369</v>
      </c>
      <c r="P1479">
        <v>0.71282051282051284</v>
      </c>
      <c r="Q1479">
        <v>0.8224852071005917</v>
      </c>
      <c r="R1479" t="s">
        <v>60</v>
      </c>
      <c r="S1479" t="s">
        <v>3386</v>
      </c>
      <c r="T1479" t="s">
        <v>3387</v>
      </c>
      <c r="U1479" t="b">
        <v>1</v>
      </c>
      <c r="V1479" t="s">
        <v>63</v>
      </c>
      <c r="W1479">
        <v>1.3</v>
      </c>
    </row>
    <row r="1480" spans="1:23" hidden="1" x14ac:dyDescent="0.3">
      <c r="A1480" t="s">
        <v>2830</v>
      </c>
      <c r="B1480" t="s">
        <v>2831</v>
      </c>
      <c r="C1480" t="s">
        <v>29</v>
      </c>
      <c r="D1480" t="s">
        <v>22</v>
      </c>
      <c r="E1480" t="s">
        <v>23</v>
      </c>
      <c r="F1480" t="s">
        <v>54</v>
      </c>
      <c r="G1480" t="s">
        <v>251</v>
      </c>
      <c r="H1480" t="s">
        <v>160</v>
      </c>
      <c r="I1480" t="s">
        <v>3</v>
      </c>
      <c r="J1480" t="s">
        <v>252</v>
      </c>
      <c r="K1480" t="s">
        <v>253</v>
      </c>
      <c r="L1480" t="s">
        <v>163</v>
      </c>
      <c r="M1480">
        <v>60</v>
      </c>
      <c r="N1480" t="b">
        <v>0</v>
      </c>
      <c r="O1480">
        <v>0.78531073446327682</v>
      </c>
      <c r="P1480">
        <v>0.75135135135135134</v>
      </c>
      <c r="Q1480">
        <v>0.8224852071005917</v>
      </c>
      <c r="R1480" t="s">
        <v>60</v>
      </c>
      <c r="S1480" t="s">
        <v>3388</v>
      </c>
      <c r="T1480" t="s">
        <v>3389</v>
      </c>
      <c r="U1480" t="b">
        <v>1</v>
      </c>
      <c r="V1480" t="s">
        <v>63</v>
      </c>
      <c r="W1480">
        <v>1.3</v>
      </c>
    </row>
    <row r="1481" spans="1:23" hidden="1" x14ac:dyDescent="0.3">
      <c r="A1481" t="s">
        <v>2830</v>
      </c>
      <c r="B1481" t="s">
        <v>2831</v>
      </c>
      <c r="C1481" t="s">
        <v>29</v>
      </c>
      <c r="D1481" t="s">
        <v>22</v>
      </c>
      <c r="E1481" t="s">
        <v>23</v>
      </c>
      <c r="F1481" t="s">
        <v>54</v>
      </c>
      <c r="G1481" t="s">
        <v>256</v>
      </c>
      <c r="H1481" t="s">
        <v>160</v>
      </c>
      <c r="I1481" t="s">
        <v>3</v>
      </c>
      <c r="J1481" t="s">
        <v>257</v>
      </c>
      <c r="K1481" t="s">
        <v>258</v>
      </c>
      <c r="L1481" t="s">
        <v>163</v>
      </c>
      <c r="M1481">
        <v>61</v>
      </c>
      <c r="N1481" t="b">
        <v>0</v>
      </c>
      <c r="O1481">
        <v>0.77620396600566577</v>
      </c>
      <c r="P1481">
        <v>0.74456521739130432</v>
      </c>
      <c r="Q1481">
        <v>0.81065088757396453</v>
      </c>
      <c r="R1481" t="s">
        <v>60</v>
      </c>
      <c r="S1481" t="s">
        <v>3390</v>
      </c>
      <c r="T1481" t="s">
        <v>3391</v>
      </c>
      <c r="U1481" t="b">
        <v>1</v>
      </c>
      <c r="V1481" t="s">
        <v>63</v>
      </c>
      <c r="W1481">
        <v>1.3</v>
      </c>
    </row>
    <row r="1482" spans="1:23" hidden="1" x14ac:dyDescent="0.3">
      <c r="A1482" t="s">
        <v>2830</v>
      </c>
      <c r="B1482" t="s">
        <v>2831</v>
      </c>
      <c r="C1482" t="s">
        <v>29</v>
      </c>
      <c r="D1482" t="s">
        <v>22</v>
      </c>
      <c r="E1482" t="s">
        <v>23</v>
      </c>
      <c r="F1482" t="s">
        <v>54</v>
      </c>
      <c r="G1482" t="s">
        <v>261</v>
      </c>
      <c r="H1482" t="s">
        <v>262</v>
      </c>
      <c r="I1482" t="s">
        <v>5</v>
      </c>
      <c r="J1482" t="s">
        <v>263</v>
      </c>
      <c r="K1482" t="s">
        <v>264</v>
      </c>
      <c r="L1482" t="s">
        <v>265</v>
      </c>
      <c r="M1482">
        <v>42</v>
      </c>
      <c r="N1482" t="b">
        <v>0</v>
      </c>
      <c r="O1482">
        <v>0.74841437632135321</v>
      </c>
      <c r="P1482">
        <v>0.70517928286852594</v>
      </c>
      <c r="Q1482">
        <v>0.79729729729729726</v>
      </c>
      <c r="R1482" t="s">
        <v>60</v>
      </c>
      <c r="S1482" t="s">
        <v>3392</v>
      </c>
      <c r="T1482" t="s">
        <v>3393</v>
      </c>
      <c r="U1482" t="b">
        <v>1</v>
      </c>
      <c r="V1482" t="s">
        <v>63</v>
      </c>
      <c r="W1482">
        <v>1.4</v>
      </c>
    </row>
    <row r="1483" spans="1:23" hidden="1" x14ac:dyDescent="0.3">
      <c r="A1483" t="s">
        <v>2830</v>
      </c>
      <c r="B1483" t="s">
        <v>2831</v>
      </c>
      <c r="C1483" t="s">
        <v>29</v>
      </c>
      <c r="D1483" t="s">
        <v>22</v>
      </c>
      <c r="E1483" t="s">
        <v>23</v>
      </c>
      <c r="F1483" t="s">
        <v>54</v>
      </c>
      <c r="G1483" t="s">
        <v>268</v>
      </c>
      <c r="H1483" t="s">
        <v>262</v>
      </c>
      <c r="I1483" t="s">
        <v>5</v>
      </c>
      <c r="J1483" t="s">
        <v>269</v>
      </c>
      <c r="K1483" t="s">
        <v>270</v>
      </c>
      <c r="L1483" t="s">
        <v>265</v>
      </c>
      <c r="M1483">
        <v>43</v>
      </c>
      <c r="N1483" t="b">
        <v>0</v>
      </c>
      <c r="O1483">
        <v>0.75159235668789803</v>
      </c>
      <c r="P1483">
        <v>0.71084337349397586</v>
      </c>
      <c r="Q1483">
        <v>0.79729729729729726</v>
      </c>
      <c r="R1483" t="s">
        <v>60</v>
      </c>
      <c r="S1483" t="s">
        <v>3394</v>
      </c>
      <c r="T1483" t="s">
        <v>3395</v>
      </c>
      <c r="U1483" t="b">
        <v>1</v>
      </c>
      <c r="V1483" t="s">
        <v>63</v>
      </c>
      <c r="W1483">
        <v>1.4</v>
      </c>
    </row>
    <row r="1484" spans="1:23" hidden="1" x14ac:dyDescent="0.3">
      <c r="A1484" t="s">
        <v>2830</v>
      </c>
      <c r="B1484" t="s">
        <v>2831</v>
      </c>
      <c r="C1484" t="s">
        <v>29</v>
      </c>
      <c r="D1484" t="s">
        <v>22</v>
      </c>
      <c r="E1484" t="s">
        <v>23</v>
      </c>
      <c r="F1484" t="s">
        <v>54</v>
      </c>
      <c r="G1484" t="s">
        <v>273</v>
      </c>
      <c r="H1484" t="s">
        <v>262</v>
      </c>
      <c r="I1484" t="s">
        <v>5</v>
      </c>
      <c r="J1484" t="s">
        <v>274</v>
      </c>
      <c r="K1484" t="s">
        <v>275</v>
      </c>
      <c r="L1484" t="s">
        <v>265</v>
      </c>
      <c r="M1484">
        <v>44</v>
      </c>
      <c r="N1484" t="b">
        <v>0</v>
      </c>
      <c r="O1484">
        <v>0.74518201284796559</v>
      </c>
      <c r="P1484">
        <v>0.71020408163265303</v>
      </c>
      <c r="Q1484">
        <v>0.78378378378378377</v>
      </c>
      <c r="R1484" t="s">
        <v>60</v>
      </c>
      <c r="S1484" t="s">
        <v>3396</v>
      </c>
      <c r="T1484" t="s">
        <v>3397</v>
      </c>
      <c r="U1484" t="b">
        <v>1</v>
      </c>
      <c r="V1484" t="s">
        <v>63</v>
      </c>
      <c r="W1484">
        <v>1.8</v>
      </c>
    </row>
    <row r="1485" spans="1:23" hidden="1" x14ac:dyDescent="0.3">
      <c r="A1485" t="s">
        <v>2830</v>
      </c>
      <c r="B1485" t="s">
        <v>2831</v>
      </c>
      <c r="C1485" t="s">
        <v>29</v>
      </c>
      <c r="D1485" t="s">
        <v>22</v>
      </c>
      <c r="E1485" t="s">
        <v>23</v>
      </c>
      <c r="F1485" t="s">
        <v>54</v>
      </c>
      <c r="G1485" t="s">
        <v>278</v>
      </c>
      <c r="H1485" t="s">
        <v>262</v>
      </c>
      <c r="I1485" t="s">
        <v>5</v>
      </c>
      <c r="J1485" t="s">
        <v>279</v>
      </c>
      <c r="K1485" t="s">
        <v>280</v>
      </c>
      <c r="L1485" t="s">
        <v>265</v>
      </c>
      <c r="M1485">
        <v>45</v>
      </c>
      <c r="N1485" t="b">
        <v>0</v>
      </c>
      <c r="O1485">
        <v>0.70841487279843451</v>
      </c>
      <c r="P1485">
        <v>0.62629757785467133</v>
      </c>
      <c r="Q1485">
        <v>0.81531531531531531</v>
      </c>
      <c r="R1485" t="s">
        <v>60</v>
      </c>
      <c r="S1485" t="s">
        <v>3398</v>
      </c>
      <c r="T1485" t="s">
        <v>3399</v>
      </c>
      <c r="U1485" t="b">
        <v>1</v>
      </c>
      <c r="V1485" t="s">
        <v>63</v>
      </c>
      <c r="W1485">
        <v>1.4</v>
      </c>
    </row>
    <row r="1486" spans="1:23" hidden="1" x14ac:dyDescent="0.3">
      <c r="A1486" t="s">
        <v>2830</v>
      </c>
      <c r="B1486" t="s">
        <v>2831</v>
      </c>
      <c r="C1486" t="s">
        <v>29</v>
      </c>
      <c r="D1486" t="s">
        <v>22</v>
      </c>
      <c r="E1486" t="s">
        <v>23</v>
      </c>
      <c r="F1486" t="s">
        <v>54</v>
      </c>
      <c r="G1486" t="s">
        <v>283</v>
      </c>
      <c r="H1486" t="s">
        <v>262</v>
      </c>
      <c r="I1486" t="s">
        <v>5</v>
      </c>
      <c r="J1486" t="s">
        <v>284</v>
      </c>
      <c r="K1486" t="s">
        <v>285</v>
      </c>
      <c r="L1486" t="s">
        <v>265</v>
      </c>
      <c r="M1486">
        <v>46</v>
      </c>
      <c r="N1486" t="b">
        <v>0</v>
      </c>
      <c r="O1486">
        <v>0.74683544303797478</v>
      </c>
      <c r="P1486">
        <v>0.70238095238095233</v>
      </c>
      <c r="Q1486">
        <v>0.79729729729729726</v>
      </c>
      <c r="R1486" t="s">
        <v>60</v>
      </c>
      <c r="S1486" t="s">
        <v>3400</v>
      </c>
      <c r="T1486" t="s">
        <v>3401</v>
      </c>
      <c r="U1486" t="b">
        <v>1</v>
      </c>
      <c r="V1486" t="s">
        <v>63</v>
      </c>
      <c r="W1486">
        <v>1.4</v>
      </c>
    </row>
    <row r="1487" spans="1:23" hidden="1" x14ac:dyDescent="0.3">
      <c r="A1487" t="s">
        <v>2830</v>
      </c>
      <c r="B1487" t="s">
        <v>2831</v>
      </c>
      <c r="C1487" t="s">
        <v>29</v>
      </c>
      <c r="D1487" t="s">
        <v>22</v>
      </c>
      <c r="E1487" t="s">
        <v>23</v>
      </c>
      <c r="F1487" t="s">
        <v>54</v>
      </c>
      <c r="G1487" t="s">
        <v>288</v>
      </c>
      <c r="H1487" t="s">
        <v>262</v>
      </c>
      <c r="I1487" t="s">
        <v>5</v>
      </c>
      <c r="J1487" t="s">
        <v>289</v>
      </c>
      <c r="K1487" t="s">
        <v>290</v>
      </c>
      <c r="L1487" t="s">
        <v>265</v>
      </c>
      <c r="M1487">
        <v>47</v>
      </c>
      <c r="N1487" t="b">
        <v>0</v>
      </c>
      <c r="O1487">
        <v>0.77489177489177496</v>
      </c>
      <c r="P1487">
        <v>0.74583333333333335</v>
      </c>
      <c r="Q1487">
        <v>0.80630630630630629</v>
      </c>
      <c r="R1487" t="s">
        <v>60</v>
      </c>
      <c r="S1487" t="s">
        <v>3402</v>
      </c>
      <c r="T1487" t="s">
        <v>3403</v>
      </c>
      <c r="U1487" t="b">
        <v>1</v>
      </c>
      <c r="V1487" t="s">
        <v>63</v>
      </c>
      <c r="W1487">
        <v>1.4</v>
      </c>
    </row>
    <row r="1488" spans="1:23" hidden="1" x14ac:dyDescent="0.3">
      <c r="A1488" t="s">
        <v>2830</v>
      </c>
      <c r="B1488" t="s">
        <v>2831</v>
      </c>
      <c r="C1488" t="s">
        <v>29</v>
      </c>
      <c r="D1488" t="s">
        <v>22</v>
      </c>
      <c r="E1488" t="s">
        <v>23</v>
      </c>
      <c r="F1488" t="s">
        <v>54</v>
      </c>
      <c r="G1488" t="s">
        <v>293</v>
      </c>
      <c r="H1488" t="s">
        <v>262</v>
      </c>
      <c r="I1488" t="s">
        <v>5</v>
      </c>
      <c r="J1488" t="s">
        <v>294</v>
      </c>
      <c r="K1488" t="s">
        <v>295</v>
      </c>
      <c r="L1488" t="s">
        <v>265</v>
      </c>
      <c r="M1488">
        <v>48</v>
      </c>
      <c r="N1488" t="b">
        <v>0</v>
      </c>
      <c r="O1488">
        <v>0.75000000000000011</v>
      </c>
      <c r="P1488">
        <v>0.70799999999999996</v>
      </c>
      <c r="Q1488">
        <v>0.79729729729729726</v>
      </c>
      <c r="R1488" t="s">
        <v>60</v>
      </c>
      <c r="S1488" t="s">
        <v>3404</v>
      </c>
      <c r="T1488" t="s">
        <v>3405</v>
      </c>
      <c r="U1488" t="b">
        <v>1</v>
      </c>
      <c r="V1488" t="s">
        <v>63</v>
      </c>
      <c r="W1488">
        <v>1.4</v>
      </c>
    </row>
    <row r="1489" spans="1:23" hidden="1" x14ac:dyDescent="0.3">
      <c r="A1489" t="s">
        <v>2830</v>
      </c>
      <c r="B1489" t="s">
        <v>2831</v>
      </c>
      <c r="C1489" t="s">
        <v>29</v>
      </c>
      <c r="D1489" t="s">
        <v>22</v>
      </c>
      <c r="E1489" t="s">
        <v>23</v>
      </c>
      <c r="F1489" t="s">
        <v>54</v>
      </c>
      <c r="G1489" t="s">
        <v>298</v>
      </c>
      <c r="H1489" t="s">
        <v>262</v>
      </c>
      <c r="I1489" t="s">
        <v>5</v>
      </c>
      <c r="J1489" t="s">
        <v>299</v>
      </c>
      <c r="K1489" t="s">
        <v>300</v>
      </c>
      <c r="L1489" t="s">
        <v>265</v>
      </c>
      <c r="M1489">
        <v>49</v>
      </c>
      <c r="N1489" t="b">
        <v>0</v>
      </c>
      <c r="O1489">
        <v>0.72877846790890277</v>
      </c>
      <c r="P1489">
        <v>0.67432950191570884</v>
      </c>
      <c r="Q1489">
        <v>0.7927927927927928</v>
      </c>
      <c r="R1489" t="s">
        <v>60</v>
      </c>
      <c r="S1489" t="s">
        <v>3406</v>
      </c>
      <c r="T1489" t="s">
        <v>3407</v>
      </c>
      <c r="U1489" t="b">
        <v>1</v>
      </c>
      <c r="V1489" t="s">
        <v>63</v>
      </c>
      <c r="W1489">
        <v>1.8</v>
      </c>
    </row>
    <row r="1490" spans="1:23" hidden="1" x14ac:dyDescent="0.3">
      <c r="A1490" t="s">
        <v>2830</v>
      </c>
      <c r="B1490" t="s">
        <v>2831</v>
      </c>
      <c r="C1490" t="s">
        <v>29</v>
      </c>
      <c r="D1490" t="s">
        <v>22</v>
      </c>
      <c r="E1490" t="s">
        <v>23</v>
      </c>
      <c r="F1490" t="s">
        <v>54</v>
      </c>
      <c r="G1490" t="s">
        <v>303</v>
      </c>
      <c r="H1490" t="s">
        <v>262</v>
      </c>
      <c r="I1490" t="s">
        <v>5</v>
      </c>
      <c r="J1490" t="s">
        <v>304</v>
      </c>
      <c r="K1490" t="s">
        <v>305</v>
      </c>
      <c r="L1490" t="s">
        <v>265</v>
      </c>
      <c r="M1490">
        <v>50</v>
      </c>
      <c r="N1490" t="b">
        <v>0</v>
      </c>
      <c r="O1490">
        <v>0.74213836477987427</v>
      </c>
      <c r="P1490">
        <v>0.69411764705882351</v>
      </c>
      <c r="Q1490">
        <v>0.79729729729729726</v>
      </c>
      <c r="R1490" t="s">
        <v>60</v>
      </c>
      <c r="S1490" t="s">
        <v>3408</v>
      </c>
      <c r="T1490" t="s">
        <v>3409</v>
      </c>
      <c r="U1490" t="b">
        <v>1</v>
      </c>
      <c r="V1490" t="s">
        <v>63</v>
      </c>
      <c r="W1490">
        <v>1.4</v>
      </c>
    </row>
    <row r="1491" spans="1:23" hidden="1" x14ac:dyDescent="0.3">
      <c r="A1491" t="s">
        <v>2830</v>
      </c>
      <c r="B1491" t="s">
        <v>2831</v>
      </c>
      <c r="C1491" t="s">
        <v>29</v>
      </c>
      <c r="D1491" t="s">
        <v>22</v>
      </c>
      <c r="E1491" t="s">
        <v>23</v>
      </c>
      <c r="F1491" t="s">
        <v>54</v>
      </c>
      <c r="G1491" t="s">
        <v>308</v>
      </c>
      <c r="H1491" t="s">
        <v>262</v>
      </c>
      <c r="I1491" t="s">
        <v>5</v>
      </c>
      <c r="J1491" t="s">
        <v>309</v>
      </c>
      <c r="K1491" t="s">
        <v>310</v>
      </c>
      <c r="L1491" t="s">
        <v>265</v>
      </c>
      <c r="M1491">
        <v>51</v>
      </c>
      <c r="N1491" t="b">
        <v>0</v>
      </c>
      <c r="O1491">
        <v>0.74089068825910942</v>
      </c>
      <c r="P1491">
        <v>0.67279411764705888</v>
      </c>
      <c r="Q1491">
        <v>0.82432432432432434</v>
      </c>
      <c r="R1491" t="s">
        <v>60</v>
      </c>
      <c r="S1491" t="s">
        <v>3410</v>
      </c>
      <c r="T1491" t="s">
        <v>3411</v>
      </c>
      <c r="U1491" t="b">
        <v>1</v>
      </c>
      <c r="V1491" t="s">
        <v>63</v>
      </c>
      <c r="W1491">
        <v>1.5</v>
      </c>
    </row>
    <row r="1492" spans="1:23" hidden="1" x14ac:dyDescent="0.3">
      <c r="A1492" t="s">
        <v>2830</v>
      </c>
      <c r="B1492" t="s">
        <v>2831</v>
      </c>
      <c r="C1492" t="s">
        <v>29</v>
      </c>
      <c r="D1492" t="s">
        <v>22</v>
      </c>
      <c r="E1492" t="s">
        <v>23</v>
      </c>
      <c r="F1492" t="s">
        <v>54</v>
      </c>
      <c r="G1492" t="s">
        <v>313</v>
      </c>
      <c r="H1492" t="s">
        <v>262</v>
      </c>
      <c r="I1492" t="s">
        <v>5</v>
      </c>
      <c r="J1492" t="s">
        <v>314</v>
      </c>
      <c r="K1492" t="s">
        <v>315</v>
      </c>
      <c r="L1492" t="s">
        <v>265</v>
      </c>
      <c r="M1492">
        <v>52</v>
      </c>
      <c r="N1492" t="b">
        <v>0</v>
      </c>
      <c r="O1492">
        <v>0.76332622601279299</v>
      </c>
      <c r="P1492">
        <v>0.7246963562753036</v>
      </c>
      <c r="Q1492">
        <v>0.80630630630630629</v>
      </c>
      <c r="R1492" t="s">
        <v>60</v>
      </c>
      <c r="S1492" t="s">
        <v>3412</v>
      </c>
      <c r="T1492" t="s">
        <v>3413</v>
      </c>
      <c r="U1492" t="b">
        <v>1</v>
      </c>
      <c r="V1492" t="s">
        <v>63</v>
      </c>
      <c r="W1492">
        <v>2.2999999999999998</v>
      </c>
    </row>
    <row r="1493" spans="1:23" hidden="1" x14ac:dyDescent="0.3">
      <c r="A1493" t="s">
        <v>2830</v>
      </c>
      <c r="B1493" t="s">
        <v>2831</v>
      </c>
      <c r="C1493" t="s">
        <v>29</v>
      </c>
      <c r="D1493" t="s">
        <v>22</v>
      </c>
      <c r="E1493" t="s">
        <v>23</v>
      </c>
      <c r="F1493" t="s">
        <v>54</v>
      </c>
      <c r="G1493" t="s">
        <v>318</v>
      </c>
      <c r="H1493" t="s">
        <v>262</v>
      </c>
      <c r="I1493" t="s">
        <v>5</v>
      </c>
      <c r="J1493" t="s">
        <v>319</v>
      </c>
      <c r="K1493" t="s">
        <v>320</v>
      </c>
      <c r="L1493" t="s">
        <v>265</v>
      </c>
      <c r="M1493">
        <v>53</v>
      </c>
      <c r="N1493" t="b">
        <v>0</v>
      </c>
      <c r="O1493">
        <v>0.78854625550660784</v>
      </c>
      <c r="P1493">
        <v>0.77155172413793105</v>
      </c>
      <c r="Q1493">
        <v>0.80630630630630629</v>
      </c>
      <c r="R1493" t="s">
        <v>60</v>
      </c>
      <c r="S1493" t="s">
        <v>3414</v>
      </c>
      <c r="T1493" t="s">
        <v>3415</v>
      </c>
      <c r="U1493" t="b">
        <v>1</v>
      </c>
      <c r="V1493" t="s">
        <v>63</v>
      </c>
      <c r="W1493">
        <v>1.4</v>
      </c>
    </row>
    <row r="1494" spans="1:23" hidden="1" x14ac:dyDescent="0.3">
      <c r="A1494" t="s">
        <v>2830</v>
      </c>
      <c r="B1494" t="s">
        <v>2831</v>
      </c>
      <c r="C1494" t="s">
        <v>29</v>
      </c>
      <c r="D1494" t="s">
        <v>22</v>
      </c>
      <c r="E1494" t="s">
        <v>23</v>
      </c>
      <c r="F1494" t="s">
        <v>54</v>
      </c>
      <c r="G1494" t="s">
        <v>323</v>
      </c>
      <c r="H1494" t="s">
        <v>262</v>
      </c>
      <c r="I1494" t="s">
        <v>5</v>
      </c>
      <c r="J1494" t="s">
        <v>324</v>
      </c>
      <c r="K1494" t="s">
        <v>325</v>
      </c>
      <c r="L1494" t="s">
        <v>265</v>
      </c>
      <c r="M1494">
        <v>54</v>
      </c>
      <c r="N1494" t="b">
        <v>0</v>
      </c>
      <c r="O1494">
        <v>0.74398249452954035</v>
      </c>
      <c r="P1494">
        <v>0.72340425531914898</v>
      </c>
      <c r="Q1494">
        <v>0.76576576576576572</v>
      </c>
      <c r="R1494" t="s">
        <v>60</v>
      </c>
      <c r="S1494" t="s">
        <v>3416</v>
      </c>
      <c r="T1494" t="s">
        <v>3417</v>
      </c>
      <c r="U1494" t="b">
        <v>1</v>
      </c>
      <c r="V1494" t="s">
        <v>63</v>
      </c>
      <c r="W1494">
        <v>1.4</v>
      </c>
    </row>
    <row r="1495" spans="1:23" hidden="1" x14ac:dyDescent="0.3">
      <c r="A1495" t="s">
        <v>2830</v>
      </c>
      <c r="B1495" t="s">
        <v>2831</v>
      </c>
      <c r="C1495" t="s">
        <v>29</v>
      </c>
      <c r="D1495" t="s">
        <v>22</v>
      </c>
      <c r="E1495" t="s">
        <v>23</v>
      </c>
      <c r="F1495" t="s">
        <v>54</v>
      </c>
      <c r="G1495" t="s">
        <v>328</v>
      </c>
      <c r="H1495" t="s">
        <v>262</v>
      </c>
      <c r="I1495" t="s">
        <v>5</v>
      </c>
      <c r="J1495" t="s">
        <v>329</v>
      </c>
      <c r="K1495" t="s">
        <v>330</v>
      </c>
      <c r="L1495" t="s">
        <v>265</v>
      </c>
      <c r="M1495">
        <v>55</v>
      </c>
      <c r="N1495" t="b">
        <v>0</v>
      </c>
      <c r="O1495">
        <v>0.79458239277652365</v>
      </c>
      <c r="P1495">
        <v>0.7963800904977375</v>
      </c>
      <c r="Q1495">
        <v>0.7927927927927928</v>
      </c>
      <c r="R1495" t="s">
        <v>60</v>
      </c>
      <c r="S1495" t="s">
        <v>3418</v>
      </c>
      <c r="T1495" t="s">
        <v>3419</v>
      </c>
      <c r="U1495" t="b">
        <v>1</v>
      </c>
      <c r="V1495" t="s">
        <v>63</v>
      </c>
      <c r="W1495">
        <v>1.4</v>
      </c>
    </row>
    <row r="1496" spans="1:23" hidden="1" x14ac:dyDescent="0.3">
      <c r="A1496" t="s">
        <v>2830</v>
      </c>
      <c r="B1496" t="s">
        <v>2831</v>
      </c>
      <c r="C1496" t="s">
        <v>29</v>
      </c>
      <c r="D1496" t="s">
        <v>22</v>
      </c>
      <c r="E1496" t="s">
        <v>23</v>
      </c>
      <c r="F1496" t="s">
        <v>54</v>
      </c>
      <c r="G1496" t="s">
        <v>333</v>
      </c>
      <c r="H1496" t="s">
        <v>262</v>
      </c>
      <c r="I1496" t="s">
        <v>5</v>
      </c>
      <c r="J1496" t="s">
        <v>334</v>
      </c>
      <c r="K1496" t="s">
        <v>335</v>
      </c>
      <c r="L1496" t="s">
        <v>265</v>
      </c>
      <c r="M1496">
        <v>56</v>
      </c>
      <c r="N1496" t="b">
        <v>0</v>
      </c>
      <c r="O1496">
        <v>0.71721311475409832</v>
      </c>
      <c r="P1496">
        <v>0.65789473684210531</v>
      </c>
      <c r="Q1496">
        <v>0.78828828828828834</v>
      </c>
      <c r="R1496" t="s">
        <v>60</v>
      </c>
      <c r="S1496" t="s">
        <v>3420</v>
      </c>
      <c r="T1496" t="s">
        <v>3421</v>
      </c>
      <c r="U1496" t="b">
        <v>1</v>
      </c>
      <c r="V1496" t="s">
        <v>63</v>
      </c>
      <c r="W1496">
        <v>2</v>
      </c>
    </row>
    <row r="1497" spans="1:23" hidden="1" x14ac:dyDescent="0.3">
      <c r="A1497" t="s">
        <v>2830</v>
      </c>
      <c r="B1497" t="s">
        <v>2831</v>
      </c>
      <c r="C1497" t="s">
        <v>29</v>
      </c>
      <c r="D1497" t="s">
        <v>22</v>
      </c>
      <c r="E1497" t="s">
        <v>23</v>
      </c>
      <c r="F1497" t="s">
        <v>54</v>
      </c>
      <c r="G1497" t="s">
        <v>338</v>
      </c>
      <c r="H1497" t="s">
        <v>262</v>
      </c>
      <c r="I1497" t="s">
        <v>5</v>
      </c>
      <c r="J1497" t="s">
        <v>339</v>
      </c>
      <c r="K1497" t="s">
        <v>340</v>
      </c>
      <c r="L1497" t="s">
        <v>265</v>
      </c>
      <c r="M1497">
        <v>57</v>
      </c>
      <c r="N1497" t="b">
        <v>0</v>
      </c>
      <c r="O1497">
        <v>0.76923076923076938</v>
      </c>
      <c r="P1497">
        <v>0.73170731707317072</v>
      </c>
      <c r="Q1497">
        <v>0.81081081081081086</v>
      </c>
      <c r="R1497" t="s">
        <v>60</v>
      </c>
      <c r="S1497" t="s">
        <v>3422</v>
      </c>
      <c r="T1497" t="s">
        <v>3423</v>
      </c>
      <c r="U1497" t="b">
        <v>1</v>
      </c>
      <c r="V1497" t="s">
        <v>63</v>
      </c>
      <c r="W1497">
        <v>1.4</v>
      </c>
    </row>
    <row r="1498" spans="1:23" hidden="1" x14ac:dyDescent="0.3">
      <c r="A1498" t="s">
        <v>2830</v>
      </c>
      <c r="B1498" t="s">
        <v>2831</v>
      </c>
      <c r="C1498" t="s">
        <v>29</v>
      </c>
      <c r="D1498" t="s">
        <v>22</v>
      </c>
      <c r="E1498" t="s">
        <v>23</v>
      </c>
      <c r="F1498" t="s">
        <v>54</v>
      </c>
      <c r="G1498" t="s">
        <v>343</v>
      </c>
      <c r="H1498" t="s">
        <v>262</v>
      </c>
      <c r="I1498" t="s">
        <v>5</v>
      </c>
      <c r="J1498" t="s">
        <v>344</v>
      </c>
      <c r="K1498" t="s">
        <v>345</v>
      </c>
      <c r="L1498" t="s">
        <v>265</v>
      </c>
      <c r="M1498">
        <v>58</v>
      </c>
      <c r="N1498" t="b">
        <v>0</v>
      </c>
      <c r="O1498">
        <v>0.75159235668789803</v>
      </c>
      <c r="P1498">
        <v>0.71084337349397586</v>
      </c>
      <c r="Q1498">
        <v>0.79729729729729726</v>
      </c>
      <c r="R1498" t="s">
        <v>60</v>
      </c>
      <c r="S1498" t="s">
        <v>3424</v>
      </c>
      <c r="T1498" t="s">
        <v>3425</v>
      </c>
      <c r="U1498" t="b">
        <v>1</v>
      </c>
      <c r="V1498" t="s">
        <v>63</v>
      </c>
      <c r="W1498">
        <v>1.4</v>
      </c>
    </row>
    <row r="1499" spans="1:23" hidden="1" x14ac:dyDescent="0.3">
      <c r="A1499" t="s">
        <v>2830</v>
      </c>
      <c r="B1499" t="s">
        <v>2831</v>
      </c>
      <c r="C1499" t="s">
        <v>29</v>
      </c>
      <c r="D1499" t="s">
        <v>22</v>
      </c>
      <c r="E1499" t="s">
        <v>23</v>
      </c>
      <c r="F1499" t="s">
        <v>54</v>
      </c>
      <c r="G1499" t="s">
        <v>348</v>
      </c>
      <c r="H1499" t="s">
        <v>262</v>
      </c>
      <c r="I1499" t="s">
        <v>5</v>
      </c>
      <c r="J1499" t="s">
        <v>349</v>
      </c>
      <c r="K1499" t="s">
        <v>350</v>
      </c>
      <c r="L1499" t="s">
        <v>265</v>
      </c>
      <c r="M1499">
        <v>59</v>
      </c>
      <c r="N1499" t="b">
        <v>0</v>
      </c>
      <c r="O1499">
        <v>0.72839506172839485</v>
      </c>
      <c r="P1499">
        <v>0.67045454545454541</v>
      </c>
      <c r="Q1499">
        <v>0.79729729729729726</v>
      </c>
      <c r="R1499" t="s">
        <v>60</v>
      </c>
      <c r="S1499" t="s">
        <v>3426</v>
      </c>
      <c r="T1499" t="s">
        <v>3427</v>
      </c>
      <c r="U1499" t="b">
        <v>1</v>
      </c>
      <c r="V1499" t="s">
        <v>63</v>
      </c>
      <c r="W1499">
        <v>1.4</v>
      </c>
    </row>
    <row r="1500" spans="1:23" hidden="1" x14ac:dyDescent="0.3">
      <c r="A1500" t="s">
        <v>2830</v>
      </c>
      <c r="B1500" t="s">
        <v>2831</v>
      </c>
      <c r="C1500" t="s">
        <v>29</v>
      </c>
      <c r="D1500" t="s">
        <v>22</v>
      </c>
      <c r="E1500" t="s">
        <v>23</v>
      </c>
      <c r="F1500" t="s">
        <v>54</v>
      </c>
      <c r="G1500" t="s">
        <v>353</v>
      </c>
      <c r="H1500" t="s">
        <v>262</v>
      </c>
      <c r="I1500" t="s">
        <v>5</v>
      </c>
      <c r="J1500" t="s">
        <v>354</v>
      </c>
      <c r="K1500" t="s">
        <v>355</v>
      </c>
      <c r="L1500" t="s">
        <v>265</v>
      </c>
      <c r="M1500">
        <v>60</v>
      </c>
      <c r="N1500" t="b">
        <v>0</v>
      </c>
      <c r="O1500">
        <v>0.7416666666666667</v>
      </c>
      <c r="P1500">
        <v>0.68992248062015504</v>
      </c>
      <c r="Q1500">
        <v>0.80180180180180183</v>
      </c>
      <c r="R1500" t="s">
        <v>60</v>
      </c>
      <c r="S1500" t="s">
        <v>3428</v>
      </c>
      <c r="T1500" t="s">
        <v>3429</v>
      </c>
      <c r="U1500" t="b">
        <v>1</v>
      </c>
      <c r="V1500" t="s">
        <v>63</v>
      </c>
      <c r="W1500">
        <v>1.4</v>
      </c>
    </row>
    <row r="1501" spans="1:23" hidden="1" x14ac:dyDescent="0.3">
      <c r="A1501" t="s">
        <v>2830</v>
      </c>
      <c r="B1501" t="s">
        <v>2831</v>
      </c>
      <c r="C1501" t="s">
        <v>29</v>
      </c>
      <c r="D1501" t="s">
        <v>22</v>
      </c>
      <c r="E1501" t="s">
        <v>23</v>
      </c>
      <c r="F1501" t="s">
        <v>54</v>
      </c>
      <c r="G1501" t="s">
        <v>358</v>
      </c>
      <c r="H1501" t="s">
        <v>262</v>
      </c>
      <c r="I1501" t="s">
        <v>5</v>
      </c>
      <c r="J1501" t="s">
        <v>359</v>
      </c>
      <c r="K1501" t="s">
        <v>360</v>
      </c>
      <c r="L1501" t="s">
        <v>265</v>
      </c>
      <c r="M1501">
        <v>61</v>
      </c>
      <c r="N1501" t="b">
        <v>0</v>
      </c>
      <c r="O1501">
        <v>0.76888888888888896</v>
      </c>
      <c r="P1501">
        <v>0.75877192982456143</v>
      </c>
      <c r="Q1501">
        <v>0.77927927927927931</v>
      </c>
      <c r="R1501" t="s">
        <v>60</v>
      </c>
      <c r="S1501" t="s">
        <v>3430</v>
      </c>
      <c r="T1501" t="s">
        <v>3431</v>
      </c>
      <c r="U1501" t="b">
        <v>1</v>
      </c>
      <c r="V1501" t="s">
        <v>63</v>
      </c>
      <c r="W1501">
        <v>1.4</v>
      </c>
    </row>
    <row r="1502" spans="1:23" hidden="1" x14ac:dyDescent="0.3">
      <c r="A1502" t="s">
        <v>2830</v>
      </c>
      <c r="B1502" t="s">
        <v>2831</v>
      </c>
      <c r="C1502" t="s">
        <v>29</v>
      </c>
      <c r="D1502" t="s">
        <v>22</v>
      </c>
      <c r="E1502" t="s">
        <v>23</v>
      </c>
      <c r="F1502" t="s">
        <v>363</v>
      </c>
      <c r="G1502" t="s">
        <v>364</v>
      </c>
      <c r="H1502" t="s">
        <v>365</v>
      </c>
      <c r="I1502" t="s">
        <v>13</v>
      </c>
      <c r="J1502" t="s">
        <v>366</v>
      </c>
      <c r="K1502" t="s">
        <v>367</v>
      </c>
      <c r="L1502" t="s">
        <v>368</v>
      </c>
      <c r="M1502">
        <v>42</v>
      </c>
      <c r="N1502" t="b">
        <v>0</v>
      </c>
      <c r="O1502">
        <v>0.79668049792531104</v>
      </c>
      <c r="P1502">
        <v>0.76190476190476186</v>
      </c>
      <c r="Q1502">
        <v>0.83478260869565213</v>
      </c>
      <c r="R1502" t="s">
        <v>60</v>
      </c>
      <c r="S1502" t="s">
        <v>3432</v>
      </c>
      <c r="T1502" t="s">
        <v>3433</v>
      </c>
      <c r="U1502" t="b">
        <v>1</v>
      </c>
      <c r="V1502" t="s">
        <v>63</v>
      </c>
      <c r="W1502">
        <v>1.4</v>
      </c>
    </row>
    <row r="1503" spans="1:23" hidden="1" x14ac:dyDescent="0.3">
      <c r="A1503" t="s">
        <v>2830</v>
      </c>
      <c r="B1503" t="s">
        <v>2831</v>
      </c>
      <c r="C1503" t="s">
        <v>29</v>
      </c>
      <c r="D1503" t="s">
        <v>22</v>
      </c>
      <c r="E1503" t="s">
        <v>23</v>
      </c>
      <c r="F1503" t="s">
        <v>363</v>
      </c>
      <c r="G1503" t="s">
        <v>371</v>
      </c>
      <c r="H1503" t="s">
        <v>365</v>
      </c>
      <c r="I1503" t="s">
        <v>13</v>
      </c>
      <c r="J1503" t="s">
        <v>372</v>
      </c>
      <c r="K1503" t="s">
        <v>373</v>
      </c>
      <c r="L1503" t="s">
        <v>368</v>
      </c>
      <c r="M1503">
        <v>43</v>
      </c>
      <c r="N1503" t="b">
        <v>0</v>
      </c>
      <c r="O1503">
        <v>0.79915433403805503</v>
      </c>
      <c r="P1503">
        <v>0.77777777777777779</v>
      </c>
      <c r="Q1503">
        <v>0.82173913043478264</v>
      </c>
      <c r="R1503" t="s">
        <v>60</v>
      </c>
      <c r="S1503" t="s">
        <v>3434</v>
      </c>
      <c r="T1503" t="s">
        <v>3435</v>
      </c>
      <c r="U1503" t="b">
        <v>1</v>
      </c>
      <c r="V1503" t="s">
        <v>63</v>
      </c>
      <c r="W1503">
        <v>1.8</v>
      </c>
    </row>
    <row r="1504" spans="1:23" hidden="1" x14ac:dyDescent="0.3">
      <c r="A1504" t="s">
        <v>2830</v>
      </c>
      <c r="B1504" t="s">
        <v>2831</v>
      </c>
      <c r="C1504" t="s">
        <v>29</v>
      </c>
      <c r="D1504" t="s">
        <v>22</v>
      </c>
      <c r="E1504" t="s">
        <v>23</v>
      </c>
      <c r="F1504" t="s">
        <v>363</v>
      </c>
      <c r="G1504" t="s">
        <v>376</v>
      </c>
      <c r="H1504" t="s">
        <v>365</v>
      </c>
      <c r="I1504" t="s">
        <v>13</v>
      </c>
      <c r="J1504" t="s">
        <v>377</v>
      </c>
      <c r="K1504" t="s">
        <v>378</v>
      </c>
      <c r="L1504" t="s">
        <v>368</v>
      </c>
      <c r="M1504">
        <v>44</v>
      </c>
      <c r="N1504" t="b">
        <v>0</v>
      </c>
      <c r="O1504">
        <v>0.78762886597938142</v>
      </c>
      <c r="P1504">
        <v>0.74901960784313726</v>
      </c>
      <c r="Q1504">
        <v>0.83043478260869563</v>
      </c>
      <c r="R1504" t="s">
        <v>60</v>
      </c>
      <c r="S1504" t="s">
        <v>3436</v>
      </c>
      <c r="T1504" t="s">
        <v>3437</v>
      </c>
      <c r="U1504" t="b">
        <v>1</v>
      </c>
      <c r="V1504" t="s">
        <v>63</v>
      </c>
      <c r="W1504">
        <v>1.4</v>
      </c>
    </row>
    <row r="1505" spans="1:23" hidden="1" x14ac:dyDescent="0.3">
      <c r="A1505" t="s">
        <v>2830</v>
      </c>
      <c r="B1505" t="s">
        <v>2831</v>
      </c>
      <c r="C1505" t="s">
        <v>29</v>
      </c>
      <c r="D1505" t="s">
        <v>22</v>
      </c>
      <c r="E1505" t="s">
        <v>23</v>
      </c>
      <c r="F1505" t="s">
        <v>363</v>
      </c>
      <c r="G1505" t="s">
        <v>381</v>
      </c>
      <c r="H1505" t="s">
        <v>365</v>
      </c>
      <c r="I1505" t="s">
        <v>13</v>
      </c>
      <c r="J1505" t="s">
        <v>382</v>
      </c>
      <c r="K1505" t="s">
        <v>383</v>
      </c>
      <c r="L1505" t="s">
        <v>368</v>
      </c>
      <c r="M1505">
        <v>45</v>
      </c>
      <c r="N1505" t="b">
        <v>0</v>
      </c>
      <c r="O1505">
        <v>0.79079497907949792</v>
      </c>
      <c r="P1505">
        <v>0.76209677419354838</v>
      </c>
      <c r="Q1505">
        <v>0.82173913043478264</v>
      </c>
      <c r="R1505" t="s">
        <v>60</v>
      </c>
      <c r="S1505" t="s">
        <v>3438</v>
      </c>
      <c r="T1505" t="s">
        <v>3439</v>
      </c>
      <c r="U1505" t="b">
        <v>1</v>
      </c>
      <c r="V1505" t="s">
        <v>63</v>
      </c>
      <c r="W1505">
        <v>1.4</v>
      </c>
    </row>
    <row r="1506" spans="1:23" hidden="1" x14ac:dyDescent="0.3">
      <c r="A1506" t="s">
        <v>2830</v>
      </c>
      <c r="B1506" t="s">
        <v>2831</v>
      </c>
      <c r="C1506" t="s">
        <v>29</v>
      </c>
      <c r="D1506" t="s">
        <v>22</v>
      </c>
      <c r="E1506" t="s">
        <v>23</v>
      </c>
      <c r="F1506" t="s">
        <v>363</v>
      </c>
      <c r="G1506" t="s">
        <v>386</v>
      </c>
      <c r="H1506" t="s">
        <v>365</v>
      </c>
      <c r="I1506" t="s">
        <v>13</v>
      </c>
      <c r="J1506" t="s">
        <v>387</v>
      </c>
      <c r="K1506" t="s">
        <v>388</v>
      </c>
      <c r="L1506" t="s">
        <v>368</v>
      </c>
      <c r="M1506">
        <v>46</v>
      </c>
      <c r="N1506" t="b">
        <v>0</v>
      </c>
      <c r="O1506">
        <v>0.78481012658227833</v>
      </c>
      <c r="P1506">
        <v>0.76229508196721307</v>
      </c>
      <c r="Q1506">
        <v>0.80869565217391304</v>
      </c>
      <c r="R1506" t="s">
        <v>60</v>
      </c>
      <c r="S1506" t="s">
        <v>3440</v>
      </c>
      <c r="T1506" t="s">
        <v>3441</v>
      </c>
      <c r="U1506" t="b">
        <v>1</v>
      </c>
      <c r="V1506" t="s">
        <v>63</v>
      </c>
      <c r="W1506">
        <v>1.4</v>
      </c>
    </row>
    <row r="1507" spans="1:23" hidden="1" x14ac:dyDescent="0.3">
      <c r="A1507" t="s">
        <v>2830</v>
      </c>
      <c r="B1507" t="s">
        <v>2831</v>
      </c>
      <c r="C1507" t="s">
        <v>29</v>
      </c>
      <c r="D1507" t="s">
        <v>22</v>
      </c>
      <c r="E1507" t="s">
        <v>23</v>
      </c>
      <c r="F1507" t="s">
        <v>363</v>
      </c>
      <c r="G1507" t="s">
        <v>391</v>
      </c>
      <c r="H1507" t="s">
        <v>365</v>
      </c>
      <c r="I1507" t="s">
        <v>13</v>
      </c>
      <c r="J1507" t="s">
        <v>392</v>
      </c>
      <c r="K1507" t="s">
        <v>393</v>
      </c>
      <c r="L1507" t="s">
        <v>368</v>
      </c>
      <c r="M1507">
        <v>47</v>
      </c>
      <c r="N1507" t="b">
        <v>0</v>
      </c>
      <c r="O1507">
        <v>0.7851239669421487</v>
      </c>
      <c r="P1507">
        <v>0.74803149606299213</v>
      </c>
      <c r="Q1507">
        <v>0.82608695652173914</v>
      </c>
      <c r="R1507" t="s">
        <v>60</v>
      </c>
      <c r="S1507" t="s">
        <v>3442</v>
      </c>
      <c r="T1507" t="s">
        <v>3443</v>
      </c>
      <c r="U1507" t="b">
        <v>1</v>
      </c>
      <c r="V1507" t="s">
        <v>63</v>
      </c>
      <c r="W1507">
        <v>1.4</v>
      </c>
    </row>
    <row r="1508" spans="1:23" hidden="1" x14ac:dyDescent="0.3">
      <c r="A1508" t="s">
        <v>2830</v>
      </c>
      <c r="B1508" t="s">
        <v>2831</v>
      </c>
      <c r="C1508" t="s">
        <v>29</v>
      </c>
      <c r="D1508" t="s">
        <v>22</v>
      </c>
      <c r="E1508" t="s">
        <v>23</v>
      </c>
      <c r="F1508" t="s">
        <v>363</v>
      </c>
      <c r="G1508" t="s">
        <v>396</v>
      </c>
      <c r="H1508" t="s">
        <v>365</v>
      </c>
      <c r="I1508" t="s">
        <v>13</v>
      </c>
      <c r="J1508" t="s">
        <v>397</v>
      </c>
      <c r="K1508" t="s">
        <v>398</v>
      </c>
      <c r="L1508" t="s">
        <v>368</v>
      </c>
      <c r="M1508">
        <v>48</v>
      </c>
      <c r="N1508" t="b">
        <v>0</v>
      </c>
      <c r="O1508">
        <v>0.80338266384778023</v>
      </c>
      <c r="P1508">
        <v>0.78189300411522633</v>
      </c>
      <c r="Q1508">
        <v>0.82608695652173914</v>
      </c>
      <c r="R1508" t="s">
        <v>60</v>
      </c>
      <c r="S1508" t="s">
        <v>3444</v>
      </c>
      <c r="T1508" t="s">
        <v>3445</v>
      </c>
      <c r="U1508" t="b">
        <v>1</v>
      </c>
      <c r="V1508" t="s">
        <v>63</v>
      </c>
      <c r="W1508">
        <v>1.4</v>
      </c>
    </row>
    <row r="1509" spans="1:23" hidden="1" x14ac:dyDescent="0.3">
      <c r="A1509" t="s">
        <v>2830</v>
      </c>
      <c r="B1509" t="s">
        <v>2831</v>
      </c>
      <c r="C1509" t="s">
        <v>29</v>
      </c>
      <c r="D1509" t="s">
        <v>22</v>
      </c>
      <c r="E1509" t="s">
        <v>23</v>
      </c>
      <c r="F1509" t="s">
        <v>363</v>
      </c>
      <c r="G1509" t="s">
        <v>401</v>
      </c>
      <c r="H1509" t="s">
        <v>365</v>
      </c>
      <c r="I1509" t="s">
        <v>13</v>
      </c>
      <c r="J1509" t="s">
        <v>402</v>
      </c>
      <c r="K1509" t="s">
        <v>403</v>
      </c>
      <c r="L1509" t="s">
        <v>368</v>
      </c>
      <c r="M1509">
        <v>49</v>
      </c>
      <c r="N1509" t="b">
        <v>0</v>
      </c>
      <c r="O1509">
        <v>0.8042105263157896</v>
      </c>
      <c r="P1509">
        <v>0.7795918367346939</v>
      </c>
      <c r="Q1509">
        <v>0.83043478260869563</v>
      </c>
      <c r="R1509" t="s">
        <v>60</v>
      </c>
      <c r="S1509" t="s">
        <v>3446</v>
      </c>
      <c r="T1509" t="s">
        <v>3447</v>
      </c>
      <c r="U1509" t="b">
        <v>1</v>
      </c>
      <c r="V1509" t="s">
        <v>63</v>
      </c>
      <c r="W1509">
        <v>1.7</v>
      </c>
    </row>
    <row r="1510" spans="1:23" hidden="1" x14ac:dyDescent="0.3">
      <c r="A1510" t="s">
        <v>2830</v>
      </c>
      <c r="B1510" t="s">
        <v>2831</v>
      </c>
      <c r="C1510" t="s">
        <v>29</v>
      </c>
      <c r="D1510" t="s">
        <v>22</v>
      </c>
      <c r="E1510" t="s">
        <v>23</v>
      </c>
      <c r="F1510" t="s">
        <v>363</v>
      </c>
      <c r="G1510" t="s">
        <v>406</v>
      </c>
      <c r="H1510" t="s">
        <v>365</v>
      </c>
      <c r="I1510" t="s">
        <v>13</v>
      </c>
      <c r="J1510" t="s">
        <v>407</v>
      </c>
      <c r="K1510" t="s">
        <v>408</v>
      </c>
      <c r="L1510" t="s">
        <v>368</v>
      </c>
      <c r="M1510">
        <v>50</v>
      </c>
      <c r="N1510" t="b">
        <v>0</v>
      </c>
      <c r="O1510">
        <v>0.79237288135593209</v>
      </c>
      <c r="P1510">
        <v>0.77272727272727271</v>
      </c>
      <c r="Q1510">
        <v>0.81304347826086953</v>
      </c>
      <c r="R1510" t="s">
        <v>60</v>
      </c>
      <c r="S1510" t="s">
        <v>3448</v>
      </c>
      <c r="T1510" t="s">
        <v>3449</v>
      </c>
      <c r="U1510" t="b">
        <v>1</v>
      </c>
      <c r="V1510" t="s">
        <v>63</v>
      </c>
      <c r="W1510">
        <v>1.4</v>
      </c>
    </row>
    <row r="1511" spans="1:23" hidden="1" x14ac:dyDescent="0.3">
      <c r="A1511" t="s">
        <v>2830</v>
      </c>
      <c r="B1511" t="s">
        <v>2831</v>
      </c>
      <c r="C1511" t="s">
        <v>29</v>
      </c>
      <c r="D1511" t="s">
        <v>22</v>
      </c>
      <c r="E1511" t="s">
        <v>23</v>
      </c>
      <c r="F1511" t="s">
        <v>363</v>
      </c>
      <c r="G1511" t="s">
        <v>411</v>
      </c>
      <c r="H1511" t="s">
        <v>365</v>
      </c>
      <c r="I1511" t="s">
        <v>13</v>
      </c>
      <c r="J1511" t="s">
        <v>412</v>
      </c>
      <c r="K1511" t="s">
        <v>413</v>
      </c>
      <c r="L1511" t="s">
        <v>368</v>
      </c>
      <c r="M1511">
        <v>51</v>
      </c>
      <c r="N1511" t="b">
        <v>0</v>
      </c>
      <c r="O1511">
        <v>0.81104033970276002</v>
      </c>
      <c r="P1511">
        <v>0.79253112033195017</v>
      </c>
      <c r="Q1511">
        <v>0.83043478260869563</v>
      </c>
      <c r="R1511" t="s">
        <v>60</v>
      </c>
      <c r="S1511" t="s">
        <v>3450</v>
      </c>
      <c r="T1511" t="s">
        <v>3451</v>
      </c>
      <c r="U1511" t="b">
        <v>1</v>
      </c>
      <c r="V1511" t="s">
        <v>63</v>
      </c>
      <c r="W1511">
        <v>1.3</v>
      </c>
    </row>
    <row r="1512" spans="1:23" hidden="1" x14ac:dyDescent="0.3">
      <c r="A1512" t="s">
        <v>2830</v>
      </c>
      <c r="B1512" t="s">
        <v>2831</v>
      </c>
      <c r="C1512" t="s">
        <v>29</v>
      </c>
      <c r="D1512" t="s">
        <v>22</v>
      </c>
      <c r="E1512" t="s">
        <v>23</v>
      </c>
      <c r="F1512" t="s">
        <v>363</v>
      </c>
      <c r="G1512" t="s">
        <v>416</v>
      </c>
      <c r="H1512" t="s">
        <v>365</v>
      </c>
      <c r="I1512" t="s">
        <v>13</v>
      </c>
      <c r="J1512" t="s">
        <v>417</v>
      </c>
      <c r="K1512" t="s">
        <v>418</v>
      </c>
      <c r="L1512" t="s">
        <v>368</v>
      </c>
      <c r="M1512">
        <v>52</v>
      </c>
      <c r="N1512" t="b">
        <v>0</v>
      </c>
      <c r="O1512">
        <v>0.81856540084388196</v>
      </c>
      <c r="P1512">
        <v>0.79508196721311475</v>
      </c>
      <c r="Q1512">
        <v>0.84347826086956523</v>
      </c>
      <c r="R1512" t="s">
        <v>60</v>
      </c>
      <c r="S1512" t="s">
        <v>3452</v>
      </c>
      <c r="T1512" t="s">
        <v>3453</v>
      </c>
      <c r="U1512" t="b">
        <v>1</v>
      </c>
      <c r="V1512" t="s">
        <v>63</v>
      </c>
      <c r="W1512">
        <v>1.4</v>
      </c>
    </row>
    <row r="1513" spans="1:23" hidden="1" x14ac:dyDescent="0.3">
      <c r="A1513" t="s">
        <v>2830</v>
      </c>
      <c r="B1513" t="s">
        <v>2831</v>
      </c>
      <c r="C1513" t="s">
        <v>29</v>
      </c>
      <c r="D1513" t="s">
        <v>22</v>
      </c>
      <c r="E1513" t="s">
        <v>23</v>
      </c>
      <c r="F1513" t="s">
        <v>363</v>
      </c>
      <c r="G1513" t="s">
        <v>421</v>
      </c>
      <c r="H1513" t="s">
        <v>365</v>
      </c>
      <c r="I1513" t="s">
        <v>13</v>
      </c>
      <c r="J1513" t="s">
        <v>422</v>
      </c>
      <c r="K1513" t="s">
        <v>423</v>
      </c>
      <c r="L1513" t="s">
        <v>368</v>
      </c>
      <c r="M1513">
        <v>53</v>
      </c>
      <c r="N1513" t="b">
        <v>0</v>
      </c>
      <c r="O1513">
        <v>0.78825995807127891</v>
      </c>
      <c r="P1513">
        <v>0.76113360323886636</v>
      </c>
      <c r="Q1513">
        <v>0.81739130434782614</v>
      </c>
      <c r="R1513" t="s">
        <v>60</v>
      </c>
      <c r="S1513" t="s">
        <v>3454</v>
      </c>
      <c r="T1513" t="s">
        <v>3455</v>
      </c>
      <c r="U1513" t="b">
        <v>1</v>
      </c>
      <c r="V1513" t="s">
        <v>63</v>
      </c>
      <c r="W1513">
        <v>1.6</v>
      </c>
    </row>
    <row r="1514" spans="1:23" hidden="1" x14ac:dyDescent="0.3">
      <c r="A1514" t="s">
        <v>2830</v>
      </c>
      <c r="B1514" t="s">
        <v>2831</v>
      </c>
      <c r="C1514" t="s">
        <v>29</v>
      </c>
      <c r="D1514" t="s">
        <v>22</v>
      </c>
      <c r="E1514" t="s">
        <v>23</v>
      </c>
      <c r="F1514" t="s">
        <v>363</v>
      </c>
      <c r="G1514" t="s">
        <v>426</v>
      </c>
      <c r="H1514" t="s">
        <v>365</v>
      </c>
      <c r="I1514" t="s">
        <v>13</v>
      </c>
      <c r="J1514" t="s">
        <v>427</v>
      </c>
      <c r="K1514" t="s">
        <v>428</v>
      </c>
      <c r="L1514" t="s">
        <v>368</v>
      </c>
      <c r="M1514">
        <v>54</v>
      </c>
      <c r="N1514" t="b">
        <v>0</v>
      </c>
      <c r="O1514">
        <v>0.7957894736842106</v>
      </c>
      <c r="P1514">
        <v>0.77142857142857146</v>
      </c>
      <c r="Q1514">
        <v>0.82173913043478264</v>
      </c>
      <c r="R1514" t="s">
        <v>60</v>
      </c>
      <c r="S1514" t="s">
        <v>3456</v>
      </c>
      <c r="T1514" t="s">
        <v>3457</v>
      </c>
      <c r="U1514" t="b">
        <v>1</v>
      </c>
      <c r="V1514" t="s">
        <v>63</v>
      </c>
      <c r="W1514">
        <v>1.4</v>
      </c>
    </row>
    <row r="1515" spans="1:23" hidden="1" x14ac:dyDescent="0.3">
      <c r="A1515" t="s">
        <v>2830</v>
      </c>
      <c r="B1515" t="s">
        <v>2831</v>
      </c>
      <c r="C1515" t="s">
        <v>29</v>
      </c>
      <c r="D1515" t="s">
        <v>22</v>
      </c>
      <c r="E1515" t="s">
        <v>23</v>
      </c>
      <c r="F1515" t="s">
        <v>363</v>
      </c>
      <c r="G1515" t="s">
        <v>431</v>
      </c>
      <c r="H1515" t="s">
        <v>365</v>
      </c>
      <c r="I1515" t="s">
        <v>13</v>
      </c>
      <c r="J1515" t="s">
        <v>432</v>
      </c>
      <c r="K1515" t="s">
        <v>433</v>
      </c>
      <c r="L1515" t="s">
        <v>368</v>
      </c>
      <c r="M1515">
        <v>55</v>
      </c>
      <c r="N1515" t="b">
        <v>0</v>
      </c>
      <c r="O1515">
        <v>0.78586278586278591</v>
      </c>
      <c r="P1515">
        <v>0.75298804780876494</v>
      </c>
      <c r="Q1515">
        <v>0.82173913043478264</v>
      </c>
      <c r="R1515" t="s">
        <v>60</v>
      </c>
      <c r="S1515" t="s">
        <v>3458</v>
      </c>
      <c r="T1515" t="s">
        <v>3459</v>
      </c>
      <c r="U1515" t="b">
        <v>1</v>
      </c>
      <c r="V1515" t="s">
        <v>63</v>
      </c>
      <c r="W1515">
        <v>1.4</v>
      </c>
    </row>
    <row r="1516" spans="1:23" hidden="1" x14ac:dyDescent="0.3">
      <c r="A1516" t="s">
        <v>2830</v>
      </c>
      <c r="B1516" t="s">
        <v>2831</v>
      </c>
      <c r="C1516" t="s">
        <v>29</v>
      </c>
      <c r="D1516" t="s">
        <v>22</v>
      </c>
      <c r="E1516" t="s">
        <v>23</v>
      </c>
      <c r="F1516" t="s">
        <v>363</v>
      </c>
      <c r="G1516" t="s">
        <v>436</v>
      </c>
      <c r="H1516" t="s">
        <v>365</v>
      </c>
      <c r="I1516" t="s">
        <v>13</v>
      </c>
      <c r="J1516" t="s">
        <v>437</v>
      </c>
      <c r="K1516" t="s">
        <v>438</v>
      </c>
      <c r="L1516" t="s">
        <v>368</v>
      </c>
      <c r="M1516">
        <v>56</v>
      </c>
      <c r="N1516" t="b">
        <v>0</v>
      </c>
      <c r="O1516">
        <v>0.80425531914893622</v>
      </c>
      <c r="P1516">
        <v>0.78749999999999998</v>
      </c>
      <c r="Q1516">
        <v>0.82173913043478264</v>
      </c>
      <c r="R1516" t="s">
        <v>60</v>
      </c>
      <c r="S1516" t="s">
        <v>3460</v>
      </c>
      <c r="T1516" t="s">
        <v>3461</v>
      </c>
      <c r="U1516" t="b">
        <v>1</v>
      </c>
      <c r="V1516" t="s">
        <v>63</v>
      </c>
      <c r="W1516">
        <v>1.8</v>
      </c>
    </row>
    <row r="1517" spans="1:23" hidden="1" x14ac:dyDescent="0.3">
      <c r="A1517" t="s">
        <v>2830</v>
      </c>
      <c r="B1517" t="s">
        <v>2831</v>
      </c>
      <c r="C1517" t="s">
        <v>29</v>
      </c>
      <c r="D1517" t="s">
        <v>22</v>
      </c>
      <c r="E1517" t="s">
        <v>23</v>
      </c>
      <c r="F1517" t="s">
        <v>363</v>
      </c>
      <c r="G1517" t="s">
        <v>441</v>
      </c>
      <c r="H1517" t="s">
        <v>365</v>
      </c>
      <c r="I1517" t="s">
        <v>13</v>
      </c>
      <c r="J1517" t="s">
        <v>442</v>
      </c>
      <c r="K1517" t="s">
        <v>443</v>
      </c>
      <c r="L1517" t="s">
        <v>368</v>
      </c>
      <c r="M1517">
        <v>57</v>
      </c>
      <c r="N1517" t="b">
        <v>0</v>
      </c>
      <c r="O1517">
        <v>0.79668049792531104</v>
      </c>
      <c r="P1517">
        <v>0.76190476190476186</v>
      </c>
      <c r="Q1517">
        <v>0.83478260869565213</v>
      </c>
      <c r="R1517" t="s">
        <v>60</v>
      </c>
      <c r="S1517" t="s">
        <v>3462</v>
      </c>
      <c r="T1517" t="s">
        <v>3463</v>
      </c>
      <c r="U1517" t="b">
        <v>1</v>
      </c>
      <c r="V1517" t="s">
        <v>63</v>
      </c>
      <c r="W1517">
        <v>1.4</v>
      </c>
    </row>
    <row r="1518" spans="1:23" hidden="1" x14ac:dyDescent="0.3">
      <c r="A1518" t="s">
        <v>2830</v>
      </c>
      <c r="B1518" t="s">
        <v>2831</v>
      </c>
      <c r="C1518" t="s">
        <v>29</v>
      </c>
      <c r="D1518" t="s">
        <v>22</v>
      </c>
      <c r="E1518" t="s">
        <v>23</v>
      </c>
      <c r="F1518" t="s">
        <v>363</v>
      </c>
      <c r="G1518" t="s">
        <v>446</v>
      </c>
      <c r="H1518" t="s">
        <v>365</v>
      </c>
      <c r="I1518" t="s">
        <v>13</v>
      </c>
      <c r="J1518" t="s">
        <v>447</v>
      </c>
      <c r="K1518" t="s">
        <v>448</v>
      </c>
      <c r="L1518" t="s">
        <v>368</v>
      </c>
      <c r="M1518">
        <v>58</v>
      </c>
      <c r="N1518" t="b">
        <v>0</v>
      </c>
      <c r="O1518">
        <v>0.8</v>
      </c>
      <c r="P1518">
        <v>0.76800000000000002</v>
      </c>
      <c r="Q1518">
        <v>0.83478260869565213</v>
      </c>
      <c r="R1518" t="s">
        <v>60</v>
      </c>
      <c r="S1518" t="s">
        <v>3464</v>
      </c>
      <c r="T1518" t="s">
        <v>3465</v>
      </c>
      <c r="U1518" t="b">
        <v>1</v>
      </c>
      <c r="V1518" t="s">
        <v>63</v>
      </c>
      <c r="W1518">
        <v>1.4</v>
      </c>
    </row>
    <row r="1519" spans="1:23" hidden="1" x14ac:dyDescent="0.3">
      <c r="A1519" t="s">
        <v>2830</v>
      </c>
      <c r="B1519" t="s">
        <v>2831</v>
      </c>
      <c r="C1519" t="s">
        <v>29</v>
      </c>
      <c r="D1519" t="s">
        <v>22</v>
      </c>
      <c r="E1519" t="s">
        <v>23</v>
      </c>
      <c r="F1519" t="s">
        <v>363</v>
      </c>
      <c r="G1519" t="s">
        <v>451</v>
      </c>
      <c r="H1519" t="s">
        <v>365</v>
      </c>
      <c r="I1519" t="s">
        <v>13</v>
      </c>
      <c r="J1519" t="s">
        <v>452</v>
      </c>
      <c r="K1519" t="s">
        <v>453</v>
      </c>
      <c r="L1519" t="s">
        <v>368</v>
      </c>
      <c r="M1519">
        <v>59</v>
      </c>
      <c r="N1519" t="b">
        <v>0</v>
      </c>
      <c r="O1519">
        <v>0.79826464208242953</v>
      </c>
      <c r="P1519">
        <v>0.79653679653679654</v>
      </c>
      <c r="Q1519">
        <v>0.8</v>
      </c>
      <c r="R1519" t="s">
        <v>60</v>
      </c>
      <c r="S1519" t="s">
        <v>3466</v>
      </c>
      <c r="T1519" t="s">
        <v>3467</v>
      </c>
      <c r="U1519" t="b">
        <v>1</v>
      </c>
      <c r="V1519" t="s">
        <v>63</v>
      </c>
      <c r="W1519">
        <v>1.4</v>
      </c>
    </row>
    <row r="1520" spans="1:23" hidden="1" x14ac:dyDescent="0.3">
      <c r="A1520" t="s">
        <v>2830</v>
      </c>
      <c r="B1520" t="s">
        <v>2831</v>
      </c>
      <c r="C1520" t="s">
        <v>29</v>
      </c>
      <c r="D1520" t="s">
        <v>22</v>
      </c>
      <c r="E1520" t="s">
        <v>23</v>
      </c>
      <c r="F1520" t="s">
        <v>363</v>
      </c>
      <c r="G1520" t="s">
        <v>456</v>
      </c>
      <c r="H1520" t="s">
        <v>365</v>
      </c>
      <c r="I1520" t="s">
        <v>13</v>
      </c>
      <c r="J1520" t="s">
        <v>457</v>
      </c>
      <c r="K1520" t="s">
        <v>458</v>
      </c>
      <c r="L1520" t="s">
        <v>368</v>
      </c>
      <c r="M1520">
        <v>60</v>
      </c>
      <c r="N1520" t="b">
        <v>0</v>
      </c>
      <c r="O1520">
        <v>0.78775510204081645</v>
      </c>
      <c r="P1520">
        <v>0.74230769230769234</v>
      </c>
      <c r="Q1520">
        <v>0.83913043478260874</v>
      </c>
      <c r="R1520" t="s">
        <v>60</v>
      </c>
      <c r="S1520" t="s">
        <v>3468</v>
      </c>
      <c r="T1520" t="s">
        <v>3469</v>
      </c>
      <c r="U1520" t="b">
        <v>1</v>
      </c>
      <c r="V1520" t="s">
        <v>63</v>
      </c>
      <c r="W1520">
        <v>1.6</v>
      </c>
    </row>
    <row r="1521" spans="1:23" hidden="1" x14ac:dyDescent="0.3">
      <c r="A1521" t="s">
        <v>2830</v>
      </c>
      <c r="B1521" t="s">
        <v>2831</v>
      </c>
      <c r="C1521" t="s">
        <v>29</v>
      </c>
      <c r="D1521" t="s">
        <v>22</v>
      </c>
      <c r="E1521" t="s">
        <v>23</v>
      </c>
      <c r="F1521" t="s">
        <v>363</v>
      </c>
      <c r="G1521" t="s">
        <v>461</v>
      </c>
      <c r="H1521" t="s">
        <v>365</v>
      </c>
      <c r="I1521" t="s">
        <v>13</v>
      </c>
      <c r="J1521" t="s">
        <v>462</v>
      </c>
      <c r="K1521" t="s">
        <v>463</v>
      </c>
      <c r="L1521" t="s">
        <v>368</v>
      </c>
      <c r="M1521">
        <v>61</v>
      </c>
      <c r="N1521" t="b">
        <v>0</v>
      </c>
      <c r="O1521">
        <v>0.79591836734693888</v>
      </c>
      <c r="P1521">
        <v>0.75</v>
      </c>
      <c r="Q1521">
        <v>0.84782608695652173</v>
      </c>
      <c r="R1521" t="s">
        <v>60</v>
      </c>
      <c r="S1521" t="s">
        <v>3470</v>
      </c>
      <c r="T1521" t="s">
        <v>3471</v>
      </c>
      <c r="U1521" t="b">
        <v>1</v>
      </c>
      <c r="V1521" t="s">
        <v>63</v>
      </c>
      <c r="W1521">
        <v>1.4</v>
      </c>
    </row>
    <row r="1522" spans="1:23" hidden="1" x14ac:dyDescent="0.3">
      <c r="A1522" t="s">
        <v>2830</v>
      </c>
      <c r="B1522" t="s">
        <v>2831</v>
      </c>
      <c r="C1522" t="s">
        <v>29</v>
      </c>
      <c r="D1522" t="s">
        <v>22</v>
      </c>
      <c r="E1522" t="s">
        <v>23</v>
      </c>
      <c r="F1522" t="s">
        <v>363</v>
      </c>
      <c r="G1522" t="s">
        <v>466</v>
      </c>
      <c r="H1522" t="s">
        <v>467</v>
      </c>
      <c r="I1522" t="s">
        <v>9</v>
      </c>
      <c r="J1522" t="s">
        <v>468</v>
      </c>
      <c r="K1522" t="s">
        <v>469</v>
      </c>
      <c r="L1522" t="s">
        <v>470</v>
      </c>
      <c r="M1522">
        <v>42</v>
      </c>
      <c r="N1522" t="b">
        <v>0</v>
      </c>
      <c r="O1522">
        <v>0.80229226361031514</v>
      </c>
      <c r="P1522">
        <v>0.77777777777777779</v>
      </c>
      <c r="Q1522">
        <v>0.82840236686390534</v>
      </c>
      <c r="R1522" t="s">
        <v>60</v>
      </c>
      <c r="S1522" t="s">
        <v>3472</v>
      </c>
      <c r="T1522" t="s">
        <v>3473</v>
      </c>
      <c r="U1522" t="b">
        <v>1</v>
      </c>
      <c r="V1522" t="s">
        <v>63</v>
      </c>
      <c r="W1522">
        <v>1.9</v>
      </c>
    </row>
    <row r="1523" spans="1:23" hidden="1" x14ac:dyDescent="0.3">
      <c r="A1523" t="s">
        <v>2830</v>
      </c>
      <c r="B1523" t="s">
        <v>2831</v>
      </c>
      <c r="C1523" t="s">
        <v>29</v>
      </c>
      <c r="D1523" t="s">
        <v>22</v>
      </c>
      <c r="E1523" t="s">
        <v>23</v>
      </c>
      <c r="F1523" t="s">
        <v>363</v>
      </c>
      <c r="G1523" t="s">
        <v>473</v>
      </c>
      <c r="H1523" t="s">
        <v>467</v>
      </c>
      <c r="I1523" t="s">
        <v>9</v>
      </c>
      <c r="J1523" t="s">
        <v>474</v>
      </c>
      <c r="K1523" t="s">
        <v>475</v>
      </c>
      <c r="L1523" t="s">
        <v>470</v>
      </c>
      <c r="M1523">
        <v>43</v>
      </c>
      <c r="N1523" t="b">
        <v>0</v>
      </c>
      <c r="O1523">
        <v>0.77906976744186052</v>
      </c>
      <c r="P1523">
        <v>0.76571428571428568</v>
      </c>
      <c r="Q1523">
        <v>0.79289940828402372</v>
      </c>
      <c r="R1523" t="s">
        <v>60</v>
      </c>
      <c r="S1523" t="s">
        <v>3474</v>
      </c>
      <c r="T1523" t="s">
        <v>3475</v>
      </c>
      <c r="U1523" t="b">
        <v>1</v>
      </c>
      <c r="V1523" t="s">
        <v>63</v>
      </c>
      <c r="W1523">
        <v>1.4</v>
      </c>
    </row>
    <row r="1524" spans="1:23" hidden="1" x14ac:dyDescent="0.3">
      <c r="A1524" t="s">
        <v>2830</v>
      </c>
      <c r="B1524" t="s">
        <v>2831</v>
      </c>
      <c r="C1524" t="s">
        <v>29</v>
      </c>
      <c r="D1524" t="s">
        <v>22</v>
      </c>
      <c r="E1524" t="s">
        <v>23</v>
      </c>
      <c r="F1524" t="s">
        <v>363</v>
      </c>
      <c r="G1524" t="s">
        <v>478</v>
      </c>
      <c r="H1524" t="s">
        <v>467</v>
      </c>
      <c r="I1524" t="s">
        <v>9</v>
      </c>
      <c r="J1524" t="s">
        <v>479</v>
      </c>
      <c r="K1524" t="s">
        <v>480</v>
      </c>
      <c r="L1524" t="s">
        <v>470</v>
      </c>
      <c r="M1524">
        <v>44</v>
      </c>
      <c r="N1524" t="b">
        <v>0</v>
      </c>
      <c r="O1524">
        <v>0.80232558139534893</v>
      </c>
      <c r="P1524">
        <v>0.78857142857142859</v>
      </c>
      <c r="Q1524">
        <v>0.81656804733727806</v>
      </c>
      <c r="R1524" t="s">
        <v>60</v>
      </c>
      <c r="S1524" t="s">
        <v>3476</v>
      </c>
      <c r="T1524" t="s">
        <v>3477</v>
      </c>
      <c r="U1524" t="b">
        <v>1</v>
      </c>
      <c r="V1524" t="s">
        <v>63</v>
      </c>
      <c r="W1524">
        <v>1.4</v>
      </c>
    </row>
    <row r="1525" spans="1:23" hidden="1" x14ac:dyDescent="0.3">
      <c r="A1525" t="s">
        <v>2830</v>
      </c>
      <c r="B1525" t="s">
        <v>2831</v>
      </c>
      <c r="C1525" t="s">
        <v>29</v>
      </c>
      <c r="D1525" t="s">
        <v>22</v>
      </c>
      <c r="E1525" t="s">
        <v>23</v>
      </c>
      <c r="F1525" t="s">
        <v>363</v>
      </c>
      <c r="G1525" t="s">
        <v>483</v>
      </c>
      <c r="H1525" t="s">
        <v>467</v>
      </c>
      <c r="I1525" t="s">
        <v>9</v>
      </c>
      <c r="J1525" t="s">
        <v>484</v>
      </c>
      <c r="K1525" t="s">
        <v>485</v>
      </c>
      <c r="L1525" t="s">
        <v>470</v>
      </c>
      <c r="M1525">
        <v>45</v>
      </c>
      <c r="N1525" t="b">
        <v>0</v>
      </c>
      <c r="O1525">
        <v>0.81159420289855067</v>
      </c>
      <c r="P1525">
        <v>0.79545454545454541</v>
      </c>
      <c r="Q1525">
        <v>0.82840236686390534</v>
      </c>
      <c r="R1525" t="s">
        <v>60</v>
      </c>
      <c r="S1525" t="s">
        <v>3478</v>
      </c>
      <c r="T1525" t="s">
        <v>3479</v>
      </c>
      <c r="U1525" t="b">
        <v>1</v>
      </c>
      <c r="V1525" t="s">
        <v>63</v>
      </c>
      <c r="W1525">
        <v>1.3</v>
      </c>
    </row>
    <row r="1526" spans="1:23" hidden="1" x14ac:dyDescent="0.3">
      <c r="A1526" t="s">
        <v>2830</v>
      </c>
      <c r="B1526" t="s">
        <v>2831</v>
      </c>
      <c r="C1526" t="s">
        <v>29</v>
      </c>
      <c r="D1526" t="s">
        <v>22</v>
      </c>
      <c r="E1526" t="s">
        <v>23</v>
      </c>
      <c r="F1526" t="s">
        <v>363</v>
      </c>
      <c r="G1526" t="s">
        <v>488</v>
      </c>
      <c r="H1526" t="s">
        <v>467</v>
      </c>
      <c r="I1526" t="s">
        <v>9</v>
      </c>
      <c r="J1526" t="s">
        <v>489</v>
      </c>
      <c r="K1526" t="s">
        <v>490</v>
      </c>
      <c r="L1526" t="s">
        <v>470</v>
      </c>
      <c r="M1526">
        <v>46</v>
      </c>
      <c r="N1526" t="b">
        <v>0</v>
      </c>
      <c r="O1526">
        <v>0.77222222222222237</v>
      </c>
      <c r="P1526">
        <v>0.72774869109947649</v>
      </c>
      <c r="Q1526">
        <v>0.8224852071005917</v>
      </c>
      <c r="R1526" t="s">
        <v>60</v>
      </c>
      <c r="S1526" t="s">
        <v>3480</v>
      </c>
      <c r="T1526" t="s">
        <v>3481</v>
      </c>
      <c r="U1526" t="b">
        <v>1</v>
      </c>
      <c r="V1526" t="s">
        <v>63</v>
      </c>
      <c r="W1526">
        <v>1.4</v>
      </c>
    </row>
    <row r="1527" spans="1:23" hidden="1" x14ac:dyDescent="0.3">
      <c r="A1527" t="s">
        <v>2830</v>
      </c>
      <c r="B1527" t="s">
        <v>2831</v>
      </c>
      <c r="C1527" t="s">
        <v>29</v>
      </c>
      <c r="D1527" t="s">
        <v>22</v>
      </c>
      <c r="E1527" t="s">
        <v>23</v>
      </c>
      <c r="F1527" t="s">
        <v>363</v>
      </c>
      <c r="G1527" t="s">
        <v>493</v>
      </c>
      <c r="H1527" t="s">
        <v>467</v>
      </c>
      <c r="I1527" t="s">
        <v>9</v>
      </c>
      <c r="J1527" t="s">
        <v>494</v>
      </c>
      <c r="K1527" t="s">
        <v>495</v>
      </c>
      <c r="L1527" t="s">
        <v>470</v>
      </c>
      <c r="M1527">
        <v>47</v>
      </c>
      <c r="N1527" t="b">
        <v>0</v>
      </c>
      <c r="O1527">
        <v>0.78962536023054752</v>
      </c>
      <c r="P1527">
        <v>0.7696629213483146</v>
      </c>
      <c r="Q1527">
        <v>0.81065088757396453</v>
      </c>
      <c r="R1527" t="s">
        <v>60</v>
      </c>
      <c r="S1527" t="s">
        <v>3482</v>
      </c>
      <c r="T1527" t="s">
        <v>3483</v>
      </c>
      <c r="U1527" t="b">
        <v>1</v>
      </c>
      <c r="V1527" t="s">
        <v>63</v>
      </c>
      <c r="W1527">
        <v>1.3</v>
      </c>
    </row>
    <row r="1528" spans="1:23" hidden="1" x14ac:dyDescent="0.3">
      <c r="A1528" t="s">
        <v>2830</v>
      </c>
      <c r="B1528" t="s">
        <v>2831</v>
      </c>
      <c r="C1528" t="s">
        <v>29</v>
      </c>
      <c r="D1528" t="s">
        <v>22</v>
      </c>
      <c r="E1528" t="s">
        <v>23</v>
      </c>
      <c r="F1528" t="s">
        <v>363</v>
      </c>
      <c r="G1528" t="s">
        <v>498</v>
      </c>
      <c r="H1528" t="s">
        <v>467</v>
      </c>
      <c r="I1528" t="s">
        <v>9</v>
      </c>
      <c r="J1528" t="s">
        <v>499</v>
      </c>
      <c r="K1528" t="s">
        <v>500</v>
      </c>
      <c r="L1528" t="s">
        <v>470</v>
      </c>
      <c r="M1528">
        <v>48</v>
      </c>
      <c r="N1528" t="b">
        <v>0</v>
      </c>
      <c r="O1528">
        <v>0.77653631284916202</v>
      </c>
      <c r="P1528">
        <v>0.73544973544973546</v>
      </c>
      <c r="Q1528">
        <v>0.8224852071005917</v>
      </c>
      <c r="R1528" t="s">
        <v>60</v>
      </c>
      <c r="S1528" t="s">
        <v>3484</v>
      </c>
      <c r="T1528" t="s">
        <v>3485</v>
      </c>
      <c r="U1528" t="b">
        <v>1</v>
      </c>
      <c r="V1528" t="s">
        <v>63</v>
      </c>
      <c r="W1528">
        <v>1.3</v>
      </c>
    </row>
    <row r="1529" spans="1:23" hidden="1" x14ac:dyDescent="0.3">
      <c r="A1529" t="s">
        <v>2830</v>
      </c>
      <c r="B1529" t="s">
        <v>2831</v>
      </c>
      <c r="C1529" t="s">
        <v>29</v>
      </c>
      <c r="D1529" t="s">
        <v>22</v>
      </c>
      <c r="E1529" t="s">
        <v>23</v>
      </c>
      <c r="F1529" t="s">
        <v>363</v>
      </c>
      <c r="G1529" t="s">
        <v>503</v>
      </c>
      <c r="H1529" t="s">
        <v>467</v>
      </c>
      <c r="I1529" t="s">
        <v>9</v>
      </c>
      <c r="J1529" t="s">
        <v>504</v>
      </c>
      <c r="K1529" t="s">
        <v>505</v>
      </c>
      <c r="L1529" t="s">
        <v>470</v>
      </c>
      <c r="M1529">
        <v>49</v>
      </c>
      <c r="N1529" t="b">
        <v>0</v>
      </c>
      <c r="O1529">
        <v>0.80113636363636365</v>
      </c>
      <c r="P1529">
        <v>0.77049180327868849</v>
      </c>
      <c r="Q1529">
        <v>0.83431952662721898</v>
      </c>
      <c r="R1529" t="s">
        <v>60</v>
      </c>
      <c r="S1529" t="s">
        <v>3486</v>
      </c>
      <c r="T1529" t="s">
        <v>3487</v>
      </c>
      <c r="U1529" t="b">
        <v>1</v>
      </c>
      <c r="V1529" t="s">
        <v>63</v>
      </c>
      <c r="W1529">
        <v>1.7</v>
      </c>
    </row>
    <row r="1530" spans="1:23" hidden="1" x14ac:dyDescent="0.3">
      <c r="A1530" t="s">
        <v>2830</v>
      </c>
      <c r="B1530" t="s">
        <v>2831</v>
      </c>
      <c r="C1530" t="s">
        <v>29</v>
      </c>
      <c r="D1530" t="s">
        <v>22</v>
      </c>
      <c r="E1530" t="s">
        <v>23</v>
      </c>
      <c r="F1530" t="s">
        <v>363</v>
      </c>
      <c r="G1530" t="s">
        <v>508</v>
      </c>
      <c r="H1530" t="s">
        <v>467</v>
      </c>
      <c r="I1530" t="s">
        <v>9</v>
      </c>
      <c r="J1530" t="s">
        <v>509</v>
      </c>
      <c r="K1530" t="s">
        <v>510</v>
      </c>
      <c r="L1530" t="s">
        <v>470</v>
      </c>
      <c r="M1530">
        <v>50</v>
      </c>
      <c r="N1530" t="b">
        <v>0</v>
      </c>
      <c r="O1530">
        <v>0.77620396600566577</v>
      </c>
      <c r="P1530">
        <v>0.74456521739130432</v>
      </c>
      <c r="Q1530">
        <v>0.81065088757396453</v>
      </c>
      <c r="R1530" t="s">
        <v>60</v>
      </c>
      <c r="S1530" t="s">
        <v>3488</v>
      </c>
      <c r="T1530" t="s">
        <v>3489</v>
      </c>
      <c r="U1530" t="b">
        <v>1</v>
      </c>
      <c r="V1530" t="s">
        <v>63</v>
      </c>
      <c r="W1530">
        <v>1.3</v>
      </c>
    </row>
    <row r="1531" spans="1:23" hidden="1" x14ac:dyDescent="0.3">
      <c r="A1531" t="s">
        <v>2830</v>
      </c>
      <c r="B1531" t="s">
        <v>2831</v>
      </c>
      <c r="C1531" t="s">
        <v>29</v>
      </c>
      <c r="D1531" t="s">
        <v>22</v>
      </c>
      <c r="E1531" t="s">
        <v>23</v>
      </c>
      <c r="F1531" t="s">
        <v>363</v>
      </c>
      <c r="G1531" t="s">
        <v>513</v>
      </c>
      <c r="H1531" t="s">
        <v>467</v>
      </c>
      <c r="I1531" t="s">
        <v>9</v>
      </c>
      <c r="J1531" t="s">
        <v>514</v>
      </c>
      <c r="K1531" t="s">
        <v>515</v>
      </c>
      <c r="L1531" t="s">
        <v>470</v>
      </c>
      <c r="M1531">
        <v>51</v>
      </c>
      <c r="N1531" t="b">
        <v>0</v>
      </c>
      <c r="O1531">
        <v>0.77966101694915257</v>
      </c>
      <c r="P1531">
        <v>0.74594594594594599</v>
      </c>
      <c r="Q1531">
        <v>0.81656804733727806</v>
      </c>
      <c r="R1531" t="s">
        <v>60</v>
      </c>
      <c r="S1531" t="s">
        <v>3490</v>
      </c>
      <c r="T1531" t="s">
        <v>3491</v>
      </c>
      <c r="U1531" t="b">
        <v>1</v>
      </c>
      <c r="V1531" t="s">
        <v>63</v>
      </c>
      <c r="W1531">
        <v>1.3</v>
      </c>
    </row>
    <row r="1532" spans="1:23" hidden="1" x14ac:dyDescent="0.3">
      <c r="A1532" t="s">
        <v>2830</v>
      </c>
      <c r="B1532" t="s">
        <v>2831</v>
      </c>
      <c r="C1532" t="s">
        <v>29</v>
      </c>
      <c r="D1532" t="s">
        <v>22</v>
      </c>
      <c r="E1532" t="s">
        <v>23</v>
      </c>
      <c r="F1532" t="s">
        <v>363</v>
      </c>
      <c r="G1532" t="s">
        <v>518</v>
      </c>
      <c r="H1532" t="s">
        <v>467</v>
      </c>
      <c r="I1532" t="s">
        <v>9</v>
      </c>
      <c r="J1532" t="s">
        <v>519</v>
      </c>
      <c r="K1532" t="s">
        <v>520</v>
      </c>
      <c r="L1532" t="s">
        <v>470</v>
      </c>
      <c r="M1532">
        <v>52</v>
      </c>
      <c r="N1532" t="b">
        <v>0</v>
      </c>
      <c r="O1532">
        <v>0.76521739130434785</v>
      </c>
      <c r="P1532">
        <v>0.75</v>
      </c>
      <c r="Q1532">
        <v>0.78106508875739644</v>
      </c>
      <c r="R1532" t="s">
        <v>60</v>
      </c>
      <c r="S1532" t="s">
        <v>3492</v>
      </c>
      <c r="T1532" t="s">
        <v>3493</v>
      </c>
      <c r="U1532" t="b">
        <v>1</v>
      </c>
      <c r="V1532" t="s">
        <v>63</v>
      </c>
      <c r="W1532">
        <v>1.3</v>
      </c>
    </row>
    <row r="1533" spans="1:23" hidden="1" x14ac:dyDescent="0.3">
      <c r="A1533" t="s">
        <v>2830</v>
      </c>
      <c r="B1533" t="s">
        <v>2831</v>
      </c>
      <c r="C1533" t="s">
        <v>29</v>
      </c>
      <c r="D1533" t="s">
        <v>22</v>
      </c>
      <c r="E1533" t="s">
        <v>23</v>
      </c>
      <c r="F1533" t="s">
        <v>363</v>
      </c>
      <c r="G1533" t="s">
        <v>523</v>
      </c>
      <c r="H1533" t="s">
        <v>467</v>
      </c>
      <c r="I1533" t="s">
        <v>9</v>
      </c>
      <c r="J1533" t="s">
        <v>524</v>
      </c>
      <c r="K1533" t="s">
        <v>525</v>
      </c>
      <c r="L1533" t="s">
        <v>470</v>
      </c>
      <c r="M1533">
        <v>53</v>
      </c>
      <c r="N1533" t="b">
        <v>0</v>
      </c>
      <c r="O1533">
        <v>0.78260869565217395</v>
      </c>
      <c r="P1533">
        <v>0.76704545454545459</v>
      </c>
      <c r="Q1533">
        <v>0.79881656804733725</v>
      </c>
      <c r="R1533" t="s">
        <v>60</v>
      </c>
      <c r="S1533" t="s">
        <v>3494</v>
      </c>
      <c r="T1533" t="s">
        <v>3495</v>
      </c>
      <c r="U1533" t="b">
        <v>1</v>
      </c>
      <c r="V1533" t="s">
        <v>63</v>
      </c>
      <c r="W1533">
        <v>1.3</v>
      </c>
    </row>
    <row r="1534" spans="1:23" hidden="1" x14ac:dyDescent="0.3">
      <c r="A1534" t="s">
        <v>2830</v>
      </c>
      <c r="B1534" t="s">
        <v>2831</v>
      </c>
      <c r="C1534" t="s">
        <v>29</v>
      </c>
      <c r="D1534" t="s">
        <v>22</v>
      </c>
      <c r="E1534" t="s">
        <v>23</v>
      </c>
      <c r="F1534" t="s">
        <v>363</v>
      </c>
      <c r="G1534" t="s">
        <v>528</v>
      </c>
      <c r="H1534" t="s">
        <v>467</v>
      </c>
      <c r="I1534" t="s">
        <v>9</v>
      </c>
      <c r="J1534" t="s">
        <v>529</v>
      </c>
      <c r="K1534" t="s">
        <v>530</v>
      </c>
      <c r="L1534" t="s">
        <v>470</v>
      </c>
      <c r="M1534">
        <v>54</v>
      </c>
      <c r="N1534" t="b">
        <v>0</v>
      </c>
      <c r="O1534">
        <v>0.78873239436619724</v>
      </c>
      <c r="P1534">
        <v>0.75268817204301075</v>
      </c>
      <c r="Q1534">
        <v>0.82840236686390534</v>
      </c>
      <c r="R1534" t="s">
        <v>60</v>
      </c>
      <c r="S1534" t="s">
        <v>3496</v>
      </c>
      <c r="T1534" t="s">
        <v>3497</v>
      </c>
      <c r="U1534" t="b">
        <v>1</v>
      </c>
      <c r="V1534" t="s">
        <v>63</v>
      </c>
      <c r="W1534">
        <v>1.4</v>
      </c>
    </row>
    <row r="1535" spans="1:23" hidden="1" x14ac:dyDescent="0.3">
      <c r="A1535" t="s">
        <v>2830</v>
      </c>
      <c r="B1535" t="s">
        <v>2831</v>
      </c>
      <c r="C1535" t="s">
        <v>29</v>
      </c>
      <c r="D1535" t="s">
        <v>22</v>
      </c>
      <c r="E1535" t="s">
        <v>23</v>
      </c>
      <c r="F1535" t="s">
        <v>363</v>
      </c>
      <c r="G1535" t="s">
        <v>533</v>
      </c>
      <c r="H1535" t="s">
        <v>467</v>
      </c>
      <c r="I1535" t="s">
        <v>9</v>
      </c>
      <c r="J1535" t="s">
        <v>534</v>
      </c>
      <c r="K1535" t="s">
        <v>535</v>
      </c>
      <c r="L1535" t="s">
        <v>470</v>
      </c>
      <c r="M1535">
        <v>55</v>
      </c>
      <c r="N1535" t="b">
        <v>0</v>
      </c>
      <c r="O1535">
        <v>0.8057971014492753</v>
      </c>
      <c r="P1535">
        <v>0.78977272727272729</v>
      </c>
      <c r="Q1535">
        <v>0.8224852071005917</v>
      </c>
      <c r="R1535" t="s">
        <v>60</v>
      </c>
      <c r="S1535" t="s">
        <v>3498</v>
      </c>
      <c r="T1535" t="s">
        <v>3499</v>
      </c>
      <c r="U1535" t="b">
        <v>1</v>
      </c>
      <c r="V1535" t="s">
        <v>63</v>
      </c>
      <c r="W1535">
        <v>1.4</v>
      </c>
    </row>
    <row r="1536" spans="1:23" hidden="1" x14ac:dyDescent="0.3">
      <c r="A1536" t="s">
        <v>2830</v>
      </c>
      <c r="B1536" t="s">
        <v>2831</v>
      </c>
      <c r="C1536" t="s">
        <v>29</v>
      </c>
      <c r="D1536" t="s">
        <v>22</v>
      </c>
      <c r="E1536" t="s">
        <v>23</v>
      </c>
      <c r="F1536" t="s">
        <v>363</v>
      </c>
      <c r="G1536" t="s">
        <v>538</v>
      </c>
      <c r="H1536" t="s">
        <v>467</v>
      </c>
      <c r="I1536" t="s">
        <v>9</v>
      </c>
      <c r="J1536" t="s">
        <v>539</v>
      </c>
      <c r="K1536" t="s">
        <v>540</v>
      </c>
      <c r="L1536" t="s">
        <v>470</v>
      </c>
      <c r="M1536">
        <v>56</v>
      </c>
      <c r="N1536" t="b">
        <v>0</v>
      </c>
      <c r="O1536">
        <v>0.76878612716763006</v>
      </c>
      <c r="P1536">
        <v>0.75141242937853103</v>
      </c>
      <c r="Q1536">
        <v>0.78698224852071008</v>
      </c>
      <c r="R1536" t="s">
        <v>60</v>
      </c>
      <c r="S1536" t="s">
        <v>3500</v>
      </c>
      <c r="T1536" t="s">
        <v>3501</v>
      </c>
      <c r="U1536" t="b">
        <v>1</v>
      </c>
      <c r="V1536" t="s">
        <v>63</v>
      </c>
      <c r="W1536">
        <v>1.6</v>
      </c>
    </row>
    <row r="1537" spans="1:23" hidden="1" x14ac:dyDescent="0.3">
      <c r="A1537" t="s">
        <v>2830</v>
      </c>
      <c r="B1537" t="s">
        <v>2831</v>
      </c>
      <c r="C1537" t="s">
        <v>29</v>
      </c>
      <c r="D1537" t="s">
        <v>22</v>
      </c>
      <c r="E1537" t="s">
        <v>23</v>
      </c>
      <c r="F1537" t="s">
        <v>363</v>
      </c>
      <c r="G1537" t="s">
        <v>543</v>
      </c>
      <c r="H1537" t="s">
        <v>467</v>
      </c>
      <c r="I1537" t="s">
        <v>9</v>
      </c>
      <c r="J1537" t="s">
        <v>544</v>
      </c>
      <c r="K1537" t="s">
        <v>545</v>
      </c>
      <c r="L1537" t="s">
        <v>470</v>
      </c>
      <c r="M1537">
        <v>57</v>
      </c>
      <c r="N1537" t="b">
        <v>0</v>
      </c>
      <c r="O1537">
        <v>0.74380165289256195</v>
      </c>
      <c r="P1537">
        <v>0.69587628865979378</v>
      </c>
      <c r="Q1537">
        <v>0.79881656804733725</v>
      </c>
      <c r="R1537" t="s">
        <v>60</v>
      </c>
      <c r="S1537" t="s">
        <v>3502</v>
      </c>
      <c r="T1537" t="s">
        <v>3503</v>
      </c>
      <c r="U1537" t="b">
        <v>1</v>
      </c>
      <c r="V1537" t="s">
        <v>63</v>
      </c>
      <c r="W1537">
        <v>1.2</v>
      </c>
    </row>
    <row r="1538" spans="1:23" hidden="1" x14ac:dyDescent="0.3">
      <c r="A1538" t="s">
        <v>2830</v>
      </c>
      <c r="B1538" t="s">
        <v>2831</v>
      </c>
      <c r="C1538" t="s">
        <v>29</v>
      </c>
      <c r="D1538" t="s">
        <v>22</v>
      </c>
      <c r="E1538" t="s">
        <v>23</v>
      </c>
      <c r="F1538" t="s">
        <v>363</v>
      </c>
      <c r="G1538" t="s">
        <v>548</v>
      </c>
      <c r="H1538" t="s">
        <v>467</v>
      </c>
      <c r="I1538" t="s">
        <v>9</v>
      </c>
      <c r="J1538" t="s">
        <v>549</v>
      </c>
      <c r="K1538" t="s">
        <v>550</v>
      </c>
      <c r="L1538" t="s">
        <v>470</v>
      </c>
      <c r="M1538">
        <v>58</v>
      </c>
      <c r="N1538" t="b">
        <v>0</v>
      </c>
      <c r="O1538">
        <v>0.78034682080924844</v>
      </c>
      <c r="P1538">
        <v>0.76271186440677963</v>
      </c>
      <c r="Q1538">
        <v>0.79881656804733725</v>
      </c>
      <c r="R1538" t="s">
        <v>60</v>
      </c>
      <c r="S1538" t="s">
        <v>3504</v>
      </c>
      <c r="T1538" t="s">
        <v>3505</v>
      </c>
      <c r="U1538" t="b">
        <v>1</v>
      </c>
      <c r="V1538" t="s">
        <v>63</v>
      </c>
      <c r="W1538">
        <v>1.3</v>
      </c>
    </row>
    <row r="1539" spans="1:23" hidden="1" x14ac:dyDescent="0.3">
      <c r="A1539" t="s">
        <v>2830</v>
      </c>
      <c r="B1539" t="s">
        <v>2831</v>
      </c>
      <c r="C1539" t="s">
        <v>29</v>
      </c>
      <c r="D1539" t="s">
        <v>22</v>
      </c>
      <c r="E1539" t="s">
        <v>23</v>
      </c>
      <c r="F1539" t="s">
        <v>363</v>
      </c>
      <c r="G1539" t="s">
        <v>553</v>
      </c>
      <c r="H1539" t="s">
        <v>467</v>
      </c>
      <c r="I1539" t="s">
        <v>9</v>
      </c>
      <c r="J1539" t="s">
        <v>554</v>
      </c>
      <c r="K1539" t="s">
        <v>555</v>
      </c>
      <c r="L1539" t="s">
        <v>470</v>
      </c>
      <c r="M1539">
        <v>59</v>
      </c>
      <c r="N1539" t="b">
        <v>0</v>
      </c>
      <c r="O1539">
        <v>0.8</v>
      </c>
      <c r="P1539">
        <v>0.78409090909090906</v>
      </c>
      <c r="Q1539">
        <v>0.81656804733727806</v>
      </c>
      <c r="R1539" t="s">
        <v>60</v>
      </c>
      <c r="S1539" t="s">
        <v>3506</v>
      </c>
      <c r="T1539" t="s">
        <v>3507</v>
      </c>
      <c r="U1539" t="b">
        <v>1</v>
      </c>
      <c r="V1539" t="s">
        <v>63</v>
      </c>
      <c r="W1539">
        <v>1.3</v>
      </c>
    </row>
    <row r="1540" spans="1:23" hidden="1" x14ac:dyDescent="0.3">
      <c r="A1540" t="s">
        <v>2830</v>
      </c>
      <c r="B1540" t="s">
        <v>2831</v>
      </c>
      <c r="C1540" t="s">
        <v>29</v>
      </c>
      <c r="D1540" t="s">
        <v>22</v>
      </c>
      <c r="E1540" t="s">
        <v>23</v>
      </c>
      <c r="F1540" t="s">
        <v>363</v>
      </c>
      <c r="G1540" t="s">
        <v>558</v>
      </c>
      <c r="H1540" t="s">
        <v>467</v>
      </c>
      <c r="I1540" t="s">
        <v>9</v>
      </c>
      <c r="J1540" t="s">
        <v>559</v>
      </c>
      <c r="K1540" t="s">
        <v>560</v>
      </c>
      <c r="L1540" t="s">
        <v>470</v>
      </c>
      <c r="M1540">
        <v>60</v>
      </c>
      <c r="N1540" t="b">
        <v>0</v>
      </c>
      <c r="O1540">
        <v>0.78260869565217395</v>
      </c>
      <c r="P1540">
        <v>0.76704545454545459</v>
      </c>
      <c r="Q1540">
        <v>0.79881656804733725</v>
      </c>
      <c r="R1540" t="s">
        <v>60</v>
      </c>
      <c r="S1540" t="s">
        <v>3508</v>
      </c>
      <c r="T1540" t="s">
        <v>3509</v>
      </c>
      <c r="U1540" t="b">
        <v>1</v>
      </c>
      <c r="V1540" t="s">
        <v>63</v>
      </c>
      <c r="W1540">
        <v>1.3</v>
      </c>
    </row>
    <row r="1541" spans="1:23" hidden="1" x14ac:dyDescent="0.3">
      <c r="A1541" t="s">
        <v>2830</v>
      </c>
      <c r="B1541" t="s">
        <v>2831</v>
      </c>
      <c r="C1541" t="s">
        <v>29</v>
      </c>
      <c r="D1541" t="s">
        <v>22</v>
      </c>
      <c r="E1541" t="s">
        <v>23</v>
      </c>
      <c r="F1541" t="s">
        <v>363</v>
      </c>
      <c r="G1541" t="s">
        <v>563</v>
      </c>
      <c r="H1541" t="s">
        <v>467</v>
      </c>
      <c r="I1541" t="s">
        <v>9</v>
      </c>
      <c r="J1541" t="s">
        <v>564</v>
      </c>
      <c r="K1541" t="s">
        <v>565</v>
      </c>
      <c r="L1541" t="s">
        <v>470</v>
      </c>
      <c r="M1541">
        <v>61</v>
      </c>
      <c r="N1541" t="b">
        <v>0</v>
      </c>
      <c r="O1541">
        <v>0.78260869565217395</v>
      </c>
      <c r="P1541">
        <v>0.76704545454545459</v>
      </c>
      <c r="Q1541">
        <v>0.79881656804733725</v>
      </c>
      <c r="R1541" t="s">
        <v>60</v>
      </c>
      <c r="S1541" t="s">
        <v>3510</v>
      </c>
      <c r="T1541" t="s">
        <v>3511</v>
      </c>
      <c r="U1541" t="b">
        <v>1</v>
      </c>
      <c r="V1541" t="s">
        <v>63</v>
      </c>
      <c r="W1541">
        <v>1.3</v>
      </c>
    </row>
    <row r="1542" spans="1:23" hidden="1" x14ac:dyDescent="0.3">
      <c r="A1542" t="s">
        <v>2830</v>
      </c>
      <c r="B1542" t="s">
        <v>2831</v>
      </c>
      <c r="C1542" t="s">
        <v>29</v>
      </c>
      <c r="D1542" t="s">
        <v>22</v>
      </c>
      <c r="E1542" t="s">
        <v>23</v>
      </c>
      <c r="F1542" t="s">
        <v>363</v>
      </c>
      <c r="G1542" t="s">
        <v>568</v>
      </c>
      <c r="H1542" t="s">
        <v>569</v>
      </c>
      <c r="I1542" t="s">
        <v>11</v>
      </c>
      <c r="J1542" t="s">
        <v>570</v>
      </c>
      <c r="K1542" t="s">
        <v>571</v>
      </c>
      <c r="L1542" t="s">
        <v>572</v>
      </c>
      <c r="M1542">
        <v>42</v>
      </c>
      <c r="N1542" t="b">
        <v>0</v>
      </c>
      <c r="O1542">
        <v>0.82926829268292679</v>
      </c>
      <c r="P1542">
        <v>0.81659388646288211</v>
      </c>
      <c r="Q1542">
        <v>0.84234234234234229</v>
      </c>
      <c r="R1542" t="s">
        <v>60</v>
      </c>
      <c r="S1542" t="s">
        <v>3512</v>
      </c>
      <c r="T1542" t="s">
        <v>3513</v>
      </c>
      <c r="U1542" t="b">
        <v>1</v>
      </c>
      <c r="V1542" t="s">
        <v>63</v>
      </c>
      <c r="W1542">
        <v>1.8</v>
      </c>
    </row>
    <row r="1543" spans="1:23" hidden="1" x14ac:dyDescent="0.3">
      <c r="A1543" t="s">
        <v>2830</v>
      </c>
      <c r="B1543" t="s">
        <v>2831</v>
      </c>
      <c r="C1543" t="s">
        <v>29</v>
      </c>
      <c r="D1543" t="s">
        <v>22</v>
      </c>
      <c r="E1543" t="s">
        <v>23</v>
      </c>
      <c r="F1543" t="s">
        <v>363</v>
      </c>
      <c r="G1543" t="s">
        <v>575</v>
      </c>
      <c r="H1543" t="s">
        <v>569</v>
      </c>
      <c r="I1543" t="s">
        <v>11</v>
      </c>
      <c r="J1543" t="s">
        <v>576</v>
      </c>
      <c r="K1543" t="s">
        <v>577</v>
      </c>
      <c r="L1543" t="s">
        <v>572</v>
      </c>
      <c r="M1543">
        <v>43</v>
      </c>
      <c r="N1543" t="b">
        <v>0</v>
      </c>
      <c r="O1543">
        <v>0.82352941176470584</v>
      </c>
      <c r="P1543">
        <v>0.79746835443037978</v>
      </c>
      <c r="Q1543">
        <v>0.85135135135135132</v>
      </c>
      <c r="R1543" t="s">
        <v>60</v>
      </c>
      <c r="S1543" t="s">
        <v>3514</v>
      </c>
      <c r="T1543" t="s">
        <v>3515</v>
      </c>
      <c r="U1543" t="b">
        <v>1</v>
      </c>
      <c r="V1543" t="s">
        <v>63</v>
      </c>
      <c r="W1543">
        <v>1.4</v>
      </c>
    </row>
    <row r="1544" spans="1:23" hidden="1" x14ac:dyDescent="0.3">
      <c r="A1544" t="s">
        <v>2830</v>
      </c>
      <c r="B1544" t="s">
        <v>2831</v>
      </c>
      <c r="C1544" t="s">
        <v>29</v>
      </c>
      <c r="D1544" t="s">
        <v>22</v>
      </c>
      <c r="E1544" t="s">
        <v>23</v>
      </c>
      <c r="F1544" t="s">
        <v>363</v>
      </c>
      <c r="G1544" t="s">
        <v>580</v>
      </c>
      <c r="H1544" t="s">
        <v>569</v>
      </c>
      <c r="I1544" t="s">
        <v>11</v>
      </c>
      <c r="J1544" t="s">
        <v>581</v>
      </c>
      <c r="K1544" t="s">
        <v>582</v>
      </c>
      <c r="L1544" t="s">
        <v>572</v>
      </c>
      <c r="M1544">
        <v>44</v>
      </c>
      <c r="N1544" t="b">
        <v>0</v>
      </c>
      <c r="O1544">
        <v>0.79399141630901293</v>
      </c>
      <c r="P1544">
        <v>0.75819672131147542</v>
      </c>
      <c r="Q1544">
        <v>0.83333333333333337</v>
      </c>
      <c r="R1544" t="s">
        <v>60</v>
      </c>
      <c r="S1544" t="s">
        <v>3516</v>
      </c>
      <c r="T1544" t="s">
        <v>3517</v>
      </c>
      <c r="U1544" t="b">
        <v>1</v>
      </c>
      <c r="V1544" t="s">
        <v>63</v>
      </c>
      <c r="W1544">
        <v>1.4</v>
      </c>
    </row>
    <row r="1545" spans="1:23" hidden="1" x14ac:dyDescent="0.3">
      <c r="A1545" t="s">
        <v>2830</v>
      </c>
      <c r="B1545" t="s">
        <v>2831</v>
      </c>
      <c r="C1545" t="s">
        <v>29</v>
      </c>
      <c r="D1545" t="s">
        <v>22</v>
      </c>
      <c r="E1545" t="s">
        <v>23</v>
      </c>
      <c r="F1545" t="s">
        <v>363</v>
      </c>
      <c r="G1545" t="s">
        <v>585</v>
      </c>
      <c r="H1545" t="s">
        <v>569</v>
      </c>
      <c r="I1545" t="s">
        <v>11</v>
      </c>
      <c r="J1545" t="s">
        <v>586</v>
      </c>
      <c r="K1545" t="s">
        <v>587</v>
      </c>
      <c r="L1545" t="s">
        <v>572</v>
      </c>
      <c r="M1545">
        <v>45</v>
      </c>
      <c r="N1545" t="b">
        <v>0</v>
      </c>
      <c r="O1545">
        <v>0.82850779510022277</v>
      </c>
      <c r="P1545">
        <v>0.81938325991189431</v>
      </c>
      <c r="Q1545">
        <v>0.83783783783783783</v>
      </c>
      <c r="R1545" t="s">
        <v>60</v>
      </c>
      <c r="S1545" t="s">
        <v>3518</v>
      </c>
      <c r="T1545" t="s">
        <v>3519</v>
      </c>
      <c r="U1545" t="b">
        <v>1</v>
      </c>
      <c r="V1545" t="s">
        <v>63</v>
      </c>
      <c r="W1545">
        <v>1.4</v>
      </c>
    </row>
    <row r="1546" spans="1:23" hidden="1" x14ac:dyDescent="0.3">
      <c r="A1546" t="s">
        <v>2830</v>
      </c>
      <c r="B1546" t="s">
        <v>2831</v>
      </c>
      <c r="C1546" t="s">
        <v>29</v>
      </c>
      <c r="D1546" t="s">
        <v>22</v>
      </c>
      <c r="E1546" t="s">
        <v>23</v>
      </c>
      <c r="F1546" t="s">
        <v>363</v>
      </c>
      <c r="G1546" t="s">
        <v>590</v>
      </c>
      <c r="H1546" t="s">
        <v>569</v>
      </c>
      <c r="I1546" t="s">
        <v>11</v>
      </c>
      <c r="J1546" t="s">
        <v>591</v>
      </c>
      <c r="K1546" t="s">
        <v>592</v>
      </c>
      <c r="L1546" t="s">
        <v>572</v>
      </c>
      <c r="M1546">
        <v>46</v>
      </c>
      <c r="N1546" t="b">
        <v>0</v>
      </c>
      <c r="O1546">
        <v>0.81222707423580787</v>
      </c>
      <c r="P1546">
        <v>0.78813559322033899</v>
      </c>
      <c r="Q1546">
        <v>0.83783783783783783</v>
      </c>
      <c r="R1546" t="s">
        <v>60</v>
      </c>
      <c r="S1546" t="s">
        <v>3520</v>
      </c>
      <c r="T1546" t="s">
        <v>3521</v>
      </c>
      <c r="U1546" t="b">
        <v>1</v>
      </c>
      <c r="V1546" t="s">
        <v>63</v>
      </c>
      <c r="W1546">
        <v>1.4</v>
      </c>
    </row>
    <row r="1547" spans="1:23" hidden="1" x14ac:dyDescent="0.3">
      <c r="A1547" t="s">
        <v>2830</v>
      </c>
      <c r="B1547" t="s">
        <v>2831</v>
      </c>
      <c r="C1547" t="s">
        <v>29</v>
      </c>
      <c r="D1547" t="s">
        <v>22</v>
      </c>
      <c r="E1547" t="s">
        <v>23</v>
      </c>
      <c r="F1547" t="s">
        <v>363</v>
      </c>
      <c r="G1547" t="s">
        <v>595</v>
      </c>
      <c r="H1547" t="s">
        <v>569</v>
      </c>
      <c r="I1547" t="s">
        <v>11</v>
      </c>
      <c r="J1547" t="s">
        <v>596</v>
      </c>
      <c r="K1547" t="s">
        <v>597</v>
      </c>
      <c r="L1547" t="s">
        <v>572</v>
      </c>
      <c r="M1547">
        <v>47</v>
      </c>
      <c r="N1547" t="b">
        <v>0</v>
      </c>
      <c r="O1547">
        <v>0.80434782608695654</v>
      </c>
      <c r="P1547">
        <v>0.77731092436974791</v>
      </c>
      <c r="Q1547">
        <v>0.83333333333333337</v>
      </c>
      <c r="R1547" t="s">
        <v>60</v>
      </c>
      <c r="S1547" t="s">
        <v>3522</v>
      </c>
      <c r="T1547" t="s">
        <v>3523</v>
      </c>
      <c r="U1547" t="b">
        <v>1</v>
      </c>
      <c r="V1547" t="s">
        <v>63</v>
      </c>
      <c r="W1547">
        <v>1.4</v>
      </c>
    </row>
    <row r="1548" spans="1:23" hidden="1" x14ac:dyDescent="0.3">
      <c r="A1548" t="s">
        <v>2830</v>
      </c>
      <c r="B1548" t="s">
        <v>2831</v>
      </c>
      <c r="C1548" t="s">
        <v>29</v>
      </c>
      <c r="D1548" t="s">
        <v>22</v>
      </c>
      <c r="E1548" t="s">
        <v>23</v>
      </c>
      <c r="F1548" t="s">
        <v>363</v>
      </c>
      <c r="G1548" t="s">
        <v>600</v>
      </c>
      <c r="H1548" t="s">
        <v>569</v>
      </c>
      <c r="I1548" t="s">
        <v>11</v>
      </c>
      <c r="J1548" t="s">
        <v>601</v>
      </c>
      <c r="K1548" t="s">
        <v>602</v>
      </c>
      <c r="L1548" t="s">
        <v>572</v>
      </c>
      <c r="M1548">
        <v>48</v>
      </c>
      <c r="N1548" t="b">
        <v>0</v>
      </c>
      <c r="O1548">
        <v>0.82483370288248348</v>
      </c>
      <c r="P1548">
        <v>0.81222707423580787</v>
      </c>
      <c r="Q1548">
        <v>0.83783783783783783</v>
      </c>
      <c r="R1548" t="s">
        <v>60</v>
      </c>
      <c r="S1548" t="s">
        <v>3524</v>
      </c>
      <c r="T1548" t="s">
        <v>3525</v>
      </c>
      <c r="U1548" t="b">
        <v>1</v>
      </c>
      <c r="V1548" t="s">
        <v>63</v>
      </c>
      <c r="W1548">
        <v>1.8</v>
      </c>
    </row>
    <row r="1549" spans="1:23" hidden="1" x14ac:dyDescent="0.3">
      <c r="A1549" t="s">
        <v>2830</v>
      </c>
      <c r="B1549" t="s">
        <v>2831</v>
      </c>
      <c r="C1549" t="s">
        <v>29</v>
      </c>
      <c r="D1549" t="s">
        <v>22</v>
      </c>
      <c r="E1549" t="s">
        <v>23</v>
      </c>
      <c r="F1549" t="s">
        <v>363</v>
      </c>
      <c r="G1549" t="s">
        <v>605</v>
      </c>
      <c r="H1549" t="s">
        <v>569</v>
      </c>
      <c r="I1549" t="s">
        <v>11</v>
      </c>
      <c r="J1549" t="s">
        <v>606</v>
      </c>
      <c r="K1549" t="s">
        <v>607</v>
      </c>
      <c r="L1549" t="s">
        <v>572</v>
      </c>
      <c r="M1549">
        <v>49</v>
      </c>
      <c r="N1549" t="b">
        <v>0</v>
      </c>
      <c r="O1549">
        <v>0.84563758389261745</v>
      </c>
      <c r="P1549">
        <v>0.84</v>
      </c>
      <c r="Q1549">
        <v>0.85135135135135132</v>
      </c>
      <c r="R1549" t="s">
        <v>60</v>
      </c>
      <c r="S1549" t="s">
        <v>3526</v>
      </c>
      <c r="T1549" t="s">
        <v>3527</v>
      </c>
      <c r="U1549" t="b">
        <v>1</v>
      </c>
      <c r="V1549" t="s">
        <v>63</v>
      </c>
      <c r="W1549">
        <v>1.4</v>
      </c>
    </row>
    <row r="1550" spans="1:23" hidden="1" x14ac:dyDescent="0.3">
      <c r="A1550" t="s">
        <v>2830</v>
      </c>
      <c r="B1550" t="s">
        <v>2831</v>
      </c>
      <c r="C1550" t="s">
        <v>29</v>
      </c>
      <c r="D1550" t="s">
        <v>22</v>
      </c>
      <c r="E1550" t="s">
        <v>23</v>
      </c>
      <c r="F1550" t="s">
        <v>363</v>
      </c>
      <c r="G1550" t="s">
        <v>610</v>
      </c>
      <c r="H1550" t="s">
        <v>569</v>
      </c>
      <c r="I1550" t="s">
        <v>11</v>
      </c>
      <c r="J1550" t="s">
        <v>611</v>
      </c>
      <c r="K1550" t="s">
        <v>612</v>
      </c>
      <c r="L1550" t="s">
        <v>572</v>
      </c>
      <c r="M1550">
        <v>50</v>
      </c>
      <c r="N1550" t="b">
        <v>0</v>
      </c>
      <c r="O1550">
        <v>0.83111111111111113</v>
      </c>
      <c r="P1550">
        <v>0.82017543859649122</v>
      </c>
      <c r="Q1550">
        <v>0.84234234234234229</v>
      </c>
      <c r="R1550" t="s">
        <v>60</v>
      </c>
      <c r="S1550" t="s">
        <v>3528</v>
      </c>
      <c r="T1550" t="s">
        <v>3529</v>
      </c>
      <c r="U1550" t="b">
        <v>1</v>
      </c>
      <c r="V1550" t="s">
        <v>63</v>
      </c>
      <c r="W1550">
        <v>1.3</v>
      </c>
    </row>
    <row r="1551" spans="1:23" hidden="1" x14ac:dyDescent="0.3">
      <c r="A1551" t="s">
        <v>2830</v>
      </c>
      <c r="B1551" t="s">
        <v>2831</v>
      </c>
      <c r="C1551" t="s">
        <v>29</v>
      </c>
      <c r="D1551" t="s">
        <v>22</v>
      </c>
      <c r="E1551" t="s">
        <v>23</v>
      </c>
      <c r="F1551" t="s">
        <v>363</v>
      </c>
      <c r="G1551" t="s">
        <v>615</v>
      </c>
      <c r="H1551" t="s">
        <v>569</v>
      </c>
      <c r="I1551" t="s">
        <v>11</v>
      </c>
      <c r="J1551" t="s">
        <v>616</v>
      </c>
      <c r="K1551" t="s">
        <v>617</v>
      </c>
      <c r="L1551" t="s">
        <v>572</v>
      </c>
      <c r="M1551">
        <v>51</v>
      </c>
      <c r="N1551" t="b">
        <v>0</v>
      </c>
      <c r="O1551">
        <v>0.81876332622601278</v>
      </c>
      <c r="P1551">
        <v>0.77732793522267207</v>
      </c>
      <c r="Q1551">
        <v>0.86486486486486491</v>
      </c>
      <c r="R1551" t="s">
        <v>60</v>
      </c>
      <c r="S1551" t="s">
        <v>3530</v>
      </c>
      <c r="T1551" t="s">
        <v>3531</v>
      </c>
      <c r="U1551" t="b">
        <v>1</v>
      </c>
      <c r="V1551" t="s">
        <v>63</v>
      </c>
      <c r="W1551">
        <v>1.4</v>
      </c>
    </row>
    <row r="1552" spans="1:23" hidden="1" x14ac:dyDescent="0.3">
      <c r="A1552" t="s">
        <v>2830</v>
      </c>
      <c r="B1552" t="s">
        <v>2831</v>
      </c>
      <c r="C1552" t="s">
        <v>29</v>
      </c>
      <c r="D1552" t="s">
        <v>22</v>
      </c>
      <c r="E1552" t="s">
        <v>23</v>
      </c>
      <c r="F1552" t="s">
        <v>363</v>
      </c>
      <c r="G1552" t="s">
        <v>620</v>
      </c>
      <c r="H1552" t="s">
        <v>569</v>
      </c>
      <c r="I1552" t="s">
        <v>11</v>
      </c>
      <c r="J1552" t="s">
        <v>621</v>
      </c>
      <c r="K1552" t="s">
        <v>622</v>
      </c>
      <c r="L1552" t="s">
        <v>572</v>
      </c>
      <c r="M1552">
        <v>52</v>
      </c>
      <c r="N1552" t="b">
        <v>0</v>
      </c>
      <c r="O1552">
        <v>0.84444444444444455</v>
      </c>
      <c r="P1552">
        <v>0.83333333333333337</v>
      </c>
      <c r="Q1552">
        <v>0.85585585585585588</v>
      </c>
      <c r="R1552" t="s">
        <v>60</v>
      </c>
      <c r="S1552" t="s">
        <v>3532</v>
      </c>
      <c r="T1552" t="s">
        <v>3533</v>
      </c>
      <c r="U1552" t="b">
        <v>1</v>
      </c>
      <c r="V1552" t="s">
        <v>63</v>
      </c>
      <c r="W1552">
        <v>1.4</v>
      </c>
    </row>
    <row r="1553" spans="1:23" hidden="1" x14ac:dyDescent="0.3">
      <c r="A1553" t="s">
        <v>2830</v>
      </c>
      <c r="B1553" t="s">
        <v>2831</v>
      </c>
      <c r="C1553" t="s">
        <v>29</v>
      </c>
      <c r="D1553" t="s">
        <v>22</v>
      </c>
      <c r="E1553" t="s">
        <v>23</v>
      </c>
      <c r="F1553" t="s">
        <v>363</v>
      </c>
      <c r="G1553" t="s">
        <v>625</v>
      </c>
      <c r="H1553" t="s">
        <v>569</v>
      </c>
      <c r="I1553" t="s">
        <v>11</v>
      </c>
      <c r="J1553" t="s">
        <v>626</v>
      </c>
      <c r="K1553" t="s">
        <v>627</v>
      </c>
      <c r="L1553" t="s">
        <v>572</v>
      </c>
      <c r="M1553">
        <v>53</v>
      </c>
      <c r="N1553" t="b">
        <v>0</v>
      </c>
      <c r="O1553">
        <v>0.82197802197802183</v>
      </c>
      <c r="P1553">
        <v>0.80257510729613735</v>
      </c>
      <c r="Q1553">
        <v>0.84234234234234229</v>
      </c>
      <c r="R1553" t="s">
        <v>60</v>
      </c>
      <c r="S1553" t="s">
        <v>3534</v>
      </c>
      <c r="T1553" t="s">
        <v>3535</v>
      </c>
      <c r="U1553" t="b">
        <v>1</v>
      </c>
      <c r="V1553" t="s">
        <v>63</v>
      </c>
      <c r="W1553">
        <v>1.4</v>
      </c>
    </row>
    <row r="1554" spans="1:23" hidden="1" x14ac:dyDescent="0.3">
      <c r="A1554" t="s">
        <v>2830</v>
      </c>
      <c r="B1554" t="s">
        <v>2831</v>
      </c>
      <c r="C1554" t="s">
        <v>29</v>
      </c>
      <c r="D1554" t="s">
        <v>22</v>
      </c>
      <c r="E1554" t="s">
        <v>23</v>
      </c>
      <c r="F1554" t="s">
        <v>363</v>
      </c>
      <c r="G1554" t="s">
        <v>630</v>
      </c>
      <c r="H1554" t="s">
        <v>569</v>
      </c>
      <c r="I1554" t="s">
        <v>11</v>
      </c>
      <c r="J1554" t="s">
        <v>631</v>
      </c>
      <c r="K1554" t="s">
        <v>632</v>
      </c>
      <c r="L1554" t="s">
        <v>572</v>
      </c>
      <c r="M1554">
        <v>54</v>
      </c>
      <c r="N1554" t="b">
        <v>0</v>
      </c>
      <c r="O1554">
        <v>0.81758241758241768</v>
      </c>
      <c r="P1554">
        <v>0.79828326180257514</v>
      </c>
      <c r="Q1554">
        <v>0.83783783783783783</v>
      </c>
      <c r="R1554" t="s">
        <v>60</v>
      </c>
      <c r="S1554" t="s">
        <v>3536</v>
      </c>
      <c r="T1554" t="s">
        <v>3537</v>
      </c>
      <c r="U1554" t="b">
        <v>1</v>
      </c>
      <c r="V1554" t="s">
        <v>63</v>
      </c>
      <c r="W1554">
        <v>1.4</v>
      </c>
    </row>
    <row r="1555" spans="1:23" hidden="1" x14ac:dyDescent="0.3">
      <c r="A1555" t="s">
        <v>2830</v>
      </c>
      <c r="B1555" t="s">
        <v>2831</v>
      </c>
      <c r="C1555" t="s">
        <v>29</v>
      </c>
      <c r="D1555" t="s">
        <v>22</v>
      </c>
      <c r="E1555" t="s">
        <v>23</v>
      </c>
      <c r="F1555" t="s">
        <v>363</v>
      </c>
      <c r="G1555" t="s">
        <v>635</v>
      </c>
      <c r="H1555" t="s">
        <v>569</v>
      </c>
      <c r="I1555" t="s">
        <v>11</v>
      </c>
      <c r="J1555" t="s">
        <v>636</v>
      </c>
      <c r="K1555" t="s">
        <v>637</v>
      </c>
      <c r="L1555" t="s">
        <v>572</v>
      </c>
      <c r="M1555">
        <v>55</v>
      </c>
      <c r="N1555" t="b">
        <v>0</v>
      </c>
      <c r="O1555">
        <v>0.85011185682326629</v>
      </c>
      <c r="P1555">
        <v>0.84444444444444444</v>
      </c>
      <c r="Q1555">
        <v>0.85585585585585588</v>
      </c>
      <c r="R1555" t="s">
        <v>60</v>
      </c>
      <c r="S1555" t="s">
        <v>3538</v>
      </c>
      <c r="T1555" t="s">
        <v>3539</v>
      </c>
      <c r="U1555" t="b">
        <v>1</v>
      </c>
      <c r="V1555" t="s">
        <v>63</v>
      </c>
      <c r="W1555">
        <v>1.7</v>
      </c>
    </row>
    <row r="1556" spans="1:23" hidden="1" x14ac:dyDescent="0.3">
      <c r="A1556" t="s">
        <v>2830</v>
      </c>
      <c r="B1556" t="s">
        <v>2831</v>
      </c>
      <c r="C1556" t="s">
        <v>29</v>
      </c>
      <c r="D1556" t="s">
        <v>22</v>
      </c>
      <c r="E1556" t="s">
        <v>23</v>
      </c>
      <c r="F1556" t="s">
        <v>363</v>
      </c>
      <c r="G1556" t="s">
        <v>640</v>
      </c>
      <c r="H1556" t="s">
        <v>569</v>
      </c>
      <c r="I1556" t="s">
        <v>11</v>
      </c>
      <c r="J1556" t="s">
        <v>641</v>
      </c>
      <c r="K1556" t="s">
        <v>642</v>
      </c>
      <c r="L1556" t="s">
        <v>572</v>
      </c>
      <c r="M1556">
        <v>56</v>
      </c>
      <c r="N1556" t="b">
        <v>0</v>
      </c>
      <c r="O1556">
        <v>0.82483370288248348</v>
      </c>
      <c r="P1556">
        <v>0.81222707423580787</v>
      </c>
      <c r="Q1556">
        <v>0.83783783783783783</v>
      </c>
      <c r="R1556" t="s">
        <v>60</v>
      </c>
      <c r="S1556" t="s">
        <v>3540</v>
      </c>
      <c r="T1556" t="s">
        <v>3541</v>
      </c>
      <c r="U1556" t="b">
        <v>1</v>
      </c>
      <c r="V1556" t="s">
        <v>63</v>
      </c>
      <c r="W1556">
        <v>1.6</v>
      </c>
    </row>
    <row r="1557" spans="1:23" hidden="1" x14ac:dyDescent="0.3">
      <c r="A1557" t="s">
        <v>2830</v>
      </c>
      <c r="B1557" t="s">
        <v>2831</v>
      </c>
      <c r="C1557" t="s">
        <v>29</v>
      </c>
      <c r="D1557" t="s">
        <v>22</v>
      </c>
      <c r="E1557" t="s">
        <v>23</v>
      </c>
      <c r="F1557" t="s">
        <v>363</v>
      </c>
      <c r="G1557" t="s">
        <v>645</v>
      </c>
      <c r="H1557" t="s">
        <v>569</v>
      </c>
      <c r="I1557" t="s">
        <v>11</v>
      </c>
      <c r="J1557" t="s">
        <v>646</v>
      </c>
      <c r="K1557" t="s">
        <v>647</v>
      </c>
      <c r="L1557" t="s">
        <v>572</v>
      </c>
      <c r="M1557">
        <v>57</v>
      </c>
      <c r="N1557" t="b">
        <v>0</v>
      </c>
      <c r="O1557">
        <v>0.81758241758241768</v>
      </c>
      <c r="P1557">
        <v>0.79828326180257514</v>
      </c>
      <c r="Q1557">
        <v>0.83783783783783783</v>
      </c>
      <c r="R1557" t="s">
        <v>60</v>
      </c>
      <c r="S1557" t="s">
        <v>3542</v>
      </c>
      <c r="T1557" t="s">
        <v>3543</v>
      </c>
      <c r="U1557" t="b">
        <v>1</v>
      </c>
      <c r="V1557" t="s">
        <v>63</v>
      </c>
      <c r="W1557">
        <v>1.4</v>
      </c>
    </row>
    <row r="1558" spans="1:23" hidden="1" x14ac:dyDescent="0.3">
      <c r="A1558" t="s">
        <v>2830</v>
      </c>
      <c r="B1558" t="s">
        <v>2831</v>
      </c>
      <c r="C1558" t="s">
        <v>29</v>
      </c>
      <c r="D1558" t="s">
        <v>22</v>
      </c>
      <c r="E1558" t="s">
        <v>23</v>
      </c>
      <c r="F1558" t="s">
        <v>363</v>
      </c>
      <c r="G1558" t="s">
        <v>650</v>
      </c>
      <c r="H1558" t="s">
        <v>569</v>
      </c>
      <c r="I1558" t="s">
        <v>11</v>
      </c>
      <c r="J1558" t="s">
        <v>651</v>
      </c>
      <c r="K1558" t="s">
        <v>652</v>
      </c>
      <c r="L1558" t="s">
        <v>572</v>
      </c>
      <c r="M1558">
        <v>58</v>
      </c>
      <c r="N1558" t="b">
        <v>0</v>
      </c>
      <c r="O1558">
        <v>0.80973451327433632</v>
      </c>
      <c r="P1558">
        <v>0.79565217391304344</v>
      </c>
      <c r="Q1558">
        <v>0.82432432432432434</v>
      </c>
      <c r="R1558" t="s">
        <v>60</v>
      </c>
      <c r="S1558" t="s">
        <v>3544</v>
      </c>
      <c r="T1558" t="s">
        <v>3545</v>
      </c>
      <c r="U1558" t="b">
        <v>1</v>
      </c>
      <c r="V1558" t="s">
        <v>63</v>
      </c>
      <c r="W1558">
        <v>1.4</v>
      </c>
    </row>
    <row r="1559" spans="1:23" hidden="1" x14ac:dyDescent="0.3">
      <c r="A1559" t="s">
        <v>2830</v>
      </c>
      <c r="B1559" t="s">
        <v>2831</v>
      </c>
      <c r="C1559" t="s">
        <v>29</v>
      </c>
      <c r="D1559" t="s">
        <v>22</v>
      </c>
      <c r="E1559" t="s">
        <v>23</v>
      </c>
      <c r="F1559" t="s">
        <v>363</v>
      </c>
      <c r="G1559" t="s">
        <v>655</v>
      </c>
      <c r="H1559" t="s">
        <v>569</v>
      </c>
      <c r="I1559" t="s">
        <v>11</v>
      </c>
      <c r="J1559" t="s">
        <v>656</v>
      </c>
      <c r="K1559" t="s">
        <v>657</v>
      </c>
      <c r="L1559" t="s">
        <v>572</v>
      </c>
      <c r="M1559">
        <v>59</v>
      </c>
      <c r="N1559" t="b">
        <v>0</v>
      </c>
      <c r="O1559">
        <v>0.84070796460176989</v>
      </c>
      <c r="P1559">
        <v>0.82608695652173914</v>
      </c>
      <c r="Q1559">
        <v>0.85585585585585588</v>
      </c>
      <c r="R1559" t="s">
        <v>60</v>
      </c>
      <c r="S1559" t="s">
        <v>3546</v>
      </c>
      <c r="T1559" t="s">
        <v>3545</v>
      </c>
      <c r="U1559" t="b">
        <v>1</v>
      </c>
      <c r="V1559" t="s">
        <v>63</v>
      </c>
      <c r="W1559">
        <v>0.8</v>
      </c>
    </row>
    <row r="1560" spans="1:23" hidden="1" x14ac:dyDescent="0.3">
      <c r="A1560" t="s">
        <v>2830</v>
      </c>
      <c r="B1560" t="s">
        <v>2831</v>
      </c>
      <c r="C1560" t="s">
        <v>29</v>
      </c>
      <c r="D1560" t="s">
        <v>22</v>
      </c>
      <c r="E1560" t="s">
        <v>23</v>
      </c>
      <c r="F1560" t="s">
        <v>363</v>
      </c>
      <c r="G1560" t="s">
        <v>660</v>
      </c>
      <c r="H1560" t="s">
        <v>569</v>
      </c>
      <c r="I1560" t="s">
        <v>11</v>
      </c>
      <c r="J1560" t="s">
        <v>661</v>
      </c>
      <c r="K1560" t="s">
        <v>662</v>
      </c>
      <c r="L1560" t="s">
        <v>572</v>
      </c>
      <c r="M1560">
        <v>60</v>
      </c>
      <c r="N1560" t="b">
        <v>0</v>
      </c>
      <c r="O1560">
        <v>0.82819383259911894</v>
      </c>
      <c r="P1560">
        <v>0.81034482758620685</v>
      </c>
      <c r="Q1560">
        <v>0.84684684684684686</v>
      </c>
      <c r="R1560" t="s">
        <v>60</v>
      </c>
      <c r="S1560" t="s">
        <v>3547</v>
      </c>
      <c r="T1560" t="s">
        <v>3548</v>
      </c>
      <c r="U1560" t="b">
        <v>1</v>
      </c>
      <c r="V1560" t="s">
        <v>63</v>
      </c>
      <c r="W1560">
        <v>0.8</v>
      </c>
    </row>
    <row r="1561" spans="1:23" hidden="1" x14ac:dyDescent="0.3">
      <c r="A1561" t="s">
        <v>2830</v>
      </c>
      <c r="B1561" t="s">
        <v>2831</v>
      </c>
      <c r="C1561" t="s">
        <v>29</v>
      </c>
      <c r="D1561" t="s">
        <v>22</v>
      </c>
      <c r="E1561" t="s">
        <v>23</v>
      </c>
      <c r="F1561" t="s">
        <v>363</v>
      </c>
      <c r="G1561" t="s">
        <v>665</v>
      </c>
      <c r="H1561" t="s">
        <v>569</v>
      </c>
      <c r="I1561" t="s">
        <v>11</v>
      </c>
      <c r="J1561" t="s">
        <v>666</v>
      </c>
      <c r="K1561" t="s">
        <v>667</v>
      </c>
      <c r="L1561" t="s">
        <v>572</v>
      </c>
      <c r="M1561">
        <v>61</v>
      </c>
      <c r="N1561" t="b">
        <v>0</v>
      </c>
      <c r="O1561">
        <v>0.84210526315789469</v>
      </c>
      <c r="P1561">
        <v>0.82051282051282048</v>
      </c>
      <c r="Q1561">
        <v>0.86486486486486491</v>
      </c>
      <c r="R1561" t="s">
        <v>60</v>
      </c>
      <c r="S1561" t="s">
        <v>3549</v>
      </c>
      <c r="T1561" t="s">
        <v>3550</v>
      </c>
      <c r="U1561" t="b">
        <v>1</v>
      </c>
      <c r="V1561" t="s">
        <v>63</v>
      </c>
      <c r="W1561">
        <v>1.2</v>
      </c>
    </row>
    <row r="1562" spans="1:23" hidden="1" x14ac:dyDescent="0.3">
      <c r="A1562" t="s">
        <v>2830</v>
      </c>
      <c r="B1562" t="s">
        <v>2831</v>
      </c>
      <c r="C1562" t="s">
        <v>29</v>
      </c>
      <c r="D1562" t="s">
        <v>24</v>
      </c>
      <c r="E1562" t="s">
        <v>25</v>
      </c>
      <c r="F1562" t="s">
        <v>54</v>
      </c>
      <c r="G1562" t="s">
        <v>55</v>
      </c>
      <c r="H1562" t="s">
        <v>56</v>
      </c>
      <c r="I1562" t="s">
        <v>7</v>
      </c>
      <c r="J1562" t="s">
        <v>57</v>
      </c>
      <c r="K1562" t="s">
        <v>58</v>
      </c>
      <c r="L1562" t="s">
        <v>59</v>
      </c>
      <c r="M1562">
        <v>42</v>
      </c>
      <c r="N1562" t="b">
        <v>1</v>
      </c>
      <c r="O1562">
        <v>0.77542372881355937</v>
      </c>
      <c r="P1562">
        <v>0.75619834710743805</v>
      </c>
      <c r="Q1562">
        <v>0.79565217391304344</v>
      </c>
      <c r="R1562" t="s">
        <v>60</v>
      </c>
      <c r="S1562" t="s">
        <v>3551</v>
      </c>
      <c r="T1562" t="s">
        <v>3552</v>
      </c>
      <c r="U1562" t="b">
        <v>1</v>
      </c>
      <c r="V1562" t="s">
        <v>63</v>
      </c>
      <c r="W1562">
        <v>5.8</v>
      </c>
    </row>
    <row r="1563" spans="1:23" hidden="1" x14ac:dyDescent="0.3">
      <c r="A1563" t="s">
        <v>2830</v>
      </c>
      <c r="B1563" t="s">
        <v>2831</v>
      </c>
      <c r="C1563" t="s">
        <v>29</v>
      </c>
      <c r="D1563" t="s">
        <v>24</v>
      </c>
      <c r="E1563" t="s">
        <v>25</v>
      </c>
      <c r="F1563" t="s">
        <v>54</v>
      </c>
      <c r="G1563" t="s">
        <v>64</v>
      </c>
      <c r="H1563" t="s">
        <v>56</v>
      </c>
      <c r="I1563" t="s">
        <v>7</v>
      </c>
      <c r="J1563" t="s">
        <v>65</v>
      </c>
      <c r="K1563" t="s">
        <v>66</v>
      </c>
      <c r="L1563" t="s">
        <v>59</v>
      </c>
      <c r="M1563">
        <v>43</v>
      </c>
      <c r="N1563" t="b">
        <v>1</v>
      </c>
      <c r="O1563">
        <v>0.75368421052631573</v>
      </c>
      <c r="P1563">
        <v>0.73061224489795917</v>
      </c>
      <c r="Q1563">
        <v>0.77826086956521734</v>
      </c>
      <c r="R1563" t="s">
        <v>60</v>
      </c>
      <c r="S1563" t="s">
        <v>3553</v>
      </c>
      <c r="T1563" t="s">
        <v>3554</v>
      </c>
      <c r="U1563" t="b">
        <v>1</v>
      </c>
      <c r="V1563" t="s">
        <v>63</v>
      </c>
      <c r="W1563">
        <v>2.9</v>
      </c>
    </row>
    <row r="1564" spans="1:23" hidden="1" x14ac:dyDescent="0.3">
      <c r="A1564" t="s">
        <v>2830</v>
      </c>
      <c r="B1564" t="s">
        <v>2831</v>
      </c>
      <c r="C1564" t="s">
        <v>29</v>
      </c>
      <c r="D1564" t="s">
        <v>24</v>
      </c>
      <c r="E1564" t="s">
        <v>25</v>
      </c>
      <c r="F1564" t="s">
        <v>54</v>
      </c>
      <c r="G1564" t="s">
        <v>69</v>
      </c>
      <c r="H1564" t="s">
        <v>56</v>
      </c>
      <c r="I1564" t="s">
        <v>7</v>
      </c>
      <c r="J1564" t="s">
        <v>70</v>
      </c>
      <c r="K1564" t="s">
        <v>71</v>
      </c>
      <c r="L1564" t="s">
        <v>59</v>
      </c>
      <c r="M1564">
        <v>44</v>
      </c>
      <c r="N1564" t="b">
        <v>1</v>
      </c>
      <c r="O1564">
        <v>0.7526427061310782</v>
      </c>
      <c r="P1564">
        <v>0.73251028806584362</v>
      </c>
      <c r="Q1564">
        <v>0.77391304347826084</v>
      </c>
      <c r="R1564" t="s">
        <v>60</v>
      </c>
      <c r="S1564" t="s">
        <v>3555</v>
      </c>
      <c r="T1564" t="s">
        <v>3556</v>
      </c>
      <c r="U1564" t="b">
        <v>1</v>
      </c>
      <c r="V1564" t="s">
        <v>63</v>
      </c>
      <c r="W1564">
        <v>2.5</v>
      </c>
    </row>
    <row r="1565" spans="1:23" hidden="1" x14ac:dyDescent="0.3">
      <c r="A1565" t="s">
        <v>2830</v>
      </c>
      <c r="B1565" t="s">
        <v>2831</v>
      </c>
      <c r="C1565" t="s">
        <v>29</v>
      </c>
      <c r="D1565" t="s">
        <v>24</v>
      </c>
      <c r="E1565" t="s">
        <v>25</v>
      </c>
      <c r="F1565" t="s">
        <v>54</v>
      </c>
      <c r="G1565" t="s">
        <v>74</v>
      </c>
      <c r="H1565" t="s">
        <v>56</v>
      </c>
      <c r="I1565" t="s">
        <v>7</v>
      </c>
      <c r="J1565" t="s">
        <v>75</v>
      </c>
      <c r="K1565" t="s">
        <v>76</v>
      </c>
      <c r="L1565" t="s">
        <v>59</v>
      </c>
      <c r="M1565">
        <v>45</v>
      </c>
      <c r="N1565" t="b">
        <v>1</v>
      </c>
      <c r="O1565">
        <v>0.75675675675675669</v>
      </c>
      <c r="P1565">
        <v>0.72509960159362552</v>
      </c>
      <c r="Q1565">
        <v>0.79130434782608694</v>
      </c>
      <c r="R1565" t="s">
        <v>60</v>
      </c>
      <c r="S1565" t="s">
        <v>3557</v>
      </c>
      <c r="T1565" t="s">
        <v>3558</v>
      </c>
      <c r="U1565" t="b">
        <v>1</v>
      </c>
      <c r="V1565" t="s">
        <v>63</v>
      </c>
      <c r="W1565">
        <v>1.9</v>
      </c>
    </row>
    <row r="1566" spans="1:23" hidden="1" x14ac:dyDescent="0.3">
      <c r="A1566" t="s">
        <v>2830</v>
      </c>
      <c r="B1566" t="s">
        <v>2831</v>
      </c>
      <c r="C1566" t="s">
        <v>29</v>
      </c>
      <c r="D1566" t="s">
        <v>24</v>
      </c>
      <c r="E1566" t="s">
        <v>25</v>
      </c>
      <c r="F1566" t="s">
        <v>54</v>
      </c>
      <c r="G1566" t="s">
        <v>79</v>
      </c>
      <c r="H1566" t="s">
        <v>56</v>
      </c>
      <c r="I1566" t="s">
        <v>7</v>
      </c>
      <c r="J1566" t="s">
        <v>80</v>
      </c>
      <c r="K1566" t="s">
        <v>81</v>
      </c>
      <c r="L1566" t="s">
        <v>59</v>
      </c>
      <c r="M1566">
        <v>46</v>
      </c>
      <c r="N1566" t="b">
        <v>1</v>
      </c>
      <c r="O1566">
        <v>0.75630252100840334</v>
      </c>
      <c r="P1566">
        <v>0.73170731707317072</v>
      </c>
      <c r="Q1566">
        <v>0.78260869565217395</v>
      </c>
      <c r="R1566" t="s">
        <v>60</v>
      </c>
      <c r="S1566" t="s">
        <v>3559</v>
      </c>
      <c r="T1566" t="s">
        <v>3560</v>
      </c>
      <c r="U1566" t="b">
        <v>1</v>
      </c>
      <c r="V1566" t="s">
        <v>63</v>
      </c>
      <c r="W1566">
        <v>1.9</v>
      </c>
    </row>
    <row r="1567" spans="1:23" hidden="1" x14ac:dyDescent="0.3">
      <c r="A1567" t="s">
        <v>2830</v>
      </c>
      <c r="B1567" t="s">
        <v>2831</v>
      </c>
      <c r="C1567" t="s">
        <v>29</v>
      </c>
      <c r="D1567" t="s">
        <v>24</v>
      </c>
      <c r="E1567" t="s">
        <v>25</v>
      </c>
      <c r="F1567" t="s">
        <v>54</v>
      </c>
      <c r="G1567" t="s">
        <v>84</v>
      </c>
      <c r="H1567" t="s">
        <v>56</v>
      </c>
      <c r="I1567" t="s">
        <v>7</v>
      </c>
      <c r="J1567" t="s">
        <v>85</v>
      </c>
      <c r="K1567" t="s">
        <v>86</v>
      </c>
      <c r="L1567" t="s">
        <v>59</v>
      </c>
      <c r="M1567">
        <v>47</v>
      </c>
      <c r="N1567" t="b">
        <v>1</v>
      </c>
      <c r="O1567">
        <v>0.74526315789473685</v>
      </c>
      <c r="P1567">
        <v>0.72244897959183674</v>
      </c>
      <c r="Q1567">
        <v>0.76956521739130435</v>
      </c>
      <c r="R1567" t="s">
        <v>60</v>
      </c>
      <c r="S1567" t="s">
        <v>3561</v>
      </c>
      <c r="T1567" t="s">
        <v>3562</v>
      </c>
      <c r="U1567" t="b">
        <v>1</v>
      </c>
      <c r="V1567" t="s">
        <v>63</v>
      </c>
      <c r="W1567">
        <v>2.2999999999999998</v>
      </c>
    </row>
    <row r="1568" spans="1:23" hidden="1" x14ac:dyDescent="0.3">
      <c r="A1568" t="s">
        <v>2830</v>
      </c>
      <c r="B1568" t="s">
        <v>2831</v>
      </c>
      <c r="C1568" t="s">
        <v>29</v>
      </c>
      <c r="D1568" t="s">
        <v>24</v>
      </c>
      <c r="E1568" t="s">
        <v>25</v>
      </c>
      <c r="F1568" t="s">
        <v>54</v>
      </c>
      <c r="G1568" t="s">
        <v>89</v>
      </c>
      <c r="H1568" t="s">
        <v>56</v>
      </c>
      <c r="I1568" t="s">
        <v>7</v>
      </c>
      <c r="J1568" t="s">
        <v>90</v>
      </c>
      <c r="K1568" t="s">
        <v>91</v>
      </c>
      <c r="L1568" t="s">
        <v>59</v>
      </c>
      <c r="M1568">
        <v>48</v>
      </c>
      <c r="N1568" t="b">
        <v>1</v>
      </c>
      <c r="O1568">
        <v>0.7531380753138075</v>
      </c>
      <c r="P1568">
        <v>0.72580645161290325</v>
      </c>
      <c r="Q1568">
        <v>0.78260869565217395</v>
      </c>
      <c r="R1568" t="s">
        <v>60</v>
      </c>
      <c r="S1568" t="s">
        <v>3563</v>
      </c>
      <c r="T1568" t="s">
        <v>3564</v>
      </c>
      <c r="U1568" t="b">
        <v>1</v>
      </c>
      <c r="V1568" t="s">
        <v>63</v>
      </c>
      <c r="W1568">
        <v>1.9</v>
      </c>
    </row>
    <row r="1569" spans="1:23" hidden="1" x14ac:dyDescent="0.3">
      <c r="A1569" t="s">
        <v>2830</v>
      </c>
      <c r="B1569" t="s">
        <v>2831</v>
      </c>
      <c r="C1569" t="s">
        <v>29</v>
      </c>
      <c r="D1569" t="s">
        <v>24</v>
      </c>
      <c r="E1569" t="s">
        <v>25</v>
      </c>
      <c r="F1569" t="s">
        <v>54</v>
      </c>
      <c r="G1569" t="s">
        <v>94</v>
      </c>
      <c r="H1569" t="s">
        <v>56</v>
      </c>
      <c r="I1569" t="s">
        <v>7</v>
      </c>
      <c r="J1569" t="s">
        <v>95</v>
      </c>
      <c r="K1569" t="s">
        <v>96</v>
      </c>
      <c r="L1569" t="s">
        <v>59</v>
      </c>
      <c r="M1569">
        <v>49</v>
      </c>
      <c r="N1569" t="b">
        <v>1</v>
      </c>
      <c r="O1569">
        <v>0.73553719008264451</v>
      </c>
      <c r="P1569">
        <v>0.70078740157480313</v>
      </c>
      <c r="Q1569">
        <v>0.77391304347826084</v>
      </c>
      <c r="R1569" t="s">
        <v>60</v>
      </c>
      <c r="S1569" t="s">
        <v>3565</v>
      </c>
      <c r="T1569" t="s">
        <v>3566</v>
      </c>
      <c r="U1569" t="b">
        <v>1</v>
      </c>
      <c r="V1569" t="s">
        <v>63</v>
      </c>
      <c r="W1569">
        <v>2.1</v>
      </c>
    </row>
    <row r="1570" spans="1:23" hidden="1" x14ac:dyDescent="0.3">
      <c r="A1570" t="s">
        <v>2830</v>
      </c>
      <c r="B1570" t="s">
        <v>2831</v>
      </c>
      <c r="C1570" t="s">
        <v>29</v>
      </c>
      <c r="D1570" t="s">
        <v>24</v>
      </c>
      <c r="E1570" t="s">
        <v>25</v>
      </c>
      <c r="F1570" t="s">
        <v>54</v>
      </c>
      <c r="G1570" t="s">
        <v>99</v>
      </c>
      <c r="H1570" t="s">
        <v>56</v>
      </c>
      <c r="I1570" t="s">
        <v>7</v>
      </c>
      <c r="J1570" t="s">
        <v>100</v>
      </c>
      <c r="K1570" t="s">
        <v>101</v>
      </c>
      <c r="L1570" t="s">
        <v>59</v>
      </c>
      <c r="M1570">
        <v>50</v>
      </c>
      <c r="N1570" t="b">
        <v>1</v>
      </c>
      <c r="O1570">
        <v>0.74947368421052629</v>
      </c>
      <c r="P1570">
        <v>0.72653061224489801</v>
      </c>
      <c r="Q1570">
        <v>0.77391304347826084</v>
      </c>
      <c r="R1570" t="s">
        <v>60</v>
      </c>
      <c r="S1570" t="s">
        <v>3567</v>
      </c>
      <c r="T1570" t="s">
        <v>3568</v>
      </c>
      <c r="U1570" t="b">
        <v>1</v>
      </c>
      <c r="V1570" t="s">
        <v>63</v>
      </c>
      <c r="W1570">
        <v>2.2999999999999998</v>
      </c>
    </row>
    <row r="1571" spans="1:23" hidden="1" x14ac:dyDescent="0.3">
      <c r="A1571" t="s">
        <v>2830</v>
      </c>
      <c r="B1571" t="s">
        <v>2831</v>
      </c>
      <c r="C1571" t="s">
        <v>29</v>
      </c>
      <c r="D1571" t="s">
        <v>24</v>
      </c>
      <c r="E1571" t="s">
        <v>25</v>
      </c>
      <c r="F1571" t="s">
        <v>54</v>
      </c>
      <c r="G1571" t="s">
        <v>104</v>
      </c>
      <c r="H1571" t="s">
        <v>56</v>
      </c>
      <c r="I1571" t="s">
        <v>7</v>
      </c>
      <c r="J1571" t="s">
        <v>105</v>
      </c>
      <c r="K1571" t="s">
        <v>106</v>
      </c>
      <c r="L1571" t="s">
        <v>59</v>
      </c>
      <c r="M1571">
        <v>51</v>
      </c>
      <c r="N1571" t="b">
        <v>1</v>
      </c>
      <c r="O1571">
        <v>0.7463917525773196</v>
      </c>
      <c r="P1571">
        <v>0.70980392156862748</v>
      </c>
      <c r="Q1571">
        <v>0.78695652173913044</v>
      </c>
      <c r="R1571" t="s">
        <v>60</v>
      </c>
      <c r="S1571" t="s">
        <v>3569</v>
      </c>
      <c r="T1571" t="s">
        <v>3570</v>
      </c>
      <c r="U1571" t="b">
        <v>1</v>
      </c>
      <c r="V1571" t="s">
        <v>63</v>
      </c>
      <c r="W1571">
        <v>2.1</v>
      </c>
    </row>
    <row r="1572" spans="1:23" hidden="1" x14ac:dyDescent="0.3">
      <c r="A1572" t="s">
        <v>2830</v>
      </c>
      <c r="B1572" t="s">
        <v>2831</v>
      </c>
      <c r="C1572" t="s">
        <v>29</v>
      </c>
      <c r="D1572" t="s">
        <v>24</v>
      </c>
      <c r="E1572" t="s">
        <v>25</v>
      </c>
      <c r="F1572" t="s">
        <v>54</v>
      </c>
      <c r="G1572" t="s">
        <v>109</v>
      </c>
      <c r="H1572" t="s">
        <v>56</v>
      </c>
      <c r="I1572" t="s">
        <v>7</v>
      </c>
      <c r="J1572" t="s">
        <v>110</v>
      </c>
      <c r="K1572" t="s">
        <v>111</v>
      </c>
      <c r="L1572" t="s">
        <v>59</v>
      </c>
      <c r="M1572">
        <v>52</v>
      </c>
      <c r="N1572" t="b">
        <v>1</v>
      </c>
      <c r="O1572">
        <v>0.76050420168067223</v>
      </c>
      <c r="P1572">
        <v>0.73577235772357719</v>
      </c>
      <c r="Q1572">
        <v>0.78695652173913044</v>
      </c>
      <c r="R1572" t="s">
        <v>60</v>
      </c>
      <c r="S1572" t="s">
        <v>3571</v>
      </c>
      <c r="T1572" t="s">
        <v>3572</v>
      </c>
      <c r="U1572" t="b">
        <v>1</v>
      </c>
      <c r="V1572" t="s">
        <v>63</v>
      </c>
      <c r="W1572">
        <v>1.9</v>
      </c>
    </row>
    <row r="1573" spans="1:23" hidden="1" x14ac:dyDescent="0.3">
      <c r="A1573" t="s">
        <v>2830</v>
      </c>
      <c r="B1573" t="s">
        <v>2831</v>
      </c>
      <c r="C1573" t="s">
        <v>29</v>
      </c>
      <c r="D1573" t="s">
        <v>24</v>
      </c>
      <c r="E1573" t="s">
        <v>25</v>
      </c>
      <c r="F1573" t="s">
        <v>54</v>
      </c>
      <c r="G1573" t="s">
        <v>114</v>
      </c>
      <c r="H1573" t="s">
        <v>56</v>
      </c>
      <c r="I1573" t="s">
        <v>7</v>
      </c>
      <c r="J1573" t="s">
        <v>115</v>
      </c>
      <c r="K1573" t="s">
        <v>116</v>
      </c>
      <c r="L1573" t="s">
        <v>59</v>
      </c>
      <c r="M1573">
        <v>53</v>
      </c>
      <c r="N1573" t="b">
        <v>1</v>
      </c>
      <c r="O1573">
        <v>0.77731092436974802</v>
      </c>
      <c r="P1573">
        <v>0.75203252032520329</v>
      </c>
      <c r="Q1573">
        <v>0.80434782608695654</v>
      </c>
      <c r="R1573" t="s">
        <v>60</v>
      </c>
      <c r="S1573" t="s">
        <v>3573</v>
      </c>
      <c r="T1573" t="s">
        <v>3574</v>
      </c>
      <c r="U1573" t="b">
        <v>1</v>
      </c>
      <c r="V1573" t="s">
        <v>63</v>
      </c>
      <c r="W1573">
        <v>1.9</v>
      </c>
    </row>
    <row r="1574" spans="1:23" hidden="1" x14ac:dyDescent="0.3">
      <c r="A1574" t="s">
        <v>2830</v>
      </c>
      <c r="B1574" t="s">
        <v>2831</v>
      </c>
      <c r="C1574" t="s">
        <v>29</v>
      </c>
      <c r="D1574" t="s">
        <v>24</v>
      </c>
      <c r="E1574" t="s">
        <v>25</v>
      </c>
      <c r="F1574" t="s">
        <v>54</v>
      </c>
      <c r="G1574" t="s">
        <v>119</v>
      </c>
      <c r="H1574" t="s">
        <v>56</v>
      </c>
      <c r="I1574" t="s">
        <v>7</v>
      </c>
      <c r="J1574" t="s">
        <v>120</v>
      </c>
      <c r="K1574" t="s">
        <v>121</v>
      </c>
      <c r="L1574" t="s">
        <v>59</v>
      </c>
      <c r="M1574">
        <v>54</v>
      </c>
      <c r="N1574" t="b">
        <v>1</v>
      </c>
      <c r="O1574">
        <v>0.7337526205450734</v>
      </c>
      <c r="P1574">
        <v>0.708502024291498</v>
      </c>
      <c r="Q1574">
        <v>0.76086956521739135</v>
      </c>
      <c r="R1574" t="s">
        <v>60</v>
      </c>
      <c r="S1574" t="s">
        <v>3575</v>
      </c>
      <c r="T1574" t="s">
        <v>3576</v>
      </c>
      <c r="U1574" t="b">
        <v>1</v>
      </c>
      <c r="V1574" t="s">
        <v>63</v>
      </c>
      <c r="W1574">
        <v>2.2000000000000002</v>
      </c>
    </row>
    <row r="1575" spans="1:23" hidden="1" x14ac:dyDescent="0.3">
      <c r="A1575" t="s">
        <v>2830</v>
      </c>
      <c r="B1575" t="s">
        <v>2831</v>
      </c>
      <c r="C1575" t="s">
        <v>29</v>
      </c>
      <c r="D1575" t="s">
        <v>24</v>
      </c>
      <c r="E1575" t="s">
        <v>25</v>
      </c>
      <c r="F1575" t="s">
        <v>54</v>
      </c>
      <c r="G1575" t="s">
        <v>124</v>
      </c>
      <c r="H1575" t="s">
        <v>56</v>
      </c>
      <c r="I1575" t="s">
        <v>7</v>
      </c>
      <c r="J1575" t="s">
        <v>125</v>
      </c>
      <c r="K1575" t="s">
        <v>126</v>
      </c>
      <c r="L1575" t="s">
        <v>59</v>
      </c>
      <c r="M1575">
        <v>55</v>
      </c>
      <c r="N1575" t="b">
        <v>1</v>
      </c>
      <c r="O1575">
        <v>0.75641025641025639</v>
      </c>
      <c r="P1575">
        <v>0.74369747899159666</v>
      </c>
      <c r="Q1575">
        <v>0.76956521739130435</v>
      </c>
      <c r="R1575" t="s">
        <v>60</v>
      </c>
      <c r="S1575" t="s">
        <v>3577</v>
      </c>
      <c r="T1575" t="s">
        <v>3578</v>
      </c>
      <c r="U1575" t="b">
        <v>1</v>
      </c>
      <c r="V1575" t="s">
        <v>63</v>
      </c>
      <c r="W1575">
        <v>1.9</v>
      </c>
    </row>
    <row r="1576" spans="1:23" hidden="1" x14ac:dyDescent="0.3">
      <c r="A1576" t="s">
        <v>2830</v>
      </c>
      <c r="B1576" t="s">
        <v>2831</v>
      </c>
      <c r="C1576" t="s">
        <v>29</v>
      </c>
      <c r="D1576" t="s">
        <v>24</v>
      </c>
      <c r="E1576" t="s">
        <v>25</v>
      </c>
      <c r="F1576" t="s">
        <v>54</v>
      </c>
      <c r="G1576" t="s">
        <v>129</v>
      </c>
      <c r="H1576" t="s">
        <v>56</v>
      </c>
      <c r="I1576" t="s">
        <v>7</v>
      </c>
      <c r="J1576" t="s">
        <v>130</v>
      </c>
      <c r="K1576" t="s">
        <v>131</v>
      </c>
      <c r="L1576" t="s">
        <v>59</v>
      </c>
      <c r="M1576">
        <v>56</v>
      </c>
      <c r="N1576" t="b">
        <v>1</v>
      </c>
      <c r="O1576">
        <v>0.75619834710743794</v>
      </c>
      <c r="P1576">
        <v>0.72047244094488194</v>
      </c>
      <c r="Q1576">
        <v>0.79565217391304344</v>
      </c>
      <c r="R1576" t="s">
        <v>60</v>
      </c>
      <c r="S1576" t="s">
        <v>3579</v>
      </c>
      <c r="T1576" t="s">
        <v>3580</v>
      </c>
      <c r="U1576" t="b">
        <v>1</v>
      </c>
      <c r="V1576" t="s">
        <v>63</v>
      </c>
      <c r="W1576">
        <v>1.9</v>
      </c>
    </row>
    <row r="1577" spans="1:23" hidden="1" x14ac:dyDescent="0.3">
      <c r="A1577" t="s">
        <v>2830</v>
      </c>
      <c r="B1577" t="s">
        <v>2831</v>
      </c>
      <c r="C1577" t="s">
        <v>29</v>
      </c>
      <c r="D1577" t="s">
        <v>24</v>
      </c>
      <c r="E1577" t="s">
        <v>25</v>
      </c>
      <c r="F1577" t="s">
        <v>54</v>
      </c>
      <c r="G1577" t="s">
        <v>134</v>
      </c>
      <c r="H1577" t="s">
        <v>56</v>
      </c>
      <c r="I1577" t="s">
        <v>7</v>
      </c>
      <c r="J1577" t="s">
        <v>135</v>
      </c>
      <c r="K1577" t="s">
        <v>136</v>
      </c>
      <c r="L1577" t="s">
        <v>59</v>
      </c>
      <c r="M1577">
        <v>57</v>
      </c>
      <c r="N1577" t="b">
        <v>1</v>
      </c>
      <c r="O1577">
        <v>0.74948240165631463</v>
      </c>
      <c r="P1577">
        <v>0.71541501976284583</v>
      </c>
      <c r="Q1577">
        <v>0.78695652173913044</v>
      </c>
      <c r="R1577" t="s">
        <v>60</v>
      </c>
      <c r="S1577" t="s">
        <v>3581</v>
      </c>
      <c r="T1577" t="s">
        <v>3582</v>
      </c>
      <c r="U1577" t="b">
        <v>1</v>
      </c>
      <c r="V1577" t="s">
        <v>63</v>
      </c>
      <c r="W1577">
        <v>2.2000000000000002</v>
      </c>
    </row>
    <row r="1578" spans="1:23" hidden="1" x14ac:dyDescent="0.3">
      <c r="A1578" t="s">
        <v>2830</v>
      </c>
      <c r="B1578" t="s">
        <v>2831</v>
      </c>
      <c r="C1578" t="s">
        <v>29</v>
      </c>
      <c r="D1578" t="s">
        <v>24</v>
      </c>
      <c r="E1578" t="s">
        <v>25</v>
      </c>
      <c r="F1578" t="s">
        <v>54</v>
      </c>
      <c r="G1578" t="s">
        <v>139</v>
      </c>
      <c r="H1578" t="s">
        <v>56</v>
      </c>
      <c r="I1578" t="s">
        <v>7</v>
      </c>
      <c r="J1578" t="s">
        <v>140</v>
      </c>
      <c r="K1578" t="s">
        <v>141</v>
      </c>
      <c r="L1578" t="s">
        <v>59</v>
      </c>
      <c r="M1578">
        <v>58</v>
      </c>
      <c r="N1578" t="b">
        <v>1</v>
      </c>
      <c r="O1578">
        <v>0.74058577405857751</v>
      </c>
      <c r="P1578">
        <v>0.71370967741935487</v>
      </c>
      <c r="Q1578">
        <v>0.76956521739130435</v>
      </c>
      <c r="R1578" t="s">
        <v>60</v>
      </c>
      <c r="S1578" t="s">
        <v>3583</v>
      </c>
      <c r="T1578" t="s">
        <v>3584</v>
      </c>
      <c r="U1578" t="b">
        <v>1</v>
      </c>
      <c r="V1578" t="s">
        <v>63</v>
      </c>
      <c r="W1578">
        <v>1.9</v>
      </c>
    </row>
    <row r="1579" spans="1:23" hidden="1" x14ac:dyDescent="0.3">
      <c r="A1579" t="s">
        <v>2830</v>
      </c>
      <c r="B1579" t="s">
        <v>2831</v>
      </c>
      <c r="C1579" t="s">
        <v>29</v>
      </c>
      <c r="D1579" t="s">
        <v>24</v>
      </c>
      <c r="E1579" t="s">
        <v>25</v>
      </c>
      <c r="F1579" t="s">
        <v>54</v>
      </c>
      <c r="G1579" t="s">
        <v>144</v>
      </c>
      <c r="H1579" t="s">
        <v>56</v>
      </c>
      <c r="I1579" t="s">
        <v>7</v>
      </c>
      <c r="J1579" t="s">
        <v>145</v>
      </c>
      <c r="K1579" t="s">
        <v>146</v>
      </c>
      <c r="L1579" t="s">
        <v>59</v>
      </c>
      <c r="M1579">
        <v>59</v>
      </c>
      <c r="N1579" t="b">
        <v>1</v>
      </c>
      <c r="O1579">
        <v>0.73903966597077242</v>
      </c>
      <c r="P1579">
        <v>0.71084337349397586</v>
      </c>
      <c r="Q1579">
        <v>0.76956521739130435</v>
      </c>
      <c r="R1579" t="s">
        <v>60</v>
      </c>
      <c r="S1579" t="s">
        <v>3585</v>
      </c>
      <c r="T1579" t="s">
        <v>3586</v>
      </c>
      <c r="U1579" t="b">
        <v>1</v>
      </c>
      <c r="V1579" t="s">
        <v>63</v>
      </c>
      <c r="W1579">
        <v>1.8</v>
      </c>
    </row>
    <row r="1580" spans="1:23" hidden="1" x14ac:dyDescent="0.3">
      <c r="A1580" t="s">
        <v>2830</v>
      </c>
      <c r="B1580" t="s">
        <v>2831</v>
      </c>
      <c r="C1580" t="s">
        <v>29</v>
      </c>
      <c r="D1580" t="s">
        <v>24</v>
      </c>
      <c r="E1580" t="s">
        <v>25</v>
      </c>
      <c r="F1580" t="s">
        <v>54</v>
      </c>
      <c r="G1580" t="s">
        <v>149</v>
      </c>
      <c r="H1580" t="s">
        <v>56</v>
      </c>
      <c r="I1580" t="s">
        <v>7</v>
      </c>
      <c r="J1580" t="s">
        <v>150</v>
      </c>
      <c r="K1580" t="s">
        <v>151</v>
      </c>
      <c r="L1580" t="s">
        <v>59</v>
      </c>
      <c r="M1580">
        <v>60</v>
      </c>
      <c r="N1580" t="b">
        <v>1</v>
      </c>
      <c r="O1580">
        <v>0.76759061833688702</v>
      </c>
      <c r="P1580">
        <v>0.7531380753138075</v>
      </c>
      <c r="Q1580">
        <v>0.78260869565217395</v>
      </c>
      <c r="R1580" t="s">
        <v>60</v>
      </c>
      <c r="S1580" t="s">
        <v>3587</v>
      </c>
      <c r="T1580" t="s">
        <v>3588</v>
      </c>
      <c r="U1580" t="b">
        <v>1</v>
      </c>
      <c r="V1580" t="s">
        <v>63</v>
      </c>
      <c r="W1580">
        <v>2.2999999999999998</v>
      </c>
    </row>
    <row r="1581" spans="1:23" hidden="1" x14ac:dyDescent="0.3">
      <c r="A1581" t="s">
        <v>2830</v>
      </c>
      <c r="B1581" t="s">
        <v>2831</v>
      </c>
      <c r="C1581" t="s">
        <v>29</v>
      </c>
      <c r="D1581" t="s">
        <v>24</v>
      </c>
      <c r="E1581" t="s">
        <v>25</v>
      </c>
      <c r="F1581" t="s">
        <v>54</v>
      </c>
      <c r="G1581" t="s">
        <v>154</v>
      </c>
      <c r="H1581" t="s">
        <v>56</v>
      </c>
      <c r="I1581" t="s">
        <v>7</v>
      </c>
      <c r="J1581" t="s">
        <v>155</v>
      </c>
      <c r="K1581" t="s">
        <v>156</v>
      </c>
      <c r="L1581" t="s">
        <v>59</v>
      </c>
      <c r="M1581">
        <v>61</v>
      </c>
      <c r="N1581" t="b">
        <v>1</v>
      </c>
      <c r="O1581">
        <v>0.74678111587982843</v>
      </c>
      <c r="P1581">
        <v>0.73728813559322037</v>
      </c>
      <c r="Q1581">
        <v>0.75652173913043474</v>
      </c>
      <c r="R1581" t="s">
        <v>60</v>
      </c>
      <c r="S1581" t="s">
        <v>3589</v>
      </c>
      <c r="T1581" t="s">
        <v>3590</v>
      </c>
      <c r="U1581" t="b">
        <v>1</v>
      </c>
      <c r="V1581" t="s">
        <v>63</v>
      </c>
      <c r="W1581">
        <v>1.8</v>
      </c>
    </row>
    <row r="1582" spans="1:23" hidden="1" x14ac:dyDescent="0.3">
      <c r="A1582" t="s">
        <v>2830</v>
      </c>
      <c r="B1582" t="s">
        <v>2831</v>
      </c>
      <c r="C1582" t="s">
        <v>29</v>
      </c>
      <c r="D1582" t="s">
        <v>24</v>
      </c>
      <c r="E1582" t="s">
        <v>25</v>
      </c>
      <c r="F1582" t="s">
        <v>54</v>
      </c>
      <c r="G1582" t="s">
        <v>159</v>
      </c>
      <c r="H1582" t="s">
        <v>160</v>
      </c>
      <c r="I1582" t="s">
        <v>3</v>
      </c>
      <c r="J1582" t="s">
        <v>161</v>
      </c>
      <c r="K1582" t="s">
        <v>162</v>
      </c>
      <c r="L1582" t="s">
        <v>163</v>
      </c>
      <c r="M1582">
        <v>42</v>
      </c>
      <c r="N1582" t="b">
        <v>0</v>
      </c>
      <c r="O1582">
        <v>0.76323119777158777</v>
      </c>
      <c r="P1582">
        <v>0.72105263157894739</v>
      </c>
      <c r="Q1582">
        <v>0.81065088757396453</v>
      </c>
      <c r="R1582" t="s">
        <v>60</v>
      </c>
      <c r="S1582" t="s">
        <v>3591</v>
      </c>
      <c r="T1582" t="s">
        <v>3592</v>
      </c>
      <c r="U1582" t="b">
        <v>1</v>
      </c>
      <c r="V1582" t="s">
        <v>63</v>
      </c>
      <c r="W1582">
        <v>1.7</v>
      </c>
    </row>
    <row r="1583" spans="1:23" hidden="1" x14ac:dyDescent="0.3">
      <c r="A1583" t="s">
        <v>2830</v>
      </c>
      <c r="B1583" t="s">
        <v>2831</v>
      </c>
      <c r="C1583" t="s">
        <v>29</v>
      </c>
      <c r="D1583" t="s">
        <v>24</v>
      </c>
      <c r="E1583" t="s">
        <v>25</v>
      </c>
      <c r="F1583" t="s">
        <v>54</v>
      </c>
      <c r="G1583" t="s">
        <v>166</v>
      </c>
      <c r="H1583" t="s">
        <v>160</v>
      </c>
      <c r="I1583" t="s">
        <v>3</v>
      </c>
      <c r="J1583" t="s">
        <v>167</v>
      </c>
      <c r="K1583" t="s">
        <v>168</v>
      </c>
      <c r="L1583" t="s">
        <v>163</v>
      </c>
      <c r="M1583">
        <v>43</v>
      </c>
      <c r="N1583" t="b">
        <v>0</v>
      </c>
      <c r="O1583">
        <v>0.7584269662921348</v>
      </c>
      <c r="P1583">
        <v>0.72192513368983957</v>
      </c>
      <c r="Q1583">
        <v>0.79881656804733725</v>
      </c>
      <c r="R1583" t="s">
        <v>60</v>
      </c>
      <c r="S1583" t="s">
        <v>3593</v>
      </c>
      <c r="T1583" t="s">
        <v>3594</v>
      </c>
      <c r="U1583" t="b">
        <v>1</v>
      </c>
      <c r="V1583" t="s">
        <v>63</v>
      </c>
      <c r="W1583">
        <v>2.1</v>
      </c>
    </row>
    <row r="1584" spans="1:23" hidden="1" x14ac:dyDescent="0.3">
      <c r="A1584" t="s">
        <v>2830</v>
      </c>
      <c r="B1584" t="s">
        <v>2831</v>
      </c>
      <c r="C1584" t="s">
        <v>29</v>
      </c>
      <c r="D1584" t="s">
        <v>24</v>
      </c>
      <c r="E1584" t="s">
        <v>25</v>
      </c>
      <c r="F1584" t="s">
        <v>54</v>
      </c>
      <c r="G1584" t="s">
        <v>171</v>
      </c>
      <c r="H1584" t="s">
        <v>160</v>
      </c>
      <c r="I1584" t="s">
        <v>3</v>
      </c>
      <c r="J1584" t="s">
        <v>172</v>
      </c>
      <c r="K1584" t="s">
        <v>173</v>
      </c>
      <c r="L1584" t="s">
        <v>163</v>
      </c>
      <c r="M1584">
        <v>44</v>
      </c>
      <c r="N1584" t="b">
        <v>0</v>
      </c>
      <c r="O1584">
        <v>0.76056338028169013</v>
      </c>
      <c r="P1584">
        <v>0.72580645161290325</v>
      </c>
      <c r="Q1584">
        <v>0.79881656804733725</v>
      </c>
      <c r="R1584" t="s">
        <v>60</v>
      </c>
      <c r="S1584" t="s">
        <v>3595</v>
      </c>
      <c r="T1584" t="s">
        <v>3596</v>
      </c>
      <c r="U1584" t="b">
        <v>1</v>
      </c>
      <c r="V1584" t="s">
        <v>63</v>
      </c>
      <c r="W1584">
        <v>1.7</v>
      </c>
    </row>
    <row r="1585" spans="1:23" hidden="1" x14ac:dyDescent="0.3">
      <c r="A1585" t="s">
        <v>2830</v>
      </c>
      <c r="B1585" t="s">
        <v>2831</v>
      </c>
      <c r="C1585" t="s">
        <v>29</v>
      </c>
      <c r="D1585" t="s">
        <v>24</v>
      </c>
      <c r="E1585" t="s">
        <v>25</v>
      </c>
      <c r="F1585" t="s">
        <v>54</v>
      </c>
      <c r="G1585" t="s">
        <v>176</v>
      </c>
      <c r="H1585" t="s">
        <v>160</v>
      </c>
      <c r="I1585" t="s">
        <v>3</v>
      </c>
      <c r="J1585" t="s">
        <v>177</v>
      </c>
      <c r="K1585" t="s">
        <v>178</v>
      </c>
      <c r="L1585" t="s">
        <v>163</v>
      </c>
      <c r="M1585">
        <v>45</v>
      </c>
      <c r="N1585" t="b">
        <v>0</v>
      </c>
      <c r="O1585">
        <v>0.75070028011204482</v>
      </c>
      <c r="P1585">
        <v>0.71276595744680848</v>
      </c>
      <c r="Q1585">
        <v>0.79289940828402372</v>
      </c>
      <c r="R1585" t="s">
        <v>60</v>
      </c>
      <c r="S1585" t="s">
        <v>3597</v>
      </c>
      <c r="T1585" t="s">
        <v>3598</v>
      </c>
      <c r="U1585" t="b">
        <v>1</v>
      </c>
      <c r="V1585" t="s">
        <v>63</v>
      </c>
      <c r="W1585">
        <v>1.7</v>
      </c>
    </row>
    <row r="1586" spans="1:23" hidden="1" x14ac:dyDescent="0.3">
      <c r="A1586" t="s">
        <v>2830</v>
      </c>
      <c r="B1586" t="s">
        <v>2831</v>
      </c>
      <c r="C1586" t="s">
        <v>29</v>
      </c>
      <c r="D1586" t="s">
        <v>24</v>
      </c>
      <c r="E1586" t="s">
        <v>25</v>
      </c>
      <c r="F1586" t="s">
        <v>54</v>
      </c>
      <c r="G1586" t="s">
        <v>181</v>
      </c>
      <c r="H1586" t="s">
        <v>160</v>
      </c>
      <c r="I1586" t="s">
        <v>3</v>
      </c>
      <c r="J1586" t="s">
        <v>182</v>
      </c>
      <c r="K1586" t="s">
        <v>183</v>
      </c>
      <c r="L1586" t="s">
        <v>163</v>
      </c>
      <c r="M1586">
        <v>46</v>
      </c>
      <c r="N1586" t="b">
        <v>0</v>
      </c>
      <c r="O1586">
        <v>0.76217765042979946</v>
      </c>
      <c r="P1586">
        <v>0.73888888888888893</v>
      </c>
      <c r="Q1586">
        <v>0.78698224852071008</v>
      </c>
      <c r="R1586" t="s">
        <v>60</v>
      </c>
      <c r="S1586" t="s">
        <v>3599</v>
      </c>
      <c r="T1586" t="s">
        <v>3600</v>
      </c>
      <c r="U1586" t="b">
        <v>1</v>
      </c>
      <c r="V1586" t="s">
        <v>63</v>
      </c>
      <c r="W1586">
        <v>2.1</v>
      </c>
    </row>
    <row r="1587" spans="1:23" hidden="1" x14ac:dyDescent="0.3">
      <c r="A1587" t="s">
        <v>2830</v>
      </c>
      <c r="B1587" t="s">
        <v>2831</v>
      </c>
      <c r="C1587" t="s">
        <v>29</v>
      </c>
      <c r="D1587" t="s">
        <v>24</v>
      </c>
      <c r="E1587" t="s">
        <v>25</v>
      </c>
      <c r="F1587" t="s">
        <v>54</v>
      </c>
      <c r="G1587" t="s">
        <v>186</v>
      </c>
      <c r="H1587" t="s">
        <v>160</v>
      </c>
      <c r="I1587" t="s">
        <v>3</v>
      </c>
      <c r="J1587" t="s">
        <v>187</v>
      </c>
      <c r="K1587" t="s">
        <v>188</v>
      </c>
      <c r="L1587" t="s">
        <v>163</v>
      </c>
      <c r="M1587">
        <v>47</v>
      </c>
      <c r="N1587" t="b">
        <v>0</v>
      </c>
      <c r="O1587">
        <v>0.77310924369747902</v>
      </c>
      <c r="P1587">
        <v>0.73404255319148937</v>
      </c>
      <c r="Q1587">
        <v>0.81656804733727806</v>
      </c>
      <c r="R1587" t="s">
        <v>60</v>
      </c>
      <c r="S1587" t="s">
        <v>3601</v>
      </c>
      <c r="T1587" t="s">
        <v>3602</v>
      </c>
      <c r="U1587" t="b">
        <v>1</v>
      </c>
      <c r="V1587" t="s">
        <v>63</v>
      </c>
      <c r="W1587">
        <v>1.7</v>
      </c>
    </row>
    <row r="1588" spans="1:23" hidden="1" x14ac:dyDescent="0.3">
      <c r="A1588" t="s">
        <v>2830</v>
      </c>
      <c r="B1588" t="s">
        <v>2831</v>
      </c>
      <c r="C1588" t="s">
        <v>29</v>
      </c>
      <c r="D1588" t="s">
        <v>24</v>
      </c>
      <c r="E1588" t="s">
        <v>25</v>
      </c>
      <c r="F1588" t="s">
        <v>54</v>
      </c>
      <c r="G1588" t="s">
        <v>191</v>
      </c>
      <c r="H1588" t="s">
        <v>160</v>
      </c>
      <c r="I1588" t="s">
        <v>3</v>
      </c>
      <c r="J1588" t="s">
        <v>192</v>
      </c>
      <c r="K1588" t="s">
        <v>193</v>
      </c>
      <c r="L1588" t="s">
        <v>163</v>
      </c>
      <c r="M1588">
        <v>48</v>
      </c>
      <c r="N1588" t="b">
        <v>0</v>
      </c>
      <c r="O1588">
        <v>0.73949579831932766</v>
      </c>
      <c r="P1588">
        <v>0.7021276595744681</v>
      </c>
      <c r="Q1588">
        <v>0.78106508875739644</v>
      </c>
      <c r="R1588" t="s">
        <v>60</v>
      </c>
      <c r="S1588" t="s">
        <v>3603</v>
      </c>
      <c r="T1588" t="s">
        <v>3604</v>
      </c>
      <c r="U1588" t="b">
        <v>1</v>
      </c>
      <c r="V1588" t="s">
        <v>63</v>
      </c>
      <c r="W1588">
        <v>1.7</v>
      </c>
    </row>
    <row r="1589" spans="1:23" hidden="1" x14ac:dyDescent="0.3">
      <c r="A1589" t="s">
        <v>2830</v>
      </c>
      <c r="B1589" t="s">
        <v>2831</v>
      </c>
      <c r="C1589" t="s">
        <v>29</v>
      </c>
      <c r="D1589" t="s">
        <v>24</v>
      </c>
      <c r="E1589" t="s">
        <v>25</v>
      </c>
      <c r="F1589" t="s">
        <v>54</v>
      </c>
      <c r="G1589" t="s">
        <v>196</v>
      </c>
      <c r="H1589" t="s">
        <v>160</v>
      </c>
      <c r="I1589" t="s">
        <v>3</v>
      </c>
      <c r="J1589" t="s">
        <v>197</v>
      </c>
      <c r="K1589" t="s">
        <v>198</v>
      </c>
      <c r="L1589" t="s">
        <v>163</v>
      </c>
      <c r="M1589">
        <v>49</v>
      </c>
      <c r="N1589" t="b">
        <v>0</v>
      </c>
      <c r="O1589">
        <v>0.75274725274725274</v>
      </c>
      <c r="P1589">
        <v>0.70256410256410251</v>
      </c>
      <c r="Q1589">
        <v>0.81065088757396453</v>
      </c>
      <c r="R1589" t="s">
        <v>60</v>
      </c>
      <c r="S1589" t="s">
        <v>3605</v>
      </c>
      <c r="T1589" t="s">
        <v>3606</v>
      </c>
      <c r="U1589" t="b">
        <v>1</v>
      </c>
      <c r="V1589" t="s">
        <v>63</v>
      </c>
      <c r="W1589">
        <v>1.7</v>
      </c>
    </row>
    <row r="1590" spans="1:23" hidden="1" x14ac:dyDescent="0.3">
      <c r="A1590" t="s">
        <v>2830</v>
      </c>
      <c r="B1590" t="s">
        <v>2831</v>
      </c>
      <c r="C1590" t="s">
        <v>29</v>
      </c>
      <c r="D1590" t="s">
        <v>24</v>
      </c>
      <c r="E1590" t="s">
        <v>25</v>
      </c>
      <c r="F1590" t="s">
        <v>54</v>
      </c>
      <c r="G1590" t="s">
        <v>201</v>
      </c>
      <c r="H1590" t="s">
        <v>160</v>
      </c>
      <c r="I1590" t="s">
        <v>3</v>
      </c>
      <c r="J1590" t="s">
        <v>202</v>
      </c>
      <c r="K1590" t="s">
        <v>203</v>
      </c>
      <c r="L1590" t="s">
        <v>163</v>
      </c>
      <c r="M1590">
        <v>50</v>
      </c>
      <c r="N1590" t="b">
        <v>0</v>
      </c>
      <c r="O1590">
        <v>0.76666666666666661</v>
      </c>
      <c r="P1590">
        <v>0.72251308900523559</v>
      </c>
      <c r="Q1590">
        <v>0.81656804733727806</v>
      </c>
      <c r="R1590" t="s">
        <v>60</v>
      </c>
      <c r="S1590" t="s">
        <v>3607</v>
      </c>
      <c r="T1590" t="s">
        <v>3608</v>
      </c>
      <c r="U1590" t="b">
        <v>1</v>
      </c>
      <c r="V1590" t="s">
        <v>63</v>
      </c>
      <c r="W1590">
        <v>2.1</v>
      </c>
    </row>
    <row r="1591" spans="1:23" hidden="1" x14ac:dyDescent="0.3">
      <c r="A1591" t="s">
        <v>2830</v>
      </c>
      <c r="B1591" t="s">
        <v>2831</v>
      </c>
      <c r="C1591" t="s">
        <v>29</v>
      </c>
      <c r="D1591" t="s">
        <v>24</v>
      </c>
      <c r="E1591" t="s">
        <v>25</v>
      </c>
      <c r="F1591" t="s">
        <v>54</v>
      </c>
      <c r="G1591" t="s">
        <v>206</v>
      </c>
      <c r="H1591" t="s">
        <v>160</v>
      </c>
      <c r="I1591" t="s">
        <v>3</v>
      </c>
      <c r="J1591" t="s">
        <v>207</v>
      </c>
      <c r="K1591" t="s">
        <v>208</v>
      </c>
      <c r="L1591" t="s">
        <v>163</v>
      </c>
      <c r="M1591">
        <v>51</v>
      </c>
      <c r="N1591" t="b">
        <v>0</v>
      </c>
      <c r="O1591">
        <v>0.76536312849162003</v>
      </c>
      <c r="P1591">
        <v>0.72486772486772488</v>
      </c>
      <c r="Q1591">
        <v>0.81065088757396453</v>
      </c>
      <c r="R1591" t="s">
        <v>60</v>
      </c>
      <c r="S1591" t="s">
        <v>3609</v>
      </c>
      <c r="T1591" t="s">
        <v>3610</v>
      </c>
      <c r="U1591" t="b">
        <v>1</v>
      </c>
      <c r="V1591" t="s">
        <v>63</v>
      </c>
      <c r="W1591">
        <v>1.7</v>
      </c>
    </row>
    <row r="1592" spans="1:23" hidden="1" x14ac:dyDescent="0.3">
      <c r="A1592" t="s">
        <v>2830</v>
      </c>
      <c r="B1592" t="s">
        <v>2831</v>
      </c>
      <c r="C1592" t="s">
        <v>29</v>
      </c>
      <c r="D1592" t="s">
        <v>24</v>
      </c>
      <c r="E1592" t="s">
        <v>25</v>
      </c>
      <c r="F1592" t="s">
        <v>54</v>
      </c>
      <c r="G1592" t="s">
        <v>211</v>
      </c>
      <c r="H1592" t="s">
        <v>160</v>
      </c>
      <c r="I1592" t="s">
        <v>3</v>
      </c>
      <c r="J1592" t="s">
        <v>212</v>
      </c>
      <c r="K1592" t="s">
        <v>213</v>
      </c>
      <c r="L1592" t="s">
        <v>163</v>
      </c>
      <c r="M1592">
        <v>52</v>
      </c>
      <c r="N1592" t="b">
        <v>0</v>
      </c>
      <c r="O1592">
        <v>0.75766016713091922</v>
      </c>
      <c r="P1592">
        <v>0.71578947368421053</v>
      </c>
      <c r="Q1592">
        <v>0.80473372781065089</v>
      </c>
      <c r="R1592" t="s">
        <v>60</v>
      </c>
      <c r="S1592" t="s">
        <v>3611</v>
      </c>
      <c r="T1592" t="s">
        <v>3612</v>
      </c>
      <c r="U1592" t="b">
        <v>1</v>
      </c>
      <c r="V1592" t="s">
        <v>63</v>
      </c>
      <c r="W1592">
        <v>1.7</v>
      </c>
    </row>
    <row r="1593" spans="1:23" hidden="1" x14ac:dyDescent="0.3">
      <c r="A1593" t="s">
        <v>2830</v>
      </c>
      <c r="B1593" t="s">
        <v>2831</v>
      </c>
      <c r="C1593" t="s">
        <v>29</v>
      </c>
      <c r="D1593" t="s">
        <v>24</v>
      </c>
      <c r="E1593" t="s">
        <v>25</v>
      </c>
      <c r="F1593" t="s">
        <v>54</v>
      </c>
      <c r="G1593" t="s">
        <v>216</v>
      </c>
      <c r="H1593" t="s">
        <v>160</v>
      </c>
      <c r="I1593" t="s">
        <v>3</v>
      </c>
      <c r="J1593" t="s">
        <v>217</v>
      </c>
      <c r="K1593" t="s">
        <v>218</v>
      </c>
      <c r="L1593" t="s">
        <v>163</v>
      </c>
      <c r="M1593">
        <v>53</v>
      </c>
      <c r="N1593" t="b">
        <v>0</v>
      </c>
      <c r="O1593">
        <v>0.75280898876404501</v>
      </c>
      <c r="P1593">
        <v>0.71657754010695185</v>
      </c>
      <c r="Q1593">
        <v>0.79289940828402372</v>
      </c>
      <c r="R1593" t="s">
        <v>60</v>
      </c>
      <c r="S1593" t="s">
        <v>3613</v>
      </c>
      <c r="T1593" t="s">
        <v>3614</v>
      </c>
      <c r="U1593" t="b">
        <v>1</v>
      </c>
      <c r="V1593" t="s">
        <v>63</v>
      </c>
      <c r="W1593">
        <v>2.1</v>
      </c>
    </row>
    <row r="1594" spans="1:23" hidden="1" x14ac:dyDescent="0.3">
      <c r="A1594" t="s">
        <v>2830</v>
      </c>
      <c r="B1594" t="s">
        <v>2831</v>
      </c>
      <c r="C1594" t="s">
        <v>29</v>
      </c>
      <c r="D1594" t="s">
        <v>24</v>
      </c>
      <c r="E1594" t="s">
        <v>25</v>
      </c>
      <c r="F1594" t="s">
        <v>54</v>
      </c>
      <c r="G1594" t="s">
        <v>221</v>
      </c>
      <c r="H1594" t="s">
        <v>160</v>
      </c>
      <c r="I1594" t="s">
        <v>3</v>
      </c>
      <c r="J1594" t="s">
        <v>222</v>
      </c>
      <c r="K1594" t="s">
        <v>223</v>
      </c>
      <c r="L1594" t="s">
        <v>163</v>
      </c>
      <c r="M1594">
        <v>54</v>
      </c>
      <c r="N1594" t="b">
        <v>0</v>
      </c>
      <c r="O1594">
        <v>0.76323119777158777</v>
      </c>
      <c r="P1594">
        <v>0.72105263157894739</v>
      </c>
      <c r="Q1594">
        <v>0.81065088757396453</v>
      </c>
      <c r="R1594" t="s">
        <v>60</v>
      </c>
      <c r="S1594" t="s">
        <v>3615</v>
      </c>
      <c r="T1594" t="s">
        <v>3616</v>
      </c>
      <c r="U1594" t="b">
        <v>1</v>
      </c>
      <c r="V1594" t="s">
        <v>63</v>
      </c>
      <c r="W1594">
        <v>1.7</v>
      </c>
    </row>
    <row r="1595" spans="1:23" hidden="1" x14ac:dyDescent="0.3">
      <c r="A1595" t="s">
        <v>2830</v>
      </c>
      <c r="B1595" t="s">
        <v>2831</v>
      </c>
      <c r="C1595" t="s">
        <v>29</v>
      </c>
      <c r="D1595" t="s">
        <v>24</v>
      </c>
      <c r="E1595" t="s">
        <v>25</v>
      </c>
      <c r="F1595" t="s">
        <v>54</v>
      </c>
      <c r="G1595" t="s">
        <v>226</v>
      </c>
      <c r="H1595" t="s">
        <v>160</v>
      </c>
      <c r="I1595" t="s">
        <v>3</v>
      </c>
      <c r="J1595" t="s">
        <v>227</v>
      </c>
      <c r="K1595" t="s">
        <v>228</v>
      </c>
      <c r="L1595" t="s">
        <v>163</v>
      </c>
      <c r="M1595">
        <v>55</v>
      </c>
      <c r="N1595" t="b">
        <v>0</v>
      </c>
      <c r="O1595">
        <v>0.78431372549019607</v>
      </c>
      <c r="P1595">
        <v>0.74468085106382975</v>
      </c>
      <c r="Q1595">
        <v>0.82840236686390534</v>
      </c>
      <c r="R1595" t="s">
        <v>60</v>
      </c>
      <c r="S1595" t="s">
        <v>3617</v>
      </c>
      <c r="T1595" t="s">
        <v>3618</v>
      </c>
      <c r="U1595" t="b">
        <v>1</v>
      </c>
      <c r="V1595" t="s">
        <v>63</v>
      </c>
      <c r="W1595">
        <v>1.7</v>
      </c>
    </row>
    <row r="1596" spans="1:23" hidden="1" x14ac:dyDescent="0.3">
      <c r="A1596" t="s">
        <v>2830</v>
      </c>
      <c r="B1596" t="s">
        <v>2831</v>
      </c>
      <c r="C1596" t="s">
        <v>29</v>
      </c>
      <c r="D1596" t="s">
        <v>24</v>
      </c>
      <c r="E1596" t="s">
        <v>25</v>
      </c>
      <c r="F1596" t="s">
        <v>54</v>
      </c>
      <c r="G1596" t="s">
        <v>231</v>
      </c>
      <c r="H1596" t="s">
        <v>160</v>
      </c>
      <c r="I1596" t="s">
        <v>3</v>
      </c>
      <c r="J1596" t="s">
        <v>232</v>
      </c>
      <c r="K1596" t="s">
        <v>233</v>
      </c>
      <c r="L1596" t="s">
        <v>163</v>
      </c>
      <c r="M1596">
        <v>56</v>
      </c>
      <c r="N1596" t="b">
        <v>0</v>
      </c>
      <c r="O1596">
        <v>0.74301675977653636</v>
      </c>
      <c r="P1596">
        <v>0.70370370370370372</v>
      </c>
      <c r="Q1596">
        <v>0.78698224852071008</v>
      </c>
      <c r="R1596" t="s">
        <v>60</v>
      </c>
      <c r="S1596" t="s">
        <v>3619</v>
      </c>
      <c r="T1596" t="s">
        <v>3620</v>
      </c>
      <c r="U1596" t="b">
        <v>1</v>
      </c>
      <c r="V1596" t="s">
        <v>63</v>
      </c>
      <c r="W1596">
        <v>1.7</v>
      </c>
    </row>
    <row r="1597" spans="1:23" hidden="1" x14ac:dyDescent="0.3">
      <c r="A1597" t="s">
        <v>2830</v>
      </c>
      <c r="B1597" t="s">
        <v>2831</v>
      </c>
      <c r="C1597" t="s">
        <v>29</v>
      </c>
      <c r="D1597" t="s">
        <v>24</v>
      </c>
      <c r="E1597" t="s">
        <v>25</v>
      </c>
      <c r="F1597" t="s">
        <v>54</v>
      </c>
      <c r="G1597" t="s">
        <v>236</v>
      </c>
      <c r="H1597" t="s">
        <v>160</v>
      </c>
      <c r="I1597" t="s">
        <v>3</v>
      </c>
      <c r="J1597" t="s">
        <v>237</v>
      </c>
      <c r="K1597" t="s">
        <v>238</v>
      </c>
      <c r="L1597" t="s">
        <v>163</v>
      </c>
      <c r="M1597">
        <v>57</v>
      </c>
      <c r="N1597" t="b">
        <v>0</v>
      </c>
      <c r="O1597">
        <v>0.76619718309859164</v>
      </c>
      <c r="P1597">
        <v>0.73118279569892475</v>
      </c>
      <c r="Q1597">
        <v>0.80473372781065089</v>
      </c>
      <c r="R1597" t="s">
        <v>60</v>
      </c>
      <c r="S1597" t="s">
        <v>3621</v>
      </c>
      <c r="T1597" t="s">
        <v>3622</v>
      </c>
      <c r="U1597" t="b">
        <v>1</v>
      </c>
      <c r="V1597" t="s">
        <v>63</v>
      </c>
      <c r="W1597">
        <v>2.8</v>
      </c>
    </row>
    <row r="1598" spans="1:23" hidden="1" x14ac:dyDescent="0.3">
      <c r="A1598" t="s">
        <v>2830</v>
      </c>
      <c r="B1598" t="s">
        <v>2831</v>
      </c>
      <c r="C1598" t="s">
        <v>29</v>
      </c>
      <c r="D1598" t="s">
        <v>24</v>
      </c>
      <c r="E1598" t="s">
        <v>25</v>
      </c>
      <c r="F1598" t="s">
        <v>54</v>
      </c>
      <c r="G1598" t="s">
        <v>241</v>
      </c>
      <c r="H1598" t="s">
        <v>160</v>
      </c>
      <c r="I1598" t="s">
        <v>3</v>
      </c>
      <c r="J1598" t="s">
        <v>242</v>
      </c>
      <c r="K1598" t="s">
        <v>243</v>
      </c>
      <c r="L1598" t="s">
        <v>163</v>
      </c>
      <c r="M1598">
        <v>58</v>
      </c>
      <c r="N1598" t="b">
        <v>0</v>
      </c>
      <c r="O1598">
        <v>0.74651810584958211</v>
      </c>
      <c r="P1598">
        <v>0.70526315789473681</v>
      </c>
      <c r="Q1598">
        <v>0.79289940828402372</v>
      </c>
      <c r="R1598" t="s">
        <v>60</v>
      </c>
      <c r="S1598" t="s">
        <v>3623</v>
      </c>
      <c r="T1598" t="s">
        <v>3624</v>
      </c>
      <c r="U1598" t="b">
        <v>1</v>
      </c>
      <c r="V1598" t="s">
        <v>63</v>
      </c>
      <c r="W1598">
        <v>1.7</v>
      </c>
    </row>
    <row r="1599" spans="1:23" hidden="1" x14ac:dyDescent="0.3">
      <c r="A1599" t="s">
        <v>2830</v>
      </c>
      <c r="B1599" t="s">
        <v>2831</v>
      </c>
      <c r="C1599" t="s">
        <v>29</v>
      </c>
      <c r="D1599" t="s">
        <v>24</v>
      </c>
      <c r="E1599" t="s">
        <v>25</v>
      </c>
      <c r="F1599" t="s">
        <v>54</v>
      </c>
      <c r="G1599" t="s">
        <v>246</v>
      </c>
      <c r="H1599" t="s">
        <v>160</v>
      </c>
      <c r="I1599" t="s">
        <v>3</v>
      </c>
      <c r="J1599" t="s">
        <v>247</v>
      </c>
      <c r="K1599" t="s">
        <v>248</v>
      </c>
      <c r="L1599" t="s">
        <v>163</v>
      </c>
      <c r="M1599">
        <v>59</v>
      </c>
      <c r="N1599" t="b">
        <v>0</v>
      </c>
      <c r="O1599">
        <v>0.75418994413407814</v>
      </c>
      <c r="P1599">
        <v>0.7142857142857143</v>
      </c>
      <c r="Q1599">
        <v>0.79881656804733725</v>
      </c>
      <c r="R1599" t="s">
        <v>60</v>
      </c>
      <c r="S1599" t="s">
        <v>3625</v>
      </c>
      <c r="T1599" t="s">
        <v>3626</v>
      </c>
      <c r="U1599" t="b">
        <v>1</v>
      </c>
      <c r="V1599" t="s">
        <v>63</v>
      </c>
      <c r="W1599">
        <v>1.7</v>
      </c>
    </row>
    <row r="1600" spans="1:23" hidden="1" x14ac:dyDescent="0.3">
      <c r="A1600" t="s">
        <v>2830</v>
      </c>
      <c r="B1600" t="s">
        <v>2831</v>
      </c>
      <c r="C1600" t="s">
        <v>29</v>
      </c>
      <c r="D1600" t="s">
        <v>24</v>
      </c>
      <c r="E1600" t="s">
        <v>25</v>
      </c>
      <c r="F1600" t="s">
        <v>54</v>
      </c>
      <c r="G1600" t="s">
        <v>251</v>
      </c>
      <c r="H1600" t="s">
        <v>160</v>
      </c>
      <c r="I1600" t="s">
        <v>3</v>
      </c>
      <c r="J1600" t="s">
        <v>252</v>
      </c>
      <c r="K1600" t="s">
        <v>253</v>
      </c>
      <c r="L1600" t="s">
        <v>163</v>
      </c>
      <c r="M1600">
        <v>60</v>
      </c>
      <c r="N1600" t="b">
        <v>0</v>
      </c>
      <c r="O1600">
        <v>0.74860335195530736</v>
      </c>
      <c r="P1600">
        <v>0.70899470899470896</v>
      </c>
      <c r="Q1600">
        <v>0.79289940828402372</v>
      </c>
      <c r="R1600" t="s">
        <v>60</v>
      </c>
      <c r="S1600" t="s">
        <v>3627</v>
      </c>
      <c r="T1600" t="s">
        <v>3628</v>
      </c>
      <c r="U1600" t="b">
        <v>1</v>
      </c>
      <c r="V1600" t="s">
        <v>63</v>
      </c>
      <c r="W1600">
        <v>2.1</v>
      </c>
    </row>
    <row r="1601" spans="1:23" hidden="1" x14ac:dyDescent="0.3">
      <c r="A1601" t="s">
        <v>2830</v>
      </c>
      <c r="B1601" t="s">
        <v>2831</v>
      </c>
      <c r="C1601" t="s">
        <v>29</v>
      </c>
      <c r="D1601" t="s">
        <v>24</v>
      </c>
      <c r="E1601" t="s">
        <v>25</v>
      </c>
      <c r="F1601" t="s">
        <v>54</v>
      </c>
      <c r="G1601" t="s">
        <v>256</v>
      </c>
      <c r="H1601" t="s">
        <v>160</v>
      </c>
      <c r="I1601" t="s">
        <v>3</v>
      </c>
      <c r="J1601" t="s">
        <v>257</v>
      </c>
      <c r="K1601" t="s">
        <v>258</v>
      </c>
      <c r="L1601" t="s">
        <v>163</v>
      </c>
      <c r="M1601">
        <v>61</v>
      </c>
      <c r="N1601" t="b">
        <v>0</v>
      </c>
      <c r="O1601">
        <v>0.75208913649025066</v>
      </c>
      <c r="P1601">
        <v>0.71052631578947367</v>
      </c>
      <c r="Q1601">
        <v>0.79881656804733725</v>
      </c>
      <c r="R1601" t="s">
        <v>60</v>
      </c>
      <c r="S1601" t="s">
        <v>3629</v>
      </c>
      <c r="T1601" t="s">
        <v>3630</v>
      </c>
      <c r="U1601" t="b">
        <v>1</v>
      </c>
      <c r="V1601" t="s">
        <v>63</v>
      </c>
      <c r="W1601">
        <v>1.8</v>
      </c>
    </row>
    <row r="1602" spans="1:23" hidden="1" x14ac:dyDescent="0.3">
      <c r="A1602" t="s">
        <v>2830</v>
      </c>
      <c r="B1602" t="s">
        <v>2831</v>
      </c>
      <c r="C1602" t="s">
        <v>29</v>
      </c>
      <c r="D1602" t="s">
        <v>24</v>
      </c>
      <c r="E1602" t="s">
        <v>25</v>
      </c>
      <c r="F1602" t="s">
        <v>54</v>
      </c>
      <c r="G1602" t="s">
        <v>261</v>
      </c>
      <c r="H1602" t="s">
        <v>262</v>
      </c>
      <c r="I1602" t="s">
        <v>5</v>
      </c>
      <c r="J1602" t="s">
        <v>263</v>
      </c>
      <c r="K1602" t="s">
        <v>264</v>
      </c>
      <c r="L1602" t="s">
        <v>265</v>
      </c>
      <c r="M1602">
        <v>42</v>
      </c>
      <c r="N1602" t="b">
        <v>0</v>
      </c>
      <c r="O1602">
        <v>0.77333333333333343</v>
      </c>
      <c r="P1602">
        <v>0.76315789473684215</v>
      </c>
      <c r="Q1602">
        <v>0.78378378378378377</v>
      </c>
      <c r="R1602" t="s">
        <v>60</v>
      </c>
      <c r="S1602" t="s">
        <v>3631</v>
      </c>
      <c r="T1602" t="s">
        <v>3632</v>
      </c>
      <c r="U1602" t="b">
        <v>1</v>
      </c>
      <c r="V1602" t="s">
        <v>63</v>
      </c>
      <c r="W1602">
        <v>1.8</v>
      </c>
    </row>
    <row r="1603" spans="1:23" hidden="1" x14ac:dyDescent="0.3">
      <c r="A1603" t="s">
        <v>2830</v>
      </c>
      <c r="B1603" t="s">
        <v>2831</v>
      </c>
      <c r="C1603" t="s">
        <v>29</v>
      </c>
      <c r="D1603" t="s">
        <v>24</v>
      </c>
      <c r="E1603" t="s">
        <v>25</v>
      </c>
      <c r="F1603" t="s">
        <v>54</v>
      </c>
      <c r="G1603" t="s">
        <v>268</v>
      </c>
      <c r="H1603" t="s">
        <v>262</v>
      </c>
      <c r="I1603" t="s">
        <v>5</v>
      </c>
      <c r="J1603" t="s">
        <v>269</v>
      </c>
      <c r="K1603" t="s">
        <v>270</v>
      </c>
      <c r="L1603" t="s">
        <v>265</v>
      </c>
      <c r="M1603">
        <v>43</v>
      </c>
      <c r="N1603" t="b">
        <v>0</v>
      </c>
      <c r="O1603">
        <v>0.76483516483516489</v>
      </c>
      <c r="P1603">
        <v>0.74678111587982832</v>
      </c>
      <c r="Q1603">
        <v>0.78378378378378377</v>
      </c>
      <c r="R1603" t="s">
        <v>60</v>
      </c>
      <c r="S1603" t="s">
        <v>3633</v>
      </c>
      <c r="T1603" t="s">
        <v>3634</v>
      </c>
      <c r="U1603" t="b">
        <v>1</v>
      </c>
      <c r="V1603" t="s">
        <v>63</v>
      </c>
      <c r="W1603">
        <v>2.2999999999999998</v>
      </c>
    </row>
    <row r="1604" spans="1:23" hidden="1" x14ac:dyDescent="0.3">
      <c r="A1604" t="s">
        <v>2830</v>
      </c>
      <c r="B1604" t="s">
        <v>2831</v>
      </c>
      <c r="C1604" t="s">
        <v>29</v>
      </c>
      <c r="D1604" t="s">
        <v>24</v>
      </c>
      <c r="E1604" t="s">
        <v>25</v>
      </c>
      <c r="F1604" t="s">
        <v>54</v>
      </c>
      <c r="G1604" t="s">
        <v>273</v>
      </c>
      <c r="H1604" t="s">
        <v>262</v>
      </c>
      <c r="I1604" t="s">
        <v>5</v>
      </c>
      <c r="J1604" t="s">
        <v>274</v>
      </c>
      <c r="K1604" t="s">
        <v>275</v>
      </c>
      <c r="L1604" t="s">
        <v>265</v>
      </c>
      <c r="M1604">
        <v>44</v>
      </c>
      <c r="N1604" t="b">
        <v>0</v>
      </c>
      <c r="O1604">
        <v>0.7723214285714286</v>
      </c>
      <c r="P1604">
        <v>0.76548672566371678</v>
      </c>
      <c r="Q1604">
        <v>0.77927927927927931</v>
      </c>
      <c r="R1604" t="s">
        <v>60</v>
      </c>
      <c r="S1604" t="s">
        <v>3635</v>
      </c>
      <c r="T1604" t="s">
        <v>3636</v>
      </c>
      <c r="U1604" t="b">
        <v>1</v>
      </c>
      <c r="V1604" t="s">
        <v>63</v>
      </c>
      <c r="W1604">
        <v>1.9</v>
      </c>
    </row>
    <row r="1605" spans="1:23" hidden="1" x14ac:dyDescent="0.3">
      <c r="A1605" t="s">
        <v>2830</v>
      </c>
      <c r="B1605" t="s">
        <v>2831</v>
      </c>
      <c r="C1605" t="s">
        <v>29</v>
      </c>
      <c r="D1605" t="s">
        <v>24</v>
      </c>
      <c r="E1605" t="s">
        <v>25</v>
      </c>
      <c r="F1605" t="s">
        <v>54</v>
      </c>
      <c r="G1605" t="s">
        <v>278</v>
      </c>
      <c r="H1605" t="s">
        <v>262</v>
      </c>
      <c r="I1605" t="s">
        <v>5</v>
      </c>
      <c r="J1605" t="s">
        <v>279</v>
      </c>
      <c r="K1605" t="s">
        <v>280</v>
      </c>
      <c r="L1605" t="s">
        <v>265</v>
      </c>
      <c r="M1605">
        <v>45</v>
      </c>
      <c r="N1605" t="b">
        <v>0</v>
      </c>
      <c r="O1605">
        <v>0.77533039647577084</v>
      </c>
      <c r="P1605">
        <v>0.75862068965517238</v>
      </c>
      <c r="Q1605">
        <v>0.7927927927927928</v>
      </c>
      <c r="R1605" t="s">
        <v>60</v>
      </c>
      <c r="S1605" t="s">
        <v>3637</v>
      </c>
      <c r="T1605" t="s">
        <v>3638</v>
      </c>
      <c r="U1605" t="b">
        <v>1</v>
      </c>
      <c r="V1605" t="s">
        <v>63</v>
      </c>
      <c r="W1605">
        <v>1.9</v>
      </c>
    </row>
    <row r="1606" spans="1:23" hidden="1" x14ac:dyDescent="0.3">
      <c r="A1606" t="s">
        <v>2830</v>
      </c>
      <c r="B1606" t="s">
        <v>2831</v>
      </c>
      <c r="C1606" t="s">
        <v>29</v>
      </c>
      <c r="D1606" t="s">
        <v>24</v>
      </c>
      <c r="E1606" t="s">
        <v>25</v>
      </c>
      <c r="F1606" t="s">
        <v>54</v>
      </c>
      <c r="G1606" t="s">
        <v>283</v>
      </c>
      <c r="H1606" t="s">
        <v>262</v>
      </c>
      <c r="I1606" t="s">
        <v>5</v>
      </c>
      <c r="J1606" t="s">
        <v>284</v>
      </c>
      <c r="K1606" t="s">
        <v>285</v>
      </c>
      <c r="L1606" t="s">
        <v>265</v>
      </c>
      <c r="M1606">
        <v>46</v>
      </c>
      <c r="N1606" t="b">
        <v>0</v>
      </c>
      <c r="O1606">
        <v>0.77362637362637365</v>
      </c>
      <c r="P1606">
        <v>0.75536480686695284</v>
      </c>
      <c r="Q1606">
        <v>0.7927927927927928</v>
      </c>
      <c r="R1606" t="s">
        <v>60</v>
      </c>
      <c r="S1606" t="s">
        <v>3639</v>
      </c>
      <c r="T1606" t="s">
        <v>3640</v>
      </c>
      <c r="U1606" t="b">
        <v>1</v>
      </c>
      <c r="V1606" t="s">
        <v>63</v>
      </c>
      <c r="W1606">
        <v>2.2000000000000002</v>
      </c>
    </row>
    <row r="1607" spans="1:23" hidden="1" x14ac:dyDescent="0.3">
      <c r="A1607" t="s">
        <v>2830</v>
      </c>
      <c r="B1607" t="s">
        <v>2831</v>
      </c>
      <c r="C1607" t="s">
        <v>29</v>
      </c>
      <c r="D1607" t="s">
        <v>24</v>
      </c>
      <c r="E1607" t="s">
        <v>25</v>
      </c>
      <c r="F1607" t="s">
        <v>54</v>
      </c>
      <c r="G1607" t="s">
        <v>288</v>
      </c>
      <c r="H1607" t="s">
        <v>262</v>
      </c>
      <c r="I1607" t="s">
        <v>5</v>
      </c>
      <c r="J1607" t="s">
        <v>289</v>
      </c>
      <c r="K1607" t="s">
        <v>290</v>
      </c>
      <c r="L1607" t="s">
        <v>265</v>
      </c>
      <c r="M1607">
        <v>47</v>
      </c>
      <c r="N1607" t="b">
        <v>0</v>
      </c>
      <c r="O1607">
        <v>0.7814569536423841</v>
      </c>
      <c r="P1607">
        <v>0.76623376623376627</v>
      </c>
      <c r="Q1607">
        <v>0.79729729729729726</v>
      </c>
      <c r="R1607" t="s">
        <v>60</v>
      </c>
      <c r="S1607" t="s">
        <v>3641</v>
      </c>
      <c r="T1607" t="s">
        <v>3642</v>
      </c>
      <c r="U1607" t="b">
        <v>1</v>
      </c>
      <c r="V1607" t="s">
        <v>63</v>
      </c>
      <c r="W1607">
        <v>1.8</v>
      </c>
    </row>
    <row r="1608" spans="1:23" hidden="1" x14ac:dyDescent="0.3">
      <c r="A1608" t="s">
        <v>2830</v>
      </c>
      <c r="B1608" t="s">
        <v>2831</v>
      </c>
      <c r="C1608" t="s">
        <v>29</v>
      </c>
      <c r="D1608" t="s">
        <v>24</v>
      </c>
      <c r="E1608" t="s">
        <v>25</v>
      </c>
      <c r="F1608" t="s">
        <v>54</v>
      </c>
      <c r="G1608" t="s">
        <v>293</v>
      </c>
      <c r="H1608" t="s">
        <v>262</v>
      </c>
      <c r="I1608" t="s">
        <v>5</v>
      </c>
      <c r="J1608" t="s">
        <v>294</v>
      </c>
      <c r="K1608" t="s">
        <v>295</v>
      </c>
      <c r="L1608" t="s">
        <v>265</v>
      </c>
      <c r="M1608">
        <v>48</v>
      </c>
      <c r="N1608" t="b">
        <v>0</v>
      </c>
      <c r="O1608">
        <v>0.77777777777777768</v>
      </c>
      <c r="P1608">
        <v>0.76754385964912286</v>
      </c>
      <c r="Q1608">
        <v>0.78828828828828834</v>
      </c>
      <c r="R1608" t="s">
        <v>60</v>
      </c>
      <c r="S1608" t="s">
        <v>3643</v>
      </c>
      <c r="T1608" t="s">
        <v>3644</v>
      </c>
      <c r="U1608" t="b">
        <v>1</v>
      </c>
      <c r="V1608" t="s">
        <v>63</v>
      </c>
      <c r="W1608">
        <v>1.8</v>
      </c>
    </row>
    <row r="1609" spans="1:23" hidden="1" x14ac:dyDescent="0.3">
      <c r="A1609" t="s">
        <v>2830</v>
      </c>
      <c r="B1609" t="s">
        <v>2831</v>
      </c>
      <c r="C1609" t="s">
        <v>29</v>
      </c>
      <c r="D1609" t="s">
        <v>24</v>
      </c>
      <c r="E1609" t="s">
        <v>25</v>
      </c>
      <c r="F1609" t="s">
        <v>54</v>
      </c>
      <c r="G1609" t="s">
        <v>298</v>
      </c>
      <c r="H1609" t="s">
        <v>262</v>
      </c>
      <c r="I1609" t="s">
        <v>5</v>
      </c>
      <c r="J1609" t="s">
        <v>299</v>
      </c>
      <c r="K1609" t="s">
        <v>300</v>
      </c>
      <c r="L1609" t="s">
        <v>265</v>
      </c>
      <c r="M1609">
        <v>49</v>
      </c>
      <c r="N1609" t="b">
        <v>0</v>
      </c>
      <c r="O1609">
        <v>0.77973568281938332</v>
      </c>
      <c r="P1609">
        <v>0.76293103448275867</v>
      </c>
      <c r="Q1609">
        <v>0.79729729729729726</v>
      </c>
      <c r="R1609" t="s">
        <v>60</v>
      </c>
      <c r="S1609" t="s">
        <v>3645</v>
      </c>
      <c r="T1609" t="s">
        <v>3646</v>
      </c>
      <c r="U1609" t="b">
        <v>1</v>
      </c>
      <c r="V1609" t="s">
        <v>63</v>
      </c>
      <c r="W1609">
        <v>2.2999999999999998</v>
      </c>
    </row>
    <row r="1610" spans="1:23" hidden="1" x14ac:dyDescent="0.3">
      <c r="A1610" t="s">
        <v>2830</v>
      </c>
      <c r="B1610" t="s">
        <v>2831</v>
      </c>
      <c r="C1610" t="s">
        <v>29</v>
      </c>
      <c r="D1610" t="s">
        <v>24</v>
      </c>
      <c r="E1610" t="s">
        <v>25</v>
      </c>
      <c r="F1610" t="s">
        <v>54</v>
      </c>
      <c r="G1610" t="s">
        <v>303</v>
      </c>
      <c r="H1610" t="s">
        <v>262</v>
      </c>
      <c r="I1610" t="s">
        <v>5</v>
      </c>
      <c r="J1610" t="s">
        <v>304</v>
      </c>
      <c r="K1610" t="s">
        <v>305</v>
      </c>
      <c r="L1610" t="s">
        <v>265</v>
      </c>
      <c r="M1610">
        <v>50</v>
      </c>
      <c r="N1610" t="b">
        <v>0</v>
      </c>
      <c r="O1610">
        <v>0.77876106194690264</v>
      </c>
      <c r="P1610">
        <v>0.76521739130434785</v>
      </c>
      <c r="Q1610">
        <v>0.7927927927927928</v>
      </c>
      <c r="R1610" t="s">
        <v>60</v>
      </c>
      <c r="S1610" t="s">
        <v>3647</v>
      </c>
      <c r="T1610" t="s">
        <v>3648</v>
      </c>
      <c r="U1610" t="b">
        <v>1</v>
      </c>
      <c r="V1610" t="s">
        <v>63</v>
      </c>
      <c r="W1610">
        <v>1.9</v>
      </c>
    </row>
    <row r="1611" spans="1:23" hidden="1" x14ac:dyDescent="0.3">
      <c r="A1611" t="s">
        <v>2830</v>
      </c>
      <c r="B1611" t="s">
        <v>2831</v>
      </c>
      <c r="C1611" t="s">
        <v>29</v>
      </c>
      <c r="D1611" t="s">
        <v>24</v>
      </c>
      <c r="E1611" t="s">
        <v>25</v>
      </c>
      <c r="F1611" t="s">
        <v>54</v>
      </c>
      <c r="G1611" t="s">
        <v>308</v>
      </c>
      <c r="H1611" t="s">
        <v>262</v>
      </c>
      <c r="I1611" t="s">
        <v>5</v>
      </c>
      <c r="J1611" t="s">
        <v>309</v>
      </c>
      <c r="K1611" t="s">
        <v>310</v>
      </c>
      <c r="L1611" t="s">
        <v>265</v>
      </c>
      <c r="M1611">
        <v>51</v>
      </c>
      <c r="N1611" t="b">
        <v>0</v>
      </c>
      <c r="O1611">
        <v>0.77362637362637365</v>
      </c>
      <c r="P1611">
        <v>0.75536480686695284</v>
      </c>
      <c r="Q1611">
        <v>0.7927927927927928</v>
      </c>
      <c r="R1611" t="s">
        <v>60</v>
      </c>
      <c r="S1611" t="s">
        <v>3649</v>
      </c>
      <c r="T1611" t="s">
        <v>3650</v>
      </c>
      <c r="U1611" t="b">
        <v>1</v>
      </c>
      <c r="V1611" t="s">
        <v>63</v>
      </c>
      <c r="W1611">
        <v>1.9</v>
      </c>
    </row>
    <row r="1612" spans="1:23" hidden="1" x14ac:dyDescent="0.3">
      <c r="A1612" t="s">
        <v>2830</v>
      </c>
      <c r="B1612" t="s">
        <v>2831</v>
      </c>
      <c r="C1612" t="s">
        <v>29</v>
      </c>
      <c r="D1612" t="s">
        <v>24</v>
      </c>
      <c r="E1612" t="s">
        <v>25</v>
      </c>
      <c r="F1612" t="s">
        <v>54</v>
      </c>
      <c r="G1612" t="s">
        <v>313</v>
      </c>
      <c r="H1612" t="s">
        <v>262</v>
      </c>
      <c r="I1612" t="s">
        <v>5</v>
      </c>
      <c r="J1612" t="s">
        <v>314</v>
      </c>
      <c r="K1612" t="s">
        <v>315</v>
      </c>
      <c r="L1612" t="s">
        <v>265</v>
      </c>
      <c r="M1612">
        <v>52</v>
      </c>
      <c r="N1612" t="b">
        <v>0</v>
      </c>
      <c r="O1612">
        <v>0.77876106194690264</v>
      </c>
      <c r="P1612">
        <v>0.76521739130434785</v>
      </c>
      <c r="Q1612">
        <v>0.7927927927927928</v>
      </c>
      <c r="R1612" t="s">
        <v>60</v>
      </c>
      <c r="S1612" t="s">
        <v>3651</v>
      </c>
      <c r="T1612" t="s">
        <v>3652</v>
      </c>
      <c r="U1612" t="b">
        <v>1</v>
      </c>
      <c r="V1612" t="s">
        <v>63</v>
      </c>
      <c r="W1612">
        <v>2.2999999999999998</v>
      </c>
    </row>
    <row r="1613" spans="1:23" hidden="1" x14ac:dyDescent="0.3">
      <c r="A1613" t="s">
        <v>2830</v>
      </c>
      <c r="B1613" t="s">
        <v>2831</v>
      </c>
      <c r="C1613" t="s">
        <v>29</v>
      </c>
      <c r="D1613" t="s">
        <v>24</v>
      </c>
      <c r="E1613" t="s">
        <v>25</v>
      </c>
      <c r="F1613" t="s">
        <v>54</v>
      </c>
      <c r="G1613" t="s">
        <v>318</v>
      </c>
      <c r="H1613" t="s">
        <v>262</v>
      </c>
      <c r="I1613" t="s">
        <v>5</v>
      </c>
      <c r="J1613" t="s">
        <v>319</v>
      </c>
      <c r="K1613" t="s">
        <v>320</v>
      </c>
      <c r="L1613" t="s">
        <v>265</v>
      </c>
      <c r="M1613">
        <v>53</v>
      </c>
      <c r="N1613" t="b">
        <v>0</v>
      </c>
      <c r="O1613">
        <v>0.78396436525612467</v>
      </c>
      <c r="P1613">
        <v>0.77533039647577096</v>
      </c>
      <c r="Q1613">
        <v>0.7927927927927928</v>
      </c>
      <c r="R1613" t="s">
        <v>60</v>
      </c>
      <c r="S1613" t="s">
        <v>3653</v>
      </c>
      <c r="T1613" t="s">
        <v>3654</v>
      </c>
      <c r="U1613" t="b">
        <v>1</v>
      </c>
      <c r="V1613" t="s">
        <v>63</v>
      </c>
      <c r="W1613">
        <v>1.8</v>
      </c>
    </row>
    <row r="1614" spans="1:23" hidden="1" x14ac:dyDescent="0.3">
      <c r="A1614" t="s">
        <v>2830</v>
      </c>
      <c r="B1614" t="s">
        <v>2831</v>
      </c>
      <c r="C1614" t="s">
        <v>29</v>
      </c>
      <c r="D1614" t="s">
        <v>24</v>
      </c>
      <c r="E1614" t="s">
        <v>25</v>
      </c>
      <c r="F1614" t="s">
        <v>54</v>
      </c>
      <c r="G1614" t="s">
        <v>323</v>
      </c>
      <c r="H1614" t="s">
        <v>262</v>
      </c>
      <c r="I1614" t="s">
        <v>5</v>
      </c>
      <c r="J1614" t="s">
        <v>324</v>
      </c>
      <c r="K1614" t="s">
        <v>325</v>
      </c>
      <c r="L1614" t="s">
        <v>265</v>
      </c>
      <c r="M1614">
        <v>54</v>
      </c>
      <c r="N1614" t="b">
        <v>0</v>
      </c>
      <c r="O1614">
        <v>0.78125</v>
      </c>
      <c r="P1614">
        <v>0.77433628318584069</v>
      </c>
      <c r="Q1614">
        <v>0.78828828828828834</v>
      </c>
      <c r="R1614" t="s">
        <v>60</v>
      </c>
      <c r="S1614" t="s">
        <v>3655</v>
      </c>
      <c r="T1614" t="s">
        <v>3656</v>
      </c>
      <c r="U1614" t="b">
        <v>1</v>
      </c>
      <c r="V1614" t="s">
        <v>63</v>
      </c>
      <c r="W1614">
        <v>1.9</v>
      </c>
    </row>
    <row r="1615" spans="1:23" hidden="1" x14ac:dyDescent="0.3">
      <c r="A1615" t="s">
        <v>2830</v>
      </c>
      <c r="B1615" t="s">
        <v>2831</v>
      </c>
      <c r="C1615" t="s">
        <v>29</v>
      </c>
      <c r="D1615" t="s">
        <v>24</v>
      </c>
      <c r="E1615" t="s">
        <v>25</v>
      </c>
      <c r="F1615" t="s">
        <v>54</v>
      </c>
      <c r="G1615" t="s">
        <v>328</v>
      </c>
      <c r="H1615" t="s">
        <v>262</v>
      </c>
      <c r="I1615" t="s">
        <v>5</v>
      </c>
      <c r="J1615" t="s">
        <v>329</v>
      </c>
      <c r="K1615" t="s">
        <v>330</v>
      </c>
      <c r="L1615" t="s">
        <v>265</v>
      </c>
      <c r="M1615">
        <v>55</v>
      </c>
      <c r="N1615" t="b">
        <v>0</v>
      </c>
      <c r="O1615">
        <v>0.78841870824053439</v>
      </c>
      <c r="P1615">
        <v>0.77973568281938321</v>
      </c>
      <c r="Q1615">
        <v>0.79729729729729726</v>
      </c>
      <c r="R1615" t="s">
        <v>60</v>
      </c>
      <c r="S1615" t="s">
        <v>3657</v>
      </c>
      <c r="T1615" t="s">
        <v>3658</v>
      </c>
      <c r="U1615" t="b">
        <v>1</v>
      </c>
      <c r="V1615" t="s">
        <v>63</v>
      </c>
      <c r="W1615">
        <v>1.9</v>
      </c>
    </row>
    <row r="1616" spans="1:23" hidden="1" x14ac:dyDescent="0.3">
      <c r="A1616" t="s">
        <v>2830</v>
      </c>
      <c r="B1616" t="s">
        <v>2831</v>
      </c>
      <c r="C1616" t="s">
        <v>29</v>
      </c>
      <c r="D1616" t="s">
        <v>24</v>
      </c>
      <c r="E1616" t="s">
        <v>25</v>
      </c>
      <c r="F1616" t="s">
        <v>54</v>
      </c>
      <c r="G1616" t="s">
        <v>333</v>
      </c>
      <c r="H1616" t="s">
        <v>262</v>
      </c>
      <c r="I1616" t="s">
        <v>5</v>
      </c>
      <c r="J1616" t="s">
        <v>334</v>
      </c>
      <c r="K1616" t="s">
        <v>335</v>
      </c>
      <c r="L1616" t="s">
        <v>265</v>
      </c>
      <c r="M1616">
        <v>56</v>
      </c>
      <c r="N1616" t="b">
        <v>0</v>
      </c>
      <c r="O1616">
        <v>0.77262693156732898</v>
      </c>
      <c r="P1616">
        <v>0.75757575757575757</v>
      </c>
      <c r="Q1616">
        <v>0.78828828828828834</v>
      </c>
      <c r="R1616" t="s">
        <v>60</v>
      </c>
      <c r="S1616" t="s">
        <v>3659</v>
      </c>
      <c r="T1616" t="s">
        <v>3660</v>
      </c>
      <c r="U1616" t="b">
        <v>1</v>
      </c>
      <c r="V1616" t="s">
        <v>63</v>
      </c>
      <c r="W1616">
        <v>2.4</v>
      </c>
    </row>
    <row r="1617" spans="1:23" hidden="1" x14ac:dyDescent="0.3">
      <c r="A1617" t="s">
        <v>2830</v>
      </c>
      <c r="B1617" t="s">
        <v>2831</v>
      </c>
      <c r="C1617" t="s">
        <v>29</v>
      </c>
      <c r="D1617" t="s">
        <v>24</v>
      </c>
      <c r="E1617" t="s">
        <v>25</v>
      </c>
      <c r="F1617" t="s">
        <v>54</v>
      </c>
      <c r="G1617" t="s">
        <v>338</v>
      </c>
      <c r="H1617" t="s">
        <v>262</v>
      </c>
      <c r="I1617" t="s">
        <v>5</v>
      </c>
      <c r="J1617" t="s">
        <v>339</v>
      </c>
      <c r="K1617" t="s">
        <v>340</v>
      </c>
      <c r="L1617" t="s">
        <v>265</v>
      </c>
      <c r="M1617">
        <v>57</v>
      </c>
      <c r="N1617" t="b">
        <v>0</v>
      </c>
      <c r="O1617">
        <v>0.78222222222222215</v>
      </c>
      <c r="P1617">
        <v>0.77192982456140347</v>
      </c>
      <c r="Q1617">
        <v>0.7927927927927928</v>
      </c>
      <c r="R1617" t="s">
        <v>60</v>
      </c>
      <c r="S1617" t="s">
        <v>3661</v>
      </c>
      <c r="T1617" t="s">
        <v>3662</v>
      </c>
      <c r="U1617" t="b">
        <v>1</v>
      </c>
      <c r="V1617" t="s">
        <v>63</v>
      </c>
      <c r="W1617">
        <v>1.8</v>
      </c>
    </row>
    <row r="1618" spans="1:23" hidden="1" x14ac:dyDescent="0.3">
      <c r="A1618" t="s">
        <v>2830</v>
      </c>
      <c r="B1618" t="s">
        <v>2831</v>
      </c>
      <c r="C1618" t="s">
        <v>29</v>
      </c>
      <c r="D1618" t="s">
        <v>24</v>
      </c>
      <c r="E1618" t="s">
        <v>25</v>
      </c>
      <c r="F1618" t="s">
        <v>54</v>
      </c>
      <c r="G1618" t="s">
        <v>343</v>
      </c>
      <c r="H1618" t="s">
        <v>262</v>
      </c>
      <c r="I1618" t="s">
        <v>5</v>
      </c>
      <c r="J1618" t="s">
        <v>344</v>
      </c>
      <c r="K1618" t="s">
        <v>345</v>
      </c>
      <c r="L1618" t="s">
        <v>265</v>
      </c>
      <c r="M1618">
        <v>58</v>
      </c>
      <c r="N1618" t="b">
        <v>0</v>
      </c>
      <c r="O1618">
        <v>0.7723214285714286</v>
      </c>
      <c r="P1618">
        <v>0.76548672566371678</v>
      </c>
      <c r="Q1618">
        <v>0.77927927927927931</v>
      </c>
      <c r="R1618" t="s">
        <v>60</v>
      </c>
      <c r="S1618" t="s">
        <v>3663</v>
      </c>
      <c r="T1618" t="s">
        <v>3664</v>
      </c>
      <c r="U1618" t="b">
        <v>1</v>
      </c>
      <c r="V1618" t="s">
        <v>63</v>
      </c>
      <c r="W1618">
        <v>1.9</v>
      </c>
    </row>
    <row r="1619" spans="1:23" hidden="1" x14ac:dyDescent="0.3">
      <c r="A1619" t="s">
        <v>2830</v>
      </c>
      <c r="B1619" t="s">
        <v>2831</v>
      </c>
      <c r="C1619" t="s">
        <v>29</v>
      </c>
      <c r="D1619" t="s">
        <v>24</v>
      </c>
      <c r="E1619" t="s">
        <v>25</v>
      </c>
      <c r="F1619" t="s">
        <v>54</v>
      </c>
      <c r="G1619" t="s">
        <v>348</v>
      </c>
      <c r="H1619" t="s">
        <v>262</v>
      </c>
      <c r="I1619" t="s">
        <v>5</v>
      </c>
      <c r="J1619" t="s">
        <v>349</v>
      </c>
      <c r="K1619" t="s">
        <v>350</v>
      </c>
      <c r="L1619" t="s">
        <v>265</v>
      </c>
      <c r="M1619">
        <v>59</v>
      </c>
      <c r="N1619" t="b">
        <v>0</v>
      </c>
      <c r="O1619">
        <v>0.77605321507760539</v>
      </c>
      <c r="P1619">
        <v>0.76419213973799127</v>
      </c>
      <c r="Q1619">
        <v>0.78828828828828834</v>
      </c>
      <c r="R1619" t="s">
        <v>60</v>
      </c>
      <c r="S1619" t="s">
        <v>3665</v>
      </c>
      <c r="T1619" t="s">
        <v>3666</v>
      </c>
      <c r="U1619" t="b">
        <v>1</v>
      </c>
      <c r="V1619" t="s">
        <v>63</v>
      </c>
      <c r="W1619">
        <v>2.2999999999999998</v>
      </c>
    </row>
    <row r="1620" spans="1:23" hidden="1" x14ac:dyDescent="0.3">
      <c r="A1620" t="s">
        <v>2830</v>
      </c>
      <c r="B1620" t="s">
        <v>2831</v>
      </c>
      <c r="C1620" t="s">
        <v>29</v>
      </c>
      <c r="D1620" t="s">
        <v>24</v>
      </c>
      <c r="E1620" t="s">
        <v>25</v>
      </c>
      <c r="F1620" t="s">
        <v>54</v>
      </c>
      <c r="G1620" t="s">
        <v>353</v>
      </c>
      <c r="H1620" t="s">
        <v>262</v>
      </c>
      <c r="I1620" t="s">
        <v>5</v>
      </c>
      <c r="J1620" t="s">
        <v>354</v>
      </c>
      <c r="K1620" t="s">
        <v>355</v>
      </c>
      <c r="L1620" t="s">
        <v>265</v>
      </c>
      <c r="M1620">
        <v>60</v>
      </c>
      <c r="N1620" t="b">
        <v>0</v>
      </c>
      <c r="O1620">
        <v>0.76888888888888896</v>
      </c>
      <c r="P1620">
        <v>0.75877192982456143</v>
      </c>
      <c r="Q1620">
        <v>0.77927927927927931</v>
      </c>
      <c r="R1620" t="s">
        <v>60</v>
      </c>
      <c r="S1620" t="s">
        <v>3667</v>
      </c>
      <c r="T1620" t="s">
        <v>3668</v>
      </c>
      <c r="U1620" t="b">
        <v>1</v>
      </c>
      <c r="V1620" t="s">
        <v>63</v>
      </c>
      <c r="W1620">
        <v>1.9</v>
      </c>
    </row>
    <row r="1621" spans="1:23" hidden="1" x14ac:dyDescent="0.3">
      <c r="A1621" t="s">
        <v>2830</v>
      </c>
      <c r="B1621" t="s">
        <v>2831</v>
      </c>
      <c r="C1621" t="s">
        <v>29</v>
      </c>
      <c r="D1621" t="s">
        <v>24</v>
      </c>
      <c r="E1621" t="s">
        <v>25</v>
      </c>
      <c r="F1621" t="s">
        <v>54</v>
      </c>
      <c r="G1621" t="s">
        <v>358</v>
      </c>
      <c r="H1621" t="s">
        <v>262</v>
      </c>
      <c r="I1621" t="s">
        <v>5</v>
      </c>
      <c r="J1621" t="s">
        <v>359</v>
      </c>
      <c r="K1621" t="s">
        <v>360</v>
      </c>
      <c r="L1621" t="s">
        <v>265</v>
      </c>
      <c r="M1621">
        <v>61</v>
      </c>
      <c r="N1621" t="b">
        <v>0</v>
      </c>
      <c r="O1621">
        <v>0.7743362831858408</v>
      </c>
      <c r="P1621">
        <v>0.76086956521739135</v>
      </c>
      <c r="Q1621">
        <v>0.78828828828828834</v>
      </c>
      <c r="R1621" t="s">
        <v>60</v>
      </c>
      <c r="S1621" t="s">
        <v>3669</v>
      </c>
      <c r="T1621" t="s">
        <v>3670</v>
      </c>
      <c r="U1621" t="b">
        <v>1</v>
      </c>
      <c r="V1621" t="s">
        <v>63</v>
      </c>
      <c r="W1621">
        <v>1.8</v>
      </c>
    </row>
    <row r="1622" spans="1:23" hidden="1" x14ac:dyDescent="0.3">
      <c r="A1622" t="s">
        <v>2830</v>
      </c>
      <c r="B1622" t="s">
        <v>2831</v>
      </c>
      <c r="C1622" t="s">
        <v>29</v>
      </c>
      <c r="D1622" t="s">
        <v>24</v>
      </c>
      <c r="E1622" t="s">
        <v>25</v>
      </c>
      <c r="F1622" t="s">
        <v>363</v>
      </c>
      <c r="G1622" t="s">
        <v>364</v>
      </c>
      <c r="H1622" t="s">
        <v>365</v>
      </c>
      <c r="I1622" t="s">
        <v>13</v>
      </c>
      <c r="J1622" t="s">
        <v>366</v>
      </c>
      <c r="K1622" t="s">
        <v>367</v>
      </c>
      <c r="L1622" t="s">
        <v>368</v>
      </c>
      <c r="M1622">
        <v>42</v>
      </c>
      <c r="N1622" t="b">
        <v>0</v>
      </c>
      <c r="O1622">
        <v>0.77754677754677759</v>
      </c>
      <c r="P1622">
        <v>0.7450199203187251</v>
      </c>
      <c r="Q1622">
        <v>0.81304347826086953</v>
      </c>
      <c r="R1622" t="s">
        <v>60</v>
      </c>
      <c r="S1622" t="s">
        <v>3671</v>
      </c>
      <c r="T1622" t="s">
        <v>3672</v>
      </c>
      <c r="U1622" t="b">
        <v>1</v>
      </c>
      <c r="V1622" t="s">
        <v>63</v>
      </c>
      <c r="W1622">
        <v>2.2999999999999998</v>
      </c>
    </row>
    <row r="1623" spans="1:23" hidden="1" x14ac:dyDescent="0.3">
      <c r="A1623" t="s">
        <v>2830</v>
      </c>
      <c r="B1623" t="s">
        <v>2831</v>
      </c>
      <c r="C1623" t="s">
        <v>29</v>
      </c>
      <c r="D1623" t="s">
        <v>24</v>
      </c>
      <c r="E1623" t="s">
        <v>25</v>
      </c>
      <c r="F1623" t="s">
        <v>363</v>
      </c>
      <c r="G1623" t="s">
        <v>371</v>
      </c>
      <c r="H1623" t="s">
        <v>365</v>
      </c>
      <c r="I1623" t="s">
        <v>13</v>
      </c>
      <c r="J1623" t="s">
        <v>372</v>
      </c>
      <c r="K1623" t="s">
        <v>373</v>
      </c>
      <c r="L1623" t="s">
        <v>368</v>
      </c>
      <c r="M1623">
        <v>43</v>
      </c>
      <c r="N1623" t="b">
        <v>0</v>
      </c>
      <c r="O1623">
        <v>0.77661795407098111</v>
      </c>
      <c r="P1623">
        <v>0.74698795180722888</v>
      </c>
      <c r="Q1623">
        <v>0.80869565217391304</v>
      </c>
      <c r="R1623" t="s">
        <v>60</v>
      </c>
      <c r="S1623" t="s">
        <v>3673</v>
      </c>
      <c r="T1623" t="s">
        <v>3674</v>
      </c>
      <c r="U1623" t="b">
        <v>1</v>
      </c>
      <c r="V1623" t="s">
        <v>63</v>
      </c>
      <c r="W1623">
        <v>1.9</v>
      </c>
    </row>
    <row r="1624" spans="1:23" hidden="1" x14ac:dyDescent="0.3">
      <c r="A1624" t="s">
        <v>2830</v>
      </c>
      <c r="B1624" t="s">
        <v>2831</v>
      </c>
      <c r="C1624" t="s">
        <v>29</v>
      </c>
      <c r="D1624" t="s">
        <v>24</v>
      </c>
      <c r="E1624" t="s">
        <v>25</v>
      </c>
      <c r="F1624" t="s">
        <v>363</v>
      </c>
      <c r="G1624" t="s">
        <v>376</v>
      </c>
      <c r="H1624" t="s">
        <v>365</v>
      </c>
      <c r="I1624" t="s">
        <v>13</v>
      </c>
      <c r="J1624" t="s">
        <v>377</v>
      </c>
      <c r="K1624" t="s">
        <v>378</v>
      </c>
      <c r="L1624" t="s">
        <v>368</v>
      </c>
      <c r="M1624">
        <v>44</v>
      </c>
      <c r="N1624" t="b">
        <v>0</v>
      </c>
      <c r="O1624">
        <v>0.79417879417879422</v>
      </c>
      <c r="P1624">
        <v>0.76095617529880477</v>
      </c>
      <c r="Q1624">
        <v>0.83043478260869563</v>
      </c>
      <c r="R1624" t="s">
        <v>60</v>
      </c>
      <c r="S1624" t="s">
        <v>3675</v>
      </c>
      <c r="T1624" t="s">
        <v>3676</v>
      </c>
      <c r="U1624" t="b">
        <v>1</v>
      </c>
      <c r="V1624" t="s">
        <v>63</v>
      </c>
      <c r="W1624">
        <v>1.9</v>
      </c>
    </row>
    <row r="1625" spans="1:23" hidden="1" x14ac:dyDescent="0.3">
      <c r="A1625" t="s">
        <v>2830</v>
      </c>
      <c r="B1625" t="s">
        <v>2831</v>
      </c>
      <c r="C1625" t="s">
        <v>29</v>
      </c>
      <c r="D1625" t="s">
        <v>24</v>
      </c>
      <c r="E1625" t="s">
        <v>25</v>
      </c>
      <c r="F1625" t="s">
        <v>363</v>
      </c>
      <c r="G1625" t="s">
        <v>381</v>
      </c>
      <c r="H1625" t="s">
        <v>365</v>
      </c>
      <c r="I1625" t="s">
        <v>13</v>
      </c>
      <c r="J1625" t="s">
        <v>382</v>
      </c>
      <c r="K1625" t="s">
        <v>383</v>
      </c>
      <c r="L1625" t="s">
        <v>368</v>
      </c>
      <c r="M1625">
        <v>45</v>
      </c>
      <c r="N1625" t="b">
        <v>0</v>
      </c>
      <c r="O1625">
        <v>0.79497907949790791</v>
      </c>
      <c r="P1625">
        <v>0.7661290322580645</v>
      </c>
      <c r="Q1625">
        <v>0.82608695652173914</v>
      </c>
      <c r="R1625" t="s">
        <v>60</v>
      </c>
      <c r="S1625" t="s">
        <v>3677</v>
      </c>
      <c r="T1625" t="s">
        <v>3678</v>
      </c>
      <c r="U1625" t="b">
        <v>1</v>
      </c>
      <c r="V1625" t="s">
        <v>63</v>
      </c>
      <c r="W1625">
        <v>2.2999999999999998</v>
      </c>
    </row>
    <row r="1626" spans="1:23" hidden="1" x14ac:dyDescent="0.3">
      <c r="A1626" t="s">
        <v>2830</v>
      </c>
      <c r="B1626" t="s">
        <v>2831</v>
      </c>
      <c r="C1626" t="s">
        <v>29</v>
      </c>
      <c r="D1626" t="s">
        <v>24</v>
      </c>
      <c r="E1626" t="s">
        <v>25</v>
      </c>
      <c r="F1626" t="s">
        <v>363</v>
      </c>
      <c r="G1626" t="s">
        <v>386</v>
      </c>
      <c r="H1626" t="s">
        <v>365</v>
      </c>
      <c r="I1626" t="s">
        <v>13</v>
      </c>
      <c r="J1626" t="s">
        <v>387</v>
      </c>
      <c r="K1626" t="s">
        <v>388</v>
      </c>
      <c r="L1626" t="s">
        <v>368</v>
      </c>
      <c r="M1626">
        <v>46</v>
      </c>
      <c r="N1626" t="b">
        <v>0</v>
      </c>
      <c r="O1626">
        <v>0.78423236514522832</v>
      </c>
      <c r="P1626">
        <v>0.75</v>
      </c>
      <c r="Q1626">
        <v>0.82173913043478264</v>
      </c>
      <c r="R1626" t="s">
        <v>60</v>
      </c>
      <c r="S1626" t="s">
        <v>3679</v>
      </c>
      <c r="T1626" t="s">
        <v>3680</v>
      </c>
      <c r="U1626" t="b">
        <v>1</v>
      </c>
      <c r="V1626" t="s">
        <v>63</v>
      </c>
      <c r="W1626">
        <v>2</v>
      </c>
    </row>
    <row r="1627" spans="1:23" hidden="1" x14ac:dyDescent="0.3">
      <c r="A1627" t="s">
        <v>2830</v>
      </c>
      <c r="B1627" t="s">
        <v>2831</v>
      </c>
      <c r="C1627" t="s">
        <v>29</v>
      </c>
      <c r="D1627" t="s">
        <v>24</v>
      </c>
      <c r="E1627" t="s">
        <v>25</v>
      </c>
      <c r="F1627" t="s">
        <v>363</v>
      </c>
      <c r="G1627" t="s">
        <v>391</v>
      </c>
      <c r="H1627" t="s">
        <v>365</v>
      </c>
      <c r="I1627" t="s">
        <v>13</v>
      </c>
      <c r="J1627" t="s">
        <v>392</v>
      </c>
      <c r="K1627" t="s">
        <v>393</v>
      </c>
      <c r="L1627" t="s">
        <v>368</v>
      </c>
      <c r="M1627">
        <v>47</v>
      </c>
      <c r="N1627" t="b">
        <v>0</v>
      </c>
      <c r="O1627">
        <v>0.76422764227642281</v>
      </c>
      <c r="P1627">
        <v>0.71755725190839692</v>
      </c>
      <c r="Q1627">
        <v>0.81739130434782614</v>
      </c>
      <c r="R1627" t="s">
        <v>60</v>
      </c>
      <c r="S1627" t="s">
        <v>3681</v>
      </c>
      <c r="T1627" t="s">
        <v>3682</v>
      </c>
      <c r="U1627" t="b">
        <v>1</v>
      </c>
      <c r="V1627" t="s">
        <v>63</v>
      </c>
      <c r="W1627">
        <v>1.8</v>
      </c>
    </row>
    <row r="1628" spans="1:23" hidden="1" x14ac:dyDescent="0.3">
      <c r="A1628" t="s">
        <v>2830</v>
      </c>
      <c r="B1628" t="s">
        <v>2831</v>
      </c>
      <c r="C1628" t="s">
        <v>29</v>
      </c>
      <c r="D1628" t="s">
        <v>24</v>
      </c>
      <c r="E1628" t="s">
        <v>25</v>
      </c>
      <c r="F1628" t="s">
        <v>363</v>
      </c>
      <c r="G1628" t="s">
        <v>396</v>
      </c>
      <c r="H1628" t="s">
        <v>365</v>
      </c>
      <c r="I1628" t="s">
        <v>13</v>
      </c>
      <c r="J1628" t="s">
        <v>397</v>
      </c>
      <c r="K1628" t="s">
        <v>398</v>
      </c>
      <c r="L1628" t="s">
        <v>368</v>
      </c>
      <c r="M1628">
        <v>48</v>
      </c>
      <c r="N1628" t="b">
        <v>0</v>
      </c>
      <c r="O1628">
        <v>0.80084745762711873</v>
      </c>
      <c r="P1628">
        <v>0.78099173553719003</v>
      </c>
      <c r="Q1628">
        <v>0.82173913043478264</v>
      </c>
      <c r="R1628" t="s">
        <v>60</v>
      </c>
      <c r="S1628" t="s">
        <v>3683</v>
      </c>
      <c r="T1628" t="s">
        <v>3684</v>
      </c>
      <c r="U1628" t="b">
        <v>1</v>
      </c>
      <c r="V1628" t="s">
        <v>63</v>
      </c>
      <c r="W1628">
        <v>2.2999999999999998</v>
      </c>
    </row>
    <row r="1629" spans="1:23" hidden="1" x14ac:dyDescent="0.3">
      <c r="A1629" t="s">
        <v>2830</v>
      </c>
      <c r="B1629" t="s">
        <v>2831</v>
      </c>
      <c r="C1629" t="s">
        <v>29</v>
      </c>
      <c r="D1629" t="s">
        <v>24</v>
      </c>
      <c r="E1629" t="s">
        <v>25</v>
      </c>
      <c r="F1629" t="s">
        <v>363</v>
      </c>
      <c r="G1629" t="s">
        <v>401</v>
      </c>
      <c r="H1629" t="s">
        <v>365</v>
      </c>
      <c r="I1629" t="s">
        <v>13</v>
      </c>
      <c r="J1629" t="s">
        <v>402</v>
      </c>
      <c r="K1629" t="s">
        <v>403</v>
      </c>
      <c r="L1629" t="s">
        <v>368</v>
      </c>
      <c r="M1629">
        <v>49</v>
      </c>
      <c r="N1629" t="b">
        <v>0</v>
      </c>
      <c r="O1629">
        <v>0.78315789473684205</v>
      </c>
      <c r="P1629">
        <v>0.75918367346938775</v>
      </c>
      <c r="Q1629">
        <v>0.80869565217391304</v>
      </c>
      <c r="R1629" t="s">
        <v>60</v>
      </c>
      <c r="S1629" t="s">
        <v>3685</v>
      </c>
      <c r="T1629" t="s">
        <v>3686</v>
      </c>
      <c r="U1629" t="b">
        <v>1</v>
      </c>
      <c r="V1629" t="s">
        <v>63</v>
      </c>
      <c r="W1629">
        <v>1.8</v>
      </c>
    </row>
    <row r="1630" spans="1:23" hidden="1" x14ac:dyDescent="0.3">
      <c r="A1630" t="s">
        <v>2830</v>
      </c>
      <c r="B1630" t="s">
        <v>2831</v>
      </c>
      <c r="C1630" t="s">
        <v>29</v>
      </c>
      <c r="D1630" t="s">
        <v>24</v>
      </c>
      <c r="E1630" t="s">
        <v>25</v>
      </c>
      <c r="F1630" t="s">
        <v>363</v>
      </c>
      <c r="G1630" t="s">
        <v>406</v>
      </c>
      <c r="H1630" t="s">
        <v>365</v>
      </c>
      <c r="I1630" t="s">
        <v>13</v>
      </c>
      <c r="J1630" t="s">
        <v>407</v>
      </c>
      <c r="K1630" t="s">
        <v>408</v>
      </c>
      <c r="L1630" t="s">
        <v>368</v>
      </c>
      <c r="M1630">
        <v>50</v>
      </c>
      <c r="N1630" t="b">
        <v>0</v>
      </c>
      <c r="O1630">
        <v>0.78661087866108792</v>
      </c>
      <c r="P1630">
        <v>0.75806451612903225</v>
      </c>
      <c r="Q1630">
        <v>0.81739130434782614</v>
      </c>
      <c r="R1630" t="s">
        <v>60</v>
      </c>
      <c r="S1630" t="s">
        <v>3687</v>
      </c>
      <c r="T1630" t="s">
        <v>3688</v>
      </c>
      <c r="U1630" t="b">
        <v>1</v>
      </c>
      <c r="V1630" t="s">
        <v>63</v>
      </c>
      <c r="W1630">
        <v>2</v>
      </c>
    </row>
    <row r="1631" spans="1:23" hidden="1" x14ac:dyDescent="0.3">
      <c r="A1631" t="s">
        <v>2830</v>
      </c>
      <c r="B1631" t="s">
        <v>2831</v>
      </c>
      <c r="C1631" t="s">
        <v>29</v>
      </c>
      <c r="D1631" t="s">
        <v>24</v>
      </c>
      <c r="E1631" t="s">
        <v>25</v>
      </c>
      <c r="F1631" t="s">
        <v>363</v>
      </c>
      <c r="G1631" t="s">
        <v>411</v>
      </c>
      <c r="H1631" t="s">
        <v>365</v>
      </c>
      <c r="I1631" t="s">
        <v>13</v>
      </c>
      <c r="J1631" t="s">
        <v>412</v>
      </c>
      <c r="K1631" t="s">
        <v>413</v>
      </c>
      <c r="L1631" t="s">
        <v>368</v>
      </c>
      <c r="M1631">
        <v>51</v>
      </c>
      <c r="N1631" t="b">
        <v>0</v>
      </c>
      <c r="O1631">
        <v>0.78825995807127891</v>
      </c>
      <c r="P1631">
        <v>0.76113360323886636</v>
      </c>
      <c r="Q1631">
        <v>0.81739130434782614</v>
      </c>
      <c r="R1631" t="s">
        <v>60</v>
      </c>
      <c r="S1631" t="s">
        <v>3689</v>
      </c>
      <c r="T1631" t="s">
        <v>3690</v>
      </c>
      <c r="U1631" t="b">
        <v>1</v>
      </c>
      <c r="V1631" t="s">
        <v>63</v>
      </c>
      <c r="W1631">
        <v>2.2999999999999998</v>
      </c>
    </row>
    <row r="1632" spans="1:23" hidden="1" x14ac:dyDescent="0.3">
      <c r="A1632" t="s">
        <v>2830</v>
      </c>
      <c r="B1632" t="s">
        <v>2831</v>
      </c>
      <c r="C1632" t="s">
        <v>29</v>
      </c>
      <c r="D1632" t="s">
        <v>24</v>
      </c>
      <c r="E1632" t="s">
        <v>25</v>
      </c>
      <c r="F1632" t="s">
        <v>363</v>
      </c>
      <c r="G1632" t="s">
        <v>416</v>
      </c>
      <c r="H1632" t="s">
        <v>365</v>
      </c>
      <c r="I1632" t="s">
        <v>13</v>
      </c>
      <c r="J1632" t="s">
        <v>417</v>
      </c>
      <c r="K1632" t="s">
        <v>418</v>
      </c>
      <c r="L1632" t="s">
        <v>368</v>
      </c>
      <c r="M1632">
        <v>52</v>
      </c>
      <c r="N1632" t="b">
        <v>0</v>
      </c>
      <c r="O1632">
        <v>0.78825995807127891</v>
      </c>
      <c r="P1632">
        <v>0.76113360323886636</v>
      </c>
      <c r="Q1632">
        <v>0.81739130434782614</v>
      </c>
      <c r="R1632" t="s">
        <v>60</v>
      </c>
      <c r="S1632" t="s">
        <v>3691</v>
      </c>
      <c r="T1632" t="s">
        <v>3692</v>
      </c>
      <c r="U1632" t="b">
        <v>1</v>
      </c>
      <c r="V1632" t="s">
        <v>63</v>
      </c>
      <c r="W1632">
        <v>1.9</v>
      </c>
    </row>
    <row r="1633" spans="1:23" hidden="1" x14ac:dyDescent="0.3">
      <c r="A1633" t="s">
        <v>2830</v>
      </c>
      <c r="B1633" t="s">
        <v>2831</v>
      </c>
      <c r="C1633" t="s">
        <v>29</v>
      </c>
      <c r="D1633" t="s">
        <v>24</v>
      </c>
      <c r="E1633" t="s">
        <v>25</v>
      </c>
      <c r="F1633" t="s">
        <v>363</v>
      </c>
      <c r="G1633" t="s">
        <v>421</v>
      </c>
      <c r="H1633" t="s">
        <v>365</v>
      </c>
      <c r="I1633" t="s">
        <v>13</v>
      </c>
      <c r="J1633" t="s">
        <v>422</v>
      </c>
      <c r="K1633" t="s">
        <v>423</v>
      </c>
      <c r="L1633" t="s">
        <v>368</v>
      </c>
      <c r="M1633">
        <v>53</v>
      </c>
      <c r="N1633" t="b">
        <v>0</v>
      </c>
      <c r="O1633">
        <v>0.76826722338204589</v>
      </c>
      <c r="P1633">
        <v>0.73895582329317266</v>
      </c>
      <c r="Q1633">
        <v>0.8</v>
      </c>
      <c r="R1633" t="s">
        <v>60</v>
      </c>
      <c r="S1633" t="s">
        <v>3693</v>
      </c>
      <c r="T1633" t="s">
        <v>3694</v>
      </c>
      <c r="U1633" t="b">
        <v>1</v>
      </c>
      <c r="V1633" t="s">
        <v>63</v>
      </c>
      <c r="W1633">
        <v>1.8</v>
      </c>
    </row>
    <row r="1634" spans="1:23" hidden="1" x14ac:dyDescent="0.3">
      <c r="A1634" t="s">
        <v>2830</v>
      </c>
      <c r="B1634" t="s">
        <v>2831</v>
      </c>
      <c r="C1634" t="s">
        <v>29</v>
      </c>
      <c r="D1634" t="s">
        <v>24</v>
      </c>
      <c r="E1634" t="s">
        <v>25</v>
      </c>
      <c r="F1634" t="s">
        <v>363</v>
      </c>
      <c r="G1634" t="s">
        <v>426</v>
      </c>
      <c r="H1634" t="s">
        <v>365</v>
      </c>
      <c r="I1634" t="s">
        <v>13</v>
      </c>
      <c r="J1634" t="s">
        <v>427</v>
      </c>
      <c r="K1634" t="s">
        <v>428</v>
      </c>
      <c r="L1634" t="s">
        <v>368</v>
      </c>
      <c r="M1634">
        <v>54</v>
      </c>
      <c r="N1634" t="b">
        <v>0</v>
      </c>
      <c r="O1634">
        <v>0.78170478170478175</v>
      </c>
      <c r="P1634">
        <v>0.74900398406374502</v>
      </c>
      <c r="Q1634">
        <v>0.81739130434782614</v>
      </c>
      <c r="R1634" t="s">
        <v>60</v>
      </c>
      <c r="S1634" t="s">
        <v>3695</v>
      </c>
      <c r="T1634" t="s">
        <v>3696</v>
      </c>
      <c r="U1634" t="b">
        <v>1</v>
      </c>
      <c r="V1634" t="s">
        <v>63</v>
      </c>
      <c r="W1634">
        <v>2.2999999999999998</v>
      </c>
    </row>
    <row r="1635" spans="1:23" hidden="1" x14ac:dyDescent="0.3">
      <c r="A1635" t="s">
        <v>2830</v>
      </c>
      <c r="B1635" t="s">
        <v>2831</v>
      </c>
      <c r="C1635" t="s">
        <v>29</v>
      </c>
      <c r="D1635" t="s">
        <v>24</v>
      </c>
      <c r="E1635" t="s">
        <v>25</v>
      </c>
      <c r="F1635" t="s">
        <v>363</v>
      </c>
      <c r="G1635" t="s">
        <v>431</v>
      </c>
      <c r="H1635" t="s">
        <v>365</v>
      </c>
      <c r="I1635" t="s">
        <v>13</v>
      </c>
      <c r="J1635" t="s">
        <v>432</v>
      </c>
      <c r="K1635" t="s">
        <v>433</v>
      </c>
      <c r="L1635" t="s">
        <v>368</v>
      </c>
      <c r="M1635">
        <v>55</v>
      </c>
      <c r="N1635" t="b">
        <v>0</v>
      </c>
      <c r="O1635">
        <v>0.79497907949790791</v>
      </c>
      <c r="P1635">
        <v>0.7661290322580645</v>
      </c>
      <c r="Q1635">
        <v>0.82608695652173914</v>
      </c>
      <c r="R1635" t="s">
        <v>60</v>
      </c>
      <c r="S1635" t="s">
        <v>3697</v>
      </c>
      <c r="T1635" t="s">
        <v>3698</v>
      </c>
      <c r="U1635" t="b">
        <v>1</v>
      </c>
      <c r="V1635" t="s">
        <v>63</v>
      </c>
      <c r="W1635">
        <v>1.9</v>
      </c>
    </row>
    <row r="1636" spans="1:23" hidden="1" x14ac:dyDescent="0.3">
      <c r="A1636" t="s">
        <v>2830</v>
      </c>
      <c r="B1636" t="s">
        <v>2831</v>
      </c>
      <c r="C1636" t="s">
        <v>29</v>
      </c>
      <c r="D1636" t="s">
        <v>24</v>
      </c>
      <c r="E1636" t="s">
        <v>25</v>
      </c>
      <c r="F1636" t="s">
        <v>363</v>
      </c>
      <c r="G1636" t="s">
        <v>436</v>
      </c>
      <c r="H1636" t="s">
        <v>365</v>
      </c>
      <c r="I1636" t="s">
        <v>13</v>
      </c>
      <c r="J1636" t="s">
        <v>437</v>
      </c>
      <c r="K1636" t="s">
        <v>438</v>
      </c>
      <c r="L1636" t="s">
        <v>368</v>
      </c>
      <c r="M1636">
        <v>56</v>
      </c>
      <c r="N1636" t="b">
        <v>0</v>
      </c>
      <c r="O1636">
        <v>0.77987421383647793</v>
      </c>
      <c r="P1636">
        <v>0.75303643724696356</v>
      </c>
      <c r="Q1636">
        <v>0.80869565217391304</v>
      </c>
      <c r="R1636" t="s">
        <v>60</v>
      </c>
      <c r="S1636" t="s">
        <v>3699</v>
      </c>
      <c r="T1636" t="s">
        <v>3700</v>
      </c>
      <c r="U1636" t="b">
        <v>1</v>
      </c>
      <c r="V1636" t="s">
        <v>63</v>
      </c>
      <c r="W1636">
        <v>1.8</v>
      </c>
    </row>
    <row r="1637" spans="1:23" hidden="1" x14ac:dyDescent="0.3">
      <c r="A1637" t="s">
        <v>2830</v>
      </c>
      <c r="B1637" t="s">
        <v>2831</v>
      </c>
      <c r="C1637" t="s">
        <v>29</v>
      </c>
      <c r="D1637" t="s">
        <v>24</v>
      </c>
      <c r="E1637" t="s">
        <v>25</v>
      </c>
      <c r="F1637" t="s">
        <v>363</v>
      </c>
      <c r="G1637" t="s">
        <v>441</v>
      </c>
      <c r="H1637" t="s">
        <v>365</v>
      </c>
      <c r="I1637" t="s">
        <v>13</v>
      </c>
      <c r="J1637" t="s">
        <v>442</v>
      </c>
      <c r="K1637" t="s">
        <v>443</v>
      </c>
      <c r="L1637" t="s">
        <v>368</v>
      </c>
      <c r="M1637">
        <v>57</v>
      </c>
      <c r="N1637" t="b">
        <v>0</v>
      </c>
      <c r="O1637">
        <v>0.7653276955602536</v>
      </c>
      <c r="P1637">
        <v>0.74485596707818935</v>
      </c>
      <c r="Q1637">
        <v>0.78695652173913044</v>
      </c>
      <c r="R1637" t="s">
        <v>60</v>
      </c>
      <c r="S1637" t="s">
        <v>3701</v>
      </c>
      <c r="T1637" t="s">
        <v>3702</v>
      </c>
      <c r="U1637" t="b">
        <v>1</v>
      </c>
      <c r="V1637" t="s">
        <v>63</v>
      </c>
      <c r="W1637">
        <v>2.2000000000000002</v>
      </c>
    </row>
    <row r="1638" spans="1:23" hidden="1" x14ac:dyDescent="0.3">
      <c r="A1638" t="s">
        <v>2830</v>
      </c>
      <c r="B1638" t="s">
        <v>2831</v>
      </c>
      <c r="C1638" t="s">
        <v>29</v>
      </c>
      <c r="D1638" t="s">
        <v>24</v>
      </c>
      <c r="E1638" t="s">
        <v>25</v>
      </c>
      <c r="F1638" t="s">
        <v>363</v>
      </c>
      <c r="G1638" t="s">
        <v>446</v>
      </c>
      <c r="H1638" t="s">
        <v>365</v>
      </c>
      <c r="I1638" t="s">
        <v>13</v>
      </c>
      <c r="J1638" t="s">
        <v>447</v>
      </c>
      <c r="K1638" t="s">
        <v>448</v>
      </c>
      <c r="L1638" t="s">
        <v>368</v>
      </c>
      <c r="M1638">
        <v>58</v>
      </c>
      <c r="N1638" t="b">
        <v>0</v>
      </c>
      <c r="O1638">
        <v>0.80249480249480243</v>
      </c>
      <c r="P1638">
        <v>0.7689243027888446</v>
      </c>
      <c r="Q1638">
        <v>0.83913043478260874</v>
      </c>
      <c r="R1638" t="s">
        <v>60</v>
      </c>
      <c r="S1638" t="s">
        <v>3703</v>
      </c>
      <c r="T1638" t="s">
        <v>3704</v>
      </c>
      <c r="U1638" t="b">
        <v>1</v>
      </c>
      <c r="V1638" t="s">
        <v>63</v>
      </c>
      <c r="W1638">
        <v>1.8</v>
      </c>
    </row>
    <row r="1639" spans="1:23" hidden="1" x14ac:dyDescent="0.3">
      <c r="A1639" t="s">
        <v>2830</v>
      </c>
      <c r="B1639" t="s">
        <v>2831</v>
      </c>
      <c r="C1639" t="s">
        <v>29</v>
      </c>
      <c r="D1639" t="s">
        <v>24</v>
      </c>
      <c r="E1639" t="s">
        <v>25</v>
      </c>
      <c r="F1639" t="s">
        <v>363</v>
      </c>
      <c r="G1639" t="s">
        <v>451</v>
      </c>
      <c r="H1639" t="s">
        <v>365</v>
      </c>
      <c r="I1639" t="s">
        <v>13</v>
      </c>
      <c r="J1639" t="s">
        <v>452</v>
      </c>
      <c r="K1639" t="s">
        <v>453</v>
      </c>
      <c r="L1639" t="s">
        <v>368</v>
      </c>
      <c r="M1639">
        <v>59</v>
      </c>
      <c r="N1639" t="b">
        <v>0</v>
      </c>
      <c r="O1639">
        <v>0.76763485477178417</v>
      </c>
      <c r="P1639">
        <v>0.73412698412698407</v>
      </c>
      <c r="Q1639">
        <v>0.80434782608695654</v>
      </c>
      <c r="R1639" t="s">
        <v>60</v>
      </c>
      <c r="S1639" t="s">
        <v>3705</v>
      </c>
      <c r="T1639" t="s">
        <v>3706</v>
      </c>
      <c r="U1639" t="b">
        <v>1</v>
      </c>
      <c r="V1639" t="s">
        <v>63</v>
      </c>
      <c r="W1639">
        <v>1.9</v>
      </c>
    </row>
    <row r="1640" spans="1:23" hidden="1" x14ac:dyDescent="0.3">
      <c r="A1640" t="s">
        <v>2830</v>
      </c>
      <c r="B1640" t="s">
        <v>2831</v>
      </c>
      <c r="C1640" t="s">
        <v>29</v>
      </c>
      <c r="D1640" t="s">
        <v>24</v>
      </c>
      <c r="E1640" t="s">
        <v>25</v>
      </c>
      <c r="F1640" t="s">
        <v>363</v>
      </c>
      <c r="G1640" t="s">
        <v>456</v>
      </c>
      <c r="H1640" t="s">
        <v>365</v>
      </c>
      <c r="I1640" t="s">
        <v>13</v>
      </c>
      <c r="J1640" t="s">
        <v>457</v>
      </c>
      <c r="K1640" t="s">
        <v>458</v>
      </c>
      <c r="L1640" t="s">
        <v>368</v>
      </c>
      <c r="M1640">
        <v>60</v>
      </c>
      <c r="N1640" t="b">
        <v>0</v>
      </c>
      <c r="O1640">
        <v>0.8</v>
      </c>
      <c r="P1640">
        <v>0.77551020408163263</v>
      </c>
      <c r="Q1640">
        <v>0.82608695652173914</v>
      </c>
      <c r="R1640" t="s">
        <v>60</v>
      </c>
      <c r="S1640" t="s">
        <v>3707</v>
      </c>
      <c r="T1640" t="s">
        <v>3708</v>
      </c>
      <c r="U1640" t="b">
        <v>1</v>
      </c>
      <c r="V1640" t="s">
        <v>63</v>
      </c>
      <c r="W1640">
        <v>2.2000000000000002</v>
      </c>
    </row>
    <row r="1641" spans="1:23" hidden="1" x14ac:dyDescent="0.3">
      <c r="A1641" t="s">
        <v>2830</v>
      </c>
      <c r="B1641" t="s">
        <v>2831</v>
      </c>
      <c r="C1641" t="s">
        <v>29</v>
      </c>
      <c r="D1641" t="s">
        <v>24</v>
      </c>
      <c r="E1641" t="s">
        <v>25</v>
      </c>
      <c r="F1641" t="s">
        <v>363</v>
      </c>
      <c r="G1641" t="s">
        <v>461</v>
      </c>
      <c r="H1641" t="s">
        <v>365</v>
      </c>
      <c r="I1641" t="s">
        <v>13</v>
      </c>
      <c r="J1641" t="s">
        <v>462</v>
      </c>
      <c r="K1641" t="s">
        <v>463</v>
      </c>
      <c r="L1641" t="s">
        <v>368</v>
      </c>
      <c r="M1641">
        <v>61</v>
      </c>
      <c r="N1641" t="b">
        <v>0</v>
      </c>
      <c r="O1641">
        <v>0.79237288135593209</v>
      </c>
      <c r="P1641">
        <v>0.77272727272727271</v>
      </c>
      <c r="Q1641">
        <v>0.81304347826086953</v>
      </c>
      <c r="R1641" t="s">
        <v>60</v>
      </c>
      <c r="S1641" t="s">
        <v>3709</v>
      </c>
      <c r="T1641" t="s">
        <v>3710</v>
      </c>
      <c r="U1641" t="b">
        <v>1</v>
      </c>
      <c r="V1641" t="s">
        <v>63</v>
      </c>
      <c r="W1641">
        <v>1.9</v>
      </c>
    </row>
    <row r="1642" spans="1:23" hidden="1" x14ac:dyDescent="0.3">
      <c r="A1642" t="s">
        <v>2830</v>
      </c>
      <c r="B1642" t="s">
        <v>2831</v>
      </c>
      <c r="C1642" t="s">
        <v>29</v>
      </c>
      <c r="D1642" t="s">
        <v>24</v>
      </c>
      <c r="E1642" t="s">
        <v>25</v>
      </c>
      <c r="F1642" t="s">
        <v>363</v>
      </c>
      <c r="G1642" t="s">
        <v>466</v>
      </c>
      <c r="H1642" t="s">
        <v>467</v>
      </c>
      <c r="I1642" t="s">
        <v>9</v>
      </c>
      <c r="J1642" t="s">
        <v>468</v>
      </c>
      <c r="K1642" t="s">
        <v>469</v>
      </c>
      <c r="L1642" t="s">
        <v>470</v>
      </c>
      <c r="M1642">
        <v>42</v>
      </c>
      <c r="N1642" t="b">
        <v>0</v>
      </c>
      <c r="O1642">
        <v>0.77620396600566577</v>
      </c>
      <c r="P1642">
        <v>0.74456521739130432</v>
      </c>
      <c r="Q1642">
        <v>0.81065088757396453</v>
      </c>
      <c r="R1642" t="s">
        <v>60</v>
      </c>
      <c r="S1642" t="s">
        <v>3711</v>
      </c>
      <c r="T1642" t="s">
        <v>3712</v>
      </c>
      <c r="U1642" t="b">
        <v>1</v>
      </c>
      <c r="V1642" t="s">
        <v>63</v>
      </c>
      <c r="W1642">
        <v>1.7</v>
      </c>
    </row>
    <row r="1643" spans="1:23" hidden="1" x14ac:dyDescent="0.3">
      <c r="A1643" t="s">
        <v>2830</v>
      </c>
      <c r="B1643" t="s">
        <v>2831</v>
      </c>
      <c r="C1643" t="s">
        <v>29</v>
      </c>
      <c r="D1643" t="s">
        <v>24</v>
      </c>
      <c r="E1643" t="s">
        <v>25</v>
      </c>
      <c r="F1643" t="s">
        <v>363</v>
      </c>
      <c r="G1643" t="s">
        <v>473</v>
      </c>
      <c r="H1643" t="s">
        <v>467</v>
      </c>
      <c r="I1643" t="s">
        <v>9</v>
      </c>
      <c r="J1643" t="s">
        <v>474</v>
      </c>
      <c r="K1643" t="s">
        <v>475</v>
      </c>
      <c r="L1643" t="s">
        <v>470</v>
      </c>
      <c r="M1643">
        <v>43</v>
      </c>
      <c r="N1643" t="b">
        <v>0</v>
      </c>
      <c r="O1643">
        <v>0.80110497237569056</v>
      </c>
      <c r="P1643">
        <v>0.75129533678756477</v>
      </c>
      <c r="Q1643">
        <v>0.85798816568047342</v>
      </c>
      <c r="R1643" t="s">
        <v>60</v>
      </c>
      <c r="S1643" t="s">
        <v>3713</v>
      </c>
      <c r="T1643" t="s">
        <v>3714</v>
      </c>
      <c r="U1643" t="b">
        <v>1</v>
      </c>
      <c r="V1643" t="s">
        <v>63</v>
      </c>
      <c r="W1643">
        <v>2</v>
      </c>
    </row>
    <row r="1644" spans="1:23" hidden="1" x14ac:dyDescent="0.3">
      <c r="A1644" t="s">
        <v>2830</v>
      </c>
      <c r="B1644" t="s">
        <v>2831</v>
      </c>
      <c r="C1644" t="s">
        <v>29</v>
      </c>
      <c r="D1644" t="s">
        <v>24</v>
      </c>
      <c r="E1644" t="s">
        <v>25</v>
      </c>
      <c r="F1644" t="s">
        <v>363</v>
      </c>
      <c r="G1644" t="s">
        <v>478</v>
      </c>
      <c r="H1644" t="s">
        <v>467</v>
      </c>
      <c r="I1644" t="s">
        <v>9</v>
      </c>
      <c r="J1644" t="s">
        <v>479</v>
      </c>
      <c r="K1644" t="s">
        <v>480</v>
      </c>
      <c r="L1644" t="s">
        <v>470</v>
      </c>
      <c r="M1644">
        <v>44</v>
      </c>
      <c r="N1644" t="b">
        <v>0</v>
      </c>
      <c r="O1644">
        <v>0.79885057471264365</v>
      </c>
      <c r="P1644">
        <v>0.77653631284916202</v>
      </c>
      <c r="Q1644">
        <v>0.8224852071005917</v>
      </c>
      <c r="R1644" t="s">
        <v>60</v>
      </c>
      <c r="S1644" t="s">
        <v>3715</v>
      </c>
      <c r="T1644" t="s">
        <v>3716</v>
      </c>
      <c r="U1644" t="b">
        <v>1</v>
      </c>
      <c r="V1644" t="s">
        <v>63</v>
      </c>
      <c r="W1644">
        <v>1.7</v>
      </c>
    </row>
    <row r="1645" spans="1:23" hidden="1" x14ac:dyDescent="0.3">
      <c r="A1645" t="s">
        <v>2830</v>
      </c>
      <c r="B1645" t="s">
        <v>2831</v>
      </c>
      <c r="C1645" t="s">
        <v>29</v>
      </c>
      <c r="D1645" t="s">
        <v>24</v>
      </c>
      <c r="E1645" t="s">
        <v>25</v>
      </c>
      <c r="F1645" t="s">
        <v>363</v>
      </c>
      <c r="G1645" t="s">
        <v>483</v>
      </c>
      <c r="H1645" t="s">
        <v>467</v>
      </c>
      <c r="I1645" t="s">
        <v>9</v>
      </c>
      <c r="J1645" t="s">
        <v>484</v>
      </c>
      <c r="K1645" t="s">
        <v>485</v>
      </c>
      <c r="L1645" t="s">
        <v>470</v>
      </c>
      <c r="M1645">
        <v>45</v>
      </c>
      <c r="N1645" t="b">
        <v>0</v>
      </c>
      <c r="O1645">
        <v>0.78753541076487243</v>
      </c>
      <c r="P1645">
        <v>0.75543478260869568</v>
      </c>
      <c r="Q1645">
        <v>0.8224852071005917</v>
      </c>
      <c r="R1645" t="s">
        <v>60</v>
      </c>
      <c r="S1645" t="s">
        <v>3717</v>
      </c>
      <c r="T1645" t="s">
        <v>3718</v>
      </c>
      <c r="U1645" t="b">
        <v>1</v>
      </c>
      <c r="V1645" t="s">
        <v>63</v>
      </c>
      <c r="W1645">
        <v>1.9</v>
      </c>
    </row>
    <row r="1646" spans="1:23" hidden="1" x14ac:dyDescent="0.3">
      <c r="A1646" t="s">
        <v>2830</v>
      </c>
      <c r="B1646" t="s">
        <v>2831</v>
      </c>
      <c r="C1646" t="s">
        <v>29</v>
      </c>
      <c r="D1646" t="s">
        <v>24</v>
      </c>
      <c r="E1646" t="s">
        <v>25</v>
      </c>
      <c r="F1646" t="s">
        <v>363</v>
      </c>
      <c r="G1646" t="s">
        <v>488</v>
      </c>
      <c r="H1646" t="s">
        <v>467</v>
      </c>
      <c r="I1646" t="s">
        <v>9</v>
      </c>
      <c r="J1646" t="s">
        <v>489</v>
      </c>
      <c r="K1646" t="s">
        <v>490</v>
      </c>
      <c r="L1646" t="s">
        <v>470</v>
      </c>
      <c r="M1646">
        <v>46</v>
      </c>
      <c r="N1646" t="b">
        <v>0</v>
      </c>
      <c r="O1646">
        <v>0.76836158192090398</v>
      </c>
      <c r="P1646">
        <v>0.73513513513513518</v>
      </c>
      <c r="Q1646">
        <v>0.80473372781065089</v>
      </c>
      <c r="R1646" t="s">
        <v>60</v>
      </c>
      <c r="S1646" t="s">
        <v>3719</v>
      </c>
      <c r="T1646" t="s">
        <v>3720</v>
      </c>
      <c r="U1646" t="b">
        <v>1</v>
      </c>
      <c r="V1646" t="s">
        <v>63</v>
      </c>
      <c r="W1646">
        <v>1.7</v>
      </c>
    </row>
    <row r="1647" spans="1:23" hidden="1" x14ac:dyDescent="0.3">
      <c r="A1647" t="s">
        <v>2830</v>
      </c>
      <c r="B1647" t="s">
        <v>2831</v>
      </c>
      <c r="C1647" t="s">
        <v>29</v>
      </c>
      <c r="D1647" t="s">
        <v>24</v>
      </c>
      <c r="E1647" t="s">
        <v>25</v>
      </c>
      <c r="F1647" t="s">
        <v>363</v>
      </c>
      <c r="G1647" t="s">
        <v>493</v>
      </c>
      <c r="H1647" t="s">
        <v>467</v>
      </c>
      <c r="I1647" t="s">
        <v>9</v>
      </c>
      <c r="J1647" t="s">
        <v>494</v>
      </c>
      <c r="K1647" t="s">
        <v>495</v>
      </c>
      <c r="L1647" t="s">
        <v>470</v>
      </c>
      <c r="M1647">
        <v>47</v>
      </c>
      <c r="N1647" t="b">
        <v>0</v>
      </c>
      <c r="O1647">
        <v>0.77900552486187857</v>
      </c>
      <c r="P1647">
        <v>0.73056994818652854</v>
      </c>
      <c r="Q1647">
        <v>0.83431952662721898</v>
      </c>
      <c r="R1647" t="s">
        <v>60</v>
      </c>
      <c r="S1647" t="s">
        <v>3721</v>
      </c>
      <c r="T1647" t="s">
        <v>3722</v>
      </c>
      <c r="U1647" t="b">
        <v>1</v>
      </c>
      <c r="V1647" t="s">
        <v>63</v>
      </c>
      <c r="W1647">
        <v>2.1</v>
      </c>
    </row>
    <row r="1648" spans="1:23" hidden="1" x14ac:dyDescent="0.3">
      <c r="A1648" t="s">
        <v>2830</v>
      </c>
      <c r="B1648" t="s">
        <v>2831</v>
      </c>
      <c r="C1648" t="s">
        <v>29</v>
      </c>
      <c r="D1648" t="s">
        <v>24</v>
      </c>
      <c r="E1648" t="s">
        <v>25</v>
      </c>
      <c r="F1648" t="s">
        <v>363</v>
      </c>
      <c r="G1648" t="s">
        <v>498</v>
      </c>
      <c r="H1648" t="s">
        <v>467</v>
      </c>
      <c r="I1648" t="s">
        <v>9</v>
      </c>
      <c r="J1648" t="s">
        <v>499</v>
      </c>
      <c r="K1648" t="s">
        <v>500</v>
      </c>
      <c r="L1648" t="s">
        <v>470</v>
      </c>
      <c r="M1648">
        <v>48</v>
      </c>
      <c r="N1648" t="b">
        <v>0</v>
      </c>
      <c r="O1648">
        <v>0.79005524861878451</v>
      </c>
      <c r="P1648">
        <v>0.7409326424870466</v>
      </c>
      <c r="Q1648">
        <v>0.84615384615384615</v>
      </c>
      <c r="R1648" t="s">
        <v>60</v>
      </c>
      <c r="S1648" t="s">
        <v>3723</v>
      </c>
      <c r="T1648" t="s">
        <v>3724</v>
      </c>
      <c r="U1648" t="b">
        <v>1</v>
      </c>
      <c r="V1648" t="s">
        <v>63</v>
      </c>
      <c r="W1648">
        <v>1.7</v>
      </c>
    </row>
    <row r="1649" spans="1:23" hidden="1" x14ac:dyDescent="0.3">
      <c r="A1649" t="s">
        <v>2830</v>
      </c>
      <c r="B1649" t="s">
        <v>2831</v>
      </c>
      <c r="C1649" t="s">
        <v>29</v>
      </c>
      <c r="D1649" t="s">
        <v>24</v>
      </c>
      <c r="E1649" t="s">
        <v>25</v>
      </c>
      <c r="F1649" t="s">
        <v>363</v>
      </c>
      <c r="G1649" t="s">
        <v>503</v>
      </c>
      <c r="H1649" t="s">
        <v>467</v>
      </c>
      <c r="I1649" t="s">
        <v>9</v>
      </c>
      <c r="J1649" t="s">
        <v>504</v>
      </c>
      <c r="K1649" t="s">
        <v>505</v>
      </c>
      <c r="L1649" t="s">
        <v>470</v>
      </c>
      <c r="M1649">
        <v>49</v>
      </c>
      <c r="N1649" t="b">
        <v>0</v>
      </c>
      <c r="O1649">
        <v>0.76966292134831449</v>
      </c>
      <c r="P1649">
        <v>0.73262032085561501</v>
      </c>
      <c r="Q1649">
        <v>0.81065088757396453</v>
      </c>
      <c r="R1649" t="s">
        <v>60</v>
      </c>
      <c r="S1649" t="s">
        <v>3725</v>
      </c>
      <c r="T1649" t="s">
        <v>3726</v>
      </c>
      <c r="U1649" t="b">
        <v>1</v>
      </c>
      <c r="V1649" t="s">
        <v>63</v>
      </c>
      <c r="W1649">
        <v>1.7</v>
      </c>
    </row>
    <row r="1650" spans="1:23" hidden="1" x14ac:dyDescent="0.3">
      <c r="A1650" t="s">
        <v>2830</v>
      </c>
      <c r="B1650" t="s">
        <v>2831</v>
      </c>
      <c r="C1650" t="s">
        <v>29</v>
      </c>
      <c r="D1650" t="s">
        <v>24</v>
      </c>
      <c r="E1650" t="s">
        <v>25</v>
      </c>
      <c r="F1650" t="s">
        <v>363</v>
      </c>
      <c r="G1650" t="s">
        <v>508</v>
      </c>
      <c r="H1650" t="s">
        <v>467</v>
      </c>
      <c r="I1650" t="s">
        <v>9</v>
      </c>
      <c r="J1650" t="s">
        <v>509</v>
      </c>
      <c r="K1650" t="s">
        <v>510</v>
      </c>
      <c r="L1650" t="s">
        <v>470</v>
      </c>
      <c r="M1650">
        <v>50</v>
      </c>
      <c r="N1650" t="b">
        <v>0</v>
      </c>
      <c r="O1650">
        <v>0.81894150417827294</v>
      </c>
      <c r="P1650">
        <v>0.77368421052631575</v>
      </c>
      <c r="Q1650">
        <v>0.86982248520710059</v>
      </c>
      <c r="R1650" t="s">
        <v>60</v>
      </c>
      <c r="S1650" t="s">
        <v>3727</v>
      </c>
      <c r="T1650" t="s">
        <v>3728</v>
      </c>
      <c r="U1650" t="b">
        <v>1</v>
      </c>
      <c r="V1650" t="s">
        <v>63</v>
      </c>
      <c r="W1650">
        <v>2.1</v>
      </c>
    </row>
    <row r="1651" spans="1:23" hidden="1" x14ac:dyDescent="0.3">
      <c r="A1651" t="s">
        <v>2830</v>
      </c>
      <c r="B1651" t="s">
        <v>2831</v>
      </c>
      <c r="C1651" t="s">
        <v>29</v>
      </c>
      <c r="D1651" t="s">
        <v>24</v>
      </c>
      <c r="E1651" t="s">
        <v>25</v>
      </c>
      <c r="F1651" t="s">
        <v>363</v>
      </c>
      <c r="G1651" t="s">
        <v>513</v>
      </c>
      <c r="H1651" t="s">
        <v>467</v>
      </c>
      <c r="I1651" t="s">
        <v>9</v>
      </c>
      <c r="J1651" t="s">
        <v>514</v>
      </c>
      <c r="K1651" t="s">
        <v>515</v>
      </c>
      <c r="L1651" t="s">
        <v>470</v>
      </c>
      <c r="M1651">
        <v>51</v>
      </c>
      <c r="N1651" t="b">
        <v>0</v>
      </c>
      <c r="O1651">
        <v>0.78991596638655459</v>
      </c>
      <c r="P1651">
        <v>0.75</v>
      </c>
      <c r="Q1651">
        <v>0.83431952662721898</v>
      </c>
      <c r="R1651" t="s">
        <v>60</v>
      </c>
      <c r="S1651" t="s">
        <v>3729</v>
      </c>
      <c r="T1651" t="s">
        <v>3730</v>
      </c>
      <c r="U1651" t="b">
        <v>1</v>
      </c>
      <c r="V1651" t="s">
        <v>63</v>
      </c>
      <c r="W1651">
        <v>1.7</v>
      </c>
    </row>
    <row r="1652" spans="1:23" hidden="1" x14ac:dyDescent="0.3">
      <c r="A1652" t="s">
        <v>2830</v>
      </c>
      <c r="B1652" t="s">
        <v>2831</v>
      </c>
      <c r="C1652" t="s">
        <v>29</v>
      </c>
      <c r="D1652" t="s">
        <v>24</v>
      </c>
      <c r="E1652" t="s">
        <v>25</v>
      </c>
      <c r="F1652" t="s">
        <v>363</v>
      </c>
      <c r="G1652" t="s">
        <v>518</v>
      </c>
      <c r="H1652" t="s">
        <v>467</v>
      </c>
      <c r="I1652" t="s">
        <v>9</v>
      </c>
      <c r="J1652" t="s">
        <v>519</v>
      </c>
      <c r="K1652" t="s">
        <v>520</v>
      </c>
      <c r="L1652" t="s">
        <v>470</v>
      </c>
      <c r="M1652">
        <v>52</v>
      </c>
      <c r="N1652" t="b">
        <v>0</v>
      </c>
      <c r="O1652">
        <v>0.74380165289256195</v>
      </c>
      <c r="P1652">
        <v>0.69587628865979378</v>
      </c>
      <c r="Q1652">
        <v>0.79881656804733725</v>
      </c>
      <c r="R1652" t="s">
        <v>60</v>
      </c>
      <c r="S1652" t="s">
        <v>3731</v>
      </c>
      <c r="T1652" t="s">
        <v>3732</v>
      </c>
      <c r="U1652" t="b">
        <v>1</v>
      </c>
      <c r="V1652" t="s">
        <v>63</v>
      </c>
      <c r="W1652">
        <v>1.7</v>
      </c>
    </row>
    <row r="1653" spans="1:23" hidden="1" x14ac:dyDescent="0.3">
      <c r="A1653" t="s">
        <v>2830</v>
      </c>
      <c r="B1653" t="s">
        <v>2831</v>
      </c>
      <c r="C1653" t="s">
        <v>29</v>
      </c>
      <c r="D1653" t="s">
        <v>24</v>
      </c>
      <c r="E1653" t="s">
        <v>25</v>
      </c>
      <c r="F1653" t="s">
        <v>363</v>
      </c>
      <c r="G1653" t="s">
        <v>523</v>
      </c>
      <c r="H1653" t="s">
        <v>467</v>
      </c>
      <c r="I1653" t="s">
        <v>9</v>
      </c>
      <c r="J1653" t="s">
        <v>524</v>
      </c>
      <c r="K1653" t="s">
        <v>525</v>
      </c>
      <c r="L1653" t="s">
        <v>470</v>
      </c>
      <c r="M1653">
        <v>53</v>
      </c>
      <c r="N1653" t="b">
        <v>0</v>
      </c>
      <c r="O1653">
        <v>0.7921348314606742</v>
      </c>
      <c r="P1653">
        <v>0.75401069518716579</v>
      </c>
      <c r="Q1653">
        <v>0.83431952662721898</v>
      </c>
      <c r="R1653" t="s">
        <v>60</v>
      </c>
      <c r="S1653" t="s">
        <v>3733</v>
      </c>
      <c r="T1653" t="s">
        <v>3734</v>
      </c>
      <c r="U1653" t="b">
        <v>1</v>
      </c>
      <c r="V1653" t="s">
        <v>63</v>
      </c>
      <c r="W1653">
        <v>2.1</v>
      </c>
    </row>
    <row r="1654" spans="1:23" hidden="1" x14ac:dyDescent="0.3">
      <c r="A1654" t="s">
        <v>2830</v>
      </c>
      <c r="B1654" t="s">
        <v>2831</v>
      </c>
      <c r="C1654" t="s">
        <v>29</v>
      </c>
      <c r="D1654" t="s">
        <v>24</v>
      </c>
      <c r="E1654" t="s">
        <v>25</v>
      </c>
      <c r="F1654" t="s">
        <v>363</v>
      </c>
      <c r="G1654" t="s">
        <v>528</v>
      </c>
      <c r="H1654" t="s">
        <v>467</v>
      </c>
      <c r="I1654" t="s">
        <v>9</v>
      </c>
      <c r="J1654" t="s">
        <v>529</v>
      </c>
      <c r="K1654" t="s">
        <v>530</v>
      </c>
      <c r="L1654" t="s">
        <v>470</v>
      </c>
      <c r="M1654">
        <v>54</v>
      </c>
      <c r="N1654" t="b">
        <v>0</v>
      </c>
      <c r="O1654">
        <v>0.77134986225895319</v>
      </c>
      <c r="P1654">
        <v>0.72164948453608246</v>
      </c>
      <c r="Q1654">
        <v>0.82840236686390534</v>
      </c>
      <c r="R1654" t="s">
        <v>60</v>
      </c>
      <c r="S1654" t="s">
        <v>3735</v>
      </c>
      <c r="T1654" t="s">
        <v>3736</v>
      </c>
      <c r="U1654" t="b">
        <v>1</v>
      </c>
      <c r="V1654" t="s">
        <v>63</v>
      </c>
      <c r="W1654">
        <v>1.7</v>
      </c>
    </row>
    <row r="1655" spans="1:23" hidden="1" x14ac:dyDescent="0.3">
      <c r="A1655" t="s">
        <v>2830</v>
      </c>
      <c r="B1655" t="s">
        <v>2831</v>
      </c>
      <c r="C1655" t="s">
        <v>29</v>
      </c>
      <c r="D1655" t="s">
        <v>24</v>
      </c>
      <c r="E1655" t="s">
        <v>25</v>
      </c>
      <c r="F1655" t="s">
        <v>363</v>
      </c>
      <c r="G1655" t="s">
        <v>533</v>
      </c>
      <c r="H1655" t="s">
        <v>467</v>
      </c>
      <c r="I1655" t="s">
        <v>9</v>
      </c>
      <c r="J1655" t="s">
        <v>534</v>
      </c>
      <c r="K1655" t="s">
        <v>535</v>
      </c>
      <c r="L1655" t="s">
        <v>470</v>
      </c>
      <c r="M1655">
        <v>55</v>
      </c>
      <c r="N1655" t="b">
        <v>0</v>
      </c>
      <c r="O1655">
        <v>0.8192090395480226</v>
      </c>
      <c r="P1655">
        <v>0.78378378378378377</v>
      </c>
      <c r="Q1655">
        <v>0.85798816568047342</v>
      </c>
      <c r="R1655" t="s">
        <v>60</v>
      </c>
      <c r="S1655" t="s">
        <v>3737</v>
      </c>
      <c r="T1655" t="s">
        <v>3738</v>
      </c>
      <c r="U1655" t="b">
        <v>1</v>
      </c>
      <c r="V1655" t="s">
        <v>63</v>
      </c>
      <c r="W1655">
        <v>1.7</v>
      </c>
    </row>
    <row r="1656" spans="1:23" hidden="1" x14ac:dyDescent="0.3">
      <c r="A1656" t="s">
        <v>2830</v>
      </c>
      <c r="B1656" t="s">
        <v>2831</v>
      </c>
      <c r="C1656" t="s">
        <v>29</v>
      </c>
      <c r="D1656" t="s">
        <v>24</v>
      </c>
      <c r="E1656" t="s">
        <v>25</v>
      </c>
      <c r="F1656" t="s">
        <v>363</v>
      </c>
      <c r="G1656" t="s">
        <v>538</v>
      </c>
      <c r="H1656" t="s">
        <v>467</v>
      </c>
      <c r="I1656" t="s">
        <v>9</v>
      </c>
      <c r="J1656" t="s">
        <v>539</v>
      </c>
      <c r="K1656" t="s">
        <v>540</v>
      </c>
      <c r="L1656" t="s">
        <v>470</v>
      </c>
      <c r="M1656">
        <v>56</v>
      </c>
      <c r="N1656" t="b">
        <v>0</v>
      </c>
      <c r="O1656">
        <v>0.78651685393258419</v>
      </c>
      <c r="P1656">
        <v>0.74866310160427807</v>
      </c>
      <c r="Q1656">
        <v>0.82840236686390534</v>
      </c>
      <c r="R1656" t="s">
        <v>60</v>
      </c>
      <c r="S1656" t="s">
        <v>3739</v>
      </c>
      <c r="T1656" t="s">
        <v>3740</v>
      </c>
      <c r="U1656" t="b">
        <v>1</v>
      </c>
      <c r="V1656" t="s">
        <v>63</v>
      </c>
      <c r="W1656">
        <v>1.7</v>
      </c>
    </row>
    <row r="1657" spans="1:23" hidden="1" x14ac:dyDescent="0.3">
      <c r="A1657" t="s">
        <v>2830</v>
      </c>
      <c r="B1657" t="s">
        <v>2831</v>
      </c>
      <c r="C1657" t="s">
        <v>29</v>
      </c>
      <c r="D1657" t="s">
        <v>24</v>
      </c>
      <c r="E1657" t="s">
        <v>25</v>
      </c>
      <c r="F1657" t="s">
        <v>363</v>
      </c>
      <c r="G1657" t="s">
        <v>543</v>
      </c>
      <c r="H1657" t="s">
        <v>467</v>
      </c>
      <c r="I1657" t="s">
        <v>9</v>
      </c>
      <c r="J1657" t="s">
        <v>544</v>
      </c>
      <c r="K1657" t="s">
        <v>545</v>
      </c>
      <c r="L1657" t="s">
        <v>470</v>
      </c>
      <c r="M1657">
        <v>57</v>
      </c>
      <c r="N1657" t="b">
        <v>0</v>
      </c>
      <c r="O1657">
        <v>0.78062678062678059</v>
      </c>
      <c r="P1657">
        <v>0.75274725274725274</v>
      </c>
      <c r="Q1657">
        <v>0.81065088757396453</v>
      </c>
      <c r="R1657" t="s">
        <v>60</v>
      </c>
      <c r="S1657" t="s">
        <v>3741</v>
      </c>
      <c r="T1657" t="s">
        <v>3742</v>
      </c>
      <c r="U1657" t="b">
        <v>1</v>
      </c>
      <c r="V1657" t="s">
        <v>63</v>
      </c>
      <c r="W1657">
        <v>2.1</v>
      </c>
    </row>
    <row r="1658" spans="1:23" hidden="1" x14ac:dyDescent="0.3">
      <c r="A1658" t="s">
        <v>2830</v>
      </c>
      <c r="B1658" t="s">
        <v>2831</v>
      </c>
      <c r="C1658" t="s">
        <v>29</v>
      </c>
      <c r="D1658" t="s">
        <v>24</v>
      </c>
      <c r="E1658" t="s">
        <v>25</v>
      </c>
      <c r="F1658" t="s">
        <v>363</v>
      </c>
      <c r="G1658" t="s">
        <v>548</v>
      </c>
      <c r="H1658" t="s">
        <v>467</v>
      </c>
      <c r="I1658" t="s">
        <v>9</v>
      </c>
      <c r="J1658" t="s">
        <v>549</v>
      </c>
      <c r="K1658" t="s">
        <v>550</v>
      </c>
      <c r="L1658" t="s">
        <v>470</v>
      </c>
      <c r="M1658">
        <v>58</v>
      </c>
      <c r="N1658" t="b">
        <v>0</v>
      </c>
      <c r="O1658">
        <v>0.78904109589041105</v>
      </c>
      <c r="P1658">
        <v>0.73469387755102045</v>
      </c>
      <c r="Q1658">
        <v>0.85207100591715978</v>
      </c>
      <c r="R1658" t="s">
        <v>60</v>
      </c>
      <c r="S1658" t="s">
        <v>3743</v>
      </c>
      <c r="T1658" t="s">
        <v>3744</v>
      </c>
      <c r="U1658" t="b">
        <v>1</v>
      </c>
      <c r="V1658" t="s">
        <v>63</v>
      </c>
      <c r="W1658">
        <v>1.7</v>
      </c>
    </row>
    <row r="1659" spans="1:23" hidden="1" x14ac:dyDescent="0.3">
      <c r="A1659" t="s">
        <v>2830</v>
      </c>
      <c r="B1659" t="s">
        <v>2831</v>
      </c>
      <c r="C1659" t="s">
        <v>29</v>
      </c>
      <c r="D1659" t="s">
        <v>24</v>
      </c>
      <c r="E1659" t="s">
        <v>25</v>
      </c>
      <c r="F1659" t="s">
        <v>363</v>
      </c>
      <c r="G1659" t="s">
        <v>553</v>
      </c>
      <c r="H1659" t="s">
        <v>467</v>
      </c>
      <c r="I1659" t="s">
        <v>9</v>
      </c>
      <c r="J1659" t="s">
        <v>554</v>
      </c>
      <c r="K1659" t="s">
        <v>555</v>
      </c>
      <c r="L1659" t="s">
        <v>470</v>
      </c>
      <c r="M1659">
        <v>59</v>
      </c>
      <c r="N1659" t="b">
        <v>0</v>
      </c>
      <c r="O1659">
        <v>0.78453038674033149</v>
      </c>
      <c r="P1659">
        <v>0.73575129533678751</v>
      </c>
      <c r="Q1659">
        <v>0.84023668639053251</v>
      </c>
      <c r="R1659" t="s">
        <v>60</v>
      </c>
      <c r="S1659" t="s">
        <v>3745</v>
      </c>
      <c r="T1659" t="s">
        <v>3746</v>
      </c>
      <c r="U1659" t="b">
        <v>1</v>
      </c>
      <c r="V1659" t="s">
        <v>63</v>
      </c>
      <c r="W1659">
        <v>1.7</v>
      </c>
    </row>
    <row r="1660" spans="1:23" hidden="1" x14ac:dyDescent="0.3">
      <c r="A1660" t="s">
        <v>2830</v>
      </c>
      <c r="B1660" t="s">
        <v>2831</v>
      </c>
      <c r="C1660" t="s">
        <v>29</v>
      </c>
      <c r="D1660" t="s">
        <v>24</v>
      </c>
      <c r="E1660" t="s">
        <v>25</v>
      </c>
      <c r="F1660" t="s">
        <v>363</v>
      </c>
      <c r="G1660" t="s">
        <v>558</v>
      </c>
      <c r="H1660" t="s">
        <v>467</v>
      </c>
      <c r="I1660" t="s">
        <v>9</v>
      </c>
      <c r="J1660" t="s">
        <v>559</v>
      </c>
      <c r="K1660" t="s">
        <v>560</v>
      </c>
      <c r="L1660" t="s">
        <v>470</v>
      </c>
      <c r="M1660">
        <v>60</v>
      </c>
      <c r="N1660" t="b">
        <v>0</v>
      </c>
      <c r="O1660">
        <v>0.8044692737430168</v>
      </c>
      <c r="P1660">
        <v>0.76190476190476186</v>
      </c>
      <c r="Q1660">
        <v>0.85207100591715978</v>
      </c>
      <c r="R1660" t="s">
        <v>60</v>
      </c>
      <c r="S1660" t="s">
        <v>3747</v>
      </c>
      <c r="T1660" t="s">
        <v>3748</v>
      </c>
      <c r="U1660" t="b">
        <v>1</v>
      </c>
      <c r="V1660" t="s">
        <v>63</v>
      </c>
      <c r="W1660">
        <v>1.6</v>
      </c>
    </row>
    <row r="1661" spans="1:23" hidden="1" x14ac:dyDescent="0.3">
      <c r="A1661" t="s">
        <v>2830</v>
      </c>
      <c r="B1661" t="s">
        <v>2831</v>
      </c>
      <c r="C1661" t="s">
        <v>29</v>
      </c>
      <c r="D1661" t="s">
        <v>24</v>
      </c>
      <c r="E1661" t="s">
        <v>25</v>
      </c>
      <c r="F1661" t="s">
        <v>363</v>
      </c>
      <c r="G1661" t="s">
        <v>563</v>
      </c>
      <c r="H1661" t="s">
        <v>467</v>
      </c>
      <c r="I1661" t="s">
        <v>9</v>
      </c>
      <c r="J1661" t="s">
        <v>564</v>
      </c>
      <c r="K1661" t="s">
        <v>565</v>
      </c>
      <c r="L1661" t="s">
        <v>470</v>
      </c>
      <c r="M1661">
        <v>61</v>
      </c>
      <c r="N1661" t="b">
        <v>0</v>
      </c>
      <c r="O1661">
        <v>0.78888888888888897</v>
      </c>
      <c r="P1661">
        <v>0.74345549738219896</v>
      </c>
      <c r="Q1661">
        <v>0.84023668639053251</v>
      </c>
      <c r="R1661" t="s">
        <v>60</v>
      </c>
      <c r="S1661" t="s">
        <v>3749</v>
      </c>
      <c r="T1661" t="s">
        <v>3750</v>
      </c>
      <c r="U1661" t="b">
        <v>1</v>
      </c>
      <c r="V1661" t="s">
        <v>63</v>
      </c>
      <c r="W1661">
        <v>2.2000000000000002</v>
      </c>
    </row>
    <row r="1662" spans="1:23" hidden="1" x14ac:dyDescent="0.3">
      <c r="A1662" t="s">
        <v>2830</v>
      </c>
      <c r="B1662" t="s">
        <v>2831</v>
      </c>
      <c r="C1662" t="s">
        <v>29</v>
      </c>
      <c r="D1662" t="s">
        <v>24</v>
      </c>
      <c r="E1662" t="s">
        <v>25</v>
      </c>
      <c r="F1662" t="s">
        <v>363</v>
      </c>
      <c r="G1662" t="s">
        <v>568</v>
      </c>
      <c r="H1662" t="s">
        <v>569</v>
      </c>
      <c r="I1662" t="s">
        <v>11</v>
      </c>
      <c r="J1662" t="s">
        <v>570</v>
      </c>
      <c r="K1662" t="s">
        <v>571</v>
      </c>
      <c r="L1662" t="s">
        <v>572</v>
      </c>
      <c r="M1662">
        <v>42</v>
      </c>
      <c r="N1662" t="b">
        <v>0</v>
      </c>
      <c r="O1662">
        <v>0.81333333333333346</v>
      </c>
      <c r="P1662">
        <v>0.80263157894736847</v>
      </c>
      <c r="Q1662">
        <v>0.82432432432432434</v>
      </c>
      <c r="R1662" t="s">
        <v>60</v>
      </c>
      <c r="S1662" t="s">
        <v>3751</v>
      </c>
      <c r="T1662" t="s">
        <v>3752</v>
      </c>
      <c r="U1662" t="b">
        <v>1</v>
      </c>
      <c r="V1662" t="s">
        <v>63</v>
      </c>
      <c r="W1662">
        <v>1.9</v>
      </c>
    </row>
    <row r="1663" spans="1:23" hidden="1" x14ac:dyDescent="0.3">
      <c r="A1663" t="s">
        <v>2830</v>
      </c>
      <c r="B1663" t="s">
        <v>2831</v>
      </c>
      <c r="C1663" t="s">
        <v>29</v>
      </c>
      <c r="D1663" t="s">
        <v>24</v>
      </c>
      <c r="E1663" t="s">
        <v>25</v>
      </c>
      <c r="F1663" t="s">
        <v>363</v>
      </c>
      <c r="G1663" t="s">
        <v>575</v>
      </c>
      <c r="H1663" t="s">
        <v>569</v>
      </c>
      <c r="I1663" t="s">
        <v>11</v>
      </c>
      <c r="J1663" t="s">
        <v>576</v>
      </c>
      <c r="K1663" t="s">
        <v>577</v>
      </c>
      <c r="L1663" t="s">
        <v>572</v>
      </c>
      <c r="M1663">
        <v>43</v>
      </c>
      <c r="N1663" t="b">
        <v>0</v>
      </c>
      <c r="O1663">
        <v>0.82017543859649134</v>
      </c>
      <c r="P1663">
        <v>0.79914529914529919</v>
      </c>
      <c r="Q1663">
        <v>0.84234234234234229</v>
      </c>
      <c r="R1663" t="s">
        <v>60</v>
      </c>
      <c r="S1663" t="s">
        <v>3753</v>
      </c>
      <c r="T1663" t="s">
        <v>3754</v>
      </c>
      <c r="U1663" t="b">
        <v>1</v>
      </c>
      <c r="V1663" t="s">
        <v>63</v>
      </c>
      <c r="W1663">
        <v>1.9</v>
      </c>
    </row>
    <row r="1664" spans="1:23" hidden="1" x14ac:dyDescent="0.3">
      <c r="A1664" t="s">
        <v>2830</v>
      </c>
      <c r="B1664" t="s">
        <v>2831</v>
      </c>
      <c r="C1664" t="s">
        <v>29</v>
      </c>
      <c r="D1664" t="s">
        <v>24</v>
      </c>
      <c r="E1664" t="s">
        <v>25</v>
      </c>
      <c r="F1664" t="s">
        <v>363</v>
      </c>
      <c r="G1664" t="s">
        <v>580</v>
      </c>
      <c r="H1664" t="s">
        <v>569</v>
      </c>
      <c r="I1664" t="s">
        <v>11</v>
      </c>
      <c r="J1664" t="s">
        <v>581</v>
      </c>
      <c r="K1664" t="s">
        <v>582</v>
      </c>
      <c r="L1664" t="s">
        <v>572</v>
      </c>
      <c r="M1664">
        <v>44</v>
      </c>
      <c r="N1664" t="b">
        <v>0</v>
      </c>
      <c r="O1664">
        <v>0.83370288248337032</v>
      </c>
      <c r="P1664">
        <v>0.82096069868995636</v>
      </c>
      <c r="Q1664">
        <v>0.84684684684684686</v>
      </c>
      <c r="R1664" t="s">
        <v>60</v>
      </c>
      <c r="S1664" t="s">
        <v>3755</v>
      </c>
      <c r="T1664" t="s">
        <v>3756</v>
      </c>
      <c r="U1664" t="b">
        <v>1</v>
      </c>
      <c r="V1664" t="s">
        <v>63</v>
      </c>
      <c r="W1664">
        <v>2.2999999999999998</v>
      </c>
    </row>
    <row r="1665" spans="1:23" hidden="1" x14ac:dyDescent="0.3">
      <c r="A1665" t="s">
        <v>2830</v>
      </c>
      <c r="B1665" t="s">
        <v>2831</v>
      </c>
      <c r="C1665" t="s">
        <v>29</v>
      </c>
      <c r="D1665" t="s">
        <v>24</v>
      </c>
      <c r="E1665" t="s">
        <v>25</v>
      </c>
      <c r="F1665" t="s">
        <v>363</v>
      </c>
      <c r="G1665" t="s">
        <v>585</v>
      </c>
      <c r="H1665" t="s">
        <v>569</v>
      </c>
      <c r="I1665" t="s">
        <v>11</v>
      </c>
      <c r="J1665" t="s">
        <v>586</v>
      </c>
      <c r="K1665" t="s">
        <v>587</v>
      </c>
      <c r="L1665" t="s">
        <v>572</v>
      </c>
      <c r="M1665">
        <v>45</v>
      </c>
      <c r="N1665" t="b">
        <v>0</v>
      </c>
      <c r="O1665">
        <v>0.81415929203539827</v>
      </c>
      <c r="P1665">
        <v>0.8</v>
      </c>
      <c r="Q1665">
        <v>0.8288288288288288</v>
      </c>
      <c r="R1665" t="s">
        <v>60</v>
      </c>
      <c r="S1665" t="s">
        <v>3757</v>
      </c>
      <c r="T1665" t="s">
        <v>3758</v>
      </c>
      <c r="U1665" t="b">
        <v>1</v>
      </c>
      <c r="V1665" t="s">
        <v>63</v>
      </c>
      <c r="W1665">
        <v>1.8</v>
      </c>
    </row>
    <row r="1666" spans="1:23" hidden="1" x14ac:dyDescent="0.3">
      <c r="A1666" t="s">
        <v>2830</v>
      </c>
      <c r="B1666" t="s">
        <v>2831</v>
      </c>
      <c r="C1666" t="s">
        <v>29</v>
      </c>
      <c r="D1666" t="s">
        <v>24</v>
      </c>
      <c r="E1666" t="s">
        <v>25</v>
      </c>
      <c r="F1666" t="s">
        <v>363</v>
      </c>
      <c r="G1666" t="s">
        <v>590</v>
      </c>
      <c r="H1666" t="s">
        <v>569</v>
      </c>
      <c r="I1666" t="s">
        <v>11</v>
      </c>
      <c r="J1666" t="s">
        <v>591</v>
      </c>
      <c r="K1666" t="s">
        <v>592</v>
      </c>
      <c r="L1666" t="s">
        <v>572</v>
      </c>
      <c r="M1666">
        <v>46</v>
      </c>
      <c r="N1666" t="b">
        <v>0</v>
      </c>
      <c r="O1666">
        <v>0.81481481481481477</v>
      </c>
      <c r="P1666">
        <v>0.78902953586497893</v>
      </c>
      <c r="Q1666">
        <v>0.84234234234234229</v>
      </c>
      <c r="R1666" t="s">
        <v>60</v>
      </c>
      <c r="S1666" t="s">
        <v>3759</v>
      </c>
      <c r="T1666" t="s">
        <v>3760</v>
      </c>
      <c r="U1666" t="b">
        <v>1</v>
      </c>
      <c r="V1666" t="s">
        <v>63</v>
      </c>
      <c r="W1666">
        <v>1.9</v>
      </c>
    </row>
    <row r="1667" spans="1:23" hidden="1" x14ac:dyDescent="0.3">
      <c r="A1667" t="s">
        <v>2830</v>
      </c>
      <c r="B1667" t="s">
        <v>2831</v>
      </c>
      <c r="C1667" t="s">
        <v>29</v>
      </c>
      <c r="D1667" t="s">
        <v>24</v>
      </c>
      <c r="E1667" t="s">
        <v>25</v>
      </c>
      <c r="F1667" t="s">
        <v>363</v>
      </c>
      <c r="G1667" t="s">
        <v>595</v>
      </c>
      <c r="H1667" t="s">
        <v>569</v>
      </c>
      <c r="I1667" t="s">
        <v>11</v>
      </c>
      <c r="J1667" t="s">
        <v>596</v>
      </c>
      <c r="K1667" t="s">
        <v>597</v>
      </c>
      <c r="L1667" t="s">
        <v>572</v>
      </c>
      <c r="M1667">
        <v>47</v>
      </c>
      <c r="N1667" t="b">
        <v>0</v>
      </c>
      <c r="O1667">
        <v>0.816593886462882</v>
      </c>
      <c r="P1667">
        <v>0.7923728813559322</v>
      </c>
      <c r="Q1667">
        <v>0.84234234234234229</v>
      </c>
      <c r="R1667" t="s">
        <v>60</v>
      </c>
      <c r="S1667" t="s">
        <v>3761</v>
      </c>
      <c r="T1667" t="s">
        <v>3762</v>
      </c>
      <c r="U1667" t="b">
        <v>1</v>
      </c>
      <c r="V1667" t="s">
        <v>63</v>
      </c>
      <c r="W1667">
        <v>2.2999999999999998</v>
      </c>
    </row>
    <row r="1668" spans="1:23" hidden="1" x14ac:dyDescent="0.3">
      <c r="A1668" t="s">
        <v>2830</v>
      </c>
      <c r="B1668" t="s">
        <v>2831</v>
      </c>
      <c r="C1668" t="s">
        <v>29</v>
      </c>
      <c r="D1668" t="s">
        <v>24</v>
      </c>
      <c r="E1668" t="s">
        <v>25</v>
      </c>
      <c r="F1668" t="s">
        <v>363</v>
      </c>
      <c r="G1668" t="s">
        <v>600</v>
      </c>
      <c r="H1668" t="s">
        <v>569</v>
      </c>
      <c r="I1668" t="s">
        <v>11</v>
      </c>
      <c r="J1668" t="s">
        <v>601</v>
      </c>
      <c r="K1668" t="s">
        <v>602</v>
      </c>
      <c r="L1668" t="s">
        <v>572</v>
      </c>
      <c r="M1668">
        <v>48</v>
      </c>
      <c r="N1668" t="b">
        <v>0</v>
      </c>
      <c r="O1668">
        <v>0.81938325991189431</v>
      </c>
      <c r="P1668">
        <v>0.80172413793103448</v>
      </c>
      <c r="Q1668">
        <v>0.83783783783783783</v>
      </c>
      <c r="R1668" t="s">
        <v>60</v>
      </c>
      <c r="S1668" t="s">
        <v>3763</v>
      </c>
      <c r="T1668" t="s">
        <v>3764</v>
      </c>
      <c r="U1668" t="b">
        <v>1</v>
      </c>
      <c r="V1668" t="s">
        <v>63</v>
      </c>
      <c r="W1668">
        <v>1.9</v>
      </c>
    </row>
    <row r="1669" spans="1:23" hidden="1" x14ac:dyDescent="0.3">
      <c r="A1669" t="s">
        <v>2830</v>
      </c>
      <c r="B1669" t="s">
        <v>2831</v>
      </c>
      <c r="C1669" t="s">
        <v>29</v>
      </c>
      <c r="D1669" t="s">
        <v>24</v>
      </c>
      <c r="E1669" t="s">
        <v>25</v>
      </c>
      <c r="F1669" t="s">
        <v>363</v>
      </c>
      <c r="G1669" t="s">
        <v>605</v>
      </c>
      <c r="H1669" t="s">
        <v>569</v>
      </c>
      <c r="I1669" t="s">
        <v>11</v>
      </c>
      <c r="J1669" t="s">
        <v>606</v>
      </c>
      <c r="K1669" t="s">
        <v>607</v>
      </c>
      <c r="L1669" t="s">
        <v>572</v>
      </c>
      <c r="M1669">
        <v>49</v>
      </c>
      <c r="N1669" t="b">
        <v>0</v>
      </c>
      <c r="O1669">
        <v>0.81677704194260492</v>
      </c>
      <c r="P1669">
        <v>0.80086580086580084</v>
      </c>
      <c r="Q1669">
        <v>0.83333333333333337</v>
      </c>
      <c r="R1669" t="s">
        <v>60</v>
      </c>
      <c r="S1669" t="s">
        <v>3765</v>
      </c>
      <c r="T1669" t="s">
        <v>3766</v>
      </c>
      <c r="U1669" t="b">
        <v>1</v>
      </c>
      <c r="V1669" t="s">
        <v>63</v>
      </c>
      <c r="W1669">
        <v>1.9</v>
      </c>
    </row>
    <row r="1670" spans="1:23" hidden="1" x14ac:dyDescent="0.3">
      <c r="A1670" t="s">
        <v>2830</v>
      </c>
      <c r="B1670" t="s">
        <v>2831</v>
      </c>
      <c r="C1670" t="s">
        <v>29</v>
      </c>
      <c r="D1670" t="s">
        <v>24</v>
      </c>
      <c r="E1670" t="s">
        <v>25</v>
      </c>
      <c r="F1670" t="s">
        <v>363</v>
      </c>
      <c r="G1670" t="s">
        <v>610</v>
      </c>
      <c r="H1670" t="s">
        <v>569</v>
      </c>
      <c r="I1670" t="s">
        <v>11</v>
      </c>
      <c r="J1670" t="s">
        <v>611</v>
      </c>
      <c r="K1670" t="s">
        <v>612</v>
      </c>
      <c r="L1670" t="s">
        <v>572</v>
      </c>
      <c r="M1670">
        <v>50</v>
      </c>
      <c r="N1670" t="b">
        <v>0</v>
      </c>
      <c r="O1670">
        <v>0.82300884955752207</v>
      </c>
      <c r="P1670">
        <v>0.80869565217391304</v>
      </c>
      <c r="Q1670">
        <v>0.83783783783783783</v>
      </c>
      <c r="R1670" t="s">
        <v>60</v>
      </c>
      <c r="S1670" t="s">
        <v>3767</v>
      </c>
      <c r="T1670" t="s">
        <v>3768</v>
      </c>
      <c r="U1670" t="b">
        <v>1</v>
      </c>
      <c r="V1670" t="s">
        <v>63</v>
      </c>
      <c r="W1670">
        <v>2.2000000000000002</v>
      </c>
    </row>
    <row r="1671" spans="1:23" hidden="1" x14ac:dyDescent="0.3">
      <c r="A1671" t="s">
        <v>2830</v>
      </c>
      <c r="B1671" t="s">
        <v>2831</v>
      </c>
      <c r="C1671" t="s">
        <v>29</v>
      </c>
      <c r="D1671" t="s">
        <v>24</v>
      </c>
      <c r="E1671" t="s">
        <v>25</v>
      </c>
      <c r="F1671" t="s">
        <v>363</v>
      </c>
      <c r="G1671" t="s">
        <v>615</v>
      </c>
      <c r="H1671" t="s">
        <v>569</v>
      </c>
      <c r="I1671" t="s">
        <v>11</v>
      </c>
      <c r="J1671" t="s">
        <v>616</v>
      </c>
      <c r="K1671" t="s">
        <v>617</v>
      </c>
      <c r="L1671" t="s">
        <v>572</v>
      </c>
      <c r="M1671">
        <v>51</v>
      </c>
      <c r="N1671" t="b">
        <v>0</v>
      </c>
      <c r="O1671">
        <v>0.81758241758241768</v>
      </c>
      <c r="P1671">
        <v>0.79828326180257514</v>
      </c>
      <c r="Q1671">
        <v>0.83783783783783783</v>
      </c>
      <c r="R1671" t="s">
        <v>60</v>
      </c>
      <c r="S1671" t="s">
        <v>3769</v>
      </c>
      <c r="T1671" t="s">
        <v>3770</v>
      </c>
      <c r="U1671" t="b">
        <v>1</v>
      </c>
      <c r="V1671" t="s">
        <v>63</v>
      </c>
      <c r="W1671">
        <v>1.9</v>
      </c>
    </row>
    <row r="1672" spans="1:23" hidden="1" x14ac:dyDescent="0.3">
      <c r="A1672" t="s">
        <v>2830</v>
      </c>
      <c r="B1672" t="s">
        <v>2831</v>
      </c>
      <c r="C1672" t="s">
        <v>29</v>
      </c>
      <c r="D1672" t="s">
        <v>24</v>
      </c>
      <c r="E1672" t="s">
        <v>25</v>
      </c>
      <c r="F1672" t="s">
        <v>363</v>
      </c>
      <c r="G1672" t="s">
        <v>620</v>
      </c>
      <c r="H1672" t="s">
        <v>569</v>
      </c>
      <c r="I1672" t="s">
        <v>11</v>
      </c>
      <c r="J1672" t="s">
        <v>621</v>
      </c>
      <c r="K1672" t="s">
        <v>622</v>
      </c>
      <c r="L1672" t="s">
        <v>572</v>
      </c>
      <c r="M1672">
        <v>52</v>
      </c>
      <c r="N1672" t="b">
        <v>0</v>
      </c>
      <c r="O1672">
        <v>0.8258928571428571</v>
      </c>
      <c r="P1672">
        <v>0.81858407079646023</v>
      </c>
      <c r="Q1672">
        <v>0.83333333333333337</v>
      </c>
      <c r="R1672" t="s">
        <v>60</v>
      </c>
      <c r="S1672" t="s">
        <v>3771</v>
      </c>
      <c r="T1672" t="s">
        <v>3772</v>
      </c>
      <c r="U1672" t="b">
        <v>1</v>
      </c>
      <c r="V1672" t="s">
        <v>63</v>
      </c>
      <c r="W1672">
        <v>1.8</v>
      </c>
    </row>
    <row r="1673" spans="1:23" hidden="1" x14ac:dyDescent="0.3">
      <c r="A1673" t="s">
        <v>2830</v>
      </c>
      <c r="B1673" t="s">
        <v>2831</v>
      </c>
      <c r="C1673" t="s">
        <v>29</v>
      </c>
      <c r="D1673" t="s">
        <v>24</v>
      </c>
      <c r="E1673" t="s">
        <v>25</v>
      </c>
      <c r="F1673" t="s">
        <v>363</v>
      </c>
      <c r="G1673" t="s">
        <v>625</v>
      </c>
      <c r="H1673" t="s">
        <v>569</v>
      </c>
      <c r="I1673" t="s">
        <v>11</v>
      </c>
      <c r="J1673" t="s">
        <v>626</v>
      </c>
      <c r="K1673" t="s">
        <v>627</v>
      </c>
      <c r="L1673" t="s">
        <v>572</v>
      </c>
      <c r="M1673">
        <v>53</v>
      </c>
      <c r="N1673" t="b">
        <v>0</v>
      </c>
      <c r="O1673">
        <v>0.82378854625550657</v>
      </c>
      <c r="P1673">
        <v>0.80603448275862066</v>
      </c>
      <c r="Q1673">
        <v>0.84234234234234229</v>
      </c>
      <c r="R1673" t="s">
        <v>60</v>
      </c>
      <c r="S1673" t="s">
        <v>3773</v>
      </c>
      <c r="T1673" t="s">
        <v>3774</v>
      </c>
      <c r="U1673" t="b">
        <v>1</v>
      </c>
      <c r="V1673" t="s">
        <v>63</v>
      </c>
      <c r="W1673">
        <v>2.2999999999999998</v>
      </c>
    </row>
    <row r="1674" spans="1:23" hidden="1" x14ac:dyDescent="0.3">
      <c r="A1674" t="s">
        <v>2830</v>
      </c>
      <c r="B1674" t="s">
        <v>2831</v>
      </c>
      <c r="C1674" t="s">
        <v>29</v>
      </c>
      <c r="D1674" t="s">
        <v>24</v>
      </c>
      <c r="E1674" t="s">
        <v>25</v>
      </c>
      <c r="F1674" t="s">
        <v>363</v>
      </c>
      <c r="G1674" t="s">
        <v>630</v>
      </c>
      <c r="H1674" t="s">
        <v>569</v>
      </c>
      <c r="I1674" t="s">
        <v>11</v>
      </c>
      <c r="J1674" t="s">
        <v>631</v>
      </c>
      <c r="K1674" t="s">
        <v>632</v>
      </c>
      <c r="L1674" t="s">
        <v>572</v>
      </c>
      <c r="M1674">
        <v>54</v>
      </c>
      <c r="N1674" t="b">
        <v>0</v>
      </c>
      <c r="O1674">
        <v>0.8325991189427312</v>
      </c>
      <c r="P1674">
        <v>0.81465517241379315</v>
      </c>
      <c r="Q1674">
        <v>0.85135135135135132</v>
      </c>
      <c r="R1674" t="s">
        <v>60</v>
      </c>
      <c r="S1674" t="s">
        <v>3775</v>
      </c>
      <c r="T1674" t="s">
        <v>3776</v>
      </c>
      <c r="U1674" t="b">
        <v>1</v>
      </c>
      <c r="V1674" t="s">
        <v>63</v>
      </c>
      <c r="W1674">
        <v>1.9</v>
      </c>
    </row>
    <row r="1675" spans="1:23" hidden="1" x14ac:dyDescent="0.3">
      <c r="A1675" t="s">
        <v>2830</v>
      </c>
      <c r="B1675" t="s">
        <v>2831</v>
      </c>
      <c r="C1675" t="s">
        <v>29</v>
      </c>
      <c r="D1675" t="s">
        <v>24</v>
      </c>
      <c r="E1675" t="s">
        <v>25</v>
      </c>
      <c r="F1675" t="s">
        <v>363</v>
      </c>
      <c r="G1675" t="s">
        <v>635</v>
      </c>
      <c r="H1675" t="s">
        <v>569</v>
      </c>
      <c r="I1675" t="s">
        <v>11</v>
      </c>
      <c r="J1675" t="s">
        <v>636</v>
      </c>
      <c r="K1675" t="s">
        <v>637</v>
      </c>
      <c r="L1675" t="s">
        <v>572</v>
      </c>
      <c r="M1675">
        <v>55</v>
      </c>
      <c r="N1675" t="b">
        <v>0</v>
      </c>
      <c r="O1675">
        <v>0.84257206208425717</v>
      </c>
      <c r="P1675">
        <v>0.82969432314410485</v>
      </c>
      <c r="Q1675">
        <v>0.85585585585585588</v>
      </c>
      <c r="R1675" t="s">
        <v>60</v>
      </c>
      <c r="S1675" t="s">
        <v>3777</v>
      </c>
      <c r="T1675" t="s">
        <v>3778</v>
      </c>
      <c r="U1675" t="b">
        <v>1</v>
      </c>
      <c r="V1675" t="s">
        <v>63</v>
      </c>
      <c r="W1675">
        <v>1.8</v>
      </c>
    </row>
    <row r="1676" spans="1:23" hidden="1" x14ac:dyDescent="0.3">
      <c r="A1676" t="s">
        <v>2830</v>
      </c>
      <c r="B1676" t="s">
        <v>2831</v>
      </c>
      <c r="C1676" t="s">
        <v>29</v>
      </c>
      <c r="D1676" t="s">
        <v>24</v>
      </c>
      <c r="E1676" t="s">
        <v>25</v>
      </c>
      <c r="F1676" t="s">
        <v>363</v>
      </c>
      <c r="G1676" t="s">
        <v>640</v>
      </c>
      <c r="H1676" t="s">
        <v>569</v>
      </c>
      <c r="I1676" t="s">
        <v>11</v>
      </c>
      <c r="J1676" t="s">
        <v>641</v>
      </c>
      <c r="K1676" t="s">
        <v>642</v>
      </c>
      <c r="L1676" t="s">
        <v>572</v>
      </c>
      <c r="M1676">
        <v>56</v>
      </c>
      <c r="N1676" t="b">
        <v>0</v>
      </c>
      <c r="O1676">
        <v>0.81777777777777783</v>
      </c>
      <c r="P1676">
        <v>0.80701754385964908</v>
      </c>
      <c r="Q1676">
        <v>0.8288288288288288</v>
      </c>
      <c r="R1676" t="s">
        <v>60</v>
      </c>
      <c r="S1676" t="s">
        <v>3779</v>
      </c>
      <c r="T1676" t="s">
        <v>3780</v>
      </c>
      <c r="U1676" t="b">
        <v>1</v>
      </c>
      <c r="V1676" t="s">
        <v>63</v>
      </c>
      <c r="W1676">
        <v>2.2999999999999998</v>
      </c>
    </row>
    <row r="1677" spans="1:23" hidden="1" x14ac:dyDescent="0.3">
      <c r="A1677" t="s">
        <v>2830</v>
      </c>
      <c r="B1677" t="s">
        <v>2831</v>
      </c>
      <c r="C1677" t="s">
        <v>29</v>
      </c>
      <c r="D1677" t="s">
        <v>24</v>
      </c>
      <c r="E1677" t="s">
        <v>25</v>
      </c>
      <c r="F1677" t="s">
        <v>363</v>
      </c>
      <c r="G1677" t="s">
        <v>645</v>
      </c>
      <c r="H1677" t="s">
        <v>569</v>
      </c>
      <c r="I1677" t="s">
        <v>11</v>
      </c>
      <c r="J1677" t="s">
        <v>646</v>
      </c>
      <c r="K1677" t="s">
        <v>647</v>
      </c>
      <c r="L1677" t="s">
        <v>572</v>
      </c>
      <c r="M1677">
        <v>57</v>
      </c>
      <c r="N1677" t="b">
        <v>0</v>
      </c>
      <c r="O1677">
        <v>0.82300884955752207</v>
      </c>
      <c r="P1677">
        <v>0.80869565217391304</v>
      </c>
      <c r="Q1677">
        <v>0.83783783783783783</v>
      </c>
      <c r="R1677" t="s">
        <v>60</v>
      </c>
      <c r="S1677" t="s">
        <v>3781</v>
      </c>
      <c r="T1677" t="s">
        <v>3782</v>
      </c>
      <c r="U1677" t="b">
        <v>1</v>
      </c>
      <c r="V1677" t="s">
        <v>63</v>
      </c>
      <c r="W1677">
        <v>1.9</v>
      </c>
    </row>
    <row r="1678" spans="1:23" hidden="1" x14ac:dyDescent="0.3">
      <c r="A1678" t="s">
        <v>2830</v>
      </c>
      <c r="B1678" t="s">
        <v>2831</v>
      </c>
      <c r="C1678" t="s">
        <v>29</v>
      </c>
      <c r="D1678" t="s">
        <v>24</v>
      </c>
      <c r="E1678" t="s">
        <v>25</v>
      </c>
      <c r="F1678" t="s">
        <v>363</v>
      </c>
      <c r="G1678" t="s">
        <v>650</v>
      </c>
      <c r="H1678" t="s">
        <v>569</v>
      </c>
      <c r="I1678" t="s">
        <v>11</v>
      </c>
      <c r="J1678" t="s">
        <v>651</v>
      </c>
      <c r="K1678" t="s">
        <v>652</v>
      </c>
      <c r="L1678" t="s">
        <v>572</v>
      </c>
      <c r="M1678">
        <v>58</v>
      </c>
      <c r="N1678" t="b">
        <v>0</v>
      </c>
      <c r="O1678">
        <v>0.82483370288248348</v>
      </c>
      <c r="P1678">
        <v>0.81222707423580787</v>
      </c>
      <c r="Q1678">
        <v>0.83783783783783783</v>
      </c>
      <c r="R1678" t="s">
        <v>60</v>
      </c>
      <c r="S1678" t="s">
        <v>3783</v>
      </c>
      <c r="T1678" t="s">
        <v>3784</v>
      </c>
      <c r="U1678" t="b">
        <v>1</v>
      </c>
      <c r="V1678" t="s">
        <v>63</v>
      </c>
      <c r="W1678">
        <v>2</v>
      </c>
    </row>
    <row r="1679" spans="1:23" hidden="1" x14ac:dyDescent="0.3">
      <c r="A1679" t="s">
        <v>2830</v>
      </c>
      <c r="B1679" t="s">
        <v>2831</v>
      </c>
      <c r="C1679" t="s">
        <v>29</v>
      </c>
      <c r="D1679" t="s">
        <v>24</v>
      </c>
      <c r="E1679" t="s">
        <v>25</v>
      </c>
      <c r="F1679" t="s">
        <v>363</v>
      </c>
      <c r="G1679" t="s">
        <v>655</v>
      </c>
      <c r="H1679" t="s">
        <v>569</v>
      </c>
      <c r="I1679" t="s">
        <v>11</v>
      </c>
      <c r="J1679" t="s">
        <v>656</v>
      </c>
      <c r="K1679" t="s">
        <v>657</v>
      </c>
      <c r="L1679" t="s">
        <v>572</v>
      </c>
      <c r="M1679">
        <v>59</v>
      </c>
      <c r="N1679" t="b">
        <v>0</v>
      </c>
      <c r="O1679">
        <v>0.81561822125813455</v>
      </c>
      <c r="P1679">
        <v>0.78661087866108792</v>
      </c>
      <c r="Q1679">
        <v>0.84684684684684686</v>
      </c>
      <c r="R1679" t="s">
        <v>60</v>
      </c>
      <c r="S1679" t="s">
        <v>3785</v>
      </c>
      <c r="T1679" t="s">
        <v>3786</v>
      </c>
      <c r="U1679" t="b">
        <v>1</v>
      </c>
      <c r="V1679" t="s">
        <v>63</v>
      </c>
      <c r="W1679">
        <v>1.7</v>
      </c>
    </row>
    <row r="1680" spans="1:23" hidden="1" x14ac:dyDescent="0.3">
      <c r="A1680" t="s">
        <v>2830</v>
      </c>
      <c r="B1680" t="s">
        <v>2831</v>
      </c>
      <c r="C1680" t="s">
        <v>29</v>
      </c>
      <c r="D1680" t="s">
        <v>24</v>
      </c>
      <c r="E1680" t="s">
        <v>25</v>
      </c>
      <c r="F1680" t="s">
        <v>363</v>
      </c>
      <c r="G1680" t="s">
        <v>660</v>
      </c>
      <c r="H1680" t="s">
        <v>569</v>
      </c>
      <c r="I1680" t="s">
        <v>11</v>
      </c>
      <c r="J1680" t="s">
        <v>661</v>
      </c>
      <c r="K1680" t="s">
        <v>662</v>
      </c>
      <c r="L1680" t="s">
        <v>572</v>
      </c>
      <c r="M1680">
        <v>60</v>
      </c>
      <c r="N1680" t="b">
        <v>0</v>
      </c>
      <c r="O1680">
        <v>0.82819383259911894</v>
      </c>
      <c r="P1680">
        <v>0.81034482758620685</v>
      </c>
      <c r="Q1680">
        <v>0.84684684684684686</v>
      </c>
      <c r="R1680" t="s">
        <v>60</v>
      </c>
      <c r="S1680" t="s">
        <v>3787</v>
      </c>
      <c r="T1680" t="s">
        <v>3788</v>
      </c>
      <c r="U1680" t="b">
        <v>1</v>
      </c>
      <c r="V1680" t="s">
        <v>63</v>
      </c>
      <c r="W1680">
        <v>1.3</v>
      </c>
    </row>
    <row r="1681" spans="1:23" hidden="1" x14ac:dyDescent="0.3">
      <c r="A1681" t="s">
        <v>2830</v>
      </c>
      <c r="B1681" t="s">
        <v>2831</v>
      </c>
      <c r="C1681" t="s">
        <v>29</v>
      </c>
      <c r="D1681" t="s">
        <v>24</v>
      </c>
      <c r="E1681" t="s">
        <v>25</v>
      </c>
      <c r="F1681" t="s">
        <v>363</v>
      </c>
      <c r="G1681" t="s">
        <v>665</v>
      </c>
      <c r="H1681" t="s">
        <v>569</v>
      </c>
      <c r="I1681" t="s">
        <v>11</v>
      </c>
      <c r="J1681" t="s">
        <v>666</v>
      </c>
      <c r="K1681" t="s">
        <v>667</v>
      </c>
      <c r="L1681" t="s">
        <v>572</v>
      </c>
      <c r="M1681">
        <v>61</v>
      </c>
      <c r="N1681" t="b">
        <v>0</v>
      </c>
      <c r="O1681">
        <v>0.84070796460176989</v>
      </c>
      <c r="P1681">
        <v>0.82608695652173914</v>
      </c>
      <c r="Q1681">
        <v>0.85585585585585588</v>
      </c>
      <c r="R1681" t="s">
        <v>60</v>
      </c>
      <c r="S1681" t="s">
        <v>3789</v>
      </c>
      <c r="T1681" t="s">
        <v>3790</v>
      </c>
      <c r="U1681" t="b">
        <v>1</v>
      </c>
      <c r="V1681" t="s">
        <v>63</v>
      </c>
      <c r="W1681">
        <v>1.3</v>
      </c>
    </row>
    <row r="1682" spans="1:23" hidden="1" x14ac:dyDescent="0.3">
      <c r="A1682" t="s">
        <v>2830</v>
      </c>
      <c r="B1682" t="s">
        <v>2831</v>
      </c>
      <c r="C1682" t="s">
        <v>29</v>
      </c>
      <c r="D1682" t="s">
        <v>26</v>
      </c>
      <c r="E1682" t="s">
        <v>27</v>
      </c>
      <c r="F1682" t="s">
        <v>54</v>
      </c>
      <c r="G1682" t="s">
        <v>55</v>
      </c>
      <c r="H1682" t="s">
        <v>56</v>
      </c>
      <c r="I1682" t="s">
        <v>7</v>
      </c>
      <c r="J1682" t="s">
        <v>57</v>
      </c>
      <c r="K1682" t="s">
        <v>58</v>
      </c>
      <c r="L1682" t="s">
        <v>59</v>
      </c>
      <c r="M1682">
        <v>42</v>
      </c>
      <c r="N1682" t="b">
        <v>1</v>
      </c>
      <c r="O1682">
        <v>0.81589958158995812</v>
      </c>
      <c r="P1682">
        <v>0.78629032258064513</v>
      </c>
      <c r="Q1682">
        <v>0.84782608695652173</v>
      </c>
      <c r="R1682" t="s">
        <v>60</v>
      </c>
      <c r="S1682" t="s">
        <v>3791</v>
      </c>
      <c r="T1682" t="s">
        <v>3792</v>
      </c>
      <c r="U1682" t="b">
        <v>1</v>
      </c>
      <c r="V1682" t="s">
        <v>63</v>
      </c>
      <c r="W1682">
        <v>4.7</v>
      </c>
    </row>
    <row r="1683" spans="1:23" hidden="1" x14ac:dyDescent="0.3">
      <c r="A1683" t="s">
        <v>2830</v>
      </c>
      <c r="B1683" t="s">
        <v>2831</v>
      </c>
      <c r="C1683" t="s">
        <v>29</v>
      </c>
      <c r="D1683" t="s">
        <v>26</v>
      </c>
      <c r="E1683" t="s">
        <v>27</v>
      </c>
      <c r="F1683" t="s">
        <v>54</v>
      </c>
      <c r="G1683" t="s">
        <v>64</v>
      </c>
      <c r="H1683" t="s">
        <v>56</v>
      </c>
      <c r="I1683" t="s">
        <v>7</v>
      </c>
      <c r="J1683" t="s">
        <v>65</v>
      </c>
      <c r="K1683" t="s">
        <v>66</v>
      </c>
      <c r="L1683" t="s">
        <v>59</v>
      </c>
      <c r="M1683">
        <v>43</v>
      </c>
      <c r="N1683" t="b">
        <v>1</v>
      </c>
      <c r="O1683">
        <v>0.78838174273858919</v>
      </c>
      <c r="P1683">
        <v>0.75396825396825395</v>
      </c>
      <c r="Q1683">
        <v>0.82608695652173914</v>
      </c>
      <c r="R1683" t="s">
        <v>60</v>
      </c>
      <c r="S1683" t="s">
        <v>3793</v>
      </c>
      <c r="T1683" t="s">
        <v>3794</v>
      </c>
      <c r="U1683" t="b">
        <v>1</v>
      </c>
      <c r="V1683" t="s">
        <v>63</v>
      </c>
      <c r="W1683">
        <v>1.3</v>
      </c>
    </row>
    <row r="1684" spans="1:23" hidden="1" x14ac:dyDescent="0.3">
      <c r="A1684" t="s">
        <v>2830</v>
      </c>
      <c r="B1684" t="s">
        <v>2831</v>
      </c>
      <c r="C1684" t="s">
        <v>29</v>
      </c>
      <c r="D1684" t="s">
        <v>26</v>
      </c>
      <c r="E1684" t="s">
        <v>27</v>
      </c>
      <c r="F1684" t="s">
        <v>54</v>
      </c>
      <c r="G1684" t="s">
        <v>69</v>
      </c>
      <c r="H1684" t="s">
        <v>56</v>
      </c>
      <c r="I1684" t="s">
        <v>7</v>
      </c>
      <c r="J1684" t="s">
        <v>70</v>
      </c>
      <c r="K1684" t="s">
        <v>71</v>
      </c>
      <c r="L1684" t="s">
        <v>59</v>
      </c>
      <c r="M1684">
        <v>44</v>
      </c>
      <c r="N1684" t="b">
        <v>1</v>
      </c>
      <c r="O1684">
        <v>0.7752577319587628</v>
      </c>
      <c r="P1684">
        <v>0.73725490196078436</v>
      </c>
      <c r="Q1684">
        <v>0.81739130434782614</v>
      </c>
      <c r="R1684" t="s">
        <v>60</v>
      </c>
      <c r="S1684" t="s">
        <v>3795</v>
      </c>
      <c r="T1684" t="s">
        <v>3796</v>
      </c>
      <c r="U1684" t="b">
        <v>1</v>
      </c>
      <c r="V1684" t="s">
        <v>63</v>
      </c>
      <c r="W1684">
        <v>1.7</v>
      </c>
    </row>
    <row r="1685" spans="1:23" hidden="1" x14ac:dyDescent="0.3">
      <c r="A1685" t="s">
        <v>2830</v>
      </c>
      <c r="B1685" t="s">
        <v>2831</v>
      </c>
      <c r="C1685" t="s">
        <v>29</v>
      </c>
      <c r="D1685" t="s">
        <v>26</v>
      </c>
      <c r="E1685" t="s">
        <v>27</v>
      </c>
      <c r="F1685" t="s">
        <v>54</v>
      </c>
      <c r="G1685" t="s">
        <v>74</v>
      </c>
      <c r="H1685" t="s">
        <v>56</v>
      </c>
      <c r="I1685" t="s">
        <v>7</v>
      </c>
      <c r="J1685" t="s">
        <v>75</v>
      </c>
      <c r="K1685" t="s">
        <v>76</v>
      </c>
      <c r="L1685" t="s">
        <v>59</v>
      </c>
      <c r="M1685">
        <v>45</v>
      </c>
      <c r="N1685" t="b">
        <v>1</v>
      </c>
      <c r="O1685">
        <v>0.80578512396694213</v>
      </c>
      <c r="P1685">
        <v>0.76771653543307083</v>
      </c>
      <c r="Q1685">
        <v>0.84782608695652173</v>
      </c>
      <c r="R1685" t="s">
        <v>60</v>
      </c>
      <c r="S1685" t="s">
        <v>3797</v>
      </c>
      <c r="T1685" t="s">
        <v>3798</v>
      </c>
      <c r="U1685" t="b">
        <v>1</v>
      </c>
      <c r="V1685" t="s">
        <v>63</v>
      </c>
      <c r="W1685">
        <v>1.3</v>
      </c>
    </row>
    <row r="1686" spans="1:23" hidden="1" x14ac:dyDescent="0.3">
      <c r="A1686" t="s">
        <v>2830</v>
      </c>
      <c r="B1686" t="s">
        <v>2831</v>
      </c>
      <c r="C1686" t="s">
        <v>29</v>
      </c>
      <c r="D1686" t="s">
        <v>26</v>
      </c>
      <c r="E1686" t="s">
        <v>27</v>
      </c>
      <c r="F1686" t="s">
        <v>54</v>
      </c>
      <c r="G1686" t="s">
        <v>79</v>
      </c>
      <c r="H1686" t="s">
        <v>56</v>
      </c>
      <c r="I1686" t="s">
        <v>7</v>
      </c>
      <c r="J1686" t="s">
        <v>80</v>
      </c>
      <c r="K1686" t="s">
        <v>81</v>
      </c>
      <c r="L1686" t="s">
        <v>59</v>
      </c>
      <c r="M1686">
        <v>46</v>
      </c>
      <c r="N1686" t="b">
        <v>1</v>
      </c>
      <c r="O1686">
        <v>0.77366255144032925</v>
      </c>
      <c r="P1686">
        <v>0.734375</v>
      </c>
      <c r="Q1686">
        <v>0.81739130434782614</v>
      </c>
      <c r="R1686" t="s">
        <v>60</v>
      </c>
      <c r="S1686" t="s">
        <v>3799</v>
      </c>
      <c r="T1686" t="s">
        <v>3800</v>
      </c>
      <c r="U1686" t="b">
        <v>1</v>
      </c>
      <c r="V1686" t="s">
        <v>63</v>
      </c>
      <c r="W1686">
        <v>1.3</v>
      </c>
    </row>
    <row r="1687" spans="1:23" hidden="1" x14ac:dyDescent="0.3">
      <c r="A1687" t="s">
        <v>2830</v>
      </c>
      <c r="B1687" t="s">
        <v>2831</v>
      </c>
      <c r="C1687" t="s">
        <v>29</v>
      </c>
      <c r="D1687" t="s">
        <v>26</v>
      </c>
      <c r="E1687" t="s">
        <v>27</v>
      </c>
      <c r="F1687" t="s">
        <v>54</v>
      </c>
      <c r="G1687" t="s">
        <v>84</v>
      </c>
      <c r="H1687" t="s">
        <v>56</v>
      </c>
      <c r="I1687" t="s">
        <v>7</v>
      </c>
      <c r="J1687" t="s">
        <v>85</v>
      </c>
      <c r="K1687" t="s">
        <v>86</v>
      </c>
      <c r="L1687" t="s">
        <v>59</v>
      </c>
      <c r="M1687">
        <v>47</v>
      </c>
      <c r="N1687" t="b">
        <v>1</v>
      </c>
      <c r="O1687">
        <v>0.79089026915113869</v>
      </c>
      <c r="P1687">
        <v>0.75494071146245056</v>
      </c>
      <c r="Q1687">
        <v>0.83043478260869563</v>
      </c>
      <c r="R1687" t="s">
        <v>60</v>
      </c>
      <c r="S1687" t="s">
        <v>3801</v>
      </c>
      <c r="T1687" t="s">
        <v>3802</v>
      </c>
      <c r="U1687" t="b">
        <v>1</v>
      </c>
      <c r="V1687" t="s">
        <v>63</v>
      </c>
      <c r="W1687">
        <v>1.7</v>
      </c>
    </row>
    <row r="1688" spans="1:23" hidden="1" x14ac:dyDescent="0.3">
      <c r="A1688" t="s">
        <v>2830</v>
      </c>
      <c r="B1688" t="s">
        <v>2831</v>
      </c>
      <c r="C1688" t="s">
        <v>29</v>
      </c>
      <c r="D1688" t="s">
        <v>26</v>
      </c>
      <c r="E1688" t="s">
        <v>27</v>
      </c>
      <c r="F1688" t="s">
        <v>54</v>
      </c>
      <c r="G1688" t="s">
        <v>89</v>
      </c>
      <c r="H1688" t="s">
        <v>56</v>
      </c>
      <c r="I1688" t="s">
        <v>7</v>
      </c>
      <c r="J1688" t="s">
        <v>90</v>
      </c>
      <c r="K1688" t="s">
        <v>91</v>
      </c>
      <c r="L1688" t="s">
        <v>59</v>
      </c>
      <c r="M1688">
        <v>48</v>
      </c>
      <c r="N1688" t="b">
        <v>1</v>
      </c>
      <c r="O1688">
        <v>0.78423236514522832</v>
      </c>
      <c r="P1688">
        <v>0.75</v>
      </c>
      <c r="Q1688">
        <v>0.82173913043478264</v>
      </c>
      <c r="R1688" t="s">
        <v>60</v>
      </c>
      <c r="S1688" t="s">
        <v>3803</v>
      </c>
      <c r="T1688" t="s">
        <v>3804</v>
      </c>
      <c r="U1688" t="b">
        <v>1</v>
      </c>
      <c r="V1688" t="s">
        <v>63</v>
      </c>
      <c r="W1688">
        <v>1.3</v>
      </c>
    </row>
    <row r="1689" spans="1:23" hidden="1" x14ac:dyDescent="0.3">
      <c r="A1689" t="s">
        <v>2830</v>
      </c>
      <c r="B1689" t="s">
        <v>2831</v>
      </c>
      <c r="C1689" t="s">
        <v>29</v>
      </c>
      <c r="D1689" t="s">
        <v>26</v>
      </c>
      <c r="E1689" t="s">
        <v>27</v>
      </c>
      <c r="F1689" t="s">
        <v>54</v>
      </c>
      <c r="G1689" t="s">
        <v>94</v>
      </c>
      <c r="H1689" t="s">
        <v>56</v>
      </c>
      <c r="I1689" t="s">
        <v>7</v>
      </c>
      <c r="J1689" t="s">
        <v>95</v>
      </c>
      <c r="K1689" t="s">
        <v>96</v>
      </c>
      <c r="L1689" t="s">
        <v>59</v>
      </c>
      <c r="M1689">
        <v>49</v>
      </c>
      <c r="N1689" t="b">
        <v>1</v>
      </c>
      <c r="O1689">
        <v>0.80497925311203322</v>
      </c>
      <c r="P1689">
        <v>0.76984126984126988</v>
      </c>
      <c r="Q1689">
        <v>0.84347826086956523</v>
      </c>
      <c r="R1689" t="s">
        <v>60</v>
      </c>
      <c r="S1689" t="s">
        <v>3805</v>
      </c>
      <c r="T1689" t="s">
        <v>3806</v>
      </c>
      <c r="U1689" t="b">
        <v>1</v>
      </c>
      <c r="V1689" t="s">
        <v>63</v>
      </c>
      <c r="W1689">
        <v>1.3</v>
      </c>
    </row>
    <row r="1690" spans="1:23" hidden="1" x14ac:dyDescent="0.3">
      <c r="A1690" t="s">
        <v>2830</v>
      </c>
      <c r="B1690" t="s">
        <v>2831</v>
      </c>
      <c r="C1690" t="s">
        <v>29</v>
      </c>
      <c r="D1690" t="s">
        <v>26</v>
      </c>
      <c r="E1690" t="s">
        <v>27</v>
      </c>
      <c r="F1690" t="s">
        <v>54</v>
      </c>
      <c r="G1690" t="s">
        <v>99</v>
      </c>
      <c r="H1690" t="s">
        <v>56</v>
      </c>
      <c r="I1690" t="s">
        <v>7</v>
      </c>
      <c r="J1690" t="s">
        <v>100</v>
      </c>
      <c r="K1690" t="s">
        <v>101</v>
      </c>
      <c r="L1690" t="s">
        <v>59</v>
      </c>
      <c r="M1690">
        <v>50</v>
      </c>
      <c r="N1690" t="b">
        <v>1</v>
      </c>
      <c r="O1690">
        <v>0.79583333333333317</v>
      </c>
      <c r="P1690">
        <v>0.76400000000000001</v>
      </c>
      <c r="Q1690">
        <v>0.83043478260869563</v>
      </c>
      <c r="R1690" t="s">
        <v>60</v>
      </c>
      <c r="S1690" t="s">
        <v>3807</v>
      </c>
      <c r="T1690" t="s">
        <v>3808</v>
      </c>
      <c r="U1690" t="b">
        <v>1</v>
      </c>
      <c r="V1690" t="s">
        <v>63</v>
      </c>
      <c r="W1690">
        <v>1.7</v>
      </c>
    </row>
    <row r="1691" spans="1:23" hidden="1" x14ac:dyDescent="0.3">
      <c r="A1691" t="s">
        <v>2830</v>
      </c>
      <c r="B1691" t="s">
        <v>2831</v>
      </c>
      <c r="C1691" t="s">
        <v>29</v>
      </c>
      <c r="D1691" t="s">
        <v>26</v>
      </c>
      <c r="E1691" t="s">
        <v>27</v>
      </c>
      <c r="F1691" t="s">
        <v>54</v>
      </c>
      <c r="G1691" t="s">
        <v>104</v>
      </c>
      <c r="H1691" t="s">
        <v>56</v>
      </c>
      <c r="I1691" t="s">
        <v>7</v>
      </c>
      <c r="J1691" t="s">
        <v>105</v>
      </c>
      <c r="K1691" t="s">
        <v>106</v>
      </c>
      <c r="L1691" t="s">
        <v>59</v>
      </c>
      <c r="M1691">
        <v>51</v>
      </c>
      <c r="N1691" t="b">
        <v>1</v>
      </c>
      <c r="O1691">
        <v>0.80082987551867213</v>
      </c>
      <c r="P1691">
        <v>0.76587301587301593</v>
      </c>
      <c r="Q1691">
        <v>0.83913043478260874</v>
      </c>
      <c r="R1691" t="s">
        <v>60</v>
      </c>
      <c r="S1691" t="s">
        <v>3809</v>
      </c>
      <c r="T1691" t="s">
        <v>3810</v>
      </c>
      <c r="U1691" t="b">
        <v>1</v>
      </c>
      <c r="V1691" t="s">
        <v>63</v>
      </c>
      <c r="W1691">
        <v>1.3</v>
      </c>
    </row>
    <row r="1692" spans="1:23" hidden="1" x14ac:dyDescent="0.3">
      <c r="A1692" t="s">
        <v>2830</v>
      </c>
      <c r="B1692" t="s">
        <v>2831</v>
      </c>
      <c r="C1692" t="s">
        <v>29</v>
      </c>
      <c r="D1692" t="s">
        <v>26</v>
      </c>
      <c r="E1692" t="s">
        <v>27</v>
      </c>
      <c r="F1692" t="s">
        <v>54</v>
      </c>
      <c r="G1692" t="s">
        <v>109</v>
      </c>
      <c r="H1692" t="s">
        <v>56</v>
      </c>
      <c r="I1692" t="s">
        <v>7</v>
      </c>
      <c r="J1692" t="s">
        <v>110</v>
      </c>
      <c r="K1692" t="s">
        <v>111</v>
      </c>
      <c r="L1692" t="s">
        <v>59</v>
      </c>
      <c r="M1692">
        <v>52</v>
      </c>
      <c r="N1692" t="b">
        <v>1</v>
      </c>
      <c r="O1692">
        <v>0.78749999999999998</v>
      </c>
      <c r="P1692">
        <v>0.75600000000000001</v>
      </c>
      <c r="Q1692">
        <v>0.82173913043478264</v>
      </c>
      <c r="R1692" t="s">
        <v>60</v>
      </c>
      <c r="S1692" t="s">
        <v>3811</v>
      </c>
      <c r="T1692" t="s">
        <v>3812</v>
      </c>
      <c r="U1692" t="b">
        <v>1</v>
      </c>
      <c r="V1692" t="s">
        <v>63</v>
      </c>
      <c r="W1692">
        <v>1.3</v>
      </c>
    </row>
    <row r="1693" spans="1:23" hidden="1" x14ac:dyDescent="0.3">
      <c r="A1693" t="s">
        <v>2830</v>
      </c>
      <c r="B1693" t="s">
        <v>2831</v>
      </c>
      <c r="C1693" t="s">
        <v>29</v>
      </c>
      <c r="D1693" t="s">
        <v>26</v>
      </c>
      <c r="E1693" t="s">
        <v>27</v>
      </c>
      <c r="F1693" t="s">
        <v>54</v>
      </c>
      <c r="G1693" t="s">
        <v>114</v>
      </c>
      <c r="H1693" t="s">
        <v>56</v>
      </c>
      <c r="I1693" t="s">
        <v>7</v>
      </c>
      <c r="J1693" t="s">
        <v>115</v>
      </c>
      <c r="K1693" t="s">
        <v>116</v>
      </c>
      <c r="L1693" t="s">
        <v>59</v>
      </c>
      <c r="M1693">
        <v>53</v>
      </c>
      <c r="N1693" t="b">
        <v>1</v>
      </c>
      <c r="O1693">
        <v>0.81912681912681917</v>
      </c>
      <c r="P1693">
        <v>0.78486055776892427</v>
      </c>
      <c r="Q1693">
        <v>0.85652173913043483</v>
      </c>
      <c r="R1693" t="s">
        <v>60</v>
      </c>
      <c r="S1693" t="s">
        <v>3813</v>
      </c>
      <c r="T1693" t="s">
        <v>3814</v>
      </c>
      <c r="U1693" t="b">
        <v>1</v>
      </c>
      <c r="V1693" t="s">
        <v>63</v>
      </c>
      <c r="W1693">
        <v>1.7</v>
      </c>
    </row>
    <row r="1694" spans="1:23" hidden="1" x14ac:dyDescent="0.3">
      <c r="A1694" t="s">
        <v>2830</v>
      </c>
      <c r="B1694" t="s">
        <v>2831</v>
      </c>
      <c r="C1694" t="s">
        <v>29</v>
      </c>
      <c r="D1694" t="s">
        <v>26</v>
      </c>
      <c r="E1694" t="s">
        <v>27</v>
      </c>
      <c r="F1694" t="s">
        <v>54</v>
      </c>
      <c r="G1694" t="s">
        <v>119</v>
      </c>
      <c r="H1694" t="s">
        <v>56</v>
      </c>
      <c r="I1694" t="s">
        <v>7</v>
      </c>
      <c r="J1694" t="s">
        <v>120</v>
      </c>
      <c r="K1694" t="s">
        <v>121</v>
      </c>
      <c r="L1694" t="s">
        <v>59</v>
      </c>
      <c r="M1694">
        <v>54</v>
      </c>
      <c r="N1694" t="b">
        <v>1</v>
      </c>
      <c r="O1694">
        <v>0.78762886597938142</v>
      </c>
      <c r="P1694">
        <v>0.74901960784313726</v>
      </c>
      <c r="Q1694">
        <v>0.83043478260869563</v>
      </c>
      <c r="R1694" t="s">
        <v>60</v>
      </c>
      <c r="S1694" t="s">
        <v>3815</v>
      </c>
      <c r="T1694" t="s">
        <v>3816</v>
      </c>
      <c r="U1694" t="b">
        <v>1</v>
      </c>
      <c r="V1694" t="s">
        <v>63</v>
      </c>
      <c r="W1694">
        <v>1.3</v>
      </c>
    </row>
    <row r="1695" spans="1:23" hidden="1" x14ac:dyDescent="0.3">
      <c r="A1695" t="s">
        <v>2830</v>
      </c>
      <c r="B1695" t="s">
        <v>2831</v>
      </c>
      <c r="C1695" t="s">
        <v>29</v>
      </c>
      <c r="D1695" t="s">
        <v>26</v>
      </c>
      <c r="E1695" t="s">
        <v>27</v>
      </c>
      <c r="F1695" t="s">
        <v>54</v>
      </c>
      <c r="G1695" t="s">
        <v>124</v>
      </c>
      <c r="H1695" t="s">
        <v>56</v>
      </c>
      <c r="I1695" t="s">
        <v>7</v>
      </c>
      <c r="J1695" t="s">
        <v>125</v>
      </c>
      <c r="K1695" t="s">
        <v>126</v>
      </c>
      <c r="L1695" t="s">
        <v>59</v>
      </c>
      <c r="M1695">
        <v>55</v>
      </c>
      <c r="N1695" t="b">
        <v>1</v>
      </c>
      <c r="O1695">
        <v>0.77338877338877343</v>
      </c>
      <c r="P1695">
        <v>0.74103585657370519</v>
      </c>
      <c r="Q1695">
        <v>0.80869565217391304</v>
      </c>
      <c r="R1695" t="s">
        <v>60</v>
      </c>
      <c r="S1695" t="s">
        <v>3817</v>
      </c>
      <c r="T1695" t="s">
        <v>3818</v>
      </c>
      <c r="U1695" t="b">
        <v>1</v>
      </c>
      <c r="V1695" t="s">
        <v>63</v>
      </c>
      <c r="W1695">
        <v>1.7</v>
      </c>
    </row>
    <row r="1696" spans="1:23" hidden="1" x14ac:dyDescent="0.3">
      <c r="A1696" t="s">
        <v>2830</v>
      </c>
      <c r="B1696" t="s">
        <v>2831</v>
      </c>
      <c r="C1696" t="s">
        <v>29</v>
      </c>
      <c r="D1696" t="s">
        <v>26</v>
      </c>
      <c r="E1696" t="s">
        <v>27</v>
      </c>
      <c r="F1696" t="s">
        <v>54</v>
      </c>
      <c r="G1696" t="s">
        <v>129</v>
      </c>
      <c r="H1696" t="s">
        <v>56</v>
      </c>
      <c r="I1696" t="s">
        <v>7</v>
      </c>
      <c r="J1696" t="s">
        <v>130</v>
      </c>
      <c r="K1696" t="s">
        <v>131</v>
      </c>
      <c r="L1696" t="s">
        <v>59</v>
      </c>
      <c r="M1696">
        <v>56</v>
      </c>
      <c r="N1696" t="b">
        <v>1</v>
      </c>
      <c r="O1696">
        <v>0.79183673469387761</v>
      </c>
      <c r="P1696">
        <v>0.74615384615384617</v>
      </c>
      <c r="Q1696">
        <v>0.84347826086956523</v>
      </c>
      <c r="R1696" t="s">
        <v>60</v>
      </c>
      <c r="S1696" t="s">
        <v>3819</v>
      </c>
      <c r="T1696" t="s">
        <v>3820</v>
      </c>
      <c r="U1696" t="b">
        <v>1</v>
      </c>
      <c r="V1696" t="s">
        <v>63</v>
      </c>
      <c r="W1696">
        <v>1.3</v>
      </c>
    </row>
    <row r="1697" spans="1:23" hidden="1" x14ac:dyDescent="0.3">
      <c r="A1697" t="s">
        <v>2830</v>
      </c>
      <c r="B1697" t="s">
        <v>2831</v>
      </c>
      <c r="C1697" t="s">
        <v>29</v>
      </c>
      <c r="D1697" t="s">
        <v>26</v>
      </c>
      <c r="E1697" t="s">
        <v>27</v>
      </c>
      <c r="F1697" t="s">
        <v>54</v>
      </c>
      <c r="G1697" t="s">
        <v>134</v>
      </c>
      <c r="H1697" t="s">
        <v>56</v>
      </c>
      <c r="I1697" t="s">
        <v>7</v>
      </c>
      <c r="J1697" t="s">
        <v>135</v>
      </c>
      <c r="K1697" t="s">
        <v>136</v>
      </c>
      <c r="L1697" t="s">
        <v>59</v>
      </c>
      <c r="M1697">
        <v>57</v>
      </c>
      <c r="N1697" t="b">
        <v>1</v>
      </c>
      <c r="O1697">
        <v>0.8091286307053942</v>
      </c>
      <c r="P1697">
        <v>0.77380952380952384</v>
      </c>
      <c r="Q1697">
        <v>0.84782608695652173</v>
      </c>
      <c r="R1697" t="s">
        <v>60</v>
      </c>
      <c r="S1697" t="s">
        <v>3821</v>
      </c>
      <c r="T1697" t="s">
        <v>3822</v>
      </c>
      <c r="U1697" t="b">
        <v>1</v>
      </c>
      <c r="V1697" t="s">
        <v>63</v>
      </c>
      <c r="W1697">
        <v>1.3</v>
      </c>
    </row>
    <row r="1698" spans="1:23" hidden="1" x14ac:dyDescent="0.3">
      <c r="A1698" t="s">
        <v>2830</v>
      </c>
      <c r="B1698" t="s">
        <v>2831</v>
      </c>
      <c r="C1698" t="s">
        <v>29</v>
      </c>
      <c r="D1698" t="s">
        <v>26</v>
      </c>
      <c r="E1698" t="s">
        <v>27</v>
      </c>
      <c r="F1698" t="s">
        <v>54</v>
      </c>
      <c r="G1698" t="s">
        <v>139</v>
      </c>
      <c r="H1698" t="s">
        <v>56</v>
      </c>
      <c r="I1698" t="s">
        <v>7</v>
      </c>
      <c r="J1698" t="s">
        <v>140</v>
      </c>
      <c r="K1698" t="s">
        <v>141</v>
      </c>
      <c r="L1698" t="s">
        <v>59</v>
      </c>
      <c r="M1698">
        <v>58</v>
      </c>
      <c r="N1698" t="b">
        <v>1</v>
      </c>
      <c r="O1698">
        <v>0.80246913580246915</v>
      </c>
      <c r="P1698">
        <v>0.76171875</v>
      </c>
      <c r="Q1698">
        <v>0.84782608695652173</v>
      </c>
      <c r="R1698" t="s">
        <v>60</v>
      </c>
      <c r="S1698" t="s">
        <v>3823</v>
      </c>
      <c r="T1698" t="s">
        <v>3824</v>
      </c>
      <c r="U1698" t="b">
        <v>1</v>
      </c>
      <c r="V1698" t="s">
        <v>63</v>
      </c>
      <c r="W1698">
        <v>1.7</v>
      </c>
    </row>
    <row r="1699" spans="1:23" hidden="1" x14ac:dyDescent="0.3">
      <c r="A1699" t="s">
        <v>2830</v>
      </c>
      <c r="B1699" t="s">
        <v>2831</v>
      </c>
      <c r="C1699" t="s">
        <v>29</v>
      </c>
      <c r="D1699" t="s">
        <v>26</v>
      </c>
      <c r="E1699" t="s">
        <v>27</v>
      </c>
      <c r="F1699" t="s">
        <v>54</v>
      </c>
      <c r="G1699" t="s">
        <v>144</v>
      </c>
      <c r="H1699" t="s">
        <v>56</v>
      </c>
      <c r="I1699" t="s">
        <v>7</v>
      </c>
      <c r="J1699" t="s">
        <v>145</v>
      </c>
      <c r="K1699" t="s">
        <v>146</v>
      </c>
      <c r="L1699" t="s">
        <v>59</v>
      </c>
      <c r="M1699">
        <v>59</v>
      </c>
      <c r="N1699" t="b">
        <v>1</v>
      </c>
      <c r="O1699">
        <v>0.79668049792531104</v>
      </c>
      <c r="P1699">
        <v>0.76190476190476186</v>
      </c>
      <c r="Q1699">
        <v>0.83478260869565213</v>
      </c>
      <c r="R1699" t="s">
        <v>60</v>
      </c>
      <c r="S1699" t="s">
        <v>3825</v>
      </c>
      <c r="T1699" t="s">
        <v>3826</v>
      </c>
      <c r="U1699" t="b">
        <v>1</v>
      </c>
      <c r="V1699" t="s">
        <v>63</v>
      </c>
      <c r="W1699">
        <v>1.3</v>
      </c>
    </row>
    <row r="1700" spans="1:23" hidden="1" x14ac:dyDescent="0.3">
      <c r="A1700" t="s">
        <v>2830</v>
      </c>
      <c r="B1700" t="s">
        <v>2831</v>
      </c>
      <c r="C1700" t="s">
        <v>29</v>
      </c>
      <c r="D1700" t="s">
        <v>26</v>
      </c>
      <c r="E1700" t="s">
        <v>27</v>
      </c>
      <c r="F1700" t="s">
        <v>54</v>
      </c>
      <c r="G1700" t="s">
        <v>149</v>
      </c>
      <c r="H1700" t="s">
        <v>56</v>
      </c>
      <c r="I1700" t="s">
        <v>7</v>
      </c>
      <c r="J1700" t="s">
        <v>150</v>
      </c>
      <c r="K1700" t="s">
        <v>151</v>
      </c>
      <c r="L1700" t="s">
        <v>59</v>
      </c>
      <c r="M1700">
        <v>60</v>
      </c>
      <c r="N1700" t="b">
        <v>1</v>
      </c>
      <c r="O1700">
        <v>0.80334728033472802</v>
      </c>
      <c r="P1700">
        <v>0.77419354838709675</v>
      </c>
      <c r="Q1700">
        <v>0.83478260869565213</v>
      </c>
      <c r="R1700" t="s">
        <v>60</v>
      </c>
      <c r="S1700" t="s">
        <v>3827</v>
      </c>
      <c r="T1700" t="s">
        <v>3828</v>
      </c>
      <c r="U1700" t="b">
        <v>1</v>
      </c>
      <c r="V1700" t="s">
        <v>63</v>
      </c>
      <c r="W1700">
        <v>1.3</v>
      </c>
    </row>
    <row r="1701" spans="1:23" hidden="1" x14ac:dyDescent="0.3">
      <c r="A1701" t="s">
        <v>2830</v>
      </c>
      <c r="B1701" t="s">
        <v>2831</v>
      </c>
      <c r="C1701" t="s">
        <v>29</v>
      </c>
      <c r="D1701" t="s">
        <v>26</v>
      </c>
      <c r="E1701" t="s">
        <v>27</v>
      </c>
      <c r="F1701" t="s">
        <v>54</v>
      </c>
      <c r="G1701" t="s">
        <v>154</v>
      </c>
      <c r="H1701" t="s">
        <v>56</v>
      </c>
      <c r="I1701" t="s">
        <v>7</v>
      </c>
      <c r="J1701" t="s">
        <v>155</v>
      </c>
      <c r="K1701" t="s">
        <v>156</v>
      </c>
      <c r="L1701" t="s">
        <v>59</v>
      </c>
      <c r="M1701">
        <v>61</v>
      </c>
      <c r="N1701" t="b">
        <v>1</v>
      </c>
      <c r="O1701">
        <v>0.78389830508474589</v>
      </c>
      <c r="P1701">
        <v>0.76446280991735538</v>
      </c>
      <c r="Q1701">
        <v>0.80434782608695654</v>
      </c>
      <c r="R1701" t="s">
        <v>60</v>
      </c>
      <c r="S1701" t="s">
        <v>3829</v>
      </c>
      <c r="T1701" t="s">
        <v>3830</v>
      </c>
      <c r="U1701" t="b">
        <v>1</v>
      </c>
      <c r="V1701" t="s">
        <v>63</v>
      </c>
      <c r="W1701">
        <v>1.7</v>
      </c>
    </row>
    <row r="1702" spans="1:23" hidden="1" x14ac:dyDescent="0.3">
      <c r="A1702" t="s">
        <v>2830</v>
      </c>
      <c r="B1702" t="s">
        <v>2831</v>
      </c>
      <c r="C1702" t="s">
        <v>29</v>
      </c>
      <c r="D1702" t="s">
        <v>26</v>
      </c>
      <c r="E1702" t="s">
        <v>27</v>
      </c>
      <c r="F1702" t="s">
        <v>54</v>
      </c>
      <c r="G1702" t="s">
        <v>159</v>
      </c>
      <c r="H1702" t="s">
        <v>160</v>
      </c>
      <c r="I1702" t="s">
        <v>3</v>
      </c>
      <c r="J1702" t="s">
        <v>161</v>
      </c>
      <c r="K1702" t="s">
        <v>162</v>
      </c>
      <c r="L1702" t="s">
        <v>163</v>
      </c>
      <c r="M1702">
        <v>42</v>
      </c>
      <c r="N1702" t="b">
        <v>0</v>
      </c>
      <c r="O1702">
        <v>0.79665738161559885</v>
      </c>
      <c r="P1702">
        <v>0.75263157894736843</v>
      </c>
      <c r="Q1702">
        <v>0.84615384615384615</v>
      </c>
      <c r="R1702" t="s">
        <v>60</v>
      </c>
      <c r="S1702" t="s">
        <v>3831</v>
      </c>
      <c r="T1702" t="s">
        <v>3832</v>
      </c>
      <c r="U1702" t="b">
        <v>1</v>
      </c>
      <c r="V1702" t="s">
        <v>63</v>
      </c>
      <c r="W1702">
        <v>1.2</v>
      </c>
    </row>
    <row r="1703" spans="1:23" hidden="1" x14ac:dyDescent="0.3">
      <c r="A1703" t="s">
        <v>2830</v>
      </c>
      <c r="B1703" t="s">
        <v>2831</v>
      </c>
      <c r="C1703" t="s">
        <v>29</v>
      </c>
      <c r="D1703" t="s">
        <v>26</v>
      </c>
      <c r="E1703" t="s">
        <v>27</v>
      </c>
      <c r="F1703" t="s">
        <v>54</v>
      </c>
      <c r="G1703" t="s">
        <v>166</v>
      </c>
      <c r="H1703" t="s">
        <v>160</v>
      </c>
      <c r="I1703" t="s">
        <v>3</v>
      </c>
      <c r="J1703" t="s">
        <v>167</v>
      </c>
      <c r="K1703" t="s">
        <v>168</v>
      </c>
      <c r="L1703" t="s">
        <v>163</v>
      </c>
      <c r="M1703">
        <v>43</v>
      </c>
      <c r="N1703" t="b">
        <v>0</v>
      </c>
      <c r="O1703">
        <v>0.7932960893854748</v>
      </c>
      <c r="P1703">
        <v>0.75132275132275128</v>
      </c>
      <c r="Q1703">
        <v>0.84023668639053251</v>
      </c>
      <c r="R1703" t="s">
        <v>60</v>
      </c>
      <c r="S1703" t="s">
        <v>3833</v>
      </c>
      <c r="T1703" t="s">
        <v>3834</v>
      </c>
      <c r="U1703" t="b">
        <v>1</v>
      </c>
      <c r="V1703" t="s">
        <v>63</v>
      </c>
      <c r="W1703">
        <v>1.1000000000000001</v>
      </c>
    </row>
    <row r="1704" spans="1:23" hidden="1" x14ac:dyDescent="0.3">
      <c r="A1704" t="s">
        <v>2830</v>
      </c>
      <c r="B1704" t="s">
        <v>2831</v>
      </c>
      <c r="C1704" t="s">
        <v>29</v>
      </c>
      <c r="D1704" t="s">
        <v>26</v>
      </c>
      <c r="E1704" t="s">
        <v>27</v>
      </c>
      <c r="F1704" t="s">
        <v>54</v>
      </c>
      <c r="G1704" t="s">
        <v>171</v>
      </c>
      <c r="H1704" t="s">
        <v>160</v>
      </c>
      <c r="I1704" t="s">
        <v>3</v>
      </c>
      <c r="J1704" t="s">
        <v>172</v>
      </c>
      <c r="K1704" t="s">
        <v>173</v>
      </c>
      <c r="L1704" t="s">
        <v>163</v>
      </c>
      <c r="M1704">
        <v>44</v>
      </c>
      <c r="N1704" t="b">
        <v>0</v>
      </c>
      <c r="O1704">
        <v>0.82022471910112349</v>
      </c>
      <c r="P1704">
        <v>0.78074866310160429</v>
      </c>
      <c r="Q1704">
        <v>0.86390532544378695</v>
      </c>
      <c r="R1704" t="s">
        <v>60</v>
      </c>
      <c r="S1704" t="s">
        <v>3835</v>
      </c>
      <c r="T1704" t="s">
        <v>3836</v>
      </c>
      <c r="U1704" t="b">
        <v>1</v>
      </c>
      <c r="V1704" t="s">
        <v>63</v>
      </c>
      <c r="W1704">
        <v>1.6</v>
      </c>
    </row>
    <row r="1705" spans="1:23" hidden="1" x14ac:dyDescent="0.3">
      <c r="A1705" t="s">
        <v>2830</v>
      </c>
      <c r="B1705" t="s">
        <v>2831</v>
      </c>
      <c r="C1705" t="s">
        <v>29</v>
      </c>
      <c r="D1705" t="s">
        <v>26</v>
      </c>
      <c r="E1705" t="s">
        <v>27</v>
      </c>
      <c r="F1705" t="s">
        <v>54</v>
      </c>
      <c r="G1705" t="s">
        <v>176</v>
      </c>
      <c r="H1705" t="s">
        <v>160</v>
      </c>
      <c r="I1705" t="s">
        <v>3</v>
      </c>
      <c r="J1705" t="s">
        <v>177</v>
      </c>
      <c r="K1705" t="s">
        <v>178</v>
      </c>
      <c r="L1705" t="s">
        <v>163</v>
      </c>
      <c r="M1705">
        <v>45</v>
      </c>
      <c r="N1705" t="b">
        <v>0</v>
      </c>
      <c r="O1705">
        <v>0.79436619718309853</v>
      </c>
      <c r="P1705">
        <v>0.75806451612903225</v>
      </c>
      <c r="Q1705">
        <v>0.83431952662721898</v>
      </c>
      <c r="R1705" t="s">
        <v>60</v>
      </c>
      <c r="S1705" t="s">
        <v>3837</v>
      </c>
      <c r="T1705" t="s">
        <v>3838</v>
      </c>
      <c r="U1705" t="b">
        <v>1</v>
      </c>
      <c r="V1705" t="s">
        <v>63</v>
      </c>
      <c r="W1705">
        <v>1.1000000000000001</v>
      </c>
    </row>
    <row r="1706" spans="1:23" hidden="1" x14ac:dyDescent="0.3">
      <c r="A1706" t="s">
        <v>2830</v>
      </c>
      <c r="B1706" t="s">
        <v>2831</v>
      </c>
      <c r="C1706" t="s">
        <v>29</v>
      </c>
      <c r="D1706" t="s">
        <v>26</v>
      </c>
      <c r="E1706" t="s">
        <v>27</v>
      </c>
      <c r="F1706" t="s">
        <v>54</v>
      </c>
      <c r="G1706" t="s">
        <v>181</v>
      </c>
      <c r="H1706" t="s">
        <v>160</v>
      </c>
      <c r="I1706" t="s">
        <v>3</v>
      </c>
      <c r="J1706" t="s">
        <v>182</v>
      </c>
      <c r="K1706" t="s">
        <v>183</v>
      </c>
      <c r="L1706" t="s">
        <v>163</v>
      </c>
      <c r="M1706">
        <v>46</v>
      </c>
      <c r="N1706" t="b">
        <v>0</v>
      </c>
      <c r="O1706">
        <v>0.80115273775216145</v>
      </c>
      <c r="P1706">
        <v>0.7808988764044944</v>
      </c>
      <c r="Q1706">
        <v>0.8224852071005917</v>
      </c>
      <c r="R1706" t="s">
        <v>60</v>
      </c>
      <c r="S1706" t="s">
        <v>3839</v>
      </c>
      <c r="T1706" t="s">
        <v>3840</v>
      </c>
      <c r="U1706" t="b">
        <v>1</v>
      </c>
      <c r="V1706" t="s">
        <v>63</v>
      </c>
      <c r="W1706">
        <v>1.1000000000000001</v>
      </c>
    </row>
    <row r="1707" spans="1:23" hidden="1" x14ac:dyDescent="0.3">
      <c r="A1707" t="s">
        <v>2830</v>
      </c>
      <c r="B1707" t="s">
        <v>2831</v>
      </c>
      <c r="C1707" t="s">
        <v>29</v>
      </c>
      <c r="D1707" t="s">
        <v>26</v>
      </c>
      <c r="E1707" t="s">
        <v>27</v>
      </c>
      <c r="F1707" t="s">
        <v>54</v>
      </c>
      <c r="G1707" t="s">
        <v>186</v>
      </c>
      <c r="H1707" t="s">
        <v>160</v>
      </c>
      <c r="I1707" t="s">
        <v>3</v>
      </c>
      <c r="J1707" t="s">
        <v>187</v>
      </c>
      <c r="K1707" t="s">
        <v>188</v>
      </c>
      <c r="L1707" t="s">
        <v>163</v>
      </c>
      <c r="M1707">
        <v>47</v>
      </c>
      <c r="N1707" t="b">
        <v>0</v>
      </c>
      <c r="O1707">
        <v>0.79661016949152552</v>
      </c>
      <c r="P1707">
        <v>0.76216216216216215</v>
      </c>
      <c r="Q1707">
        <v>0.83431952662721898</v>
      </c>
      <c r="R1707" t="s">
        <v>60</v>
      </c>
      <c r="S1707" t="s">
        <v>3841</v>
      </c>
      <c r="T1707" t="s">
        <v>3842</v>
      </c>
      <c r="U1707" t="b">
        <v>1</v>
      </c>
      <c r="V1707" t="s">
        <v>63</v>
      </c>
      <c r="W1707">
        <v>1.1000000000000001</v>
      </c>
    </row>
    <row r="1708" spans="1:23" hidden="1" x14ac:dyDescent="0.3">
      <c r="A1708" t="s">
        <v>2830</v>
      </c>
      <c r="B1708" t="s">
        <v>2831</v>
      </c>
      <c r="C1708" t="s">
        <v>29</v>
      </c>
      <c r="D1708" t="s">
        <v>26</v>
      </c>
      <c r="E1708" t="s">
        <v>27</v>
      </c>
      <c r="F1708" t="s">
        <v>54</v>
      </c>
      <c r="G1708" t="s">
        <v>191</v>
      </c>
      <c r="H1708" t="s">
        <v>160</v>
      </c>
      <c r="I1708" t="s">
        <v>3</v>
      </c>
      <c r="J1708" t="s">
        <v>192</v>
      </c>
      <c r="K1708" t="s">
        <v>193</v>
      </c>
      <c r="L1708" t="s">
        <v>163</v>
      </c>
      <c r="M1708">
        <v>48</v>
      </c>
      <c r="N1708" t="b">
        <v>0</v>
      </c>
      <c r="O1708">
        <v>0.78309859154929573</v>
      </c>
      <c r="P1708">
        <v>0.74731182795698925</v>
      </c>
      <c r="Q1708">
        <v>0.8224852071005917</v>
      </c>
      <c r="R1708" t="s">
        <v>60</v>
      </c>
      <c r="S1708" t="s">
        <v>3843</v>
      </c>
      <c r="T1708" t="s">
        <v>3844</v>
      </c>
      <c r="U1708" t="b">
        <v>1</v>
      </c>
      <c r="V1708" t="s">
        <v>63</v>
      </c>
      <c r="W1708">
        <v>1.6</v>
      </c>
    </row>
    <row r="1709" spans="1:23" hidden="1" x14ac:dyDescent="0.3">
      <c r="A1709" t="s">
        <v>2830</v>
      </c>
      <c r="B1709" t="s">
        <v>2831</v>
      </c>
      <c r="C1709" t="s">
        <v>29</v>
      </c>
      <c r="D1709" t="s">
        <v>26</v>
      </c>
      <c r="E1709" t="s">
        <v>27</v>
      </c>
      <c r="F1709" t="s">
        <v>54</v>
      </c>
      <c r="G1709" t="s">
        <v>196</v>
      </c>
      <c r="H1709" t="s">
        <v>160</v>
      </c>
      <c r="I1709" t="s">
        <v>3</v>
      </c>
      <c r="J1709" t="s">
        <v>197</v>
      </c>
      <c r="K1709" t="s">
        <v>198</v>
      </c>
      <c r="L1709" t="s">
        <v>163</v>
      </c>
      <c r="M1709">
        <v>49</v>
      </c>
      <c r="N1709" t="b">
        <v>0</v>
      </c>
      <c r="O1709">
        <v>0.80779944289693595</v>
      </c>
      <c r="P1709">
        <v>0.76315789473684215</v>
      </c>
      <c r="Q1709">
        <v>0.85798816568047342</v>
      </c>
      <c r="R1709" t="s">
        <v>60</v>
      </c>
      <c r="S1709" t="s">
        <v>3845</v>
      </c>
      <c r="T1709" t="s">
        <v>3846</v>
      </c>
      <c r="U1709" t="b">
        <v>1</v>
      </c>
      <c r="V1709" t="s">
        <v>63</v>
      </c>
      <c r="W1709">
        <v>1.1000000000000001</v>
      </c>
    </row>
    <row r="1710" spans="1:23" hidden="1" x14ac:dyDescent="0.3">
      <c r="A1710" t="s">
        <v>2830</v>
      </c>
      <c r="B1710" t="s">
        <v>2831</v>
      </c>
      <c r="C1710" t="s">
        <v>29</v>
      </c>
      <c r="D1710" t="s">
        <v>26</v>
      </c>
      <c r="E1710" t="s">
        <v>27</v>
      </c>
      <c r="F1710" t="s">
        <v>54</v>
      </c>
      <c r="G1710" t="s">
        <v>201</v>
      </c>
      <c r="H1710" t="s">
        <v>160</v>
      </c>
      <c r="I1710" t="s">
        <v>3</v>
      </c>
      <c r="J1710" t="s">
        <v>202</v>
      </c>
      <c r="K1710" t="s">
        <v>203</v>
      </c>
      <c r="L1710" t="s">
        <v>163</v>
      </c>
      <c r="M1710">
        <v>50</v>
      </c>
      <c r="N1710" t="b">
        <v>0</v>
      </c>
      <c r="O1710">
        <v>0.82285714285714284</v>
      </c>
      <c r="P1710">
        <v>0.79558011049723754</v>
      </c>
      <c r="Q1710">
        <v>0.85207100591715978</v>
      </c>
      <c r="R1710" t="s">
        <v>60</v>
      </c>
      <c r="S1710" t="s">
        <v>3847</v>
      </c>
      <c r="T1710" t="s">
        <v>3848</v>
      </c>
      <c r="U1710" t="b">
        <v>1</v>
      </c>
      <c r="V1710" t="s">
        <v>63</v>
      </c>
      <c r="W1710">
        <v>1.2</v>
      </c>
    </row>
    <row r="1711" spans="1:23" hidden="1" x14ac:dyDescent="0.3">
      <c r="A1711" t="s">
        <v>2830</v>
      </c>
      <c r="B1711" t="s">
        <v>2831</v>
      </c>
      <c r="C1711" t="s">
        <v>29</v>
      </c>
      <c r="D1711" t="s">
        <v>26</v>
      </c>
      <c r="E1711" t="s">
        <v>27</v>
      </c>
      <c r="F1711" t="s">
        <v>54</v>
      </c>
      <c r="G1711" t="s">
        <v>206</v>
      </c>
      <c r="H1711" t="s">
        <v>160</v>
      </c>
      <c r="I1711" t="s">
        <v>3</v>
      </c>
      <c r="J1711" t="s">
        <v>207</v>
      </c>
      <c r="K1711" t="s">
        <v>208</v>
      </c>
      <c r="L1711" t="s">
        <v>163</v>
      </c>
      <c r="M1711">
        <v>51</v>
      </c>
      <c r="N1711" t="b">
        <v>0</v>
      </c>
      <c r="O1711">
        <v>0.77777777777777779</v>
      </c>
      <c r="P1711">
        <v>0.73298429319371727</v>
      </c>
      <c r="Q1711">
        <v>0.82840236686390534</v>
      </c>
      <c r="R1711" t="s">
        <v>60</v>
      </c>
      <c r="S1711" t="s">
        <v>3849</v>
      </c>
      <c r="T1711" t="s">
        <v>3850</v>
      </c>
      <c r="U1711" t="b">
        <v>1</v>
      </c>
      <c r="V1711" t="s">
        <v>63</v>
      </c>
      <c r="W1711">
        <v>1.1000000000000001</v>
      </c>
    </row>
    <row r="1712" spans="1:23" hidden="1" x14ac:dyDescent="0.3">
      <c r="A1712" t="s">
        <v>2830</v>
      </c>
      <c r="B1712" t="s">
        <v>2831</v>
      </c>
      <c r="C1712" t="s">
        <v>29</v>
      </c>
      <c r="D1712" t="s">
        <v>26</v>
      </c>
      <c r="E1712" t="s">
        <v>27</v>
      </c>
      <c r="F1712" t="s">
        <v>54</v>
      </c>
      <c r="G1712" t="s">
        <v>211</v>
      </c>
      <c r="H1712" t="s">
        <v>160</v>
      </c>
      <c r="I1712" t="s">
        <v>3</v>
      </c>
      <c r="J1712" t="s">
        <v>212</v>
      </c>
      <c r="K1712" t="s">
        <v>213</v>
      </c>
      <c r="L1712" t="s">
        <v>163</v>
      </c>
      <c r="M1712">
        <v>52</v>
      </c>
      <c r="N1712" t="b">
        <v>0</v>
      </c>
      <c r="O1712">
        <v>0.7921348314606742</v>
      </c>
      <c r="P1712">
        <v>0.75401069518716579</v>
      </c>
      <c r="Q1712">
        <v>0.83431952662721898</v>
      </c>
      <c r="R1712" t="s">
        <v>60</v>
      </c>
      <c r="S1712" t="s">
        <v>3851</v>
      </c>
      <c r="T1712" t="s">
        <v>3852</v>
      </c>
      <c r="U1712" t="b">
        <v>1</v>
      </c>
      <c r="V1712" t="s">
        <v>63</v>
      </c>
      <c r="W1712">
        <v>1.5</v>
      </c>
    </row>
    <row r="1713" spans="1:23" hidden="1" x14ac:dyDescent="0.3">
      <c r="A1713" t="s">
        <v>2830</v>
      </c>
      <c r="B1713" t="s">
        <v>2831</v>
      </c>
      <c r="C1713" t="s">
        <v>29</v>
      </c>
      <c r="D1713" t="s">
        <v>26</v>
      </c>
      <c r="E1713" t="s">
        <v>27</v>
      </c>
      <c r="F1713" t="s">
        <v>54</v>
      </c>
      <c r="G1713" t="s">
        <v>216</v>
      </c>
      <c r="H1713" t="s">
        <v>160</v>
      </c>
      <c r="I1713" t="s">
        <v>3</v>
      </c>
      <c r="J1713" t="s">
        <v>217</v>
      </c>
      <c r="K1713" t="s">
        <v>218</v>
      </c>
      <c r="L1713" t="s">
        <v>163</v>
      </c>
      <c r="M1713">
        <v>53</v>
      </c>
      <c r="N1713" t="b">
        <v>0</v>
      </c>
      <c r="O1713">
        <v>0.80225988700564976</v>
      </c>
      <c r="P1713">
        <v>0.76756756756756761</v>
      </c>
      <c r="Q1713">
        <v>0.84023668639053251</v>
      </c>
      <c r="R1713" t="s">
        <v>60</v>
      </c>
      <c r="S1713" t="s">
        <v>3853</v>
      </c>
      <c r="T1713" t="s">
        <v>3854</v>
      </c>
      <c r="U1713" t="b">
        <v>1</v>
      </c>
      <c r="V1713" t="s">
        <v>63</v>
      </c>
      <c r="W1713">
        <v>1.1000000000000001</v>
      </c>
    </row>
    <row r="1714" spans="1:23" hidden="1" x14ac:dyDescent="0.3">
      <c r="A1714" t="s">
        <v>2830</v>
      </c>
      <c r="B1714" t="s">
        <v>2831</v>
      </c>
      <c r="C1714" t="s">
        <v>29</v>
      </c>
      <c r="D1714" t="s">
        <v>26</v>
      </c>
      <c r="E1714" t="s">
        <v>27</v>
      </c>
      <c r="F1714" t="s">
        <v>54</v>
      </c>
      <c r="G1714" t="s">
        <v>221</v>
      </c>
      <c r="H1714" t="s">
        <v>160</v>
      </c>
      <c r="I1714" t="s">
        <v>3</v>
      </c>
      <c r="J1714" t="s">
        <v>222</v>
      </c>
      <c r="K1714" t="s">
        <v>223</v>
      </c>
      <c r="L1714" t="s">
        <v>163</v>
      </c>
      <c r="M1714">
        <v>54</v>
      </c>
      <c r="N1714" t="b">
        <v>0</v>
      </c>
      <c r="O1714">
        <v>0.78651685393258419</v>
      </c>
      <c r="P1714">
        <v>0.74866310160427807</v>
      </c>
      <c r="Q1714">
        <v>0.82840236686390534</v>
      </c>
      <c r="R1714" t="s">
        <v>60</v>
      </c>
      <c r="S1714" t="s">
        <v>3855</v>
      </c>
      <c r="T1714" t="s">
        <v>3856</v>
      </c>
      <c r="U1714" t="b">
        <v>1</v>
      </c>
      <c r="V1714" t="s">
        <v>63</v>
      </c>
      <c r="W1714">
        <v>1.1000000000000001</v>
      </c>
    </row>
    <row r="1715" spans="1:23" hidden="1" x14ac:dyDescent="0.3">
      <c r="A1715" t="s">
        <v>2830</v>
      </c>
      <c r="B1715" t="s">
        <v>2831</v>
      </c>
      <c r="C1715" t="s">
        <v>29</v>
      </c>
      <c r="D1715" t="s">
        <v>26</v>
      </c>
      <c r="E1715" t="s">
        <v>27</v>
      </c>
      <c r="F1715" t="s">
        <v>54</v>
      </c>
      <c r="G1715" t="s">
        <v>226</v>
      </c>
      <c r="H1715" t="s">
        <v>160</v>
      </c>
      <c r="I1715" t="s">
        <v>3</v>
      </c>
      <c r="J1715" t="s">
        <v>227</v>
      </c>
      <c r="K1715" t="s">
        <v>228</v>
      </c>
      <c r="L1715" t="s">
        <v>163</v>
      </c>
      <c r="M1715">
        <v>55</v>
      </c>
      <c r="N1715" t="b">
        <v>0</v>
      </c>
      <c r="O1715">
        <v>0.82485875706214684</v>
      </c>
      <c r="P1715">
        <v>0.78918918918918923</v>
      </c>
      <c r="Q1715">
        <v>0.86390532544378695</v>
      </c>
      <c r="R1715" t="s">
        <v>60</v>
      </c>
      <c r="S1715" t="s">
        <v>3857</v>
      </c>
      <c r="T1715" t="s">
        <v>3858</v>
      </c>
      <c r="U1715" t="b">
        <v>1</v>
      </c>
      <c r="V1715" t="s">
        <v>63</v>
      </c>
      <c r="W1715">
        <v>1.5</v>
      </c>
    </row>
    <row r="1716" spans="1:23" hidden="1" x14ac:dyDescent="0.3">
      <c r="A1716" t="s">
        <v>2830</v>
      </c>
      <c r="B1716" t="s">
        <v>2831</v>
      </c>
      <c r="C1716" t="s">
        <v>29</v>
      </c>
      <c r="D1716" t="s">
        <v>26</v>
      </c>
      <c r="E1716" t="s">
        <v>27</v>
      </c>
      <c r="F1716" t="s">
        <v>54</v>
      </c>
      <c r="G1716" t="s">
        <v>231</v>
      </c>
      <c r="H1716" t="s">
        <v>160</v>
      </c>
      <c r="I1716" t="s">
        <v>3</v>
      </c>
      <c r="J1716" t="s">
        <v>232</v>
      </c>
      <c r="K1716" t="s">
        <v>233</v>
      </c>
      <c r="L1716" t="s">
        <v>163</v>
      </c>
      <c r="M1716">
        <v>56</v>
      </c>
      <c r="N1716" t="b">
        <v>0</v>
      </c>
      <c r="O1716">
        <v>0.80341880341880345</v>
      </c>
      <c r="P1716">
        <v>0.77472527472527475</v>
      </c>
      <c r="Q1716">
        <v>0.83431952662721898</v>
      </c>
      <c r="R1716" t="s">
        <v>60</v>
      </c>
      <c r="S1716" t="s">
        <v>3859</v>
      </c>
      <c r="T1716" t="s">
        <v>3860</v>
      </c>
      <c r="U1716" t="b">
        <v>1</v>
      </c>
      <c r="V1716" t="s">
        <v>63</v>
      </c>
      <c r="W1716">
        <v>1.2</v>
      </c>
    </row>
    <row r="1717" spans="1:23" hidden="1" x14ac:dyDescent="0.3">
      <c r="A1717" t="s">
        <v>2830</v>
      </c>
      <c r="B1717" t="s">
        <v>2831</v>
      </c>
      <c r="C1717" t="s">
        <v>29</v>
      </c>
      <c r="D1717" t="s">
        <v>26</v>
      </c>
      <c r="E1717" t="s">
        <v>27</v>
      </c>
      <c r="F1717" t="s">
        <v>54</v>
      </c>
      <c r="G1717" t="s">
        <v>236</v>
      </c>
      <c r="H1717" t="s">
        <v>160</v>
      </c>
      <c r="I1717" t="s">
        <v>3</v>
      </c>
      <c r="J1717" t="s">
        <v>237</v>
      </c>
      <c r="K1717" t="s">
        <v>238</v>
      </c>
      <c r="L1717" t="s">
        <v>163</v>
      </c>
      <c r="M1717">
        <v>57</v>
      </c>
      <c r="N1717" t="b">
        <v>0</v>
      </c>
      <c r="O1717">
        <v>0.79428571428571437</v>
      </c>
      <c r="P1717">
        <v>0.76795580110497241</v>
      </c>
      <c r="Q1717">
        <v>0.8224852071005917</v>
      </c>
      <c r="R1717" t="s">
        <v>60</v>
      </c>
      <c r="S1717" t="s">
        <v>3861</v>
      </c>
      <c r="T1717" t="s">
        <v>3862</v>
      </c>
      <c r="U1717" t="b">
        <v>1</v>
      </c>
      <c r="V1717" t="s">
        <v>63</v>
      </c>
      <c r="W1717">
        <v>1.1000000000000001</v>
      </c>
    </row>
    <row r="1718" spans="1:23" hidden="1" x14ac:dyDescent="0.3">
      <c r="A1718" t="s">
        <v>2830</v>
      </c>
      <c r="B1718" t="s">
        <v>2831</v>
      </c>
      <c r="C1718" t="s">
        <v>29</v>
      </c>
      <c r="D1718" t="s">
        <v>26</v>
      </c>
      <c r="E1718" t="s">
        <v>27</v>
      </c>
      <c r="F1718" t="s">
        <v>54</v>
      </c>
      <c r="G1718" t="s">
        <v>241</v>
      </c>
      <c r="H1718" t="s">
        <v>160</v>
      </c>
      <c r="I1718" t="s">
        <v>3</v>
      </c>
      <c r="J1718" t="s">
        <v>242</v>
      </c>
      <c r="K1718" t="s">
        <v>243</v>
      </c>
      <c r="L1718" t="s">
        <v>163</v>
      </c>
      <c r="M1718">
        <v>58</v>
      </c>
      <c r="N1718" t="b">
        <v>0</v>
      </c>
      <c r="O1718">
        <v>0.79320113314447593</v>
      </c>
      <c r="P1718">
        <v>0.76086956521739135</v>
      </c>
      <c r="Q1718">
        <v>0.82840236686390534</v>
      </c>
      <c r="R1718" t="s">
        <v>60</v>
      </c>
      <c r="S1718" t="s">
        <v>3863</v>
      </c>
      <c r="T1718" t="s">
        <v>3864</v>
      </c>
      <c r="U1718" t="b">
        <v>1</v>
      </c>
      <c r="V1718" t="s">
        <v>63</v>
      </c>
      <c r="W1718">
        <v>1.1000000000000001</v>
      </c>
    </row>
    <row r="1719" spans="1:23" hidden="1" x14ac:dyDescent="0.3">
      <c r="A1719" t="s">
        <v>2830</v>
      </c>
      <c r="B1719" t="s">
        <v>2831</v>
      </c>
      <c r="C1719" t="s">
        <v>29</v>
      </c>
      <c r="D1719" t="s">
        <v>26</v>
      </c>
      <c r="E1719" t="s">
        <v>27</v>
      </c>
      <c r="F1719" t="s">
        <v>54</v>
      </c>
      <c r="G1719" t="s">
        <v>246</v>
      </c>
      <c r="H1719" t="s">
        <v>160</v>
      </c>
      <c r="I1719" t="s">
        <v>3</v>
      </c>
      <c r="J1719" t="s">
        <v>247</v>
      </c>
      <c r="K1719" t="s">
        <v>248</v>
      </c>
      <c r="L1719" t="s">
        <v>163</v>
      </c>
      <c r="M1719">
        <v>59</v>
      </c>
      <c r="N1719" t="b">
        <v>0</v>
      </c>
      <c r="O1719">
        <v>0.79775280898876411</v>
      </c>
      <c r="P1719">
        <v>0.75935828877005351</v>
      </c>
      <c r="Q1719">
        <v>0.84023668639053251</v>
      </c>
      <c r="R1719" t="s">
        <v>60</v>
      </c>
      <c r="S1719" t="s">
        <v>3865</v>
      </c>
      <c r="T1719" t="s">
        <v>3866</v>
      </c>
      <c r="U1719" t="b">
        <v>1</v>
      </c>
      <c r="V1719" t="s">
        <v>63</v>
      </c>
      <c r="W1719">
        <v>1.5</v>
      </c>
    </row>
    <row r="1720" spans="1:23" hidden="1" x14ac:dyDescent="0.3">
      <c r="A1720" t="s">
        <v>2830</v>
      </c>
      <c r="B1720" t="s">
        <v>2831</v>
      </c>
      <c r="C1720" t="s">
        <v>29</v>
      </c>
      <c r="D1720" t="s">
        <v>26</v>
      </c>
      <c r="E1720" t="s">
        <v>27</v>
      </c>
      <c r="F1720" t="s">
        <v>54</v>
      </c>
      <c r="G1720" t="s">
        <v>251</v>
      </c>
      <c r="H1720" t="s">
        <v>160</v>
      </c>
      <c r="I1720" t="s">
        <v>3</v>
      </c>
      <c r="J1720" t="s">
        <v>252</v>
      </c>
      <c r="K1720" t="s">
        <v>253</v>
      </c>
      <c r="L1720" t="s">
        <v>163</v>
      </c>
      <c r="M1720">
        <v>60</v>
      </c>
      <c r="N1720" t="b">
        <v>0</v>
      </c>
      <c r="O1720">
        <v>0.7932960893854748</v>
      </c>
      <c r="P1720">
        <v>0.75132275132275128</v>
      </c>
      <c r="Q1720">
        <v>0.84023668639053251</v>
      </c>
      <c r="R1720" t="s">
        <v>60</v>
      </c>
      <c r="S1720" t="s">
        <v>3867</v>
      </c>
      <c r="T1720" t="s">
        <v>3868</v>
      </c>
      <c r="U1720" t="b">
        <v>1</v>
      </c>
      <c r="V1720" t="s">
        <v>63</v>
      </c>
      <c r="W1720">
        <v>1.2</v>
      </c>
    </row>
    <row r="1721" spans="1:23" hidden="1" x14ac:dyDescent="0.3">
      <c r="A1721" t="s">
        <v>2830</v>
      </c>
      <c r="B1721" t="s">
        <v>2831</v>
      </c>
      <c r="C1721" t="s">
        <v>29</v>
      </c>
      <c r="D1721" t="s">
        <v>26</v>
      </c>
      <c r="E1721" t="s">
        <v>27</v>
      </c>
      <c r="F1721" t="s">
        <v>54</v>
      </c>
      <c r="G1721" t="s">
        <v>256</v>
      </c>
      <c r="H1721" t="s">
        <v>160</v>
      </c>
      <c r="I1721" t="s">
        <v>3</v>
      </c>
      <c r="J1721" t="s">
        <v>257</v>
      </c>
      <c r="K1721" t="s">
        <v>258</v>
      </c>
      <c r="L1721" t="s">
        <v>163</v>
      </c>
      <c r="M1721">
        <v>61</v>
      </c>
      <c r="N1721" t="b">
        <v>0</v>
      </c>
      <c r="O1721">
        <v>0.79999999999999982</v>
      </c>
      <c r="P1721">
        <v>0.76344086021505375</v>
      </c>
      <c r="Q1721">
        <v>0.84023668639053251</v>
      </c>
      <c r="R1721" t="s">
        <v>60</v>
      </c>
      <c r="S1721" t="s">
        <v>3869</v>
      </c>
      <c r="T1721" t="s">
        <v>3870</v>
      </c>
      <c r="U1721" t="b">
        <v>1</v>
      </c>
      <c r="V1721" t="s">
        <v>63</v>
      </c>
      <c r="W1721">
        <v>1.1000000000000001</v>
      </c>
    </row>
    <row r="1722" spans="1:23" hidden="1" x14ac:dyDescent="0.3">
      <c r="A1722" t="s">
        <v>2830</v>
      </c>
      <c r="B1722" t="s">
        <v>2831</v>
      </c>
      <c r="C1722" t="s">
        <v>29</v>
      </c>
      <c r="D1722" t="s">
        <v>26</v>
      </c>
      <c r="E1722" t="s">
        <v>27</v>
      </c>
      <c r="F1722" t="s">
        <v>54</v>
      </c>
      <c r="G1722" t="s">
        <v>261</v>
      </c>
      <c r="H1722" t="s">
        <v>262</v>
      </c>
      <c r="I1722" t="s">
        <v>5</v>
      </c>
      <c r="J1722" t="s">
        <v>263</v>
      </c>
      <c r="K1722" t="s">
        <v>264</v>
      </c>
      <c r="L1722" t="s">
        <v>265</v>
      </c>
      <c r="M1722">
        <v>42</v>
      </c>
      <c r="N1722" t="b">
        <v>0</v>
      </c>
      <c r="O1722">
        <v>0.81959910913140299</v>
      </c>
      <c r="P1722">
        <v>0.81057268722466957</v>
      </c>
      <c r="Q1722">
        <v>0.8288288288288288</v>
      </c>
      <c r="R1722" t="s">
        <v>60</v>
      </c>
      <c r="S1722" t="s">
        <v>3871</v>
      </c>
      <c r="T1722" t="s">
        <v>3872</v>
      </c>
      <c r="U1722" t="b">
        <v>1</v>
      </c>
      <c r="V1722" t="s">
        <v>63</v>
      </c>
      <c r="W1722">
        <v>1.7</v>
      </c>
    </row>
    <row r="1723" spans="1:23" hidden="1" x14ac:dyDescent="0.3">
      <c r="A1723" t="s">
        <v>2830</v>
      </c>
      <c r="B1723" t="s">
        <v>2831</v>
      </c>
      <c r="C1723" t="s">
        <v>29</v>
      </c>
      <c r="D1723" t="s">
        <v>26</v>
      </c>
      <c r="E1723" t="s">
        <v>27</v>
      </c>
      <c r="F1723" t="s">
        <v>54</v>
      </c>
      <c r="G1723" t="s">
        <v>268</v>
      </c>
      <c r="H1723" t="s">
        <v>262</v>
      </c>
      <c r="I1723" t="s">
        <v>5</v>
      </c>
      <c r="J1723" t="s">
        <v>269</v>
      </c>
      <c r="K1723" t="s">
        <v>270</v>
      </c>
      <c r="L1723" t="s">
        <v>265</v>
      </c>
      <c r="M1723">
        <v>43</v>
      </c>
      <c r="N1723" t="b">
        <v>0</v>
      </c>
      <c r="O1723">
        <v>0.79385964912280704</v>
      </c>
      <c r="P1723">
        <v>0.77350427350427353</v>
      </c>
      <c r="Q1723">
        <v>0.81531531531531531</v>
      </c>
      <c r="R1723" t="s">
        <v>60</v>
      </c>
      <c r="S1723" t="s">
        <v>3873</v>
      </c>
      <c r="T1723" t="s">
        <v>3874</v>
      </c>
      <c r="U1723" t="b">
        <v>1</v>
      </c>
      <c r="V1723" t="s">
        <v>63</v>
      </c>
      <c r="W1723">
        <v>1.3</v>
      </c>
    </row>
    <row r="1724" spans="1:23" hidden="1" x14ac:dyDescent="0.3">
      <c r="A1724" t="s">
        <v>2830</v>
      </c>
      <c r="B1724" t="s">
        <v>2831</v>
      </c>
      <c r="C1724" t="s">
        <v>29</v>
      </c>
      <c r="D1724" t="s">
        <v>26</v>
      </c>
      <c r="E1724" t="s">
        <v>27</v>
      </c>
      <c r="F1724" t="s">
        <v>54</v>
      </c>
      <c r="G1724" t="s">
        <v>273</v>
      </c>
      <c r="H1724" t="s">
        <v>262</v>
      </c>
      <c r="I1724" t="s">
        <v>5</v>
      </c>
      <c r="J1724" t="s">
        <v>274</v>
      </c>
      <c r="K1724" t="s">
        <v>275</v>
      </c>
      <c r="L1724" t="s">
        <v>265</v>
      </c>
      <c r="M1724">
        <v>44</v>
      </c>
      <c r="N1724" t="b">
        <v>0</v>
      </c>
      <c r="O1724">
        <v>0.79212253829321666</v>
      </c>
      <c r="P1724">
        <v>0.77021276595744681</v>
      </c>
      <c r="Q1724">
        <v>0.81531531531531531</v>
      </c>
      <c r="R1724" t="s">
        <v>60</v>
      </c>
      <c r="S1724" t="s">
        <v>3875</v>
      </c>
      <c r="T1724" t="s">
        <v>3876</v>
      </c>
      <c r="U1724" t="b">
        <v>1</v>
      </c>
      <c r="V1724" t="s">
        <v>63</v>
      </c>
      <c r="W1724">
        <v>1.3</v>
      </c>
    </row>
    <row r="1725" spans="1:23" hidden="1" x14ac:dyDescent="0.3">
      <c r="A1725" t="s">
        <v>2830</v>
      </c>
      <c r="B1725" t="s">
        <v>2831</v>
      </c>
      <c r="C1725" t="s">
        <v>29</v>
      </c>
      <c r="D1725" t="s">
        <v>26</v>
      </c>
      <c r="E1725" t="s">
        <v>27</v>
      </c>
      <c r="F1725" t="s">
        <v>54</v>
      </c>
      <c r="G1725" t="s">
        <v>278</v>
      </c>
      <c r="H1725" t="s">
        <v>262</v>
      </c>
      <c r="I1725" t="s">
        <v>5</v>
      </c>
      <c r="J1725" t="s">
        <v>279</v>
      </c>
      <c r="K1725" t="s">
        <v>280</v>
      </c>
      <c r="L1725" t="s">
        <v>265</v>
      </c>
      <c r="M1725">
        <v>45</v>
      </c>
      <c r="N1725" t="b">
        <v>0</v>
      </c>
      <c r="O1725">
        <v>0.80616740088105721</v>
      </c>
      <c r="P1725">
        <v>0.78879310344827591</v>
      </c>
      <c r="Q1725">
        <v>0.82432432432432434</v>
      </c>
      <c r="R1725" t="s">
        <v>60</v>
      </c>
      <c r="S1725" t="s">
        <v>3877</v>
      </c>
      <c r="T1725" t="s">
        <v>3878</v>
      </c>
      <c r="U1725" t="b">
        <v>1</v>
      </c>
      <c r="V1725" t="s">
        <v>63</v>
      </c>
      <c r="W1725">
        <v>1.7</v>
      </c>
    </row>
    <row r="1726" spans="1:23" hidden="1" x14ac:dyDescent="0.3">
      <c r="A1726" t="s">
        <v>2830</v>
      </c>
      <c r="B1726" t="s">
        <v>2831</v>
      </c>
      <c r="C1726" t="s">
        <v>29</v>
      </c>
      <c r="D1726" t="s">
        <v>26</v>
      </c>
      <c r="E1726" t="s">
        <v>27</v>
      </c>
      <c r="F1726" t="s">
        <v>54</v>
      </c>
      <c r="G1726" t="s">
        <v>283</v>
      </c>
      <c r="H1726" t="s">
        <v>262</v>
      </c>
      <c r="I1726" t="s">
        <v>5</v>
      </c>
      <c r="J1726" t="s">
        <v>284</v>
      </c>
      <c r="K1726" t="s">
        <v>285</v>
      </c>
      <c r="L1726" t="s">
        <v>265</v>
      </c>
      <c r="M1726">
        <v>46</v>
      </c>
      <c r="N1726" t="b">
        <v>0</v>
      </c>
      <c r="O1726">
        <v>0.82456140350877194</v>
      </c>
      <c r="P1726">
        <v>0.80341880341880345</v>
      </c>
      <c r="Q1726">
        <v>0.84684684684684686</v>
      </c>
      <c r="R1726" t="s">
        <v>60</v>
      </c>
      <c r="S1726" t="s">
        <v>3879</v>
      </c>
      <c r="T1726" t="s">
        <v>3880</v>
      </c>
      <c r="U1726" t="b">
        <v>1</v>
      </c>
      <c r="V1726" t="s">
        <v>63</v>
      </c>
      <c r="W1726">
        <v>1.3</v>
      </c>
    </row>
    <row r="1727" spans="1:23" hidden="1" x14ac:dyDescent="0.3">
      <c r="A1727" t="s">
        <v>2830</v>
      </c>
      <c r="B1727" t="s">
        <v>2831</v>
      </c>
      <c r="C1727" t="s">
        <v>29</v>
      </c>
      <c r="D1727" t="s">
        <v>26</v>
      </c>
      <c r="E1727" t="s">
        <v>27</v>
      </c>
      <c r="F1727" t="s">
        <v>54</v>
      </c>
      <c r="G1727" t="s">
        <v>288</v>
      </c>
      <c r="H1727" t="s">
        <v>262</v>
      </c>
      <c r="I1727" t="s">
        <v>5</v>
      </c>
      <c r="J1727" t="s">
        <v>289</v>
      </c>
      <c r="K1727" t="s">
        <v>290</v>
      </c>
      <c r="L1727" t="s">
        <v>265</v>
      </c>
      <c r="M1727">
        <v>47</v>
      </c>
      <c r="N1727" t="b">
        <v>0</v>
      </c>
      <c r="O1727">
        <v>0.80176211453744495</v>
      </c>
      <c r="P1727">
        <v>0.78448275862068961</v>
      </c>
      <c r="Q1727">
        <v>0.81981981981981977</v>
      </c>
      <c r="R1727" t="s">
        <v>60</v>
      </c>
      <c r="S1727" t="s">
        <v>3881</v>
      </c>
      <c r="T1727" t="s">
        <v>3882</v>
      </c>
      <c r="U1727" t="b">
        <v>1</v>
      </c>
      <c r="V1727" t="s">
        <v>63</v>
      </c>
      <c r="W1727">
        <v>1.3</v>
      </c>
    </row>
    <row r="1728" spans="1:23" hidden="1" x14ac:dyDescent="0.3">
      <c r="A1728" t="s">
        <v>2830</v>
      </c>
      <c r="B1728" t="s">
        <v>2831</v>
      </c>
      <c r="C1728" t="s">
        <v>29</v>
      </c>
      <c r="D1728" t="s">
        <v>26</v>
      </c>
      <c r="E1728" t="s">
        <v>27</v>
      </c>
      <c r="F1728" t="s">
        <v>54</v>
      </c>
      <c r="G1728" t="s">
        <v>293</v>
      </c>
      <c r="H1728" t="s">
        <v>262</v>
      </c>
      <c r="I1728" t="s">
        <v>5</v>
      </c>
      <c r="J1728" t="s">
        <v>294</v>
      </c>
      <c r="K1728" t="s">
        <v>295</v>
      </c>
      <c r="L1728" t="s">
        <v>265</v>
      </c>
      <c r="M1728">
        <v>48</v>
      </c>
      <c r="N1728" t="b">
        <v>0</v>
      </c>
      <c r="O1728">
        <v>0.79560439560439566</v>
      </c>
      <c r="P1728">
        <v>0.77682403433476399</v>
      </c>
      <c r="Q1728">
        <v>0.81531531531531531</v>
      </c>
      <c r="R1728" t="s">
        <v>60</v>
      </c>
      <c r="S1728" t="s">
        <v>3883</v>
      </c>
      <c r="T1728" t="s">
        <v>3884</v>
      </c>
      <c r="U1728" t="b">
        <v>1</v>
      </c>
      <c r="V1728" t="s">
        <v>63</v>
      </c>
      <c r="W1728">
        <v>1.7</v>
      </c>
    </row>
    <row r="1729" spans="1:23" hidden="1" x14ac:dyDescent="0.3">
      <c r="A1729" t="s">
        <v>2830</v>
      </c>
      <c r="B1729" t="s">
        <v>2831</v>
      </c>
      <c r="C1729" t="s">
        <v>29</v>
      </c>
      <c r="D1729" t="s">
        <v>26</v>
      </c>
      <c r="E1729" t="s">
        <v>27</v>
      </c>
      <c r="F1729" t="s">
        <v>54</v>
      </c>
      <c r="G1729" t="s">
        <v>298</v>
      </c>
      <c r="H1729" t="s">
        <v>262</v>
      </c>
      <c r="I1729" t="s">
        <v>5</v>
      </c>
      <c r="J1729" t="s">
        <v>299</v>
      </c>
      <c r="K1729" t="s">
        <v>300</v>
      </c>
      <c r="L1729" t="s">
        <v>265</v>
      </c>
      <c r="M1729">
        <v>49</v>
      </c>
      <c r="N1729" t="b">
        <v>0</v>
      </c>
      <c r="O1729">
        <v>0.80530973451327426</v>
      </c>
      <c r="P1729">
        <v>0.79130434782608694</v>
      </c>
      <c r="Q1729">
        <v>0.81981981981981977</v>
      </c>
      <c r="R1729" t="s">
        <v>60</v>
      </c>
      <c r="S1729" t="s">
        <v>3885</v>
      </c>
      <c r="T1729" t="s">
        <v>3886</v>
      </c>
      <c r="U1729" t="b">
        <v>1</v>
      </c>
      <c r="V1729" t="s">
        <v>63</v>
      </c>
      <c r="W1729">
        <v>1.3</v>
      </c>
    </row>
    <row r="1730" spans="1:23" hidden="1" x14ac:dyDescent="0.3">
      <c r="A1730" t="s">
        <v>2830</v>
      </c>
      <c r="B1730" t="s">
        <v>2831</v>
      </c>
      <c r="C1730" t="s">
        <v>29</v>
      </c>
      <c r="D1730" t="s">
        <v>26</v>
      </c>
      <c r="E1730" t="s">
        <v>27</v>
      </c>
      <c r="F1730" t="s">
        <v>54</v>
      </c>
      <c r="G1730" t="s">
        <v>303</v>
      </c>
      <c r="H1730" t="s">
        <v>262</v>
      </c>
      <c r="I1730" t="s">
        <v>5</v>
      </c>
      <c r="J1730" t="s">
        <v>304</v>
      </c>
      <c r="K1730" t="s">
        <v>305</v>
      </c>
      <c r="L1730" t="s">
        <v>265</v>
      </c>
      <c r="M1730">
        <v>50</v>
      </c>
      <c r="N1730" t="b">
        <v>0</v>
      </c>
      <c r="O1730">
        <v>0.79120879120879117</v>
      </c>
      <c r="P1730">
        <v>0.77253218884120167</v>
      </c>
      <c r="Q1730">
        <v>0.81081081081081086</v>
      </c>
      <c r="R1730" t="s">
        <v>60</v>
      </c>
      <c r="S1730" t="s">
        <v>3887</v>
      </c>
      <c r="T1730" t="s">
        <v>3888</v>
      </c>
      <c r="U1730" t="b">
        <v>1</v>
      </c>
      <c r="V1730" t="s">
        <v>63</v>
      </c>
      <c r="W1730">
        <v>1.7</v>
      </c>
    </row>
    <row r="1731" spans="1:23" hidden="1" x14ac:dyDescent="0.3">
      <c r="A1731" t="s">
        <v>2830</v>
      </c>
      <c r="B1731" t="s">
        <v>2831</v>
      </c>
      <c r="C1731" t="s">
        <v>29</v>
      </c>
      <c r="D1731" t="s">
        <v>26</v>
      </c>
      <c r="E1731" t="s">
        <v>27</v>
      </c>
      <c r="F1731" t="s">
        <v>54</v>
      </c>
      <c r="G1731" t="s">
        <v>308</v>
      </c>
      <c r="H1731" t="s">
        <v>262</v>
      </c>
      <c r="I1731" t="s">
        <v>5</v>
      </c>
      <c r="J1731" t="s">
        <v>309</v>
      </c>
      <c r="K1731" t="s">
        <v>310</v>
      </c>
      <c r="L1731" t="s">
        <v>265</v>
      </c>
      <c r="M1731">
        <v>51</v>
      </c>
      <c r="N1731" t="b">
        <v>0</v>
      </c>
      <c r="O1731">
        <v>0.82819383259911894</v>
      </c>
      <c r="P1731">
        <v>0.81034482758620685</v>
      </c>
      <c r="Q1731">
        <v>0.84684684684684686</v>
      </c>
      <c r="R1731" t="s">
        <v>60</v>
      </c>
      <c r="S1731" t="s">
        <v>3889</v>
      </c>
      <c r="T1731" t="s">
        <v>3890</v>
      </c>
      <c r="U1731" t="b">
        <v>1</v>
      </c>
      <c r="V1731" t="s">
        <v>63</v>
      </c>
      <c r="W1731">
        <v>1.4</v>
      </c>
    </row>
    <row r="1732" spans="1:23" hidden="1" x14ac:dyDescent="0.3">
      <c r="A1732" t="s">
        <v>2830</v>
      </c>
      <c r="B1732" t="s">
        <v>2831</v>
      </c>
      <c r="C1732" t="s">
        <v>29</v>
      </c>
      <c r="D1732" t="s">
        <v>26</v>
      </c>
      <c r="E1732" t="s">
        <v>27</v>
      </c>
      <c r="F1732" t="s">
        <v>54</v>
      </c>
      <c r="G1732" t="s">
        <v>313</v>
      </c>
      <c r="H1732" t="s">
        <v>262</v>
      </c>
      <c r="I1732" t="s">
        <v>5</v>
      </c>
      <c r="J1732" t="s">
        <v>314</v>
      </c>
      <c r="K1732" t="s">
        <v>315</v>
      </c>
      <c r="L1732" t="s">
        <v>265</v>
      </c>
      <c r="M1732">
        <v>52</v>
      </c>
      <c r="N1732" t="b">
        <v>0</v>
      </c>
      <c r="O1732">
        <v>0.81152993348115299</v>
      </c>
      <c r="P1732">
        <v>0.79912663755458513</v>
      </c>
      <c r="Q1732">
        <v>0.82432432432432434</v>
      </c>
      <c r="R1732" t="s">
        <v>60</v>
      </c>
      <c r="S1732" t="s">
        <v>3891</v>
      </c>
      <c r="T1732" t="s">
        <v>3892</v>
      </c>
      <c r="U1732" t="b">
        <v>1</v>
      </c>
      <c r="V1732" t="s">
        <v>63</v>
      </c>
      <c r="W1732">
        <v>1.3</v>
      </c>
    </row>
    <row r="1733" spans="1:23" hidden="1" x14ac:dyDescent="0.3">
      <c r="A1733" t="s">
        <v>2830</v>
      </c>
      <c r="B1733" t="s">
        <v>2831</v>
      </c>
      <c r="C1733" t="s">
        <v>29</v>
      </c>
      <c r="D1733" t="s">
        <v>26</v>
      </c>
      <c r="E1733" t="s">
        <v>27</v>
      </c>
      <c r="F1733" t="s">
        <v>54</v>
      </c>
      <c r="G1733" t="s">
        <v>318</v>
      </c>
      <c r="H1733" t="s">
        <v>262</v>
      </c>
      <c r="I1733" t="s">
        <v>5</v>
      </c>
      <c r="J1733" t="s">
        <v>319</v>
      </c>
      <c r="K1733" t="s">
        <v>320</v>
      </c>
      <c r="L1733" t="s">
        <v>265</v>
      </c>
      <c r="M1733">
        <v>53</v>
      </c>
      <c r="N1733" t="b">
        <v>0</v>
      </c>
      <c r="O1733">
        <v>0.79911699779249445</v>
      </c>
      <c r="P1733">
        <v>0.78354978354978355</v>
      </c>
      <c r="Q1733">
        <v>0.81531531531531531</v>
      </c>
      <c r="R1733" t="s">
        <v>60</v>
      </c>
      <c r="S1733" t="s">
        <v>3893</v>
      </c>
      <c r="T1733" t="s">
        <v>3894</v>
      </c>
      <c r="U1733" t="b">
        <v>1</v>
      </c>
      <c r="V1733" t="s">
        <v>63</v>
      </c>
      <c r="W1733">
        <v>1.7</v>
      </c>
    </row>
    <row r="1734" spans="1:23" hidden="1" x14ac:dyDescent="0.3">
      <c r="A1734" t="s">
        <v>2830</v>
      </c>
      <c r="B1734" t="s">
        <v>2831</v>
      </c>
      <c r="C1734" t="s">
        <v>29</v>
      </c>
      <c r="D1734" t="s">
        <v>26</v>
      </c>
      <c r="E1734" t="s">
        <v>27</v>
      </c>
      <c r="F1734" t="s">
        <v>54</v>
      </c>
      <c r="G1734" t="s">
        <v>323</v>
      </c>
      <c r="H1734" t="s">
        <v>262</v>
      </c>
      <c r="I1734" t="s">
        <v>5</v>
      </c>
      <c r="J1734" t="s">
        <v>324</v>
      </c>
      <c r="K1734" t="s">
        <v>325</v>
      </c>
      <c r="L1734" t="s">
        <v>265</v>
      </c>
      <c r="M1734">
        <v>54</v>
      </c>
      <c r="N1734" t="b">
        <v>0</v>
      </c>
      <c r="O1734">
        <v>0.80266075388026614</v>
      </c>
      <c r="P1734">
        <v>0.79039301310043664</v>
      </c>
      <c r="Q1734">
        <v>0.81531531531531531</v>
      </c>
      <c r="R1734" t="s">
        <v>60</v>
      </c>
      <c r="S1734" t="s">
        <v>3895</v>
      </c>
      <c r="T1734" t="s">
        <v>3896</v>
      </c>
      <c r="U1734" t="b">
        <v>1</v>
      </c>
      <c r="V1734" t="s">
        <v>63</v>
      </c>
      <c r="W1734">
        <v>1.3</v>
      </c>
    </row>
    <row r="1735" spans="1:23" hidden="1" x14ac:dyDescent="0.3">
      <c r="A1735" t="s">
        <v>2830</v>
      </c>
      <c r="B1735" t="s">
        <v>2831</v>
      </c>
      <c r="C1735" t="s">
        <v>29</v>
      </c>
      <c r="D1735" t="s">
        <v>26</v>
      </c>
      <c r="E1735" t="s">
        <v>27</v>
      </c>
      <c r="F1735" t="s">
        <v>54</v>
      </c>
      <c r="G1735" t="s">
        <v>328</v>
      </c>
      <c r="H1735" t="s">
        <v>262</v>
      </c>
      <c r="I1735" t="s">
        <v>5</v>
      </c>
      <c r="J1735" t="s">
        <v>329</v>
      </c>
      <c r="K1735" t="s">
        <v>330</v>
      </c>
      <c r="L1735" t="s">
        <v>265</v>
      </c>
      <c r="M1735">
        <v>55</v>
      </c>
      <c r="N1735" t="b">
        <v>0</v>
      </c>
      <c r="O1735">
        <v>0.80623608017817361</v>
      </c>
      <c r="P1735">
        <v>0.79735682819383258</v>
      </c>
      <c r="Q1735">
        <v>0.81531531531531531</v>
      </c>
      <c r="R1735" t="s">
        <v>60</v>
      </c>
      <c r="S1735" t="s">
        <v>3897</v>
      </c>
      <c r="T1735" t="s">
        <v>3898</v>
      </c>
      <c r="U1735" t="b">
        <v>1</v>
      </c>
      <c r="V1735" t="s">
        <v>63</v>
      </c>
      <c r="W1735">
        <v>1.3</v>
      </c>
    </row>
    <row r="1736" spans="1:23" hidden="1" x14ac:dyDescent="0.3">
      <c r="A1736" t="s">
        <v>2830</v>
      </c>
      <c r="B1736" t="s">
        <v>2831</v>
      </c>
      <c r="C1736" t="s">
        <v>29</v>
      </c>
      <c r="D1736" t="s">
        <v>26</v>
      </c>
      <c r="E1736" t="s">
        <v>27</v>
      </c>
      <c r="F1736" t="s">
        <v>54</v>
      </c>
      <c r="G1736" t="s">
        <v>333</v>
      </c>
      <c r="H1736" t="s">
        <v>262</v>
      </c>
      <c r="I1736" t="s">
        <v>5</v>
      </c>
      <c r="J1736" t="s">
        <v>334</v>
      </c>
      <c r="K1736" t="s">
        <v>335</v>
      </c>
      <c r="L1736" t="s">
        <v>265</v>
      </c>
      <c r="M1736">
        <v>56</v>
      </c>
      <c r="N1736" t="b">
        <v>0</v>
      </c>
      <c r="O1736">
        <v>0.79302832244008714</v>
      </c>
      <c r="P1736">
        <v>0.76793248945147674</v>
      </c>
      <c r="Q1736">
        <v>0.81981981981981977</v>
      </c>
      <c r="R1736" t="s">
        <v>60</v>
      </c>
      <c r="S1736" t="s">
        <v>3899</v>
      </c>
      <c r="T1736" t="s">
        <v>3900</v>
      </c>
      <c r="U1736" t="b">
        <v>1</v>
      </c>
      <c r="V1736" t="s">
        <v>63</v>
      </c>
      <c r="W1736">
        <v>1.8</v>
      </c>
    </row>
    <row r="1737" spans="1:23" hidden="1" x14ac:dyDescent="0.3">
      <c r="A1737" t="s">
        <v>2830</v>
      </c>
      <c r="B1737" t="s">
        <v>2831</v>
      </c>
      <c r="C1737" t="s">
        <v>29</v>
      </c>
      <c r="D1737" t="s">
        <v>26</v>
      </c>
      <c r="E1737" t="s">
        <v>27</v>
      </c>
      <c r="F1737" t="s">
        <v>54</v>
      </c>
      <c r="G1737" t="s">
        <v>338</v>
      </c>
      <c r="H1737" t="s">
        <v>262</v>
      </c>
      <c r="I1737" t="s">
        <v>5</v>
      </c>
      <c r="J1737" t="s">
        <v>339</v>
      </c>
      <c r="K1737" t="s">
        <v>340</v>
      </c>
      <c r="L1737" t="s">
        <v>265</v>
      </c>
      <c r="M1737">
        <v>57</v>
      </c>
      <c r="N1737" t="b">
        <v>0</v>
      </c>
      <c r="O1737">
        <v>0.81400437636761491</v>
      </c>
      <c r="P1737">
        <v>0.79148936170212769</v>
      </c>
      <c r="Q1737">
        <v>0.83783783783783783</v>
      </c>
      <c r="R1737" t="s">
        <v>60</v>
      </c>
      <c r="S1737" t="s">
        <v>3901</v>
      </c>
      <c r="T1737" t="s">
        <v>3902</v>
      </c>
      <c r="U1737" t="b">
        <v>1</v>
      </c>
      <c r="V1737" t="s">
        <v>63</v>
      </c>
      <c r="W1737">
        <v>1.3</v>
      </c>
    </row>
    <row r="1738" spans="1:23" hidden="1" x14ac:dyDescent="0.3">
      <c r="A1738" t="s">
        <v>2830</v>
      </c>
      <c r="B1738" t="s">
        <v>2831</v>
      </c>
      <c r="C1738" t="s">
        <v>29</v>
      </c>
      <c r="D1738" t="s">
        <v>26</v>
      </c>
      <c r="E1738" t="s">
        <v>27</v>
      </c>
      <c r="F1738" t="s">
        <v>54</v>
      </c>
      <c r="G1738" t="s">
        <v>343</v>
      </c>
      <c r="H1738" t="s">
        <v>262</v>
      </c>
      <c r="I1738" t="s">
        <v>5</v>
      </c>
      <c r="J1738" t="s">
        <v>344</v>
      </c>
      <c r="K1738" t="s">
        <v>345</v>
      </c>
      <c r="L1738" t="s">
        <v>265</v>
      </c>
      <c r="M1738">
        <v>58</v>
      </c>
      <c r="N1738" t="b">
        <v>0</v>
      </c>
      <c r="O1738">
        <v>0.81140350877192979</v>
      </c>
      <c r="P1738">
        <v>0.79059829059829057</v>
      </c>
      <c r="Q1738">
        <v>0.83333333333333337</v>
      </c>
      <c r="R1738" t="s">
        <v>60</v>
      </c>
      <c r="S1738" t="s">
        <v>3903</v>
      </c>
      <c r="T1738" t="s">
        <v>3904</v>
      </c>
      <c r="U1738" t="b">
        <v>1</v>
      </c>
      <c r="V1738" t="s">
        <v>63</v>
      </c>
      <c r="W1738">
        <v>1.3</v>
      </c>
    </row>
    <row r="1739" spans="1:23" hidden="1" x14ac:dyDescent="0.3">
      <c r="A1739" t="s">
        <v>2830</v>
      </c>
      <c r="B1739" t="s">
        <v>2831</v>
      </c>
      <c r="C1739" t="s">
        <v>29</v>
      </c>
      <c r="D1739" t="s">
        <v>26</v>
      </c>
      <c r="E1739" t="s">
        <v>27</v>
      </c>
      <c r="F1739" t="s">
        <v>54</v>
      </c>
      <c r="G1739" t="s">
        <v>348</v>
      </c>
      <c r="H1739" t="s">
        <v>262</v>
      </c>
      <c r="I1739" t="s">
        <v>5</v>
      </c>
      <c r="J1739" t="s">
        <v>349</v>
      </c>
      <c r="K1739" t="s">
        <v>350</v>
      </c>
      <c r="L1739" t="s">
        <v>265</v>
      </c>
      <c r="M1739">
        <v>59</v>
      </c>
      <c r="N1739" t="b">
        <v>0</v>
      </c>
      <c r="O1739">
        <v>0.79912663755458513</v>
      </c>
      <c r="P1739">
        <v>0.77542372881355937</v>
      </c>
      <c r="Q1739">
        <v>0.82432432432432434</v>
      </c>
      <c r="R1739" t="s">
        <v>60</v>
      </c>
      <c r="S1739" t="s">
        <v>3905</v>
      </c>
      <c r="T1739" t="s">
        <v>3906</v>
      </c>
      <c r="U1739" t="b">
        <v>1</v>
      </c>
      <c r="V1739" t="s">
        <v>63</v>
      </c>
      <c r="W1739">
        <v>1.8</v>
      </c>
    </row>
    <row r="1740" spans="1:23" hidden="1" x14ac:dyDescent="0.3">
      <c r="A1740" t="s">
        <v>2830</v>
      </c>
      <c r="B1740" t="s">
        <v>2831</v>
      </c>
      <c r="C1740" t="s">
        <v>29</v>
      </c>
      <c r="D1740" t="s">
        <v>26</v>
      </c>
      <c r="E1740" t="s">
        <v>27</v>
      </c>
      <c r="F1740" t="s">
        <v>54</v>
      </c>
      <c r="G1740" t="s">
        <v>353</v>
      </c>
      <c r="H1740" t="s">
        <v>262</v>
      </c>
      <c r="I1740" t="s">
        <v>5</v>
      </c>
      <c r="J1740" t="s">
        <v>354</v>
      </c>
      <c r="K1740" t="s">
        <v>355</v>
      </c>
      <c r="L1740" t="s">
        <v>265</v>
      </c>
      <c r="M1740">
        <v>60</v>
      </c>
      <c r="N1740" t="b">
        <v>0</v>
      </c>
      <c r="O1740">
        <v>0.80087527352297594</v>
      </c>
      <c r="P1740">
        <v>0.77872340425531916</v>
      </c>
      <c r="Q1740">
        <v>0.82432432432432434</v>
      </c>
      <c r="R1740" t="s">
        <v>60</v>
      </c>
      <c r="S1740" t="s">
        <v>3907</v>
      </c>
      <c r="T1740" t="s">
        <v>3908</v>
      </c>
      <c r="U1740" t="b">
        <v>1</v>
      </c>
      <c r="V1740" t="s">
        <v>63</v>
      </c>
      <c r="W1740">
        <v>1.4</v>
      </c>
    </row>
    <row r="1741" spans="1:23" hidden="1" x14ac:dyDescent="0.3">
      <c r="A1741" t="s">
        <v>2830</v>
      </c>
      <c r="B1741" t="s">
        <v>2831</v>
      </c>
      <c r="C1741" t="s">
        <v>29</v>
      </c>
      <c r="D1741" t="s">
        <v>26</v>
      </c>
      <c r="E1741" t="s">
        <v>27</v>
      </c>
      <c r="F1741" t="s">
        <v>54</v>
      </c>
      <c r="G1741" t="s">
        <v>358</v>
      </c>
      <c r="H1741" t="s">
        <v>262</v>
      </c>
      <c r="I1741" t="s">
        <v>5</v>
      </c>
      <c r="J1741" t="s">
        <v>359</v>
      </c>
      <c r="K1741" t="s">
        <v>360</v>
      </c>
      <c r="L1741" t="s">
        <v>265</v>
      </c>
      <c r="M1741">
        <v>61</v>
      </c>
      <c r="N1741" t="b">
        <v>0</v>
      </c>
      <c r="O1741">
        <v>0.79379157427937908</v>
      </c>
      <c r="P1741">
        <v>0.78165938864628826</v>
      </c>
      <c r="Q1741">
        <v>0.80630630630630629</v>
      </c>
      <c r="R1741" t="s">
        <v>60</v>
      </c>
      <c r="S1741" t="s">
        <v>3909</v>
      </c>
      <c r="T1741" t="s">
        <v>3910</v>
      </c>
      <c r="U1741" t="b">
        <v>1</v>
      </c>
      <c r="V1741" t="s">
        <v>63</v>
      </c>
      <c r="W1741">
        <v>1.7</v>
      </c>
    </row>
    <row r="1742" spans="1:23" hidden="1" x14ac:dyDescent="0.3">
      <c r="A1742" t="s">
        <v>2830</v>
      </c>
      <c r="B1742" t="s">
        <v>2831</v>
      </c>
      <c r="C1742" t="s">
        <v>29</v>
      </c>
      <c r="D1742" t="s">
        <v>26</v>
      </c>
      <c r="E1742" t="s">
        <v>27</v>
      </c>
      <c r="F1742" t="s">
        <v>363</v>
      </c>
      <c r="G1742" t="s">
        <v>364</v>
      </c>
      <c r="H1742" t="s">
        <v>365</v>
      </c>
      <c r="I1742" t="s">
        <v>13</v>
      </c>
      <c r="J1742" t="s">
        <v>366</v>
      </c>
      <c r="K1742" t="s">
        <v>367</v>
      </c>
      <c r="L1742" t="s">
        <v>368</v>
      </c>
      <c r="M1742">
        <v>42</v>
      </c>
      <c r="N1742" t="b">
        <v>0</v>
      </c>
      <c r="O1742">
        <v>0.79166666666666674</v>
      </c>
      <c r="P1742">
        <v>0.76</v>
      </c>
      <c r="Q1742">
        <v>0.82608695652173914</v>
      </c>
      <c r="R1742" t="s">
        <v>60</v>
      </c>
      <c r="S1742" t="s">
        <v>3911</v>
      </c>
      <c r="T1742" t="s">
        <v>3912</v>
      </c>
      <c r="U1742" t="b">
        <v>1</v>
      </c>
      <c r="V1742" t="s">
        <v>63</v>
      </c>
      <c r="W1742">
        <v>1.3</v>
      </c>
    </row>
    <row r="1743" spans="1:23" hidden="1" x14ac:dyDescent="0.3">
      <c r="A1743" t="s">
        <v>2830</v>
      </c>
      <c r="B1743" t="s">
        <v>2831</v>
      </c>
      <c r="C1743" t="s">
        <v>29</v>
      </c>
      <c r="D1743" t="s">
        <v>26</v>
      </c>
      <c r="E1743" t="s">
        <v>27</v>
      </c>
      <c r="F1743" t="s">
        <v>363</v>
      </c>
      <c r="G1743" t="s">
        <v>371</v>
      </c>
      <c r="H1743" t="s">
        <v>365</v>
      </c>
      <c r="I1743" t="s">
        <v>13</v>
      </c>
      <c r="J1743" t="s">
        <v>372</v>
      </c>
      <c r="K1743" t="s">
        <v>373</v>
      </c>
      <c r="L1743" t="s">
        <v>368</v>
      </c>
      <c r="M1743">
        <v>43</v>
      </c>
      <c r="N1743" t="b">
        <v>0</v>
      </c>
      <c r="O1743">
        <v>0.8270042194092827</v>
      </c>
      <c r="P1743">
        <v>0.80327868852459017</v>
      </c>
      <c r="Q1743">
        <v>0.85217391304347823</v>
      </c>
      <c r="R1743" t="s">
        <v>60</v>
      </c>
      <c r="S1743" t="s">
        <v>3913</v>
      </c>
      <c r="T1743" t="s">
        <v>3914</v>
      </c>
      <c r="U1743" t="b">
        <v>1</v>
      </c>
      <c r="V1743" t="s">
        <v>63</v>
      </c>
      <c r="W1743">
        <v>1.3</v>
      </c>
    </row>
    <row r="1744" spans="1:23" hidden="1" x14ac:dyDescent="0.3">
      <c r="A1744" t="s">
        <v>2830</v>
      </c>
      <c r="B1744" t="s">
        <v>2831</v>
      </c>
      <c r="C1744" t="s">
        <v>29</v>
      </c>
      <c r="D1744" t="s">
        <v>26</v>
      </c>
      <c r="E1744" t="s">
        <v>27</v>
      </c>
      <c r="F1744" t="s">
        <v>363</v>
      </c>
      <c r="G1744" t="s">
        <v>376</v>
      </c>
      <c r="H1744" t="s">
        <v>365</v>
      </c>
      <c r="I1744" t="s">
        <v>13</v>
      </c>
      <c r="J1744" t="s">
        <v>377</v>
      </c>
      <c r="K1744" t="s">
        <v>378</v>
      </c>
      <c r="L1744" t="s">
        <v>368</v>
      </c>
      <c r="M1744">
        <v>44</v>
      </c>
      <c r="N1744" t="b">
        <v>0</v>
      </c>
      <c r="O1744">
        <v>0.83613445378151263</v>
      </c>
      <c r="P1744">
        <v>0.80894308943089432</v>
      </c>
      <c r="Q1744">
        <v>0.86521739130434783</v>
      </c>
      <c r="R1744" t="s">
        <v>60</v>
      </c>
      <c r="S1744" t="s">
        <v>3915</v>
      </c>
      <c r="T1744" t="s">
        <v>3916</v>
      </c>
      <c r="U1744" t="b">
        <v>1</v>
      </c>
      <c r="V1744" t="s">
        <v>63</v>
      </c>
      <c r="W1744">
        <v>1.7</v>
      </c>
    </row>
    <row r="1745" spans="1:23" hidden="1" x14ac:dyDescent="0.3">
      <c r="A1745" t="s">
        <v>2830</v>
      </c>
      <c r="B1745" t="s">
        <v>2831</v>
      </c>
      <c r="C1745" t="s">
        <v>29</v>
      </c>
      <c r="D1745" t="s">
        <v>26</v>
      </c>
      <c r="E1745" t="s">
        <v>27</v>
      </c>
      <c r="F1745" t="s">
        <v>363</v>
      </c>
      <c r="G1745" t="s">
        <v>381</v>
      </c>
      <c r="H1745" t="s">
        <v>365</v>
      </c>
      <c r="I1745" t="s">
        <v>13</v>
      </c>
      <c r="J1745" t="s">
        <v>382</v>
      </c>
      <c r="K1745" t="s">
        <v>383</v>
      </c>
      <c r="L1745" t="s">
        <v>368</v>
      </c>
      <c r="M1745">
        <v>45</v>
      </c>
      <c r="N1745" t="b">
        <v>0</v>
      </c>
      <c r="O1745">
        <v>0.82352941176470573</v>
      </c>
      <c r="P1745">
        <v>0.7967479674796748</v>
      </c>
      <c r="Q1745">
        <v>0.85217391304347823</v>
      </c>
      <c r="R1745" t="s">
        <v>60</v>
      </c>
      <c r="S1745" t="s">
        <v>3917</v>
      </c>
      <c r="T1745" t="s">
        <v>3918</v>
      </c>
      <c r="U1745" t="b">
        <v>1</v>
      </c>
      <c r="V1745" t="s">
        <v>63</v>
      </c>
      <c r="W1745">
        <v>1.3</v>
      </c>
    </row>
    <row r="1746" spans="1:23" hidden="1" x14ac:dyDescent="0.3">
      <c r="A1746" t="s">
        <v>2830</v>
      </c>
      <c r="B1746" t="s">
        <v>2831</v>
      </c>
      <c r="C1746" t="s">
        <v>29</v>
      </c>
      <c r="D1746" t="s">
        <v>26</v>
      </c>
      <c r="E1746" t="s">
        <v>27</v>
      </c>
      <c r="F1746" t="s">
        <v>363</v>
      </c>
      <c r="G1746" t="s">
        <v>386</v>
      </c>
      <c r="H1746" t="s">
        <v>365</v>
      </c>
      <c r="I1746" t="s">
        <v>13</v>
      </c>
      <c r="J1746" t="s">
        <v>387</v>
      </c>
      <c r="K1746" t="s">
        <v>388</v>
      </c>
      <c r="L1746" t="s">
        <v>368</v>
      </c>
      <c r="M1746">
        <v>46</v>
      </c>
      <c r="N1746" t="b">
        <v>0</v>
      </c>
      <c r="O1746">
        <v>0.81092436974789917</v>
      </c>
      <c r="P1746">
        <v>0.78455284552845528</v>
      </c>
      <c r="Q1746">
        <v>0.83913043478260874</v>
      </c>
      <c r="R1746" t="s">
        <v>60</v>
      </c>
      <c r="S1746" t="s">
        <v>3919</v>
      </c>
      <c r="T1746" t="s">
        <v>3920</v>
      </c>
      <c r="U1746" t="b">
        <v>1</v>
      </c>
      <c r="V1746" t="s">
        <v>63</v>
      </c>
      <c r="W1746">
        <v>1.3</v>
      </c>
    </row>
    <row r="1747" spans="1:23" hidden="1" x14ac:dyDescent="0.3">
      <c r="A1747" t="s">
        <v>2830</v>
      </c>
      <c r="B1747" t="s">
        <v>2831</v>
      </c>
      <c r="C1747" t="s">
        <v>29</v>
      </c>
      <c r="D1747" t="s">
        <v>26</v>
      </c>
      <c r="E1747" t="s">
        <v>27</v>
      </c>
      <c r="F1747" t="s">
        <v>363</v>
      </c>
      <c r="G1747" t="s">
        <v>391</v>
      </c>
      <c r="H1747" t="s">
        <v>365</v>
      </c>
      <c r="I1747" t="s">
        <v>13</v>
      </c>
      <c r="J1747" t="s">
        <v>392</v>
      </c>
      <c r="K1747" t="s">
        <v>393</v>
      </c>
      <c r="L1747" t="s">
        <v>368</v>
      </c>
      <c r="M1747">
        <v>47</v>
      </c>
      <c r="N1747" t="b">
        <v>0</v>
      </c>
      <c r="O1747">
        <v>0.83193277310924374</v>
      </c>
      <c r="P1747">
        <v>0.80487804878048785</v>
      </c>
      <c r="Q1747">
        <v>0.86086956521739133</v>
      </c>
      <c r="R1747" t="s">
        <v>60</v>
      </c>
      <c r="S1747" t="s">
        <v>3921</v>
      </c>
      <c r="T1747" t="s">
        <v>3922</v>
      </c>
      <c r="U1747" t="b">
        <v>1</v>
      </c>
      <c r="V1747" t="s">
        <v>63</v>
      </c>
      <c r="W1747">
        <v>1.7</v>
      </c>
    </row>
    <row r="1748" spans="1:23" hidden="1" x14ac:dyDescent="0.3">
      <c r="A1748" t="s">
        <v>2830</v>
      </c>
      <c r="B1748" t="s">
        <v>2831</v>
      </c>
      <c r="C1748" t="s">
        <v>29</v>
      </c>
      <c r="D1748" t="s">
        <v>26</v>
      </c>
      <c r="E1748" t="s">
        <v>27</v>
      </c>
      <c r="F1748" t="s">
        <v>363</v>
      </c>
      <c r="G1748" t="s">
        <v>396</v>
      </c>
      <c r="H1748" t="s">
        <v>365</v>
      </c>
      <c r="I1748" t="s">
        <v>13</v>
      </c>
      <c r="J1748" t="s">
        <v>397</v>
      </c>
      <c r="K1748" t="s">
        <v>398</v>
      </c>
      <c r="L1748" t="s">
        <v>368</v>
      </c>
      <c r="M1748">
        <v>48</v>
      </c>
      <c r="N1748" t="b">
        <v>0</v>
      </c>
      <c r="O1748">
        <v>0.81355932203389825</v>
      </c>
      <c r="P1748">
        <v>0.79338842975206614</v>
      </c>
      <c r="Q1748">
        <v>0.83478260869565213</v>
      </c>
      <c r="R1748" t="s">
        <v>60</v>
      </c>
      <c r="S1748" t="s">
        <v>3923</v>
      </c>
      <c r="T1748" t="s">
        <v>3924</v>
      </c>
      <c r="U1748" t="b">
        <v>1</v>
      </c>
      <c r="V1748" t="s">
        <v>63</v>
      </c>
      <c r="W1748">
        <v>1.3</v>
      </c>
    </row>
    <row r="1749" spans="1:23" hidden="1" x14ac:dyDescent="0.3">
      <c r="A1749" t="s">
        <v>2830</v>
      </c>
      <c r="B1749" t="s">
        <v>2831</v>
      </c>
      <c r="C1749" t="s">
        <v>29</v>
      </c>
      <c r="D1749" t="s">
        <v>26</v>
      </c>
      <c r="E1749" t="s">
        <v>27</v>
      </c>
      <c r="F1749" t="s">
        <v>363</v>
      </c>
      <c r="G1749" t="s">
        <v>401</v>
      </c>
      <c r="H1749" t="s">
        <v>365</v>
      </c>
      <c r="I1749" t="s">
        <v>13</v>
      </c>
      <c r="J1749" t="s">
        <v>402</v>
      </c>
      <c r="K1749" t="s">
        <v>403</v>
      </c>
      <c r="L1749" t="s">
        <v>368</v>
      </c>
      <c r="M1749">
        <v>49</v>
      </c>
      <c r="N1749" t="b">
        <v>0</v>
      </c>
      <c r="O1749">
        <v>0.82875264270613114</v>
      </c>
      <c r="P1749">
        <v>0.80658436213991769</v>
      </c>
      <c r="Q1749">
        <v>0.85217391304347823</v>
      </c>
      <c r="R1749" t="s">
        <v>60</v>
      </c>
      <c r="S1749" t="s">
        <v>3925</v>
      </c>
      <c r="T1749" t="s">
        <v>3926</v>
      </c>
      <c r="U1749" t="b">
        <v>1</v>
      </c>
      <c r="V1749" t="s">
        <v>63</v>
      </c>
      <c r="W1749">
        <v>1.7</v>
      </c>
    </row>
    <row r="1750" spans="1:23" hidden="1" x14ac:dyDescent="0.3">
      <c r="A1750" t="s">
        <v>2830</v>
      </c>
      <c r="B1750" t="s">
        <v>2831</v>
      </c>
      <c r="C1750" t="s">
        <v>29</v>
      </c>
      <c r="D1750" t="s">
        <v>26</v>
      </c>
      <c r="E1750" t="s">
        <v>27</v>
      </c>
      <c r="F1750" t="s">
        <v>363</v>
      </c>
      <c r="G1750" t="s">
        <v>406</v>
      </c>
      <c r="H1750" t="s">
        <v>365</v>
      </c>
      <c r="I1750" t="s">
        <v>13</v>
      </c>
      <c r="J1750" t="s">
        <v>407</v>
      </c>
      <c r="K1750" t="s">
        <v>408</v>
      </c>
      <c r="L1750" t="s">
        <v>368</v>
      </c>
      <c r="M1750">
        <v>50</v>
      </c>
      <c r="N1750" t="b">
        <v>0</v>
      </c>
      <c r="O1750">
        <v>0.83122362869198319</v>
      </c>
      <c r="P1750">
        <v>0.80737704918032782</v>
      </c>
      <c r="Q1750">
        <v>0.85652173913043483</v>
      </c>
      <c r="R1750" t="s">
        <v>60</v>
      </c>
      <c r="S1750" t="s">
        <v>3927</v>
      </c>
      <c r="T1750" t="s">
        <v>3928</v>
      </c>
      <c r="U1750" t="b">
        <v>1</v>
      </c>
      <c r="V1750" t="s">
        <v>63</v>
      </c>
      <c r="W1750">
        <v>1.3</v>
      </c>
    </row>
    <row r="1751" spans="1:23" hidden="1" x14ac:dyDescent="0.3">
      <c r="A1751" t="s">
        <v>2830</v>
      </c>
      <c r="B1751" t="s">
        <v>2831</v>
      </c>
      <c r="C1751" t="s">
        <v>29</v>
      </c>
      <c r="D1751" t="s">
        <v>26</v>
      </c>
      <c r="E1751" t="s">
        <v>27</v>
      </c>
      <c r="F1751" t="s">
        <v>363</v>
      </c>
      <c r="G1751" t="s">
        <v>411</v>
      </c>
      <c r="H1751" t="s">
        <v>365</v>
      </c>
      <c r="I1751" t="s">
        <v>13</v>
      </c>
      <c r="J1751" t="s">
        <v>412</v>
      </c>
      <c r="K1751" t="s">
        <v>413</v>
      </c>
      <c r="L1751" t="s">
        <v>368</v>
      </c>
      <c r="M1751">
        <v>51</v>
      </c>
      <c r="N1751" t="b">
        <v>0</v>
      </c>
      <c r="O1751">
        <v>0.84680851063829787</v>
      </c>
      <c r="P1751">
        <v>0.82916666666666672</v>
      </c>
      <c r="Q1751">
        <v>0.86521739130434783</v>
      </c>
      <c r="R1751" t="s">
        <v>60</v>
      </c>
      <c r="S1751" t="s">
        <v>3929</v>
      </c>
      <c r="T1751" t="s">
        <v>3930</v>
      </c>
      <c r="U1751" t="b">
        <v>1</v>
      </c>
      <c r="V1751" t="s">
        <v>63</v>
      </c>
      <c r="W1751">
        <v>1.3</v>
      </c>
    </row>
    <row r="1752" spans="1:23" hidden="1" x14ac:dyDescent="0.3">
      <c r="A1752" t="s">
        <v>2830</v>
      </c>
      <c r="B1752" t="s">
        <v>2831</v>
      </c>
      <c r="C1752" t="s">
        <v>29</v>
      </c>
      <c r="D1752" t="s">
        <v>26</v>
      </c>
      <c r="E1752" t="s">
        <v>27</v>
      </c>
      <c r="F1752" t="s">
        <v>363</v>
      </c>
      <c r="G1752" t="s">
        <v>416</v>
      </c>
      <c r="H1752" t="s">
        <v>365</v>
      </c>
      <c r="I1752" t="s">
        <v>13</v>
      </c>
      <c r="J1752" t="s">
        <v>417</v>
      </c>
      <c r="K1752" t="s">
        <v>418</v>
      </c>
      <c r="L1752" t="s">
        <v>368</v>
      </c>
      <c r="M1752">
        <v>52</v>
      </c>
      <c r="N1752" t="b">
        <v>0</v>
      </c>
      <c r="O1752">
        <v>0.82452431289640593</v>
      </c>
      <c r="P1752">
        <v>0.80246913580246915</v>
      </c>
      <c r="Q1752">
        <v>0.84782608695652173</v>
      </c>
      <c r="R1752" t="s">
        <v>60</v>
      </c>
      <c r="S1752" t="s">
        <v>3931</v>
      </c>
      <c r="T1752" t="s">
        <v>3932</v>
      </c>
      <c r="U1752" t="b">
        <v>1</v>
      </c>
      <c r="V1752" t="s">
        <v>63</v>
      </c>
      <c r="W1752">
        <v>1.7</v>
      </c>
    </row>
    <row r="1753" spans="1:23" hidden="1" x14ac:dyDescent="0.3">
      <c r="A1753" t="s">
        <v>2830</v>
      </c>
      <c r="B1753" t="s">
        <v>2831</v>
      </c>
      <c r="C1753" t="s">
        <v>29</v>
      </c>
      <c r="D1753" t="s">
        <v>26</v>
      </c>
      <c r="E1753" t="s">
        <v>27</v>
      </c>
      <c r="F1753" t="s">
        <v>363</v>
      </c>
      <c r="G1753" t="s">
        <v>421</v>
      </c>
      <c r="H1753" t="s">
        <v>365</v>
      </c>
      <c r="I1753" t="s">
        <v>13</v>
      </c>
      <c r="J1753" t="s">
        <v>422</v>
      </c>
      <c r="K1753" t="s">
        <v>423</v>
      </c>
      <c r="L1753" t="s">
        <v>368</v>
      </c>
      <c r="M1753">
        <v>53</v>
      </c>
      <c r="N1753" t="b">
        <v>0</v>
      </c>
      <c r="O1753">
        <v>0.81837160751565763</v>
      </c>
      <c r="P1753">
        <v>0.78714859437751006</v>
      </c>
      <c r="Q1753">
        <v>0.85217391304347823</v>
      </c>
      <c r="R1753" t="s">
        <v>60</v>
      </c>
      <c r="S1753" t="s">
        <v>3933</v>
      </c>
      <c r="T1753" t="s">
        <v>3934</v>
      </c>
      <c r="U1753" t="b">
        <v>1</v>
      </c>
      <c r="V1753" t="s">
        <v>63</v>
      </c>
      <c r="W1753">
        <v>1.3</v>
      </c>
    </row>
    <row r="1754" spans="1:23" hidden="1" x14ac:dyDescent="0.3">
      <c r="A1754" t="s">
        <v>2830</v>
      </c>
      <c r="B1754" t="s">
        <v>2831</v>
      </c>
      <c r="C1754" t="s">
        <v>29</v>
      </c>
      <c r="D1754" t="s">
        <v>26</v>
      </c>
      <c r="E1754" t="s">
        <v>27</v>
      </c>
      <c r="F1754" t="s">
        <v>363</v>
      </c>
      <c r="G1754" t="s">
        <v>426</v>
      </c>
      <c r="H1754" t="s">
        <v>365</v>
      </c>
      <c r="I1754" t="s">
        <v>13</v>
      </c>
      <c r="J1754" t="s">
        <v>427</v>
      </c>
      <c r="K1754" t="s">
        <v>428</v>
      </c>
      <c r="L1754" t="s">
        <v>368</v>
      </c>
      <c r="M1754">
        <v>54</v>
      </c>
      <c r="N1754" t="b">
        <v>0</v>
      </c>
      <c r="O1754">
        <v>0.81434599156118137</v>
      </c>
      <c r="P1754">
        <v>0.79098360655737709</v>
      </c>
      <c r="Q1754">
        <v>0.83913043478260874</v>
      </c>
      <c r="R1754" t="s">
        <v>60</v>
      </c>
      <c r="S1754" t="s">
        <v>3935</v>
      </c>
      <c r="T1754" t="s">
        <v>3936</v>
      </c>
      <c r="U1754" t="b">
        <v>1</v>
      </c>
      <c r="V1754" t="s">
        <v>63</v>
      </c>
      <c r="W1754">
        <v>1.7</v>
      </c>
    </row>
    <row r="1755" spans="1:23" hidden="1" x14ac:dyDescent="0.3">
      <c r="A1755" t="s">
        <v>2830</v>
      </c>
      <c r="B1755" t="s">
        <v>2831</v>
      </c>
      <c r="C1755" t="s">
        <v>29</v>
      </c>
      <c r="D1755" t="s">
        <v>26</v>
      </c>
      <c r="E1755" t="s">
        <v>27</v>
      </c>
      <c r="F1755" t="s">
        <v>363</v>
      </c>
      <c r="G1755" t="s">
        <v>431</v>
      </c>
      <c r="H1755" t="s">
        <v>365</v>
      </c>
      <c r="I1755" t="s">
        <v>13</v>
      </c>
      <c r="J1755" t="s">
        <v>432</v>
      </c>
      <c r="K1755" t="s">
        <v>433</v>
      </c>
      <c r="L1755" t="s">
        <v>368</v>
      </c>
      <c r="M1755">
        <v>55</v>
      </c>
      <c r="N1755" t="b">
        <v>0</v>
      </c>
      <c r="O1755">
        <v>0.85169491525423724</v>
      </c>
      <c r="P1755">
        <v>0.83057851239669422</v>
      </c>
      <c r="Q1755">
        <v>0.87391304347826082</v>
      </c>
      <c r="R1755" t="s">
        <v>60</v>
      </c>
      <c r="S1755" t="s">
        <v>3937</v>
      </c>
      <c r="T1755" t="s">
        <v>3938</v>
      </c>
      <c r="U1755" t="b">
        <v>1</v>
      </c>
      <c r="V1755" t="s">
        <v>63</v>
      </c>
      <c r="W1755">
        <v>1.3</v>
      </c>
    </row>
    <row r="1756" spans="1:23" hidden="1" x14ac:dyDescent="0.3">
      <c r="A1756" t="s">
        <v>2830</v>
      </c>
      <c r="B1756" t="s">
        <v>2831</v>
      </c>
      <c r="C1756" t="s">
        <v>29</v>
      </c>
      <c r="D1756" t="s">
        <v>26</v>
      </c>
      <c r="E1756" t="s">
        <v>27</v>
      </c>
      <c r="F1756" t="s">
        <v>363</v>
      </c>
      <c r="G1756" t="s">
        <v>436</v>
      </c>
      <c r="H1756" t="s">
        <v>365</v>
      </c>
      <c r="I1756" t="s">
        <v>13</v>
      </c>
      <c r="J1756" t="s">
        <v>437</v>
      </c>
      <c r="K1756" t="s">
        <v>438</v>
      </c>
      <c r="L1756" t="s">
        <v>368</v>
      </c>
      <c r="M1756">
        <v>56</v>
      </c>
      <c r="N1756" t="b">
        <v>0</v>
      </c>
      <c r="O1756">
        <v>0.810126582278481</v>
      </c>
      <c r="P1756">
        <v>0.78688524590163933</v>
      </c>
      <c r="Q1756">
        <v>0.83478260869565213</v>
      </c>
      <c r="R1756" t="s">
        <v>60</v>
      </c>
      <c r="S1756" t="s">
        <v>3939</v>
      </c>
      <c r="T1756" t="s">
        <v>3940</v>
      </c>
      <c r="U1756" t="b">
        <v>1</v>
      </c>
      <c r="V1756" t="s">
        <v>63</v>
      </c>
      <c r="W1756">
        <v>1.3</v>
      </c>
    </row>
    <row r="1757" spans="1:23" hidden="1" x14ac:dyDescent="0.3">
      <c r="A1757" t="s">
        <v>2830</v>
      </c>
      <c r="B1757" t="s">
        <v>2831</v>
      </c>
      <c r="C1757" t="s">
        <v>29</v>
      </c>
      <c r="D1757" t="s">
        <v>26</v>
      </c>
      <c r="E1757" t="s">
        <v>27</v>
      </c>
      <c r="F1757" t="s">
        <v>363</v>
      </c>
      <c r="G1757" t="s">
        <v>441</v>
      </c>
      <c r="H1757" t="s">
        <v>365</v>
      </c>
      <c r="I1757" t="s">
        <v>13</v>
      </c>
      <c r="J1757" t="s">
        <v>442</v>
      </c>
      <c r="K1757" t="s">
        <v>443</v>
      </c>
      <c r="L1757" t="s">
        <v>368</v>
      </c>
      <c r="M1757">
        <v>57</v>
      </c>
      <c r="N1757" t="b">
        <v>0</v>
      </c>
      <c r="O1757">
        <v>0.83720930232558144</v>
      </c>
      <c r="P1757">
        <v>0.81481481481481477</v>
      </c>
      <c r="Q1757">
        <v>0.86086956521739133</v>
      </c>
      <c r="R1757" t="s">
        <v>60</v>
      </c>
      <c r="S1757" t="s">
        <v>3941</v>
      </c>
      <c r="T1757" t="s">
        <v>3942</v>
      </c>
      <c r="U1757" t="b">
        <v>1</v>
      </c>
      <c r="V1757" t="s">
        <v>63</v>
      </c>
      <c r="W1757">
        <v>1.7</v>
      </c>
    </row>
    <row r="1758" spans="1:23" hidden="1" x14ac:dyDescent="0.3">
      <c r="A1758" t="s">
        <v>2830</v>
      </c>
      <c r="B1758" t="s">
        <v>2831</v>
      </c>
      <c r="C1758" t="s">
        <v>29</v>
      </c>
      <c r="D1758" t="s">
        <v>26</v>
      </c>
      <c r="E1758" t="s">
        <v>27</v>
      </c>
      <c r="F1758" t="s">
        <v>363</v>
      </c>
      <c r="G1758" t="s">
        <v>446</v>
      </c>
      <c r="H1758" t="s">
        <v>365</v>
      </c>
      <c r="I1758" t="s">
        <v>13</v>
      </c>
      <c r="J1758" t="s">
        <v>447</v>
      </c>
      <c r="K1758" t="s">
        <v>448</v>
      </c>
      <c r="L1758" t="s">
        <v>368</v>
      </c>
      <c r="M1758">
        <v>58</v>
      </c>
      <c r="N1758" t="b">
        <v>0</v>
      </c>
      <c r="O1758">
        <v>0.84100418410041844</v>
      </c>
      <c r="P1758">
        <v>0.81048387096774188</v>
      </c>
      <c r="Q1758">
        <v>0.87391304347826082</v>
      </c>
      <c r="R1758" t="s">
        <v>60</v>
      </c>
      <c r="S1758" t="s">
        <v>3943</v>
      </c>
      <c r="T1758" t="s">
        <v>3944</v>
      </c>
      <c r="U1758" t="b">
        <v>1</v>
      </c>
      <c r="V1758" t="s">
        <v>63</v>
      </c>
      <c r="W1758">
        <v>1.3</v>
      </c>
    </row>
    <row r="1759" spans="1:23" hidden="1" x14ac:dyDescent="0.3">
      <c r="A1759" t="s">
        <v>2830</v>
      </c>
      <c r="B1759" t="s">
        <v>2831</v>
      </c>
      <c r="C1759" t="s">
        <v>29</v>
      </c>
      <c r="D1759" t="s">
        <v>26</v>
      </c>
      <c r="E1759" t="s">
        <v>27</v>
      </c>
      <c r="F1759" t="s">
        <v>363</v>
      </c>
      <c r="G1759" t="s">
        <v>451</v>
      </c>
      <c r="H1759" t="s">
        <v>365</v>
      </c>
      <c r="I1759" t="s">
        <v>13</v>
      </c>
      <c r="J1759" t="s">
        <v>452</v>
      </c>
      <c r="K1759" t="s">
        <v>453</v>
      </c>
      <c r="L1759" t="s">
        <v>368</v>
      </c>
      <c r="M1759">
        <v>59</v>
      </c>
      <c r="N1759" t="b">
        <v>0</v>
      </c>
      <c r="O1759">
        <v>0.7957894736842106</v>
      </c>
      <c r="P1759">
        <v>0.77142857142857146</v>
      </c>
      <c r="Q1759">
        <v>0.82173913043478264</v>
      </c>
      <c r="R1759" t="s">
        <v>60</v>
      </c>
      <c r="S1759" t="s">
        <v>3945</v>
      </c>
      <c r="T1759" t="s">
        <v>3946</v>
      </c>
      <c r="U1759" t="b">
        <v>1</v>
      </c>
      <c r="V1759" t="s">
        <v>63</v>
      </c>
      <c r="W1759">
        <v>1.3</v>
      </c>
    </row>
    <row r="1760" spans="1:23" hidden="1" x14ac:dyDescent="0.3">
      <c r="A1760" t="s">
        <v>2830</v>
      </c>
      <c r="B1760" t="s">
        <v>2831</v>
      </c>
      <c r="C1760" t="s">
        <v>29</v>
      </c>
      <c r="D1760" t="s">
        <v>26</v>
      </c>
      <c r="E1760" t="s">
        <v>27</v>
      </c>
      <c r="F1760" t="s">
        <v>363</v>
      </c>
      <c r="G1760" t="s">
        <v>456</v>
      </c>
      <c r="H1760" t="s">
        <v>365</v>
      </c>
      <c r="I1760" t="s">
        <v>13</v>
      </c>
      <c r="J1760" t="s">
        <v>457</v>
      </c>
      <c r="K1760" t="s">
        <v>458</v>
      </c>
      <c r="L1760" t="s">
        <v>368</v>
      </c>
      <c r="M1760">
        <v>60</v>
      </c>
      <c r="N1760" t="b">
        <v>0</v>
      </c>
      <c r="O1760">
        <v>0.82572614107883813</v>
      </c>
      <c r="P1760">
        <v>0.78968253968253965</v>
      </c>
      <c r="Q1760">
        <v>0.86521739130434783</v>
      </c>
      <c r="R1760" t="s">
        <v>60</v>
      </c>
      <c r="S1760" t="s">
        <v>3947</v>
      </c>
      <c r="T1760" t="s">
        <v>3948</v>
      </c>
      <c r="U1760" t="b">
        <v>1</v>
      </c>
      <c r="V1760" t="s">
        <v>63</v>
      </c>
      <c r="W1760">
        <v>1.7</v>
      </c>
    </row>
    <row r="1761" spans="1:23" hidden="1" x14ac:dyDescent="0.3">
      <c r="A1761" t="s">
        <v>2830</v>
      </c>
      <c r="B1761" t="s">
        <v>2831</v>
      </c>
      <c r="C1761" t="s">
        <v>29</v>
      </c>
      <c r="D1761" t="s">
        <v>26</v>
      </c>
      <c r="E1761" t="s">
        <v>27</v>
      </c>
      <c r="F1761" t="s">
        <v>363</v>
      </c>
      <c r="G1761" t="s">
        <v>461</v>
      </c>
      <c r="H1761" t="s">
        <v>365</v>
      </c>
      <c r="I1761" t="s">
        <v>13</v>
      </c>
      <c r="J1761" t="s">
        <v>462</v>
      </c>
      <c r="K1761" t="s">
        <v>463</v>
      </c>
      <c r="L1761" t="s">
        <v>368</v>
      </c>
      <c r="M1761">
        <v>61</v>
      </c>
      <c r="N1761" t="b">
        <v>0</v>
      </c>
      <c r="O1761">
        <v>0.83333333333333326</v>
      </c>
      <c r="P1761">
        <v>0.8</v>
      </c>
      <c r="Q1761">
        <v>0.86956521739130432</v>
      </c>
      <c r="R1761" t="s">
        <v>60</v>
      </c>
      <c r="S1761" t="s">
        <v>3949</v>
      </c>
      <c r="T1761" t="s">
        <v>3950</v>
      </c>
      <c r="U1761" t="b">
        <v>1</v>
      </c>
      <c r="V1761" t="s">
        <v>63</v>
      </c>
      <c r="W1761">
        <v>1.3</v>
      </c>
    </row>
    <row r="1762" spans="1:23" hidden="1" x14ac:dyDescent="0.3">
      <c r="A1762" t="s">
        <v>2830</v>
      </c>
      <c r="B1762" t="s">
        <v>2831</v>
      </c>
      <c r="C1762" t="s">
        <v>29</v>
      </c>
      <c r="D1762" t="s">
        <v>26</v>
      </c>
      <c r="E1762" t="s">
        <v>27</v>
      </c>
      <c r="F1762" t="s">
        <v>363</v>
      </c>
      <c r="G1762" t="s">
        <v>466</v>
      </c>
      <c r="H1762" t="s">
        <v>467</v>
      </c>
      <c r="I1762" t="s">
        <v>9</v>
      </c>
      <c r="J1762" t="s">
        <v>468</v>
      </c>
      <c r="K1762" t="s">
        <v>469</v>
      </c>
      <c r="L1762" t="s">
        <v>470</v>
      </c>
      <c r="M1762">
        <v>42</v>
      </c>
      <c r="N1762" t="b">
        <v>0</v>
      </c>
      <c r="O1762">
        <v>0.82954545454545447</v>
      </c>
      <c r="P1762">
        <v>0.79781420765027322</v>
      </c>
      <c r="Q1762">
        <v>0.86390532544378695</v>
      </c>
      <c r="R1762" t="s">
        <v>60</v>
      </c>
      <c r="S1762" t="s">
        <v>3951</v>
      </c>
      <c r="T1762" t="s">
        <v>3952</v>
      </c>
      <c r="U1762" t="b">
        <v>1</v>
      </c>
      <c r="V1762" t="s">
        <v>63</v>
      </c>
      <c r="W1762">
        <v>1.1000000000000001</v>
      </c>
    </row>
    <row r="1763" spans="1:23" hidden="1" x14ac:dyDescent="0.3">
      <c r="A1763" t="s">
        <v>2830</v>
      </c>
      <c r="B1763" t="s">
        <v>2831</v>
      </c>
      <c r="C1763" t="s">
        <v>29</v>
      </c>
      <c r="D1763" t="s">
        <v>26</v>
      </c>
      <c r="E1763" t="s">
        <v>27</v>
      </c>
      <c r="F1763" t="s">
        <v>363</v>
      </c>
      <c r="G1763" t="s">
        <v>473</v>
      </c>
      <c r="H1763" t="s">
        <v>467</v>
      </c>
      <c r="I1763" t="s">
        <v>9</v>
      </c>
      <c r="J1763" t="s">
        <v>474</v>
      </c>
      <c r="K1763" t="s">
        <v>475</v>
      </c>
      <c r="L1763" t="s">
        <v>470</v>
      </c>
      <c r="M1763">
        <v>43</v>
      </c>
      <c r="N1763" t="b">
        <v>0</v>
      </c>
      <c r="O1763">
        <v>0.83094555873925513</v>
      </c>
      <c r="P1763">
        <v>0.80555555555555558</v>
      </c>
      <c r="Q1763">
        <v>0.85798816568047342</v>
      </c>
      <c r="R1763" t="s">
        <v>60</v>
      </c>
      <c r="S1763" t="s">
        <v>3953</v>
      </c>
      <c r="T1763" t="s">
        <v>3954</v>
      </c>
      <c r="U1763" t="b">
        <v>1</v>
      </c>
      <c r="V1763" t="s">
        <v>63</v>
      </c>
      <c r="W1763">
        <v>1.1000000000000001</v>
      </c>
    </row>
    <row r="1764" spans="1:23" hidden="1" x14ac:dyDescent="0.3">
      <c r="A1764" t="s">
        <v>2830</v>
      </c>
      <c r="B1764" t="s">
        <v>2831</v>
      </c>
      <c r="C1764" t="s">
        <v>29</v>
      </c>
      <c r="D1764" t="s">
        <v>26</v>
      </c>
      <c r="E1764" t="s">
        <v>27</v>
      </c>
      <c r="F1764" t="s">
        <v>363</v>
      </c>
      <c r="G1764" t="s">
        <v>478</v>
      </c>
      <c r="H1764" t="s">
        <v>467</v>
      </c>
      <c r="I1764" t="s">
        <v>9</v>
      </c>
      <c r="J1764" t="s">
        <v>479</v>
      </c>
      <c r="K1764" t="s">
        <v>480</v>
      </c>
      <c r="L1764" t="s">
        <v>470</v>
      </c>
      <c r="M1764">
        <v>44</v>
      </c>
      <c r="N1764" t="b">
        <v>0</v>
      </c>
      <c r="O1764">
        <v>0.81844380403458217</v>
      </c>
      <c r="P1764">
        <v>0.797752808988764</v>
      </c>
      <c r="Q1764">
        <v>0.84023668639053251</v>
      </c>
      <c r="R1764" t="s">
        <v>60</v>
      </c>
      <c r="S1764" t="s">
        <v>3955</v>
      </c>
      <c r="T1764" t="s">
        <v>3956</v>
      </c>
      <c r="U1764" t="b">
        <v>1</v>
      </c>
      <c r="V1764" t="s">
        <v>63</v>
      </c>
      <c r="W1764">
        <v>1.6</v>
      </c>
    </row>
    <row r="1765" spans="1:23" hidden="1" x14ac:dyDescent="0.3">
      <c r="A1765" t="s">
        <v>2830</v>
      </c>
      <c r="B1765" t="s">
        <v>2831</v>
      </c>
      <c r="C1765" t="s">
        <v>29</v>
      </c>
      <c r="D1765" t="s">
        <v>26</v>
      </c>
      <c r="E1765" t="s">
        <v>27</v>
      </c>
      <c r="F1765" t="s">
        <v>363</v>
      </c>
      <c r="G1765" t="s">
        <v>483</v>
      </c>
      <c r="H1765" t="s">
        <v>467</v>
      </c>
      <c r="I1765" t="s">
        <v>9</v>
      </c>
      <c r="J1765" t="s">
        <v>484</v>
      </c>
      <c r="K1765" t="s">
        <v>485</v>
      </c>
      <c r="L1765" t="s">
        <v>470</v>
      </c>
      <c r="M1765">
        <v>45</v>
      </c>
      <c r="N1765" t="b">
        <v>0</v>
      </c>
      <c r="O1765">
        <v>0.83908045977011492</v>
      </c>
      <c r="P1765">
        <v>0.81564245810055869</v>
      </c>
      <c r="Q1765">
        <v>0.86390532544378695</v>
      </c>
      <c r="R1765" t="s">
        <v>60</v>
      </c>
      <c r="S1765" t="s">
        <v>3957</v>
      </c>
      <c r="T1765" t="s">
        <v>3958</v>
      </c>
      <c r="U1765" t="b">
        <v>1</v>
      </c>
      <c r="V1765" t="s">
        <v>63</v>
      </c>
      <c r="W1765">
        <v>1.2</v>
      </c>
    </row>
    <row r="1766" spans="1:23" hidden="1" x14ac:dyDescent="0.3">
      <c r="A1766" t="s">
        <v>2830</v>
      </c>
      <c r="B1766" t="s">
        <v>2831</v>
      </c>
      <c r="C1766" t="s">
        <v>29</v>
      </c>
      <c r="D1766" t="s">
        <v>26</v>
      </c>
      <c r="E1766" t="s">
        <v>27</v>
      </c>
      <c r="F1766" t="s">
        <v>363</v>
      </c>
      <c r="G1766" t="s">
        <v>488</v>
      </c>
      <c r="H1766" t="s">
        <v>467</v>
      </c>
      <c r="I1766" t="s">
        <v>9</v>
      </c>
      <c r="J1766" t="s">
        <v>489</v>
      </c>
      <c r="K1766" t="s">
        <v>490</v>
      </c>
      <c r="L1766" t="s">
        <v>470</v>
      </c>
      <c r="M1766">
        <v>46</v>
      </c>
      <c r="N1766" t="b">
        <v>0</v>
      </c>
      <c r="O1766">
        <v>0.8319088319088318</v>
      </c>
      <c r="P1766">
        <v>0.80219780219780223</v>
      </c>
      <c r="Q1766">
        <v>0.86390532544378695</v>
      </c>
      <c r="R1766" t="s">
        <v>60</v>
      </c>
      <c r="S1766" t="s">
        <v>3959</v>
      </c>
      <c r="T1766" t="s">
        <v>3960</v>
      </c>
      <c r="U1766" t="b">
        <v>1</v>
      </c>
      <c r="V1766" t="s">
        <v>63</v>
      </c>
      <c r="W1766">
        <v>1.2</v>
      </c>
    </row>
    <row r="1767" spans="1:23" hidden="1" x14ac:dyDescent="0.3">
      <c r="A1767" t="s">
        <v>2830</v>
      </c>
      <c r="B1767" t="s">
        <v>2831</v>
      </c>
      <c r="C1767" t="s">
        <v>29</v>
      </c>
      <c r="D1767" t="s">
        <v>26</v>
      </c>
      <c r="E1767" t="s">
        <v>27</v>
      </c>
      <c r="F1767" t="s">
        <v>363</v>
      </c>
      <c r="G1767" t="s">
        <v>493</v>
      </c>
      <c r="H1767" t="s">
        <v>467</v>
      </c>
      <c r="I1767" t="s">
        <v>9</v>
      </c>
      <c r="J1767" t="s">
        <v>494</v>
      </c>
      <c r="K1767" t="s">
        <v>495</v>
      </c>
      <c r="L1767" t="s">
        <v>470</v>
      </c>
      <c r="M1767">
        <v>47</v>
      </c>
      <c r="N1767" t="b">
        <v>0</v>
      </c>
      <c r="O1767">
        <v>0.82719546742209626</v>
      </c>
      <c r="P1767">
        <v>0.79347826086956519</v>
      </c>
      <c r="Q1767">
        <v>0.86390532544378695</v>
      </c>
      <c r="R1767" t="s">
        <v>60</v>
      </c>
      <c r="S1767" t="s">
        <v>3961</v>
      </c>
      <c r="T1767" t="s">
        <v>3962</v>
      </c>
      <c r="U1767" t="b">
        <v>1</v>
      </c>
      <c r="V1767" t="s">
        <v>63</v>
      </c>
      <c r="W1767">
        <v>1.5</v>
      </c>
    </row>
    <row r="1768" spans="1:23" hidden="1" x14ac:dyDescent="0.3">
      <c r="A1768" t="s">
        <v>2830</v>
      </c>
      <c r="B1768" t="s">
        <v>2831</v>
      </c>
      <c r="C1768" t="s">
        <v>29</v>
      </c>
      <c r="D1768" t="s">
        <v>26</v>
      </c>
      <c r="E1768" t="s">
        <v>27</v>
      </c>
      <c r="F1768" t="s">
        <v>363</v>
      </c>
      <c r="G1768" t="s">
        <v>498</v>
      </c>
      <c r="H1768" t="s">
        <v>467</v>
      </c>
      <c r="I1768" t="s">
        <v>9</v>
      </c>
      <c r="J1768" t="s">
        <v>499</v>
      </c>
      <c r="K1768" t="s">
        <v>500</v>
      </c>
      <c r="L1768" t="s">
        <v>470</v>
      </c>
      <c r="M1768">
        <v>48</v>
      </c>
      <c r="N1768" t="b">
        <v>0</v>
      </c>
      <c r="O1768">
        <v>0.82222222222222219</v>
      </c>
      <c r="P1768">
        <v>0.77486910994764402</v>
      </c>
      <c r="Q1768">
        <v>0.87573964497041423</v>
      </c>
      <c r="R1768" t="s">
        <v>60</v>
      </c>
      <c r="S1768" t="s">
        <v>3963</v>
      </c>
      <c r="T1768" t="s">
        <v>3964</v>
      </c>
      <c r="U1768" t="b">
        <v>1</v>
      </c>
      <c r="V1768" t="s">
        <v>63</v>
      </c>
      <c r="W1768">
        <v>1.2</v>
      </c>
    </row>
    <row r="1769" spans="1:23" hidden="1" x14ac:dyDescent="0.3">
      <c r="A1769" t="s">
        <v>2830</v>
      </c>
      <c r="B1769" t="s">
        <v>2831</v>
      </c>
      <c r="C1769" t="s">
        <v>29</v>
      </c>
      <c r="D1769" t="s">
        <v>26</v>
      </c>
      <c r="E1769" t="s">
        <v>27</v>
      </c>
      <c r="F1769" t="s">
        <v>363</v>
      </c>
      <c r="G1769" t="s">
        <v>503</v>
      </c>
      <c r="H1769" t="s">
        <v>467</v>
      </c>
      <c r="I1769" t="s">
        <v>9</v>
      </c>
      <c r="J1769" t="s">
        <v>504</v>
      </c>
      <c r="K1769" t="s">
        <v>505</v>
      </c>
      <c r="L1769" t="s">
        <v>470</v>
      </c>
      <c r="M1769">
        <v>49</v>
      </c>
      <c r="N1769" t="b">
        <v>0</v>
      </c>
      <c r="O1769">
        <v>0.83286118980169965</v>
      </c>
      <c r="P1769">
        <v>0.79891304347826086</v>
      </c>
      <c r="Q1769">
        <v>0.86982248520710059</v>
      </c>
      <c r="R1769" t="s">
        <v>60</v>
      </c>
      <c r="S1769" t="s">
        <v>3965</v>
      </c>
      <c r="T1769" t="s">
        <v>3966</v>
      </c>
      <c r="U1769" t="b">
        <v>1</v>
      </c>
      <c r="V1769" t="s">
        <v>63</v>
      </c>
      <c r="W1769">
        <v>1.1000000000000001</v>
      </c>
    </row>
    <row r="1770" spans="1:23" hidden="1" x14ac:dyDescent="0.3">
      <c r="A1770" t="s">
        <v>2830</v>
      </c>
      <c r="B1770" t="s">
        <v>2831</v>
      </c>
      <c r="C1770" t="s">
        <v>29</v>
      </c>
      <c r="D1770" t="s">
        <v>26</v>
      </c>
      <c r="E1770" t="s">
        <v>27</v>
      </c>
      <c r="F1770" t="s">
        <v>363</v>
      </c>
      <c r="G1770" t="s">
        <v>508</v>
      </c>
      <c r="H1770" t="s">
        <v>467</v>
      </c>
      <c r="I1770" t="s">
        <v>9</v>
      </c>
      <c r="J1770" t="s">
        <v>509</v>
      </c>
      <c r="K1770" t="s">
        <v>510</v>
      </c>
      <c r="L1770" t="s">
        <v>470</v>
      </c>
      <c r="M1770">
        <v>50</v>
      </c>
      <c r="N1770" t="b">
        <v>0</v>
      </c>
      <c r="O1770">
        <v>0.81481481481481477</v>
      </c>
      <c r="P1770">
        <v>0.7857142857142857</v>
      </c>
      <c r="Q1770">
        <v>0.84615384615384615</v>
      </c>
      <c r="R1770" t="s">
        <v>60</v>
      </c>
      <c r="S1770" t="s">
        <v>3967</v>
      </c>
      <c r="T1770" t="s">
        <v>3968</v>
      </c>
      <c r="U1770" t="b">
        <v>1</v>
      </c>
      <c r="V1770" t="s">
        <v>63</v>
      </c>
      <c r="W1770">
        <v>1.1000000000000001</v>
      </c>
    </row>
    <row r="1771" spans="1:23" hidden="1" x14ac:dyDescent="0.3">
      <c r="A1771" t="s">
        <v>2830</v>
      </c>
      <c r="B1771" t="s">
        <v>2831</v>
      </c>
      <c r="C1771" t="s">
        <v>29</v>
      </c>
      <c r="D1771" t="s">
        <v>26</v>
      </c>
      <c r="E1771" t="s">
        <v>27</v>
      </c>
      <c r="F1771" t="s">
        <v>363</v>
      </c>
      <c r="G1771" t="s">
        <v>513</v>
      </c>
      <c r="H1771" t="s">
        <v>467</v>
      </c>
      <c r="I1771" t="s">
        <v>9</v>
      </c>
      <c r="J1771" t="s">
        <v>514</v>
      </c>
      <c r="K1771" t="s">
        <v>515</v>
      </c>
      <c r="L1771" t="s">
        <v>470</v>
      </c>
      <c r="M1771">
        <v>51</v>
      </c>
      <c r="N1771" t="b">
        <v>0</v>
      </c>
      <c r="O1771">
        <v>0.83286118980169965</v>
      </c>
      <c r="P1771">
        <v>0.79891304347826086</v>
      </c>
      <c r="Q1771">
        <v>0.86982248520710059</v>
      </c>
      <c r="R1771" t="s">
        <v>60</v>
      </c>
      <c r="S1771" t="s">
        <v>3969</v>
      </c>
      <c r="T1771" t="s">
        <v>3970</v>
      </c>
      <c r="U1771" t="b">
        <v>1</v>
      </c>
      <c r="V1771" t="s">
        <v>63</v>
      </c>
      <c r="W1771">
        <v>1.5</v>
      </c>
    </row>
    <row r="1772" spans="1:23" hidden="1" x14ac:dyDescent="0.3">
      <c r="A1772" t="s">
        <v>2830</v>
      </c>
      <c r="B1772" t="s">
        <v>2831</v>
      </c>
      <c r="C1772" t="s">
        <v>29</v>
      </c>
      <c r="D1772" t="s">
        <v>26</v>
      </c>
      <c r="E1772" t="s">
        <v>27</v>
      </c>
      <c r="F1772" t="s">
        <v>363</v>
      </c>
      <c r="G1772" t="s">
        <v>518</v>
      </c>
      <c r="H1772" t="s">
        <v>467</v>
      </c>
      <c r="I1772" t="s">
        <v>9</v>
      </c>
      <c r="J1772" t="s">
        <v>519</v>
      </c>
      <c r="K1772" t="s">
        <v>520</v>
      </c>
      <c r="L1772" t="s">
        <v>470</v>
      </c>
      <c r="M1772">
        <v>52</v>
      </c>
      <c r="N1772" t="b">
        <v>0</v>
      </c>
      <c r="O1772">
        <v>0.80691642651296835</v>
      </c>
      <c r="P1772">
        <v>0.7865168539325843</v>
      </c>
      <c r="Q1772">
        <v>0.82840236686390534</v>
      </c>
      <c r="R1772" t="s">
        <v>60</v>
      </c>
      <c r="S1772" t="s">
        <v>3971</v>
      </c>
      <c r="T1772" t="s">
        <v>3972</v>
      </c>
      <c r="U1772" t="b">
        <v>1</v>
      </c>
      <c r="V1772" t="s">
        <v>63</v>
      </c>
      <c r="W1772">
        <v>1.2</v>
      </c>
    </row>
    <row r="1773" spans="1:23" hidden="1" x14ac:dyDescent="0.3">
      <c r="A1773" t="s">
        <v>2830</v>
      </c>
      <c r="B1773" t="s">
        <v>2831</v>
      </c>
      <c r="C1773" t="s">
        <v>29</v>
      </c>
      <c r="D1773" t="s">
        <v>26</v>
      </c>
      <c r="E1773" t="s">
        <v>27</v>
      </c>
      <c r="F1773" t="s">
        <v>363</v>
      </c>
      <c r="G1773" t="s">
        <v>523</v>
      </c>
      <c r="H1773" t="s">
        <v>467</v>
      </c>
      <c r="I1773" t="s">
        <v>9</v>
      </c>
      <c r="J1773" t="s">
        <v>524</v>
      </c>
      <c r="K1773" t="s">
        <v>525</v>
      </c>
      <c r="L1773" t="s">
        <v>470</v>
      </c>
      <c r="M1773">
        <v>53</v>
      </c>
      <c r="N1773" t="b">
        <v>0</v>
      </c>
      <c r="O1773">
        <v>0.8472622478386167</v>
      </c>
      <c r="P1773">
        <v>0.8258426966292135</v>
      </c>
      <c r="Q1773">
        <v>0.86982248520710059</v>
      </c>
      <c r="R1773" t="s">
        <v>60</v>
      </c>
      <c r="S1773" t="s">
        <v>3973</v>
      </c>
      <c r="T1773" t="s">
        <v>3974</v>
      </c>
      <c r="U1773" t="b">
        <v>1</v>
      </c>
      <c r="V1773" t="s">
        <v>63</v>
      </c>
      <c r="W1773">
        <v>1.1000000000000001</v>
      </c>
    </row>
    <row r="1774" spans="1:23" hidden="1" x14ac:dyDescent="0.3">
      <c r="A1774" t="s">
        <v>2830</v>
      </c>
      <c r="B1774" t="s">
        <v>2831</v>
      </c>
      <c r="C1774" t="s">
        <v>29</v>
      </c>
      <c r="D1774" t="s">
        <v>26</v>
      </c>
      <c r="E1774" t="s">
        <v>27</v>
      </c>
      <c r="F1774" t="s">
        <v>363</v>
      </c>
      <c r="G1774" t="s">
        <v>528</v>
      </c>
      <c r="H1774" t="s">
        <v>467</v>
      </c>
      <c r="I1774" t="s">
        <v>9</v>
      </c>
      <c r="J1774" t="s">
        <v>529</v>
      </c>
      <c r="K1774" t="s">
        <v>530</v>
      </c>
      <c r="L1774" t="s">
        <v>470</v>
      </c>
      <c r="M1774">
        <v>54</v>
      </c>
      <c r="N1774" t="b">
        <v>0</v>
      </c>
      <c r="O1774">
        <v>0.8314606741573034</v>
      </c>
      <c r="P1774">
        <v>0.79144385026737973</v>
      </c>
      <c r="Q1774">
        <v>0.87573964497041423</v>
      </c>
      <c r="R1774" t="s">
        <v>60</v>
      </c>
      <c r="S1774" t="s">
        <v>3975</v>
      </c>
      <c r="T1774" t="s">
        <v>3976</v>
      </c>
      <c r="U1774" t="b">
        <v>1</v>
      </c>
      <c r="V1774" t="s">
        <v>63</v>
      </c>
      <c r="W1774">
        <v>1.2</v>
      </c>
    </row>
    <row r="1775" spans="1:23" hidden="1" x14ac:dyDescent="0.3">
      <c r="A1775" t="s">
        <v>2830</v>
      </c>
      <c r="B1775" t="s">
        <v>2831</v>
      </c>
      <c r="C1775" t="s">
        <v>29</v>
      </c>
      <c r="D1775" t="s">
        <v>26</v>
      </c>
      <c r="E1775" t="s">
        <v>27</v>
      </c>
      <c r="F1775" t="s">
        <v>363</v>
      </c>
      <c r="G1775" t="s">
        <v>533</v>
      </c>
      <c r="H1775" t="s">
        <v>467</v>
      </c>
      <c r="I1775" t="s">
        <v>9</v>
      </c>
      <c r="J1775" t="s">
        <v>534</v>
      </c>
      <c r="K1775" t="s">
        <v>535</v>
      </c>
      <c r="L1775" t="s">
        <v>470</v>
      </c>
      <c r="M1775">
        <v>55</v>
      </c>
      <c r="N1775" t="b">
        <v>0</v>
      </c>
      <c r="O1775">
        <v>0.86956521739130432</v>
      </c>
      <c r="P1775">
        <v>0.85227272727272729</v>
      </c>
      <c r="Q1775">
        <v>0.8875739644970414</v>
      </c>
      <c r="R1775" t="s">
        <v>60</v>
      </c>
      <c r="S1775" t="s">
        <v>3977</v>
      </c>
      <c r="T1775" t="s">
        <v>3978</v>
      </c>
      <c r="U1775" t="b">
        <v>1</v>
      </c>
      <c r="V1775" t="s">
        <v>63</v>
      </c>
      <c r="W1775">
        <v>1.6</v>
      </c>
    </row>
    <row r="1776" spans="1:23" hidden="1" x14ac:dyDescent="0.3">
      <c r="A1776" t="s">
        <v>2830</v>
      </c>
      <c r="B1776" t="s">
        <v>2831</v>
      </c>
      <c r="C1776" t="s">
        <v>29</v>
      </c>
      <c r="D1776" t="s">
        <v>26</v>
      </c>
      <c r="E1776" t="s">
        <v>27</v>
      </c>
      <c r="F1776" t="s">
        <v>363</v>
      </c>
      <c r="G1776" t="s">
        <v>538</v>
      </c>
      <c r="H1776" t="s">
        <v>467</v>
      </c>
      <c r="I1776" t="s">
        <v>9</v>
      </c>
      <c r="J1776" t="s">
        <v>539</v>
      </c>
      <c r="K1776" t="s">
        <v>540</v>
      </c>
      <c r="L1776" t="s">
        <v>470</v>
      </c>
      <c r="M1776">
        <v>56</v>
      </c>
      <c r="N1776" t="b">
        <v>0</v>
      </c>
      <c r="O1776">
        <v>0.83573487031700289</v>
      </c>
      <c r="P1776">
        <v>0.8146067415730337</v>
      </c>
      <c r="Q1776">
        <v>0.85798816568047342</v>
      </c>
      <c r="R1776" t="s">
        <v>60</v>
      </c>
      <c r="S1776" t="s">
        <v>3979</v>
      </c>
      <c r="T1776" t="s">
        <v>3980</v>
      </c>
      <c r="U1776" t="b">
        <v>1</v>
      </c>
      <c r="V1776" t="s">
        <v>63</v>
      </c>
      <c r="W1776">
        <v>1.2</v>
      </c>
    </row>
    <row r="1777" spans="1:23" hidden="1" x14ac:dyDescent="0.3">
      <c r="A1777" t="s">
        <v>2830</v>
      </c>
      <c r="B1777" t="s">
        <v>2831</v>
      </c>
      <c r="C1777" t="s">
        <v>29</v>
      </c>
      <c r="D1777" t="s">
        <v>26</v>
      </c>
      <c r="E1777" t="s">
        <v>27</v>
      </c>
      <c r="F1777" t="s">
        <v>363</v>
      </c>
      <c r="G1777" t="s">
        <v>543</v>
      </c>
      <c r="H1777" t="s">
        <v>467</v>
      </c>
      <c r="I1777" t="s">
        <v>9</v>
      </c>
      <c r="J1777" t="s">
        <v>544</v>
      </c>
      <c r="K1777" t="s">
        <v>545</v>
      </c>
      <c r="L1777" t="s">
        <v>470</v>
      </c>
      <c r="M1777">
        <v>57</v>
      </c>
      <c r="N1777" t="b">
        <v>0</v>
      </c>
      <c r="O1777">
        <v>0.82152974504249288</v>
      </c>
      <c r="P1777">
        <v>0.78804347826086951</v>
      </c>
      <c r="Q1777">
        <v>0.85798816568047342</v>
      </c>
      <c r="R1777" t="s">
        <v>60</v>
      </c>
      <c r="S1777" t="s">
        <v>3981</v>
      </c>
      <c r="T1777" t="s">
        <v>3982</v>
      </c>
      <c r="U1777" t="b">
        <v>1</v>
      </c>
      <c r="V1777" t="s">
        <v>63</v>
      </c>
      <c r="W1777">
        <v>1.1000000000000001</v>
      </c>
    </row>
    <row r="1778" spans="1:23" hidden="1" x14ac:dyDescent="0.3">
      <c r="A1778" t="s">
        <v>2830</v>
      </c>
      <c r="B1778" t="s">
        <v>2831</v>
      </c>
      <c r="C1778" t="s">
        <v>29</v>
      </c>
      <c r="D1778" t="s">
        <v>26</v>
      </c>
      <c r="E1778" t="s">
        <v>27</v>
      </c>
      <c r="F1778" t="s">
        <v>363</v>
      </c>
      <c r="G1778" t="s">
        <v>548</v>
      </c>
      <c r="H1778" t="s">
        <v>467</v>
      </c>
      <c r="I1778" t="s">
        <v>9</v>
      </c>
      <c r="J1778" t="s">
        <v>549</v>
      </c>
      <c r="K1778" t="s">
        <v>550</v>
      </c>
      <c r="L1778" t="s">
        <v>470</v>
      </c>
      <c r="M1778">
        <v>58</v>
      </c>
      <c r="N1778" t="b">
        <v>0</v>
      </c>
      <c r="O1778">
        <v>0.82758620689655182</v>
      </c>
      <c r="P1778">
        <v>0.8044692737430168</v>
      </c>
      <c r="Q1778">
        <v>0.85207100591715978</v>
      </c>
      <c r="R1778" t="s">
        <v>60</v>
      </c>
      <c r="S1778" t="s">
        <v>3983</v>
      </c>
      <c r="T1778" t="s">
        <v>3984</v>
      </c>
      <c r="U1778" t="b">
        <v>1</v>
      </c>
      <c r="V1778" t="s">
        <v>63</v>
      </c>
      <c r="W1778">
        <v>1.5</v>
      </c>
    </row>
    <row r="1779" spans="1:23" hidden="1" x14ac:dyDescent="0.3">
      <c r="A1779" t="s">
        <v>2830</v>
      </c>
      <c r="B1779" t="s">
        <v>2831</v>
      </c>
      <c r="C1779" t="s">
        <v>29</v>
      </c>
      <c r="D1779" t="s">
        <v>26</v>
      </c>
      <c r="E1779" t="s">
        <v>27</v>
      </c>
      <c r="F1779" t="s">
        <v>363</v>
      </c>
      <c r="G1779" t="s">
        <v>553</v>
      </c>
      <c r="H1779" t="s">
        <v>467</v>
      </c>
      <c r="I1779" t="s">
        <v>9</v>
      </c>
      <c r="J1779" t="s">
        <v>554</v>
      </c>
      <c r="K1779" t="s">
        <v>555</v>
      </c>
      <c r="L1779" t="s">
        <v>470</v>
      </c>
      <c r="M1779">
        <v>59</v>
      </c>
      <c r="N1779" t="b">
        <v>0</v>
      </c>
      <c r="O1779">
        <v>0.83381924198250723</v>
      </c>
      <c r="P1779">
        <v>0.82183908045977017</v>
      </c>
      <c r="Q1779">
        <v>0.84615384615384615</v>
      </c>
      <c r="R1779" t="s">
        <v>60</v>
      </c>
      <c r="S1779" t="s">
        <v>3985</v>
      </c>
      <c r="T1779" t="s">
        <v>3986</v>
      </c>
      <c r="U1779" t="b">
        <v>1</v>
      </c>
      <c r="V1779" t="s">
        <v>63</v>
      </c>
      <c r="W1779">
        <v>1.2</v>
      </c>
    </row>
    <row r="1780" spans="1:23" hidden="1" x14ac:dyDescent="0.3">
      <c r="A1780" t="s">
        <v>2830</v>
      </c>
      <c r="B1780" t="s">
        <v>2831</v>
      </c>
      <c r="C1780" t="s">
        <v>29</v>
      </c>
      <c r="D1780" t="s">
        <v>26</v>
      </c>
      <c r="E1780" t="s">
        <v>27</v>
      </c>
      <c r="F1780" t="s">
        <v>363</v>
      </c>
      <c r="G1780" t="s">
        <v>558</v>
      </c>
      <c r="H1780" t="s">
        <v>467</v>
      </c>
      <c r="I1780" t="s">
        <v>9</v>
      </c>
      <c r="J1780" t="s">
        <v>559</v>
      </c>
      <c r="K1780" t="s">
        <v>560</v>
      </c>
      <c r="L1780" t="s">
        <v>470</v>
      </c>
      <c r="M1780">
        <v>60</v>
      </c>
      <c r="N1780" t="b">
        <v>0</v>
      </c>
      <c r="O1780">
        <v>0.82183908045977005</v>
      </c>
      <c r="P1780">
        <v>0.7988826815642458</v>
      </c>
      <c r="Q1780">
        <v>0.84615384615384615</v>
      </c>
      <c r="R1780" t="s">
        <v>60</v>
      </c>
      <c r="S1780" t="s">
        <v>3987</v>
      </c>
      <c r="T1780" t="s">
        <v>3988</v>
      </c>
      <c r="U1780" t="b">
        <v>1</v>
      </c>
      <c r="V1780" t="s">
        <v>63</v>
      </c>
      <c r="W1780">
        <v>1.1000000000000001</v>
      </c>
    </row>
    <row r="1781" spans="1:23" hidden="1" x14ac:dyDescent="0.3">
      <c r="A1781" t="s">
        <v>2830</v>
      </c>
      <c r="B1781" t="s">
        <v>2831</v>
      </c>
      <c r="C1781" t="s">
        <v>29</v>
      </c>
      <c r="D1781" t="s">
        <v>26</v>
      </c>
      <c r="E1781" t="s">
        <v>27</v>
      </c>
      <c r="F1781" t="s">
        <v>363</v>
      </c>
      <c r="G1781" t="s">
        <v>563</v>
      </c>
      <c r="H1781" t="s">
        <v>467</v>
      </c>
      <c r="I1781" t="s">
        <v>9</v>
      </c>
      <c r="J1781" t="s">
        <v>564</v>
      </c>
      <c r="K1781" t="s">
        <v>565</v>
      </c>
      <c r="L1781" t="s">
        <v>470</v>
      </c>
      <c r="M1781">
        <v>61</v>
      </c>
      <c r="N1781" t="b">
        <v>0</v>
      </c>
      <c r="O1781">
        <v>0.84482758620689657</v>
      </c>
      <c r="P1781">
        <v>0.82122905027932958</v>
      </c>
      <c r="Q1781">
        <v>0.86982248520710059</v>
      </c>
      <c r="R1781" t="s">
        <v>60</v>
      </c>
      <c r="S1781" t="s">
        <v>3989</v>
      </c>
      <c r="T1781" t="s">
        <v>3990</v>
      </c>
      <c r="U1781" t="b">
        <v>1</v>
      </c>
      <c r="V1781" t="s">
        <v>63</v>
      </c>
      <c r="W1781">
        <v>1.6</v>
      </c>
    </row>
    <row r="1782" spans="1:23" hidden="1" x14ac:dyDescent="0.3">
      <c r="A1782" t="s">
        <v>2830</v>
      </c>
      <c r="B1782" t="s">
        <v>2831</v>
      </c>
      <c r="C1782" t="s">
        <v>29</v>
      </c>
      <c r="D1782" t="s">
        <v>26</v>
      </c>
      <c r="E1782" t="s">
        <v>27</v>
      </c>
      <c r="F1782" t="s">
        <v>363</v>
      </c>
      <c r="G1782" t="s">
        <v>568</v>
      </c>
      <c r="H1782" t="s">
        <v>569</v>
      </c>
      <c r="I1782" t="s">
        <v>11</v>
      </c>
      <c r="J1782" t="s">
        <v>570</v>
      </c>
      <c r="K1782" t="s">
        <v>571</v>
      </c>
      <c r="L1782" t="s">
        <v>572</v>
      </c>
      <c r="M1782">
        <v>42</v>
      </c>
      <c r="N1782" t="b">
        <v>0</v>
      </c>
      <c r="O1782">
        <v>0.84070796460176989</v>
      </c>
      <c r="P1782">
        <v>0.82608695652173914</v>
      </c>
      <c r="Q1782">
        <v>0.85585585585585588</v>
      </c>
      <c r="R1782" t="s">
        <v>60</v>
      </c>
      <c r="S1782" t="s">
        <v>3991</v>
      </c>
      <c r="T1782" t="s">
        <v>3992</v>
      </c>
      <c r="U1782" t="b">
        <v>1</v>
      </c>
      <c r="V1782" t="s">
        <v>63</v>
      </c>
      <c r="W1782">
        <v>1.3</v>
      </c>
    </row>
    <row r="1783" spans="1:23" hidden="1" x14ac:dyDescent="0.3">
      <c r="A1783" t="s">
        <v>2830</v>
      </c>
      <c r="B1783" t="s">
        <v>2831</v>
      </c>
      <c r="C1783" t="s">
        <v>29</v>
      </c>
      <c r="D1783" t="s">
        <v>26</v>
      </c>
      <c r="E1783" t="s">
        <v>27</v>
      </c>
      <c r="F1783" t="s">
        <v>363</v>
      </c>
      <c r="G1783" t="s">
        <v>575</v>
      </c>
      <c r="H1783" t="s">
        <v>569</v>
      </c>
      <c r="I1783" t="s">
        <v>11</v>
      </c>
      <c r="J1783" t="s">
        <v>576</v>
      </c>
      <c r="K1783" t="s">
        <v>577</v>
      </c>
      <c r="L1783" t="s">
        <v>572</v>
      </c>
      <c r="M1783">
        <v>43</v>
      </c>
      <c r="N1783" t="b">
        <v>0</v>
      </c>
      <c r="O1783">
        <v>0.82819383259911894</v>
      </c>
      <c r="P1783">
        <v>0.81034482758620685</v>
      </c>
      <c r="Q1783">
        <v>0.84684684684684686</v>
      </c>
      <c r="R1783" t="s">
        <v>60</v>
      </c>
      <c r="S1783" t="s">
        <v>3993</v>
      </c>
      <c r="T1783" t="s">
        <v>3994</v>
      </c>
      <c r="U1783" t="b">
        <v>1</v>
      </c>
      <c r="V1783" t="s">
        <v>63</v>
      </c>
      <c r="W1783">
        <v>1.3</v>
      </c>
    </row>
    <row r="1784" spans="1:23" hidden="1" x14ac:dyDescent="0.3">
      <c r="A1784" t="s">
        <v>2830</v>
      </c>
      <c r="B1784" t="s">
        <v>2831</v>
      </c>
      <c r="C1784" t="s">
        <v>29</v>
      </c>
      <c r="D1784" t="s">
        <v>26</v>
      </c>
      <c r="E1784" t="s">
        <v>27</v>
      </c>
      <c r="F1784" t="s">
        <v>363</v>
      </c>
      <c r="G1784" t="s">
        <v>580</v>
      </c>
      <c r="H1784" t="s">
        <v>569</v>
      </c>
      <c r="I1784" t="s">
        <v>11</v>
      </c>
      <c r="J1784" t="s">
        <v>581</v>
      </c>
      <c r="K1784" t="s">
        <v>582</v>
      </c>
      <c r="L1784" t="s">
        <v>572</v>
      </c>
      <c r="M1784">
        <v>44</v>
      </c>
      <c r="N1784" t="b">
        <v>0</v>
      </c>
      <c r="O1784">
        <v>0.85209713024282552</v>
      </c>
      <c r="P1784">
        <v>0.83549783549783552</v>
      </c>
      <c r="Q1784">
        <v>0.86936936936936937</v>
      </c>
      <c r="R1784" t="s">
        <v>60</v>
      </c>
      <c r="S1784" t="s">
        <v>3995</v>
      </c>
      <c r="T1784" t="s">
        <v>3996</v>
      </c>
      <c r="U1784" t="b">
        <v>1</v>
      </c>
      <c r="V1784" t="s">
        <v>63</v>
      </c>
      <c r="W1784">
        <v>1.7</v>
      </c>
    </row>
    <row r="1785" spans="1:23" hidden="1" x14ac:dyDescent="0.3">
      <c r="A1785" t="s">
        <v>2830</v>
      </c>
      <c r="B1785" t="s">
        <v>2831</v>
      </c>
      <c r="C1785" t="s">
        <v>29</v>
      </c>
      <c r="D1785" t="s">
        <v>26</v>
      </c>
      <c r="E1785" t="s">
        <v>27</v>
      </c>
      <c r="F1785" t="s">
        <v>363</v>
      </c>
      <c r="G1785" t="s">
        <v>585</v>
      </c>
      <c r="H1785" t="s">
        <v>569</v>
      </c>
      <c r="I1785" t="s">
        <v>11</v>
      </c>
      <c r="J1785" t="s">
        <v>586</v>
      </c>
      <c r="K1785" t="s">
        <v>587</v>
      </c>
      <c r="L1785" t="s">
        <v>572</v>
      </c>
      <c r="M1785">
        <v>45</v>
      </c>
      <c r="N1785" t="b">
        <v>0</v>
      </c>
      <c r="O1785">
        <v>0.85011185682326629</v>
      </c>
      <c r="P1785">
        <v>0.84444444444444444</v>
      </c>
      <c r="Q1785">
        <v>0.85585585585585588</v>
      </c>
      <c r="R1785" t="s">
        <v>60</v>
      </c>
      <c r="S1785" t="s">
        <v>3997</v>
      </c>
      <c r="T1785" t="s">
        <v>3998</v>
      </c>
      <c r="U1785" t="b">
        <v>1</v>
      </c>
      <c r="V1785" t="s">
        <v>63</v>
      </c>
      <c r="W1785">
        <v>1.3</v>
      </c>
    </row>
    <row r="1786" spans="1:23" hidden="1" x14ac:dyDescent="0.3">
      <c r="A1786" t="s">
        <v>2830</v>
      </c>
      <c r="B1786" t="s">
        <v>2831</v>
      </c>
      <c r="C1786" t="s">
        <v>29</v>
      </c>
      <c r="D1786" t="s">
        <v>26</v>
      </c>
      <c r="E1786" t="s">
        <v>27</v>
      </c>
      <c r="F1786" t="s">
        <v>363</v>
      </c>
      <c r="G1786" t="s">
        <v>590</v>
      </c>
      <c r="H1786" t="s">
        <v>569</v>
      </c>
      <c r="I1786" t="s">
        <v>11</v>
      </c>
      <c r="J1786" t="s">
        <v>591</v>
      </c>
      <c r="K1786" t="s">
        <v>592</v>
      </c>
      <c r="L1786" t="s">
        <v>572</v>
      </c>
      <c r="M1786">
        <v>46</v>
      </c>
      <c r="N1786" t="b">
        <v>0</v>
      </c>
      <c r="O1786">
        <v>0.83842794759825334</v>
      </c>
      <c r="P1786">
        <v>0.81355932203389836</v>
      </c>
      <c r="Q1786">
        <v>0.86486486486486491</v>
      </c>
      <c r="R1786" t="s">
        <v>60</v>
      </c>
      <c r="S1786" t="s">
        <v>3999</v>
      </c>
      <c r="T1786" t="s">
        <v>4000</v>
      </c>
      <c r="U1786" t="b">
        <v>1</v>
      </c>
      <c r="V1786" t="s">
        <v>63</v>
      </c>
      <c r="W1786">
        <v>1.3</v>
      </c>
    </row>
    <row r="1787" spans="1:23" hidden="1" x14ac:dyDescent="0.3">
      <c r="A1787" t="s">
        <v>2830</v>
      </c>
      <c r="B1787" t="s">
        <v>2831</v>
      </c>
      <c r="C1787" t="s">
        <v>29</v>
      </c>
      <c r="D1787" t="s">
        <v>26</v>
      </c>
      <c r="E1787" t="s">
        <v>27</v>
      </c>
      <c r="F1787" t="s">
        <v>363</v>
      </c>
      <c r="G1787" t="s">
        <v>595</v>
      </c>
      <c r="H1787" t="s">
        <v>569</v>
      </c>
      <c r="I1787" t="s">
        <v>11</v>
      </c>
      <c r="J1787" t="s">
        <v>596</v>
      </c>
      <c r="K1787" t="s">
        <v>597</v>
      </c>
      <c r="L1787" t="s">
        <v>572</v>
      </c>
      <c r="M1787">
        <v>47</v>
      </c>
      <c r="N1787" t="b">
        <v>0</v>
      </c>
      <c r="O1787">
        <v>0.83885209713024289</v>
      </c>
      <c r="P1787">
        <v>0.82251082251082253</v>
      </c>
      <c r="Q1787">
        <v>0.85585585585585588</v>
      </c>
      <c r="R1787" t="s">
        <v>60</v>
      </c>
      <c r="S1787" t="s">
        <v>4001</v>
      </c>
      <c r="T1787" t="s">
        <v>4002</v>
      </c>
      <c r="U1787" t="b">
        <v>1</v>
      </c>
      <c r="V1787" t="s">
        <v>63</v>
      </c>
      <c r="W1787">
        <v>1.7</v>
      </c>
    </row>
    <row r="1788" spans="1:23" hidden="1" x14ac:dyDescent="0.3">
      <c r="A1788" t="s">
        <v>2830</v>
      </c>
      <c r="B1788" t="s">
        <v>2831</v>
      </c>
      <c r="C1788" t="s">
        <v>29</v>
      </c>
      <c r="D1788" t="s">
        <v>26</v>
      </c>
      <c r="E1788" t="s">
        <v>27</v>
      </c>
      <c r="F1788" t="s">
        <v>363</v>
      </c>
      <c r="G1788" t="s">
        <v>600</v>
      </c>
      <c r="H1788" t="s">
        <v>569</v>
      </c>
      <c r="I1788" t="s">
        <v>11</v>
      </c>
      <c r="J1788" t="s">
        <v>601</v>
      </c>
      <c r="K1788" t="s">
        <v>602</v>
      </c>
      <c r="L1788" t="s">
        <v>572</v>
      </c>
      <c r="M1788">
        <v>48</v>
      </c>
      <c r="N1788" t="b">
        <v>0</v>
      </c>
      <c r="O1788">
        <v>0.83956043956043958</v>
      </c>
      <c r="P1788">
        <v>0.81974248927038629</v>
      </c>
      <c r="Q1788">
        <v>0.86036036036036034</v>
      </c>
      <c r="R1788" t="s">
        <v>60</v>
      </c>
      <c r="S1788" t="s">
        <v>4003</v>
      </c>
      <c r="T1788" t="s">
        <v>4004</v>
      </c>
      <c r="U1788" t="b">
        <v>1</v>
      </c>
      <c r="V1788" t="s">
        <v>63</v>
      </c>
      <c r="W1788">
        <v>1.3</v>
      </c>
    </row>
    <row r="1789" spans="1:23" hidden="1" x14ac:dyDescent="0.3">
      <c r="A1789" t="s">
        <v>2830</v>
      </c>
      <c r="B1789" t="s">
        <v>2831</v>
      </c>
      <c r="C1789" t="s">
        <v>29</v>
      </c>
      <c r="D1789" t="s">
        <v>26</v>
      </c>
      <c r="E1789" t="s">
        <v>27</v>
      </c>
      <c r="F1789" t="s">
        <v>363</v>
      </c>
      <c r="G1789" t="s">
        <v>605</v>
      </c>
      <c r="H1789" t="s">
        <v>569</v>
      </c>
      <c r="I1789" t="s">
        <v>11</v>
      </c>
      <c r="J1789" t="s">
        <v>606</v>
      </c>
      <c r="K1789" t="s">
        <v>607</v>
      </c>
      <c r="L1789" t="s">
        <v>572</v>
      </c>
      <c r="M1789">
        <v>49</v>
      </c>
      <c r="N1789" t="b">
        <v>0</v>
      </c>
      <c r="O1789">
        <v>0.8392857142857143</v>
      </c>
      <c r="P1789">
        <v>0.83185840707964598</v>
      </c>
      <c r="Q1789">
        <v>0.84684684684684686</v>
      </c>
      <c r="R1789" t="s">
        <v>60</v>
      </c>
      <c r="S1789" t="s">
        <v>4005</v>
      </c>
      <c r="T1789" t="s">
        <v>4006</v>
      </c>
      <c r="U1789" t="b">
        <v>1</v>
      </c>
      <c r="V1789" t="s">
        <v>63</v>
      </c>
      <c r="W1789">
        <v>1.3</v>
      </c>
    </row>
    <row r="1790" spans="1:23" hidden="1" x14ac:dyDescent="0.3">
      <c r="A1790" t="s">
        <v>2830</v>
      </c>
      <c r="B1790" t="s">
        <v>2831</v>
      </c>
      <c r="C1790" t="s">
        <v>29</v>
      </c>
      <c r="D1790" t="s">
        <v>26</v>
      </c>
      <c r="E1790" t="s">
        <v>27</v>
      </c>
      <c r="F1790" t="s">
        <v>363</v>
      </c>
      <c r="G1790" t="s">
        <v>610</v>
      </c>
      <c r="H1790" t="s">
        <v>569</v>
      </c>
      <c r="I1790" t="s">
        <v>11</v>
      </c>
      <c r="J1790" t="s">
        <v>611</v>
      </c>
      <c r="K1790" t="s">
        <v>612</v>
      </c>
      <c r="L1790" t="s">
        <v>572</v>
      </c>
      <c r="M1790">
        <v>50</v>
      </c>
      <c r="N1790" t="b">
        <v>0</v>
      </c>
      <c r="O1790">
        <v>0.83813747228381374</v>
      </c>
      <c r="P1790">
        <v>0.8253275109170306</v>
      </c>
      <c r="Q1790">
        <v>0.85135135135135132</v>
      </c>
      <c r="R1790" t="s">
        <v>60</v>
      </c>
      <c r="S1790" t="s">
        <v>4007</v>
      </c>
      <c r="T1790" t="s">
        <v>4008</v>
      </c>
      <c r="U1790" t="b">
        <v>1</v>
      </c>
      <c r="V1790" t="s">
        <v>63</v>
      </c>
      <c r="W1790">
        <v>1.7</v>
      </c>
    </row>
    <row r="1791" spans="1:23" hidden="1" x14ac:dyDescent="0.3">
      <c r="A1791" t="s">
        <v>2830</v>
      </c>
      <c r="B1791" t="s">
        <v>2831</v>
      </c>
      <c r="C1791" t="s">
        <v>29</v>
      </c>
      <c r="D1791" t="s">
        <v>26</v>
      </c>
      <c r="E1791" t="s">
        <v>27</v>
      </c>
      <c r="F1791" t="s">
        <v>363</v>
      </c>
      <c r="G1791" t="s">
        <v>615</v>
      </c>
      <c r="H1791" t="s">
        <v>569</v>
      </c>
      <c r="I1791" t="s">
        <v>11</v>
      </c>
      <c r="J1791" t="s">
        <v>616</v>
      </c>
      <c r="K1791" t="s">
        <v>617</v>
      </c>
      <c r="L1791" t="s">
        <v>572</v>
      </c>
      <c r="M1791">
        <v>51</v>
      </c>
      <c r="N1791" t="b">
        <v>0</v>
      </c>
      <c r="O1791">
        <v>0.82352941176470584</v>
      </c>
      <c r="P1791">
        <v>0.79746835443037978</v>
      </c>
      <c r="Q1791">
        <v>0.85135135135135132</v>
      </c>
      <c r="R1791" t="s">
        <v>60</v>
      </c>
      <c r="S1791" t="s">
        <v>4009</v>
      </c>
      <c r="T1791" t="s">
        <v>4010</v>
      </c>
      <c r="U1791" t="b">
        <v>1</v>
      </c>
      <c r="V1791" t="s">
        <v>63</v>
      </c>
      <c r="W1791">
        <v>1.3</v>
      </c>
    </row>
    <row r="1792" spans="1:23" hidden="1" x14ac:dyDescent="0.3">
      <c r="A1792" t="s">
        <v>2830</v>
      </c>
      <c r="B1792" t="s">
        <v>2831</v>
      </c>
      <c r="C1792" t="s">
        <v>29</v>
      </c>
      <c r="D1792" t="s">
        <v>26</v>
      </c>
      <c r="E1792" t="s">
        <v>27</v>
      </c>
      <c r="F1792" t="s">
        <v>363</v>
      </c>
      <c r="G1792" t="s">
        <v>620</v>
      </c>
      <c r="H1792" t="s">
        <v>569</v>
      </c>
      <c r="I1792" t="s">
        <v>11</v>
      </c>
      <c r="J1792" t="s">
        <v>621</v>
      </c>
      <c r="K1792" t="s">
        <v>622</v>
      </c>
      <c r="L1792" t="s">
        <v>572</v>
      </c>
      <c r="M1792">
        <v>52</v>
      </c>
      <c r="N1792" t="b">
        <v>0</v>
      </c>
      <c r="O1792">
        <v>0.84000000000000008</v>
      </c>
      <c r="P1792">
        <v>0.82894736842105265</v>
      </c>
      <c r="Q1792">
        <v>0.85135135135135132</v>
      </c>
      <c r="R1792" t="s">
        <v>60</v>
      </c>
      <c r="S1792" t="s">
        <v>4011</v>
      </c>
      <c r="T1792" t="s">
        <v>4012</v>
      </c>
      <c r="U1792" t="b">
        <v>1</v>
      </c>
      <c r="V1792" t="s">
        <v>63</v>
      </c>
      <c r="W1792">
        <v>1.3</v>
      </c>
    </row>
    <row r="1793" spans="1:23" hidden="1" x14ac:dyDescent="0.3">
      <c r="A1793" t="s">
        <v>2830</v>
      </c>
      <c r="B1793" t="s">
        <v>2831</v>
      </c>
      <c r="C1793" t="s">
        <v>29</v>
      </c>
      <c r="D1793" t="s">
        <v>26</v>
      </c>
      <c r="E1793" t="s">
        <v>27</v>
      </c>
      <c r="F1793" t="s">
        <v>363</v>
      </c>
      <c r="G1793" t="s">
        <v>625</v>
      </c>
      <c r="H1793" t="s">
        <v>569</v>
      </c>
      <c r="I1793" t="s">
        <v>11</v>
      </c>
      <c r="J1793" t="s">
        <v>626</v>
      </c>
      <c r="K1793" t="s">
        <v>627</v>
      </c>
      <c r="L1793" t="s">
        <v>572</v>
      </c>
      <c r="M1793">
        <v>53</v>
      </c>
      <c r="N1793" t="b">
        <v>0</v>
      </c>
      <c r="O1793">
        <v>0.85209713024282552</v>
      </c>
      <c r="P1793">
        <v>0.83549783549783552</v>
      </c>
      <c r="Q1793">
        <v>0.86936936936936937</v>
      </c>
      <c r="R1793" t="s">
        <v>60</v>
      </c>
      <c r="S1793" t="s">
        <v>4013</v>
      </c>
      <c r="T1793" t="s">
        <v>4014</v>
      </c>
      <c r="U1793" t="b">
        <v>1</v>
      </c>
      <c r="V1793" t="s">
        <v>63</v>
      </c>
      <c r="W1793">
        <v>1.7</v>
      </c>
    </row>
    <row r="1794" spans="1:23" hidden="1" x14ac:dyDescent="0.3">
      <c r="A1794" t="s">
        <v>2830</v>
      </c>
      <c r="B1794" t="s">
        <v>2831</v>
      </c>
      <c r="C1794" t="s">
        <v>29</v>
      </c>
      <c r="D1794" t="s">
        <v>26</v>
      </c>
      <c r="E1794" t="s">
        <v>27</v>
      </c>
      <c r="F1794" t="s">
        <v>363</v>
      </c>
      <c r="G1794" t="s">
        <v>630</v>
      </c>
      <c r="H1794" t="s">
        <v>569</v>
      </c>
      <c r="I1794" t="s">
        <v>11</v>
      </c>
      <c r="J1794" t="s">
        <v>631</v>
      </c>
      <c r="K1794" t="s">
        <v>632</v>
      </c>
      <c r="L1794" t="s">
        <v>572</v>
      </c>
      <c r="M1794">
        <v>54</v>
      </c>
      <c r="N1794" t="b">
        <v>0</v>
      </c>
      <c r="O1794">
        <v>0.83408071748878931</v>
      </c>
      <c r="P1794">
        <v>0.8303571428571429</v>
      </c>
      <c r="Q1794">
        <v>0.83783783783783783</v>
      </c>
      <c r="R1794" t="s">
        <v>60</v>
      </c>
      <c r="S1794" t="s">
        <v>4015</v>
      </c>
      <c r="T1794" t="s">
        <v>4016</v>
      </c>
      <c r="U1794" t="b">
        <v>1</v>
      </c>
      <c r="V1794" t="s">
        <v>63</v>
      </c>
      <c r="W1794">
        <v>1.3</v>
      </c>
    </row>
    <row r="1795" spans="1:23" hidden="1" x14ac:dyDescent="0.3">
      <c r="A1795" t="s">
        <v>2830</v>
      </c>
      <c r="B1795" t="s">
        <v>2831</v>
      </c>
      <c r="C1795" t="s">
        <v>29</v>
      </c>
      <c r="D1795" t="s">
        <v>26</v>
      </c>
      <c r="E1795" t="s">
        <v>27</v>
      </c>
      <c r="F1795" t="s">
        <v>363</v>
      </c>
      <c r="G1795" t="s">
        <v>635</v>
      </c>
      <c r="H1795" t="s">
        <v>569</v>
      </c>
      <c r="I1795" t="s">
        <v>11</v>
      </c>
      <c r="J1795" t="s">
        <v>636</v>
      </c>
      <c r="K1795" t="s">
        <v>637</v>
      </c>
      <c r="L1795" t="s">
        <v>572</v>
      </c>
      <c r="M1795">
        <v>55</v>
      </c>
      <c r="N1795" t="b">
        <v>0</v>
      </c>
      <c r="O1795">
        <v>0.86222222222222211</v>
      </c>
      <c r="P1795">
        <v>0.85087719298245612</v>
      </c>
      <c r="Q1795">
        <v>0.87387387387387383</v>
      </c>
      <c r="R1795" t="s">
        <v>60</v>
      </c>
      <c r="S1795" t="s">
        <v>4017</v>
      </c>
      <c r="T1795" t="s">
        <v>4018</v>
      </c>
      <c r="U1795" t="b">
        <v>1</v>
      </c>
      <c r="V1795" t="s">
        <v>63</v>
      </c>
      <c r="W1795">
        <v>1.3</v>
      </c>
    </row>
    <row r="1796" spans="1:23" hidden="1" x14ac:dyDescent="0.3">
      <c r="A1796" t="s">
        <v>2830</v>
      </c>
      <c r="B1796" t="s">
        <v>2831</v>
      </c>
      <c r="C1796" t="s">
        <v>29</v>
      </c>
      <c r="D1796" t="s">
        <v>26</v>
      </c>
      <c r="E1796" t="s">
        <v>27</v>
      </c>
      <c r="F1796" t="s">
        <v>363</v>
      </c>
      <c r="G1796" t="s">
        <v>640</v>
      </c>
      <c r="H1796" t="s">
        <v>569</v>
      </c>
      <c r="I1796" t="s">
        <v>11</v>
      </c>
      <c r="J1796" t="s">
        <v>641</v>
      </c>
      <c r="K1796" t="s">
        <v>642</v>
      </c>
      <c r="L1796" t="s">
        <v>572</v>
      </c>
      <c r="M1796">
        <v>56</v>
      </c>
      <c r="N1796" t="b">
        <v>0</v>
      </c>
      <c r="O1796">
        <v>0.8318584070796462</v>
      </c>
      <c r="P1796">
        <v>0.81739130434782614</v>
      </c>
      <c r="Q1796">
        <v>0.84684684684684686</v>
      </c>
      <c r="R1796" t="s">
        <v>60</v>
      </c>
      <c r="S1796" t="s">
        <v>4019</v>
      </c>
      <c r="T1796" t="s">
        <v>4020</v>
      </c>
      <c r="U1796" t="b">
        <v>1</v>
      </c>
      <c r="V1796" t="s">
        <v>63</v>
      </c>
      <c r="W1796">
        <v>1.7</v>
      </c>
    </row>
    <row r="1797" spans="1:23" hidden="1" x14ac:dyDescent="0.3">
      <c r="A1797" t="s">
        <v>2830</v>
      </c>
      <c r="B1797" t="s">
        <v>2831</v>
      </c>
      <c r="C1797" t="s">
        <v>29</v>
      </c>
      <c r="D1797" t="s">
        <v>26</v>
      </c>
      <c r="E1797" t="s">
        <v>27</v>
      </c>
      <c r="F1797" t="s">
        <v>363</v>
      </c>
      <c r="G1797" t="s">
        <v>645</v>
      </c>
      <c r="H1797" t="s">
        <v>569</v>
      </c>
      <c r="I1797" t="s">
        <v>11</v>
      </c>
      <c r="J1797" t="s">
        <v>646</v>
      </c>
      <c r="K1797" t="s">
        <v>647</v>
      </c>
      <c r="L1797" t="s">
        <v>572</v>
      </c>
      <c r="M1797">
        <v>57</v>
      </c>
      <c r="N1797" t="b">
        <v>0</v>
      </c>
      <c r="O1797">
        <v>0.85972850678733026</v>
      </c>
      <c r="P1797">
        <v>0.86363636363636365</v>
      </c>
      <c r="Q1797">
        <v>0.85585585585585588</v>
      </c>
      <c r="R1797" t="s">
        <v>60</v>
      </c>
      <c r="S1797" t="s">
        <v>4021</v>
      </c>
      <c r="T1797" t="s">
        <v>4022</v>
      </c>
      <c r="U1797" t="b">
        <v>1</v>
      </c>
      <c r="V1797" t="s">
        <v>63</v>
      </c>
      <c r="W1797">
        <v>1.3</v>
      </c>
    </row>
    <row r="1798" spans="1:23" hidden="1" x14ac:dyDescent="0.3">
      <c r="A1798" t="s">
        <v>2830</v>
      </c>
      <c r="B1798" t="s">
        <v>2831</v>
      </c>
      <c r="C1798" t="s">
        <v>29</v>
      </c>
      <c r="D1798" t="s">
        <v>26</v>
      </c>
      <c r="E1798" t="s">
        <v>27</v>
      </c>
      <c r="F1798" t="s">
        <v>363</v>
      </c>
      <c r="G1798" t="s">
        <v>650</v>
      </c>
      <c r="H1798" t="s">
        <v>569</v>
      </c>
      <c r="I1798" t="s">
        <v>11</v>
      </c>
      <c r="J1798" t="s">
        <v>651</v>
      </c>
      <c r="K1798" t="s">
        <v>652</v>
      </c>
      <c r="L1798" t="s">
        <v>572</v>
      </c>
      <c r="M1798">
        <v>58</v>
      </c>
      <c r="N1798" t="b">
        <v>0</v>
      </c>
      <c r="O1798">
        <v>0.84070796460176989</v>
      </c>
      <c r="P1798">
        <v>0.82608695652173914</v>
      </c>
      <c r="Q1798">
        <v>0.85585585585585588</v>
      </c>
      <c r="R1798" t="s">
        <v>60</v>
      </c>
      <c r="S1798" t="s">
        <v>4023</v>
      </c>
      <c r="T1798" t="s">
        <v>4024</v>
      </c>
      <c r="U1798" t="b">
        <v>1</v>
      </c>
      <c r="V1798" t="s">
        <v>63</v>
      </c>
      <c r="W1798">
        <v>1.3</v>
      </c>
    </row>
    <row r="1799" spans="1:23" hidden="1" x14ac:dyDescent="0.3">
      <c r="A1799" t="s">
        <v>2830</v>
      </c>
      <c r="B1799" t="s">
        <v>2831</v>
      </c>
      <c r="C1799" t="s">
        <v>29</v>
      </c>
      <c r="D1799" t="s">
        <v>26</v>
      </c>
      <c r="E1799" t="s">
        <v>27</v>
      </c>
      <c r="F1799" t="s">
        <v>363</v>
      </c>
      <c r="G1799" t="s">
        <v>655</v>
      </c>
      <c r="H1799" t="s">
        <v>569</v>
      </c>
      <c r="I1799" t="s">
        <v>11</v>
      </c>
      <c r="J1799" t="s">
        <v>656</v>
      </c>
      <c r="K1799" t="s">
        <v>657</v>
      </c>
      <c r="L1799" t="s">
        <v>572</v>
      </c>
      <c r="M1799">
        <v>59</v>
      </c>
      <c r="N1799" t="b">
        <v>0</v>
      </c>
      <c r="O1799">
        <v>0.82743362831858391</v>
      </c>
      <c r="P1799">
        <v>0.81304347826086953</v>
      </c>
      <c r="Q1799">
        <v>0.84234234234234229</v>
      </c>
      <c r="R1799" t="s">
        <v>60</v>
      </c>
      <c r="S1799" t="s">
        <v>4025</v>
      </c>
      <c r="T1799" t="s">
        <v>4026</v>
      </c>
      <c r="U1799" t="b">
        <v>1</v>
      </c>
      <c r="V1799" t="s">
        <v>63</v>
      </c>
      <c r="W1799">
        <v>1.7</v>
      </c>
    </row>
    <row r="1800" spans="1:23" hidden="1" x14ac:dyDescent="0.3">
      <c r="A1800" t="s">
        <v>2830</v>
      </c>
      <c r="B1800" t="s">
        <v>2831</v>
      </c>
      <c r="C1800" t="s">
        <v>29</v>
      </c>
      <c r="D1800" t="s">
        <v>26</v>
      </c>
      <c r="E1800" t="s">
        <v>27</v>
      </c>
      <c r="F1800" t="s">
        <v>363</v>
      </c>
      <c r="G1800" t="s">
        <v>660</v>
      </c>
      <c r="H1800" t="s">
        <v>569</v>
      </c>
      <c r="I1800" t="s">
        <v>11</v>
      </c>
      <c r="J1800" t="s">
        <v>661</v>
      </c>
      <c r="K1800" t="s">
        <v>662</v>
      </c>
      <c r="L1800" t="s">
        <v>572</v>
      </c>
      <c r="M1800">
        <v>60</v>
      </c>
      <c r="N1800" t="b">
        <v>0</v>
      </c>
      <c r="O1800">
        <v>0.84257206208425717</v>
      </c>
      <c r="P1800">
        <v>0.82969432314410485</v>
      </c>
      <c r="Q1800">
        <v>0.85585585585585588</v>
      </c>
      <c r="R1800" t="s">
        <v>60</v>
      </c>
      <c r="S1800" t="s">
        <v>4027</v>
      </c>
      <c r="T1800" t="s">
        <v>4028</v>
      </c>
      <c r="U1800" t="b">
        <v>1</v>
      </c>
      <c r="V1800" t="s">
        <v>63</v>
      </c>
      <c r="W1800">
        <v>1.3</v>
      </c>
    </row>
    <row r="1801" spans="1:23" hidden="1" x14ac:dyDescent="0.3">
      <c r="A1801" t="s">
        <v>2830</v>
      </c>
      <c r="B1801" t="s">
        <v>2831</v>
      </c>
      <c r="C1801" t="s">
        <v>29</v>
      </c>
      <c r="D1801" t="s">
        <v>26</v>
      </c>
      <c r="E1801" t="s">
        <v>27</v>
      </c>
      <c r="F1801" t="s">
        <v>363</v>
      </c>
      <c r="G1801" t="s">
        <v>665</v>
      </c>
      <c r="H1801" t="s">
        <v>569</v>
      </c>
      <c r="I1801" t="s">
        <v>11</v>
      </c>
      <c r="J1801" t="s">
        <v>666</v>
      </c>
      <c r="K1801" t="s">
        <v>667</v>
      </c>
      <c r="L1801" t="s">
        <v>572</v>
      </c>
      <c r="M1801">
        <v>61</v>
      </c>
      <c r="N1801" t="b">
        <v>0</v>
      </c>
      <c r="O1801">
        <v>0.84513274336283184</v>
      </c>
      <c r="P1801">
        <v>0.83043478260869563</v>
      </c>
      <c r="Q1801">
        <v>0.86036036036036034</v>
      </c>
      <c r="R1801" t="s">
        <v>60</v>
      </c>
      <c r="S1801" t="s">
        <v>4029</v>
      </c>
      <c r="T1801" t="s">
        <v>4030</v>
      </c>
      <c r="U1801" t="b">
        <v>1</v>
      </c>
      <c r="V1801" t="s">
        <v>63</v>
      </c>
      <c r="W1801">
        <v>1.3</v>
      </c>
    </row>
    <row r="1802" spans="1:23" hidden="1" x14ac:dyDescent="0.3">
      <c r="A1802" t="s">
        <v>4031</v>
      </c>
      <c r="B1802" t="s">
        <v>4032</v>
      </c>
      <c r="C1802" t="s">
        <v>30</v>
      </c>
      <c r="D1802" t="s">
        <v>18</v>
      </c>
      <c r="E1802" t="s">
        <v>19</v>
      </c>
      <c r="F1802" t="s">
        <v>54</v>
      </c>
      <c r="G1802" t="s">
        <v>55</v>
      </c>
      <c r="H1802" t="s">
        <v>56</v>
      </c>
      <c r="I1802" t="s">
        <v>7</v>
      </c>
      <c r="J1802" t="s">
        <v>57</v>
      </c>
      <c r="K1802" t="s">
        <v>58</v>
      </c>
      <c r="L1802" t="s">
        <v>59</v>
      </c>
      <c r="M1802">
        <v>42</v>
      </c>
      <c r="N1802" t="b">
        <v>1</v>
      </c>
      <c r="O1802">
        <v>0.66807610993657518</v>
      </c>
      <c r="P1802">
        <v>0.65020576131687247</v>
      </c>
      <c r="Q1802">
        <v>0.68695652173913047</v>
      </c>
      <c r="R1802" t="s">
        <v>60</v>
      </c>
      <c r="S1802" t="s">
        <v>4033</v>
      </c>
      <c r="T1802" t="s">
        <v>4034</v>
      </c>
      <c r="U1802" t="b">
        <v>0</v>
      </c>
      <c r="V1802" t="s">
        <v>63</v>
      </c>
      <c r="W1802">
        <v>76.400000000000006</v>
      </c>
    </row>
    <row r="1803" spans="1:23" hidden="1" x14ac:dyDescent="0.3">
      <c r="A1803" t="s">
        <v>4031</v>
      </c>
      <c r="B1803" t="s">
        <v>4032</v>
      </c>
      <c r="C1803" t="s">
        <v>30</v>
      </c>
      <c r="D1803" t="s">
        <v>18</v>
      </c>
      <c r="E1803" t="s">
        <v>19</v>
      </c>
      <c r="F1803" t="s">
        <v>54</v>
      </c>
      <c r="G1803" t="s">
        <v>64</v>
      </c>
      <c r="H1803" t="s">
        <v>56</v>
      </c>
      <c r="I1803" t="s">
        <v>7</v>
      </c>
      <c r="J1803" t="s">
        <v>65</v>
      </c>
      <c r="K1803" t="s">
        <v>66</v>
      </c>
      <c r="L1803" t="s">
        <v>59</v>
      </c>
      <c r="M1803">
        <v>43</v>
      </c>
      <c r="N1803" t="b">
        <v>1</v>
      </c>
      <c r="O1803">
        <v>0.66386554621848737</v>
      </c>
      <c r="P1803">
        <v>0.64227642276422769</v>
      </c>
      <c r="Q1803">
        <v>0.68695652173913047</v>
      </c>
      <c r="R1803" t="s">
        <v>60</v>
      </c>
      <c r="S1803" t="s">
        <v>4035</v>
      </c>
      <c r="T1803" t="s">
        <v>4036</v>
      </c>
      <c r="U1803" t="b">
        <v>0</v>
      </c>
      <c r="V1803" t="s">
        <v>63</v>
      </c>
      <c r="W1803">
        <v>59</v>
      </c>
    </row>
    <row r="1804" spans="1:23" hidden="1" x14ac:dyDescent="0.3">
      <c r="A1804" t="s">
        <v>4031</v>
      </c>
      <c r="B1804" t="s">
        <v>4032</v>
      </c>
      <c r="C1804" t="s">
        <v>30</v>
      </c>
      <c r="D1804" t="s">
        <v>18</v>
      </c>
      <c r="E1804" t="s">
        <v>19</v>
      </c>
      <c r="F1804" t="s">
        <v>54</v>
      </c>
      <c r="G1804" t="s">
        <v>69</v>
      </c>
      <c r="H1804" t="s">
        <v>56</v>
      </c>
      <c r="I1804" t="s">
        <v>7</v>
      </c>
      <c r="J1804" t="s">
        <v>70</v>
      </c>
      <c r="K1804" t="s">
        <v>71</v>
      </c>
      <c r="L1804" t="s">
        <v>59</v>
      </c>
      <c r="M1804">
        <v>44</v>
      </c>
      <c r="N1804" t="b">
        <v>1</v>
      </c>
      <c r="O1804">
        <v>0.66386554621848737</v>
      </c>
      <c r="P1804">
        <v>0.64227642276422769</v>
      </c>
      <c r="Q1804">
        <v>0.68695652173913047</v>
      </c>
      <c r="R1804" t="s">
        <v>60</v>
      </c>
      <c r="S1804" t="s">
        <v>4037</v>
      </c>
      <c r="T1804" t="s">
        <v>4038</v>
      </c>
      <c r="U1804" t="b">
        <v>0</v>
      </c>
      <c r="V1804" t="s">
        <v>63</v>
      </c>
      <c r="W1804">
        <v>59</v>
      </c>
    </row>
    <row r="1805" spans="1:23" hidden="1" x14ac:dyDescent="0.3">
      <c r="A1805" t="s">
        <v>4031</v>
      </c>
      <c r="B1805" t="s">
        <v>4032</v>
      </c>
      <c r="C1805" t="s">
        <v>30</v>
      </c>
      <c r="D1805" t="s">
        <v>18</v>
      </c>
      <c r="E1805" t="s">
        <v>19</v>
      </c>
      <c r="F1805" t="s">
        <v>54</v>
      </c>
      <c r="G1805" t="s">
        <v>74</v>
      </c>
      <c r="H1805" t="s">
        <v>56</v>
      </c>
      <c r="I1805" t="s">
        <v>7</v>
      </c>
      <c r="J1805" t="s">
        <v>75</v>
      </c>
      <c r="K1805" t="s">
        <v>76</v>
      </c>
      <c r="L1805" t="s">
        <v>59</v>
      </c>
      <c r="M1805">
        <v>45</v>
      </c>
      <c r="N1805" t="b">
        <v>1</v>
      </c>
      <c r="O1805">
        <v>0.66386554621848737</v>
      </c>
      <c r="P1805">
        <v>0.64227642276422769</v>
      </c>
      <c r="Q1805">
        <v>0.68695652173913047</v>
      </c>
      <c r="R1805" t="s">
        <v>60</v>
      </c>
      <c r="S1805" t="s">
        <v>4039</v>
      </c>
      <c r="T1805" t="s">
        <v>4040</v>
      </c>
      <c r="U1805" t="b">
        <v>0</v>
      </c>
      <c r="V1805" t="s">
        <v>63</v>
      </c>
      <c r="W1805">
        <v>58.7</v>
      </c>
    </row>
    <row r="1806" spans="1:23" hidden="1" x14ac:dyDescent="0.3">
      <c r="A1806" t="s">
        <v>4031</v>
      </c>
      <c r="B1806" t="s">
        <v>4032</v>
      </c>
      <c r="C1806" t="s">
        <v>30</v>
      </c>
      <c r="D1806" t="s">
        <v>18</v>
      </c>
      <c r="E1806" t="s">
        <v>19</v>
      </c>
      <c r="F1806" t="s">
        <v>54</v>
      </c>
      <c r="G1806" t="s">
        <v>79</v>
      </c>
      <c r="H1806" t="s">
        <v>56</v>
      </c>
      <c r="I1806" t="s">
        <v>7</v>
      </c>
      <c r="J1806" t="s">
        <v>80</v>
      </c>
      <c r="K1806" t="s">
        <v>81</v>
      </c>
      <c r="L1806" t="s">
        <v>59</v>
      </c>
      <c r="M1806">
        <v>46</v>
      </c>
      <c r="N1806" t="b">
        <v>1</v>
      </c>
      <c r="O1806">
        <v>0.66386554621848737</v>
      </c>
      <c r="P1806">
        <v>0.64227642276422769</v>
      </c>
      <c r="Q1806">
        <v>0.68695652173913047</v>
      </c>
      <c r="R1806" t="s">
        <v>60</v>
      </c>
      <c r="S1806" t="s">
        <v>4041</v>
      </c>
      <c r="T1806" t="s">
        <v>4042</v>
      </c>
      <c r="U1806" t="b">
        <v>0</v>
      </c>
      <c r="V1806" t="s">
        <v>63</v>
      </c>
      <c r="W1806">
        <v>59.1</v>
      </c>
    </row>
    <row r="1807" spans="1:23" hidden="1" x14ac:dyDescent="0.3">
      <c r="A1807" t="s">
        <v>4031</v>
      </c>
      <c r="B1807" t="s">
        <v>4032</v>
      </c>
      <c r="C1807" t="s">
        <v>30</v>
      </c>
      <c r="D1807" t="s">
        <v>18</v>
      </c>
      <c r="E1807" t="s">
        <v>19</v>
      </c>
      <c r="F1807" t="s">
        <v>54</v>
      </c>
      <c r="G1807" t="s">
        <v>84</v>
      </c>
      <c r="H1807" t="s">
        <v>56</v>
      </c>
      <c r="I1807" t="s">
        <v>7</v>
      </c>
      <c r="J1807" t="s">
        <v>85</v>
      </c>
      <c r="K1807" t="s">
        <v>86</v>
      </c>
      <c r="L1807" t="s">
        <v>59</v>
      </c>
      <c r="M1807">
        <v>47</v>
      </c>
      <c r="N1807" t="b">
        <v>1</v>
      </c>
      <c r="O1807">
        <v>0.66386554621848737</v>
      </c>
      <c r="P1807">
        <v>0.64227642276422769</v>
      </c>
      <c r="Q1807">
        <v>0.68695652173913047</v>
      </c>
      <c r="R1807" t="s">
        <v>60</v>
      </c>
      <c r="S1807" t="s">
        <v>4043</v>
      </c>
      <c r="T1807" t="s">
        <v>4044</v>
      </c>
      <c r="U1807" t="b">
        <v>0</v>
      </c>
      <c r="V1807" t="s">
        <v>63</v>
      </c>
      <c r="W1807">
        <v>59.6</v>
      </c>
    </row>
    <row r="1808" spans="1:23" hidden="1" x14ac:dyDescent="0.3">
      <c r="A1808" t="s">
        <v>4031</v>
      </c>
      <c r="B1808" t="s">
        <v>4032</v>
      </c>
      <c r="C1808" t="s">
        <v>30</v>
      </c>
      <c r="D1808" t="s">
        <v>18</v>
      </c>
      <c r="E1808" t="s">
        <v>19</v>
      </c>
      <c r="F1808" t="s">
        <v>54</v>
      </c>
      <c r="G1808" t="s">
        <v>89</v>
      </c>
      <c r="H1808" t="s">
        <v>56</v>
      </c>
      <c r="I1808" t="s">
        <v>7</v>
      </c>
      <c r="J1808" t="s">
        <v>90</v>
      </c>
      <c r="K1808" t="s">
        <v>91</v>
      </c>
      <c r="L1808" t="s">
        <v>59</v>
      </c>
      <c r="M1808">
        <v>48</v>
      </c>
      <c r="N1808" t="b">
        <v>1</v>
      </c>
      <c r="O1808">
        <v>0.66386554621848737</v>
      </c>
      <c r="P1808">
        <v>0.64227642276422769</v>
      </c>
      <c r="Q1808">
        <v>0.68695652173913047</v>
      </c>
      <c r="R1808" t="s">
        <v>60</v>
      </c>
      <c r="S1808" t="s">
        <v>4045</v>
      </c>
      <c r="T1808" t="s">
        <v>4046</v>
      </c>
      <c r="U1808" t="b">
        <v>0</v>
      </c>
      <c r="V1808" t="s">
        <v>63</v>
      </c>
      <c r="W1808">
        <v>59.4</v>
      </c>
    </row>
    <row r="1809" spans="1:23" hidden="1" x14ac:dyDescent="0.3">
      <c r="A1809" t="s">
        <v>4031</v>
      </c>
      <c r="B1809" t="s">
        <v>4032</v>
      </c>
      <c r="C1809" t="s">
        <v>30</v>
      </c>
      <c r="D1809" t="s">
        <v>18</v>
      </c>
      <c r="E1809" t="s">
        <v>19</v>
      </c>
      <c r="F1809" t="s">
        <v>54</v>
      </c>
      <c r="G1809" t="s">
        <v>94</v>
      </c>
      <c r="H1809" t="s">
        <v>56</v>
      </c>
      <c r="I1809" t="s">
        <v>7</v>
      </c>
      <c r="J1809" t="s">
        <v>95</v>
      </c>
      <c r="K1809" t="s">
        <v>96</v>
      </c>
      <c r="L1809" t="s">
        <v>59</v>
      </c>
      <c r="M1809">
        <v>49</v>
      </c>
      <c r="N1809" t="b">
        <v>1</v>
      </c>
      <c r="O1809">
        <v>0.66386554621848737</v>
      </c>
      <c r="P1809">
        <v>0.64227642276422769</v>
      </c>
      <c r="Q1809">
        <v>0.68695652173913047</v>
      </c>
      <c r="R1809" t="s">
        <v>60</v>
      </c>
      <c r="S1809" t="s">
        <v>4047</v>
      </c>
      <c r="T1809" t="s">
        <v>4048</v>
      </c>
      <c r="U1809" t="b">
        <v>0</v>
      </c>
      <c r="V1809" t="s">
        <v>63</v>
      </c>
      <c r="W1809">
        <v>59.8</v>
      </c>
    </row>
    <row r="1810" spans="1:23" hidden="1" x14ac:dyDescent="0.3">
      <c r="A1810" t="s">
        <v>4031</v>
      </c>
      <c r="B1810" t="s">
        <v>4032</v>
      </c>
      <c r="C1810" t="s">
        <v>30</v>
      </c>
      <c r="D1810" t="s">
        <v>18</v>
      </c>
      <c r="E1810" t="s">
        <v>19</v>
      </c>
      <c r="F1810" t="s">
        <v>54</v>
      </c>
      <c r="G1810" t="s">
        <v>99</v>
      </c>
      <c r="H1810" t="s">
        <v>56</v>
      </c>
      <c r="I1810" t="s">
        <v>7</v>
      </c>
      <c r="J1810" t="s">
        <v>100</v>
      </c>
      <c r="K1810" t="s">
        <v>101</v>
      </c>
      <c r="L1810" t="s">
        <v>59</v>
      </c>
      <c r="M1810">
        <v>50</v>
      </c>
      <c r="N1810" t="b">
        <v>1</v>
      </c>
      <c r="O1810">
        <v>0.66386554621848737</v>
      </c>
      <c r="P1810">
        <v>0.64227642276422769</v>
      </c>
      <c r="Q1810">
        <v>0.68695652173913047</v>
      </c>
      <c r="R1810" t="s">
        <v>60</v>
      </c>
      <c r="S1810" t="s">
        <v>4049</v>
      </c>
      <c r="T1810" t="s">
        <v>4050</v>
      </c>
      <c r="U1810" t="b">
        <v>0</v>
      </c>
      <c r="V1810" t="s">
        <v>63</v>
      </c>
      <c r="W1810">
        <v>58.7</v>
      </c>
    </row>
    <row r="1811" spans="1:23" hidden="1" x14ac:dyDescent="0.3">
      <c r="A1811" t="s">
        <v>4031</v>
      </c>
      <c r="B1811" t="s">
        <v>4032</v>
      </c>
      <c r="C1811" t="s">
        <v>30</v>
      </c>
      <c r="D1811" t="s">
        <v>18</v>
      </c>
      <c r="E1811" t="s">
        <v>19</v>
      </c>
      <c r="F1811" t="s">
        <v>54</v>
      </c>
      <c r="G1811" t="s">
        <v>104</v>
      </c>
      <c r="H1811" t="s">
        <v>56</v>
      </c>
      <c r="I1811" t="s">
        <v>7</v>
      </c>
      <c r="J1811" t="s">
        <v>105</v>
      </c>
      <c r="K1811" t="s">
        <v>106</v>
      </c>
      <c r="L1811" t="s">
        <v>59</v>
      </c>
      <c r="M1811">
        <v>51</v>
      </c>
      <c r="N1811" t="b">
        <v>1</v>
      </c>
      <c r="O1811">
        <v>0.66386554621848737</v>
      </c>
      <c r="P1811">
        <v>0.64227642276422769</v>
      </c>
      <c r="Q1811">
        <v>0.68695652173913047</v>
      </c>
      <c r="R1811" t="s">
        <v>60</v>
      </c>
      <c r="S1811" t="s">
        <v>4051</v>
      </c>
      <c r="T1811" t="s">
        <v>4052</v>
      </c>
      <c r="U1811" t="b">
        <v>0</v>
      </c>
      <c r="V1811" t="s">
        <v>63</v>
      </c>
      <c r="W1811">
        <v>59</v>
      </c>
    </row>
    <row r="1812" spans="1:23" hidden="1" x14ac:dyDescent="0.3">
      <c r="A1812" t="s">
        <v>4031</v>
      </c>
      <c r="B1812" t="s">
        <v>4032</v>
      </c>
      <c r="C1812" t="s">
        <v>30</v>
      </c>
      <c r="D1812" t="s">
        <v>18</v>
      </c>
      <c r="E1812" t="s">
        <v>19</v>
      </c>
      <c r="F1812" t="s">
        <v>54</v>
      </c>
      <c r="G1812" t="s">
        <v>109</v>
      </c>
      <c r="H1812" t="s">
        <v>56</v>
      </c>
      <c r="I1812" t="s">
        <v>7</v>
      </c>
      <c r="J1812" t="s">
        <v>110</v>
      </c>
      <c r="K1812" t="s">
        <v>111</v>
      </c>
      <c r="L1812" t="s">
        <v>59</v>
      </c>
      <c r="M1812">
        <v>52</v>
      </c>
      <c r="N1812" t="b">
        <v>1</v>
      </c>
      <c r="O1812">
        <v>0.66386554621848737</v>
      </c>
      <c r="P1812">
        <v>0.64227642276422769</v>
      </c>
      <c r="Q1812">
        <v>0.68695652173913047</v>
      </c>
      <c r="R1812" t="s">
        <v>60</v>
      </c>
      <c r="S1812" t="s">
        <v>4053</v>
      </c>
      <c r="T1812" t="s">
        <v>4054</v>
      </c>
      <c r="U1812" t="b">
        <v>0</v>
      </c>
      <c r="V1812" t="s">
        <v>63</v>
      </c>
      <c r="W1812">
        <v>58.8</v>
      </c>
    </row>
    <row r="1813" spans="1:23" hidden="1" x14ac:dyDescent="0.3">
      <c r="A1813" t="s">
        <v>4031</v>
      </c>
      <c r="B1813" t="s">
        <v>4032</v>
      </c>
      <c r="C1813" t="s">
        <v>30</v>
      </c>
      <c r="D1813" t="s">
        <v>18</v>
      </c>
      <c r="E1813" t="s">
        <v>19</v>
      </c>
      <c r="F1813" t="s">
        <v>54</v>
      </c>
      <c r="G1813" t="s">
        <v>114</v>
      </c>
      <c r="H1813" t="s">
        <v>56</v>
      </c>
      <c r="I1813" t="s">
        <v>7</v>
      </c>
      <c r="J1813" t="s">
        <v>115</v>
      </c>
      <c r="K1813" t="s">
        <v>116</v>
      </c>
      <c r="L1813" t="s">
        <v>59</v>
      </c>
      <c r="M1813">
        <v>53</v>
      </c>
      <c r="N1813" t="b">
        <v>1</v>
      </c>
      <c r="O1813">
        <v>0.66386554621848737</v>
      </c>
      <c r="P1813">
        <v>0.64227642276422769</v>
      </c>
      <c r="Q1813">
        <v>0.68695652173913047</v>
      </c>
      <c r="R1813" t="s">
        <v>60</v>
      </c>
      <c r="S1813" t="s">
        <v>4055</v>
      </c>
      <c r="T1813" t="s">
        <v>4056</v>
      </c>
      <c r="U1813" t="b">
        <v>0</v>
      </c>
      <c r="V1813" t="s">
        <v>63</v>
      </c>
      <c r="W1813">
        <v>59.6</v>
      </c>
    </row>
    <row r="1814" spans="1:23" hidden="1" x14ac:dyDescent="0.3">
      <c r="A1814" t="s">
        <v>4031</v>
      </c>
      <c r="B1814" t="s">
        <v>4032</v>
      </c>
      <c r="C1814" t="s">
        <v>30</v>
      </c>
      <c r="D1814" t="s">
        <v>18</v>
      </c>
      <c r="E1814" t="s">
        <v>19</v>
      </c>
      <c r="F1814" t="s">
        <v>54</v>
      </c>
      <c r="G1814" t="s">
        <v>119</v>
      </c>
      <c r="H1814" t="s">
        <v>56</v>
      </c>
      <c r="I1814" t="s">
        <v>7</v>
      </c>
      <c r="J1814" t="s">
        <v>120</v>
      </c>
      <c r="K1814" t="s">
        <v>121</v>
      </c>
      <c r="L1814" t="s">
        <v>59</v>
      </c>
      <c r="M1814">
        <v>54</v>
      </c>
      <c r="N1814" t="b">
        <v>1</v>
      </c>
      <c r="O1814">
        <v>0.66386554621848737</v>
      </c>
      <c r="P1814">
        <v>0.64227642276422769</v>
      </c>
      <c r="Q1814">
        <v>0.68695652173913047</v>
      </c>
      <c r="R1814" t="s">
        <v>60</v>
      </c>
      <c r="S1814" t="s">
        <v>4057</v>
      </c>
      <c r="T1814" t="s">
        <v>4058</v>
      </c>
      <c r="U1814" t="b">
        <v>0</v>
      </c>
      <c r="V1814" t="s">
        <v>63</v>
      </c>
      <c r="W1814">
        <v>59.3</v>
      </c>
    </row>
    <row r="1815" spans="1:23" hidden="1" x14ac:dyDescent="0.3">
      <c r="A1815" t="s">
        <v>4031</v>
      </c>
      <c r="B1815" t="s">
        <v>4032</v>
      </c>
      <c r="C1815" t="s">
        <v>30</v>
      </c>
      <c r="D1815" t="s">
        <v>18</v>
      </c>
      <c r="E1815" t="s">
        <v>19</v>
      </c>
      <c r="F1815" t="s">
        <v>54</v>
      </c>
      <c r="G1815" t="s">
        <v>124</v>
      </c>
      <c r="H1815" t="s">
        <v>56</v>
      </c>
      <c r="I1815" t="s">
        <v>7</v>
      </c>
      <c r="J1815" t="s">
        <v>125</v>
      </c>
      <c r="K1815" t="s">
        <v>126</v>
      </c>
      <c r="L1815" t="s">
        <v>59</v>
      </c>
      <c r="M1815">
        <v>55</v>
      </c>
      <c r="N1815" t="b">
        <v>1</v>
      </c>
      <c r="O1815">
        <v>0.66386554621848737</v>
      </c>
      <c r="P1815">
        <v>0.64227642276422769</v>
      </c>
      <c r="Q1815">
        <v>0.68695652173913047</v>
      </c>
      <c r="R1815" t="s">
        <v>60</v>
      </c>
      <c r="S1815" t="s">
        <v>4059</v>
      </c>
      <c r="T1815" t="s">
        <v>4060</v>
      </c>
      <c r="U1815" t="b">
        <v>0</v>
      </c>
      <c r="V1815" t="s">
        <v>63</v>
      </c>
      <c r="W1815">
        <v>59.3</v>
      </c>
    </row>
    <row r="1816" spans="1:23" hidden="1" x14ac:dyDescent="0.3">
      <c r="A1816" t="s">
        <v>4031</v>
      </c>
      <c r="B1816" t="s">
        <v>4032</v>
      </c>
      <c r="C1816" t="s">
        <v>30</v>
      </c>
      <c r="D1816" t="s">
        <v>18</v>
      </c>
      <c r="E1816" t="s">
        <v>19</v>
      </c>
      <c r="F1816" t="s">
        <v>54</v>
      </c>
      <c r="G1816" t="s">
        <v>129</v>
      </c>
      <c r="H1816" t="s">
        <v>56</v>
      </c>
      <c r="I1816" t="s">
        <v>7</v>
      </c>
      <c r="J1816" t="s">
        <v>130</v>
      </c>
      <c r="K1816" t="s">
        <v>131</v>
      </c>
      <c r="L1816" t="s">
        <v>59</v>
      </c>
      <c r="M1816">
        <v>56</v>
      </c>
      <c r="N1816" t="b">
        <v>1</v>
      </c>
      <c r="O1816">
        <v>0.66386554621848737</v>
      </c>
      <c r="P1816">
        <v>0.64227642276422769</v>
      </c>
      <c r="Q1816">
        <v>0.68695652173913047</v>
      </c>
      <c r="R1816" t="s">
        <v>60</v>
      </c>
      <c r="S1816" t="s">
        <v>4061</v>
      </c>
      <c r="T1816" t="s">
        <v>4062</v>
      </c>
      <c r="U1816" t="b">
        <v>0</v>
      </c>
      <c r="V1816" t="s">
        <v>63</v>
      </c>
      <c r="W1816">
        <v>59.2</v>
      </c>
    </row>
    <row r="1817" spans="1:23" hidden="1" x14ac:dyDescent="0.3">
      <c r="A1817" t="s">
        <v>4031</v>
      </c>
      <c r="B1817" t="s">
        <v>4032</v>
      </c>
      <c r="C1817" t="s">
        <v>30</v>
      </c>
      <c r="D1817" t="s">
        <v>18</v>
      </c>
      <c r="E1817" t="s">
        <v>19</v>
      </c>
      <c r="F1817" t="s">
        <v>54</v>
      </c>
      <c r="G1817" t="s">
        <v>134</v>
      </c>
      <c r="H1817" t="s">
        <v>56</v>
      </c>
      <c r="I1817" t="s">
        <v>7</v>
      </c>
      <c r="J1817" t="s">
        <v>135</v>
      </c>
      <c r="K1817" t="s">
        <v>136</v>
      </c>
      <c r="L1817" t="s">
        <v>59</v>
      </c>
      <c r="M1817">
        <v>57</v>
      </c>
      <c r="N1817" t="b">
        <v>1</v>
      </c>
      <c r="O1817">
        <v>0.66386554621848737</v>
      </c>
      <c r="P1817">
        <v>0.64227642276422769</v>
      </c>
      <c r="Q1817">
        <v>0.68695652173913047</v>
      </c>
      <c r="R1817" t="s">
        <v>60</v>
      </c>
      <c r="S1817" t="s">
        <v>4063</v>
      </c>
      <c r="T1817" t="s">
        <v>4064</v>
      </c>
      <c r="U1817" t="b">
        <v>0</v>
      </c>
      <c r="V1817" t="s">
        <v>63</v>
      </c>
      <c r="W1817">
        <v>58.7</v>
      </c>
    </row>
    <row r="1818" spans="1:23" hidden="1" x14ac:dyDescent="0.3">
      <c r="A1818" t="s">
        <v>4031</v>
      </c>
      <c r="B1818" t="s">
        <v>4032</v>
      </c>
      <c r="C1818" t="s">
        <v>30</v>
      </c>
      <c r="D1818" t="s">
        <v>18</v>
      </c>
      <c r="E1818" t="s">
        <v>19</v>
      </c>
      <c r="F1818" t="s">
        <v>54</v>
      </c>
      <c r="G1818" t="s">
        <v>139</v>
      </c>
      <c r="H1818" t="s">
        <v>56</v>
      </c>
      <c r="I1818" t="s">
        <v>7</v>
      </c>
      <c r="J1818" t="s">
        <v>140</v>
      </c>
      <c r="K1818" t="s">
        <v>141</v>
      </c>
      <c r="L1818" t="s">
        <v>59</v>
      </c>
      <c r="M1818">
        <v>58</v>
      </c>
      <c r="N1818" t="b">
        <v>1</v>
      </c>
      <c r="O1818">
        <v>0.66386554621848737</v>
      </c>
      <c r="P1818">
        <v>0.64227642276422769</v>
      </c>
      <c r="Q1818">
        <v>0.68695652173913047</v>
      </c>
      <c r="R1818" t="s">
        <v>60</v>
      </c>
      <c r="S1818" t="s">
        <v>4065</v>
      </c>
      <c r="T1818" t="s">
        <v>4066</v>
      </c>
      <c r="U1818" t="b">
        <v>0</v>
      </c>
      <c r="V1818" t="s">
        <v>63</v>
      </c>
      <c r="W1818">
        <v>59.8</v>
      </c>
    </row>
    <row r="1819" spans="1:23" hidden="1" x14ac:dyDescent="0.3">
      <c r="A1819" t="s">
        <v>4031</v>
      </c>
      <c r="B1819" t="s">
        <v>4032</v>
      </c>
      <c r="C1819" t="s">
        <v>30</v>
      </c>
      <c r="D1819" t="s">
        <v>18</v>
      </c>
      <c r="E1819" t="s">
        <v>19</v>
      </c>
      <c r="F1819" t="s">
        <v>54</v>
      </c>
      <c r="G1819" t="s">
        <v>144</v>
      </c>
      <c r="H1819" t="s">
        <v>56</v>
      </c>
      <c r="I1819" t="s">
        <v>7</v>
      </c>
      <c r="J1819" t="s">
        <v>145</v>
      </c>
      <c r="K1819" t="s">
        <v>146</v>
      </c>
      <c r="L1819" t="s">
        <v>59</v>
      </c>
      <c r="M1819">
        <v>59</v>
      </c>
      <c r="N1819" t="b">
        <v>1</v>
      </c>
      <c r="O1819">
        <v>0.66386554621848737</v>
      </c>
      <c r="P1819">
        <v>0.64227642276422769</v>
      </c>
      <c r="Q1819">
        <v>0.68695652173913047</v>
      </c>
      <c r="R1819" t="s">
        <v>60</v>
      </c>
      <c r="S1819" t="s">
        <v>4067</v>
      </c>
      <c r="T1819" t="s">
        <v>4068</v>
      </c>
      <c r="U1819" t="b">
        <v>0</v>
      </c>
      <c r="V1819" t="s">
        <v>63</v>
      </c>
      <c r="W1819">
        <v>59.2</v>
      </c>
    </row>
    <row r="1820" spans="1:23" hidden="1" x14ac:dyDescent="0.3">
      <c r="A1820" t="s">
        <v>4031</v>
      </c>
      <c r="B1820" t="s">
        <v>4032</v>
      </c>
      <c r="C1820" t="s">
        <v>30</v>
      </c>
      <c r="D1820" t="s">
        <v>18</v>
      </c>
      <c r="E1820" t="s">
        <v>19</v>
      </c>
      <c r="F1820" t="s">
        <v>54</v>
      </c>
      <c r="G1820" t="s">
        <v>149</v>
      </c>
      <c r="H1820" t="s">
        <v>56</v>
      </c>
      <c r="I1820" t="s">
        <v>7</v>
      </c>
      <c r="J1820" t="s">
        <v>150</v>
      </c>
      <c r="K1820" t="s">
        <v>151</v>
      </c>
      <c r="L1820" t="s">
        <v>59</v>
      </c>
      <c r="M1820">
        <v>60</v>
      </c>
      <c r="N1820" t="b">
        <v>1</v>
      </c>
      <c r="O1820">
        <v>0.66386554621848737</v>
      </c>
      <c r="P1820">
        <v>0.64227642276422769</v>
      </c>
      <c r="Q1820">
        <v>0.68695652173913047</v>
      </c>
      <c r="R1820" t="s">
        <v>60</v>
      </c>
      <c r="S1820" t="s">
        <v>4069</v>
      </c>
      <c r="T1820" t="s">
        <v>4070</v>
      </c>
      <c r="U1820" t="b">
        <v>0</v>
      </c>
      <c r="V1820" t="s">
        <v>63</v>
      </c>
      <c r="W1820">
        <v>58.3</v>
      </c>
    </row>
    <row r="1821" spans="1:23" hidden="1" x14ac:dyDescent="0.3">
      <c r="A1821" t="s">
        <v>4031</v>
      </c>
      <c r="B1821" t="s">
        <v>4032</v>
      </c>
      <c r="C1821" t="s">
        <v>30</v>
      </c>
      <c r="D1821" t="s">
        <v>18</v>
      </c>
      <c r="E1821" t="s">
        <v>19</v>
      </c>
      <c r="F1821" t="s">
        <v>54</v>
      </c>
      <c r="G1821" t="s">
        <v>154</v>
      </c>
      <c r="H1821" t="s">
        <v>56</v>
      </c>
      <c r="I1821" t="s">
        <v>7</v>
      </c>
      <c r="J1821" t="s">
        <v>155</v>
      </c>
      <c r="K1821" t="s">
        <v>156</v>
      </c>
      <c r="L1821" t="s">
        <v>59</v>
      </c>
      <c r="M1821">
        <v>61</v>
      </c>
      <c r="N1821" t="b">
        <v>1</v>
      </c>
      <c r="O1821">
        <v>0.66386554621848737</v>
      </c>
      <c r="P1821">
        <v>0.64227642276422769</v>
      </c>
      <c r="Q1821">
        <v>0.68695652173913047</v>
      </c>
      <c r="R1821" t="s">
        <v>60</v>
      </c>
      <c r="S1821" t="s">
        <v>4071</v>
      </c>
      <c r="T1821" t="s">
        <v>4072</v>
      </c>
      <c r="U1821" t="b">
        <v>0</v>
      </c>
      <c r="V1821" t="s">
        <v>63</v>
      </c>
      <c r="W1821">
        <v>59.7</v>
      </c>
    </row>
    <row r="1822" spans="1:23" hidden="1" x14ac:dyDescent="0.3">
      <c r="A1822" t="s">
        <v>4031</v>
      </c>
      <c r="B1822" t="s">
        <v>4032</v>
      </c>
      <c r="C1822" t="s">
        <v>30</v>
      </c>
      <c r="D1822" t="s">
        <v>18</v>
      </c>
      <c r="E1822" t="s">
        <v>19</v>
      </c>
      <c r="F1822" t="s">
        <v>54</v>
      </c>
      <c r="G1822" t="s">
        <v>159</v>
      </c>
      <c r="H1822" t="s">
        <v>160</v>
      </c>
      <c r="I1822" t="s">
        <v>3</v>
      </c>
      <c r="J1822" t="s">
        <v>161</v>
      </c>
      <c r="K1822" t="s">
        <v>162</v>
      </c>
      <c r="L1822" t="s">
        <v>163</v>
      </c>
      <c r="M1822">
        <v>42</v>
      </c>
      <c r="N1822" t="b">
        <v>0</v>
      </c>
      <c r="O1822">
        <v>0.65753424657534254</v>
      </c>
      <c r="P1822">
        <v>0.61224489795918369</v>
      </c>
      <c r="Q1822">
        <v>0.7100591715976331</v>
      </c>
      <c r="R1822" t="s">
        <v>60</v>
      </c>
      <c r="S1822" t="s">
        <v>4073</v>
      </c>
      <c r="T1822" t="s">
        <v>4074</v>
      </c>
      <c r="U1822" t="b">
        <v>0</v>
      </c>
      <c r="V1822" t="s">
        <v>63</v>
      </c>
      <c r="W1822">
        <v>58.2</v>
      </c>
    </row>
    <row r="1823" spans="1:23" hidden="1" x14ac:dyDescent="0.3">
      <c r="A1823" t="s">
        <v>4031</v>
      </c>
      <c r="B1823" t="s">
        <v>4032</v>
      </c>
      <c r="C1823" t="s">
        <v>30</v>
      </c>
      <c r="D1823" t="s">
        <v>18</v>
      </c>
      <c r="E1823" t="s">
        <v>19</v>
      </c>
      <c r="F1823" t="s">
        <v>54</v>
      </c>
      <c r="G1823" t="s">
        <v>166</v>
      </c>
      <c r="H1823" t="s">
        <v>160</v>
      </c>
      <c r="I1823" t="s">
        <v>3</v>
      </c>
      <c r="J1823" t="s">
        <v>167</v>
      </c>
      <c r="K1823" t="s">
        <v>168</v>
      </c>
      <c r="L1823" t="s">
        <v>163</v>
      </c>
      <c r="M1823">
        <v>43</v>
      </c>
      <c r="N1823" t="b">
        <v>0</v>
      </c>
      <c r="O1823">
        <v>0.65753424657534254</v>
      </c>
      <c r="P1823">
        <v>0.61224489795918369</v>
      </c>
      <c r="Q1823">
        <v>0.7100591715976331</v>
      </c>
      <c r="R1823" t="s">
        <v>60</v>
      </c>
      <c r="S1823" t="s">
        <v>4075</v>
      </c>
      <c r="T1823" t="s">
        <v>4076</v>
      </c>
      <c r="U1823" t="b">
        <v>0</v>
      </c>
      <c r="V1823" t="s">
        <v>63</v>
      </c>
      <c r="W1823">
        <v>57.7</v>
      </c>
    </row>
    <row r="1824" spans="1:23" hidden="1" x14ac:dyDescent="0.3">
      <c r="A1824" t="s">
        <v>4031</v>
      </c>
      <c r="B1824" t="s">
        <v>4032</v>
      </c>
      <c r="C1824" t="s">
        <v>30</v>
      </c>
      <c r="D1824" t="s">
        <v>18</v>
      </c>
      <c r="E1824" t="s">
        <v>19</v>
      </c>
      <c r="F1824" t="s">
        <v>54</v>
      </c>
      <c r="G1824" t="s">
        <v>171</v>
      </c>
      <c r="H1824" t="s">
        <v>160</v>
      </c>
      <c r="I1824" t="s">
        <v>3</v>
      </c>
      <c r="J1824" t="s">
        <v>172</v>
      </c>
      <c r="K1824" t="s">
        <v>173</v>
      </c>
      <c r="L1824" t="s">
        <v>163</v>
      </c>
      <c r="M1824">
        <v>44</v>
      </c>
      <c r="N1824" t="b">
        <v>0</v>
      </c>
      <c r="O1824">
        <v>0.65753424657534254</v>
      </c>
      <c r="P1824">
        <v>0.61224489795918369</v>
      </c>
      <c r="Q1824">
        <v>0.7100591715976331</v>
      </c>
      <c r="R1824" t="s">
        <v>60</v>
      </c>
      <c r="S1824" t="s">
        <v>4077</v>
      </c>
      <c r="T1824" t="s">
        <v>4078</v>
      </c>
      <c r="U1824" t="b">
        <v>0</v>
      </c>
      <c r="V1824" t="s">
        <v>63</v>
      </c>
      <c r="W1824">
        <v>57.7</v>
      </c>
    </row>
    <row r="1825" spans="1:23" hidden="1" x14ac:dyDescent="0.3">
      <c r="A1825" t="s">
        <v>4031</v>
      </c>
      <c r="B1825" t="s">
        <v>4032</v>
      </c>
      <c r="C1825" t="s">
        <v>30</v>
      </c>
      <c r="D1825" t="s">
        <v>18</v>
      </c>
      <c r="E1825" t="s">
        <v>19</v>
      </c>
      <c r="F1825" t="s">
        <v>54</v>
      </c>
      <c r="G1825" t="s">
        <v>176</v>
      </c>
      <c r="H1825" t="s">
        <v>160</v>
      </c>
      <c r="I1825" t="s">
        <v>3</v>
      </c>
      <c r="J1825" t="s">
        <v>177</v>
      </c>
      <c r="K1825" t="s">
        <v>178</v>
      </c>
      <c r="L1825" t="s">
        <v>163</v>
      </c>
      <c r="M1825">
        <v>45</v>
      </c>
      <c r="N1825" t="b">
        <v>0</v>
      </c>
      <c r="O1825">
        <v>0.65753424657534254</v>
      </c>
      <c r="P1825">
        <v>0.61224489795918369</v>
      </c>
      <c r="Q1825">
        <v>0.7100591715976331</v>
      </c>
      <c r="R1825" t="s">
        <v>60</v>
      </c>
      <c r="S1825" t="s">
        <v>4079</v>
      </c>
      <c r="T1825" t="s">
        <v>4080</v>
      </c>
      <c r="U1825" t="b">
        <v>0</v>
      </c>
      <c r="V1825" t="s">
        <v>63</v>
      </c>
      <c r="W1825">
        <v>57.1</v>
      </c>
    </row>
    <row r="1826" spans="1:23" hidden="1" x14ac:dyDescent="0.3">
      <c r="A1826" t="s">
        <v>4031</v>
      </c>
      <c r="B1826" t="s">
        <v>4032</v>
      </c>
      <c r="C1826" t="s">
        <v>30</v>
      </c>
      <c r="D1826" t="s">
        <v>18</v>
      </c>
      <c r="E1826" t="s">
        <v>19</v>
      </c>
      <c r="F1826" t="s">
        <v>54</v>
      </c>
      <c r="G1826" t="s">
        <v>181</v>
      </c>
      <c r="H1826" t="s">
        <v>160</v>
      </c>
      <c r="I1826" t="s">
        <v>3</v>
      </c>
      <c r="J1826" t="s">
        <v>182</v>
      </c>
      <c r="K1826" t="s">
        <v>183</v>
      </c>
      <c r="L1826" t="s">
        <v>163</v>
      </c>
      <c r="M1826">
        <v>46</v>
      </c>
      <c r="N1826" t="b">
        <v>0</v>
      </c>
      <c r="O1826">
        <v>0.65753424657534254</v>
      </c>
      <c r="P1826">
        <v>0.61224489795918369</v>
      </c>
      <c r="Q1826">
        <v>0.7100591715976331</v>
      </c>
      <c r="R1826" t="s">
        <v>60</v>
      </c>
      <c r="S1826" t="s">
        <v>4081</v>
      </c>
      <c r="T1826" t="s">
        <v>4082</v>
      </c>
      <c r="U1826" t="b">
        <v>0</v>
      </c>
      <c r="V1826" t="s">
        <v>63</v>
      </c>
      <c r="W1826">
        <v>57.9</v>
      </c>
    </row>
    <row r="1827" spans="1:23" hidden="1" x14ac:dyDescent="0.3">
      <c r="A1827" t="s">
        <v>4031</v>
      </c>
      <c r="B1827" t="s">
        <v>4032</v>
      </c>
      <c r="C1827" t="s">
        <v>30</v>
      </c>
      <c r="D1827" t="s">
        <v>18</v>
      </c>
      <c r="E1827" t="s">
        <v>19</v>
      </c>
      <c r="F1827" t="s">
        <v>54</v>
      </c>
      <c r="G1827" t="s">
        <v>186</v>
      </c>
      <c r="H1827" t="s">
        <v>160</v>
      </c>
      <c r="I1827" t="s">
        <v>3</v>
      </c>
      <c r="J1827" t="s">
        <v>187</v>
      </c>
      <c r="K1827" t="s">
        <v>188</v>
      </c>
      <c r="L1827" t="s">
        <v>163</v>
      </c>
      <c r="M1827">
        <v>47</v>
      </c>
      <c r="N1827" t="b">
        <v>0</v>
      </c>
      <c r="O1827">
        <v>0.65753424657534254</v>
      </c>
      <c r="P1827">
        <v>0.61224489795918369</v>
      </c>
      <c r="Q1827">
        <v>0.7100591715976331</v>
      </c>
      <c r="R1827" t="s">
        <v>60</v>
      </c>
      <c r="S1827" t="s">
        <v>4083</v>
      </c>
      <c r="T1827" t="s">
        <v>4084</v>
      </c>
      <c r="U1827" t="b">
        <v>0</v>
      </c>
      <c r="V1827" t="s">
        <v>63</v>
      </c>
      <c r="W1827">
        <v>56.6</v>
      </c>
    </row>
    <row r="1828" spans="1:23" hidden="1" x14ac:dyDescent="0.3">
      <c r="A1828" t="s">
        <v>4031</v>
      </c>
      <c r="B1828" t="s">
        <v>4032</v>
      </c>
      <c r="C1828" t="s">
        <v>30</v>
      </c>
      <c r="D1828" t="s">
        <v>18</v>
      </c>
      <c r="E1828" t="s">
        <v>19</v>
      </c>
      <c r="F1828" t="s">
        <v>54</v>
      </c>
      <c r="G1828" t="s">
        <v>191</v>
      </c>
      <c r="H1828" t="s">
        <v>160</v>
      </c>
      <c r="I1828" t="s">
        <v>3</v>
      </c>
      <c r="J1828" t="s">
        <v>192</v>
      </c>
      <c r="K1828" t="s">
        <v>193</v>
      </c>
      <c r="L1828" t="s">
        <v>163</v>
      </c>
      <c r="M1828">
        <v>48</v>
      </c>
      <c r="N1828" t="b">
        <v>0</v>
      </c>
      <c r="O1828">
        <v>0.65753424657534254</v>
      </c>
      <c r="P1828">
        <v>0.61224489795918369</v>
      </c>
      <c r="Q1828">
        <v>0.7100591715976331</v>
      </c>
      <c r="R1828" t="s">
        <v>60</v>
      </c>
      <c r="S1828" t="s">
        <v>4085</v>
      </c>
      <c r="T1828" t="s">
        <v>4086</v>
      </c>
      <c r="U1828" t="b">
        <v>0</v>
      </c>
      <c r="V1828" t="s">
        <v>63</v>
      </c>
      <c r="W1828">
        <v>57</v>
      </c>
    </row>
    <row r="1829" spans="1:23" hidden="1" x14ac:dyDescent="0.3">
      <c r="A1829" t="s">
        <v>4031</v>
      </c>
      <c r="B1829" t="s">
        <v>4032</v>
      </c>
      <c r="C1829" t="s">
        <v>30</v>
      </c>
      <c r="D1829" t="s">
        <v>18</v>
      </c>
      <c r="E1829" t="s">
        <v>19</v>
      </c>
      <c r="F1829" t="s">
        <v>54</v>
      </c>
      <c r="G1829" t="s">
        <v>196</v>
      </c>
      <c r="H1829" t="s">
        <v>160</v>
      </c>
      <c r="I1829" t="s">
        <v>3</v>
      </c>
      <c r="J1829" t="s">
        <v>197</v>
      </c>
      <c r="K1829" t="s">
        <v>198</v>
      </c>
      <c r="L1829" t="s">
        <v>163</v>
      </c>
      <c r="M1829">
        <v>49</v>
      </c>
      <c r="N1829" t="b">
        <v>0</v>
      </c>
      <c r="O1829">
        <v>0.65753424657534254</v>
      </c>
      <c r="P1829">
        <v>0.61224489795918369</v>
      </c>
      <c r="Q1829">
        <v>0.7100591715976331</v>
      </c>
      <c r="R1829" t="s">
        <v>60</v>
      </c>
      <c r="S1829" t="s">
        <v>4087</v>
      </c>
      <c r="T1829" t="s">
        <v>4088</v>
      </c>
      <c r="U1829" t="b">
        <v>0</v>
      </c>
      <c r="V1829" t="s">
        <v>63</v>
      </c>
      <c r="W1829">
        <v>56.7</v>
      </c>
    </row>
    <row r="1830" spans="1:23" hidden="1" x14ac:dyDescent="0.3">
      <c r="A1830" t="s">
        <v>4031</v>
      </c>
      <c r="B1830" t="s">
        <v>4032</v>
      </c>
      <c r="C1830" t="s">
        <v>30</v>
      </c>
      <c r="D1830" t="s">
        <v>18</v>
      </c>
      <c r="E1830" t="s">
        <v>19</v>
      </c>
      <c r="F1830" t="s">
        <v>54</v>
      </c>
      <c r="G1830" t="s">
        <v>201</v>
      </c>
      <c r="H1830" t="s">
        <v>160</v>
      </c>
      <c r="I1830" t="s">
        <v>3</v>
      </c>
      <c r="J1830" t="s">
        <v>202</v>
      </c>
      <c r="K1830" t="s">
        <v>203</v>
      </c>
      <c r="L1830" t="s">
        <v>163</v>
      </c>
      <c r="M1830">
        <v>50</v>
      </c>
      <c r="N1830" t="b">
        <v>0</v>
      </c>
      <c r="O1830">
        <v>0.65753424657534254</v>
      </c>
      <c r="P1830">
        <v>0.61224489795918369</v>
      </c>
      <c r="Q1830">
        <v>0.7100591715976331</v>
      </c>
      <c r="R1830" t="s">
        <v>60</v>
      </c>
      <c r="S1830" t="s">
        <v>4089</v>
      </c>
      <c r="T1830" t="s">
        <v>4090</v>
      </c>
      <c r="U1830" t="b">
        <v>0</v>
      </c>
      <c r="V1830" t="s">
        <v>63</v>
      </c>
      <c r="W1830">
        <v>57.6</v>
      </c>
    </row>
    <row r="1831" spans="1:23" hidden="1" x14ac:dyDescent="0.3">
      <c r="A1831" t="s">
        <v>4031</v>
      </c>
      <c r="B1831" t="s">
        <v>4032</v>
      </c>
      <c r="C1831" t="s">
        <v>30</v>
      </c>
      <c r="D1831" t="s">
        <v>18</v>
      </c>
      <c r="E1831" t="s">
        <v>19</v>
      </c>
      <c r="F1831" t="s">
        <v>54</v>
      </c>
      <c r="G1831" t="s">
        <v>206</v>
      </c>
      <c r="H1831" t="s">
        <v>160</v>
      </c>
      <c r="I1831" t="s">
        <v>3</v>
      </c>
      <c r="J1831" t="s">
        <v>207</v>
      </c>
      <c r="K1831" t="s">
        <v>208</v>
      </c>
      <c r="L1831" t="s">
        <v>163</v>
      </c>
      <c r="M1831">
        <v>51</v>
      </c>
      <c r="N1831" t="b">
        <v>0</v>
      </c>
      <c r="O1831">
        <v>0.65753424657534254</v>
      </c>
      <c r="P1831">
        <v>0.61224489795918369</v>
      </c>
      <c r="Q1831">
        <v>0.7100591715976331</v>
      </c>
      <c r="R1831" t="s">
        <v>60</v>
      </c>
      <c r="S1831" t="s">
        <v>4091</v>
      </c>
      <c r="T1831" t="s">
        <v>4092</v>
      </c>
      <c r="U1831" t="b">
        <v>0</v>
      </c>
      <c r="V1831" t="s">
        <v>63</v>
      </c>
      <c r="W1831">
        <v>58.2</v>
      </c>
    </row>
    <row r="1832" spans="1:23" hidden="1" x14ac:dyDescent="0.3">
      <c r="A1832" t="s">
        <v>4031</v>
      </c>
      <c r="B1832" t="s">
        <v>4032</v>
      </c>
      <c r="C1832" t="s">
        <v>30</v>
      </c>
      <c r="D1832" t="s">
        <v>18</v>
      </c>
      <c r="E1832" t="s">
        <v>19</v>
      </c>
      <c r="F1832" t="s">
        <v>54</v>
      </c>
      <c r="G1832" t="s">
        <v>211</v>
      </c>
      <c r="H1832" t="s">
        <v>160</v>
      </c>
      <c r="I1832" t="s">
        <v>3</v>
      </c>
      <c r="J1832" t="s">
        <v>212</v>
      </c>
      <c r="K1832" t="s">
        <v>213</v>
      </c>
      <c r="L1832" t="s">
        <v>163</v>
      </c>
      <c r="M1832">
        <v>52</v>
      </c>
      <c r="N1832" t="b">
        <v>0</v>
      </c>
      <c r="O1832">
        <v>0.65753424657534254</v>
      </c>
      <c r="P1832">
        <v>0.61224489795918369</v>
      </c>
      <c r="Q1832">
        <v>0.7100591715976331</v>
      </c>
      <c r="R1832" t="s">
        <v>60</v>
      </c>
      <c r="S1832" t="s">
        <v>4093</v>
      </c>
      <c r="T1832" t="s">
        <v>4094</v>
      </c>
      <c r="U1832" t="b">
        <v>0</v>
      </c>
      <c r="V1832" t="s">
        <v>63</v>
      </c>
      <c r="W1832">
        <v>57.8</v>
      </c>
    </row>
    <row r="1833" spans="1:23" hidden="1" x14ac:dyDescent="0.3">
      <c r="A1833" t="s">
        <v>4031</v>
      </c>
      <c r="B1833" t="s">
        <v>4032</v>
      </c>
      <c r="C1833" t="s">
        <v>30</v>
      </c>
      <c r="D1833" t="s">
        <v>18</v>
      </c>
      <c r="E1833" t="s">
        <v>19</v>
      </c>
      <c r="F1833" t="s">
        <v>54</v>
      </c>
      <c r="G1833" t="s">
        <v>216</v>
      </c>
      <c r="H1833" t="s">
        <v>160</v>
      </c>
      <c r="I1833" t="s">
        <v>3</v>
      </c>
      <c r="J1833" t="s">
        <v>217</v>
      </c>
      <c r="K1833" t="s">
        <v>218</v>
      </c>
      <c r="L1833" t="s">
        <v>163</v>
      </c>
      <c r="M1833">
        <v>53</v>
      </c>
      <c r="N1833" t="b">
        <v>0</v>
      </c>
      <c r="O1833">
        <v>0.65753424657534254</v>
      </c>
      <c r="P1833">
        <v>0.61224489795918369</v>
      </c>
      <c r="Q1833">
        <v>0.7100591715976331</v>
      </c>
      <c r="R1833" t="s">
        <v>60</v>
      </c>
      <c r="S1833" t="s">
        <v>4095</v>
      </c>
      <c r="T1833" t="s">
        <v>4096</v>
      </c>
      <c r="U1833" t="b">
        <v>0</v>
      </c>
      <c r="V1833" t="s">
        <v>63</v>
      </c>
      <c r="W1833">
        <v>57.9</v>
      </c>
    </row>
    <row r="1834" spans="1:23" hidden="1" x14ac:dyDescent="0.3">
      <c r="A1834" t="s">
        <v>4031</v>
      </c>
      <c r="B1834" t="s">
        <v>4032</v>
      </c>
      <c r="C1834" t="s">
        <v>30</v>
      </c>
      <c r="D1834" t="s">
        <v>18</v>
      </c>
      <c r="E1834" t="s">
        <v>19</v>
      </c>
      <c r="F1834" t="s">
        <v>54</v>
      </c>
      <c r="G1834" t="s">
        <v>221</v>
      </c>
      <c r="H1834" t="s">
        <v>160</v>
      </c>
      <c r="I1834" t="s">
        <v>3</v>
      </c>
      <c r="J1834" t="s">
        <v>222</v>
      </c>
      <c r="K1834" t="s">
        <v>223</v>
      </c>
      <c r="L1834" t="s">
        <v>163</v>
      </c>
      <c r="M1834">
        <v>54</v>
      </c>
      <c r="N1834" t="b">
        <v>0</v>
      </c>
      <c r="O1834">
        <v>0.65753424657534254</v>
      </c>
      <c r="P1834">
        <v>0.61224489795918369</v>
      </c>
      <c r="Q1834">
        <v>0.7100591715976331</v>
      </c>
      <c r="R1834" t="s">
        <v>60</v>
      </c>
      <c r="S1834" t="s">
        <v>4097</v>
      </c>
      <c r="T1834" t="s">
        <v>4098</v>
      </c>
      <c r="U1834" t="b">
        <v>0</v>
      </c>
      <c r="V1834" t="s">
        <v>63</v>
      </c>
      <c r="W1834">
        <v>57.6</v>
      </c>
    </row>
    <row r="1835" spans="1:23" hidden="1" x14ac:dyDescent="0.3">
      <c r="A1835" t="s">
        <v>4031</v>
      </c>
      <c r="B1835" t="s">
        <v>4032</v>
      </c>
      <c r="C1835" t="s">
        <v>30</v>
      </c>
      <c r="D1835" t="s">
        <v>18</v>
      </c>
      <c r="E1835" t="s">
        <v>19</v>
      </c>
      <c r="F1835" t="s">
        <v>54</v>
      </c>
      <c r="G1835" t="s">
        <v>226</v>
      </c>
      <c r="H1835" t="s">
        <v>160</v>
      </c>
      <c r="I1835" t="s">
        <v>3</v>
      </c>
      <c r="J1835" t="s">
        <v>227</v>
      </c>
      <c r="K1835" t="s">
        <v>228</v>
      </c>
      <c r="L1835" t="s">
        <v>163</v>
      </c>
      <c r="M1835">
        <v>55</v>
      </c>
      <c r="N1835" t="b">
        <v>0</v>
      </c>
      <c r="O1835">
        <v>0.65753424657534254</v>
      </c>
      <c r="P1835">
        <v>0.61224489795918369</v>
      </c>
      <c r="Q1835">
        <v>0.7100591715976331</v>
      </c>
      <c r="R1835" t="s">
        <v>60</v>
      </c>
      <c r="S1835" t="s">
        <v>4099</v>
      </c>
      <c r="T1835" t="s">
        <v>4100</v>
      </c>
      <c r="U1835" t="b">
        <v>0</v>
      </c>
      <c r="V1835" t="s">
        <v>63</v>
      </c>
      <c r="W1835">
        <v>57.5</v>
      </c>
    </row>
    <row r="1836" spans="1:23" hidden="1" x14ac:dyDescent="0.3">
      <c r="A1836" t="s">
        <v>4031</v>
      </c>
      <c r="B1836" t="s">
        <v>4032</v>
      </c>
      <c r="C1836" t="s">
        <v>30</v>
      </c>
      <c r="D1836" t="s">
        <v>18</v>
      </c>
      <c r="E1836" t="s">
        <v>19</v>
      </c>
      <c r="F1836" t="s">
        <v>54</v>
      </c>
      <c r="G1836" t="s">
        <v>231</v>
      </c>
      <c r="H1836" t="s">
        <v>160</v>
      </c>
      <c r="I1836" t="s">
        <v>3</v>
      </c>
      <c r="J1836" t="s">
        <v>232</v>
      </c>
      <c r="K1836" t="s">
        <v>233</v>
      </c>
      <c r="L1836" t="s">
        <v>163</v>
      </c>
      <c r="M1836">
        <v>56</v>
      </c>
      <c r="N1836" t="b">
        <v>0</v>
      </c>
      <c r="O1836">
        <v>0.65753424657534254</v>
      </c>
      <c r="P1836">
        <v>0.61224489795918369</v>
      </c>
      <c r="Q1836">
        <v>0.7100591715976331</v>
      </c>
      <c r="R1836" t="s">
        <v>60</v>
      </c>
      <c r="S1836" t="s">
        <v>4101</v>
      </c>
      <c r="T1836" t="s">
        <v>4102</v>
      </c>
      <c r="U1836" t="b">
        <v>0</v>
      </c>
      <c r="V1836" t="s">
        <v>63</v>
      </c>
      <c r="W1836">
        <v>57.5</v>
      </c>
    </row>
    <row r="1837" spans="1:23" hidden="1" x14ac:dyDescent="0.3">
      <c r="A1837" t="s">
        <v>4031</v>
      </c>
      <c r="B1837" t="s">
        <v>4032</v>
      </c>
      <c r="C1837" t="s">
        <v>30</v>
      </c>
      <c r="D1837" t="s">
        <v>18</v>
      </c>
      <c r="E1837" t="s">
        <v>19</v>
      </c>
      <c r="F1837" t="s">
        <v>54</v>
      </c>
      <c r="G1837" t="s">
        <v>236</v>
      </c>
      <c r="H1837" t="s">
        <v>160</v>
      </c>
      <c r="I1837" t="s">
        <v>3</v>
      </c>
      <c r="J1837" t="s">
        <v>237</v>
      </c>
      <c r="K1837" t="s">
        <v>238</v>
      </c>
      <c r="L1837" t="s">
        <v>163</v>
      </c>
      <c r="M1837">
        <v>57</v>
      </c>
      <c r="N1837" t="b">
        <v>0</v>
      </c>
      <c r="O1837">
        <v>0.65753424657534254</v>
      </c>
      <c r="P1837">
        <v>0.61224489795918369</v>
      </c>
      <c r="Q1837">
        <v>0.7100591715976331</v>
      </c>
      <c r="R1837" t="s">
        <v>60</v>
      </c>
      <c r="S1837" t="s">
        <v>4103</v>
      </c>
      <c r="T1837" t="s">
        <v>4104</v>
      </c>
      <c r="U1837" t="b">
        <v>0</v>
      </c>
      <c r="V1837" t="s">
        <v>63</v>
      </c>
      <c r="W1837">
        <v>57.4</v>
      </c>
    </row>
    <row r="1838" spans="1:23" hidden="1" x14ac:dyDescent="0.3">
      <c r="A1838" t="s">
        <v>4031</v>
      </c>
      <c r="B1838" t="s">
        <v>4032</v>
      </c>
      <c r="C1838" t="s">
        <v>30</v>
      </c>
      <c r="D1838" t="s">
        <v>18</v>
      </c>
      <c r="E1838" t="s">
        <v>19</v>
      </c>
      <c r="F1838" t="s">
        <v>54</v>
      </c>
      <c r="G1838" t="s">
        <v>241</v>
      </c>
      <c r="H1838" t="s">
        <v>160</v>
      </c>
      <c r="I1838" t="s">
        <v>3</v>
      </c>
      <c r="J1838" t="s">
        <v>242</v>
      </c>
      <c r="K1838" t="s">
        <v>243</v>
      </c>
      <c r="L1838" t="s">
        <v>163</v>
      </c>
      <c r="M1838">
        <v>58</v>
      </c>
      <c r="N1838" t="b">
        <v>0</v>
      </c>
      <c r="O1838">
        <v>0.65753424657534254</v>
      </c>
      <c r="P1838">
        <v>0.61224489795918369</v>
      </c>
      <c r="Q1838">
        <v>0.7100591715976331</v>
      </c>
      <c r="R1838" t="s">
        <v>60</v>
      </c>
      <c r="S1838" t="s">
        <v>4105</v>
      </c>
      <c r="T1838" t="s">
        <v>4106</v>
      </c>
      <c r="U1838" t="b">
        <v>0</v>
      </c>
      <c r="V1838" t="s">
        <v>63</v>
      </c>
      <c r="W1838">
        <v>57.7</v>
      </c>
    </row>
    <row r="1839" spans="1:23" hidden="1" x14ac:dyDescent="0.3">
      <c r="A1839" t="s">
        <v>4031</v>
      </c>
      <c r="B1839" t="s">
        <v>4032</v>
      </c>
      <c r="C1839" t="s">
        <v>30</v>
      </c>
      <c r="D1839" t="s">
        <v>18</v>
      </c>
      <c r="E1839" t="s">
        <v>19</v>
      </c>
      <c r="F1839" t="s">
        <v>54</v>
      </c>
      <c r="G1839" t="s">
        <v>246</v>
      </c>
      <c r="H1839" t="s">
        <v>160</v>
      </c>
      <c r="I1839" t="s">
        <v>3</v>
      </c>
      <c r="J1839" t="s">
        <v>247</v>
      </c>
      <c r="K1839" t="s">
        <v>248</v>
      </c>
      <c r="L1839" t="s">
        <v>163</v>
      </c>
      <c r="M1839">
        <v>59</v>
      </c>
      <c r="N1839" t="b">
        <v>0</v>
      </c>
      <c r="O1839">
        <v>0.65753424657534254</v>
      </c>
      <c r="P1839">
        <v>0.61224489795918369</v>
      </c>
      <c r="Q1839">
        <v>0.7100591715976331</v>
      </c>
      <c r="R1839" t="s">
        <v>60</v>
      </c>
      <c r="S1839" t="s">
        <v>4107</v>
      </c>
      <c r="T1839" t="s">
        <v>4108</v>
      </c>
      <c r="U1839" t="b">
        <v>0</v>
      </c>
      <c r="V1839" t="s">
        <v>63</v>
      </c>
      <c r="W1839">
        <v>56.8</v>
      </c>
    </row>
    <row r="1840" spans="1:23" hidden="1" x14ac:dyDescent="0.3">
      <c r="A1840" t="s">
        <v>4031</v>
      </c>
      <c r="B1840" t="s">
        <v>4032</v>
      </c>
      <c r="C1840" t="s">
        <v>30</v>
      </c>
      <c r="D1840" t="s">
        <v>18</v>
      </c>
      <c r="E1840" t="s">
        <v>19</v>
      </c>
      <c r="F1840" t="s">
        <v>54</v>
      </c>
      <c r="G1840" t="s">
        <v>251</v>
      </c>
      <c r="H1840" t="s">
        <v>160</v>
      </c>
      <c r="I1840" t="s">
        <v>3</v>
      </c>
      <c r="J1840" t="s">
        <v>252</v>
      </c>
      <c r="K1840" t="s">
        <v>253</v>
      </c>
      <c r="L1840" t="s">
        <v>163</v>
      </c>
      <c r="M1840">
        <v>60</v>
      </c>
      <c r="N1840" t="b">
        <v>0</v>
      </c>
      <c r="O1840">
        <v>0.65753424657534254</v>
      </c>
      <c r="P1840">
        <v>0.61224489795918369</v>
      </c>
      <c r="Q1840">
        <v>0.7100591715976331</v>
      </c>
      <c r="R1840" t="s">
        <v>60</v>
      </c>
      <c r="S1840" t="s">
        <v>4109</v>
      </c>
      <c r="T1840" t="s">
        <v>4110</v>
      </c>
      <c r="U1840" t="b">
        <v>0</v>
      </c>
      <c r="V1840" t="s">
        <v>63</v>
      </c>
      <c r="W1840">
        <v>57.9</v>
      </c>
    </row>
    <row r="1841" spans="1:23" hidden="1" x14ac:dyDescent="0.3">
      <c r="A1841" t="s">
        <v>4031</v>
      </c>
      <c r="B1841" t="s">
        <v>4032</v>
      </c>
      <c r="C1841" t="s">
        <v>30</v>
      </c>
      <c r="D1841" t="s">
        <v>18</v>
      </c>
      <c r="E1841" t="s">
        <v>19</v>
      </c>
      <c r="F1841" t="s">
        <v>54</v>
      </c>
      <c r="G1841" t="s">
        <v>256</v>
      </c>
      <c r="H1841" t="s">
        <v>160</v>
      </c>
      <c r="I1841" t="s">
        <v>3</v>
      </c>
      <c r="J1841" t="s">
        <v>257</v>
      </c>
      <c r="K1841" t="s">
        <v>258</v>
      </c>
      <c r="L1841" t="s">
        <v>163</v>
      </c>
      <c r="M1841">
        <v>61</v>
      </c>
      <c r="N1841" t="b">
        <v>0</v>
      </c>
      <c r="O1841">
        <v>0.65753424657534254</v>
      </c>
      <c r="P1841">
        <v>0.61224489795918369</v>
      </c>
      <c r="Q1841">
        <v>0.7100591715976331</v>
      </c>
      <c r="R1841" t="s">
        <v>60</v>
      </c>
      <c r="S1841" t="s">
        <v>4111</v>
      </c>
      <c r="T1841" t="s">
        <v>4112</v>
      </c>
      <c r="U1841" t="b">
        <v>0</v>
      </c>
      <c r="V1841" t="s">
        <v>63</v>
      </c>
      <c r="W1841">
        <v>140</v>
      </c>
    </row>
    <row r="1842" spans="1:23" hidden="1" x14ac:dyDescent="0.3">
      <c r="A1842" t="s">
        <v>4031</v>
      </c>
      <c r="B1842" t="s">
        <v>4032</v>
      </c>
      <c r="C1842" t="s">
        <v>30</v>
      </c>
      <c r="D1842" t="s">
        <v>18</v>
      </c>
      <c r="E1842" t="s">
        <v>19</v>
      </c>
      <c r="F1842" t="s">
        <v>54</v>
      </c>
      <c r="G1842" t="s">
        <v>261</v>
      </c>
      <c r="H1842" t="s">
        <v>262</v>
      </c>
      <c r="I1842" t="s">
        <v>5</v>
      </c>
      <c r="J1842" t="s">
        <v>263</v>
      </c>
      <c r="K1842" t="s">
        <v>264</v>
      </c>
      <c r="L1842" t="s">
        <v>265</v>
      </c>
      <c r="M1842">
        <v>42</v>
      </c>
      <c r="N1842" t="b">
        <v>0</v>
      </c>
      <c r="O1842">
        <v>0.6464208242950108</v>
      </c>
      <c r="P1842">
        <v>0.62343096234309625</v>
      </c>
      <c r="Q1842">
        <v>0.6711711711711712</v>
      </c>
      <c r="R1842" t="s">
        <v>60</v>
      </c>
      <c r="S1842" t="s">
        <v>4113</v>
      </c>
      <c r="T1842" t="s">
        <v>4114</v>
      </c>
      <c r="U1842" t="b">
        <v>0</v>
      </c>
      <c r="V1842" t="s">
        <v>63</v>
      </c>
      <c r="W1842">
        <v>60.4</v>
      </c>
    </row>
    <row r="1843" spans="1:23" hidden="1" x14ac:dyDescent="0.3">
      <c r="A1843" t="s">
        <v>4031</v>
      </c>
      <c r="B1843" t="s">
        <v>4032</v>
      </c>
      <c r="C1843" t="s">
        <v>30</v>
      </c>
      <c r="D1843" t="s">
        <v>18</v>
      </c>
      <c r="E1843" t="s">
        <v>19</v>
      </c>
      <c r="F1843" t="s">
        <v>54</v>
      </c>
      <c r="G1843" t="s">
        <v>268</v>
      </c>
      <c r="H1843" t="s">
        <v>262</v>
      </c>
      <c r="I1843" t="s">
        <v>5</v>
      </c>
      <c r="J1843" t="s">
        <v>269</v>
      </c>
      <c r="K1843" t="s">
        <v>270</v>
      </c>
      <c r="L1843" t="s">
        <v>265</v>
      </c>
      <c r="M1843">
        <v>43</v>
      </c>
      <c r="N1843" t="b">
        <v>0</v>
      </c>
      <c r="O1843">
        <v>0.62634989200863933</v>
      </c>
      <c r="P1843">
        <v>0.60165975103734437</v>
      </c>
      <c r="Q1843">
        <v>0.65315315315315314</v>
      </c>
      <c r="R1843" t="s">
        <v>60</v>
      </c>
      <c r="S1843" t="s">
        <v>4115</v>
      </c>
      <c r="T1843" t="s">
        <v>4116</v>
      </c>
      <c r="U1843" t="b">
        <v>0</v>
      </c>
      <c r="V1843" t="s">
        <v>63</v>
      </c>
      <c r="W1843">
        <v>59.9</v>
      </c>
    </row>
    <row r="1844" spans="1:23" hidden="1" x14ac:dyDescent="0.3">
      <c r="A1844" t="s">
        <v>4031</v>
      </c>
      <c r="B1844" t="s">
        <v>4032</v>
      </c>
      <c r="C1844" t="s">
        <v>30</v>
      </c>
      <c r="D1844" t="s">
        <v>18</v>
      </c>
      <c r="E1844" t="s">
        <v>19</v>
      </c>
      <c r="F1844" t="s">
        <v>54</v>
      </c>
      <c r="G1844" t="s">
        <v>273</v>
      </c>
      <c r="H1844" t="s">
        <v>262</v>
      </c>
      <c r="I1844" t="s">
        <v>5</v>
      </c>
      <c r="J1844" t="s">
        <v>274</v>
      </c>
      <c r="K1844" t="s">
        <v>275</v>
      </c>
      <c r="L1844" t="s">
        <v>265</v>
      </c>
      <c r="M1844">
        <v>44</v>
      </c>
      <c r="N1844" t="b">
        <v>0</v>
      </c>
      <c r="O1844">
        <v>0.62634989200863933</v>
      </c>
      <c r="P1844">
        <v>0.60165975103734437</v>
      </c>
      <c r="Q1844">
        <v>0.65315315315315314</v>
      </c>
      <c r="R1844" t="s">
        <v>60</v>
      </c>
      <c r="S1844" t="s">
        <v>4117</v>
      </c>
      <c r="T1844" t="s">
        <v>4118</v>
      </c>
      <c r="U1844" t="b">
        <v>0</v>
      </c>
      <c r="V1844" t="s">
        <v>63</v>
      </c>
      <c r="W1844">
        <v>59.2</v>
      </c>
    </row>
    <row r="1845" spans="1:23" hidden="1" x14ac:dyDescent="0.3">
      <c r="A1845" t="s">
        <v>4031</v>
      </c>
      <c r="B1845" t="s">
        <v>4032</v>
      </c>
      <c r="C1845" t="s">
        <v>30</v>
      </c>
      <c r="D1845" t="s">
        <v>18</v>
      </c>
      <c r="E1845" t="s">
        <v>19</v>
      </c>
      <c r="F1845" t="s">
        <v>54</v>
      </c>
      <c r="G1845" t="s">
        <v>278</v>
      </c>
      <c r="H1845" t="s">
        <v>262</v>
      </c>
      <c r="I1845" t="s">
        <v>5</v>
      </c>
      <c r="J1845" t="s">
        <v>279</v>
      </c>
      <c r="K1845" t="s">
        <v>280</v>
      </c>
      <c r="L1845" t="s">
        <v>265</v>
      </c>
      <c r="M1845">
        <v>45</v>
      </c>
      <c r="N1845" t="b">
        <v>0</v>
      </c>
      <c r="O1845">
        <v>0.62634989200863933</v>
      </c>
      <c r="P1845">
        <v>0.60165975103734437</v>
      </c>
      <c r="Q1845">
        <v>0.65315315315315314</v>
      </c>
      <c r="R1845" t="s">
        <v>60</v>
      </c>
      <c r="S1845" t="s">
        <v>4119</v>
      </c>
      <c r="T1845" t="s">
        <v>4120</v>
      </c>
      <c r="U1845" t="b">
        <v>0</v>
      </c>
      <c r="V1845" t="s">
        <v>63</v>
      </c>
      <c r="W1845">
        <v>59.5</v>
      </c>
    </row>
    <row r="1846" spans="1:23" hidden="1" x14ac:dyDescent="0.3">
      <c r="A1846" t="s">
        <v>4031</v>
      </c>
      <c r="B1846" t="s">
        <v>4032</v>
      </c>
      <c r="C1846" t="s">
        <v>30</v>
      </c>
      <c r="D1846" t="s">
        <v>18</v>
      </c>
      <c r="E1846" t="s">
        <v>19</v>
      </c>
      <c r="F1846" t="s">
        <v>54</v>
      </c>
      <c r="G1846" t="s">
        <v>283</v>
      </c>
      <c r="H1846" t="s">
        <v>262</v>
      </c>
      <c r="I1846" t="s">
        <v>5</v>
      </c>
      <c r="J1846" t="s">
        <v>284</v>
      </c>
      <c r="K1846" t="s">
        <v>285</v>
      </c>
      <c r="L1846" t="s">
        <v>265</v>
      </c>
      <c r="M1846">
        <v>46</v>
      </c>
      <c r="N1846" t="b">
        <v>0</v>
      </c>
      <c r="O1846">
        <v>0.62634989200863933</v>
      </c>
      <c r="P1846">
        <v>0.60165975103734437</v>
      </c>
      <c r="Q1846">
        <v>0.65315315315315314</v>
      </c>
      <c r="R1846" t="s">
        <v>60</v>
      </c>
      <c r="S1846" t="s">
        <v>4121</v>
      </c>
      <c r="T1846" t="s">
        <v>4122</v>
      </c>
      <c r="U1846" t="b">
        <v>0</v>
      </c>
      <c r="V1846" t="s">
        <v>63</v>
      </c>
      <c r="W1846">
        <v>59.2</v>
      </c>
    </row>
    <row r="1847" spans="1:23" hidden="1" x14ac:dyDescent="0.3">
      <c r="A1847" t="s">
        <v>4031</v>
      </c>
      <c r="B1847" t="s">
        <v>4032</v>
      </c>
      <c r="C1847" t="s">
        <v>30</v>
      </c>
      <c r="D1847" t="s">
        <v>18</v>
      </c>
      <c r="E1847" t="s">
        <v>19</v>
      </c>
      <c r="F1847" t="s">
        <v>54</v>
      </c>
      <c r="G1847" t="s">
        <v>288</v>
      </c>
      <c r="H1847" t="s">
        <v>262</v>
      </c>
      <c r="I1847" t="s">
        <v>5</v>
      </c>
      <c r="J1847" t="s">
        <v>289</v>
      </c>
      <c r="K1847" t="s">
        <v>290</v>
      </c>
      <c r="L1847" t="s">
        <v>265</v>
      </c>
      <c r="M1847">
        <v>47</v>
      </c>
      <c r="N1847" t="b">
        <v>0</v>
      </c>
      <c r="O1847">
        <v>0.62634989200863933</v>
      </c>
      <c r="P1847">
        <v>0.60165975103734437</v>
      </c>
      <c r="Q1847">
        <v>0.65315315315315314</v>
      </c>
      <c r="R1847" t="s">
        <v>60</v>
      </c>
      <c r="S1847" t="s">
        <v>4123</v>
      </c>
      <c r="T1847" t="s">
        <v>4124</v>
      </c>
      <c r="U1847" t="b">
        <v>0</v>
      </c>
      <c r="V1847" t="s">
        <v>63</v>
      </c>
      <c r="W1847">
        <v>58.4</v>
      </c>
    </row>
    <row r="1848" spans="1:23" hidden="1" x14ac:dyDescent="0.3">
      <c r="A1848" t="s">
        <v>4031</v>
      </c>
      <c r="B1848" t="s">
        <v>4032</v>
      </c>
      <c r="C1848" t="s">
        <v>30</v>
      </c>
      <c r="D1848" t="s">
        <v>18</v>
      </c>
      <c r="E1848" t="s">
        <v>19</v>
      </c>
      <c r="F1848" t="s">
        <v>54</v>
      </c>
      <c r="G1848" t="s">
        <v>293</v>
      </c>
      <c r="H1848" t="s">
        <v>262</v>
      </c>
      <c r="I1848" t="s">
        <v>5</v>
      </c>
      <c r="J1848" t="s">
        <v>294</v>
      </c>
      <c r="K1848" t="s">
        <v>295</v>
      </c>
      <c r="L1848" t="s">
        <v>265</v>
      </c>
      <c r="M1848">
        <v>48</v>
      </c>
      <c r="N1848" t="b">
        <v>0</v>
      </c>
      <c r="O1848">
        <v>0.62634989200863933</v>
      </c>
      <c r="P1848">
        <v>0.60165975103734437</v>
      </c>
      <c r="Q1848">
        <v>0.65315315315315314</v>
      </c>
      <c r="R1848" t="s">
        <v>60</v>
      </c>
      <c r="S1848" t="s">
        <v>4125</v>
      </c>
      <c r="T1848" t="s">
        <v>4126</v>
      </c>
      <c r="U1848" t="b">
        <v>0</v>
      </c>
      <c r="V1848" t="s">
        <v>63</v>
      </c>
      <c r="W1848">
        <v>59.5</v>
      </c>
    </row>
    <row r="1849" spans="1:23" hidden="1" x14ac:dyDescent="0.3">
      <c r="A1849" t="s">
        <v>4031</v>
      </c>
      <c r="B1849" t="s">
        <v>4032</v>
      </c>
      <c r="C1849" t="s">
        <v>30</v>
      </c>
      <c r="D1849" t="s">
        <v>18</v>
      </c>
      <c r="E1849" t="s">
        <v>19</v>
      </c>
      <c r="F1849" t="s">
        <v>54</v>
      </c>
      <c r="G1849" t="s">
        <v>298</v>
      </c>
      <c r="H1849" t="s">
        <v>262</v>
      </c>
      <c r="I1849" t="s">
        <v>5</v>
      </c>
      <c r="J1849" t="s">
        <v>299</v>
      </c>
      <c r="K1849" t="s">
        <v>300</v>
      </c>
      <c r="L1849" t="s">
        <v>265</v>
      </c>
      <c r="M1849">
        <v>49</v>
      </c>
      <c r="N1849" t="b">
        <v>0</v>
      </c>
      <c r="O1849">
        <v>0.62634989200863933</v>
      </c>
      <c r="P1849">
        <v>0.60165975103734437</v>
      </c>
      <c r="Q1849">
        <v>0.65315315315315314</v>
      </c>
      <c r="R1849" t="s">
        <v>60</v>
      </c>
      <c r="S1849" t="s">
        <v>4127</v>
      </c>
      <c r="T1849" t="s">
        <v>4128</v>
      </c>
      <c r="U1849" t="b">
        <v>0</v>
      </c>
      <c r="V1849" t="s">
        <v>63</v>
      </c>
      <c r="W1849">
        <v>59</v>
      </c>
    </row>
    <row r="1850" spans="1:23" hidden="1" x14ac:dyDescent="0.3">
      <c r="A1850" t="s">
        <v>4031</v>
      </c>
      <c r="B1850" t="s">
        <v>4032</v>
      </c>
      <c r="C1850" t="s">
        <v>30</v>
      </c>
      <c r="D1850" t="s">
        <v>18</v>
      </c>
      <c r="E1850" t="s">
        <v>19</v>
      </c>
      <c r="F1850" t="s">
        <v>54</v>
      </c>
      <c r="G1850" t="s">
        <v>303</v>
      </c>
      <c r="H1850" t="s">
        <v>262</v>
      </c>
      <c r="I1850" t="s">
        <v>5</v>
      </c>
      <c r="J1850" t="s">
        <v>304</v>
      </c>
      <c r="K1850" t="s">
        <v>305</v>
      </c>
      <c r="L1850" t="s">
        <v>265</v>
      </c>
      <c r="M1850">
        <v>50</v>
      </c>
      <c r="N1850" t="b">
        <v>0</v>
      </c>
      <c r="O1850">
        <v>0.62634989200863933</v>
      </c>
      <c r="P1850">
        <v>0.60165975103734437</v>
      </c>
      <c r="Q1850">
        <v>0.65315315315315314</v>
      </c>
      <c r="R1850" t="s">
        <v>60</v>
      </c>
      <c r="S1850" t="s">
        <v>4129</v>
      </c>
      <c r="T1850" t="s">
        <v>4130</v>
      </c>
      <c r="U1850" t="b">
        <v>0</v>
      </c>
      <c r="V1850" t="s">
        <v>63</v>
      </c>
      <c r="W1850">
        <v>59.2</v>
      </c>
    </row>
    <row r="1851" spans="1:23" hidden="1" x14ac:dyDescent="0.3">
      <c r="A1851" t="s">
        <v>4031</v>
      </c>
      <c r="B1851" t="s">
        <v>4032</v>
      </c>
      <c r="C1851" t="s">
        <v>30</v>
      </c>
      <c r="D1851" t="s">
        <v>18</v>
      </c>
      <c r="E1851" t="s">
        <v>19</v>
      </c>
      <c r="F1851" t="s">
        <v>54</v>
      </c>
      <c r="G1851" t="s">
        <v>308</v>
      </c>
      <c r="H1851" t="s">
        <v>262</v>
      </c>
      <c r="I1851" t="s">
        <v>5</v>
      </c>
      <c r="J1851" t="s">
        <v>309</v>
      </c>
      <c r="K1851" t="s">
        <v>310</v>
      </c>
      <c r="L1851" t="s">
        <v>265</v>
      </c>
      <c r="M1851">
        <v>51</v>
      </c>
      <c r="N1851" t="b">
        <v>0</v>
      </c>
      <c r="O1851">
        <v>0.62634989200863933</v>
      </c>
      <c r="P1851">
        <v>0.60165975103734437</v>
      </c>
      <c r="Q1851">
        <v>0.65315315315315314</v>
      </c>
      <c r="R1851" t="s">
        <v>60</v>
      </c>
      <c r="S1851" t="s">
        <v>4131</v>
      </c>
      <c r="T1851" t="s">
        <v>4132</v>
      </c>
      <c r="U1851" t="b">
        <v>0</v>
      </c>
      <c r="V1851" t="s">
        <v>63</v>
      </c>
      <c r="W1851">
        <v>59.5</v>
      </c>
    </row>
    <row r="1852" spans="1:23" hidden="1" x14ac:dyDescent="0.3">
      <c r="A1852" t="s">
        <v>4031</v>
      </c>
      <c r="B1852" t="s">
        <v>4032</v>
      </c>
      <c r="C1852" t="s">
        <v>30</v>
      </c>
      <c r="D1852" t="s">
        <v>18</v>
      </c>
      <c r="E1852" t="s">
        <v>19</v>
      </c>
      <c r="F1852" t="s">
        <v>54</v>
      </c>
      <c r="G1852" t="s">
        <v>313</v>
      </c>
      <c r="H1852" t="s">
        <v>262</v>
      </c>
      <c r="I1852" t="s">
        <v>5</v>
      </c>
      <c r="J1852" t="s">
        <v>314</v>
      </c>
      <c r="K1852" t="s">
        <v>315</v>
      </c>
      <c r="L1852" t="s">
        <v>265</v>
      </c>
      <c r="M1852">
        <v>52</v>
      </c>
      <c r="N1852" t="b">
        <v>0</v>
      </c>
      <c r="O1852">
        <v>0.62634989200863933</v>
      </c>
      <c r="P1852">
        <v>0.60165975103734437</v>
      </c>
      <c r="Q1852">
        <v>0.65315315315315314</v>
      </c>
      <c r="R1852" t="s">
        <v>60</v>
      </c>
      <c r="S1852" t="s">
        <v>4133</v>
      </c>
      <c r="T1852" t="s">
        <v>4134</v>
      </c>
      <c r="U1852" t="b">
        <v>0</v>
      </c>
      <c r="V1852" t="s">
        <v>63</v>
      </c>
      <c r="W1852">
        <v>59.2</v>
      </c>
    </row>
    <row r="1853" spans="1:23" hidden="1" x14ac:dyDescent="0.3">
      <c r="A1853" t="s">
        <v>4031</v>
      </c>
      <c r="B1853" t="s">
        <v>4032</v>
      </c>
      <c r="C1853" t="s">
        <v>30</v>
      </c>
      <c r="D1853" t="s">
        <v>18</v>
      </c>
      <c r="E1853" t="s">
        <v>19</v>
      </c>
      <c r="F1853" t="s">
        <v>54</v>
      </c>
      <c r="G1853" t="s">
        <v>318</v>
      </c>
      <c r="H1853" t="s">
        <v>262</v>
      </c>
      <c r="I1853" t="s">
        <v>5</v>
      </c>
      <c r="J1853" t="s">
        <v>319</v>
      </c>
      <c r="K1853" t="s">
        <v>320</v>
      </c>
      <c r="L1853" t="s">
        <v>265</v>
      </c>
      <c r="M1853">
        <v>53</v>
      </c>
      <c r="N1853" t="b">
        <v>0</v>
      </c>
      <c r="O1853">
        <v>0.62634989200863933</v>
      </c>
      <c r="P1853">
        <v>0.60165975103734437</v>
      </c>
      <c r="Q1853">
        <v>0.65315315315315314</v>
      </c>
      <c r="R1853" t="s">
        <v>60</v>
      </c>
      <c r="S1853" t="s">
        <v>4135</v>
      </c>
      <c r="T1853" t="s">
        <v>4136</v>
      </c>
      <c r="U1853" t="b">
        <v>0</v>
      </c>
      <c r="V1853" t="s">
        <v>63</v>
      </c>
      <c r="W1853">
        <v>58.8</v>
      </c>
    </row>
    <row r="1854" spans="1:23" hidden="1" x14ac:dyDescent="0.3">
      <c r="A1854" t="s">
        <v>4031</v>
      </c>
      <c r="B1854" t="s">
        <v>4032</v>
      </c>
      <c r="C1854" t="s">
        <v>30</v>
      </c>
      <c r="D1854" t="s">
        <v>18</v>
      </c>
      <c r="E1854" t="s">
        <v>19</v>
      </c>
      <c r="F1854" t="s">
        <v>54</v>
      </c>
      <c r="G1854" t="s">
        <v>323</v>
      </c>
      <c r="H1854" t="s">
        <v>262</v>
      </c>
      <c r="I1854" t="s">
        <v>5</v>
      </c>
      <c r="J1854" t="s">
        <v>324</v>
      </c>
      <c r="K1854" t="s">
        <v>325</v>
      </c>
      <c r="L1854" t="s">
        <v>265</v>
      </c>
      <c r="M1854">
        <v>54</v>
      </c>
      <c r="N1854" t="b">
        <v>0</v>
      </c>
      <c r="O1854">
        <v>0.62634989200863933</v>
      </c>
      <c r="P1854">
        <v>0.60165975103734437</v>
      </c>
      <c r="Q1854">
        <v>0.65315315315315314</v>
      </c>
      <c r="R1854" t="s">
        <v>60</v>
      </c>
      <c r="S1854" t="s">
        <v>4137</v>
      </c>
      <c r="T1854" t="s">
        <v>4138</v>
      </c>
      <c r="U1854" t="b">
        <v>0</v>
      </c>
      <c r="V1854" t="s">
        <v>63</v>
      </c>
      <c r="W1854">
        <v>60.3</v>
      </c>
    </row>
    <row r="1855" spans="1:23" hidden="1" x14ac:dyDescent="0.3">
      <c r="A1855" t="s">
        <v>4031</v>
      </c>
      <c r="B1855" t="s">
        <v>4032</v>
      </c>
      <c r="C1855" t="s">
        <v>30</v>
      </c>
      <c r="D1855" t="s">
        <v>18</v>
      </c>
      <c r="E1855" t="s">
        <v>19</v>
      </c>
      <c r="F1855" t="s">
        <v>54</v>
      </c>
      <c r="G1855" t="s">
        <v>328</v>
      </c>
      <c r="H1855" t="s">
        <v>262</v>
      </c>
      <c r="I1855" t="s">
        <v>5</v>
      </c>
      <c r="J1855" t="s">
        <v>329</v>
      </c>
      <c r="K1855" t="s">
        <v>330</v>
      </c>
      <c r="L1855" t="s">
        <v>265</v>
      </c>
      <c r="M1855">
        <v>55</v>
      </c>
      <c r="N1855" t="b">
        <v>0</v>
      </c>
      <c r="O1855">
        <v>0.62634989200863933</v>
      </c>
      <c r="P1855">
        <v>0.60165975103734437</v>
      </c>
      <c r="Q1855">
        <v>0.65315315315315314</v>
      </c>
      <c r="R1855" t="s">
        <v>60</v>
      </c>
      <c r="S1855" t="s">
        <v>4139</v>
      </c>
      <c r="T1855" t="s">
        <v>4140</v>
      </c>
      <c r="U1855" t="b">
        <v>0</v>
      </c>
      <c r="V1855" t="s">
        <v>63</v>
      </c>
      <c r="W1855">
        <v>59.2</v>
      </c>
    </row>
    <row r="1856" spans="1:23" hidden="1" x14ac:dyDescent="0.3">
      <c r="A1856" t="s">
        <v>4031</v>
      </c>
      <c r="B1856" t="s">
        <v>4032</v>
      </c>
      <c r="C1856" t="s">
        <v>30</v>
      </c>
      <c r="D1856" t="s">
        <v>18</v>
      </c>
      <c r="E1856" t="s">
        <v>19</v>
      </c>
      <c r="F1856" t="s">
        <v>54</v>
      </c>
      <c r="G1856" t="s">
        <v>333</v>
      </c>
      <c r="H1856" t="s">
        <v>262</v>
      </c>
      <c r="I1856" t="s">
        <v>5</v>
      </c>
      <c r="J1856" t="s">
        <v>334</v>
      </c>
      <c r="K1856" t="s">
        <v>335</v>
      </c>
      <c r="L1856" t="s">
        <v>265</v>
      </c>
      <c r="M1856">
        <v>56</v>
      </c>
      <c r="N1856" t="b">
        <v>0</v>
      </c>
      <c r="O1856">
        <v>0.62634989200863933</v>
      </c>
      <c r="P1856">
        <v>0.60165975103734437</v>
      </c>
      <c r="Q1856">
        <v>0.65315315315315314</v>
      </c>
      <c r="R1856" t="s">
        <v>60</v>
      </c>
      <c r="S1856" t="s">
        <v>4141</v>
      </c>
      <c r="T1856" t="s">
        <v>4142</v>
      </c>
      <c r="U1856" t="b">
        <v>0</v>
      </c>
      <c r="V1856" t="s">
        <v>63</v>
      </c>
      <c r="W1856">
        <v>58.7</v>
      </c>
    </row>
    <row r="1857" spans="1:23" hidden="1" x14ac:dyDescent="0.3">
      <c r="A1857" t="s">
        <v>4031</v>
      </c>
      <c r="B1857" t="s">
        <v>4032</v>
      </c>
      <c r="C1857" t="s">
        <v>30</v>
      </c>
      <c r="D1857" t="s">
        <v>18</v>
      </c>
      <c r="E1857" t="s">
        <v>19</v>
      </c>
      <c r="F1857" t="s">
        <v>54</v>
      </c>
      <c r="G1857" t="s">
        <v>338</v>
      </c>
      <c r="H1857" t="s">
        <v>262</v>
      </c>
      <c r="I1857" t="s">
        <v>5</v>
      </c>
      <c r="J1857" t="s">
        <v>339</v>
      </c>
      <c r="K1857" t="s">
        <v>340</v>
      </c>
      <c r="L1857" t="s">
        <v>265</v>
      </c>
      <c r="M1857">
        <v>57</v>
      </c>
      <c r="N1857" t="b">
        <v>0</v>
      </c>
      <c r="O1857">
        <v>0.62634989200863933</v>
      </c>
      <c r="P1857">
        <v>0.60165975103734437</v>
      </c>
      <c r="Q1857">
        <v>0.65315315315315314</v>
      </c>
      <c r="R1857" t="s">
        <v>60</v>
      </c>
      <c r="S1857" t="s">
        <v>4143</v>
      </c>
      <c r="T1857" t="s">
        <v>4144</v>
      </c>
      <c r="U1857" t="b">
        <v>0</v>
      </c>
      <c r="V1857" t="s">
        <v>63</v>
      </c>
      <c r="W1857">
        <v>60.4</v>
      </c>
    </row>
    <row r="1858" spans="1:23" hidden="1" x14ac:dyDescent="0.3">
      <c r="A1858" t="s">
        <v>4031</v>
      </c>
      <c r="B1858" t="s">
        <v>4032</v>
      </c>
      <c r="C1858" t="s">
        <v>30</v>
      </c>
      <c r="D1858" t="s">
        <v>18</v>
      </c>
      <c r="E1858" t="s">
        <v>19</v>
      </c>
      <c r="F1858" t="s">
        <v>54</v>
      </c>
      <c r="G1858" t="s">
        <v>343</v>
      </c>
      <c r="H1858" t="s">
        <v>262</v>
      </c>
      <c r="I1858" t="s">
        <v>5</v>
      </c>
      <c r="J1858" t="s">
        <v>344</v>
      </c>
      <c r="K1858" t="s">
        <v>345</v>
      </c>
      <c r="L1858" t="s">
        <v>265</v>
      </c>
      <c r="M1858">
        <v>58</v>
      </c>
      <c r="N1858" t="b">
        <v>0</v>
      </c>
      <c r="O1858">
        <v>0.62634989200863933</v>
      </c>
      <c r="P1858">
        <v>0.60165975103734437</v>
      </c>
      <c r="Q1858">
        <v>0.65315315315315314</v>
      </c>
      <c r="R1858" t="s">
        <v>60</v>
      </c>
      <c r="S1858" t="s">
        <v>4145</v>
      </c>
      <c r="T1858" t="s">
        <v>4146</v>
      </c>
      <c r="U1858" t="b">
        <v>0</v>
      </c>
      <c r="V1858" t="s">
        <v>63</v>
      </c>
      <c r="W1858">
        <v>58.6</v>
      </c>
    </row>
    <row r="1859" spans="1:23" hidden="1" x14ac:dyDescent="0.3">
      <c r="A1859" t="s">
        <v>4031</v>
      </c>
      <c r="B1859" t="s">
        <v>4032</v>
      </c>
      <c r="C1859" t="s">
        <v>30</v>
      </c>
      <c r="D1859" t="s">
        <v>18</v>
      </c>
      <c r="E1859" t="s">
        <v>19</v>
      </c>
      <c r="F1859" t="s">
        <v>54</v>
      </c>
      <c r="G1859" t="s">
        <v>348</v>
      </c>
      <c r="H1859" t="s">
        <v>262</v>
      </c>
      <c r="I1859" t="s">
        <v>5</v>
      </c>
      <c r="J1859" t="s">
        <v>349</v>
      </c>
      <c r="K1859" t="s">
        <v>350</v>
      </c>
      <c r="L1859" t="s">
        <v>265</v>
      </c>
      <c r="M1859">
        <v>59</v>
      </c>
      <c r="N1859" t="b">
        <v>0</v>
      </c>
      <c r="O1859">
        <v>0.62634989200863933</v>
      </c>
      <c r="P1859">
        <v>0.60165975103734437</v>
      </c>
      <c r="Q1859">
        <v>0.65315315315315314</v>
      </c>
      <c r="R1859" t="s">
        <v>60</v>
      </c>
      <c r="S1859" t="s">
        <v>4147</v>
      </c>
      <c r="T1859" t="s">
        <v>4148</v>
      </c>
      <c r="U1859" t="b">
        <v>0</v>
      </c>
      <c r="V1859" t="s">
        <v>63</v>
      </c>
      <c r="W1859">
        <v>59.6</v>
      </c>
    </row>
    <row r="1860" spans="1:23" hidden="1" x14ac:dyDescent="0.3">
      <c r="A1860" t="s">
        <v>4031</v>
      </c>
      <c r="B1860" t="s">
        <v>4032</v>
      </c>
      <c r="C1860" t="s">
        <v>30</v>
      </c>
      <c r="D1860" t="s">
        <v>18</v>
      </c>
      <c r="E1860" t="s">
        <v>19</v>
      </c>
      <c r="F1860" t="s">
        <v>54</v>
      </c>
      <c r="G1860" t="s">
        <v>353</v>
      </c>
      <c r="H1860" t="s">
        <v>262</v>
      </c>
      <c r="I1860" t="s">
        <v>5</v>
      </c>
      <c r="J1860" t="s">
        <v>354</v>
      </c>
      <c r="K1860" t="s">
        <v>355</v>
      </c>
      <c r="L1860" t="s">
        <v>265</v>
      </c>
      <c r="M1860">
        <v>60</v>
      </c>
      <c r="N1860" t="b">
        <v>0</v>
      </c>
      <c r="O1860">
        <v>0.62634989200863933</v>
      </c>
      <c r="P1860">
        <v>0.60165975103734437</v>
      </c>
      <c r="Q1860">
        <v>0.65315315315315314</v>
      </c>
      <c r="R1860" t="s">
        <v>60</v>
      </c>
      <c r="S1860" t="s">
        <v>4149</v>
      </c>
      <c r="T1860" t="s">
        <v>4150</v>
      </c>
      <c r="U1860" t="b">
        <v>0</v>
      </c>
      <c r="V1860" t="s">
        <v>63</v>
      </c>
      <c r="W1860">
        <v>58.9</v>
      </c>
    </row>
    <row r="1861" spans="1:23" hidden="1" x14ac:dyDescent="0.3">
      <c r="A1861" t="s">
        <v>4031</v>
      </c>
      <c r="B1861" t="s">
        <v>4032</v>
      </c>
      <c r="C1861" t="s">
        <v>30</v>
      </c>
      <c r="D1861" t="s">
        <v>18</v>
      </c>
      <c r="E1861" t="s">
        <v>19</v>
      </c>
      <c r="F1861" t="s">
        <v>54</v>
      </c>
      <c r="G1861" t="s">
        <v>358</v>
      </c>
      <c r="H1861" t="s">
        <v>262</v>
      </c>
      <c r="I1861" t="s">
        <v>5</v>
      </c>
      <c r="J1861" t="s">
        <v>359</v>
      </c>
      <c r="K1861" t="s">
        <v>360</v>
      </c>
      <c r="L1861" t="s">
        <v>265</v>
      </c>
      <c r="M1861">
        <v>61</v>
      </c>
      <c r="N1861" t="b">
        <v>0</v>
      </c>
      <c r="O1861">
        <v>0.62634989200863933</v>
      </c>
      <c r="P1861">
        <v>0.60165975103734437</v>
      </c>
      <c r="Q1861">
        <v>0.65315315315315314</v>
      </c>
      <c r="R1861" t="s">
        <v>60</v>
      </c>
      <c r="S1861" t="s">
        <v>4151</v>
      </c>
      <c r="T1861" t="s">
        <v>4152</v>
      </c>
      <c r="U1861" t="b">
        <v>0</v>
      </c>
      <c r="V1861" t="s">
        <v>63</v>
      </c>
      <c r="W1861">
        <v>59.6</v>
      </c>
    </row>
    <row r="1862" spans="1:23" hidden="1" x14ac:dyDescent="0.3">
      <c r="A1862" t="s">
        <v>4031</v>
      </c>
      <c r="B1862" t="s">
        <v>4032</v>
      </c>
      <c r="C1862" t="s">
        <v>30</v>
      </c>
      <c r="D1862" t="s">
        <v>18</v>
      </c>
      <c r="E1862" t="s">
        <v>19</v>
      </c>
      <c r="F1862" t="s">
        <v>363</v>
      </c>
      <c r="G1862" t="s">
        <v>364</v>
      </c>
      <c r="H1862" t="s">
        <v>365</v>
      </c>
      <c r="I1862" t="s">
        <v>13</v>
      </c>
      <c r="J1862" t="s">
        <v>366</v>
      </c>
      <c r="K1862" t="s">
        <v>367</v>
      </c>
      <c r="L1862" t="s">
        <v>368</v>
      </c>
      <c r="M1862">
        <v>42</v>
      </c>
      <c r="N1862" t="b">
        <v>0</v>
      </c>
      <c r="O1862">
        <v>0.79497907949790791</v>
      </c>
      <c r="P1862">
        <v>0.7661290322580645</v>
      </c>
      <c r="Q1862">
        <v>0.82608695652173914</v>
      </c>
      <c r="R1862" t="s">
        <v>60</v>
      </c>
      <c r="S1862" t="s">
        <v>4153</v>
      </c>
      <c r="T1862" t="s">
        <v>4154</v>
      </c>
      <c r="U1862" t="b">
        <v>0</v>
      </c>
      <c r="V1862" t="s">
        <v>63</v>
      </c>
      <c r="W1862">
        <v>205</v>
      </c>
    </row>
    <row r="1863" spans="1:23" hidden="1" x14ac:dyDescent="0.3">
      <c r="A1863" t="s">
        <v>4031</v>
      </c>
      <c r="B1863" t="s">
        <v>4032</v>
      </c>
      <c r="C1863" t="s">
        <v>30</v>
      </c>
      <c r="D1863" t="s">
        <v>18</v>
      </c>
      <c r="E1863" t="s">
        <v>19</v>
      </c>
      <c r="F1863" t="s">
        <v>363</v>
      </c>
      <c r="G1863" t="s">
        <v>371</v>
      </c>
      <c r="H1863" t="s">
        <v>365</v>
      </c>
      <c r="I1863" t="s">
        <v>13</v>
      </c>
      <c r="J1863" t="s">
        <v>372</v>
      </c>
      <c r="K1863" t="s">
        <v>373</v>
      </c>
      <c r="L1863" t="s">
        <v>368</v>
      </c>
      <c r="M1863">
        <v>43</v>
      </c>
      <c r="N1863" t="b">
        <v>0</v>
      </c>
      <c r="O1863">
        <v>0.77473684210526328</v>
      </c>
      <c r="P1863">
        <v>0.75102040816326532</v>
      </c>
      <c r="Q1863">
        <v>0.8</v>
      </c>
      <c r="R1863" t="s">
        <v>60</v>
      </c>
      <c r="S1863" t="s">
        <v>4155</v>
      </c>
      <c r="T1863" t="s">
        <v>4156</v>
      </c>
      <c r="U1863" t="b">
        <v>0</v>
      </c>
      <c r="V1863" t="s">
        <v>63</v>
      </c>
      <c r="W1863">
        <v>203</v>
      </c>
    </row>
    <row r="1864" spans="1:23" hidden="1" x14ac:dyDescent="0.3">
      <c r="A1864" t="s">
        <v>4031</v>
      </c>
      <c r="B1864" t="s">
        <v>4032</v>
      </c>
      <c r="C1864" t="s">
        <v>30</v>
      </c>
      <c r="D1864" t="s">
        <v>18</v>
      </c>
      <c r="E1864" t="s">
        <v>19</v>
      </c>
      <c r="F1864" t="s">
        <v>363</v>
      </c>
      <c r="G1864" t="s">
        <v>376</v>
      </c>
      <c r="H1864" t="s">
        <v>365</v>
      </c>
      <c r="I1864" t="s">
        <v>13</v>
      </c>
      <c r="J1864" t="s">
        <v>377</v>
      </c>
      <c r="K1864" t="s">
        <v>378</v>
      </c>
      <c r="L1864" t="s">
        <v>368</v>
      </c>
      <c r="M1864">
        <v>44</v>
      </c>
      <c r="N1864" t="b">
        <v>0</v>
      </c>
      <c r="O1864">
        <v>0.7777777777777779</v>
      </c>
      <c r="P1864">
        <v>0.73828125</v>
      </c>
      <c r="Q1864">
        <v>0.82173913043478264</v>
      </c>
      <c r="R1864" t="s">
        <v>60</v>
      </c>
      <c r="S1864" t="s">
        <v>4157</v>
      </c>
      <c r="T1864" t="s">
        <v>4158</v>
      </c>
      <c r="U1864" t="b">
        <v>0</v>
      </c>
      <c r="V1864" t="s">
        <v>63</v>
      </c>
      <c r="W1864">
        <v>277.39999999999998</v>
      </c>
    </row>
    <row r="1865" spans="1:23" hidden="1" x14ac:dyDescent="0.3">
      <c r="A1865" t="s">
        <v>4031</v>
      </c>
      <c r="B1865" t="s">
        <v>4032</v>
      </c>
      <c r="C1865" t="s">
        <v>30</v>
      </c>
      <c r="D1865" t="s">
        <v>18</v>
      </c>
      <c r="E1865" t="s">
        <v>19</v>
      </c>
      <c r="F1865" t="s">
        <v>363</v>
      </c>
      <c r="G1865" t="s">
        <v>381</v>
      </c>
      <c r="H1865" t="s">
        <v>365</v>
      </c>
      <c r="I1865" t="s">
        <v>13</v>
      </c>
      <c r="J1865" t="s">
        <v>382</v>
      </c>
      <c r="K1865" t="s">
        <v>383</v>
      </c>
      <c r="L1865" t="s">
        <v>368</v>
      </c>
      <c r="M1865">
        <v>45</v>
      </c>
      <c r="N1865" t="b">
        <v>0</v>
      </c>
      <c r="O1865">
        <v>0.77405857740585771</v>
      </c>
      <c r="P1865">
        <v>0.74596774193548387</v>
      </c>
      <c r="Q1865">
        <v>0.80434782608695654</v>
      </c>
      <c r="R1865" t="s">
        <v>60</v>
      </c>
      <c r="S1865" t="s">
        <v>4159</v>
      </c>
      <c r="T1865" t="s">
        <v>4160</v>
      </c>
      <c r="U1865" t="b">
        <v>0</v>
      </c>
      <c r="V1865" t="s">
        <v>63</v>
      </c>
      <c r="W1865">
        <v>204.7</v>
      </c>
    </row>
    <row r="1866" spans="1:23" hidden="1" x14ac:dyDescent="0.3">
      <c r="A1866" t="s">
        <v>4031</v>
      </c>
      <c r="B1866" t="s">
        <v>4032</v>
      </c>
      <c r="C1866" t="s">
        <v>30</v>
      </c>
      <c r="D1866" t="s">
        <v>18</v>
      </c>
      <c r="E1866" t="s">
        <v>19</v>
      </c>
      <c r="F1866" t="s">
        <v>363</v>
      </c>
      <c r="G1866" t="s">
        <v>386</v>
      </c>
      <c r="H1866" t="s">
        <v>365</v>
      </c>
      <c r="I1866" t="s">
        <v>13</v>
      </c>
      <c r="J1866" t="s">
        <v>387</v>
      </c>
      <c r="K1866" t="s">
        <v>388</v>
      </c>
      <c r="L1866" t="s">
        <v>368</v>
      </c>
      <c r="M1866">
        <v>46</v>
      </c>
      <c r="N1866" t="b">
        <v>0</v>
      </c>
      <c r="O1866">
        <v>0.78586278586278591</v>
      </c>
      <c r="P1866">
        <v>0.75298804780876494</v>
      </c>
      <c r="Q1866">
        <v>0.82173913043478264</v>
      </c>
      <c r="R1866" t="s">
        <v>60</v>
      </c>
      <c r="S1866" t="s">
        <v>4161</v>
      </c>
      <c r="T1866" t="s">
        <v>4162</v>
      </c>
      <c r="U1866" t="b">
        <v>0</v>
      </c>
      <c r="V1866" t="s">
        <v>63</v>
      </c>
      <c r="W1866">
        <v>261.7</v>
      </c>
    </row>
    <row r="1867" spans="1:23" hidden="1" x14ac:dyDescent="0.3">
      <c r="A1867" t="s">
        <v>4031</v>
      </c>
      <c r="B1867" t="s">
        <v>4032</v>
      </c>
      <c r="C1867" t="s">
        <v>30</v>
      </c>
      <c r="D1867" t="s">
        <v>18</v>
      </c>
      <c r="E1867" t="s">
        <v>19</v>
      </c>
      <c r="F1867" t="s">
        <v>363</v>
      </c>
      <c r="G1867" t="s">
        <v>391</v>
      </c>
      <c r="H1867" t="s">
        <v>365</v>
      </c>
      <c r="I1867" t="s">
        <v>13</v>
      </c>
      <c r="J1867" t="s">
        <v>392</v>
      </c>
      <c r="K1867" t="s">
        <v>393</v>
      </c>
      <c r="L1867" t="s">
        <v>368</v>
      </c>
      <c r="M1867">
        <v>47</v>
      </c>
      <c r="N1867" t="b">
        <v>0</v>
      </c>
      <c r="O1867">
        <v>0.77432712215320909</v>
      </c>
      <c r="P1867">
        <v>0.73913043478260865</v>
      </c>
      <c r="Q1867">
        <v>0.81304347826086953</v>
      </c>
      <c r="R1867" t="s">
        <v>60</v>
      </c>
      <c r="S1867" t="s">
        <v>4163</v>
      </c>
      <c r="T1867" t="s">
        <v>4164</v>
      </c>
      <c r="U1867" t="b">
        <v>0</v>
      </c>
      <c r="V1867" t="s">
        <v>63</v>
      </c>
      <c r="W1867">
        <v>247.7</v>
      </c>
    </row>
    <row r="1868" spans="1:23" hidden="1" x14ac:dyDescent="0.3">
      <c r="A1868" t="s">
        <v>4031</v>
      </c>
      <c r="B1868" t="s">
        <v>4032</v>
      </c>
      <c r="C1868" t="s">
        <v>30</v>
      </c>
      <c r="D1868" t="s">
        <v>18</v>
      </c>
      <c r="E1868" t="s">
        <v>19</v>
      </c>
      <c r="F1868" t="s">
        <v>363</v>
      </c>
      <c r="G1868" t="s">
        <v>396</v>
      </c>
      <c r="H1868" t="s">
        <v>365</v>
      </c>
      <c r="I1868" t="s">
        <v>13</v>
      </c>
      <c r="J1868" t="s">
        <v>397</v>
      </c>
      <c r="K1868" t="s">
        <v>398</v>
      </c>
      <c r="L1868" t="s">
        <v>368</v>
      </c>
      <c r="M1868">
        <v>48</v>
      </c>
      <c r="N1868" t="b">
        <v>0</v>
      </c>
      <c r="O1868">
        <v>0.78260869565217395</v>
      </c>
      <c r="P1868">
        <v>0.74703557312252966</v>
      </c>
      <c r="Q1868">
        <v>0.82173913043478264</v>
      </c>
      <c r="R1868" t="s">
        <v>60</v>
      </c>
      <c r="S1868" t="s">
        <v>4165</v>
      </c>
      <c r="T1868" t="s">
        <v>4166</v>
      </c>
      <c r="U1868" t="b">
        <v>0</v>
      </c>
      <c r="V1868" t="s">
        <v>63</v>
      </c>
      <c r="W1868">
        <v>220.9</v>
      </c>
    </row>
    <row r="1869" spans="1:23" hidden="1" x14ac:dyDescent="0.3">
      <c r="A1869" t="s">
        <v>4031</v>
      </c>
      <c r="B1869" t="s">
        <v>4032</v>
      </c>
      <c r="C1869" t="s">
        <v>30</v>
      </c>
      <c r="D1869" t="s">
        <v>18</v>
      </c>
      <c r="E1869" t="s">
        <v>19</v>
      </c>
      <c r="F1869" t="s">
        <v>363</v>
      </c>
      <c r="G1869" t="s">
        <v>401</v>
      </c>
      <c r="H1869" t="s">
        <v>365</v>
      </c>
      <c r="I1869" t="s">
        <v>13</v>
      </c>
      <c r="J1869" t="s">
        <v>402</v>
      </c>
      <c r="K1869" t="s">
        <v>403</v>
      </c>
      <c r="L1869" t="s">
        <v>368</v>
      </c>
      <c r="M1869">
        <v>49</v>
      </c>
      <c r="N1869" t="b">
        <v>0</v>
      </c>
      <c r="O1869">
        <v>0.78556263269639071</v>
      </c>
      <c r="P1869">
        <v>0.76763485477178428</v>
      </c>
      <c r="Q1869">
        <v>0.80434782608695654</v>
      </c>
      <c r="R1869" t="s">
        <v>60</v>
      </c>
      <c r="S1869" t="s">
        <v>4167</v>
      </c>
      <c r="T1869" t="s">
        <v>4168</v>
      </c>
      <c r="U1869" t="b">
        <v>0</v>
      </c>
      <c r="V1869" t="s">
        <v>63</v>
      </c>
      <c r="W1869">
        <v>198.4</v>
      </c>
    </row>
    <row r="1870" spans="1:23" hidden="1" x14ac:dyDescent="0.3">
      <c r="A1870" t="s">
        <v>4031</v>
      </c>
      <c r="B1870" t="s">
        <v>4032</v>
      </c>
      <c r="C1870" t="s">
        <v>30</v>
      </c>
      <c r="D1870" t="s">
        <v>18</v>
      </c>
      <c r="E1870" t="s">
        <v>19</v>
      </c>
      <c r="F1870" t="s">
        <v>363</v>
      </c>
      <c r="G1870" t="s">
        <v>406</v>
      </c>
      <c r="H1870" t="s">
        <v>365</v>
      </c>
      <c r="I1870" t="s">
        <v>13</v>
      </c>
      <c r="J1870" t="s">
        <v>407</v>
      </c>
      <c r="K1870" t="s">
        <v>408</v>
      </c>
      <c r="L1870" t="s">
        <v>368</v>
      </c>
      <c r="M1870">
        <v>50</v>
      </c>
      <c r="N1870" t="b">
        <v>0</v>
      </c>
      <c r="O1870">
        <v>0.78242677824267781</v>
      </c>
      <c r="P1870">
        <v>0.75403225806451613</v>
      </c>
      <c r="Q1870">
        <v>0.81304347826086953</v>
      </c>
      <c r="R1870" t="s">
        <v>60</v>
      </c>
      <c r="S1870" t="s">
        <v>4169</v>
      </c>
      <c r="T1870" t="s">
        <v>4170</v>
      </c>
      <c r="U1870" t="b">
        <v>0</v>
      </c>
      <c r="V1870" t="s">
        <v>63</v>
      </c>
      <c r="W1870">
        <v>196</v>
      </c>
    </row>
    <row r="1871" spans="1:23" hidden="1" x14ac:dyDescent="0.3">
      <c r="A1871" t="s">
        <v>4031</v>
      </c>
      <c r="B1871" t="s">
        <v>4032</v>
      </c>
      <c r="C1871" t="s">
        <v>30</v>
      </c>
      <c r="D1871" t="s">
        <v>18</v>
      </c>
      <c r="E1871" t="s">
        <v>19</v>
      </c>
      <c r="F1871" t="s">
        <v>363</v>
      </c>
      <c r="G1871" t="s">
        <v>411</v>
      </c>
      <c r="H1871" t="s">
        <v>365</v>
      </c>
      <c r="I1871" t="s">
        <v>13</v>
      </c>
      <c r="J1871" t="s">
        <v>412</v>
      </c>
      <c r="K1871" t="s">
        <v>413</v>
      </c>
      <c r="L1871" t="s">
        <v>368</v>
      </c>
      <c r="M1871">
        <v>51</v>
      </c>
      <c r="N1871" t="b">
        <v>0</v>
      </c>
      <c r="O1871">
        <v>0.78224101479915431</v>
      </c>
      <c r="P1871">
        <v>0.76131687242798352</v>
      </c>
      <c r="Q1871">
        <v>0.80434782608695654</v>
      </c>
      <c r="R1871" t="s">
        <v>60</v>
      </c>
      <c r="S1871" t="s">
        <v>4171</v>
      </c>
      <c r="T1871" t="s">
        <v>4172</v>
      </c>
      <c r="U1871" t="b">
        <v>0</v>
      </c>
      <c r="V1871" t="s">
        <v>63</v>
      </c>
      <c r="W1871">
        <v>242.4</v>
      </c>
    </row>
    <row r="1872" spans="1:23" hidden="1" x14ac:dyDescent="0.3">
      <c r="A1872" t="s">
        <v>4031</v>
      </c>
      <c r="B1872" t="s">
        <v>4032</v>
      </c>
      <c r="C1872" t="s">
        <v>30</v>
      </c>
      <c r="D1872" t="s">
        <v>18</v>
      </c>
      <c r="E1872" t="s">
        <v>19</v>
      </c>
      <c r="F1872" t="s">
        <v>363</v>
      </c>
      <c r="G1872" t="s">
        <v>416</v>
      </c>
      <c r="H1872" t="s">
        <v>365</v>
      </c>
      <c r="I1872" t="s">
        <v>13</v>
      </c>
      <c r="J1872" t="s">
        <v>417</v>
      </c>
      <c r="K1872" t="s">
        <v>418</v>
      </c>
      <c r="L1872" t="s">
        <v>368</v>
      </c>
      <c r="M1872">
        <v>52</v>
      </c>
      <c r="N1872" t="b">
        <v>0</v>
      </c>
      <c r="O1872">
        <v>0.77938144329896908</v>
      </c>
      <c r="P1872">
        <v>0.74117647058823533</v>
      </c>
      <c r="Q1872">
        <v>0.82173913043478264</v>
      </c>
      <c r="R1872" t="s">
        <v>60</v>
      </c>
      <c r="S1872" t="s">
        <v>4173</v>
      </c>
      <c r="T1872" t="s">
        <v>4174</v>
      </c>
      <c r="U1872" t="b">
        <v>0</v>
      </c>
      <c r="V1872" t="s">
        <v>63</v>
      </c>
      <c r="W1872">
        <v>241.4</v>
      </c>
    </row>
    <row r="1873" spans="1:23" hidden="1" x14ac:dyDescent="0.3">
      <c r="A1873" t="s">
        <v>4031</v>
      </c>
      <c r="B1873" t="s">
        <v>4032</v>
      </c>
      <c r="C1873" t="s">
        <v>30</v>
      </c>
      <c r="D1873" t="s">
        <v>18</v>
      </c>
      <c r="E1873" t="s">
        <v>19</v>
      </c>
      <c r="F1873" t="s">
        <v>363</v>
      </c>
      <c r="G1873" t="s">
        <v>421</v>
      </c>
      <c r="H1873" t="s">
        <v>365</v>
      </c>
      <c r="I1873" t="s">
        <v>13</v>
      </c>
      <c r="J1873" t="s">
        <v>422</v>
      </c>
      <c r="K1873" t="s">
        <v>423</v>
      </c>
      <c r="L1873" t="s">
        <v>368</v>
      </c>
      <c r="M1873">
        <v>53</v>
      </c>
      <c r="N1873" t="b">
        <v>0</v>
      </c>
      <c r="O1873">
        <v>0.76008492569002117</v>
      </c>
      <c r="P1873">
        <v>0.74273858921161828</v>
      </c>
      <c r="Q1873">
        <v>0.77826086956521734</v>
      </c>
      <c r="R1873" t="s">
        <v>60</v>
      </c>
      <c r="S1873" t="s">
        <v>4175</v>
      </c>
      <c r="T1873" t="s">
        <v>4176</v>
      </c>
      <c r="U1873" t="b">
        <v>0</v>
      </c>
      <c r="V1873" t="s">
        <v>63</v>
      </c>
      <c r="W1873">
        <v>211.3</v>
      </c>
    </row>
    <row r="1874" spans="1:23" hidden="1" x14ac:dyDescent="0.3">
      <c r="A1874" t="s">
        <v>4031</v>
      </c>
      <c r="B1874" t="s">
        <v>4032</v>
      </c>
      <c r="C1874" t="s">
        <v>30</v>
      </c>
      <c r="D1874" t="s">
        <v>18</v>
      </c>
      <c r="E1874" t="s">
        <v>19</v>
      </c>
      <c r="F1874" t="s">
        <v>363</v>
      </c>
      <c r="G1874" t="s">
        <v>426</v>
      </c>
      <c r="H1874" t="s">
        <v>365</v>
      </c>
      <c r="I1874" t="s">
        <v>13</v>
      </c>
      <c r="J1874" t="s">
        <v>427</v>
      </c>
      <c r="K1874" t="s">
        <v>428</v>
      </c>
      <c r="L1874" t="s">
        <v>368</v>
      </c>
      <c r="M1874">
        <v>54</v>
      </c>
      <c r="N1874" t="b">
        <v>0</v>
      </c>
      <c r="O1874">
        <v>0.78586278586278591</v>
      </c>
      <c r="P1874">
        <v>0.75298804780876494</v>
      </c>
      <c r="Q1874">
        <v>0.82173913043478264</v>
      </c>
      <c r="R1874" t="s">
        <v>60</v>
      </c>
      <c r="S1874" t="s">
        <v>4177</v>
      </c>
      <c r="T1874" t="s">
        <v>4178</v>
      </c>
      <c r="U1874" t="b">
        <v>0</v>
      </c>
      <c r="V1874" t="s">
        <v>63</v>
      </c>
      <c r="W1874">
        <v>256.2</v>
      </c>
    </row>
    <row r="1875" spans="1:23" hidden="1" x14ac:dyDescent="0.3">
      <c r="A1875" t="s">
        <v>4031</v>
      </c>
      <c r="B1875" t="s">
        <v>4032</v>
      </c>
      <c r="C1875" t="s">
        <v>30</v>
      </c>
      <c r="D1875" t="s">
        <v>18</v>
      </c>
      <c r="E1875" t="s">
        <v>19</v>
      </c>
      <c r="F1875" t="s">
        <v>363</v>
      </c>
      <c r="G1875" t="s">
        <v>431</v>
      </c>
      <c r="H1875" t="s">
        <v>365</v>
      </c>
      <c r="I1875" t="s">
        <v>13</v>
      </c>
      <c r="J1875" t="s">
        <v>432</v>
      </c>
      <c r="K1875" t="s">
        <v>433</v>
      </c>
      <c r="L1875" t="s">
        <v>368</v>
      </c>
      <c r="M1875">
        <v>55</v>
      </c>
      <c r="N1875" t="b">
        <v>0</v>
      </c>
      <c r="O1875">
        <v>0.7873684210526315</v>
      </c>
      <c r="P1875">
        <v>0.76326530612244903</v>
      </c>
      <c r="Q1875">
        <v>0.81304347826086953</v>
      </c>
      <c r="R1875" t="s">
        <v>60</v>
      </c>
      <c r="S1875" t="s">
        <v>4179</v>
      </c>
      <c r="T1875" t="s">
        <v>4180</v>
      </c>
      <c r="U1875" t="b">
        <v>0</v>
      </c>
      <c r="V1875" t="s">
        <v>63</v>
      </c>
      <c r="W1875">
        <v>214.8</v>
      </c>
    </row>
    <row r="1876" spans="1:23" hidden="1" x14ac:dyDescent="0.3">
      <c r="A1876" t="s">
        <v>4031</v>
      </c>
      <c r="B1876" t="s">
        <v>4032</v>
      </c>
      <c r="C1876" t="s">
        <v>30</v>
      </c>
      <c r="D1876" t="s">
        <v>18</v>
      </c>
      <c r="E1876" t="s">
        <v>19</v>
      </c>
      <c r="F1876" t="s">
        <v>363</v>
      </c>
      <c r="G1876" t="s">
        <v>436</v>
      </c>
      <c r="H1876" t="s">
        <v>365</v>
      </c>
      <c r="I1876" t="s">
        <v>13</v>
      </c>
      <c r="J1876" t="s">
        <v>437</v>
      </c>
      <c r="K1876" t="s">
        <v>438</v>
      </c>
      <c r="L1876" t="s">
        <v>368</v>
      </c>
      <c r="M1876">
        <v>56</v>
      </c>
      <c r="N1876" t="b">
        <v>0</v>
      </c>
      <c r="O1876">
        <v>0.78661087866108792</v>
      </c>
      <c r="P1876">
        <v>0.75806451612903225</v>
      </c>
      <c r="Q1876">
        <v>0.81739130434782614</v>
      </c>
      <c r="R1876" t="s">
        <v>60</v>
      </c>
      <c r="S1876" t="s">
        <v>4181</v>
      </c>
      <c r="T1876" t="s">
        <v>4182</v>
      </c>
      <c r="U1876" t="b">
        <v>0</v>
      </c>
      <c r="V1876" t="s">
        <v>63</v>
      </c>
      <c r="W1876">
        <v>272.60000000000002</v>
      </c>
    </row>
    <row r="1877" spans="1:23" hidden="1" x14ac:dyDescent="0.3">
      <c r="A1877" t="s">
        <v>4031</v>
      </c>
      <c r="B1877" t="s">
        <v>4032</v>
      </c>
      <c r="C1877" t="s">
        <v>30</v>
      </c>
      <c r="D1877" t="s">
        <v>18</v>
      </c>
      <c r="E1877" t="s">
        <v>19</v>
      </c>
      <c r="F1877" t="s">
        <v>363</v>
      </c>
      <c r="G1877" t="s">
        <v>441</v>
      </c>
      <c r="H1877" t="s">
        <v>365</v>
      </c>
      <c r="I1877" t="s">
        <v>13</v>
      </c>
      <c r="J1877" t="s">
        <v>442</v>
      </c>
      <c r="K1877" t="s">
        <v>443</v>
      </c>
      <c r="L1877" t="s">
        <v>368</v>
      </c>
      <c r="M1877">
        <v>57</v>
      </c>
      <c r="N1877" t="b">
        <v>0</v>
      </c>
      <c r="O1877">
        <v>0.78406708595387842</v>
      </c>
      <c r="P1877">
        <v>0.75708502024291502</v>
      </c>
      <c r="Q1877">
        <v>0.81304347826086953</v>
      </c>
      <c r="R1877" t="s">
        <v>60</v>
      </c>
      <c r="S1877" t="s">
        <v>4183</v>
      </c>
      <c r="T1877" t="s">
        <v>4184</v>
      </c>
      <c r="U1877" t="b">
        <v>0</v>
      </c>
      <c r="V1877" t="s">
        <v>63</v>
      </c>
      <c r="W1877">
        <v>256.60000000000002</v>
      </c>
    </row>
    <row r="1878" spans="1:23" hidden="1" x14ac:dyDescent="0.3">
      <c r="A1878" t="s">
        <v>4031</v>
      </c>
      <c r="B1878" t="s">
        <v>4032</v>
      </c>
      <c r="C1878" t="s">
        <v>30</v>
      </c>
      <c r="D1878" t="s">
        <v>18</v>
      </c>
      <c r="E1878" t="s">
        <v>19</v>
      </c>
      <c r="F1878" t="s">
        <v>363</v>
      </c>
      <c r="G1878" t="s">
        <v>446</v>
      </c>
      <c r="H1878" t="s">
        <v>365</v>
      </c>
      <c r="I1878" t="s">
        <v>13</v>
      </c>
      <c r="J1878" t="s">
        <v>447</v>
      </c>
      <c r="K1878" t="s">
        <v>448</v>
      </c>
      <c r="L1878" t="s">
        <v>368</v>
      </c>
      <c r="M1878">
        <v>58</v>
      </c>
      <c r="N1878" t="b">
        <v>0</v>
      </c>
      <c r="O1878">
        <v>0.7899159663865547</v>
      </c>
      <c r="P1878">
        <v>0.76422764227642281</v>
      </c>
      <c r="Q1878">
        <v>0.81739130434782614</v>
      </c>
      <c r="R1878" t="s">
        <v>60</v>
      </c>
      <c r="S1878" t="s">
        <v>4185</v>
      </c>
      <c r="T1878" t="s">
        <v>4186</v>
      </c>
      <c r="U1878" t="b">
        <v>0</v>
      </c>
      <c r="V1878" t="s">
        <v>63</v>
      </c>
      <c r="W1878">
        <v>271.89999999999998</v>
      </c>
    </row>
    <row r="1879" spans="1:23" hidden="1" x14ac:dyDescent="0.3">
      <c r="A1879" t="s">
        <v>4031</v>
      </c>
      <c r="B1879" t="s">
        <v>4032</v>
      </c>
      <c r="C1879" t="s">
        <v>30</v>
      </c>
      <c r="D1879" t="s">
        <v>18</v>
      </c>
      <c r="E1879" t="s">
        <v>19</v>
      </c>
      <c r="F1879" t="s">
        <v>363</v>
      </c>
      <c r="G1879" t="s">
        <v>451</v>
      </c>
      <c r="H1879" t="s">
        <v>365</v>
      </c>
      <c r="I1879" t="s">
        <v>13</v>
      </c>
      <c r="J1879" t="s">
        <v>452</v>
      </c>
      <c r="K1879" t="s">
        <v>453</v>
      </c>
      <c r="L1879" t="s">
        <v>368</v>
      </c>
      <c r="M1879">
        <v>59</v>
      </c>
      <c r="N1879" t="b">
        <v>0</v>
      </c>
      <c r="O1879">
        <v>0.76826722338204589</v>
      </c>
      <c r="P1879">
        <v>0.73895582329317266</v>
      </c>
      <c r="Q1879">
        <v>0.8</v>
      </c>
      <c r="R1879" t="s">
        <v>60</v>
      </c>
      <c r="S1879" t="s">
        <v>4187</v>
      </c>
      <c r="T1879" t="s">
        <v>4188</v>
      </c>
      <c r="U1879" t="b">
        <v>0</v>
      </c>
      <c r="V1879" t="s">
        <v>63</v>
      </c>
      <c r="W1879">
        <v>279.5</v>
      </c>
    </row>
    <row r="1880" spans="1:23" hidden="1" x14ac:dyDescent="0.3">
      <c r="A1880" t="s">
        <v>4031</v>
      </c>
      <c r="B1880" t="s">
        <v>4032</v>
      </c>
      <c r="C1880" t="s">
        <v>30</v>
      </c>
      <c r="D1880" t="s">
        <v>18</v>
      </c>
      <c r="E1880" t="s">
        <v>19</v>
      </c>
      <c r="F1880" t="s">
        <v>363</v>
      </c>
      <c r="G1880" t="s">
        <v>456</v>
      </c>
      <c r="H1880" t="s">
        <v>365</v>
      </c>
      <c r="I1880" t="s">
        <v>13</v>
      </c>
      <c r="J1880" t="s">
        <v>457</v>
      </c>
      <c r="K1880" t="s">
        <v>458</v>
      </c>
      <c r="L1880" t="s">
        <v>368</v>
      </c>
      <c r="M1880">
        <v>60</v>
      </c>
      <c r="N1880" t="b">
        <v>0</v>
      </c>
      <c r="O1880">
        <v>0.78556263269639071</v>
      </c>
      <c r="P1880">
        <v>0.76763485477178428</v>
      </c>
      <c r="Q1880">
        <v>0.80434782608695654</v>
      </c>
      <c r="R1880" t="s">
        <v>60</v>
      </c>
      <c r="S1880" t="s">
        <v>4189</v>
      </c>
      <c r="T1880" t="s">
        <v>4190</v>
      </c>
      <c r="U1880" t="b">
        <v>0</v>
      </c>
      <c r="V1880" t="s">
        <v>63</v>
      </c>
      <c r="W1880">
        <v>232.6</v>
      </c>
    </row>
    <row r="1881" spans="1:23" hidden="1" x14ac:dyDescent="0.3">
      <c r="A1881" t="s">
        <v>4031</v>
      </c>
      <c r="B1881" t="s">
        <v>4032</v>
      </c>
      <c r="C1881" t="s">
        <v>30</v>
      </c>
      <c r="D1881" t="s">
        <v>18</v>
      </c>
      <c r="E1881" t="s">
        <v>19</v>
      </c>
      <c r="F1881" t="s">
        <v>363</v>
      </c>
      <c r="G1881" t="s">
        <v>461</v>
      </c>
      <c r="H1881" t="s">
        <v>365</v>
      </c>
      <c r="I1881" t="s">
        <v>13</v>
      </c>
      <c r="J1881" t="s">
        <v>462</v>
      </c>
      <c r="K1881" t="s">
        <v>463</v>
      </c>
      <c r="L1881" t="s">
        <v>368</v>
      </c>
      <c r="M1881">
        <v>61</v>
      </c>
      <c r="N1881" t="b">
        <v>0</v>
      </c>
      <c r="O1881">
        <v>0.78028747433264889</v>
      </c>
      <c r="P1881">
        <v>0.73929961089494167</v>
      </c>
      <c r="Q1881">
        <v>0.82608695652173914</v>
      </c>
      <c r="R1881" t="s">
        <v>60</v>
      </c>
      <c r="S1881" t="s">
        <v>4191</v>
      </c>
      <c r="T1881" t="s">
        <v>4192</v>
      </c>
      <c r="U1881" t="b">
        <v>0</v>
      </c>
      <c r="V1881" t="s">
        <v>63</v>
      </c>
      <c r="W1881">
        <v>216.1</v>
      </c>
    </row>
    <row r="1882" spans="1:23" hidden="1" x14ac:dyDescent="0.3">
      <c r="A1882" t="s">
        <v>4031</v>
      </c>
      <c r="B1882" t="s">
        <v>4032</v>
      </c>
      <c r="C1882" t="s">
        <v>30</v>
      </c>
      <c r="D1882" t="s">
        <v>18</v>
      </c>
      <c r="E1882" t="s">
        <v>19</v>
      </c>
      <c r="F1882" t="s">
        <v>363</v>
      </c>
      <c r="G1882" t="s">
        <v>466</v>
      </c>
      <c r="H1882" t="s">
        <v>467</v>
      </c>
      <c r="I1882" t="s">
        <v>9</v>
      </c>
      <c r="J1882" t="s">
        <v>468</v>
      </c>
      <c r="K1882" t="s">
        <v>469</v>
      </c>
      <c r="L1882" t="s">
        <v>470</v>
      </c>
      <c r="M1882">
        <v>42</v>
      </c>
      <c r="N1882" t="b">
        <v>0</v>
      </c>
      <c r="O1882">
        <v>0.79019073569482301</v>
      </c>
      <c r="P1882">
        <v>0.73232323232323238</v>
      </c>
      <c r="Q1882">
        <v>0.85798816568047342</v>
      </c>
      <c r="R1882" t="s">
        <v>60</v>
      </c>
      <c r="S1882" t="s">
        <v>4193</v>
      </c>
      <c r="T1882" t="s">
        <v>4194</v>
      </c>
      <c r="U1882" t="b">
        <v>0</v>
      </c>
      <c r="V1882" t="s">
        <v>63</v>
      </c>
      <c r="W1882">
        <v>229.7</v>
      </c>
    </row>
    <row r="1883" spans="1:23" hidden="1" x14ac:dyDescent="0.3">
      <c r="A1883" t="s">
        <v>4031</v>
      </c>
      <c r="B1883" t="s">
        <v>4032</v>
      </c>
      <c r="C1883" t="s">
        <v>30</v>
      </c>
      <c r="D1883" t="s">
        <v>18</v>
      </c>
      <c r="E1883" t="s">
        <v>19</v>
      </c>
      <c r="F1883" t="s">
        <v>363</v>
      </c>
      <c r="G1883" t="s">
        <v>473</v>
      </c>
      <c r="H1883" t="s">
        <v>467</v>
      </c>
      <c r="I1883" t="s">
        <v>9</v>
      </c>
      <c r="J1883" t="s">
        <v>474</v>
      </c>
      <c r="K1883" t="s">
        <v>475</v>
      </c>
      <c r="L1883" t="s">
        <v>470</v>
      </c>
      <c r="M1883">
        <v>43</v>
      </c>
      <c r="N1883" t="b">
        <v>0</v>
      </c>
      <c r="O1883">
        <v>0.80779944289693595</v>
      </c>
      <c r="P1883">
        <v>0.76315789473684215</v>
      </c>
      <c r="Q1883">
        <v>0.85798816568047342</v>
      </c>
      <c r="R1883" t="s">
        <v>60</v>
      </c>
      <c r="S1883" t="s">
        <v>4195</v>
      </c>
      <c r="T1883" t="s">
        <v>4196</v>
      </c>
      <c r="U1883" t="b">
        <v>0</v>
      </c>
      <c r="V1883" t="s">
        <v>63</v>
      </c>
      <c r="W1883">
        <v>273.8</v>
      </c>
    </row>
    <row r="1884" spans="1:23" hidden="1" x14ac:dyDescent="0.3">
      <c r="A1884" t="s">
        <v>4031</v>
      </c>
      <c r="B1884" t="s">
        <v>4032</v>
      </c>
      <c r="C1884" t="s">
        <v>30</v>
      </c>
      <c r="D1884" t="s">
        <v>18</v>
      </c>
      <c r="E1884" t="s">
        <v>19</v>
      </c>
      <c r="F1884" t="s">
        <v>363</v>
      </c>
      <c r="G1884" t="s">
        <v>478</v>
      </c>
      <c r="H1884" t="s">
        <v>467</v>
      </c>
      <c r="I1884" t="s">
        <v>9</v>
      </c>
      <c r="J1884" t="s">
        <v>479</v>
      </c>
      <c r="K1884" t="s">
        <v>480</v>
      </c>
      <c r="L1884" t="s">
        <v>470</v>
      </c>
      <c r="M1884">
        <v>44</v>
      </c>
      <c r="N1884" t="b">
        <v>0</v>
      </c>
      <c r="O1884">
        <v>0.80332409972299168</v>
      </c>
      <c r="P1884">
        <v>0.75520833333333337</v>
      </c>
      <c r="Q1884">
        <v>0.85798816568047342</v>
      </c>
      <c r="R1884" t="s">
        <v>60</v>
      </c>
      <c r="S1884" t="s">
        <v>4197</v>
      </c>
      <c r="T1884" t="s">
        <v>4198</v>
      </c>
      <c r="U1884" t="b">
        <v>0</v>
      </c>
      <c r="V1884" t="s">
        <v>63</v>
      </c>
      <c r="W1884">
        <v>184.9</v>
      </c>
    </row>
    <row r="1885" spans="1:23" hidden="1" x14ac:dyDescent="0.3">
      <c r="A1885" t="s">
        <v>4031</v>
      </c>
      <c r="B1885" t="s">
        <v>4032</v>
      </c>
      <c r="C1885" t="s">
        <v>30</v>
      </c>
      <c r="D1885" t="s">
        <v>18</v>
      </c>
      <c r="E1885" t="s">
        <v>19</v>
      </c>
      <c r="F1885" t="s">
        <v>363</v>
      </c>
      <c r="G1885" t="s">
        <v>483</v>
      </c>
      <c r="H1885" t="s">
        <v>467</v>
      </c>
      <c r="I1885" t="s">
        <v>9</v>
      </c>
      <c r="J1885" t="s">
        <v>484</v>
      </c>
      <c r="K1885" t="s">
        <v>485</v>
      </c>
      <c r="L1885" t="s">
        <v>470</v>
      </c>
      <c r="M1885">
        <v>45</v>
      </c>
      <c r="N1885" t="b">
        <v>0</v>
      </c>
      <c r="O1885">
        <v>0.79558011049723765</v>
      </c>
      <c r="P1885">
        <v>0.74611398963730569</v>
      </c>
      <c r="Q1885">
        <v>0.85207100591715978</v>
      </c>
      <c r="R1885" t="s">
        <v>60</v>
      </c>
      <c r="S1885" t="s">
        <v>4199</v>
      </c>
      <c r="T1885" t="s">
        <v>4200</v>
      </c>
      <c r="U1885" t="b">
        <v>0</v>
      </c>
      <c r="V1885" t="s">
        <v>63</v>
      </c>
      <c r="W1885">
        <v>216.1</v>
      </c>
    </row>
    <row r="1886" spans="1:23" hidden="1" x14ac:dyDescent="0.3">
      <c r="A1886" t="s">
        <v>4031</v>
      </c>
      <c r="B1886" t="s">
        <v>4032</v>
      </c>
      <c r="C1886" t="s">
        <v>30</v>
      </c>
      <c r="D1886" t="s">
        <v>18</v>
      </c>
      <c r="E1886" t="s">
        <v>19</v>
      </c>
      <c r="F1886" t="s">
        <v>363</v>
      </c>
      <c r="G1886" t="s">
        <v>488</v>
      </c>
      <c r="H1886" t="s">
        <v>467</v>
      </c>
      <c r="I1886" t="s">
        <v>9</v>
      </c>
      <c r="J1886" t="s">
        <v>489</v>
      </c>
      <c r="K1886" t="s">
        <v>490</v>
      </c>
      <c r="L1886" t="s">
        <v>470</v>
      </c>
      <c r="M1886">
        <v>46</v>
      </c>
      <c r="N1886" t="b">
        <v>0</v>
      </c>
      <c r="O1886">
        <v>0.81019830028328621</v>
      </c>
      <c r="P1886">
        <v>0.77717391304347827</v>
      </c>
      <c r="Q1886">
        <v>0.84615384615384615</v>
      </c>
      <c r="R1886" t="s">
        <v>60</v>
      </c>
      <c r="S1886" t="s">
        <v>4201</v>
      </c>
      <c r="T1886" t="s">
        <v>4202</v>
      </c>
      <c r="U1886" t="b">
        <v>0</v>
      </c>
      <c r="V1886" t="s">
        <v>63</v>
      </c>
      <c r="W1886">
        <v>264.89999999999998</v>
      </c>
    </row>
    <row r="1887" spans="1:23" hidden="1" x14ac:dyDescent="0.3">
      <c r="A1887" t="s">
        <v>4031</v>
      </c>
      <c r="B1887" t="s">
        <v>4032</v>
      </c>
      <c r="C1887" t="s">
        <v>30</v>
      </c>
      <c r="D1887" t="s">
        <v>18</v>
      </c>
      <c r="E1887" t="s">
        <v>19</v>
      </c>
      <c r="F1887" t="s">
        <v>363</v>
      </c>
      <c r="G1887" t="s">
        <v>493</v>
      </c>
      <c r="H1887" t="s">
        <v>467</v>
      </c>
      <c r="I1887" t="s">
        <v>9</v>
      </c>
      <c r="J1887" t="s">
        <v>494</v>
      </c>
      <c r="K1887" t="s">
        <v>495</v>
      </c>
      <c r="L1887" t="s">
        <v>470</v>
      </c>
      <c r="M1887">
        <v>47</v>
      </c>
      <c r="N1887" t="b">
        <v>0</v>
      </c>
      <c r="O1887">
        <v>0.8089887640449438</v>
      </c>
      <c r="P1887">
        <v>0.77005347593582885</v>
      </c>
      <c r="Q1887">
        <v>0.85207100591715978</v>
      </c>
      <c r="R1887" t="s">
        <v>60</v>
      </c>
      <c r="S1887" t="s">
        <v>4203</v>
      </c>
      <c r="T1887" t="s">
        <v>4204</v>
      </c>
      <c r="U1887" t="b">
        <v>0</v>
      </c>
      <c r="V1887" t="s">
        <v>63</v>
      </c>
      <c r="W1887">
        <v>226.4</v>
      </c>
    </row>
    <row r="1888" spans="1:23" hidden="1" x14ac:dyDescent="0.3">
      <c r="A1888" t="s">
        <v>4031</v>
      </c>
      <c r="B1888" t="s">
        <v>4032</v>
      </c>
      <c r="C1888" t="s">
        <v>30</v>
      </c>
      <c r="D1888" t="s">
        <v>18</v>
      </c>
      <c r="E1888" t="s">
        <v>19</v>
      </c>
      <c r="F1888" t="s">
        <v>363</v>
      </c>
      <c r="G1888" t="s">
        <v>498</v>
      </c>
      <c r="H1888" t="s">
        <v>467</v>
      </c>
      <c r="I1888" t="s">
        <v>9</v>
      </c>
      <c r="J1888" t="s">
        <v>499</v>
      </c>
      <c r="K1888" t="s">
        <v>500</v>
      </c>
      <c r="L1888" t="s">
        <v>470</v>
      </c>
      <c r="M1888">
        <v>48</v>
      </c>
      <c r="N1888" t="b">
        <v>0</v>
      </c>
      <c r="O1888">
        <v>0.80991735537190079</v>
      </c>
      <c r="P1888">
        <v>0.75773195876288657</v>
      </c>
      <c r="Q1888">
        <v>0.86982248520710059</v>
      </c>
      <c r="R1888" t="s">
        <v>60</v>
      </c>
      <c r="S1888" t="s">
        <v>4205</v>
      </c>
      <c r="T1888" t="s">
        <v>4206</v>
      </c>
      <c r="U1888" t="b">
        <v>0</v>
      </c>
      <c r="V1888" t="s">
        <v>63</v>
      </c>
      <c r="W1888">
        <v>211.8</v>
      </c>
    </row>
    <row r="1889" spans="1:23" hidden="1" x14ac:dyDescent="0.3">
      <c r="A1889" t="s">
        <v>4031</v>
      </c>
      <c r="B1889" t="s">
        <v>4032</v>
      </c>
      <c r="C1889" t="s">
        <v>30</v>
      </c>
      <c r="D1889" t="s">
        <v>18</v>
      </c>
      <c r="E1889" t="s">
        <v>19</v>
      </c>
      <c r="F1889" t="s">
        <v>363</v>
      </c>
      <c r="G1889" t="s">
        <v>503</v>
      </c>
      <c r="H1889" t="s">
        <v>467</v>
      </c>
      <c r="I1889" t="s">
        <v>9</v>
      </c>
      <c r="J1889" t="s">
        <v>504</v>
      </c>
      <c r="K1889" t="s">
        <v>505</v>
      </c>
      <c r="L1889" t="s">
        <v>470</v>
      </c>
      <c r="M1889">
        <v>49</v>
      </c>
      <c r="N1889" t="b">
        <v>0</v>
      </c>
      <c r="O1889">
        <v>0.81111111111111112</v>
      </c>
      <c r="P1889">
        <v>0.76439790575916233</v>
      </c>
      <c r="Q1889">
        <v>0.86390532544378695</v>
      </c>
      <c r="R1889" t="s">
        <v>60</v>
      </c>
      <c r="S1889" t="s">
        <v>4207</v>
      </c>
      <c r="T1889" t="s">
        <v>4208</v>
      </c>
      <c r="U1889" t="b">
        <v>0</v>
      </c>
      <c r="V1889" t="s">
        <v>63</v>
      </c>
      <c r="W1889">
        <v>196.6</v>
      </c>
    </row>
    <row r="1890" spans="1:23" hidden="1" x14ac:dyDescent="0.3">
      <c r="A1890" t="s">
        <v>4031</v>
      </c>
      <c r="B1890" t="s">
        <v>4032</v>
      </c>
      <c r="C1890" t="s">
        <v>30</v>
      </c>
      <c r="D1890" t="s">
        <v>18</v>
      </c>
      <c r="E1890" t="s">
        <v>19</v>
      </c>
      <c r="F1890" t="s">
        <v>363</v>
      </c>
      <c r="G1890" t="s">
        <v>508</v>
      </c>
      <c r="H1890" t="s">
        <v>467</v>
      </c>
      <c r="I1890" t="s">
        <v>9</v>
      </c>
      <c r="J1890" t="s">
        <v>509</v>
      </c>
      <c r="K1890" t="s">
        <v>510</v>
      </c>
      <c r="L1890" t="s">
        <v>470</v>
      </c>
      <c r="M1890">
        <v>50</v>
      </c>
      <c r="N1890" t="b">
        <v>0</v>
      </c>
      <c r="O1890">
        <v>0.82022471910112349</v>
      </c>
      <c r="P1890">
        <v>0.78074866310160429</v>
      </c>
      <c r="Q1890">
        <v>0.86390532544378695</v>
      </c>
      <c r="R1890" t="s">
        <v>60</v>
      </c>
      <c r="S1890" t="s">
        <v>4209</v>
      </c>
      <c r="T1890" t="s">
        <v>4210</v>
      </c>
      <c r="U1890" t="b">
        <v>0</v>
      </c>
      <c r="V1890" t="s">
        <v>63</v>
      </c>
      <c r="W1890">
        <v>196.1</v>
      </c>
    </row>
    <row r="1891" spans="1:23" hidden="1" x14ac:dyDescent="0.3">
      <c r="A1891" t="s">
        <v>4031</v>
      </c>
      <c r="B1891" t="s">
        <v>4032</v>
      </c>
      <c r="C1891" t="s">
        <v>30</v>
      </c>
      <c r="D1891" t="s">
        <v>18</v>
      </c>
      <c r="E1891" t="s">
        <v>19</v>
      </c>
      <c r="F1891" t="s">
        <v>363</v>
      </c>
      <c r="G1891" t="s">
        <v>513</v>
      </c>
      <c r="H1891" t="s">
        <v>467</v>
      </c>
      <c r="I1891" t="s">
        <v>9</v>
      </c>
      <c r="J1891" t="s">
        <v>514</v>
      </c>
      <c r="K1891" t="s">
        <v>515</v>
      </c>
      <c r="L1891" t="s">
        <v>470</v>
      </c>
      <c r="M1891">
        <v>51</v>
      </c>
      <c r="N1891" t="b">
        <v>0</v>
      </c>
      <c r="O1891">
        <v>0.82122905027932958</v>
      </c>
      <c r="P1891">
        <v>0.77777777777777779</v>
      </c>
      <c r="Q1891">
        <v>0.86982248520710059</v>
      </c>
      <c r="R1891" t="s">
        <v>60</v>
      </c>
      <c r="S1891" t="s">
        <v>4211</v>
      </c>
      <c r="T1891" t="s">
        <v>4212</v>
      </c>
      <c r="U1891" t="b">
        <v>0</v>
      </c>
      <c r="V1891" t="s">
        <v>63</v>
      </c>
      <c r="W1891">
        <v>241.7</v>
      </c>
    </row>
    <row r="1892" spans="1:23" hidden="1" x14ac:dyDescent="0.3">
      <c r="A1892" t="s">
        <v>4031</v>
      </c>
      <c r="B1892" t="s">
        <v>4032</v>
      </c>
      <c r="C1892" t="s">
        <v>30</v>
      </c>
      <c r="D1892" t="s">
        <v>18</v>
      </c>
      <c r="E1892" t="s">
        <v>19</v>
      </c>
      <c r="F1892" t="s">
        <v>363</v>
      </c>
      <c r="G1892" t="s">
        <v>518</v>
      </c>
      <c r="H1892" t="s">
        <v>467</v>
      </c>
      <c r="I1892" t="s">
        <v>9</v>
      </c>
      <c r="J1892" t="s">
        <v>519</v>
      </c>
      <c r="K1892" t="s">
        <v>520</v>
      </c>
      <c r="L1892" t="s">
        <v>470</v>
      </c>
      <c r="M1892">
        <v>52</v>
      </c>
      <c r="N1892" t="b">
        <v>0</v>
      </c>
      <c r="O1892">
        <v>0.82451253481894149</v>
      </c>
      <c r="P1892">
        <v>0.77894736842105261</v>
      </c>
      <c r="Q1892">
        <v>0.87573964497041423</v>
      </c>
      <c r="R1892" t="s">
        <v>60</v>
      </c>
      <c r="S1892" t="s">
        <v>4213</v>
      </c>
      <c r="T1892" t="s">
        <v>4214</v>
      </c>
      <c r="U1892" t="b">
        <v>0</v>
      </c>
      <c r="V1892" t="s">
        <v>63</v>
      </c>
      <c r="W1892">
        <v>211.7</v>
      </c>
    </row>
    <row r="1893" spans="1:23" hidden="1" x14ac:dyDescent="0.3">
      <c r="A1893" t="s">
        <v>4031</v>
      </c>
      <c r="B1893" t="s">
        <v>4032</v>
      </c>
      <c r="C1893" t="s">
        <v>30</v>
      </c>
      <c r="D1893" t="s">
        <v>18</v>
      </c>
      <c r="E1893" t="s">
        <v>19</v>
      </c>
      <c r="F1893" t="s">
        <v>363</v>
      </c>
      <c r="G1893" t="s">
        <v>523</v>
      </c>
      <c r="H1893" t="s">
        <v>467</v>
      </c>
      <c r="I1893" t="s">
        <v>9</v>
      </c>
      <c r="J1893" t="s">
        <v>524</v>
      </c>
      <c r="K1893" t="s">
        <v>525</v>
      </c>
      <c r="L1893" t="s">
        <v>470</v>
      </c>
      <c r="M1893">
        <v>53</v>
      </c>
      <c r="N1893" t="b">
        <v>0</v>
      </c>
      <c r="O1893">
        <v>0.82872928176795579</v>
      </c>
      <c r="P1893">
        <v>0.77720207253886009</v>
      </c>
      <c r="Q1893">
        <v>0.8875739644970414</v>
      </c>
      <c r="R1893" t="s">
        <v>60</v>
      </c>
      <c r="S1893" t="s">
        <v>4215</v>
      </c>
      <c r="T1893" t="s">
        <v>4216</v>
      </c>
      <c r="U1893" t="b">
        <v>0</v>
      </c>
      <c r="V1893" t="s">
        <v>63</v>
      </c>
      <c r="W1893">
        <v>255.9</v>
      </c>
    </row>
    <row r="1894" spans="1:23" hidden="1" x14ac:dyDescent="0.3">
      <c r="A1894" t="s">
        <v>4031</v>
      </c>
      <c r="B1894" t="s">
        <v>4032</v>
      </c>
      <c r="C1894" t="s">
        <v>30</v>
      </c>
      <c r="D1894" t="s">
        <v>18</v>
      </c>
      <c r="E1894" t="s">
        <v>19</v>
      </c>
      <c r="F1894" t="s">
        <v>363</v>
      </c>
      <c r="G1894" t="s">
        <v>528</v>
      </c>
      <c r="H1894" t="s">
        <v>467</v>
      </c>
      <c r="I1894" t="s">
        <v>9</v>
      </c>
      <c r="J1894" t="s">
        <v>529</v>
      </c>
      <c r="K1894" t="s">
        <v>530</v>
      </c>
      <c r="L1894" t="s">
        <v>470</v>
      </c>
      <c r="M1894">
        <v>54</v>
      </c>
      <c r="N1894" t="b">
        <v>0</v>
      </c>
      <c r="O1894">
        <v>0.82681564245810057</v>
      </c>
      <c r="P1894">
        <v>0.78306878306878303</v>
      </c>
      <c r="Q1894">
        <v>0.87573964497041423</v>
      </c>
      <c r="R1894" t="s">
        <v>60</v>
      </c>
      <c r="S1894" t="s">
        <v>4217</v>
      </c>
      <c r="T1894" t="s">
        <v>4218</v>
      </c>
      <c r="U1894" t="b">
        <v>0</v>
      </c>
      <c r="V1894" t="s">
        <v>63</v>
      </c>
      <c r="W1894">
        <v>210.6</v>
      </c>
    </row>
    <row r="1895" spans="1:23" hidden="1" x14ac:dyDescent="0.3">
      <c r="A1895" t="s">
        <v>4031</v>
      </c>
      <c r="B1895" t="s">
        <v>4032</v>
      </c>
      <c r="C1895" t="s">
        <v>30</v>
      </c>
      <c r="D1895" t="s">
        <v>18</v>
      </c>
      <c r="E1895" t="s">
        <v>19</v>
      </c>
      <c r="F1895" t="s">
        <v>363</v>
      </c>
      <c r="G1895" t="s">
        <v>533</v>
      </c>
      <c r="H1895" t="s">
        <v>467</v>
      </c>
      <c r="I1895" t="s">
        <v>9</v>
      </c>
      <c r="J1895" t="s">
        <v>534</v>
      </c>
      <c r="K1895" t="s">
        <v>535</v>
      </c>
      <c r="L1895" t="s">
        <v>470</v>
      </c>
      <c r="M1895">
        <v>55</v>
      </c>
      <c r="N1895" t="b">
        <v>0</v>
      </c>
      <c r="O1895">
        <v>0.82719546742209626</v>
      </c>
      <c r="P1895">
        <v>0.79347826086956519</v>
      </c>
      <c r="Q1895">
        <v>0.86390532544378695</v>
      </c>
      <c r="R1895" t="s">
        <v>60</v>
      </c>
      <c r="S1895" t="s">
        <v>4219</v>
      </c>
      <c r="T1895" t="s">
        <v>4220</v>
      </c>
      <c r="U1895" t="b">
        <v>0</v>
      </c>
      <c r="V1895" t="s">
        <v>63</v>
      </c>
      <c r="W1895">
        <v>256.7</v>
      </c>
    </row>
    <row r="1896" spans="1:23" hidden="1" x14ac:dyDescent="0.3">
      <c r="A1896" t="s">
        <v>4031</v>
      </c>
      <c r="B1896" t="s">
        <v>4032</v>
      </c>
      <c r="C1896" t="s">
        <v>30</v>
      </c>
      <c r="D1896" t="s">
        <v>18</v>
      </c>
      <c r="E1896" t="s">
        <v>19</v>
      </c>
      <c r="F1896" t="s">
        <v>363</v>
      </c>
      <c r="G1896" t="s">
        <v>538</v>
      </c>
      <c r="H1896" t="s">
        <v>467</v>
      </c>
      <c r="I1896" t="s">
        <v>9</v>
      </c>
      <c r="J1896" t="s">
        <v>539</v>
      </c>
      <c r="K1896" t="s">
        <v>540</v>
      </c>
      <c r="L1896" t="s">
        <v>470</v>
      </c>
      <c r="M1896">
        <v>56</v>
      </c>
      <c r="N1896" t="b">
        <v>0</v>
      </c>
      <c r="O1896">
        <v>0.8100558659217878</v>
      </c>
      <c r="P1896">
        <v>0.76719576719576721</v>
      </c>
      <c r="Q1896">
        <v>0.85798816568047342</v>
      </c>
      <c r="R1896" t="s">
        <v>60</v>
      </c>
      <c r="S1896" t="s">
        <v>4221</v>
      </c>
      <c r="T1896" t="s">
        <v>4222</v>
      </c>
      <c r="U1896" t="b">
        <v>0</v>
      </c>
      <c r="V1896" t="s">
        <v>63</v>
      </c>
      <c r="W1896">
        <v>211.3</v>
      </c>
    </row>
    <row r="1897" spans="1:23" hidden="1" x14ac:dyDescent="0.3">
      <c r="A1897" t="s">
        <v>4031</v>
      </c>
      <c r="B1897" t="s">
        <v>4032</v>
      </c>
      <c r="C1897" t="s">
        <v>30</v>
      </c>
      <c r="D1897" t="s">
        <v>18</v>
      </c>
      <c r="E1897" t="s">
        <v>19</v>
      </c>
      <c r="F1897" t="s">
        <v>363</v>
      </c>
      <c r="G1897" t="s">
        <v>543</v>
      </c>
      <c r="H1897" t="s">
        <v>467</v>
      </c>
      <c r="I1897" t="s">
        <v>9</v>
      </c>
      <c r="J1897" t="s">
        <v>544</v>
      </c>
      <c r="K1897" t="s">
        <v>545</v>
      </c>
      <c r="L1897" t="s">
        <v>470</v>
      </c>
      <c r="M1897">
        <v>57</v>
      </c>
      <c r="N1897" t="b">
        <v>0</v>
      </c>
      <c r="O1897">
        <v>0.80108991825613074</v>
      </c>
      <c r="P1897">
        <v>0.74242424242424243</v>
      </c>
      <c r="Q1897">
        <v>0.86982248520710059</v>
      </c>
      <c r="R1897" t="s">
        <v>60</v>
      </c>
      <c r="S1897" t="s">
        <v>4223</v>
      </c>
      <c r="T1897" t="s">
        <v>4224</v>
      </c>
      <c r="U1897" t="b">
        <v>0</v>
      </c>
      <c r="V1897" t="s">
        <v>63</v>
      </c>
      <c r="W1897">
        <v>270.60000000000002</v>
      </c>
    </row>
    <row r="1898" spans="1:23" hidden="1" x14ac:dyDescent="0.3">
      <c r="A1898" t="s">
        <v>4031</v>
      </c>
      <c r="B1898" t="s">
        <v>4032</v>
      </c>
      <c r="C1898" t="s">
        <v>30</v>
      </c>
      <c r="D1898" t="s">
        <v>18</v>
      </c>
      <c r="E1898" t="s">
        <v>19</v>
      </c>
      <c r="F1898" t="s">
        <v>363</v>
      </c>
      <c r="G1898" t="s">
        <v>548</v>
      </c>
      <c r="H1898" t="s">
        <v>467</v>
      </c>
      <c r="I1898" t="s">
        <v>9</v>
      </c>
      <c r="J1898" t="s">
        <v>549</v>
      </c>
      <c r="K1898" t="s">
        <v>550</v>
      </c>
      <c r="L1898" t="s">
        <v>470</v>
      </c>
      <c r="M1898">
        <v>58</v>
      </c>
      <c r="N1898" t="b">
        <v>0</v>
      </c>
      <c r="O1898">
        <v>0.81994459833795008</v>
      </c>
      <c r="P1898">
        <v>0.77083333333333337</v>
      </c>
      <c r="Q1898">
        <v>0.87573964497041423</v>
      </c>
      <c r="R1898" t="s">
        <v>60</v>
      </c>
      <c r="S1898" t="s">
        <v>4225</v>
      </c>
      <c r="T1898" t="s">
        <v>4226</v>
      </c>
      <c r="U1898" t="b">
        <v>0</v>
      </c>
      <c r="V1898" t="s">
        <v>63</v>
      </c>
      <c r="W1898">
        <v>196.8</v>
      </c>
    </row>
    <row r="1899" spans="1:23" hidden="1" x14ac:dyDescent="0.3">
      <c r="A1899" t="s">
        <v>4031</v>
      </c>
      <c r="B1899" t="s">
        <v>4032</v>
      </c>
      <c r="C1899" t="s">
        <v>30</v>
      </c>
      <c r="D1899" t="s">
        <v>18</v>
      </c>
      <c r="E1899" t="s">
        <v>19</v>
      </c>
      <c r="F1899" t="s">
        <v>363</v>
      </c>
      <c r="G1899" t="s">
        <v>553</v>
      </c>
      <c r="H1899" t="s">
        <v>467</v>
      </c>
      <c r="I1899" t="s">
        <v>9</v>
      </c>
      <c r="J1899" t="s">
        <v>554</v>
      </c>
      <c r="K1899" t="s">
        <v>555</v>
      </c>
      <c r="L1899" t="s">
        <v>470</v>
      </c>
      <c r="M1899">
        <v>59</v>
      </c>
      <c r="N1899" t="b">
        <v>0</v>
      </c>
      <c r="O1899">
        <v>0.81111111111111112</v>
      </c>
      <c r="P1899">
        <v>0.76439790575916233</v>
      </c>
      <c r="Q1899">
        <v>0.86390532544378695</v>
      </c>
      <c r="R1899" t="s">
        <v>60</v>
      </c>
      <c r="S1899" t="s">
        <v>4227</v>
      </c>
      <c r="T1899" t="s">
        <v>4228</v>
      </c>
      <c r="U1899" t="b">
        <v>0</v>
      </c>
      <c r="V1899" t="s">
        <v>63</v>
      </c>
      <c r="W1899">
        <v>228.3</v>
      </c>
    </row>
    <row r="1900" spans="1:23" hidden="1" x14ac:dyDescent="0.3">
      <c r="A1900" t="s">
        <v>4031</v>
      </c>
      <c r="B1900" t="s">
        <v>4032</v>
      </c>
      <c r="C1900" t="s">
        <v>30</v>
      </c>
      <c r="D1900" t="s">
        <v>18</v>
      </c>
      <c r="E1900" t="s">
        <v>19</v>
      </c>
      <c r="F1900" t="s">
        <v>363</v>
      </c>
      <c r="G1900" t="s">
        <v>558</v>
      </c>
      <c r="H1900" t="s">
        <v>467</v>
      </c>
      <c r="I1900" t="s">
        <v>9</v>
      </c>
      <c r="J1900" t="s">
        <v>559</v>
      </c>
      <c r="K1900" t="s">
        <v>560</v>
      </c>
      <c r="L1900" t="s">
        <v>470</v>
      </c>
      <c r="M1900">
        <v>60</v>
      </c>
      <c r="N1900" t="b">
        <v>0</v>
      </c>
      <c r="O1900">
        <v>0.81666666666666665</v>
      </c>
      <c r="P1900">
        <v>0.76963350785340312</v>
      </c>
      <c r="Q1900">
        <v>0.86982248520710059</v>
      </c>
      <c r="R1900" t="s">
        <v>60</v>
      </c>
      <c r="S1900" t="s">
        <v>4229</v>
      </c>
      <c r="T1900" t="s">
        <v>4230</v>
      </c>
      <c r="U1900" t="b">
        <v>0</v>
      </c>
      <c r="V1900" t="s">
        <v>63</v>
      </c>
      <c r="W1900">
        <v>211.9</v>
      </c>
    </row>
    <row r="1901" spans="1:23" hidden="1" x14ac:dyDescent="0.3">
      <c r="A1901" t="s">
        <v>4031</v>
      </c>
      <c r="B1901" t="s">
        <v>4032</v>
      </c>
      <c r="C1901" t="s">
        <v>30</v>
      </c>
      <c r="D1901" t="s">
        <v>18</v>
      </c>
      <c r="E1901" t="s">
        <v>19</v>
      </c>
      <c r="F1901" t="s">
        <v>363</v>
      </c>
      <c r="G1901" t="s">
        <v>563</v>
      </c>
      <c r="H1901" t="s">
        <v>467</v>
      </c>
      <c r="I1901" t="s">
        <v>9</v>
      </c>
      <c r="J1901" t="s">
        <v>564</v>
      </c>
      <c r="K1901" t="s">
        <v>565</v>
      </c>
      <c r="L1901" t="s">
        <v>470</v>
      </c>
      <c r="M1901">
        <v>61</v>
      </c>
      <c r="N1901" t="b">
        <v>0</v>
      </c>
      <c r="O1901">
        <v>0.81111111111111112</v>
      </c>
      <c r="P1901">
        <v>0.76439790575916233</v>
      </c>
      <c r="Q1901">
        <v>0.86390532544378695</v>
      </c>
      <c r="R1901" t="s">
        <v>60</v>
      </c>
      <c r="S1901" t="s">
        <v>4231</v>
      </c>
      <c r="T1901" t="s">
        <v>4232</v>
      </c>
      <c r="U1901" t="b">
        <v>0</v>
      </c>
      <c r="V1901" t="s">
        <v>63</v>
      </c>
      <c r="W1901">
        <v>226.7</v>
      </c>
    </row>
    <row r="1902" spans="1:23" hidden="1" x14ac:dyDescent="0.3">
      <c r="A1902" t="s">
        <v>4031</v>
      </c>
      <c r="B1902" t="s">
        <v>4032</v>
      </c>
      <c r="C1902" t="s">
        <v>30</v>
      </c>
      <c r="D1902" t="s">
        <v>18</v>
      </c>
      <c r="E1902" t="s">
        <v>19</v>
      </c>
      <c r="F1902" t="s">
        <v>363</v>
      </c>
      <c r="G1902" t="s">
        <v>568</v>
      </c>
      <c r="H1902" t="s">
        <v>569</v>
      </c>
      <c r="I1902" t="s">
        <v>11</v>
      </c>
      <c r="J1902" t="s">
        <v>570</v>
      </c>
      <c r="K1902" t="s">
        <v>571</v>
      </c>
      <c r="L1902" t="s">
        <v>572</v>
      </c>
      <c r="M1902">
        <v>42</v>
      </c>
      <c r="N1902" t="b">
        <v>0</v>
      </c>
      <c r="O1902">
        <v>0.82637362637362632</v>
      </c>
      <c r="P1902">
        <v>0.80686695278969955</v>
      </c>
      <c r="Q1902">
        <v>0.84684684684684686</v>
      </c>
      <c r="R1902" t="s">
        <v>60</v>
      </c>
      <c r="S1902" t="s">
        <v>4233</v>
      </c>
      <c r="T1902" t="s">
        <v>4234</v>
      </c>
      <c r="U1902" t="b">
        <v>0</v>
      </c>
      <c r="V1902" t="s">
        <v>63</v>
      </c>
      <c r="W1902">
        <v>264.39999999999998</v>
      </c>
    </row>
    <row r="1903" spans="1:23" hidden="1" x14ac:dyDescent="0.3">
      <c r="A1903" t="s">
        <v>4031</v>
      </c>
      <c r="B1903" t="s">
        <v>4032</v>
      </c>
      <c r="C1903" t="s">
        <v>30</v>
      </c>
      <c r="D1903" t="s">
        <v>18</v>
      </c>
      <c r="E1903" t="s">
        <v>19</v>
      </c>
      <c r="F1903" t="s">
        <v>363</v>
      </c>
      <c r="G1903" t="s">
        <v>575</v>
      </c>
      <c r="H1903" t="s">
        <v>569</v>
      </c>
      <c r="I1903" t="s">
        <v>11</v>
      </c>
      <c r="J1903" t="s">
        <v>576</v>
      </c>
      <c r="K1903" t="s">
        <v>577</v>
      </c>
      <c r="L1903" t="s">
        <v>572</v>
      </c>
      <c r="M1903">
        <v>43</v>
      </c>
      <c r="N1903" t="b">
        <v>0</v>
      </c>
      <c r="O1903">
        <v>0.83443708609271516</v>
      </c>
      <c r="P1903">
        <v>0.81818181818181823</v>
      </c>
      <c r="Q1903">
        <v>0.85135135135135132</v>
      </c>
      <c r="R1903" t="s">
        <v>60</v>
      </c>
      <c r="S1903" t="s">
        <v>4235</v>
      </c>
      <c r="T1903" t="s">
        <v>4236</v>
      </c>
      <c r="U1903" t="b">
        <v>0</v>
      </c>
      <c r="V1903" t="s">
        <v>63</v>
      </c>
      <c r="W1903">
        <v>209.5</v>
      </c>
    </row>
    <row r="1904" spans="1:23" hidden="1" x14ac:dyDescent="0.3">
      <c r="A1904" t="s">
        <v>4031</v>
      </c>
      <c r="B1904" t="s">
        <v>4032</v>
      </c>
      <c r="C1904" t="s">
        <v>30</v>
      </c>
      <c r="D1904" t="s">
        <v>18</v>
      </c>
      <c r="E1904" t="s">
        <v>19</v>
      </c>
      <c r="F1904" t="s">
        <v>363</v>
      </c>
      <c r="G1904" t="s">
        <v>580</v>
      </c>
      <c r="H1904" t="s">
        <v>569</v>
      </c>
      <c r="I1904" t="s">
        <v>11</v>
      </c>
      <c r="J1904" t="s">
        <v>581</v>
      </c>
      <c r="K1904" t="s">
        <v>582</v>
      </c>
      <c r="L1904" t="s">
        <v>572</v>
      </c>
      <c r="M1904">
        <v>44</v>
      </c>
      <c r="N1904" t="b">
        <v>0</v>
      </c>
      <c r="O1904">
        <v>0.8325991189427312</v>
      </c>
      <c r="P1904">
        <v>0.81465517241379315</v>
      </c>
      <c r="Q1904">
        <v>0.85135135135135132</v>
      </c>
      <c r="R1904" t="s">
        <v>60</v>
      </c>
      <c r="S1904" t="s">
        <v>4237</v>
      </c>
      <c r="T1904" t="s">
        <v>4238</v>
      </c>
      <c r="U1904" t="b">
        <v>0</v>
      </c>
      <c r="V1904" t="s">
        <v>63</v>
      </c>
      <c r="W1904">
        <v>223.7</v>
      </c>
    </row>
    <row r="1905" spans="1:23" hidden="1" x14ac:dyDescent="0.3">
      <c r="A1905" t="s">
        <v>4031</v>
      </c>
      <c r="B1905" t="s">
        <v>4032</v>
      </c>
      <c r="C1905" t="s">
        <v>30</v>
      </c>
      <c r="D1905" t="s">
        <v>18</v>
      </c>
      <c r="E1905" t="s">
        <v>19</v>
      </c>
      <c r="F1905" t="s">
        <v>363</v>
      </c>
      <c r="G1905" t="s">
        <v>585</v>
      </c>
      <c r="H1905" t="s">
        <v>569</v>
      </c>
      <c r="I1905" t="s">
        <v>11</v>
      </c>
      <c r="J1905" t="s">
        <v>586</v>
      </c>
      <c r="K1905" t="s">
        <v>587</v>
      </c>
      <c r="L1905" t="s">
        <v>572</v>
      </c>
      <c r="M1905">
        <v>45</v>
      </c>
      <c r="N1905" t="b">
        <v>0</v>
      </c>
      <c r="O1905">
        <v>0.81938325991189431</v>
      </c>
      <c r="P1905">
        <v>0.80172413793103448</v>
      </c>
      <c r="Q1905">
        <v>0.83783783783783783</v>
      </c>
      <c r="R1905" t="s">
        <v>60</v>
      </c>
      <c r="S1905" t="s">
        <v>4239</v>
      </c>
      <c r="T1905" t="s">
        <v>4240</v>
      </c>
      <c r="U1905" t="b">
        <v>0</v>
      </c>
      <c r="V1905" t="s">
        <v>63</v>
      </c>
      <c r="W1905">
        <v>266.5</v>
      </c>
    </row>
    <row r="1906" spans="1:23" hidden="1" x14ac:dyDescent="0.3">
      <c r="A1906" t="s">
        <v>4031</v>
      </c>
      <c r="B1906" t="s">
        <v>4032</v>
      </c>
      <c r="C1906" t="s">
        <v>30</v>
      </c>
      <c r="D1906" t="s">
        <v>18</v>
      </c>
      <c r="E1906" t="s">
        <v>19</v>
      </c>
      <c r="F1906" t="s">
        <v>363</v>
      </c>
      <c r="G1906" t="s">
        <v>590</v>
      </c>
      <c r="H1906" t="s">
        <v>569</v>
      </c>
      <c r="I1906" t="s">
        <v>11</v>
      </c>
      <c r="J1906" t="s">
        <v>591</v>
      </c>
      <c r="K1906" t="s">
        <v>592</v>
      </c>
      <c r="L1906" t="s">
        <v>572</v>
      </c>
      <c r="M1906">
        <v>46</v>
      </c>
      <c r="N1906" t="b">
        <v>0</v>
      </c>
      <c r="O1906">
        <v>0.82894736842105265</v>
      </c>
      <c r="P1906">
        <v>0.80769230769230771</v>
      </c>
      <c r="Q1906">
        <v>0.85135135135135132</v>
      </c>
      <c r="R1906" t="s">
        <v>60</v>
      </c>
      <c r="S1906" t="s">
        <v>4241</v>
      </c>
      <c r="T1906" t="s">
        <v>4242</v>
      </c>
      <c r="U1906" t="b">
        <v>0</v>
      </c>
      <c r="V1906" t="s">
        <v>63</v>
      </c>
      <c r="W1906">
        <v>234.8</v>
      </c>
    </row>
    <row r="1907" spans="1:23" hidden="1" x14ac:dyDescent="0.3">
      <c r="A1907" t="s">
        <v>4031</v>
      </c>
      <c r="B1907" t="s">
        <v>4032</v>
      </c>
      <c r="C1907" t="s">
        <v>30</v>
      </c>
      <c r="D1907" t="s">
        <v>18</v>
      </c>
      <c r="E1907" t="s">
        <v>19</v>
      </c>
      <c r="F1907" t="s">
        <v>363</v>
      </c>
      <c r="G1907" t="s">
        <v>595</v>
      </c>
      <c r="H1907" t="s">
        <v>569</v>
      </c>
      <c r="I1907" t="s">
        <v>11</v>
      </c>
      <c r="J1907" t="s">
        <v>596</v>
      </c>
      <c r="K1907" t="s">
        <v>597</v>
      </c>
      <c r="L1907" t="s">
        <v>572</v>
      </c>
      <c r="M1907">
        <v>47</v>
      </c>
      <c r="N1907" t="b">
        <v>0</v>
      </c>
      <c r="O1907">
        <v>0.8325991189427312</v>
      </c>
      <c r="P1907">
        <v>0.81465517241379315</v>
      </c>
      <c r="Q1907">
        <v>0.85135135135135132</v>
      </c>
      <c r="R1907" t="s">
        <v>60</v>
      </c>
      <c r="S1907" t="s">
        <v>4243</v>
      </c>
      <c r="T1907" t="s">
        <v>4244</v>
      </c>
      <c r="U1907" t="b">
        <v>0</v>
      </c>
      <c r="V1907" t="s">
        <v>63</v>
      </c>
      <c r="W1907">
        <v>223.8</v>
      </c>
    </row>
    <row r="1908" spans="1:23" hidden="1" x14ac:dyDescent="0.3">
      <c r="A1908" t="s">
        <v>4031</v>
      </c>
      <c r="B1908" t="s">
        <v>4032</v>
      </c>
      <c r="C1908" t="s">
        <v>30</v>
      </c>
      <c r="D1908" t="s">
        <v>18</v>
      </c>
      <c r="E1908" t="s">
        <v>19</v>
      </c>
      <c r="F1908" t="s">
        <v>363</v>
      </c>
      <c r="G1908" t="s">
        <v>600</v>
      </c>
      <c r="H1908" t="s">
        <v>569</v>
      </c>
      <c r="I1908" t="s">
        <v>11</v>
      </c>
      <c r="J1908" t="s">
        <v>601</v>
      </c>
      <c r="K1908" t="s">
        <v>602</v>
      </c>
      <c r="L1908" t="s">
        <v>572</v>
      </c>
      <c r="M1908">
        <v>48</v>
      </c>
      <c r="N1908" t="b">
        <v>0</v>
      </c>
      <c r="O1908">
        <v>0.82637362637362632</v>
      </c>
      <c r="P1908">
        <v>0.80686695278969955</v>
      </c>
      <c r="Q1908">
        <v>0.84684684684684686</v>
      </c>
      <c r="R1908" t="s">
        <v>60</v>
      </c>
      <c r="S1908" t="s">
        <v>4245</v>
      </c>
      <c r="T1908" t="s">
        <v>4246</v>
      </c>
      <c r="U1908" t="b">
        <v>0</v>
      </c>
      <c r="V1908" t="s">
        <v>63</v>
      </c>
      <c r="W1908">
        <v>263.89999999999998</v>
      </c>
    </row>
    <row r="1909" spans="1:23" hidden="1" x14ac:dyDescent="0.3">
      <c r="A1909" t="s">
        <v>4031</v>
      </c>
      <c r="B1909" t="s">
        <v>4032</v>
      </c>
      <c r="C1909" t="s">
        <v>30</v>
      </c>
      <c r="D1909" t="s">
        <v>18</v>
      </c>
      <c r="E1909" t="s">
        <v>19</v>
      </c>
      <c r="F1909" t="s">
        <v>363</v>
      </c>
      <c r="G1909" t="s">
        <v>605</v>
      </c>
      <c r="H1909" t="s">
        <v>569</v>
      </c>
      <c r="I1909" t="s">
        <v>11</v>
      </c>
      <c r="J1909" t="s">
        <v>606</v>
      </c>
      <c r="K1909" t="s">
        <v>607</v>
      </c>
      <c r="L1909" t="s">
        <v>572</v>
      </c>
      <c r="M1909">
        <v>49</v>
      </c>
      <c r="N1909" t="b">
        <v>0</v>
      </c>
      <c r="O1909">
        <v>0.82819383259911894</v>
      </c>
      <c r="P1909">
        <v>0.81034482758620685</v>
      </c>
      <c r="Q1909">
        <v>0.84684684684684686</v>
      </c>
      <c r="R1909" t="s">
        <v>60</v>
      </c>
      <c r="S1909" t="s">
        <v>4247</v>
      </c>
      <c r="T1909" t="s">
        <v>4248</v>
      </c>
      <c r="U1909" t="b">
        <v>0</v>
      </c>
      <c r="V1909" t="s">
        <v>63</v>
      </c>
      <c r="W1909">
        <v>251.6</v>
      </c>
    </row>
    <row r="1910" spans="1:23" hidden="1" x14ac:dyDescent="0.3">
      <c r="A1910" t="s">
        <v>4031</v>
      </c>
      <c r="B1910" t="s">
        <v>4032</v>
      </c>
      <c r="C1910" t="s">
        <v>30</v>
      </c>
      <c r="D1910" t="s">
        <v>18</v>
      </c>
      <c r="E1910" t="s">
        <v>19</v>
      </c>
      <c r="F1910" t="s">
        <v>363</v>
      </c>
      <c r="G1910" t="s">
        <v>610</v>
      </c>
      <c r="H1910" t="s">
        <v>569</v>
      </c>
      <c r="I1910" t="s">
        <v>11</v>
      </c>
      <c r="J1910" t="s">
        <v>611</v>
      </c>
      <c r="K1910" t="s">
        <v>612</v>
      </c>
      <c r="L1910" t="s">
        <v>572</v>
      </c>
      <c r="M1910">
        <v>50</v>
      </c>
      <c r="N1910" t="b">
        <v>0</v>
      </c>
      <c r="O1910">
        <v>0.84116331096196872</v>
      </c>
      <c r="P1910">
        <v>0.83555555555555561</v>
      </c>
      <c r="Q1910">
        <v>0.84684684684684686</v>
      </c>
      <c r="R1910" t="s">
        <v>60</v>
      </c>
      <c r="S1910" t="s">
        <v>4249</v>
      </c>
      <c r="T1910" t="s">
        <v>4250</v>
      </c>
      <c r="U1910" t="b">
        <v>0</v>
      </c>
      <c r="V1910" t="s">
        <v>63</v>
      </c>
      <c r="W1910">
        <v>235.6</v>
      </c>
    </row>
    <row r="1911" spans="1:23" hidden="1" x14ac:dyDescent="0.3">
      <c r="A1911" t="s">
        <v>4031</v>
      </c>
      <c r="B1911" t="s">
        <v>4032</v>
      </c>
      <c r="C1911" t="s">
        <v>30</v>
      </c>
      <c r="D1911" t="s">
        <v>18</v>
      </c>
      <c r="E1911" t="s">
        <v>19</v>
      </c>
      <c r="F1911" t="s">
        <v>363</v>
      </c>
      <c r="G1911" t="s">
        <v>615</v>
      </c>
      <c r="H1911" t="s">
        <v>569</v>
      </c>
      <c r="I1911" t="s">
        <v>11</v>
      </c>
      <c r="J1911" t="s">
        <v>616</v>
      </c>
      <c r="K1911" t="s">
        <v>617</v>
      </c>
      <c r="L1911" t="s">
        <v>572</v>
      </c>
      <c r="M1911">
        <v>51</v>
      </c>
      <c r="N1911" t="b">
        <v>0</v>
      </c>
      <c r="O1911">
        <v>0.83700440528634368</v>
      </c>
      <c r="P1911">
        <v>0.81896551724137934</v>
      </c>
      <c r="Q1911">
        <v>0.85585585585585588</v>
      </c>
      <c r="R1911" t="s">
        <v>60</v>
      </c>
      <c r="S1911" t="s">
        <v>4251</v>
      </c>
      <c r="T1911" t="s">
        <v>4252</v>
      </c>
      <c r="U1911" t="b">
        <v>0</v>
      </c>
      <c r="V1911" t="s">
        <v>63</v>
      </c>
      <c r="W1911">
        <v>209.8</v>
      </c>
    </row>
    <row r="1912" spans="1:23" hidden="1" x14ac:dyDescent="0.3">
      <c r="A1912" t="s">
        <v>4031</v>
      </c>
      <c r="B1912" t="s">
        <v>4032</v>
      </c>
      <c r="C1912" t="s">
        <v>30</v>
      </c>
      <c r="D1912" t="s">
        <v>18</v>
      </c>
      <c r="E1912" t="s">
        <v>19</v>
      </c>
      <c r="F1912" t="s">
        <v>363</v>
      </c>
      <c r="G1912" t="s">
        <v>620</v>
      </c>
      <c r="H1912" t="s">
        <v>569</v>
      </c>
      <c r="I1912" t="s">
        <v>11</v>
      </c>
      <c r="J1912" t="s">
        <v>621</v>
      </c>
      <c r="K1912" t="s">
        <v>622</v>
      </c>
      <c r="L1912" t="s">
        <v>572</v>
      </c>
      <c r="M1912">
        <v>52</v>
      </c>
      <c r="N1912" t="b">
        <v>0</v>
      </c>
      <c r="O1912">
        <v>0.83150984682713347</v>
      </c>
      <c r="P1912">
        <v>0.80851063829787229</v>
      </c>
      <c r="Q1912">
        <v>0.85585585585585588</v>
      </c>
      <c r="R1912" t="s">
        <v>60</v>
      </c>
      <c r="S1912" t="s">
        <v>4253</v>
      </c>
      <c r="T1912" t="s">
        <v>4254</v>
      </c>
      <c r="U1912" t="b">
        <v>0</v>
      </c>
      <c r="V1912" t="s">
        <v>63</v>
      </c>
      <c r="W1912">
        <v>267</v>
      </c>
    </row>
    <row r="1913" spans="1:23" hidden="1" x14ac:dyDescent="0.3">
      <c r="A1913" t="s">
        <v>4031</v>
      </c>
      <c r="B1913" t="s">
        <v>4032</v>
      </c>
      <c r="C1913" t="s">
        <v>30</v>
      </c>
      <c r="D1913" t="s">
        <v>18</v>
      </c>
      <c r="E1913" t="s">
        <v>19</v>
      </c>
      <c r="F1913" t="s">
        <v>363</v>
      </c>
      <c r="G1913" t="s">
        <v>625</v>
      </c>
      <c r="H1913" t="s">
        <v>569</v>
      </c>
      <c r="I1913" t="s">
        <v>11</v>
      </c>
      <c r="J1913" t="s">
        <v>626</v>
      </c>
      <c r="K1913" t="s">
        <v>627</v>
      </c>
      <c r="L1913" t="s">
        <v>572</v>
      </c>
      <c r="M1913">
        <v>53</v>
      </c>
      <c r="N1913" t="b">
        <v>0</v>
      </c>
      <c r="O1913">
        <v>0.84513274336283184</v>
      </c>
      <c r="P1913">
        <v>0.83043478260869563</v>
      </c>
      <c r="Q1913">
        <v>0.86036036036036034</v>
      </c>
      <c r="R1913" t="s">
        <v>60</v>
      </c>
      <c r="S1913" t="s">
        <v>4255</v>
      </c>
      <c r="T1913" t="s">
        <v>4256</v>
      </c>
      <c r="U1913" t="b">
        <v>0</v>
      </c>
      <c r="V1913" t="s">
        <v>63</v>
      </c>
      <c r="W1913">
        <v>237.3</v>
      </c>
    </row>
    <row r="1914" spans="1:23" hidden="1" x14ac:dyDescent="0.3">
      <c r="A1914" t="s">
        <v>4031</v>
      </c>
      <c r="B1914" t="s">
        <v>4032</v>
      </c>
      <c r="C1914" t="s">
        <v>30</v>
      </c>
      <c r="D1914" t="s">
        <v>18</v>
      </c>
      <c r="E1914" t="s">
        <v>19</v>
      </c>
      <c r="F1914" t="s">
        <v>363</v>
      </c>
      <c r="G1914" t="s">
        <v>630</v>
      </c>
      <c r="H1914" t="s">
        <v>569</v>
      </c>
      <c r="I1914" t="s">
        <v>11</v>
      </c>
      <c r="J1914" t="s">
        <v>631</v>
      </c>
      <c r="K1914" t="s">
        <v>632</v>
      </c>
      <c r="L1914" t="s">
        <v>572</v>
      </c>
      <c r="M1914">
        <v>54</v>
      </c>
      <c r="N1914" t="b">
        <v>0</v>
      </c>
      <c r="O1914">
        <v>0.84257206208425717</v>
      </c>
      <c r="P1914">
        <v>0.82969432314410485</v>
      </c>
      <c r="Q1914">
        <v>0.85585585585585588</v>
      </c>
      <c r="R1914" t="s">
        <v>60</v>
      </c>
      <c r="S1914" t="s">
        <v>4257</v>
      </c>
      <c r="T1914" t="s">
        <v>4258</v>
      </c>
      <c r="U1914" t="b">
        <v>0</v>
      </c>
      <c r="V1914" t="s">
        <v>63</v>
      </c>
      <c r="W1914">
        <v>265.10000000000002</v>
      </c>
    </row>
    <row r="1915" spans="1:23" hidden="1" x14ac:dyDescent="0.3">
      <c r="A1915" t="s">
        <v>4031</v>
      </c>
      <c r="B1915" t="s">
        <v>4032</v>
      </c>
      <c r="C1915" t="s">
        <v>30</v>
      </c>
      <c r="D1915" t="s">
        <v>18</v>
      </c>
      <c r="E1915" t="s">
        <v>19</v>
      </c>
      <c r="F1915" t="s">
        <v>363</v>
      </c>
      <c r="G1915" t="s">
        <v>635</v>
      </c>
      <c r="H1915" t="s">
        <v>569</v>
      </c>
      <c r="I1915" t="s">
        <v>11</v>
      </c>
      <c r="J1915" t="s">
        <v>636</v>
      </c>
      <c r="K1915" t="s">
        <v>637</v>
      </c>
      <c r="L1915" t="s">
        <v>572</v>
      </c>
      <c r="M1915">
        <v>55</v>
      </c>
      <c r="N1915" t="b">
        <v>0</v>
      </c>
      <c r="O1915">
        <v>0.83443708609271516</v>
      </c>
      <c r="P1915">
        <v>0.81818181818181823</v>
      </c>
      <c r="Q1915">
        <v>0.85135135135135132</v>
      </c>
      <c r="R1915" t="s">
        <v>60</v>
      </c>
      <c r="S1915" t="s">
        <v>4259</v>
      </c>
      <c r="T1915" t="s">
        <v>4260</v>
      </c>
      <c r="U1915" t="b">
        <v>0</v>
      </c>
      <c r="V1915" t="s">
        <v>63</v>
      </c>
      <c r="W1915">
        <v>236.6</v>
      </c>
    </row>
    <row r="1916" spans="1:23" hidden="1" x14ac:dyDescent="0.3">
      <c r="A1916" t="s">
        <v>4031</v>
      </c>
      <c r="B1916" t="s">
        <v>4032</v>
      </c>
      <c r="C1916" t="s">
        <v>30</v>
      </c>
      <c r="D1916" t="s">
        <v>18</v>
      </c>
      <c r="E1916" t="s">
        <v>19</v>
      </c>
      <c r="F1916" t="s">
        <v>363</v>
      </c>
      <c r="G1916" t="s">
        <v>640</v>
      </c>
      <c r="H1916" t="s">
        <v>569</v>
      </c>
      <c r="I1916" t="s">
        <v>11</v>
      </c>
      <c r="J1916" t="s">
        <v>641</v>
      </c>
      <c r="K1916" t="s">
        <v>642</v>
      </c>
      <c r="L1916" t="s">
        <v>572</v>
      </c>
      <c r="M1916">
        <v>56</v>
      </c>
      <c r="N1916" t="b">
        <v>0</v>
      </c>
      <c r="O1916">
        <v>0.83111111111111113</v>
      </c>
      <c r="P1916">
        <v>0.82017543859649122</v>
      </c>
      <c r="Q1916">
        <v>0.84234234234234229</v>
      </c>
      <c r="R1916" t="s">
        <v>60</v>
      </c>
      <c r="S1916" t="s">
        <v>4261</v>
      </c>
      <c r="T1916" t="s">
        <v>4262</v>
      </c>
      <c r="U1916" t="b">
        <v>0</v>
      </c>
      <c r="V1916" t="s">
        <v>63</v>
      </c>
      <c r="W1916">
        <v>224.6</v>
      </c>
    </row>
    <row r="1917" spans="1:23" hidden="1" x14ac:dyDescent="0.3">
      <c r="A1917" t="s">
        <v>4031</v>
      </c>
      <c r="B1917" t="s">
        <v>4032</v>
      </c>
      <c r="C1917" t="s">
        <v>30</v>
      </c>
      <c r="D1917" t="s">
        <v>18</v>
      </c>
      <c r="E1917" t="s">
        <v>19</v>
      </c>
      <c r="F1917" t="s">
        <v>363</v>
      </c>
      <c r="G1917" t="s">
        <v>645</v>
      </c>
      <c r="H1917" t="s">
        <v>569</v>
      </c>
      <c r="I1917" t="s">
        <v>11</v>
      </c>
      <c r="J1917" t="s">
        <v>646</v>
      </c>
      <c r="K1917" t="s">
        <v>647</v>
      </c>
      <c r="L1917" t="s">
        <v>572</v>
      </c>
      <c r="M1917">
        <v>57</v>
      </c>
      <c r="N1917" t="b">
        <v>0</v>
      </c>
      <c r="O1917">
        <v>0.8318584070796462</v>
      </c>
      <c r="P1917">
        <v>0.81739130434782614</v>
      </c>
      <c r="Q1917">
        <v>0.84684684684684686</v>
      </c>
      <c r="R1917" t="s">
        <v>60</v>
      </c>
      <c r="S1917" t="s">
        <v>4263</v>
      </c>
      <c r="T1917" t="s">
        <v>4264</v>
      </c>
      <c r="U1917" t="b">
        <v>0</v>
      </c>
      <c r="V1917" t="s">
        <v>63</v>
      </c>
      <c r="W1917">
        <v>264.7</v>
      </c>
    </row>
    <row r="1918" spans="1:23" hidden="1" x14ac:dyDescent="0.3">
      <c r="A1918" t="s">
        <v>4031</v>
      </c>
      <c r="B1918" t="s">
        <v>4032</v>
      </c>
      <c r="C1918" t="s">
        <v>30</v>
      </c>
      <c r="D1918" t="s">
        <v>18</v>
      </c>
      <c r="E1918" t="s">
        <v>19</v>
      </c>
      <c r="F1918" t="s">
        <v>363</v>
      </c>
      <c r="G1918" t="s">
        <v>650</v>
      </c>
      <c r="H1918" t="s">
        <v>569</v>
      </c>
      <c r="I1918" t="s">
        <v>11</v>
      </c>
      <c r="J1918" t="s">
        <v>651</v>
      </c>
      <c r="K1918" t="s">
        <v>652</v>
      </c>
      <c r="L1918" t="s">
        <v>572</v>
      </c>
      <c r="M1918">
        <v>58</v>
      </c>
      <c r="N1918" t="b">
        <v>0</v>
      </c>
      <c r="O1918">
        <v>0.84000000000000008</v>
      </c>
      <c r="P1918">
        <v>0.82894736842105265</v>
      </c>
      <c r="Q1918">
        <v>0.85135135135135132</v>
      </c>
      <c r="R1918" t="s">
        <v>60</v>
      </c>
      <c r="S1918" t="s">
        <v>4265</v>
      </c>
      <c r="T1918" t="s">
        <v>4266</v>
      </c>
      <c r="U1918" t="b">
        <v>0</v>
      </c>
      <c r="V1918" t="s">
        <v>63</v>
      </c>
      <c r="W1918">
        <v>237</v>
      </c>
    </row>
    <row r="1919" spans="1:23" hidden="1" x14ac:dyDescent="0.3">
      <c r="A1919" t="s">
        <v>4031</v>
      </c>
      <c r="B1919" t="s">
        <v>4032</v>
      </c>
      <c r="C1919" t="s">
        <v>30</v>
      </c>
      <c r="D1919" t="s">
        <v>18</v>
      </c>
      <c r="E1919" t="s">
        <v>19</v>
      </c>
      <c r="F1919" t="s">
        <v>363</v>
      </c>
      <c r="G1919" t="s">
        <v>655</v>
      </c>
      <c r="H1919" t="s">
        <v>569</v>
      </c>
      <c r="I1919" t="s">
        <v>11</v>
      </c>
      <c r="J1919" t="s">
        <v>656</v>
      </c>
      <c r="K1919" t="s">
        <v>657</v>
      </c>
      <c r="L1919" t="s">
        <v>572</v>
      </c>
      <c r="M1919">
        <v>59</v>
      </c>
      <c r="N1919" t="b">
        <v>0</v>
      </c>
      <c r="O1919">
        <v>0.83700440528634368</v>
      </c>
      <c r="P1919">
        <v>0.81896551724137934</v>
      </c>
      <c r="Q1919">
        <v>0.85585585585585588</v>
      </c>
      <c r="R1919" t="s">
        <v>60</v>
      </c>
      <c r="S1919" t="s">
        <v>4267</v>
      </c>
      <c r="T1919" t="s">
        <v>4268</v>
      </c>
      <c r="U1919" t="b">
        <v>0</v>
      </c>
      <c r="V1919" t="s">
        <v>63</v>
      </c>
      <c r="W1919">
        <v>250.7</v>
      </c>
    </row>
    <row r="1920" spans="1:23" hidden="1" x14ac:dyDescent="0.3">
      <c r="A1920" t="s">
        <v>4031</v>
      </c>
      <c r="B1920" t="s">
        <v>4032</v>
      </c>
      <c r="C1920" t="s">
        <v>30</v>
      </c>
      <c r="D1920" t="s">
        <v>18</v>
      </c>
      <c r="E1920" t="s">
        <v>19</v>
      </c>
      <c r="F1920" t="s">
        <v>363</v>
      </c>
      <c r="G1920" t="s">
        <v>660</v>
      </c>
      <c r="H1920" t="s">
        <v>569</v>
      </c>
      <c r="I1920" t="s">
        <v>11</v>
      </c>
      <c r="J1920" t="s">
        <v>661</v>
      </c>
      <c r="K1920" t="s">
        <v>662</v>
      </c>
      <c r="L1920" t="s">
        <v>572</v>
      </c>
      <c r="M1920">
        <v>60</v>
      </c>
      <c r="N1920" t="b">
        <v>0</v>
      </c>
      <c r="O1920">
        <v>0.83885209713024289</v>
      </c>
      <c r="P1920">
        <v>0.82251082251082253</v>
      </c>
      <c r="Q1920">
        <v>0.85585585585585588</v>
      </c>
      <c r="R1920" t="s">
        <v>60</v>
      </c>
      <c r="S1920" t="s">
        <v>4269</v>
      </c>
      <c r="T1920" t="s">
        <v>4270</v>
      </c>
      <c r="U1920" t="b">
        <v>0</v>
      </c>
      <c r="V1920" t="s">
        <v>63</v>
      </c>
      <c r="W1920">
        <v>263.7</v>
      </c>
    </row>
    <row r="1921" spans="1:23" hidden="1" x14ac:dyDescent="0.3">
      <c r="A1921" t="s">
        <v>4031</v>
      </c>
      <c r="B1921" t="s">
        <v>4032</v>
      </c>
      <c r="C1921" t="s">
        <v>30</v>
      </c>
      <c r="D1921" t="s">
        <v>18</v>
      </c>
      <c r="E1921" t="s">
        <v>19</v>
      </c>
      <c r="F1921" t="s">
        <v>363</v>
      </c>
      <c r="G1921" t="s">
        <v>665</v>
      </c>
      <c r="H1921" t="s">
        <v>569</v>
      </c>
      <c r="I1921" t="s">
        <v>11</v>
      </c>
      <c r="J1921" t="s">
        <v>666</v>
      </c>
      <c r="K1921" t="s">
        <v>667</v>
      </c>
      <c r="L1921" t="s">
        <v>572</v>
      </c>
      <c r="M1921">
        <v>61</v>
      </c>
      <c r="N1921" t="b">
        <v>0</v>
      </c>
      <c r="O1921">
        <v>0.83296213808463249</v>
      </c>
      <c r="P1921">
        <v>0.82378854625550657</v>
      </c>
      <c r="Q1921">
        <v>0.84234234234234229</v>
      </c>
      <c r="R1921" t="s">
        <v>60</v>
      </c>
      <c r="S1921" t="s">
        <v>4271</v>
      </c>
      <c r="T1921" t="s">
        <v>4272</v>
      </c>
      <c r="U1921" t="b">
        <v>0</v>
      </c>
      <c r="V1921" t="s">
        <v>63</v>
      </c>
      <c r="W1921">
        <v>239</v>
      </c>
    </row>
    <row r="1922" spans="1:23" hidden="1" x14ac:dyDescent="0.3">
      <c r="A1922" t="s">
        <v>4031</v>
      </c>
      <c r="B1922" t="s">
        <v>4032</v>
      </c>
      <c r="C1922" t="s">
        <v>30</v>
      </c>
      <c r="D1922" t="s">
        <v>20</v>
      </c>
      <c r="E1922" t="s">
        <v>21</v>
      </c>
      <c r="F1922" t="s">
        <v>54</v>
      </c>
      <c r="G1922" t="s">
        <v>55</v>
      </c>
      <c r="H1922" t="s">
        <v>56</v>
      </c>
      <c r="I1922" t="s">
        <v>7</v>
      </c>
      <c r="J1922" t="s">
        <v>57</v>
      </c>
      <c r="K1922" t="s">
        <v>58</v>
      </c>
      <c r="L1922" t="s">
        <v>59</v>
      </c>
      <c r="M1922">
        <v>42</v>
      </c>
      <c r="N1922" t="b">
        <v>1</v>
      </c>
      <c r="O1922">
        <v>0.70258620689655171</v>
      </c>
      <c r="R1922" t="s">
        <v>670</v>
      </c>
      <c r="S1922" t="s">
        <v>4273</v>
      </c>
      <c r="T1922" t="s">
        <v>4274</v>
      </c>
      <c r="U1922" t="b">
        <v>1</v>
      </c>
      <c r="V1922" t="s">
        <v>63</v>
      </c>
      <c r="W1922">
        <v>0.8</v>
      </c>
    </row>
    <row r="1923" spans="1:23" hidden="1" x14ac:dyDescent="0.3">
      <c r="A1923" t="s">
        <v>4031</v>
      </c>
      <c r="B1923" t="s">
        <v>4032</v>
      </c>
      <c r="C1923" t="s">
        <v>30</v>
      </c>
      <c r="D1923" t="s">
        <v>20</v>
      </c>
      <c r="E1923" t="s">
        <v>21</v>
      </c>
      <c r="F1923" t="s">
        <v>54</v>
      </c>
      <c r="G1923" t="s">
        <v>64</v>
      </c>
      <c r="H1923" t="s">
        <v>56</v>
      </c>
      <c r="I1923" t="s">
        <v>7</v>
      </c>
      <c r="J1923" t="s">
        <v>65</v>
      </c>
      <c r="K1923" t="s">
        <v>66</v>
      </c>
      <c r="L1923" t="s">
        <v>59</v>
      </c>
      <c r="M1923">
        <v>43</v>
      </c>
      <c r="N1923" t="b">
        <v>1</v>
      </c>
      <c r="O1923">
        <v>0.6845360824742267</v>
      </c>
      <c r="R1923" t="s">
        <v>670</v>
      </c>
      <c r="S1923" t="s">
        <v>4275</v>
      </c>
      <c r="T1923" t="s">
        <v>4276</v>
      </c>
      <c r="U1923" t="b">
        <v>1</v>
      </c>
      <c r="V1923" t="s">
        <v>63</v>
      </c>
      <c r="W1923">
        <v>0.9</v>
      </c>
    </row>
    <row r="1924" spans="1:23" hidden="1" x14ac:dyDescent="0.3">
      <c r="A1924" t="s">
        <v>4031</v>
      </c>
      <c r="B1924" t="s">
        <v>4032</v>
      </c>
      <c r="C1924" t="s">
        <v>30</v>
      </c>
      <c r="D1924" t="s">
        <v>20</v>
      </c>
      <c r="E1924" t="s">
        <v>21</v>
      </c>
      <c r="F1924" t="s">
        <v>54</v>
      </c>
      <c r="G1924" t="s">
        <v>69</v>
      </c>
      <c r="H1924" t="s">
        <v>56</v>
      </c>
      <c r="I1924" t="s">
        <v>7</v>
      </c>
      <c r="J1924" t="s">
        <v>70</v>
      </c>
      <c r="K1924" t="s">
        <v>71</v>
      </c>
      <c r="L1924" t="s">
        <v>59</v>
      </c>
      <c r="M1924">
        <v>44</v>
      </c>
      <c r="N1924" t="b">
        <v>1</v>
      </c>
      <c r="O1924">
        <v>0.71900826446280985</v>
      </c>
      <c r="R1924" t="s">
        <v>670</v>
      </c>
      <c r="S1924" t="s">
        <v>4277</v>
      </c>
      <c r="T1924" t="s">
        <v>4278</v>
      </c>
      <c r="U1924" t="b">
        <v>1</v>
      </c>
      <c r="V1924" t="s">
        <v>63</v>
      </c>
      <c r="W1924">
        <v>0.7</v>
      </c>
    </row>
    <row r="1925" spans="1:23" hidden="1" x14ac:dyDescent="0.3">
      <c r="A1925" t="s">
        <v>4031</v>
      </c>
      <c r="B1925" t="s">
        <v>4032</v>
      </c>
      <c r="C1925" t="s">
        <v>30</v>
      </c>
      <c r="D1925" t="s">
        <v>20</v>
      </c>
      <c r="E1925" t="s">
        <v>21</v>
      </c>
      <c r="F1925" t="s">
        <v>54</v>
      </c>
      <c r="G1925" t="s">
        <v>74</v>
      </c>
      <c r="H1925" t="s">
        <v>56</v>
      </c>
      <c r="I1925" t="s">
        <v>7</v>
      </c>
      <c r="J1925" t="s">
        <v>75</v>
      </c>
      <c r="K1925" t="s">
        <v>76</v>
      </c>
      <c r="L1925" t="s">
        <v>59</v>
      </c>
      <c r="M1925">
        <v>45</v>
      </c>
      <c r="N1925" t="b">
        <v>1</v>
      </c>
      <c r="O1925">
        <v>0.71635610766045543</v>
      </c>
      <c r="R1925" t="s">
        <v>670</v>
      </c>
      <c r="S1925" t="s">
        <v>4279</v>
      </c>
      <c r="T1925" t="s">
        <v>4280</v>
      </c>
      <c r="U1925" t="b">
        <v>1</v>
      </c>
      <c r="V1925" t="s">
        <v>63</v>
      </c>
      <c r="W1925">
        <v>0.9</v>
      </c>
    </row>
    <row r="1926" spans="1:23" hidden="1" x14ac:dyDescent="0.3">
      <c r="A1926" t="s">
        <v>4031</v>
      </c>
      <c r="B1926" t="s">
        <v>4032</v>
      </c>
      <c r="C1926" t="s">
        <v>30</v>
      </c>
      <c r="D1926" t="s">
        <v>20</v>
      </c>
      <c r="E1926" t="s">
        <v>21</v>
      </c>
      <c r="F1926" t="s">
        <v>54</v>
      </c>
      <c r="G1926" t="s">
        <v>79</v>
      </c>
      <c r="H1926" t="s">
        <v>56</v>
      </c>
      <c r="I1926" t="s">
        <v>7</v>
      </c>
      <c r="J1926" t="s">
        <v>80</v>
      </c>
      <c r="K1926" t="s">
        <v>81</v>
      </c>
      <c r="L1926" t="s">
        <v>59</v>
      </c>
      <c r="M1926">
        <v>46</v>
      </c>
      <c r="N1926" t="b">
        <v>1</v>
      </c>
      <c r="O1926">
        <v>0.65432098765432101</v>
      </c>
      <c r="R1926" t="s">
        <v>670</v>
      </c>
      <c r="S1926" t="s">
        <v>4281</v>
      </c>
      <c r="T1926" t="s">
        <v>4282</v>
      </c>
      <c r="U1926" t="b">
        <v>1</v>
      </c>
      <c r="V1926" t="s">
        <v>63</v>
      </c>
      <c r="W1926">
        <v>0.6</v>
      </c>
    </row>
    <row r="1927" spans="1:23" hidden="1" x14ac:dyDescent="0.3">
      <c r="A1927" t="s">
        <v>4031</v>
      </c>
      <c r="B1927" t="s">
        <v>4032</v>
      </c>
      <c r="C1927" t="s">
        <v>30</v>
      </c>
      <c r="D1927" t="s">
        <v>20</v>
      </c>
      <c r="E1927" t="s">
        <v>21</v>
      </c>
      <c r="F1927" t="s">
        <v>54</v>
      </c>
      <c r="G1927" t="s">
        <v>84</v>
      </c>
      <c r="H1927" t="s">
        <v>56</v>
      </c>
      <c r="I1927" t="s">
        <v>7</v>
      </c>
      <c r="J1927" t="s">
        <v>85</v>
      </c>
      <c r="K1927" t="s">
        <v>86</v>
      </c>
      <c r="L1927" t="s">
        <v>59</v>
      </c>
      <c r="M1927">
        <v>47</v>
      </c>
      <c r="N1927" t="b">
        <v>1</v>
      </c>
      <c r="O1927">
        <v>0.69938650306748462</v>
      </c>
      <c r="R1927" t="s">
        <v>670</v>
      </c>
      <c r="S1927" t="s">
        <v>4283</v>
      </c>
      <c r="T1927" t="s">
        <v>4284</v>
      </c>
      <c r="U1927" t="b">
        <v>1</v>
      </c>
      <c r="V1927" t="s">
        <v>63</v>
      </c>
      <c r="W1927">
        <v>0.9</v>
      </c>
    </row>
    <row r="1928" spans="1:23" hidden="1" x14ac:dyDescent="0.3">
      <c r="A1928" t="s">
        <v>4031</v>
      </c>
      <c r="B1928" t="s">
        <v>4032</v>
      </c>
      <c r="C1928" t="s">
        <v>30</v>
      </c>
      <c r="D1928" t="s">
        <v>20</v>
      </c>
      <c r="E1928" t="s">
        <v>21</v>
      </c>
      <c r="F1928" t="s">
        <v>54</v>
      </c>
      <c r="G1928" t="s">
        <v>89</v>
      </c>
      <c r="H1928" t="s">
        <v>56</v>
      </c>
      <c r="I1928" t="s">
        <v>7</v>
      </c>
      <c r="J1928" t="s">
        <v>90</v>
      </c>
      <c r="K1928" t="s">
        <v>91</v>
      </c>
      <c r="L1928" t="s">
        <v>59</v>
      </c>
      <c r="M1928">
        <v>48</v>
      </c>
      <c r="N1928" t="b">
        <v>1</v>
      </c>
      <c r="O1928">
        <v>0.61181434599156115</v>
      </c>
      <c r="R1928" t="s">
        <v>670</v>
      </c>
      <c r="S1928" t="s">
        <v>4285</v>
      </c>
      <c r="T1928" t="s">
        <v>4286</v>
      </c>
      <c r="U1928" t="b">
        <v>1</v>
      </c>
      <c r="V1928" t="s">
        <v>63</v>
      </c>
      <c r="W1928">
        <v>1</v>
      </c>
    </row>
    <row r="1929" spans="1:23" hidden="1" x14ac:dyDescent="0.3">
      <c r="A1929" t="s">
        <v>4031</v>
      </c>
      <c r="B1929" t="s">
        <v>4032</v>
      </c>
      <c r="C1929" t="s">
        <v>30</v>
      </c>
      <c r="D1929" t="s">
        <v>20</v>
      </c>
      <c r="E1929" t="s">
        <v>21</v>
      </c>
      <c r="F1929" t="s">
        <v>54</v>
      </c>
      <c r="G1929" t="s">
        <v>94</v>
      </c>
      <c r="H1929" t="s">
        <v>56</v>
      </c>
      <c r="I1929" t="s">
        <v>7</v>
      </c>
      <c r="J1929" t="s">
        <v>95</v>
      </c>
      <c r="K1929" t="s">
        <v>96</v>
      </c>
      <c r="L1929" t="s">
        <v>59</v>
      </c>
      <c r="M1929">
        <v>49</v>
      </c>
      <c r="N1929" t="b">
        <v>1</v>
      </c>
      <c r="O1929">
        <v>0.71274298056155505</v>
      </c>
      <c r="R1929" t="s">
        <v>670</v>
      </c>
      <c r="S1929" t="s">
        <v>4287</v>
      </c>
      <c r="T1929" t="s">
        <v>4288</v>
      </c>
      <c r="U1929" t="b">
        <v>1</v>
      </c>
      <c r="V1929" t="s">
        <v>63</v>
      </c>
      <c r="W1929">
        <v>0.7</v>
      </c>
    </row>
    <row r="1930" spans="1:23" hidden="1" x14ac:dyDescent="0.3">
      <c r="A1930" t="s">
        <v>4031</v>
      </c>
      <c r="B1930" t="s">
        <v>4032</v>
      </c>
      <c r="C1930" t="s">
        <v>30</v>
      </c>
      <c r="D1930" t="s">
        <v>20</v>
      </c>
      <c r="E1930" t="s">
        <v>21</v>
      </c>
      <c r="F1930" t="s">
        <v>54</v>
      </c>
      <c r="G1930" t="s">
        <v>99</v>
      </c>
      <c r="H1930" t="s">
        <v>56</v>
      </c>
      <c r="I1930" t="s">
        <v>7</v>
      </c>
      <c r="J1930" t="s">
        <v>100</v>
      </c>
      <c r="K1930" t="s">
        <v>101</v>
      </c>
      <c r="L1930" t="s">
        <v>59</v>
      </c>
      <c r="M1930">
        <v>50</v>
      </c>
      <c r="N1930" t="b">
        <v>1</v>
      </c>
      <c r="O1930">
        <v>0.66808510638297869</v>
      </c>
      <c r="R1930" t="s">
        <v>670</v>
      </c>
      <c r="S1930" t="s">
        <v>4289</v>
      </c>
      <c r="T1930" t="s">
        <v>4290</v>
      </c>
      <c r="U1930" t="b">
        <v>1</v>
      </c>
      <c r="V1930" t="s">
        <v>63</v>
      </c>
      <c r="W1930">
        <v>0.8</v>
      </c>
    </row>
    <row r="1931" spans="1:23" hidden="1" x14ac:dyDescent="0.3">
      <c r="A1931" t="s">
        <v>4031</v>
      </c>
      <c r="B1931" t="s">
        <v>4032</v>
      </c>
      <c r="C1931" t="s">
        <v>30</v>
      </c>
      <c r="D1931" t="s">
        <v>20</v>
      </c>
      <c r="E1931" t="s">
        <v>21</v>
      </c>
      <c r="F1931" t="s">
        <v>54</v>
      </c>
      <c r="G1931" t="s">
        <v>104</v>
      </c>
      <c r="H1931" t="s">
        <v>56</v>
      </c>
      <c r="I1931" t="s">
        <v>7</v>
      </c>
      <c r="J1931" t="s">
        <v>105</v>
      </c>
      <c r="K1931" t="s">
        <v>106</v>
      </c>
      <c r="L1931" t="s">
        <v>59</v>
      </c>
      <c r="M1931">
        <v>51</v>
      </c>
      <c r="N1931" t="b">
        <v>1</v>
      </c>
      <c r="O1931">
        <v>0.71982758620689669</v>
      </c>
      <c r="R1931" t="s">
        <v>670</v>
      </c>
      <c r="S1931" t="s">
        <v>4291</v>
      </c>
      <c r="T1931" t="s">
        <v>4292</v>
      </c>
      <c r="U1931" t="b">
        <v>1</v>
      </c>
      <c r="V1931" t="s">
        <v>63</v>
      </c>
      <c r="W1931">
        <v>0.7</v>
      </c>
    </row>
    <row r="1932" spans="1:23" hidden="1" x14ac:dyDescent="0.3">
      <c r="A1932" t="s">
        <v>4031</v>
      </c>
      <c r="B1932" t="s">
        <v>4032</v>
      </c>
      <c r="C1932" t="s">
        <v>30</v>
      </c>
      <c r="D1932" t="s">
        <v>20</v>
      </c>
      <c r="E1932" t="s">
        <v>21</v>
      </c>
      <c r="F1932" t="s">
        <v>54</v>
      </c>
      <c r="G1932" t="s">
        <v>109</v>
      </c>
      <c r="H1932" t="s">
        <v>56</v>
      </c>
      <c r="I1932" t="s">
        <v>7</v>
      </c>
      <c r="J1932" t="s">
        <v>110</v>
      </c>
      <c r="K1932" t="s">
        <v>111</v>
      </c>
      <c r="L1932" t="s">
        <v>59</v>
      </c>
      <c r="M1932">
        <v>52</v>
      </c>
      <c r="N1932" t="b">
        <v>1</v>
      </c>
      <c r="O1932">
        <v>0.58158995815899572</v>
      </c>
      <c r="R1932" t="s">
        <v>670</v>
      </c>
      <c r="S1932" t="s">
        <v>4293</v>
      </c>
      <c r="T1932" t="s">
        <v>4294</v>
      </c>
      <c r="U1932" t="b">
        <v>1</v>
      </c>
      <c r="V1932" t="s">
        <v>63</v>
      </c>
      <c r="W1932">
        <v>0.7</v>
      </c>
    </row>
    <row r="1933" spans="1:23" hidden="1" x14ac:dyDescent="0.3">
      <c r="A1933" t="s">
        <v>4031</v>
      </c>
      <c r="B1933" t="s">
        <v>4032</v>
      </c>
      <c r="C1933" t="s">
        <v>30</v>
      </c>
      <c r="D1933" t="s">
        <v>20</v>
      </c>
      <c r="E1933" t="s">
        <v>21</v>
      </c>
      <c r="F1933" t="s">
        <v>54</v>
      </c>
      <c r="G1933" t="s">
        <v>114</v>
      </c>
      <c r="H1933" t="s">
        <v>56</v>
      </c>
      <c r="I1933" t="s">
        <v>7</v>
      </c>
      <c r="J1933" t="s">
        <v>115</v>
      </c>
      <c r="K1933" t="s">
        <v>116</v>
      </c>
      <c r="L1933" t="s">
        <v>59</v>
      </c>
      <c r="M1933">
        <v>53</v>
      </c>
      <c r="N1933" t="b">
        <v>1</v>
      </c>
      <c r="O1933">
        <v>0.70638297872340439</v>
      </c>
      <c r="R1933" t="s">
        <v>670</v>
      </c>
      <c r="S1933" t="s">
        <v>4295</v>
      </c>
      <c r="T1933" t="s">
        <v>4296</v>
      </c>
      <c r="U1933" t="b">
        <v>1</v>
      </c>
      <c r="V1933" t="s">
        <v>63</v>
      </c>
      <c r="W1933">
        <v>0.7</v>
      </c>
    </row>
    <row r="1934" spans="1:23" hidden="1" x14ac:dyDescent="0.3">
      <c r="A1934" t="s">
        <v>4031</v>
      </c>
      <c r="B1934" t="s">
        <v>4032</v>
      </c>
      <c r="C1934" t="s">
        <v>30</v>
      </c>
      <c r="D1934" t="s">
        <v>20</v>
      </c>
      <c r="E1934" t="s">
        <v>21</v>
      </c>
      <c r="F1934" t="s">
        <v>54</v>
      </c>
      <c r="G1934" t="s">
        <v>119</v>
      </c>
      <c r="H1934" t="s">
        <v>56</v>
      </c>
      <c r="I1934" t="s">
        <v>7</v>
      </c>
      <c r="J1934" t="s">
        <v>120</v>
      </c>
      <c r="K1934" t="s">
        <v>121</v>
      </c>
      <c r="L1934" t="s">
        <v>59</v>
      </c>
      <c r="M1934">
        <v>54</v>
      </c>
      <c r="N1934" t="b">
        <v>1</v>
      </c>
      <c r="O1934">
        <v>0.71397849462365592</v>
      </c>
      <c r="R1934" t="s">
        <v>670</v>
      </c>
      <c r="S1934" t="s">
        <v>4297</v>
      </c>
      <c r="T1934" t="s">
        <v>4298</v>
      </c>
      <c r="U1934" t="b">
        <v>1</v>
      </c>
      <c r="V1934" t="s">
        <v>63</v>
      </c>
      <c r="W1934">
        <v>0.6</v>
      </c>
    </row>
    <row r="1935" spans="1:23" hidden="1" x14ac:dyDescent="0.3">
      <c r="A1935" t="s">
        <v>4031</v>
      </c>
      <c r="B1935" t="s">
        <v>4032</v>
      </c>
      <c r="C1935" t="s">
        <v>30</v>
      </c>
      <c r="D1935" t="s">
        <v>20</v>
      </c>
      <c r="E1935" t="s">
        <v>21</v>
      </c>
      <c r="F1935" t="s">
        <v>54</v>
      </c>
      <c r="G1935" t="s">
        <v>124</v>
      </c>
      <c r="H1935" t="s">
        <v>56</v>
      </c>
      <c r="I1935" t="s">
        <v>7</v>
      </c>
      <c r="J1935" t="s">
        <v>125</v>
      </c>
      <c r="K1935" t="s">
        <v>126</v>
      </c>
      <c r="L1935" t="s">
        <v>59</v>
      </c>
      <c r="M1935">
        <v>55</v>
      </c>
      <c r="N1935" t="b">
        <v>1</v>
      </c>
      <c r="O1935">
        <v>0.69151138716356109</v>
      </c>
      <c r="R1935" t="s">
        <v>670</v>
      </c>
      <c r="S1935" t="s">
        <v>4299</v>
      </c>
      <c r="T1935" t="s">
        <v>4300</v>
      </c>
      <c r="U1935" t="b">
        <v>1</v>
      </c>
      <c r="V1935" t="s">
        <v>63</v>
      </c>
      <c r="W1935">
        <v>1</v>
      </c>
    </row>
    <row r="1936" spans="1:23" hidden="1" x14ac:dyDescent="0.3">
      <c r="A1936" t="s">
        <v>4031</v>
      </c>
      <c r="B1936" t="s">
        <v>4032</v>
      </c>
      <c r="C1936" t="s">
        <v>30</v>
      </c>
      <c r="D1936" t="s">
        <v>20</v>
      </c>
      <c r="E1936" t="s">
        <v>21</v>
      </c>
      <c r="F1936" t="s">
        <v>54</v>
      </c>
      <c r="G1936" t="s">
        <v>129</v>
      </c>
      <c r="H1936" t="s">
        <v>56</v>
      </c>
      <c r="I1936" t="s">
        <v>7</v>
      </c>
      <c r="J1936" t="s">
        <v>130</v>
      </c>
      <c r="K1936" t="s">
        <v>131</v>
      </c>
      <c r="L1936" t="s">
        <v>59</v>
      </c>
      <c r="M1936">
        <v>56</v>
      </c>
      <c r="N1936" t="b">
        <v>1</v>
      </c>
      <c r="O1936">
        <v>0.7116564417177913</v>
      </c>
      <c r="R1936" t="s">
        <v>670</v>
      </c>
      <c r="S1936" t="s">
        <v>4301</v>
      </c>
      <c r="T1936" t="s">
        <v>4302</v>
      </c>
      <c r="U1936" t="b">
        <v>1</v>
      </c>
      <c r="V1936" t="s">
        <v>63</v>
      </c>
      <c r="W1936">
        <v>0.8</v>
      </c>
    </row>
    <row r="1937" spans="1:23" hidden="1" x14ac:dyDescent="0.3">
      <c r="A1937" t="s">
        <v>4031</v>
      </c>
      <c r="B1937" t="s">
        <v>4032</v>
      </c>
      <c r="C1937" t="s">
        <v>30</v>
      </c>
      <c r="D1937" t="s">
        <v>20</v>
      </c>
      <c r="E1937" t="s">
        <v>21</v>
      </c>
      <c r="F1937" t="s">
        <v>54</v>
      </c>
      <c r="G1937" t="s">
        <v>134</v>
      </c>
      <c r="H1937" t="s">
        <v>56</v>
      </c>
      <c r="I1937" t="s">
        <v>7</v>
      </c>
      <c r="J1937" t="s">
        <v>135</v>
      </c>
      <c r="K1937" t="s">
        <v>136</v>
      </c>
      <c r="L1937" t="s">
        <v>59</v>
      </c>
      <c r="M1937">
        <v>57</v>
      </c>
      <c r="N1937" t="b">
        <v>1</v>
      </c>
      <c r="O1937">
        <v>0.67761806981519501</v>
      </c>
      <c r="R1937" t="s">
        <v>670</v>
      </c>
      <c r="S1937" t="s">
        <v>4303</v>
      </c>
      <c r="T1937" t="s">
        <v>4304</v>
      </c>
      <c r="U1937" t="b">
        <v>1</v>
      </c>
      <c r="V1937" t="s">
        <v>63</v>
      </c>
      <c r="W1937">
        <v>0.6</v>
      </c>
    </row>
    <row r="1938" spans="1:23" hidden="1" x14ac:dyDescent="0.3">
      <c r="A1938" t="s">
        <v>4031</v>
      </c>
      <c r="B1938" t="s">
        <v>4032</v>
      </c>
      <c r="C1938" t="s">
        <v>30</v>
      </c>
      <c r="D1938" t="s">
        <v>20</v>
      </c>
      <c r="E1938" t="s">
        <v>21</v>
      </c>
      <c r="F1938" t="s">
        <v>54</v>
      </c>
      <c r="G1938" t="s">
        <v>139</v>
      </c>
      <c r="H1938" t="s">
        <v>56</v>
      </c>
      <c r="I1938" t="s">
        <v>7</v>
      </c>
      <c r="J1938" t="s">
        <v>140</v>
      </c>
      <c r="K1938" t="s">
        <v>141</v>
      </c>
      <c r="L1938" t="s">
        <v>59</v>
      </c>
      <c r="M1938">
        <v>58</v>
      </c>
      <c r="N1938" t="b">
        <v>1</v>
      </c>
      <c r="O1938">
        <v>0.69547325102880653</v>
      </c>
      <c r="R1938" t="s">
        <v>670</v>
      </c>
      <c r="S1938" t="s">
        <v>4305</v>
      </c>
      <c r="T1938" t="s">
        <v>4306</v>
      </c>
      <c r="U1938" t="b">
        <v>1</v>
      </c>
      <c r="V1938" t="s">
        <v>63</v>
      </c>
      <c r="W1938">
        <v>2.2999999999999998</v>
      </c>
    </row>
    <row r="1939" spans="1:23" hidden="1" x14ac:dyDescent="0.3">
      <c r="A1939" t="s">
        <v>4031</v>
      </c>
      <c r="B1939" t="s">
        <v>4032</v>
      </c>
      <c r="C1939" t="s">
        <v>30</v>
      </c>
      <c r="D1939" t="s">
        <v>20</v>
      </c>
      <c r="E1939" t="s">
        <v>21</v>
      </c>
      <c r="F1939" t="s">
        <v>54</v>
      </c>
      <c r="G1939" t="s">
        <v>144</v>
      </c>
      <c r="H1939" t="s">
        <v>56</v>
      </c>
      <c r="I1939" t="s">
        <v>7</v>
      </c>
      <c r="J1939" t="s">
        <v>145</v>
      </c>
      <c r="K1939" t="s">
        <v>146</v>
      </c>
      <c r="L1939" t="s">
        <v>59</v>
      </c>
      <c r="M1939">
        <v>59</v>
      </c>
      <c r="N1939" t="b">
        <v>1</v>
      </c>
      <c r="O1939">
        <v>0.69512195121951215</v>
      </c>
      <c r="R1939" t="s">
        <v>670</v>
      </c>
      <c r="S1939" t="s">
        <v>4307</v>
      </c>
      <c r="T1939" t="s">
        <v>4308</v>
      </c>
      <c r="U1939" t="b">
        <v>1</v>
      </c>
      <c r="V1939" t="s">
        <v>63</v>
      </c>
      <c r="W1939">
        <v>0.7</v>
      </c>
    </row>
    <row r="1940" spans="1:23" hidden="1" x14ac:dyDescent="0.3">
      <c r="A1940" t="s">
        <v>4031</v>
      </c>
      <c r="B1940" t="s">
        <v>4032</v>
      </c>
      <c r="C1940" t="s">
        <v>30</v>
      </c>
      <c r="D1940" t="s">
        <v>20</v>
      </c>
      <c r="E1940" t="s">
        <v>21</v>
      </c>
      <c r="F1940" t="s">
        <v>54</v>
      </c>
      <c r="G1940" t="s">
        <v>149</v>
      </c>
      <c r="H1940" t="s">
        <v>56</v>
      </c>
      <c r="I1940" t="s">
        <v>7</v>
      </c>
      <c r="J1940" t="s">
        <v>150</v>
      </c>
      <c r="K1940" t="s">
        <v>151</v>
      </c>
      <c r="L1940" t="s">
        <v>59</v>
      </c>
      <c r="M1940">
        <v>60</v>
      </c>
      <c r="N1940" t="b">
        <v>1</v>
      </c>
      <c r="O1940">
        <v>0.70731707317073178</v>
      </c>
      <c r="R1940" t="s">
        <v>670</v>
      </c>
      <c r="S1940" t="s">
        <v>4309</v>
      </c>
      <c r="T1940" t="s">
        <v>4310</v>
      </c>
      <c r="U1940" t="b">
        <v>1</v>
      </c>
      <c r="V1940" t="s">
        <v>63</v>
      </c>
      <c r="W1940">
        <v>0.6</v>
      </c>
    </row>
    <row r="1941" spans="1:23" hidden="1" x14ac:dyDescent="0.3">
      <c r="A1941" t="s">
        <v>4031</v>
      </c>
      <c r="B1941" t="s">
        <v>4032</v>
      </c>
      <c r="C1941" t="s">
        <v>30</v>
      </c>
      <c r="D1941" t="s">
        <v>20</v>
      </c>
      <c r="E1941" t="s">
        <v>21</v>
      </c>
      <c r="F1941" t="s">
        <v>54</v>
      </c>
      <c r="G1941" t="s">
        <v>154</v>
      </c>
      <c r="H1941" t="s">
        <v>56</v>
      </c>
      <c r="I1941" t="s">
        <v>7</v>
      </c>
      <c r="J1941" t="s">
        <v>155</v>
      </c>
      <c r="K1941" t="s">
        <v>156</v>
      </c>
      <c r="L1941" t="s">
        <v>59</v>
      </c>
      <c r="M1941">
        <v>61</v>
      </c>
      <c r="N1941" t="b">
        <v>1</v>
      </c>
      <c r="O1941">
        <v>0.71269487750556793</v>
      </c>
      <c r="R1941" t="s">
        <v>670</v>
      </c>
      <c r="S1941" t="s">
        <v>4311</v>
      </c>
      <c r="T1941" t="s">
        <v>4312</v>
      </c>
      <c r="U1941" t="b">
        <v>1</v>
      </c>
      <c r="V1941" t="s">
        <v>63</v>
      </c>
      <c r="W1941">
        <v>0.6</v>
      </c>
    </row>
    <row r="1942" spans="1:23" hidden="1" x14ac:dyDescent="0.3">
      <c r="A1942" t="s">
        <v>4031</v>
      </c>
      <c r="B1942" t="s">
        <v>4032</v>
      </c>
      <c r="C1942" t="s">
        <v>30</v>
      </c>
      <c r="D1942" t="s">
        <v>20</v>
      </c>
      <c r="E1942" t="s">
        <v>21</v>
      </c>
      <c r="F1942" t="s">
        <v>54</v>
      </c>
      <c r="G1942" t="s">
        <v>159</v>
      </c>
      <c r="H1942" t="s">
        <v>160</v>
      </c>
      <c r="I1942" t="s">
        <v>3</v>
      </c>
      <c r="J1942" t="s">
        <v>161</v>
      </c>
      <c r="K1942" t="s">
        <v>162</v>
      </c>
      <c r="L1942" t="s">
        <v>163</v>
      </c>
      <c r="M1942">
        <v>42</v>
      </c>
      <c r="N1942" t="b">
        <v>0</v>
      </c>
      <c r="O1942">
        <v>0.69041095890410953</v>
      </c>
      <c r="R1942" t="s">
        <v>670</v>
      </c>
      <c r="S1942" t="s">
        <v>4313</v>
      </c>
      <c r="T1942" t="s">
        <v>4314</v>
      </c>
      <c r="U1942" t="b">
        <v>1</v>
      </c>
      <c r="V1942" t="s">
        <v>63</v>
      </c>
      <c r="W1942">
        <v>0.7</v>
      </c>
    </row>
    <row r="1943" spans="1:23" hidden="1" x14ac:dyDescent="0.3">
      <c r="A1943" t="s">
        <v>4031</v>
      </c>
      <c r="B1943" t="s">
        <v>4032</v>
      </c>
      <c r="C1943" t="s">
        <v>30</v>
      </c>
      <c r="D1943" t="s">
        <v>20</v>
      </c>
      <c r="E1943" t="s">
        <v>21</v>
      </c>
      <c r="F1943" t="s">
        <v>54</v>
      </c>
      <c r="G1943" t="s">
        <v>166</v>
      </c>
      <c r="H1943" t="s">
        <v>160</v>
      </c>
      <c r="I1943" t="s">
        <v>3</v>
      </c>
      <c r="J1943" t="s">
        <v>167</v>
      </c>
      <c r="K1943" t="s">
        <v>168</v>
      </c>
      <c r="L1943" t="s">
        <v>163</v>
      </c>
      <c r="M1943">
        <v>43</v>
      </c>
      <c r="N1943" t="b">
        <v>0</v>
      </c>
      <c r="O1943">
        <v>0.70184696569920846</v>
      </c>
      <c r="R1943" t="s">
        <v>670</v>
      </c>
      <c r="S1943" t="s">
        <v>4315</v>
      </c>
      <c r="T1943" t="s">
        <v>4316</v>
      </c>
      <c r="U1943" t="b">
        <v>1</v>
      </c>
      <c r="V1943" t="s">
        <v>63</v>
      </c>
      <c r="W1943">
        <v>0.6</v>
      </c>
    </row>
    <row r="1944" spans="1:23" hidden="1" x14ac:dyDescent="0.3">
      <c r="A1944" t="s">
        <v>4031</v>
      </c>
      <c r="B1944" t="s">
        <v>4032</v>
      </c>
      <c r="C1944" t="s">
        <v>30</v>
      </c>
      <c r="D1944" t="s">
        <v>20</v>
      </c>
      <c r="E1944" t="s">
        <v>21</v>
      </c>
      <c r="F1944" t="s">
        <v>54</v>
      </c>
      <c r="G1944" t="s">
        <v>171</v>
      </c>
      <c r="H1944" t="s">
        <v>160</v>
      </c>
      <c r="I1944" t="s">
        <v>3</v>
      </c>
      <c r="J1944" t="s">
        <v>172</v>
      </c>
      <c r="K1944" t="s">
        <v>173</v>
      </c>
      <c r="L1944" t="s">
        <v>163</v>
      </c>
      <c r="M1944">
        <v>44</v>
      </c>
      <c r="N1944" t="b">
        <v>0</v>
      </c>
      <c r="O1944">
        <v>0.71505376344086025</v>
      </c>
      <c r="R1944" t="s">
        <v>670</v>
      </c>
      <c r="S1944" t="s">
        <v>4317</v>
      </c>
      <c r="T1944" t="s">
        <v>4318</v>
      </c>
      <c r="U1944" t="b">
        <v>1</v>
      </c>
      <c r="V1944" t="s">
        <v>63</v>
      </c>
      <c r="W1944">
        <v>1</v>
      </c>
    </row>
    <row r="1945" spans="1:23" hidden="1" x14ac:dyDescent="0.3">
      <c r="A1945" t="s">
        <v>4031</v>
      </c>
      <c r="B1945" t="s">
        <v>4032</v>
      </c>
      <c r="C1945" t="s">
        <v>30</v>
      </c>
      <c r="D1945" t="s">
        <v>20</v>
      </c>
      <c r="E1945" t="s">
        <v>21</v>
      </c>
      <c r="F1945" t="s">
        <v>54</v>
      </c>
      <c r="G1945" t="s">
        <v>176</v>
      </c>
      <c r="H1945" t="s">
        <v>160</v>
      </c>
      <c r="I1945" t="s">
        <v>3</v>
      </c>
      <c r="J1945" t="s">
        <v>177</v>
      </c>
      <c r="K1945" t="s">
        <v>178</v>
      </c>
      <c r="L1945" t="s">
        <v>163</v>
      </c>
      <c r="M1945">
        <v>45</v>
      </c>
      <c r="N1945" t="b">
        <v>0</v>
      </c>
      <c r="O1945">
        <v>0.72777777777777786</v>
      </c>
      <c r="R1945" t="s">
        <v>670</v>
      </c>
      <c r="S1945" t="s">
        <v>4319</v>
      </c>
      <c r="T1945" t="s">
        <v>4320</v>
      </c>
      <c r="U1945" t="b">
        <v>1</v>
      </c>
      <c r="V1945" t="s">
        <v>63</v>
      </c>
      <c r="W1945">
        <v>0.6</v>
      </c>
    </row>
    <row r="1946" spans="1:23" hidden="1" x14ac:dyDescent="0.3">
      <c r="A1946" t="s">
        <v>4031</v>
      </c>
      <c r="B1946" t="s">
        <v>4032</v>
      </c>
      <c r="C1946" t="s">
        <v>30</v>
      </c>
      <c r="D1946" t="s">
        <v>20</v>
      </c>
      <c r="E1946" t="s">
        <v>21</v>
      </c>
      <c r="F1946" t="s">
        <v>54</v>
      </c>
      <c r="G1946" t="s">
        <v>181</v>
      </c>
      <c r="H1946" t="s">
        <v>160</v>
      </c>
      <c r="I1946" t="s">
        <v>3</v>
      </c>
      <c r="J1946" t="s">
        <v>182</v>
      </c>
      <c r="K1946" t="s">
        <v>183</v>
      </c>
      <c r="L1946" t="s">
        <v>163</v>
      </c>
      <c r="M1946">
        <v>46</v>
      </c>
      <c r="N1946" t="b">
        <v>0</v>
      </c>
      <c r="O1946">
        <v>0.6937669376693768</v>
      </c>
      <c r="R1946" t="s">
        <v>670</v>
      </c>
      <c r="S1946" t="s">
        <v>4321</v>
      </c>
      <c r="T1946" t="s">
        <v>4322</v>
      </c>
      <c r="U1946" t="b">
        <v>1</v>
      </c>
      <c r="V1946" t="s">
        <v>63</v>
      </c>
      <c r="W1946">
        <v>0.7</v>
      </c>
    </row>
    <row r="1947" spans="1:23" hidden="1" x14ac:dyDescent="0.3">
      <c r="A1947" t="s">
        <v>4031</v>
      </c>
      <c r="B1947" t="s">
        <v>4032</v>
      </c>
      <c r="C1947" t="s">
        <v>30</v>
      </c>
      <c r="D1947" t="s">
        <v>20</v>
      </c>
      <c r="E1947" t="s">
        <v>21</v>
      </c>
      <c r="F1947" t="s">
        <v>54</v>
      </c>
      <c r="G1947" t="s">
        <v>186</v>
      </c>
      <c r="H1947" t="s">
        <v>160</v>
      </c>
      <c r="I1947" t="s">
        <v>3</v>
      </c>
      <c r="J1947" t="s">
        <v>187</v>
      </c>
      <c r="K1947" t="s">
        <v>188</v>
      </c>
      <c r="L1947" t="s">
        <v>163</v>
      </c>
      <c r="M1947">
        <v>47</v>
      </c>
      <c r="N1947" t="b">
        <v>0</v>
      </c>
      <c r="O1947">
        <v>0.69914040114613174</v>
      </c>
      <c r="R1947" t="s">
        <v>670</v>
      </c>
      <c r="S1947" t="s">
        <v>4323</v>
      </c>
      <c r="T1947" t="s">
        <v>4324</v>
      </c>
      <c r="U1947" t="b">
        <v>1</v>
      </c>
      <c r="V1947" t="s">
        <v>63</v>
      </c>
      <c r="W1947">
        <v>0.6</v>
      </c>
    </row>
    <row r="1948" spans="1:23" hidden="1" x14ac:dyDescent="0.3">
      <c r="A1948" t="s">
        <v>4031</v>
      </c>
      <c r="B1948" t="s">
        <v>4032</v>
      </c>
      <c r="C1948" t="s">
        <v>30</v>
      </c>
      <c r="D1948" t="s">
        <v>20</v>
      </c>
      <c r="E1948" t="s">
        <v>21</v>
      </c>
      <c r="F1948" t="s">
        <v>54</v>
      </c>
      <c r="G1948" t="s">
        <v>191</v>
      </c>
      <c r="H1948" t="s">
        <v>160</v>
      </c>
      <c r="I1948" t="s">
        <v>3</v>
      </c>
      <c r="J1948" t="s">
        <v>192</v>
      </c>
      <c r="K1948" t="s">
        <v>193</v>
      </c>
      <c r="L1948" t="s">
        <v>163</v>
      </c>
      <c r="M1948">
        <v>48</v>
      </c>
      <c r="N1948" t="b">
        <v>0</v>
      </c>
      <c r="O1948">
        <v>0.73278236914600559</v>
      </c>
      <c r="R1948" t="s">
        <v>670</v>
      </c>
      <c r="S1948" t="s">
        <v>4325</v>
      </c>
      <c r="T1948" t="s">
        <v>4326</v>
      </c>
      <c r="U1948" t="b">
        <v>1</v>
      </c>
      <c r="V1948" t="s">
        <v>63</v>
      </c>
      <c r="W1948">
        <v>0.8</v>
      </c>
    </row>
    <row r="1949" spans="1:23" hidden="1" x14ac:dyDescent="0.3">
      <c r="A1949" t="s">
        <v>4031</v>
      </c>
      <c r="B1949" t="s">
        <v>4032</v>
      </c>
      <c r="C1949" t="s">
        <v>30</v>
      </c>
      <c r="D1949" t="s">
        <v>20</v>
      </c>
      <c r="E1949" t="s">
        <v>21</v>
      </c>
      <c r="F1949" t="s">
        <v>54</v>
      </c>
      <c r="G1949" t="s">
        <v>196</v>
      </c>
      <c r="H1949" t="s">
        <v>160</v>
      </c>
      <c r="I1949" t="s">
        <v>3</v>
      </c>
      <c r="J1949" t="s">
        <v>197</v>
      </c>
      <c r="K1949" t="s">
        <v>198</v>
      </c>
      <c r="L1949" t="s">
        <v>163</v>
      </c>
      <c r="M1949">
        <v>49</v>
      </c>
      <c r="N1949" t="b">
        <v>0</v>
      </c>
      <c r="O1949">
        <v>0.74712643678160928</v>
      </c>
      <c r="R1949" t="s">
        <v>670</v>
      </c>
      <c r="S1949" t="s">
        <v>4327</v>
      </c>
      <c r="T1949" t="s">
        <v>4328</v>
      </c>
      <c r="U1949" t="b">
        <v>1</v>
      </c>
      <c r="V1949" t="s">
        <v>63</v>
      </c>
      <c r="W1949">
        <v>0.8</v>
      </c>
    </row>
    <row r="1950" spans="1:23" hidden="1" x14ac:dyDescent="0.3">
      <c r="A1950" t="s">
        <v>4031</v>
      </c>
      <c r="B1950" t="s">
        <v>4032</v>
      </c>
      <c r="C1950" t="s">
        <v>30</v>
      </c>
      <c r="D1950" t="s">
        <v>20</v>
      </c>
      <c r="E1950" t="s">
        <v>21</v>
      </c>
      <c r="F1950" t="s">
        <v>54</v>
      </c>
      <c r="G1950" t="s">
        <v>201</v>
      </c>
      <c r="H1950" t="s">
        <v>160</v>
      </c>
      <c r="I1950" t="s">
        <v>3</v>
      </c>
      <c r="J1950" t="s">
        <v>202</v>
      </c>
      <c r="K1950" t="s">
        <v>203</v>
      </c>
      <c r="L1950" t="s">
        <v>163</v>
      </c>
      <c r="M1950">
        <v>50</v>
      </c>
      <c r="N1950" t="b">
        <v>0</v>
      </c>
      <c r="O1950">
        <v>0.74074074074074081</v>
      </c>
      <c r="R1950" t="s">
        <v>670</v>
      </c>
      <c r="S1950" t="s">
        <v>4329</v>
      </c>
      <c r="T1950" t="s">
        <v>4330</v>
      </c>
      <c r="U1950" t="b">
        <v>1</v>
      </c>
      <c r="V1950" t="s">
        <v>63</v>
      </c>
      <c r="W1950">
        <v>0.6</v>
      </c>
    </row>
    <row r="1951" spans="1:23" hidden="1" x14ac:dyDescent="0.3">
      <c r="A1951" t="s">
        <v>4031</v>
      </c>
      <c r="B1951" t="s">
        <v>4032</v>
      </c>
      <c r="C1951" t="s">
        <v>30</v>
      </c>
      <c r="D1951" t="s">
        <v>20</v>
      </c>
      <c r="E1951" t="s">
        <v>21</v>
      </c>
      <c r="F1951" t="s">
        <v>54</v>
      </c>
      <c r="G1951" t="s">
        <v>206</v>
      </c>
      <c r="H1951" t="s">
        <v>160</v>
      </c>
      <c r="I1951" t="s">
        <v>3</v>
      </c>
      <c r="J1951" t="s">
        <v>207</v>
      </c>
      <c r="K1951" t="s">
        <v>208</v>
      </c>
      <c r="L1951" t="s">
        <v>163</v>
      </c>
      <c r="M1951">
        <v>51</v>
      </c>
      <c r="N1951" t="b">
        <v>0</v>
      </c>
      <c r="O1951">
        <v>0.70930232558139539</v>
      </c>
      <c r="R1951" t="s">
        <v>670</v>
      </c>
      <c r="S1951" t="s">
        <v>4331</v>
      </c>
      <c r="T1951" t="s">
        <v>4332</v>
      </c>
      <c r="U1951" t="b">
        <v>1</v>
      </c>
      <c r="V1951" t="s">
        <v>63</v>
      </c>
      <c r="W1951">
        <v>0.8</v>
      </c>
    </row>
    <row r="1952" spans="1:23" hidden="1" x14ac:dyDescent="0.3">
      <c r="A1952" t="s">
        <v>4031</v>
      </c>
      <c r="B1952" t="s">
        <v>4032</v>
      </c>
      <c r="C1952" t="s">
        <v>30</v>
      </c>
      <c r="D1952" t="s">
        <v>20</v>
      </c>
      <c r="E1952" t="s">
        <v>21</v>
      </c>
      <c r="F1952" t="s">
        <v>54</v>
      </c>
      <c r="G1952" t="s">
        <v>211</v>
      </c>
      <c r="H1952" t="s">
        <v>160</v>
      </c>
      <c r="I1952" t="s">
        <v>3</v>
      </c>
      <c r="J1952" t="s">
        <v>212</v>
      </c>
      <c r="K1952" t="s">
        <v>213</v>
      </c>
      <c r="L1952" t="s">
        <v>163</v>
      </c>
      <c r="M1952">
        <v>52</v>
      </c>
      <c r="N1952" t="b">
        <v>0</v>
      </c>
      <c r="O1952">
        <v>0.74336283185840701</v>
      </c>
      <c r="R1952" t="s">
        <v>670</v>
      </c>
      <c r="S1952" t="s">
        <v>4333</v>
      </c>
      <c r="T1952" t="s">
        <v>4334</v>
      </c>
      <c r="U1952" t="b">
        <v>1</v>
      </c>
      <c r="V1952" t="s">
        <v>63</v>
      </c>
      <c r="W1952">
        <v>0.8</v>
      </c>
    </row>
    <row r="1953" spans="1:23" hidden="1" x14ac:dyDescent="0.3">
      <c r="A1953" t="s">
        <v>4031</v>
      </c>
      <c r="B1953" t="s">
        <v>4032</v>
      </c>
      <c r="C1953" t="s">
        <v>30</v>
      </c>
      <c r="D1953" t="s">
        <v>20</v>
      </c>
      <c r="E1953" t="s">
        <v>21</v>
      </c>
      <c r="F1953" t="s">
        <v>54</v>
      </c>
      <c r="G1953" t="s">
        <v>216</v>
      </c>
      <c r="H1953" t="s">
        <v>160</v>
      </c>
      <c r="I1953" t="s">
        <v>3</v>
      </c>
      <c r="J1953" t="s">
        <v>217</v>
      </c>
      <c r="K1953" t="s">
        <v>218</v>
      </c>
      <c r="L1953" t="s">
        <v>163</v>
      </c>
      <c r="M1953">
        <v>53</v>
      </c>
      <c r="N1953" t="b">
        <v>0</v>
      </c>
      <c r="O1953">
        <v>0.72237196765498657</v>
      </c>
      <c r="R1953" t="s">
        <v>670</v>
      </c>
      <c r="S1953" t="s">
        <v>4335</v>
      </c>
      <c r="T1953" t="s">
        <v>4336</v>
      </c>
      <c r="U1953" t="b">
        <v>1</v>
      </c>
      <c r="V1953" t="s">
        <v>63</v>
      </c>
      <c r="W1953">
        <v>0.6</v>
      </c>
    </row>
    <row r="1954" spans="1:23" hidden="1" x14ac:dyDescent="0.3">
      <c r="A1954" t="s">
        <v>4031</v>
      </c>
      <c r="B1954" t="s">
        <v>4032</v>
      </c>
      <c r="C1954" t="s">
        <v>30</v>
      </c>
      <c r="D1954" t="s">
        <v>20</v>
      </c>
      <c r="E1954" t="s">
        <v>21</v>
      </c>
      <c r="F1954" t="s">
        <v>54</v>
      </c>
      <c r="G1954" t="s">
        <v>221</v>
      </c>
      <c r="H1954" t="s">
        <v>160</v>
      </c>
      <c r="I1954" t="s">
        <v>3</v>
      </c>
      <c r="J1954" t="s">
        <v>222</v>
      </c>
      <c r="K1954" t="s">
        <v>223</v>
      </c>
      <c r="L1954" t="s">
        <v>163</v>
      </c>
      <c r="M1954">
        <v>54</v>
      </c>
      <c r="N1954" t="b">
        <v>0</v>
      </c>
      <c r="O1954">
        <v>0.73424657534246585</v>
      </c>
      <c r="R1954" t="s">
        <v>670</v>
      </c>
      <c r="S1954" t="s">
        <v>4337</v>
      </c>
      <c r="T1954" t="s">
        <v>4338</v>
      </c>
      <c r="U1954" t="b">
        <v>1</v>
      </c>
      <c r="V1954" t="s">
        <v>63</v>
      </c>
      <c r="W1954">
        <v>0.6</v>
      </c>
    </row>
    <row r="1955" spans="1:23" hidden="1" x14ac:dyDescent="0.3">
      <c r="A1955" t="s">
        <v>4031</v>
      </c>
      <c r="B1955" t="s">
        <v>4032</v>
      </c>
      <c r="C1955" t="s">
        <v>30</v>
      </c>
      <c r="D1955" t="s">
        <v>20</v>
      </c>
      <c r="E1955" t="s">
        <v>21</v>
      </c>
      <c r="F1955" t="s">
        <v>54</v>
      </c>
      <c r="G1955" t="s">
        <v>226</v>
      </c>
      <c r="H1955" t="s">
        <v>160</v>
      </c>
      <c r="I1955" t="s">
        <v>3</v>
      </c>
      <c r="J1955" t="s">
        <v>227</v>
      </c>
      <c r="K1955" t="s">
        <v>228</v>
      </c>
      <c r="L1955" t="s">
        <v>163</v>
      </c>
      <c r="M1955">
        <v>55</v>
      </c>
      <c r="N1955" t="b">
        <v>0</v>
      </c>
      <c r="O1955">
        <v>0.72022160664819945</v>
      </c>
      <c r="R1955" t="s">
        <v>670</v>
      </c>
      <c r="S1955" t="s">
        <v>4339</v>
      </c>
      <c r="T1955" t="s">
        <v>4340</v>
      </c>
      <c r="U1955" t="b">
        <v>1</v>
      </c>
      <c r="V1955" t="s">
        <v>63</v>
      </c>
      <c r="W1955">
        <v>0.7</v>
      </c>
    </row>
    <row r="1956" spans="1:23" hidden="1" x14ac:dyDescent="0.3">
      <c r="A1956" t="s">
        <v>4031</v>
      </c>
      <c r="B1956" t="s">
        <v>4032</v>
      </c>
      <c r="C1956" t="s">
        <v>30</v>
      </c>
      <c r="D1956" t="s">
        <v>20</v>
      </c>
      <c r="E1956" t="s">
        <v>21</v>
      </c>
      <c r="F1956" t="s">
        <v>54</v>
      </c>
      <c r="G1956" t="s">
        <v>231</v>
      </c>
      <c r="H1956" t="s">
        <v>160</v>
      </c>
      <c r="I1956" t="s">
        <v>3</v>
      </c>
      <c r="J1956" t="s">
        <v>232</v>
      </c>
      <c r="K1956" t="s">
        <v>233</v>
      </c>
      <c r="L1956" t="s">
        <v>163</v>
      </c>
      <c r="M1956">
        <v>56</v>
      </c>
      <c r="N1956" t="b">
        <v>0</v>
      </c>
      <c r="O1956">
        <v>0.74269005847953218</v>
      </c>
      <c r="R1956" t="s">
        <v>670</v>
      </c>
      <c r="S1956" t="s">
        <v>4341</v>
      </c>
      <c r="T1956" t="s">
        <v>4342</v>
      </c>
      <c r="U1956" t="b">
        <v>1</v>
      </c>
      <c r="V1956" t="s">
        <v>63</v>
      </c>
      <c r="W1956">
        <v>0.6</v>
      </c>
    </row>
    <row r="1957" spans="1:23" hidden="1" x14ac:dyDescent="0.3">
      <c r="A1957" t="s">
        <v>4031</v>
      </c>
      <c r="B1957" t="s">
        <v>4032</v>
      </c>
      <c r="C1957" t="s">
        <v>30</v>
      </c>
      <c r="D1957" t="s">
        <v>20</v>
      </c>
      <c r="E1957" t="s">
        <v>21</v>
      </c>
      <c r="F1957" t="s">
        <v>54</v>
      </c>
      <c r="G1957" t="s">
        <v>236</v>
      </c>
      <c r="H1957" t="s">
        <v>160</v>
      </c>
      <c r="I1957" t="s">
        <v>3</v>
      </c>
      <c r="J1957" t="s">
        <v>237</v>
      </c>
      <c r="K1957" t="s">
        <v>238</v>
      </c>
      <c r="L1957" t="s">
        <v>163</v>
      </c>
      <c r="M1957">
        <v>57</v>
      </c>
      <c r="N1957" t="b">
        <v>0</v>
      </c>
      <c r="O1957">
        <v>0.69938650306748462</v>
      </c>
      <c r="R1957" t="s">
        <v>670</v>
      </c>
      <c r="S1957" t="s">
        <v>4343</v>
      </c>
      <c r="T1957" t="s">
        <v>4344</v>
      </c>
      <c r="U1957" t="b">
        <v>1</v>
      </c>
      <c r="V1957" t="s">
        <v>63</v>
      </c>
      <c r="W1957">
        <v>0.9</v>
      </c>
    </row>
    <row r="1958" spans="1:23" hidden="1" x14ac:dyDescent="0.3">
      <c r="A1958" t="s">
        <v>4031</v>
      </c>
      <c r="B1958" t="s">
        <v>4032</v>
      </c>
      <c r="C1958" t="s">
        <v>30</v>
      </c>
      <c r="D1958" t="s">
        <v>20</v>
      </c>
      <c r="E1958" t="s">
        <v>21</v>
      </c>
      <c r="F1958" t="s">
        <v>54</v>
      </c>
      <c r="G1958" t="s">
        <v>241</v>
      </c>
      <c r="H1958" t="s">
        <v>160</v>
      </c>
      <c r="I1958" t="s">
        <v>3</v>
      </c>
      <c r="J1958" t="s">
        <v>242</v>
      </c>
      <c r="K1958" t="s">
        <v>243</v>
      </c>
      <c r="L1958" t="s">
        <v>163</v>
      </c>
      <c r="M1958">
        <v>58</v>
      </c>
      <c r="N1958" t="b">
        <v>0</v>
      </c>
      <c r="O1958">
        <v>0.67204301075268813</v>
      </c>
      <c r="R1958" t="s">
        <v>670</v>
      </c>
      <c r="S1958" t="s">
        <v>4345</v>
      </c>
      <c r="T1958" t="s">
        <v>4346</v>
      </c>
      <c r="U1958" t="b">
        <v>1</v>
      </c>
      <c r="V1958" t="s">
        <v>63</v>
      </c>
      <c r="W1958">
        <v>1.3</v>
      </c>
    </row>
    <row r="1959" spans="1:23" hidden="1" x14ac:dyDescent="0.3">
      <c r="A1959" t="s">
        <v>4031</v>
      </c>
      <c r="B1959" t="s">
        <v>4032</v>
      </c>
      <c r="C1959" t="s">
        <v>30</v>
      </c>
      <c r="D1959" t="s">
        <v>20</v>
      </c>
      <c r="E1959" t="s">
        <v>21</v>
      </c>
      <c r="F1959" t="s">
        <v>54</v>
      </c>
      <c r="G1959" t="s">
        <v>246</v>
      </c>
      <c r="H1959" t="s">
        <v>160</v>
      </c>
      <c r="I1959" t="s">
        <v>3</v>
      </c>
      <c r="J1959" t="s">
        <v>247</v>
      </c>
      <c r="K1959" t="s">
        <v>248</v>
      </c>
      <c r="L1959" t="s">
        <v>163</v>
      </c>
      <c r="M1959">
        <v>59</v>
      </c>
      <c r="N1959" t="b">
        <v>0</v>
      </c>
      <c r="O1959">
        <v>0.74556213017751471</v>
      </c>
      <c r="R1959" t="s">
        <v>670</v>
      </c>
      <c r="S1959" t="s">
        <v>4347</v>
      </c>
      <c r="T1959" t="s">
        <v>4348</v>
      </c>
      <c r="U1959" t="b">
        <v>1</v>
      </c>
      <c r="V1959" t="s">
        <v>63</v>
      </c>
      <c r="W1959">
        <v>0.7</v>
      </c>
    </row>
    <row r="1960" spans="1:23" hidden="1" x14ac:dyDescent="0.3">
      <c r="A1960" t="s">
        <v>4031</v>
      </c>
      <c r="B1960" t="s">
        <v>4032</v>
      </c>
      <c r="C1960" t="s">
        <v>30</v>
      </c>
      <c r="D1960" t="s">
        <v>20</v>
      </c>
      <c r="E1960" t="s">
        <v>21</v>
      </c>
      <c r="F1960" t="s">
        <v>54</v>
      </c>
      <c r="G1960" t="s">
        <v>251</v>
      </c>
      <c r="H1960" t="s">
        <v>160</v>
      </c>
      <c r="I1960" t="s">
        <v>3</v>
      </c>
      <c r="J1960" t="s">
        <v>252</v>
      </c>
      <c r="K1960" t="s">
        <v>253</v>
      </c>
      <c r="L1960" t="s">
        <v>163</v>
      </c>
      <c r="M1960">
        <v>60</v>
      </c>
      <c r="N1960" t="b">
        <v>0</v>
      </c>
      <c r="O1960">
        <v>0.68279569892473113</v>
      </c>
      <c r="R1960" t="s">
        <v>670</v>
      </c>
      <c r="S1960" t="s">
        <v>4349</v>
      </c>
      <c r="T1960" t="s">
        <v>4350</v>
      </c>
      <c r="U1960" t="b">
        <v>1</v>
      </c>
      <c r="V1960" t="s">
        <v>63</v>
      </c>
      <c r="W1960">
        <v>0.7</v>
      </c>
    </row>
    <row r="1961" spans="1:23" hidden="1" x14ac:dyDescent="0.3">
      <c r="A1961" t="s">
        <v>4031</v>
      </c>
      <c r="B1961" t="s">
        <v>4032</v>
      </c>
      <c r="C1961" t="s">
        <v>30</v>
      </c>
      <c r="D1961" t="s">
        <v>20</v>
      </c>
      <c r="E1961" t="s">
        <v>21</v>
      </c>
      <c r="F1961" t="s">
        <v>54</v>
      </c>
      <c r="G1961" t="s">
        <v>256</v>
      </c>
      <c r="H1961" t="s">
        <v>160</v>
      </c>
      <c r="I1961" t="s">
        <v>3</v>
      </c>
      <c r="J1961" t="s">
        <v>257</v>
      </c>
      <c r="K1961" t="s">
        <v>258</v>
      </c>
      <c r="L1961" t="s">
        <v>163</v>
      </c>
      <c r="M1961">
        <v>61</v>
      </c>
      <c r="N1961" t="b">
        <v>0</v>
      </c>
      <c r="O1961">
        <v>0.74857142857142855</v>
      </c>
      <c r="R1961" t="s">
        <v>670</v>
      </c>
      <c r="S1961" t="s">
        <v>4351</v>
      </c>
      <c r="T1961" t="s">
        <v>4352</v>
      </c>
      <c r="U1961" t="b">
        <v>1</v>
      </c>
      <c r="V1961" t="s">
        <v>63</v>
      </c>
      <c r="W1961">
        <v>0.7</v>
      </c>
    </row>
    <row r="1962" spans="1:23" hidden="1" x14ac:dyDescent="0.3">
      <c r="A1962" t="s">
        <v>4031</v>
      </c>
      <c r="B1962" t="s">
        <v>4032</v>
      </c>
      <c r="C1962" t="s">
        <v>30</v>
      </c>
      <c r="D1962" t="s">
        <v>20</v>
      </c>
      <c r="E1962" t="s">
        <v>21</v>
      </c>
      <c r="F1962" t="s">
        <v>54</v>
      </c>
      <c r="G1962" t="s">
        <v>261</v>
      </c>
      <c r="H1962" t="s">
        <v>262</v>
      </c>
      <c r="I1962" t="s">
        <v>5</v>
      </c>
      <c r="J1962" t="s">
        <v>263</v>
      </c>
      <c r="K1962" t="s">
        <v>264</v>
      </c>
      <c r="L1962" t="s">
        <v>265</v>
      </c>
      <c r="M1962">
        <v>42</v>
      </c>
      <c r="N1962" t="b">
        <v>0</v>
      </c>
      <c r="O1962">
        <v>0.69739478957915835</v>
      </c>
      <c r="R1962" t="s">
        <v>670</v>
      </c>
      <c r="S1962" t="s">
        <v>4353</v>
      </c>
      <c r="T1962" t="s">
        <v>4354</v>
      </c>
      <c r="U1962" t="b">
        <v>1</v>
      </c>
      <c r="V1962" t="s">
        <v>63</v>
      </c>
      <c r="W1962">
        <v>0.7</v>
      </c>
    </row>
    <row r="1963" spans="1:23" hidden="1" x14ac:dyDescent="0.3">
      <c r="A1963" t="s">
        <v>4031</v>
      </c>
      <c r="B1963" t="s">
        <v>4032</v>
      </c>
      <c r="C1963" t="s">
        <v>30</v>
      </c>
      <c r="D1963" t="s">
        <v>20</v>
      </c>
      <c r="E1963" t="s">
        <v>21</v>
      </c>
      <c r="F1963" t="s">
        <v>54</v>
      </c>
      <c r="G1963" t="s">
        <v>268</v>
      </c>
      <c r="H1963" t="s">
        <v>262</v>
      </c>
      <c r="I1963" t="s">
        <v>5</v>
      </c>
      <c r="J1963" t="s">
        <v>269</v>
      </c>
      <c r="K1963" t="s">
        <v>270</v>
      </c>
      <c r="L1963" t="s">
        <v>265</v>
      </c>
      <c r="M1963">
        <v>43</v>
      </c>
      <c r="N1963" t="b">
        <v>0</v>
      </c>
      <c r="O1963">
        <v>0.66960352422907488</v>
      </c>
      <c r="R1963" t="s">
        <v>670</v>
      </c>
      <c r="S1963" t="s">
        <v>4355</v>
      </c>
      <c r="T1963" t="s">
        <v>4356</v>
      </c>
      <c r="U1963" t="b">
        <v>1</v>
      </c>
      <c r="V1963" t="s">
        <v>63</v>
      </c>
      <c r="W1963">
        <v>0.8</v>
      </c>
    </row>
    <row r="1964" spans="1:23" hidden="1" x14ac:dyDescent="0.3">
      <c r="A1964" t="s">
        <v>4031</v>
      </c>
      <c r="B1964" t="s">
        <v>4032</v>
      </c>
      <c r="C1964" t="s">
        <v>30</v>
      </c>
      <c r="D1964" t="s">
        <v>20</v>
      </c>
      <c r="E1964" t="s">
        <v>21</v>
      </c>
      <c r="F1964" t="s">
        <v>54</v>
      </c>
      <c r="G1964" t="s">
        <v>273</v>
      </c>
      <c r="H1964" t="s">
        <v>262</v>
      </c>
      <c r="I1964" t="s">
        <v>5</v>
      </c>
      <c r="J1964" t="s">
        <v>274</v>
      </c>
      <c r="K1964" t="s">
        <v>275</v>
      </c>
      <c r="L1964" t="s">
        <v>265</v>
      </c>
      <c r="M1964">
        <v>44</v>
      </c>
      <c r="N1964" t="b">
        <v>0</v>
      </c>
      <c r="O1964">
        <v>0.72197309417040367</v>
      </c>
      <c r="R1964" t="s">
        <v>670</v>
      </c>
      <c r="S1964" t="s">
        <v>4357</v>
      </c>
      <c r="T1964" t="s">
        <v>4358</v>
      </c>
      <c r="U1964" t="b">
        <v>1</v>
      </c>
      <c r="V1964" t="s">
        <v>63</v>
      </c>
      <c r="W1964">
        <v>0.8</v>
      </c>
    </row>
    <row r="1965" spans="1:23" hidden="1" x14ac:dyDescent="0.3">
      <c r="A1965" t="s">
        <v>4031</v>
      </c>
      <c r="B1965" t="s">
        <v>4032</v>
      </c>
      <c r="C1965" t="s">
        <v>30</v>
      </c>
      <c r="D1965" t="s">
        <v>20</v>
      </c>
      <c r="E1965" t="s">
        <v>21</v>
      </c>
      <c r="F1965" t="s">
        <v>54</v>
      </c>
      <c r="G1965" t="s">
        <v>278</v>
      </c>
      <c r="H1965" t="s">
        <v>262</v>
      </c>
      <c r="I1965" t="s">
        <v>5</v>
      </c>
      <c r="J1965" t="s">
        <v>279</v>
      </c>
      <c r="K1965" t="s">
        <v>280</v>
      </c>
      <c r="L1965" t="s">
        <v>265</v>
      </c>
      <c r="M1965">
        <v>45</v>
      </c>
      <c r="N1965" t="b">
        <v>0</v>
      </c>
      <c r="O1965">
        <v>0.78082191780821919</v>
      </c>
      <c r="R1965" t="s">
        <v>670</v>
      </c>
      <c r="S1965" t="s">
        <v>4359</v>
      </c>
      <c r="T1965" t="s">
        <v>4360</v>
      </c>
      <c r="U1965" t="b">
        <v>1</v>
      </c>
      <c r="V1965" t="s">
        <v>63</v>
      </c>
      <c r="W1965">
        <v>0.6</v>
      </c>
    </row>
    <row r="1966" spans="1:23" hidden="1" x14ac:dyDescent="0.3">
      <c r="A1966" t="s">
        <v>4031</v>
      </c>
      <c r="B1966" t="s">
        <v>4032</v>
      </c>
      <c r="C1966" t="s">
        <v>30</v>
      </c>
      <c r="D1966" t="s">
        <v>20</v>
      </c>
      <c r="E1966" t="s">
        <v>21</v>
      </c>
      <c r="F1966" t="s">
        <v>54</v>
      </c>
      <c r="G1966" t="s">
        <v>283</v>
      </c>
      <c r="H1966" t="s">
        <v>262</v>
      </c>
      <c r="I1966" t="s">
        <v>5</v>
      </c>
      <c r="J1966" t="s">
        <v>284</v>
      </c>
      <c r="K1966" t="s">
        <v>285</v>
      </c>
      <c r="L1966" t="s">
        <v>265</v>
      </c>
      <c r="M1966">
        <v>46</v>
      </c>
      <c r="N1966" t="b">
        <v>0</v>
      </c>
      <c r="O1966">
        <v>0.76483516483516489</v>
      </c>
      <c r="R1966" t="s">
        <v>670</v>
      </c>
      <c r="S1966" t="s">
        <v>4361</v>
      </c>
      <c r="T1966" t="s">
        <v>4362</v>
      </c>
      <c r="U1966" t="b">
        <v>1</v>
      </c>
      <c r="V1966" t="s">
        <v>63</v>
      </c>
      <c r="W1966">
        <v>0.6</v>
      </c>
    </row>
    <row r="1967" spans="1:23" hidden="1" x14ac:dyDescent="0.3">
      <c r="A1967" t="s">
        <v>4031</v>
      </c>
      <c r="B1967" t="s">
        <v>4032</v>
      </c>
      <c r="C1967" t="s">
        <v>30</v>
      </c>
      <c r="D1967" t="s">
        <v>20</v>
      </c>
      <c r="E1967" t="s">
        <v>21</v>
      </c>
      <c r="F1967" t="s">
        <v>54</v>
      </c>
      <c r="G1967" t="s">
        <v>288</v>
      </c>
      <c r="H1967" t="s">
        <v>262</v>
      </c>
      <c r="I1967" t="s">
        <v>5</v>
      </c>
      <c r="J1967" t="s">
        <v>289</v>
      </c>
      <c r="K1967" t="s">
        <v>290</v>
      </c>
      <c r="L1967" t="s">
        <v>265</v>
      </c>
      <c r="M1967">
        <v>47</v>
      </c>
      <c r="N1967" t="b">
        <v>0</v>
      </c>
      <c r="O1967">
        <v>0.76169265033407574</v>
      </c>
      <c r="R1967" t="s">
        <v>670</v>
      </c>
      <c r="S1967" t="s">
        <v>4363</v>
      </c>
      <c r="T1967" t="s">
        <v>4364</v>
      </c>
      <c r="U1967" t="b">
        <v>1</v>
      </c>
      <c r="V1967" t="s">
        <v>63</v>
      </c>
      <c r="W1967">
        <v>0.6</v>
      </c>
    </row>
    <row r="1968" spans="1:23" hidden="1" x14ac:dyDescent="0.3">
      <c r="A1968" t="s">
        <v>4031</v>
      </c>
      <c r="B1968" t="s">
        <v>4032</v>
      </c>
      <c r="C1968" t="s">
        <v>30</v>
      </c>
      <c r="D1968" t="s">
        <v>20</v>
      </c>
      <c r="E1968" t="s">
        <v>21</v>
      </c>
      <c r="F1968" t="s">
        <v>54</v>
      </c>
      <c r="G1968" t="s">
        <v>293</v>
      </c>
      <c r="H1968" t="s">
        <v>262</v>
      </c>
      <c r="I1968" t="s">
        <v>5</v>
      </c>
      <c r="J1968" t="s">
        <v>294</v>
      </c>
      <c r="K1968" t="s">
        <v>295</v>
      </c>
      <c r="L1968" t="s">
        <v>265</v>
      </c>
      <c r="M1968">
        <v>48</v>
      </c>
      <c r="N1968" t="b">
        <v>0</v>
      </c>
      <c r="O1968">
        <v>0.68505747126436778</v>
      </c>
      <c r="R1968" t="s">
        <v>670</v>
      </c>
      <c r="S1968" t="s">
        <v>4365</v>
      </c>
      <c r="T1968" t="s">
        <v>4366</v>
      </c>
      <c r="U1968" t="b">
        <v>1</v>
      </c>
      <c r="V1968" t="s">
        <v>63</v>
      </c>
      <c r="W1968">
        <v>0.6</v>
      </c>
    </row>
    <row r="1969" spans="1:23" hidden="1" x14ac:dyDescent="0.3">
      <c r="A1969" t="s">
        <v>4031</v>
      </c>
      <c r="B1969" t="s">
        <v>4032</v>
      </c>
      <c r="C1969" t="s">
        <v>30</v>
      </c>
      <c r="D1969" t="s">
        <v>20</v>
      </c>
      <c r="E1969" t="s">
        <v>21</v>
      </c>
      <c r="F1969" t="s">
        <v>54</v>
      </c>
      <c r="G1969" t="s">
        <v>298</v>
      </c>
      <c r="H1969" t="s">
        <v>262</v>
      </c>
      <c r="I1969" t="s">
        <v>5</v>
      </c>
      <c r="J1969" t="s">
        <v>299</v>
      </c>
      <c r="K1969" t="s">
        <v>300</v>
      </c>
      <c r="L1969" t="s">
        <v>265</v>
      </c>
      <c r="M1969">
        <v>49</v>
      </c>
      <c r="N1969" t="b">
        <v>0</v>
      </c>
      <c r="O1969">
        <v>0.74782608695652164</v>
      </c>
      <c r="R1969" t="s">
        <v>670</v>
      </c>
      <c r="S1969" t="s">
        <v>4367</v>
      </c>
      <c r="T1969" t="s">
        <v>4368</v>
      </c>
      <c r="U1969" t="b">
        <v>1</v>
      </c>
      <c r="V1969" t="s">
        <v>63</v>
      </c>
      <c r="W1969">
        <v>0.7</v>
      </c>
    </row>
    <row r="1970" spans="1:23" hidden="1" x14ac:dyDescent="0.3">
      <c r="A1970" t="s">
        <v>4031</v>
      </c>
      <c r="B1970" t="s">
        <v>4032</v>
      </c>
      <c r="C1970" t="s">
        <v>30</v>
      </c>
      <c r="D1970" t="s">
        <v>20</v>
      </c>
      <c r="E1970" t="s">
        <v>21</v>
      </c>
      <c r="F1970" t="s">
        <v>54</v>
      </c>
      <c r="G1970" t="s">
        <v>303</v>
      </c>
      <c r="H1970" t="s">
        <v>262</v>
      </c>
      <c r="I1970" t="s">
        <v>5</v>
      </c>
      <c r="J1970" t="s">
        <v>304</v>
      </c>
      <c r="K1970" t="s">
        <v>305</v>
      </c>
      <c r="L1970" t="s">
        <v>265</v>
      </c>
      <c r="M1970">
        <v>50</v>
      </c>
      <c r="N1970" t="b">
        <v>0</v>
      </c>
      <c r="O1970">
        <v>0.7544642857142857</v>
      </c>
      <c r="R1970" t="s">
        <v>670</v>
      </c>
      <c r="S1970" t="s">
        <v>4369</v>
      </c>
      <c r="T1970" t="s">
        <v>4370</v>
      </c>
      <c r="U1970" t="b">
        <v>1</v>
      </c>
      <c r="V1970" t="s">
        <v>63</v>
      </c>
      <c r="W1970">
        <v>0.8</v>
      </c>
    </row>
    <row r="1971" spans="1:23" hidden="1" x14ac:dyDescent="0.3">
      <c r="A1971" t="s">
        <v>4031</v>
      </c>
      <c r="B1971" t="s">
        <v>4032</v>
      </c>
      <c r="C1971" t="s">
        <v>30</v>
      </c>
      <c r="D1971" t="s">
        <v>20</v>
      </c>
      <c r="E1971" t="s">
        <v>21</v>
      </c>
      <c r="F1971" t="s">
        <v>54</v>
      </c>
      <c r="G1971" t="s">
        <v>308</v>
      </c>
      <c r="H1971" t="s">
        <v>262</v>
      </c>
      <c r="I1971" t="s">
        <v>5</v>
      </c>
      <c r="J1971" t="s">
        <v>309</v>
      </c>
      <c r="K1971" t="s">
        <v>310</v>
      </c>
      <c r="L1971" t="s">
        <v>265</v>
      </c>
      <c r="M1971">
        <v>51</v>
      </c>
      <c r="N1971" t="b">
        <v>0</v>
      </c>
      <c r="O1971">
        <v>0.75229357798165142</v>
      </c>
      <c r="R1971" t="s">
        <v>670</v>
      </c>
      <c r="S1971" t="s">
        <v>4371</v>
      </c>
      <c r="T1971" t="s">
        <v>4372</v>
      </c>
      <c r="U1971" t="b">
        <v>1</v>
      </c>
      <c r="V1971" t="s">
        <v>63</v>
      </c>
      <c r="W1971">
        <v>0.8</v>
      </c>
    </row>
    <row r="1972" spans="1:23" hidden="1" x14ac:dyDescent="0.3">
      <c r="A1972" t="s">
        <v>4031</v>
      </c>
      <c r="B1972" t="s">
        <v>4032</v>
      </c>
      <c r="C1972" t="s">
        <v>30</v>
      </c>
      <c r="D1972" t="s">
        <v>20</v>
      </c>
      <c r="E1972" t="s">
        <v>21</v>
      </c>
      <c r="F1972" t="s">
        <v>54</v>
      </c>
      <c r="G1972" t="s">
        <v>313</v>
      </c>
      <c r="H1972" t="s">
        <v>262</v>
      </c>
      <c r="I1972" t="s">
        <v>5</v>
      </c>
      <c r="J1972" t="s">
        <v>314</v>
      </c>
      <c r="K1972" t="s">
        <v>315</v>
      </c>
      <c r="L1972" t="s">
        <v>265</v>
      </c>
      <c r="M1972">
        <v>52</v>
      </c>
      <c r="N1972" t="b">
        <v>0</v>
      </c>
      <c r="O1972">
        <v>0.73036093418259018</v>
      </c>
      <c r="R1972" t="s">
        <v>670</v>
      </c>
      <c r="S1972" t="s">
        <v>4373</v>
      </c>
      <c r="T1972" t="s">
        <v>4374</v>
      </c>
      <c r="U1972" t="b">
        <v>1</v>
      </c>
      <c r="V1972" t="s">
        <v>63</v>
      </c>
      <c r="W1972">
        <v>0.7</v>
      </c>
    </row>
    <row r="1973" spans="1:23" hidden="1" x14ac:dyDescent="0.3">
      <c r="A1973" t="s">
        <v>4031</v>
      </c>
      <c r="B1973" t="s">
        <v>4032</v>
      </c>
      <c r="C1973" t="s">
        <v>30</v>
      </c>
      <c r="D1973" t="s">
        <v>20</v>
      </c>
      <c r="E1973" t="s">
        <v>21</v>
      </c>
      <c r="F1973" t="s">
        <v>54</v>
      </c>
      <c r="G1973" t="s">
        <v>318</v>
      </c>
      <c r="H1973" t="s">
        <v>262</v>
      </c>
      <c r="I1973" t="s">
        <v>5</v>
      </c>
      <c r="J1973" t="s">
        <v>319</v>
      </c>
      <c r="K1973" t="s">
        <v>320</v>
      </c>
      <c r="L1973" t="s">
        <v>265</v>
      </c>
      <c r="M1973">
        <v>53</v>
      </c>
      <c r="N1973" t="b">
        <v>0</v>
      </c>
      <c r="O1973">
        <v>0.72921108742004259</v>
      </c>
      <c r="R1973" t="s">
        <v>670</v>
      </c>
      <c r="S1973" t="s">
        <v>4375</v>
      </c>
      <c r="T1973" t="s">
        <v>4376</v>
      </c>
      <c r="U1973" t="b">
        <v>1</v>
      </c>
      <c r="V1973" t="s">
        <v>63</v>
      </c>
      <c r="W1973">
        <v>0.6</v>
      </c>
    </row>
    <row r="1974" spans="1:23" hidden="1" x14ac:dyDescent="0.3">
      <c r="A1974" t="s">
        <v>4031</v>
      </c>
      <c r="B1974" t="s">
        <v>4032</v>
      </c>
      <c r="C1974" t="s">
        <v>30</v>
      </c>
      <c r="D1974" t="s">
        <v>20</v>
      </c>
      <c r="E1974" t="s">
        <v>21</v>
      </c>
      <c r="F1974" t="s">
        <v>54</v>
      </c>
      <c r="G1974" t="s">
        <v>323</v>
      </c>
      <c r="H1974" t="s">
        <v>262</v>
      </c>
      <c r="I1974" t="s">
        <v>5</v>
      </c>
      <c r="J1974" t="s">
        <v>324</v>
      </c>
      <c r="K1974" t="s">
        <v>325</v>
      </c>
      <c r="L1974" t="s">
        <v>265</v>
      </c>
      <c r="M1974">
        <v>54</v>
      </c>
      <c r="N1974" t="b">
        <v>0</v>
      </c>
      <c r="O1974">
        <v>0.70897155361050324</v>
      </c>
      <c r="R1974" t="s">
        <v>670</v>
      </c>
      <c r="S1974" t="s">
        <v>4377</v>
      </c>
      <c r="T1974" t="s">
        <v>4378</v>
      </c>
      <c r="U1974" t="b">
        <v>1</v>
      </c>
      <c r="V1974" t="s">
        <v>63</v>
      </c>
      <c r="W1974">
        <v>0.8</v>
      </c>
    </row>
    <row r="1975" spans="1:23" hidden="1" x14ac:dyDescent="0.3">
      <c r="A1975" t="s">
        <v>4031</v>
      </c>
      <c r="B1975" t="s">
        <v>4032</v>
      </c>
      <c r="C1975" t="s">
        <v>30</v>
      </c>
      <c r="D1975" t="s">
        <v>20</v>
      </c>
      <c r="E1975" t="s">
        <v>21</v>
      </c>
      <c r="F1975" t="s">
        <v>54</v>
      </c>
      <c r="G1975" t="s">
        <v>328</v>
      </c>
      <c r="H1975" t="s">
        <v>262</v>
      </c>
      <c r="I1975" t="s">
        <v>5</v>
      </c>
      <c r="J1975" t="s">
        <v>329</v>
      </c>
      <c r="K1975" t="s">
        <v>330</v>
      </c>
      <c r="L1975" t="s">
        <v>265</v>
      </c>
      <c r="M1975">
        <v>55</v>
      </c>
      <c r="N1975" t="b">
        <v>0</v>
      </c>
      <c r="O1975">
        <v>0.75374732334047101</v>
      </c>
      <c r="R1975" t="s">
        <v>670</v>
      </c>
      <c r="S1975" t="s">
        <v>4379</v>
      </c>
      <c r="T1975" t="s">
        <v>4380</v>
      </c>
      <c r="U1975" t="b">
        <v>1</v>
      </c>
      <c r="V1975" t="s">
        <v>63</v>
      </c>
      <c r="W1975">
        <v>0.6</v>
      </c>
    </row>
    <row r="1976" spans="1:23" hidden="1" x14ac:dyDescent="0.3">
      <c r="A1976" t="s">
        <v>4031</v>
      </c>
      <c r="B1976" t="s">
        <v>4032</v>
      </c>
      <c r="C1976" t="s">
        <v>30</v>
      </c>
      <c r="D1976" t="s">
        <v>20</v>
      </c>
      <c r="E1976" t="s">
        <v>21</v>
      </c>
      <c r="F1976" t="s">
        <v>54</v>
      </c>
      <c r="G1976" t="s">
        <v>333</v>
      </c>
      <c r="H1976" t="s">
        <v>262</v>
      </c>
      <c r="I1976" t="s">
        <v>5</v>
      </c>
      <c r="J1976" t="s">
        <v>334</v>
      </c>
      <c r="K1976" t="s">
        <v>335</v>
      </c>
      <c r="L1976" t="s">
        <v>265</v>
      </c>
      <c r="M1976">
        <v>56</v>
      </c>
      <c r="N1976" t="b">
        <v>0</v>
      </c>
      <c r="O1976">
        <v>0.7394209354120268</v>
      </c>
      <c r="R1976" t="s">
        <v>670</v>
      </c>
      <c r="S1976" t="s">
        <v>4381</v>
      </c>
      <c r="T1976" t="s">
        <v>4382</v>
      </c>
      <c r="U1976" t="b">
        <v>1</v>
      </c>
      <c r="V1976" t="s">
        <v>63</v>
      </c>
      <c r="W1976">
        <v>0.6</v>
      </c>
    </row>
    <row r="1977" spans="1:23" hidden="1" x14ac:dyDescent="0.3">
      <c r="A1977" t="s">
        <v>4031</v>
      </c>
      <c r="B1977" t="s">
        <v>4032</v>
      </c>
      <c r="C1977" t="s">
        <v>30</v>
      </c>
      <c r="D1977" t="s">
        <v>20</v>
      </c>
      <c r="E1977" t="s">
        <v>21</v>
      </c>
      <c r="F1977" t="s">
        <v>54</v>
      </c>
      <c r="G1977" t="s">
        <v>338</v>
      </c>
      <c r="H1977" t="s">
        <v>262</v>
      </c>
      <c r="I1977" t="s">
        <v>5</v>
      </c>
      <c r="J1977" t="s">
        <v>339</v>
      </c>
      <c r="K1977" t="s">
        <v>340</v>
      </c>
      <c r="L1977" t="s">
        <v>265</v>
      </c>
      <c r="M1977">
        <v>57</v>
      </c>
      <c r="N1977" t="b">
        <v>0</v>
      </c>
      <c r="O1977">
        <v>0.70488322717622076</v>
      </c>
      <c r="R1977" t="s">
        <v>670</v>
      </c>
      <c r="S1977" t="s">
        <v>4383</v>
      </c>
      <c r="T1977" t="s">
        <v>4384</v>
      </c>
      <c r="U1977" t="b">
        <v>1</v>
      </c>
      <c r="V1977" t="s">
        <v>63</v>
      </c>
      <c r="W1977">
        <v>0.6</v>
      </c>
    </row>
    <row r="1978" spans="1:23" hidden="1" x14ac:dyDescent="0.3">
      <c r="A1978" t="s">
        <v>4031</v>
      </c>
      <c r="B1978" t="s">
        <v>4032</v>
      </c>
      <c r="C1978" t="s">
        <v>30</v>
      </c>
      <c r="D1978" t="s">
        <v>20</v>
      </c>
      <c r="E1978" t="s">
        <v>21</v>
      </c>
      <c r="F1978" t="s">
        <v>54</v>
      </c>
      <c r="G1978" t="s">
        <v>343</v>
      </c>
      <c r="H1978" t="s">
        <v>262</v>
      </c>
      <c r="I1978" t="s">
        <v>5</v>
      </c>
      <c r="J1978" t="s">
        <v>344</v>
      </c>
      <c r="K1978" t="s">
        <v>345</v>
      </c>
      <c r="L1978" t="s">
        <v>265</v>
      </c>
      <c r="M1978">
        <v>58</v>
      </c>
      <c r="N1978" t="b">
        <v>0</v>
      </c>
      <c r="O1978">
        <v>0.69298245614035081</v>
      </c>
      <c r="R1978" t="s">
        <v>670</v>
      </c>
      <c r="S1978" t="s">
        <v>4385</v>
      </c>
      <c r="T1978" t="s">
        <v>4386</v>
      </c>
      <c r="U1978" t="b">
        <v>1</v>
      </c>
      <c r="V1978" t="s">
        <v>63</v>
      </c>
      <c r="W1978">
        <v>1.5</v>
      </c>
    </row>
    <row r="1979" spans="1:23" hidden="1" x14ac:dyDescent="0.3">
      <c r="A1979" t="s">
        <v>4031</v>
      </c>
      <c r="B1979" t="s">
        <v>4032</v>
      </c>
      <c r="C1979" t="s">
        <v>30</v>
      </c>
      <c r="D1979" t="s">
        <v>20</v>
      </c>
      <c r="E1979" t="s">
        <v>21</v>
      </c>
      <c r="F1979" t="s">
        <v>54</v>
      </c>
      <c r="G1979" t="s">
        <v>348</v>
      </c>
      <c r="H1979" t="s">
        <v>262</v>
      </c>
      <c r="I1979" t="s">
        <v>5</v>
      </c>
      <c r="J1979" t="s">
        <v>349</v>
      </c>
      <c r="K1979" t="s">
        <v>350</v>
      </c>
      <c r="L1979" t="s">
        <v>265</v>
      </c>
      <c r="M1979">
        <v>59</v>
      </c>
      <c r="N1979" t="b">
        <v>0</v>
      </c>
      <c r="O1979">
        <v>0.68965517241379304</v>
      </c>
      <c r="R1979" t="s">
        <v>670</v>
      </c>
      <c r="S1979" t="s">
        <v>4387</v>
      </c>
      <c r="T1979" t="s">
        <v>4388</v>
      </c>
      <c r="U1979" t="b">
        <v>1</v>
      </c>
      <c r="V1979" t="s">
        <v>63</v>
      </c>
      <c r="W1979">
        <v>0.6</v>
      </c>
    </row>
    <row r="1980" spans="1:23" hidden="1" x14ac:dyDescent="0.3">
      <c r="A1980" t="s">
        <v>4031</v>
      </c>
      <c r="B1980" t="s">
        <v>4032</v>
      </c>
      <c r="C1980" t="s">
        <v>30</v>
      </c>
      <c r="D1980" t="s">
        <v>20</v>
      </c>
      <c r="E1980" t="s">
        <v>21</v>
      </c>
      <c r="F1980" t="s">
        <v>54</v>
      </c>
      <c r="G1980" t="s">
        <v>353</v>
      </c>
      <c r="H1980" t="s">
        <v>262</v>
      </c>
      <c r="I1980" t="s">
        <v>5</v>
      </c>
      <c r="J1980" t="s">
        <v>354</v>
      </c>
      <c r="K1980" t="s">
        <v>355</v>
      </c>
      <c r="L1980" t="s">
        <v>265</v>
      </c>
      <c r="M1980">
        <v>60</v>
      </c>
      <c r="N1980" t="b">
        <v>0</v>
      </c>
      <c r="O1980">
        <v>0.7466666666666667</v>
      </c>
      <c r="R1980" t="s">
        <v>670</v>
      </c>
      <c r="S1980" t="s">
        <v>4389</v>
      </c>
      <c r="T1980" t="s">
        <v>4390</v>
      </c>
      <c r="U1980" t="b">
        <v>1</v>
      </c>
      <c r="V1980" t="s">
        <v>63</v>
      </c>
      <c r="W1980">
        <v>0.7</v>
      </c>
    </row>
    <row r="1981" spans="1:23" hidden="1" x14ac:dyDescent="0.3">
      <c r="A1981" t="s">
        <v>4031</v>
      </c>
      <c r="B1981" t="s">
        <v>4032</v>
      </c>
      <c r="C1981" t="s">
        <v>30</v>
      </c>
      <c r="D1981" t="s">
        <v>20</v>
      </c>
      <c r="E1981" t="s">
        <v>21</v>
      </c>
      <c r="F1981" t="s">
        <v>54</v>
      </c>
      <c r="G1981" t="s">
        <v>358</v>
      </c>
      <c r="H1981" t="s">
        <v>262</v>
      </c>
      <c r="I1981" t="s">
        <v>5</v>
      </c>
      <c r="J1981" t="s">
        <v>359</v>
      </c>
      <c r="K1981" t="s">
        <v>360</v>
      </c>
      <c r="L1981" t="s">
        <v>265</v>
      </c>
      <c r="M1981">
        <v>61</v>
      </c>
      <c r="N1981" t="b">
        <v>0</v>
      </c>
      <c r="O1981">
        <v>0.73127753303964771</v>
      </c>
      <c r="R1981" t="s">
        <v>670</v>
      </c>
      <c r="S1981" t="s">
        <v>4391</v>
      </c>
      <c r="T1981" t="s">
        <v>4392</v>
      </c>
      <c r="U1981" t="b">
        <v>1</v>
      </c>
      <c r="V1981" t="s">
        <v>63</v>
      </c>
      <c r="W1981">
        <v>0.9</v>
      </c>
    </row>
    <row r="1982" spans="1:23" hidden="1" x14ac:dyDescent="0.3">
      <c r="A1982" t="s">
        <v>4031</v>
      </c>
      <c r="B1982" t="s">
        <v>4032</v>
      </c>
      <c r="C1982" t="s">
        <v>30</v>
      </c>
      <c r="D1982" t="s">
        <v>20</v>
      </c>
      <c r="E1982" t="s">
        <v>21</v>
      </c>
      <c r="F1982" t="s">
        <v>363</v>
      </c>
      <c r="G1982" t="s">
        <v>364</v>
      </c>
      <c r="H1982" t="s">
        <v>365</v>
      </c>
      <c r="I1982" t="s">
        <v>13</v>
      </c>
      <c r="J1982" t="s">
        <v>366</v>
      </c>
      <c r="K1982" t="s">
        <v>367</v>
      </c>
      <c r="L1982" t="s">
        <v>368</v>
      </c>
      <c r="M1982">
        <v>42</v>
      </c>
      <c r="N1982" t="b">
        <v>0</v>
      </c>
      <c r="O1982">
        <v>0.79405520169851374</v>
      </c>
      <c r="R1982" t="s">
        <v>670</v>
      </c>
      <c r="S1982" t="s">
        <v>4393</v>
      </c>
      <c r="T1982" t="s">
        <v>4394</v>
      </c>
      <c r="U1982" t="b">
        <v>1</v>
      </c>
      <c r="V1982" t="s">
        <v>63</v>
      </c>
      <c r="W1982">
        <v>0.9</v>
      </c>
    </row>
    <row r="1983" spans="1:23" hidden="1" x14ac:dyDescent="0.3">
      <c r="A1983" t="s">
        <v>4031</v>
      </c>
      <c r="B1983" t="s">
        <v>4032</v>
      </c>
      <c r="C1983" t="s">
        <v>30</v>
      </c>
      <c r="D1983" t="s">
        <v>20</v>
      </c>
      <c r="E1983" t="s">
        <v>21</v>
      </c>
      <c r="F1983" t="s">
        <v>363</v>
      </c>
      <c r="G1983" t="s">
        <v>371</v>
      </c>
      <c r="H1983" t="s">
        <v>365</v>
      </c>
      <c r="I1983" t="s">
        <v>13</v>
      </c>
      <c r="J1983" t="s">
        <v>372</v>
      </c>
      <c r="K1983" t="s">
        <v>373</v>
      </c>
      <c r="L1983" t="s">
        <v>368</v>
      </c>
      <c r="M1983">
        <v>43</v>
      </c>
      <c r="N1983" t="b">
        <v>0</v>
      </c>
      <c r="O1983">
        <v>0.80842105263157893</v>
      </c>
      <c r="R1983" t="s">
        <v>670</v>
      </c>
      <c r="S1983" t="s">
        <v>4395</v>
      </c>
      <c r="T1983" t="s">
        <v>4396</v>
      </c>
      <c r="U1983" t="b">
        <v>1</v>
      </c>
      <c r="V1983" t="s">
        <v>63</v>
      </c>
      <c r="W1983">
        <v>0.6</v>
      </c>
    </row>
    <row r="1984" spans="1:23" hidden="1" x14ac:dyDescent="0.3">
      <c r="A1984" t="s">
        <v>4031</v>
      </c>
      <c r="B1984" t="s">
        <v>4032</v>
      </c>
      <c r="C1984" t="s">
        <v>30</v>
      </c>
      <c r="D1984" t="s">
        <v>20</v>
      </c>
      <c r="E1984" t="s">
        <v>21</v>
      </c>
      <c r="F1984" t="s">
        <v>363</v>
      </c>
      <c r="G1984" t="s">
        <v>376</v>
      </c>
      <c r="H1984" t="s">
        <v>365</v>
      </c>
      <c r="I1984" t="s">
        <v>13</v>
      </c>
      <c r="J1984" t="s">
        <v>377</v>
      </c>
      <c r="K1984" t="s">
        <v>378</v>
      </c>
      <c r="L1984" t="s">
        <v>368</v>
      </c>
      <c r="M1984">
        <v>44</v>
      </c>
      <c r="N1984" t="b">
        <v>0</v>
      </c>
      <c r="O1984">
        <v>0.78556263269639071</v>
      </c>
      <c r="R1984" t="s">
        <v>670</v>
      </c>
      <c r="S1984" t="s">
        <v>4397</v>
      </c>
      <c r="T1984" t="s">
        <v>4398</v>
      </c>
      <c r="U1984" t="b">
        <v>1</v>
      </c>
      <c r="V1984" t="s">
        <v>63</v>
      </c>
      <c r="W1984">
        <v>0.6</v>
      </c>
    </row>
    <row r="1985" spans="1:23" hidden="1" x14ac:dyDescent="0.3">
      <c r="A1985" t="s">
        <v>4031</v>
      </c>
      <c r="B1985" t="s">
        <v>4032</v>
      </c>
      <c r="C1985" t="s">
        <v>30</v>
      </c>
      <c r="D1985" t="s">
        <v>20</v>
      </c>
      <c r="E1985" t="s">
        <v>21</v>
      </c>
      <c r="F1985" t="s">
        <v>363</v>
      </c>
      <c r="G1985" t="s">
        <v>381</v>
      </c>
      <c r="H1985" t="s">
        <v>365</v>
      </c>
      <c r="I1985" t="s">
        <v>13</v>
      </c>
      <c r="J1985" t="s">
        <v>382</v>
      </c>
      <c r="K1985" t="s">
        <v>383</v>
      </c>
      <c r="L1985" t="s">
        <v>368</v>
      </c>
      <c r="M1985">
        <v>45</v>
      </c>
      <c r="N1985" t="b">
        <v>0</v>
      </c>
      <c r="O1985">
        <v>0.77894736842105261</v>
      </c>
      <c r="R1985" t="s">
        <v>670</v>
      </c>
      <c r="S1985" t="s">
        <v>4399</v>
      </c>
      <c r="T1985" t="s">
        <v>4400</v>
      </c>
      <c r="U1985" t="b">
        <v>1</v>
      </c>
      <c r="V1985" t="s">
        <v>63</v>
      </c>
      <c r="W1985">
        <v>0.6</v>
      </c>
    </row>
    <row r="1986" spans="1:23" hidden="1" x14ac:dyDescent="0.3">
      <c r="A1986" t="s">
        <v>4031</v>
      </c>
      <c r="B1986" t="s">
        <v>4032</v>
      </c>
      <c r="C1986" t="s">
        <v>30</v>
      </c>
      <c r="D1986" t="s">
        <v>20</v>
      </c>
      <c r="E1986" t="s">
        <v>21</v>
      </c>
      <c r="F1986" t="s">
        <v>363</v>
      </c>
      <c r="G1986" t="s">
        <v>386</v>
      </c>
      <c r="H1986" t="s">
        <v>365</v>
      </c>
      <c r="I1986" t="s">
        <v>13</v>
      </c>
      <c r="J1986" t="s">
        <v>387</v>
      </c>
      <c r="K1986" t="s">
        <v>388</v>
      </c>
      <c r="L1986" t="s">
        <v>368</v>
      </c>
      <c r="M1986">
        <v>46</v>
      </c>
      <c r="N1986" t="b">
        <v>0</v>
      </c>
      <c r="O1986">
        <v>0.78170478170478164</v>
      </c>
      <c r="R1986" t="s">
        <v>670</v>
      </c>
      <c r="S1986" t="s">
        <v>4401</v>
      </c>
      <c r="T1986" t="s">
        <v>4402</v>
      </c>
      <c r="U1986" t="b">
        <v>1</v>
      </c>
      <c r="V1986" t="s">
        <v>63</v>
      </c>
      <c r="W1986">
        <v>2</v>
      </c>
    </row>
    <row r="1987" spans="1:23" hidden="1" x14ac:dyDescent="0.3">
      <c r="A1987" t="s">
        <v>4031</v>
      </c>
      <c r="B1987" t="s">
        <v>4032</v>
      </c>
      <c r="C1987" t="s">
        <v>30</v>
      </c>
      <c r="D1987" t="s">
        <v>20</v>
      </c>
      <c r="E1987" t="s">
        <v>21</v>
      </c>
      <c r="F1987" t="s">
        <v>363</v>
      </c>
      <c r="G1987" t="s">
        <v>391</v>
      </c>
      <c r="H1987" t="s">
        <v>365</v>
      </c>
      <c r="I1987" t="s">
        <v>13</v>
      </c>
      <c r="J1987" t="s">
        <v>392</v>
      </c>
      <c r="K1987" t="s">
        <v>393</v>
      </c>
      <c r="L1987" t="s">
        <v>368</v>
      </c>
      <c r="M1987">
        <v>47</v>
      </c>
      <c r="N1987" t="b">
        <v>0</v>
      </c>
      <c r="O1987">
        <v>0.78059071729957807</v>
      </c>
      <c r="R1987" t="s">
        <v>670</v>
      </c>
      <c r="S1987" t="s">
        <v>4403</v>
      </c>
      <c r="T1987" t="s">
        <v>4404</v>
      </c>
      <c r="U1987" t="b">
        <v>1</v>
      </c>
      <c r="V1987" t="s">
        <v>63</v>
      </c>
      <c r="W1987">
        <v>0.6</v>
      </c>
    </row>
    <row r="1988" spans="1:23" hidden="1" x14ac:dyDescent="0.3">
      <c r="A1988" t="s">
        <v>4031</v>
      </c>
      <c r="B1988" t="s">
        <v>4032</v>
      </c>
      <c r="C1988" t="s">
        <v>30</v>
      </c>
      <c r="D1988" t="s">
        <v>20</v>
      </c>
      <c r="E1988" t="s">
        <v>21</v>
      </c>
      <c r="F1988" t="s">
        <v>363</v>
      </c>
      <c r="G1988" t="s">
        <v>396</v>
      </c>
      <c r="H1988" t="s">
        <v>365</v>
      </c>
      <c r="I1988" t="s">
        <v>13</v>
      </c>
      <c r="J1988" t="s">
        <v>397</v>
      </c>
      <c r="K1988" t="s">
        <v>398</v>
      </c>
      <c r="L1988" t="s">
        <v>368</v>
      </c>
      <c r="M1988">
        <v>48</v>
      </c>
      <c r="N1988" t="b">
        <v>0</v>
      </c>
      <c r="O1988">
        <v>0.77916666666666667</v>
      </c>
      <c r="R1988" t="s">
        <v>670</v>
      </c>
      <c r="S1988" t="s">
        <v>4405</v>
      </c>
      <c r="T1988" t="s">
        <v>4406</v>
      </c>
      <c r="U1988" t="b">
        <v>1</v>
      </c>
      <c r="V1988" t="s">
        <v>63</v>
      </c>
      <c r="W1988">
        <v>0.6</v>
      </c>
    </row>
    <row r="1989" spans="1:23" hidden="1" x14ac:dyDescent="0.3">
      <c r="A1989" t="s">
        <v>4031</v>
      </c>
      <c r="B1989" t="s">
        <v>4032</v>
      </c>
      <c r="C1989" t="s">
        <v>30</v>
      </c>
      <c r="D1989" t="s">
        <v>20</v>
      </c>
      <c r="E1989" t="s">
        <v>21</v>
      </c>
      <c r="F1989" t="s">
        <v>363</v>
      </c>
      <c r="G1989" t="s">
        <v>401</v>
      </c>
      <c r="H1989" t="s">
        <v>365</v>
      </c>
      <c r="I1989" t="s">
        <v>13</v>
      </c>
      <c r="J1989" t="s">
        <v>402</v>
      </c>
      <c r="K1989" t="s">
        <v>403</v>
      </c>
      <c r="L1989" t="s">
        <v>368</v>
      </c>
      <c r="M1989">
        <v>49</v>
      </c>
      <c r="N1989" t="b">
        <v>0</v>
      </c>
      <c r="O1989">
        <v>0.77966101694915246</v>
      </c>
      <c r="R1989" t="s">
        <v>670</v>
      </c>
      <c r="S1989" t="s">
        <v>4407</v>
      </c>
      <c r="T1989" t="s">
        <v>4408</v>
      </c>
      <c r="U1989" t="b">
        <v>1</v>
      </c>
      <c r="V1989" t="s">
        <v>63</v>
      </c>
      <c r="W1989">
        <v>0.7</v>
      </c>
    </row>
    <row r="1990" spans="1:23" hidden="1" x14ac:dyDescent="0.3">
      <c r="A1990" t="s">
        <v>4031</v>
      </c>
      <c r="B1990" t="s">
        <v>4032</v>
      </c>
      <c r="C1990" t="s">
        <v>30</v>
      </c>
      <c r="D1990" t="s">
        <v>20</v>
      </c>
      <c r="E1990" t="s">
        <v>21</v>
      </c>
      <c r="F1990" t="s">
        <v>363</v>
      </c>
      <c r="G1990" t="s">
        <v>406</v>
      </c>
      <c r="H1990" t="s">
        <v>365</v>
      </c>
      <c r="I1990" t="s">
        <v>13</v>
      </c>
      <c r="J1990" t="s">
        <v>407</v>
      </c>
      <c r="K1990" t="s">
        <v>408</v>
      </c>
      <c r="L1990" t="s">
        <v>368</v>
      </c>
      <c r="M1990">
        <v>50</v>
      </c>
      <c r="N1990" t="b">
        <v>0</v>
      </c>
      <c r="O1990">
        <v>0.7610993657505285</v>
      </c>
      <c r="R1990" t="s">
        <v>670</v>
      </c>
      <c r="S1990" t="s">
        <v>4409</v>
      </c>
      <c r="T1990" t="s">
        <v>4410</v>
      </c>
      <c r="U1990" t="b">
        <v>1</v>
      </c>
      <c r="V1990" t="s">
        <v>63</v>
      </c>
      <c r="W1990">
        <v>0.6</v>
      </c>
    </row>
    <row r="1991" spans="1:23" hidden="1" x14ac:dyDescent="0.3">
      <c r="A1991" t="s">
        <v>4031</v>
      </c>
      <c r="B1991" t="s">
        <v>4032</v>
      </c>
      <c r="C1991" t="s">
        <v>30</v>
      </c>
      <c r="D1991" t="s">
        <v>20</v>
      </c>
      <c r="E1991" t="s">
        <v>21</v>
      </c>
      <c r="F1991" t="s">
        <v>363</v>
      </c>
      <c r="G1991" t="s">
        <v>411</v>
      </c>
      <c r="H1991" t="s">
        <v>365</v>
      </c>
      <c r="I1991" t="s">
        <v>13</v>
      </c>
      <c r="J1991" t="s">
        <v>412</v>
      </c>
      <c r="K1991" t="s">
        <v>413</v>
      </c>
      <c r="L1991" t="s">
        <v>368</v>
      </c>
      <c r="M1991">
        <v>51</v>
      </c>
      <c r="N1991" t="b">
        <v>0</v>
      </c>
      <c r="O1991">
        <v>0.7763713080168777</v>
      </c>
      <c r="R1991" t="s">
        <v>670</v>
      </c>
      <c r="S1991" t="s">
        <v>4411</v>
      </c>
      <c r="T1991" t="s">
        <v>4412</v>
      </c>
      <c r="U1991" t="b">
        <v>1</v>
      </c>
      <c r="V1991" t="s">
        <v>63</v>
      </c>
      <c r="W1991">
        <v>0.7</v>
      </c>
    </row>
    <row r="1992" spans="1:23" hidden="1" x14ac:dyDescent="0.3">
      <c r="A1992" t="s">
        <v>4031</v>
      </c>
      <c r="B1992" t="s">
        <v>4032</v>
      </c>
      <c r="C1992" t="s">
        <v>30</v>
      </c>
      <c r="D1992" t="s">
        <v>20</v>
      </c>
      <c r="E1992" t="s">
        <v>21</v>
      </c>
      <c r="F1992" t="s">
        <v>363</v>
      </c>
      <c r="G1992" t="s">
        <v>416</v>
      </c>
      <c r="H1992" t="s">
        <v>365</v>
      </c>
      <c r="I1992" t="s">
        <v>13</v>
      </c>
      <c r="J1992" t="s">
        <v>417</v>
      </c>
      <c r="K1992" t="s">
        <v>418</v>
      </c>
      <c r="L1992" t="s">
        <v>368</v>
      </c>
      <c r="M1992">
        <v>52</v>
      </c>
      <c r="N1992" t="b">
        <v>0</v>
      </c>
      <c r="O1992">
        <v>0.7610993657505285</v>
      </c>
      <c r="R1992" t="s">
        <v>670</v>
      </c>
      <c r="S1992" t="s">
        <v>4413</v>
      </c>
      <c r="T1992" t="s">
        <v>4414</v>
      </c>
      <c r="U1992" t="b">
        <v>1</v>
      </c>
      <c r="V1992" t="s">
        <v>63</v>
      </c>
      <c r="W1992">
        <v>1.6</v>
      </c>
    </row>
    <row r="1993" spans="1:23" hidden="1" x14ac:dyDescent="0.3">
      <c r="A1993" t="s">
        <v>4031</v>
      </c>
      <c r="B1993" t="s">
        <v>4032</v>
      </c>
      <c r="C1993" t="s">
        <v>30</v>
      </c>
      <c r="D1993" t="s">
        <v>20</v>
      </c>
      <c r="E1993" t="s">
        <v>21</v>
      </c>
      <c r="F1993" t="s">
        <v>363</v>
      </c>
      <c r="G1993" t="s">
        <v>421</v>
      </c>
      <c r="H1993" t="s">
        <v>365</v>
      </c>
      <c r="I1993" t="s">
        <v>13</v>
      </c>
      <c r="J1993" t="s">
        <v>422</v>
      </c>
      <c r="K1993" t="s">
        <v>423</v>
      </c>
      <c r="L1993" t="s">
        <v>368</v>
      </c>
      <c r="M1993">
        <v>53</v>
      </c>
      <c r="N1993" t="b">
        <v>0</v>
      </c>
      <c r="O1993">
        <v>0.76170212765957457</v>
      </c>
      <c r="R1993" t="s">
        <v>670</v>
      </c>
      <c r="S1993" t="s">
        <v>4415</v>
      </c>
      <c r="T1993" t="s">
        <v>4416</v>
      </c>
      <c r="U1993" t="b">
        <v>1</v>
      </c>
      <c r="V1993" t="s">
        <v>63</v>
      </c>
      <c r="W1993">
        <v>0.7</v>
      </c>
    </row>
    <row r="1994" spans="1:23" hidden="1" x14ac:dyDescent="0.3">
      <c r="A1994" t="s">
        <v>4031</v>
      </c>
      <c r="B1994" t="s">
        <v>4032</v>
      </c>
      <c r="C1994" t="s">
        <v>30</v>
      </c>
      <c r="D1994" t="s">
        <v>20</v>
      </c>
      <c r="E1994" t="s">
        <v>21</v>
      </c>
      <c r="F1994" t="s">
        <v>363</v>
      </c>
      <c r="G1994" t="s">
        <v>426</v>
      </c>
      <c r="H1994" t="s">
        <v>365</v>
      </c>
      <c r="I1994" t="s">
        <v>13</v>
      </c>
      <c r="J1994" t="s">
        <v>427</v>
      </c>
      <c r="K1994" t="s">
        <v>428</v>
      </c>
      <c r="L1994" t="s">
        <v>368</v>
      </c>
      <c r="M1994">
        <v>54</v>
      </c>
      <c r="N1994" t="b">
        <v>0</v>
      </c>
      <c r="O1994">
        <v>0.79587628865979365</v>
      </c>
      <c r="R1994" t="s">
        <v>670</v>
      </c>
      <c r="S1994" t="s">
        <v>4417</v>
      </c>
      <c r="T1994" t="s">
        <v>4418</v>
      </c>
      <c r="U1994" t="b">
        <v>1</v>
      </c>
      <c r="V1994" t="s">
        <v>63</v>
      </c>
      <c r="W1994">
        <v>0.6</v>
      </c>
    </row>
    <row r="1995" spans="1:23" hidden="1" x14ac:dyDescent="0.3">
      <c r="A1995" t="s">
        <v>4031</v>
      </c>
      <c r="B1995" t="s">
        <v>4032</v>
      </c>
      <c r="C1995" t="s">
        <v>30</v>
      </c>
      <c r="D1995" t="s">
        <v>20</v>
      </c>
      <c r="E1995" t="s">
        <v>21</v>
      </c>
      <c r="F1995" t="s">
        <v>363</v>
      </c>
      <c r="G1995" t="s">
        <v>431</v>
      </c>
      <c r="H1995" t="s">
        <v>365</v>
      </c>
      <c r="I1995" t="s">
        <v>13</v>
      </c>
      <c r="J1995" t="s">
        <v>432</v>
      </c>
      <c r="K1995" t="s">
        <v>433</v>
      </c>
      <c r="L1995" t="s">
        <v>368</v>
      </c>
      <c r="M1995">
        <v>55</v>
      </c>
      <c r="N1995" t="b">
        <v>0</v>
      </c>
      <c r="O1995">
        <v>0.78736842105263172</v>
      </c>
      <c r="R1995" t="s">
        <v>670</v>
      </c>
      <c r="S1995" t="s">
        <v>4419</v>
      </c>
      <c r="T1995" t="s">
        <v>4420</v>
      </c>
      <c r="U1995" t="b">
        <v>1</v>
      </c>
      <c r="V1995" t="s">
        <v>63</v>
      </c>
      <c r="W1995">
        <v>0.6</v>
      </c>
    </row>
    <row r="1996" spans="1:23" hidden="1" x14ac:dyDescent="0.3">
      <c r="A1996" t="s">
        <v>4031</v>
      </c>
      <c r="B1996" t="s">
        <v>4032</v>
      </c>
      <c r="C1996" t="s">
        <v>30</v>
      </c>
      <c r="D1996" t="s">
        <v>20</v>
      </c>
      <c r="E1996" t="s">
        <v>21</v>
      </c>
      <c r="F1996" t="s">
        <v>363</v>
      </c>
      <c r="G1996" t="s">
        <v>436</v>
      </c>
      <c r="H1996" t="s">
        <v>365</v>
      </c>
      <c r="I1996" t="s">
        <v>13</v>
      </c>
      <c r="J1996" t="s">
        <v>437</v>
      </c>
      <c r="K1996" t="s">
        <v>438</v>
      </c>
      <c r="L1996" t="s">
        <v>368</v>
      </c>
      <c r="M1996">
        <v>56</v>
      </c>
      <c r="N1996" t="b">
        <v>0</v>
      </c>
      <c r="O1996">
        <v>0.7656903765690376</v>
      </c>
      <c r="R1996" t="s">
        <v>670</v>
      </c>
      <c r="S1996" t="s">
        <v>4421</v>
      </c>
      <c r="T1996" t="s">
        <v>4422</v>
      </c>
      <c r="U1996" t="b">
        <v>1</v>
      </c>
      <c r="V1996" t="s">
        <v>63</v>
      </c>
      <c r="W1996">
        <v>0.6</v>
      </c>
    </row>
    <row r="1997" spans="1:23" hidden="1" x14ac:dyDescent="0.3">
      <c r="A1997" t="s">
        <v>4031</v>
      </c>
      <c r="B1997" t="s">
        <v>4032</v>
      </c>
      <c r="C1997" t="s">
        <v>30</v>
      </c>
      <c r="D1997" t="s">
        <v>20</v>
      </c>
      <c r="E1997" t="s">
        <v>21</v>
      </c>
      <c r="F1997" t="s">
        <v>363</v>
      </c>
      <c r="G1997" t="s">
        <v>441</v>
      </c>
      <c r="H1997" t="s">
        <v>365</v>
      </c>
      <c r="I1997" t="s">
        <v>13</v>
      </c>
      <c r="J1997" t="s">
        <v>442</v>
      </c>
      <c r="K1997" t="s">
        <v>443</v>
      </c>
      <c r="L1997" t="s">
        <v>368</v>
      </c>
      <c r="M1997">
        <v>57</v>
      </c>
      <c r="N1997" t="b">
        <v>0</v>
      </c>
      <c r="O1997">
        <v>0.78205128205128216</v>
      </c>
      <c r="R1997" t="s">
        <v>670</v>
      </c>
      <c r="S1997" t="s">
        <v>4423</v>
      </c>
      <c r="T1997" t="s">
        <v>4424</v>
      </c>
      <c r="U1997" t="b">
        <v>1</v>
      </c>
      <c r="V1997" t="s">
        <v>63</v>
      </c>
      <c r="W1997">
        <v>0.9</v>
      </c>
    </row>
    <row r="1998" spans="1:23" hidden="1" x14ac:dyDescent="0.3">
      <c r="A1998" t="s">
        <v>4031</v>
      </c>
      <c r="B1998" t="s">
        <v>4032</v>
      </c>
      <c r="C1998" t="s">
        <v>30</v>
      </c>
      <c r="D1998" t="s">
        <v>20</v>
      </c>
      <c r="E1998" t="s">
        <v>21</v>
      </c>
      <c r="F1998" t="s">
        <v>363</v>
      </c>
      <c r="G1998" t="s">
        <v>446</v>
      </c>
      <c r="H1998" t="s">
        <v>365</v>
      </c>
      <c r="I1998" t="s">
        <v>13</v>
      </c>
      <c r="J1998" t="s">
        <v>447</v>
      </c>
      <c r="K1998" t="s">
        <v>448</v>
      </c>
      <c r="L1998" t="s">
        <v>368</v>
      </c>
      <c r="M1998">
        <v>58</v>
      </c>
      <c r="N1998" t="b">
        <v>0</v>
      </c>
      <c r="O1998">
        <v>0.77178423236514515</v>
      </c>
      <c r="R1998" t="s">
        <v>670</v>
      </c>
      <c r="S1998" t="s">
        <v>4425</v>
      </c>
      <c r="T1998" t="s">
        <v>4426</v>
      </c>
      <c r="U1998" t="b">
        <v>1</v>
      </c>
      <c r="V1998" t="s">
        <v>63</v>
      </c>
      <c r="W1998">
        <v>0.6</v>
      </c>
    </row>
    <row r="1999" spans="1:23" hidden="1" x14ac:dyDescent="0.3">
      <c r="A1999" t="s">
        <v>4031</v>
      </c>
      <c r="B1999" t="s">
        <v>4032</v>
      </c>
      <c r="C1999" t="s">
        <v>30</v>
      </c>
      <c r="D1999" t="s">
        <v>20</v>
      </c>
      <c r="E1999" t="s">
        <v>21</v>
      </c>
      <c r="F1999" t="s">
        <v>363</v>
      </c>
      <c r="G1999" t="s">
        <v>451</v>
      </c>
      <c r="H1999" t="s">
        <v>365</v>
      </c>
      <c r="I1999" t="s">
        <v>13</v>
      </c>
      <c r="J1999" t="s">
        <v>452</v>
      </c>
      <c r="K1999" t="s">
        <v>453</v>
      </c>
      <c r="L1999" t="s">
        <v>368</v>
      </c>
      <c r="M1999">
        <v>59</v>
      </c>
      <c r="N1999" t="b">
        <v>0</v>
      </c>
      <c r="O1999">
        <v>0.78111587982832609</v>
      </c>
      <c r="R1999" t="s">
        <v>670</v>
      </c>
      <c r="S1999" t="s">
        <v>4427</v>
      </c>
      <c r="T1999" t="s">
        <v>4428</v>
      </c>
      <c r="U1999" t="b">
        <v>1</v>
      </c>
      <c r="V1999" t="s">
        <v>63</v>
      </c>
      <c r="W1999">
        <v>0.8</v>
      </c>
    </row>
    <row r="2000" spans="1:23" hidden="1" x14ac:dyDescent="0.3">
      <c r="A2000" t="s">
        <v>4031</v>
      </c>
      <c r="B2000" t="s">
        <v>4032</v>
      </c>
      <c r="C2000" t="s">
        <v>30</v>
      </c>
      <c r="D2000" t="s">
        <v>20</v>
      </c>
      <c r="E2000" t="s">
        <v>21</v>
      </c>
      <c r="F2000" t="s">
        <v>363</v>
      </c>
      <c r="G2000" t="s">
        <v>456</v>
      </c>
      <c r="H2000" t="s">
        <v>365</v>
      </c>
      <c r="I2000" t="s">
        <v>13</v>
      </c>
      <c r="J2000" t="s">
        <v>457</v>
      </c>
      <c r="K2000" t="s">
        <v>458</v>
      </c>
      <c r="L2000" t="s">
        <v>368</v>
      </c>
      <c r="M2000">
        <v>60</v>
      </c>
      <c r="N2000" t="b">
        <v>0</v>
      </c>
      <c r="O2000">
        <v>0.77473684210526306</v>
      </c>
      <c r="R2000" t="s">
        <v>670</v>
      </c>
      <c r="S2000" t="s">
        <v>4429</v>
      </c>
      <c r="T2000" t="s">
        <v>4430</v>
      </c>
      <c r="U2000" t="b">
        <v>1</v>
      </c>
      <c r="V2000" t="s">
        <v>63</v>
      </c>
      <c r="W2000">
        <v>0.6</v>
      </c>
    </row>
    <row r="2001" spans="1:23" hidden="1" x14ac:dyDescent="0.3">
      <c r="A2001" t="s">
        <v>4031</v>
      </c>
      <c r="B2001" t="s">
        <v>4032</v>
      </c>
      <c r="C2001" t="s">
        <v>30</v>
      </c>
      <c r="D2001" t="s">
        <v>20</v>
      </c>
      <c r="E2001" t="s">
        <v>21</v>
      </c>
      <c r="F2001" t="s">
        <v>363</v>
      </c>
      <c r="G2001" t="s">
        <v>461</v>
      </c>
      <c r="H2001" t="s">
        <v>365</v>
      </c>
      <c r="I2001" t="s">
        <v>13</v>
      </c>
      <c r="J2001" t="s">
        <v>462</v>
      </c>
      <c r="K2001" t="s">
        <v>463</v>
      </c>
      <c r="L2001" t="s">
        <v>368</v>
      </c>
      <c r="M2001">
        <v>61</v>
      </c>
      <c r="N2001" t="b">
        <v>0</v>
      </c>
      <c r="O2001">
        <v>0.79002079002079006</v>
      </c>
      <c r="R2001" t="s">
        <v>670</v>
      </c>
      <c r="S2001" t="s">
        <v>4431</v>
      </c>
      <c r="T2001" t="s">
        <v>4432</v>
      </c>
      <c r="U2001" t="b">
        <v>1</v>
      </c>
      <c r="V2001" t="s">
        <v>63</v>
      </c>
      <c r="W2001">
        <v>0.6</v>
      </c>
    </row>
    <row r="2002" spans="1:23" hidden="1" x14ac:dyDescent="0.3">
      <c r="A2002" t="s">
        <v>4031</v>
      </c>
      <c r="B2002" t="s">
        <v>4032</v>
      </c>
      <c r="C2002" t="s">
        <v>30</v>
      </c>
      <c r="D2002" t="s">
        <v>20</v>
      </c>
      <c r="E2002" t="s">
        <v>21</v>
      </c>
      <c r="F2002" t="s">
        <v>363</v>
      </c>
      <c r="G2002" t="s">
        <v>466</v>
      </c>
      <c r="H2002" t="s">
        <v>467</v>
      </c>
      <c r="I2002" t="s">
        <v>9</v>
      </c>
      <c r="J2002" t="s">
        <v>468</v>
      </c>
      <c r="K2002" t="s">
        <v>469</v>
      </c>
      <c r="L2002" t="s">
        <v>470</v>
      </c>
      <c r="M2002">
        <v>42</v>
      </c>
      <c r="N2002" t="b">
        <v>0</v>
      </c>
      <c r="O2002">
        <v>0.8</v>
      </c>
      <c r="R2002" t="s">
        <v>670</v>
      </c>
      <c r="S2002" t="s">
        <v>4433</v>
      </c>
      <c r="T2002" t="s">
        <v>4434</v>
      </c>
      <c r="U2002" t="b">
        <v>1</v>
      </c>
      <c r="V2002" t="s">
        <v>63</v>
      </c>
      <c r="W2002">
        <v>0.6</v>
      </c>
    </row>
    <row r="2003" spans="1:23" hidden="1" x14ac:dyDescent="0.3">
      <c r="A2003" t="s">
        <v>4031</v>
      </c>
      <c r="B2003" t="s">
        <v>4032</v>
      </c>
      <c r="C2003" t="s">
        <v>30</v>
      </c>
      <c r="D2003" t="s">
        <v>20</v>
      </c>
      <c r="E2003" t="s">
        <v>21</v>
      </c>
      <c r="F2003" t="s">
        <v>363</v>
      </c>
      <c r="G2003" t="s">
        <v>473</v>
      </c>
      <c r="H2003" t="s">
        <v>467</v>
      </c>
      <c r="I2003" t="s">
        <v>9</v>
      </c>
      <c r="J2003" t="s">
        <v>474</v>
      </c>
      <c r="K2003" t="s">
        <v>475</v>
      </c>
      <c r="L2003" t="s">
        <v>470</v>
      </c>
      <c r="M2003">
        <v>43</v>
      </c>
      <c r="N2003" t="b">
        <v>0</v>
      </c>
      <c r="O2003">
        <v>0.8</v>
      </c>
      <c r="R2003" t="s">
        <v>670</v>
      </c>
      <c r="S2003" t="s">
        <v>4435</v>
      </c>
      <c r="T2003" t="s">
        <v>4436</v>
      </c>
      <c r="U2003" t="b">
        <v>1</v>
      </c>
      <c r="V2003" t="s">
        <v>63</v>
      </c>
      <c r="W2003">
        <v>0.7</v>
      </c>
    </row>
    <row r="2004" spans="1:23" hidden="1" x14ac:dyDescent="0.3">
      <c r="A2004" t="s">
        <v>4031</v>
      </c>
      <c r="B2004" t="s">
        <v>4032</v>
      </c>
      <c r="C2004" t="s">
        <v>30</v>
      </c>
      <c r="D2004" t="s">
        <v>20</v>
      </c>
      <c r="E2004" t="s">
        <v>21</v>
      </c>
      <c r="F2004" t="s">
        <v>363</v>
      </c>
      <c r="G2004" t="s">
        <v>478</v>
      </c>
      <c r="H2004" t="s">
        <v>467</v>
      </c>
      <c r="I2004" t="s">
        <v>9</v>
      </c>
      <c r="J2004" t="s">
        <v>479</v>
      </c>
      <c r="K2004" t="s">
        <v>480</v>
      </c>
      <c r="L2004" t="s">
        <v>470</v>
      </c>
      <c r="M2004">
        <v>44</v>
      </c>
      <c r="N2004" t="b">
        <v>0</v>
      </c>
      <c r="O2004">
        <v>0.79420289855072468</v>
      </c>
      <c r="R2004" t="s">
        <v>670</v>
      </c>
      <c r="S2004" t="s">
        <v>4437</v>
      </c>
      <c r="T2004" t="s">
        <v>4438</v>
      </c>
      <c r="U2004" t="b">
        <v>1</v>
      </c>
      <c r="V2004" t="s">
        <v>63</v>
      </c>
      <c r="W2004">
        <v>0.7</v>
      </c>
    </row>
    <row r="2005" spans="1:23" hidden="1" x14ac:dyDescent="0.3">
      <c r="A2005" t="s">
        <v>4031</v>
      </c>
      <c r="B2005" t="s">
        <v>4032</v>
      </c>
      <c r="C2005" t="s">
        <v>30</v>
      </c>
      <c r="D2005" t="s">
        <v>20</v>
      </c>
      <c r="E2005" t="s">
        <v>21</v>
      </c>
      <c r="F2005" t="s">
        <v>363</v>
      </c>
      <c r="G2005" t="s">
        <v>483</v>
      </c>
      <c r="H2005" t="s">
        <v>467</v>
      </c>
      <c r="I2005" t="s">
        <v>9</v>
      </c>
      <c r="J2005" t="s">
        <v>484</v>
      </c>
      <c r="K2005" t="s">
        <v>485</v>
      </c>
      <c r="L2005" t="s">
        <v>470</v>
      </c>
      <c r="M2005">
        <v>45</v>
      </c>
      <c r="N2005" t="b">
        <v>0</v>
      </c>
      <c r="O2005">
        <v>0.81395348837209314</v>
      </c>
      <c r="R2005" t="s">
        <v>670</v>
      </c>
      <c r="S2005" t="s">
        <v>4439</v>
      </c>
      <c r="T2005" t="s">
        <v>4440</v>
      </c>
      <c r="U2005" t="b">
        <v>1</v>
      </c>
      <c r="V2005" t="s">
        <v>63</v>
      </c>
      <c r="W2005">
        <v>0.6</v>
      </c>
    </row>
    <row r="2006" spans="1:23" hidden="1" x14ac:dyDescent="0.3">
      <c r="A2006" t="s">
        <v>4031</v>
      </c>
      <c r="B2006" t="s">
        <v>4032</v>
      </c>
      <c r="C2006" t="s">
        <v>30</v>
      </c>
      <c r="D2006" t="s">
        <v>20</v>
      </c>
      <c r="E2006" t="s">
        <v>21</v>
      </c>
      <c r="F2006" t="s">
        <v>363</v>
      </c>
      <c r="G2006" t="s">
        <v>488</v>
      </c>
      <c r="H2006" t="s">
        <v>467</v>
      </c>
      <c r="I2006" t="s">
        <v>9</v>
      </c>
      <c r="J2006" t="s">
        <v>489</v>
      </c>
      <c r="K2006" t="s">
        <v>490</v>
      </c>
      <c r="L2006" t="s">
        <v>470</v>
      </c>
      <c r="M2006">
        <v>46</v>
      </c>
      <c r="N2006" t="b">
        <v>0</v>
      </c>
      <c r="O2006">
        <v>0.80466472303206993</v>
      </c>
      <c r="R2006" t="s">
        <v>670</v>
      </c>
      <c r="S2006" t="s">
        <v>4441</v>
      </c>
      <c r="T2006" t="s">
        <v>4442</v>
      </c>
      <c r="U2006" t="b">
        <v>1</v>
      </c>
      <c r="V2006" t="s">
        <v>63</v>
      </c>
      <c r="W2006">
        <v>0.6</v>
      </c>
    </row>
    <row r="2007" spans="1:23" hidden="1" x14ac:dyDescent="0.3">
      <c r="A2007" t="s">
        <v>4031</v>
      </c>
      <c r="B2007" t="s">
        <v>4032</v>
      </c>
      <c r="C2007" t="s">
        <v>30</v>
      </c>
      <c r="D2007" t="s">
        <v>20</v>
      </c>
      <c r="E2007" t="s">
        <v>21</v>
      </c>
      <c r="F2007" t="s">
        <v>363</v>
      </c>
      <c r="G2007" t="s">
        <v>493</v>
      </c>
      <c r="H2007" t="s">
        <v>467</v>
      </c>
      <c r="I2007" t="s">
        <v>9</v>
      </c>
      <c r="J2007" t="s">
        <v>494</v>
      </c>
      <c r="K2007" t="s">
        <v>495</v>
      </c>
      <c r="L2007" t="s">
        <v>470</v>
      </c>
      <c r="M2007">
        <v>47</v>
      </c>
      <c r="N2007" t="b">
        <v>0</v>
      </c>
      <c r="O2007">
        <v>0.79656160458452729</v>
      </c>
      <c r="R2007" t="s">
        <v>670</v>
      </c>
      <c r="S2007" t="s">
        <v>4443</v>
      </c>
      <c r="T2007" t="s">
        <v>4444</v>
      </c>
      <c r="U2007" t="b">
        <v>1</v>
      </c>
      <c r="V2007" t="s">
        <v>63</v>
      </c>
      <c r="W2007">
        <v>0.7</v>
      </c>
    </row>
    <row r="2008" spans="1:23" hidden="1" x14ac:dyDescent="0.3">
      <c r="A2008" t="s">
        <v>4031</v>
      </c>
      <c r="B2008" t="s">
        <v>4032</v>
      </c>
      <c r="C2008" t="s">
        <v>30</v>
      </c>
      <c r="D2008" t="s">
        <v>20</v>
      </c>
      <c r="E2008" t="s">
        <v>21</v>
      </c>
      <c r="F2008" t="s">
        <v>363</v>
      </c>
      <c r="G2008" t="s">
        <v>498</v>
      </c>
      <c r="H2008" t="s">
        <v>467</v>
      </c>
      <c r="I2008" t="s">
        <v>9</v>
      </c>
      <c r="J2008" t="s">
        <v>499</v>
      </c>
      <c r="K2008" t="s">
        <v>500</v>
      </c>
      <c r="L2008" t="s">
        <v>470</v>
      </c>
      <c r="M2008">
        <v>48</v>
      </c>
      <c r="N2008" t="b">
        <v>0</v>
      </c>
      <c r="O2008">
        <v>0.78962536023054752</v>
      </c>
      <c r="R2008" t="s">
        <v>670</v>
      </c>
      <c r="S2008" t="s">
        <v>4445</v>
      </c>
      <c r="T2008" t="s">
        <v>4446</v>
      </c>
      <c r="U2008" t="b">
        <v>1</v>
      </c>
      <c r="V2008" t="s">
        <v>63</v>
      </c>
      <c r="W2008">
        <v>0.6</v>
      </c>
    </row>
    <row r="2009" spans="1:23" hidden="1" x14ac:dyDescent="0.3">
      <c r="A2009" t="s">
        <v>4031</v>
      </c>
      <c r="B2009" t="s">
        <v>4032</v>
      </c>
      <c r="C2009" t="s">
        <v>30</v>
      </c>
      <c r="D2009" t="s">
        <v>20</v>
      </c>
      <c r="E2009" t="s">
        <v>21</v>
      </c>
      <c r="F2009" t="s">
        <v>363</v>
      </c>
      <c r="G2009" t="s">
        <v>503</v>
      </c>
      <c r="H2009" t="s">
        <v>467</v>
      </c>
      <c r="I2009" t="s">
        <v>9</v>
      </c>
      <c r="J2009" t="s">
        <v>504</v>
      </c>
      <c r="K2009" t="s">
        <v>505</v>
      </c>
      <c r="L2009" t="s">
        <v>470</v>
      </c>
      <c r="M2009">
        <v>49</v>
      </c>
      <c r="N2009" t="b">
        <v>0</v>
      </c>
      <c r="O2009">
        <v>0.80113636363636365</v>
      </c>
      <c r="R2009" t="s">
        <v>670</v>
      </c>
      <c r="S2009" t="s">
        <v>4447</v>
      </c>
      <c r="T2009" t="s">
        <v>4448</v>
      </c>
      <c r="U2009" t="b">
        <v>1</v>
      </c>
      <c r="V2009" t="s">
        <v>63</v>
      </c>
      <c r="W2009">
        <v>0.6</v>
      </c>
    </row>
    <row r="2010" spans="1:23" hidden="1" x14ac:dyDescent="0.3">
      <c r="A2010" t="s">
        <v>4031</v>
      </c>
      <c r="B2010" t="s">
        <v>4032</v>
      </c>
      <c r="C2010" t="s">
        <v>30</v>
      </c>
      <c r="D2010" t="s">
        <v>20</v>
      </c>
      <c r="E2010" t="s">
        <v>21</v>
      </c>
      <c r="F2010" t="s">
        <v>363</v>
      </c>
      <c r="G2010" t="s">
        <v>508</v>
      </c>
      <c r="H2010" t="s">
        <v>467</v>
      </c>
      <c r="I2010" t="s">
        <v>9</v>
      </c>
      <c r="J2010" t="s">
        <v>509</v>
      </c>
      <c r="K2010" t="s">
        <v>510</v>
      </c>
      <c r="L2010" t="s">
        <v>470</v>
      </c>
      <c r="M2010">
        <v>50</v>
      </c>
      <c r="N2010" t="b">
        <v>0</v>
      </c>
      <c r="O2010">
        <v>0.78857142857142848</v>
      </c>
      <c r="R2010" t="s">
        <v>670</v>
      </c>
      <c r="S2010" t="s">
        <v>4449</v>
      </c>
      <c r="T2010" t="s">
        <v>4450</v>
      </c>
      <c r="U2010" t="b">
        <v>1</v>
      </c>
      <c r="V2010" t="s">
        <v>63</v>
      </c>
      <c r="W2010">
        <v>0.6</v>
      </c>
    </row>
    <row r="2011" spans="1:23" hidden="1" x14ac:dyDescent="0.3">
      <c r="A2011" t="s">
        <v>4031</v>
      </c>
      <c r="B2011" t="s">
        <v>4032</v>
      </c>
      <c r="C2011" t="s">
        <v>30</v>
      </c>
      <c r="D2011" t="s">
        <v>20</v>
      </c>
      <c r="E2011" t="s">
        <v>21</v>
      </c>
      <c r="F2011" t="s">
        <v>363</v>
      </c>
      <c r="G2011" t="s">
        <v>513</v>
      </c>
      <c r="H2011" t="s">
        <v>467</v>
      </c>
      <c r="I2011" t="s">
        <v>9</v>
      </c>
      <c r="J2011" t="s">
        <v>514</v>
      </c>
      <c r="K2011" t="s">
        <v>515</v>
      </c>
      <c r="L2011" t="s">
        <v>470</v>
      </c>
      <c r="M2011">
        <v>51</v>
      </c>
      <c r="N2011" t="b">
        <v>0</v>
      </c>
      <c r="O2011">
        <v>0.78840579710144931</v>
      </c>
      <c r="R2011" t="s">
        <v>670</v>
      </c>
      <c r="S2011" t="s">
        <v>4451</v>
      </c>
      <c r="T2011" t="s">
        <v>4452</v>
      </c>
      <c r="U2011" t="b">
        <v>1</v>
      </c>
      <c r="V2011" t="s">
        <v>63</v>
      </c>
      <c r="W2011">
        <v>0.6</v>
      </c>
    </row>
    <row r="2012" spans="1:23" hidden="1" x14ac:dyDescent="0.3">
      <c r="A2012" t="s">
        <v>4031</v>
      </c>
      <c r="B2012" t="s">
        <v>4032</v>
      </c>
      <c r="C2012" t="s">
        <v>30</v>
      </c>
      <c r="D2012" t="s">
        <v>20</v>
      </c>
      <c r="E2012" t="s">
        <v>21</v>
      </c>
      <c r="F2012" t="s">
        <v>363</v>
      </c>
      <c r="G2012" t="s">
        <v>518</v>
      </c>
      <c r="H2012" t="s">
        <v>467</v>
      </c>
      <c r="I2012" t="s">
        <v>9</v>
      </c>
      <c r="J2012" t="s">
        <v>519</v>
      </c>
      <c r="K2012" t="s">
        <v>520</v>
      </c>
      <c r="L2012" t="s">
        <v>470</v>
      </c>
      <c r="M2012">
        <v>52</v>
      </c>
      <c r="N2012" t="b">
        <v>0</v>
      </c>
      <c r="O2012">
        <v>0.82595870206489674</v>
      </c>
      <c r="R2012" t="s">
        <v>670</v>
      </c>
      <c r="S2012" t="s">
        <v>4453</v>
      </c>
      <c r="T2012" t="s">
        <v>4454</v>
      </c>
      <c r="U2012" t="b">
        <v>1</v>
      </c>
      <c r="V2012" t="s">
        <v>63</v>
      </c>
      <c r="W2012">
        <v>0.7</v>
      </c>
    </row>
    <row r="2013" spans="1:23" hidden="1" x14ac:dyDescent="0.3">
      <c r="A2013" t="s">
        <v>4031</v>
      </c>
      <c r="B2013" t="s">
        <v>4032</v>
      </c>
      <c r="C2013" t="s">
        <v>30</v>
      </c>
      <c r="D2013" t="s">
        <v>20</v>
      </c>
      <c r="E2013" t="s">
        <v>21</v>
      </c>
      <c r="F2013" t="s">
        <v>363</v>
      </c>
      <c r="G2013" t="s">
        <v>523</v>
      </c>
      <c r="H2013" t="s">
        <v>467</v>
      </c>
      <c r="I2013" t="s">
        <v>9</v>
      </c>
      <c r="J2013" t="s">
        <v>524</v>
      </c>
      <c r="K2013" t="s">
        <v>525</v>
      </c>
      <c r="L2013" t="s">
        <v>470</v>
      </c>
      <c r="M2013">
        <v>53</v>
      </c>
      <c r="N2013" t="b">
        <v>0</v>
      </c>
      <c r="O2013">
        <v>0.79768786127167635</v>
      </c>
      <c r="R2013" t="s">
        <v>670</v>
      </c>
      <c r="S2013" t="s">
        <v>4455</v>
      </c>
      <c r="T2013" t="s">
        <v>4456</v>
      </c>
      <c r="U2013" t="b">
        <v>1</v>
      </c>
      <c r="V2013" t="s">
        <v>63</v>
      </c>
      <c r="W2013">
        <v>0.7</v>
      </c>
    </row>
    <row r="2014" spans="1:23" hidden="1" x14ac:dyDescent="0.3">
      <c r="A2014" t="s">
        <v>4031</v>
      </c>
      <c r="B2014" t="s">
        <v>4032</v>
      </c>
      <c r="C2014" t="s">
        <v>30</v>
      </c>
      <c r="D2014" t="s">
        <v>20</v>
      </c>
      <c r="E2014" t="s">
        <v>21</v>
      </c>
      <c r="F2014" t="s">
        <v>363</v>
      </c>
      <c r="G2014" t="s">
        <v>528</v>
      </c>
      <c r="H2014" t="s">
        <v>467</v>
      </c>
      <c r="I2014" t="s">
        <v>9</v>
      </c>
      <c r="J2014" t="s">
        <v>529</v>
      </c>
      <c r="K2014" t="s">
        <v>530</v>
      </c>
      <c r="L2014" t="s">
        <v>470</v>
      </c>
      <c r="M2014">
        <v>54</v>
      </c>
      <c r="N2014" t="b">
        <v>0</v>
      </c>
      <c r="O2014">
        <v>0.82798833819241979</v>
      </c>
      <c r="R2014" t="s">
        <v>670</v>
      </c>
      <c r="S2014" t="s">
        <v>4457</v>
      </c>
      <c r="T2014" t="s">
        <v>4458</v>
      </c>
      <c r="U2014" t="b">
        <v>1</v>
      </c>
      <c r="V2014" t="s">
        <v>63</v>
      </c>
      <c r="W2014">
        <v>0.7</v>
      </c>
    </row>
    <row r="2015" spans="1:23" hidden="1" x14ac:dyDescent="0.3">
      <c r="A2015" t="s">
        <v>4031</v>
      </c>
      <c r="B2015" t="s">
        <v>4032</v>
      </c>
      <c r="C2015" t="s">
        <v>30</v>
      </c>
      <c r="D2015" t="s">
        <v>20</v>
      </c>
      <c r="E2015" t="s">
        <v>21</v>
      </c>
      <c r="F2015" t="s">
        <v>363</v>
      </c>
      <c r="G2015" t="s">
        <v>533</v>
      </c>
      <c r="H2015" t="s">
        <v>467</v>
      </c>
      <c r="I2015" t="s">
        <v>9</v>
      </c>
      <c r="J2015" t="s">
        <v>534</v>
      </c>
      <c r="K2015" t="s">
        <v>535</v>
      </c>
      <c r="L2015" t="s">
        <v>470</v>
      </c>
      <c r="M2015">
        <v>55</v>
      </c>
      <c r="N2015" t="b">
        <v>0</v>
      </c>
      <c r="O2015">
        <v>0.8057971014492753</v>
      </c>
      <c r="R2015" t="s">
        <v>670</v>
      </c>
      <c r="S2015" t="s">
        <v>4459</v>
      </c>
      <c r="T2015" t="s">
        <v>4460</v>
      </c>
      <c r="U2015" t="b">
        <v>1</v>
      </c>
      <c r="V2015" t="s">
        <v>63</v>
      </c>
      <c r="W2015">
        <v>0.6</v>
      </c>
    </row>
    <row r="2016" spans="1:23" hidden="1" x14ac:dyDescent="0.3">
      <c r="A2016" t="s">
        <v>4031</v>
      </c>
      <c r="B2016" t="s">
        <v>4032</v>
      </c>
      <c r="C2016" t="s">
        <v>30</v>
      </c>
      <c r="D2016" t="s">
        <v>20</v>
      </c>
      <c r="E2016" t="s">
        <v>21</v>
      </c>
      <c r="F2016" t="s">
        <v>363</v>
      </c>
      <c r="G2016" t="s">
        <v>538</v>
      </c>
      <c r="H2016" t="s">
        <v>467</v>
      </c>
      <c r="I2016" t="s">
        <v>9</v>
      </c>
      <c r="J2016" t="s">
        <v>539</v>
      </c>
      <c r="K2016" t="s">
        <v>540</v>
      </c>
      <c r="L2016" t="s">
        <v>470</v>
      </c>
      <c r="M2016">
        <v>56</v>
      </c>
      <c r="N2016" t="b">
        <v>0</v>
      </c>
      <c r="O2016">
        <v>0.78549848942598199</v>
      </c>
      <c r="R2016" t="s">
        <v>670</v>
      </c>
      <c r="S2016" t="s">
        <v>4461</v>
      </c>
      <c r="T2016" t="s">
        <v>4462</v>
      </c>
      <c r="U2016" t="b">
        <v>1</v>
      </c>
      <c r="V2016" t="s">
        <v>63</v>
      </c>
      <c r="W2016">
        <v>0.6</v>
      </c>
    </row>
    <row r="2017" spans="1:23" hidden="1" x14ac:dyDescent="0.3">
      <c r="A2017" t="s">
        <v>4031</v>
      </c>
      <c r="B2017" t="s">
        <v>4032</v>
      </c>
      <c r="C2017" t="s">
        <v>30</v>
      </c>
      <c r="D2017" t="s">
        <v>20</v>
      </c>
      <c r="E2017" t="s">
        <v>21</v>
      </c>
      <c r="F2017" t="s">
        <v>363</v>
      </c>
      <c r="G2017" t="s">
        <v>543</v>
      </c>
      <c r="H2017" t="s">
        <v>467</v>
      </c>
      <c r="I2017" t="s">
        <v>9</v>
      </c>
      <c r="J2017" t="s">
        <v>544</v>
      </c>
      <c r="K2017" t="s">
        <v>545</v>
      </c>
      <c r="L2017" t="s">
        <v>470</v>
      </c>
      <c r="M2017">
        <v>57</v>
      </c>
      <c r="N2017" t="b">
        <v>0</v>
      </c>
      <c r="O2017">
        <v>0.78857142857142848</v>
      </c>
      <c r="R2017" t="s">
        <v>670</v>
      </c>
      <c r="S2017" t="s">
        <v>4463</v>
      </c>
      <c r="T2017" t="s">
        <v>4464</v>
      </c>
      <c r="U2017" t="b">
        <v>1</v>
      </c>
      <c r="V2017" t="s">
        <v>63</v>
      </c>
      <c r="W2017">
        <v>0.6</v>
      </c>
    </row>
    <row r="2018" spans="1:23" hidden="1" x14ac:dyDescent="0.3">
      <c r="A2018" t="s">
        <v>4031</v>
      </c>
      <c r="B2018" t="s">
        <v>4032</v>
      </c>
      <c r="C2018" t="s">
        <v>30</v>
      </c>
      <c r="D2018" t="s">
        <v>20</v>
      </c>
      <c r="E2018" t="s">
        <v>21</v>
      </c>
      <c r="F2018" t="s">
        <v>363</v>
      </c>
      <c r="G2018" t="s">
        <v>548</v>
      </c>
      <c r="H2018" t="s">
        <v>467</v>
      </c>
      <c r="I2018" t="s">
        <v>9</v>
      </c>
      <c r="J2018" t="s">
        <v>549</v>
      </c>
      <c r="K2018" t="s">
        <v>550</v>
      </c>
      <c r="L2018" t="s">
        <v>470</v>
      </c>
      <c r="M2018">
        <v>58</v>
      </c>
      <c r="N2018" t="b">
        <v>0</v>
      </c>
      <c r="O2018">
        <v>0.79411764705882348</v>
      </c>
      <c r="R2018" t="s">
        <v>670</v>
      </c>
      <c r="S2018" t="s">
        <v>4465</v>
      </c>
      <c r="T2018" t="s">
        <v>4466</v>
      </c>
      <c r="U2018" t="b">
        <v>1</v>
      </c>
      <c r="V2018" t="s">
        <v>63</v>
      </c>
      <c r="W2018">
        <v>0.6</v>
      </c>
    </row>
    <row r="2019" spans="1:23" hidden="1" x14ac:dyDescent="0.3">
      <c r="A2019" t="s">
        <v>4031</v>
      </c>
      <c r="B2019" t="s">
        <v>4032</v>
      </c>
      <c r="C2019" t="s">
        <v>30</v>
      </c>
      <c r="D2019" t="s">
        <v>20</v>
      </c>
      <c r="E2019" t="s">
        <v>21</v>
      </c>
      <c r="F2019" t="s">
        <v>363</v>
      </c>
      <c r="G2019" t="s">
        <v>553</v>
      </c>
      <c r="H2019" t="s">
        <v>467</v>
      </c>
      <c r="I2019" t="s">
        <v>9</v>
      </c>
      <c r="J2019" t="s">
        <v>554</v>
      </c>
      <c r="K2019" t="s">
        <v>555</v>
      </c>
      <c r="L2019" t="s">
        <v>470</v>
      </c>
      <c r="M2019">
        <v>59</v>
      </c>
      <c r="N2019" t="b">
        <v>0</v>
      </c>
      <c r="O2019">
        <v>0.81049562682215737</v>
      </c>
      <c r="R2019" t="s">
        <v>670</v>
      </c>
      <c r="S2019" t="s">
        <v>4467</v>
      </c>
      <c r="T2019" t="s">
        <v>4468</v>
      </c>
      <c r="U2019" t="b">
        <v>1</v>
      </c>
      <c r="V2019" t="s">
        <v>63</v>
      </c>
      <c r="W2019">
        <v>0.8</v>
      </c>
    </row>
    <row r="2020" spans="1:23" hidden="1" x14ac:dyDescent="0.3">
      <c r="A2020" t="s">
        <v>4031</v>
      </c>
      <c r="B2020" t="s">
        <v>4032</v>
      </c>
      <c r="C2020" t="s">
        <v>30</v>
      </c>
      <c r="D2020" t="s">
        <v>20</v>
      </c>
      <c r="E2020" t="s">
        <v>21</v>
      </c>
      <c r="F2020" t="s">
        <v>363</v>
      </c>
      <c r="G2020" t="s">
        <v>558</v>
      </c>
      <c r="H2020" t="s">
        <v>467</v>
      </c>
      <c r="I2020" t="s">
        <v>9</v>
      </c>
      <c r="J2020" t="s">
        <v>559</v>
      </c>
      <c r="K2020" t="s">
        <v>560</v>
      </c>
      <c r="L2020" t="s">
        <v>470</v>
      </c>
      <c r="M2020">
        <v>60</v>
      </c>
      <c r="N2020" t="b">
        <v>0</v>
      </c>
      <c r="O2020">
        <v>0.77653631284916202</v>
      </c>
      <c r="R2020" t="s">
        <v>670</v>
      </c>
      <c r="S2020" t="s">
        <v>4469</v>
      </c>
      <c r="T2020" t="s">
        <v>4470</v>
      </c>
      <c r="U2020" t="b">
        <v>1</v>
      </c>
      <c r="V2020" t="s">
        <v>63</v>
      </c>
      <c r="W2020">
        <v>0.7</v>
      </c>
    </row>
    <row r="2021" spans="1:23" hidden="1" x14ac:dyDescent="0.3">
      <c r="A2021" t="s">
        <v>4031</v>
      </c>
      <c r="B2021" t="s">
        <v>4032</v>
      </c>
      <c r="C2021" t="s">
        <v>30</v>
      </c>
      <c r="D2021" t="s">
        <v>20</v>
      </c>
      <c r="E2021" t="s">
        <v>21</v>
      </c>
      <c r="F2021" t="s">
        <v>363</v>
      </c>
      <c r="G2021" t="s">
        <v>563</v>
      </c>
      <c r="H2021" t="s">
        <v>467</v>
      </c>
      <c r="I2021" t="s">
        <v>9</v>
      </c>
      <c r="J2021" t="s">
        <v>564</v>
      </c>
      <c r="K2021" t="s">
        <v>565</v>
      </c>
      <c r="L2021" t="s">
        <v>470</v>
      </c>
      <c r="M2021">
        <v>61</v>
      </c>
      <c r="N2021" t="b">
        <v>0</v>
      </c>
      <c r="O2021">
        <v>0.8</v>
      </c>
      <c r="R2021" t="s">
        <v>670</v>
      </c>
      <c r="S2021" t="s">
        <v>4471</v>
      </c>
      <c r="T2021" t="s">
        <v>4472</v>
      </c>
      <c r="U2021" t="b">
        <v>1</v>
      </c>
      <c r="V2021" t="s">
        <v>63</v>
      </c>
      <c r="W2021">
        <v>0.6</v>
      </c>
    </row>
    <row r="2022" spans="1:23" hidden="1" x14ac:dyDescent="0.3">
      <c r="A2022" t="s">
        <v>4031</v>
      </c>
      <c r="B2022" t="s">
        <v>4032</v>
      </c>
      <c r="C2022" t="s">
        <v>30</v>
      </c>
      <c r="D2022" t="s">
        <v>20</v>
      </c>
      <c r="E2022" t="s">
        <v>21</v>
      </c>
      <c r="F2022" t="s">
        <v>363</v>
      </c>
      <c r="G2022" t="s">
        <v>568</v>
      </c>
      <c r="H2022" t="s">
        <v>569</v>
      </c>
      <c r="I2022" t="s">
        <v>11</v>
      </c>
      <c r="J2022" t="s">
        <v>570</v>
      </c>
      <c r="K2022" t="s">
        <v>571</v>
      </c>
      <c r="L2022" t="s">
        <v>572</v>
      </c>
      <c r="M2022">
        <v>42</v>
      </c>
      <c r="N2022" t="b">
        <v>0</v>
      </c>
      <c r="O2022">
        <v>0.84684684684684686</v>
      </c>
      <c r="R2022" t="s">
        <v>670</v>
      </c>
      <c r="S2022" t="s">
        <v>4473</v>
      </c>
      <c r="T2022" t="s">
        <v>4474</v>
      </c>
      <c r="U2022" t="b">
        <v>1</v>
      </c>
      <c r="V2022" t="s">
        <v>63</v>
      </c>
      <c r="W2022">
        <v>0.8</v>
      </c>
    </row>
    <row r="2023" spans="1:23" hidden="1" x14ac:dyDescent="0.3">
      <c r="A2023" t="s">
        <v>4031</v>
      </c>
      <c r="B2023" t="s">
        <v>4032</v>
      </c>
      <c r="C2023" t="s">
        <v>30</v>
      </c>
      <c r="D2023" t="s">
        <v>20</v>
      </c>
      <c r="E2023" t="s">
        <v>21</v>
      </c>
      <c r="F2023" t="s">
        <v>363</v>
      </c>
      <c r="G2023" t="s">
        <v>575</v>
      </c>
      <c r="H2023" t="s">
        <v>569</v>
      </c>
      <c r="I2023" t="s">
        <v>11</v>
      </c>
      <c r="J2023" t="s">
        <v>576</v>
      </c>
      <c r="K2023" t="s">
        <v>577</v>
      </c>
      <c r="L2023" t="s">
        <v>572</v>
      </c>
      <c r="M2023">
        <v>43</v>
      </c>
      <c r="N2023" t="b">
        <v>0</v>
      </c>
      <c r="O2023">
        <v>0.83972911963882613</v>
      </c>
      <c r="R2023" t="s">
        <v>670</v>
      </c>
      <c r="S2023" t="s">
        <v>4475</v>
      </c>
      <c r="T2023" t="s">
        <v>4476</v>
      </c>
      <c r="U2023" t="b">
        <v>1</v>
      </c>
      <c r="V2023" t="s">
        <v>63</v>
      </c>
      <c r="W2023">
        <v>0.6</v>
      </c>
    </row>
    <row r="2024" spans="1:23" hidden="1" x14ac:dyDescent="0.3">
      <c r="A2024" t="s">
        <v>4031</v>
      </c>
      <c r="B2024" t="s">
        <v>4032</v>
      </c>
      <c r="C2024" t="s">
        <v>30</v>
      </c>
      <c r="D2024" t="s">
        <v>20</v>
      </c>
      <c r="E2024" t="s">
        <v>21</v>
      </c>
      <c r="F2024" t="s">
        <v>363</v>
      </c>
      <c r="G2024" t="s">
        <v>580</v>
      </c>
      <c r="H2024" t="s">
        <v>569</v>
      </c>
      <c r="I2024" t="s">
        <v>11</v>
      </c>
      <c r="J2024" t="s">
        <v>581</v>
      </c>
      <c r="K2024" t="s">
        <v>582</v>
      </c>
      <c r="L2024" t="s">
        <v>572</v>
      </c>
      <c r="M2024">
        <v>44</v>
      </c>
      <c r="N2024" t="b">
        <v>0</v>
      </c>
      <c r="O2024">
        <v>0.85458612975391501</v>
      </c>
      <c r="R2024" t="s">
        <v>670</v>
      </c>
      <c r="S2024" t="s">
        <v>4477</v>
      </c>
      <c r="T2024" t="s">
        <v>4478</v>
      </c>
      <c r="U2024" t="b">
        <v>1</v>
      </c>
      <c r="V2024" t="s">
        <v>63</v>
      </c>
      <c r="W2024">
        <v>0.8</v>
      </c>
    </row>
    <row r="2025" spans="1:23" hidden="1" x14ac:dyDescent="0.3">
      <c r="A2025" t="s">
        <v>4031</v>
      </c>
      <c r="B2025" t="s">
        <v>4032</v>
      </c>
      <c r="C2025" t="s">
        <v>30</v>
      </c>
      <c r="D2025" t="s">
        <v>20</v>
      </c>
      <c r="E2025" t="s">
        <v>21</v>
      </c>
      <c r="F2025" t="s">
        <v>363</v>
      </c>
      <c r="G2025" t="s">
        <v>585</v>
      </c>
      <c r="H2025" t="s">
        <v>569</v>
      </c>
      <c r="I2025" t="s">
        <v>11</v>
      </c>
      <c r="J2025" t="s">
        <v>586</v>
      </c>
      <c r="K2025" t="s">
        <v>587</v>
      </c>
      <c r="L2025" t="s">
        <v>572</v>
      </c>
      <c r="M2025">
        <v>45</v>
      </c>
      <c r="N2025" t="b">
        <v>0</v>
      </c>
      <c r="O2025">
        <v>0.8392857142857143</v>
      </c>
      <c r="R2025" t="s">
        <v>670</v>
      </c>
      <c r="S2025" t="s">
        <v>4479</v>
      </c>
      <c r="T2025" t="s">
        <v>4480</v>
      </c>
      <c r="U2025" t="b">
        <v>1</v>
      </c>
      <c r="V2025" t="s">
        <v>63</v>
      </c>
      <c r="W2025">
        <v>0.9</v>
      </c>
    </row>
    <row r="2026" spans="1:23" hidden="1" x14ac:dyDescent="0.3">
      <c r="A2026" t="s">
        <v>4031</v>
      </c>
      <c r="B2026" t="s">
        <v>4032</v>
      </c>
      <c r="C2026" t="s">
        <v>30</v>
      </c>
      <c r="D2026" t="s">
        <v>20</v>
      </c>
      <c r="E2026" t="s">
        <v>21</v>
      </c>
      <c r="F2026" t="s">
        <v>363</v>
      </c>
      <c r="G2026" t="s">
        <v>590</v>
      </c>
      <c r="H2026" t="s">
        <v>569</v>
      </c>
      <c r="I2026" t="s">
        <v>11</v>
      </c>
      <c r="J2026" t="s">
        <v>591</v>
      </c>
      <c r="K2026" t="s">
        <v>592</v>
      </c>
      <c r="L2026" t="s">
        <v>572</v>
      </c>
      <c r="M2026">
        <v>46</v>
      </c>
      <c r="N2026" t="b">
        <v>0</v>
      </c>
      <c r="O2026">
        <v>0.83408071748878931</v>
      </c>
      <c r="R2026" t="s">
        <v>670</v>
      </c>
      <c r="S2026" t="s">
        <v>4481</v>
      </c>
      <c r="T2026" t="s">
        <v>4482</v>
      </c>
      <c r="U2026" t="b">
        <v>1</v>
      </c>
      <c r="V2026" t="s">
        <v>63</v>
      </c>
      <c r="W2026">
        <v>0.6</v>
      </c>
    </row>
    <row r="2027" spans="1:23" hidden="1" x14ac:dyDescent="0.3">
      <c r="A2027" t="s">
        <v>4031</v>
      </c>
      <c r="B2027" t="s">
        <v>4032</v>
      </c>
      <c r="C2027" t="s">
        <v>30</v>
      </c>
      <c r="D2027" t="s">
        <v>20</v>
      </c>
      <c r="E2027" t="s">
        <v>21</v>
      </c>
      <c r="F2027" t="s">
        <v>363</v>
      </c>
      <c r="G2027" t="s">
        <v>595</v>
      </c>
      <c r="H2027" t="s">
        <v>569</v>
      </c>
      <c r="I2027" t="s">
        <v>11</v>
      </c>
      <c r="J2027" t="s">
        <v>596</v>
      </c>
      <c r="K2027" t="s">
        <v>597</v>
      </c>
      <c r="L2027" t="s">
        <v>572</v>
      </c>
      <c r="M2027">
        <v>47</v>
      </c>
      <c r="N2027" t="b">
        <v>0</v>
      </c>
      <c r="O2027">
        <v>0.83710407239819007</v>
      </c>
      <c r="R2027" t="s">
        <v>670</v>
      </c>
      <c r="S2027" t="s">
        <v>4483</v>
      </c>
      <c r="T2027" t="s">
        <v>4484</v>
      </c>
      <c r="U2027" t="b">
        <v>1</v>
      </c>
      <c r="V2027" t="s">
        <v>63</v>
      </c>
      <c r="W2027">
        <v>0.7</v>
      </c>
    </row>
    <row r="2028" spans="1:23" hidden="1" x14ac:dyDescent="0.3">
      <c r="A2028" t="s">
        <v>4031</v>
      </c>
      <c r="B2028" t="s">
        <v>4032</v>
      </c>
      <c r="C2028" t="s">
        <v>30</v>
      </c>
      <c r="D2028" t="s">
        <v>20</v>
      </c>
      <c r="E2028" t="s">
        <v>21</v>
      </c>
      <c r="F2028" t="s">
        <v>363</v>
      </c>
      <c r="G2028" t="s">
        <v>600</v>
      </c>
      <c r="H2028" t="s">
        <v>569</v>
      </c>
      <c r="I2028" t="s">
        <v>11</v>
      </c>
      <c r="J2028" t="s">
        <v>601</v>
      </c>
      <c r="K2028" t="s">
        <v>602</v>
      </c>
      <c r="L2028" t="s">
        <v>572</v>
      </c>
      <c r="M2028">
        <v>48</v>
      </c>
      <c r="N2028" t="b">
        <v>0</v>
      </c>
      <c r="O2028">
        <v>0.83813747228381374</v>
      </c>
      <c r="R2028" t="s">
        <v>670</v>
      </c>
      <c r="S2028" t="s">
        <v>4485</v>
      </c>
      <c r="T2028" t="s">
        <v>4486</v>
      </c>
      <c r="U2028" t="b">
        <v>1</v>
      </c>
      <c r="V2028" t="s">
        <v>63</v>
      </c>
      <c r="W2028">
        <v>0.6</v>
      </c>
    </row>
    <row r="2029" spans="1:23" hidden="1" x14ac:dyDescent="0.3">
      <c r="A2029" t="s">
        <v>4031</v>
      </c>
      <c r="B2029" t="s">
        <v>4032</v>
      </c>
      <c r="C2029" t="s">
        <v>30</v>
      </c>
      <c r="D2029" t="s">
        <v>20</v>
      </c>
      <c r="E2029" t="s">
        <v>21</v>
      </c>
      <c r="F2029" t="s">
        <v>363</v>
      </c>
      <c r="G2029" t="s">
        <v>605</v>
      </c>
      <c r="H2029" t="s">
        <v>569</v>
      </c>
      <c r="I2029" t="s">
        <v>11</v>
      </c>
      <c r="J2029" t="s">
        <v>606</v>
      </c>
      <c r="K2029" t="s">
        <v>607</v>
      </c>
      <c r="L2029" t="s">
        <v>572</v>
      </c>
      <c r="M2029">
        <v>49</v>
      </c>
      <c r="N2029" t="b">
        <v>0</v>
      </c>
      <c r="O2029">
        <v>0.82648401826484019</v>
      </c>
      <c r="R2029" t="s">
        <v>670</v>
      </c>
      <c r="S2029" t="s">
        <v>4487</v>
      </c>
      <c r="T2029" t="s">
        <v>4488</v>
      </c>
      <c r="U2029" t="b">
        <v>1</v>
      </c>
      <c r="V2029" t="s">
        <v>63</v>
      </c>
      <c r="W2029">
        <v>0.7</v>
      </c>
    </row>
    <row r="2030" spans="1:23" hidden="1" x14ac:dyDescent="0.3">
      <c r="A2030" t="s">
        <v>4031</v>
      </c>
      <c r="B2030" t="s">
        <v>4032</v>
      </c>
      <c r="C2030" t="s">
        <v>30</v>
      </c>
      <c r="D2030" t="s">
        <v>20</v>
      </c>
      <c r="E2030" t="s">
        <v>21</v>
      </c>
      <c r="F2030" t="s">
        <v>363</v>
      </c>
      <c r="G2030" t="s">
        <v>610</v>
      </c>
      <c r="H2030" t="s">
        <v>569</v>
      </c>
      <c r="I2030" t="s">
        <v>11</v>
      </c>
      <c r="J2030" t="s">
        <v>611</v>
      </c>
      <c r="K2030" t="s">
        <v>612</v>
      </c>
      <c r="L2030" t="s">
        <v>572</v>
      </c>
      <c r="M2030">
        <v>50</v>
      </c>
      <c r="N2030" t="b">
        <v>0</v>
      </c>
      <c r="O2030">
        <v>0.82142857142857151</v>
      </c>
      <c r="R2030" t="s">
        <v>670</v>
      </c>
      <c r="S2030" t="s">
        <v>4489</v>
      </c>
      <c r="T2030" t="s">
        <v>4490</v>
      </c>
      <c r="U2030" t="b">
        <v>1</v>
      </c>
      <c r="V2030" t="s">
        <v>63</v>
      </c>
      <c r="W2030">
        <v>0.8</v>
      </c>
    </row>
    <row r="2031" spans="1:23" hidden="1" x14ac:dyDescent="0.3">
      <c r="A2031" t="s">
        <v>4031</v>
      </c>
      <c r="B2031" t="s">
        <v>4032</v>
      </c>
      <c r="C2031" t="s">
        <v>30</v>
      </c>
      <c r="D2031" t="s">
        <v>20</v>
      </c>
      <c r="E2031" t="s">
        <v>21</v>
      </c>
      <c r="F2031" t="s">
        <v>363</v>
      </c>
      <c r="G2031" t="s">
        <v>615</v>
      </c>
      <c r="H2031" t="s">
        <v>569</v>
      </c>
      <c r="I2031" t="s">
        <v>11</v>
      </c>
      <c r="J2031" t="s">
        <v>616</v>
      </c>
      <c r="K2031" t="s">
        <v>617</v>
      </c>
      <c r="L2031" t="s">
        <v>572</v>
      </c>
      <c r="M2031">
        <v>51</v>
      </c>
      <c r="N2031" t="b">
        <v>0</v>
      </c>
      <c r="O2031">
        <v>0.8355555555555555</v>
      </c>
      <c r="R2031" t="s">
        <v>670</v>
      </c>
      <c r="S2031" t="s">
        <v>4491</v>
      </c>
      <c r="T2031" t="s">
        <v>4492</v>
      </c>
      <c r="U2031" t="b">
        <v>1</v>
      </c>
      <c r="V2031" t="s">
        <v>63</v>
      </c>
      <c r="W2031">
        <v>0.6</v>
      </c>
    </row>
    <row r="2032" spans="1:23" hidden="1" x14ac:dyDescent="0.3">
      <c r="A2032" t="s">
        <v>4031</v>
      </c>
      <c r="B2032" t="s">
        <v>4032</v>
      </c>
      <c r="C2032" t="s">
        <v>30</v>
      </c>
      <c r="D2032" t="s">
        <v>20</v>
      </c>
      <c r="E2032" t="s">
        <v>21</v>
      </c>
      <c r="F2032" t="s">
        <v>363</v>
      </c>
      <c r="G2032" t="s">
        <v>620</v>
      </c>
      <c r="H2032" t="s">
        <v>569</v>
      </c>
      <c r="I2032" t="s">
        <v>11</v>
      </c>
      <c r="J2032" t="s">
        <v>621</v>
      </c>
      <c r="K2032" t="s">
        <v>622</v>
      </c>
      <c r="L2032" t="s">
        <v>572</v>
      </c>
      <c r="M2032">
        <v>52</v>
      </c>
      <c r="N2032" t="b">
        <v>0</v>
      </c>
      <c r="O2032">
        <v>0.85011185682326629</v>
      </c>
      <c r="R2032" t="s">
        <v>670</v>
      </c>
      <c r="S2032" t="s">
        <v>4493</v>
      </c>
      <c r="T2032" t="s">
        <v>4494</v>
      </c>
      <c r="U2032" t="b">
        <v>1</v>
      </c>
      <c r="V2032" t="s">
        <v>63</v>
      </c>
      <c r="W2032">
        <v>0.9</v>
      </c>
    </row>
    <row r="2033" spans="1:23" hidden="1" x14ac:dyDescent="0.3">
      <c r="A2033" t="s">
        <v>4031</v>
      </c>
      <c r="B2033" t="s">
        <v>4032</v>
      </c>
      <c r="C2033" t="s">
        <v>30</v>
      </c>
      <c r="D2033" t="s">
        <v>20</v>
      </c>
      <c r="E2033" t="s">
        <v>21</v>
      </c>
      <c r="F2033" t="s">
        <v>363</v>
      </c>
      <c r="G2033" t="s">
        <v>625</v>
      </c>
      <c r="H2033" t="s">
        <v>569</v>
      </c>
      <c r="I2033" t="s">
        <v>11</v>
      </c>
      <c r="J2033" t="s">
        <v>626</v>
      </c>
      <c r="K2033" t="s">
        <v>627</v>
      </c>
      <c r="L2033" t="s">
        <v>572</v>
      </c>
      <c r="M2033">
        <v>53</v>
      </c>
      <c r="N2033" t="b">
        <v>0</v>
      </c>
      <c r="O2033">
        <v>0.82683982683982682</v>
      </c>
      <c r="R2033" t="s">
        <v>670</v>
      </c>
      <c r="S2033" t="s">
        <v>4495</v>
      </c>
      <c r="T2033" t="s">
        <v>4496</v>
      </c>
      <c r="U2033" t="b">
        <v>1</v>
      </c>
      <c r="V2033" t="s">
        <v>63</v>
      </c>
      <c r="W2033">
        <v>0.6</v>
      </c>
    </row>
    <row r="2034" spans="1:23" hidden="1" x14ac:dyDescent="0.3">
      <c r="A2034" t="s">
        <v>4031</v>
      </c>
      <c r="B2034" t="s">
        <v>4032</v>
      </c>
      <c r="C2034" t="s">
        <v>30</v>
      </c>
      <c r="D2034" t="s">
        <v>20</v>
      </c>
      <c r="E2034" t="s">
        <v>21</v>
      </c>
      <c r="F2034" t="s">
        <v>363</v>
      </c>
      <c r="G2034" t="s">
        <v>630</v>
      </c>
      <c r="H2034" t="s">
        <v>569</v>
      </c>
      <c r="I2034" t="s">
        <v>11</v>
      </c>
      <c r="J2034" t="s">
        <v>631</v>
      </c>
      <c r="K2034" t="s">
        <v>632</v>
      </c>
      <c r="L2034" t="s">
        <v>572</v>
      </c>
      <c r="M2034">
        <v>54</v>
      </c>
      <c r="N2034" t="b">
        <v>0</v>
      </c>
      <c r="O2034">
        <v>0.8409586056644881</v>
      </c>
      <c r="R2034" t="s">
        <v>670</v>
      </c>
      <c r="S2034" t="s">
        <v>4497</v>
      </c>
      <c r="T2034" t="s">
        <v>4498</v>
      </c>
      <c r="U2034" t="b">
        <v>1</v>
      </c>
      <c r="V2034" t="s">
        <v>63</v>
      </c>
      <c r="W2034">
        <v>0.6</v>
      </c>
    </row>
    <row r="2035" spans="1:23" hidden="1" x14ac:dyDescent="0.3">
      <c r="A2035" t="s">
        <v>4031</v>
      </c>
      <c r="B2035" t="s">
        <v>4032</v>
      </c>
      <c r="C2035" t="s">
        <v>30</v>
      </c>
      <c r="D2035" t="s">
        <v>20</v>
      </c>
      <c r="E2035" t="s">
        <v>21</v>
      </c>
      <c r="F2035" t="s">
        <v>363</v>
      </c>
      <c r="G2035" t="s">
        <v>635</v>
      </c>
      <c r="H2035" t="s">
        <v>569</v>
      </c>
      <c r="I2035" t="s">
        <v>11</v>
      </c>
      <c r="J2035" t="s">
        <v>636</v>
      </c>
      <c r="K2035" t="s">
        <v>637</v>
      </c>
      <c r="L2035" t="s">
        <v>572</v>
      </c>
      <c r="M2035">
        <v>55</v>
      </c>
      <c r="N2035" t="b">
        <v>0</v>
      </c>
      <c r="O2035">
        <v>0.8355555555555555</v>
      </c>
      <c r="R2035" t="s">
        <v>670</v>
      </c>
      <c r="S2035" t="s">
        <v>4499</v>
      </c>
      <c r="T2035" t="s">
        <v>4500</v>
      </c>
      <c r="U2035" t="b">
        <v>1</v>
      </c>
      <c r="V2035" t="s">
        <v>63</v>
      </c>
      <c r="W2035">
        <v>0.6</v>
      </c>
    </row>
    <row r="2036" spans="1:23" hidden="1" x14ac:dyDescent="0.3">
      <c r="A2036" t="s">
        <v>4031</v>
      </c>
      <c r="B2036" t="s">
        <v>4032</v>
      </c>
      <c r="C2036" t="s">
        <v>30</v>
      </c>
      <c r="D2036" t="s">
        <v>20</v>
      </c>
      <c r="E2036" t="s">
        <v>21</v>
      </c>
      <c r="F2036" t="s">
        <v>363</v>
      </c>
      <c r="G2036" t="s">
        <v>640</v>
      </c>
      <c r="H2036" t="s">
        <v>569</v>
      </c>
      <c r="I2036" t="s">
        <v>11</v>
      </c>
      <c r="J2036" t="s">
        <v>641</v>
      </c>
      <c r="K2036" t="s">
        <v>642</v>
      </c>
      <c r="L2036" t="s">
        <v>572</v>
      </c>
      <c r="M2036">
        <v>56</v>
      </c>
      <c r="N2036" t="b">
        <v>0</v>
      </c>
      <c r="O2036">
        <v>0.83069977426636565</v>
      </c>
      <c r="R2036" t="s">
        <v>670</v>
      </c>
      <c r="S2036" t="s">
        <v>4501</v>
      </c>
      <c r="T2036" t="s">
        <v>4502</v>
      </c>
      <c r="U2036" t="b">
        <v>1</v>
      </c>
      <c r="V2036" t="s">
        <v>63</v>
      </c>
      <c r="W2036">
        <v>0</v>
      </c>
    </row>
    <row r="2037" spans="1:23" hidden="1" x14ac:dyDescent="0.3">
      <c r="A2037" t="s">
        <v>4031</v>
      </c>
      <c r="B2037" t="s">
        <v>4032</v>
      </c>
      <c r="C2037" t="s">
        <v>30</v>
      </c>
      <c r="D2037" t="s">
        <v>20</v>
      </c>
      <c r="E2037" t="s">
        <v>21</v>
      </c>
      <c r="F2037" t="s">
        <v>363</v>
      </c>
      <c r="G2037" t="s">
        <v>645</v>
      </c>
      <c r="H2037" t="s">
        <v>569</v>
      </c>
      <c r="I2037" t="s">
        <v>11</v>
      </c>
      <c r="J2037" t="s">
        <v>646</v>
      </c>
      <c r="K2037" t="s">
        <v>647</v>
      </c>
      <c r="L2037" t="s">
        <v>572</v>
      </c>
      <c r="M2037">
        <v>57</v>
      </c>
      <c r="N2037" t="b">
        <v>0</v>
      </c>
      <c r="O2037">
        <v>0.8482142857142857</v>
      </c>
      <c r="R2037" t="s">
        <v>670</v>
      </c>
      <c r="S2037" t="s">
        <v>4503</v>
      </c>
      <c r="T2037" t="s">
        <v>4504</v>
      </c>
      <c r="U2037" t="b">
        <v>1</v>
      </c>
      <c r="V2037" t="s">
        <v>63</v>
      </c>
      <c r="W2037">
        <v>0</v>
      </c>
    </row>
    <row r="2038" spans="1:23" hidden="1" x14ac:dyDescent="0.3">
      <c r="A2038" t="s">
        <v>4031</v>
      </c>
      <c r="B2038" t="s">
        <v>4032</v>
      </c>
      <c r="C2038" t="s">
        <v>30</v>
      </c>
      <c r="D2038" t="s">
        <v>20</v>
      </c>
      <c r="E2038" t="s">
        <v>21</v>
      </c>
      <c r="F2038" t="s">
        <v>363</v>
      </c>
      <c r="G2038" t="s">
        <v>650</v>
      </c>
      <c r="H2038" t="s">
        <v>569</v>
      </c>
      <c r="I2038" t="s">
        <v>11</v>
      </c>
      <c r="J2038" t="s">
        <v>651</v>
      </c>
      <c r="K2038" t="s">
        <v>652</v>
      </c>
      <c r="L2038" t="s">
        <v>572</v>
      </c>
      <c r="M2038">
        <v>58</v>
      </c>
      <c r="N2038" t="b">
        <v>0</v>
      </c>
      <c r="O2038">
        <v>0.82247191011235954</v>
      </c>
      <c r="R2038" t="s">
        <v>670</v>
      </c>
      <c r="S2038" t="s">
        <v>4505</v>
      </c>
      <c r="T2038" t="s">
        <v>4506</v>
      </c>
      <c r="U2038" t="b">
        <v>1</v>
      </c>
      <c r="V2038" t="s">
        <v>63</v>
      </c>
      <c r="W2038">
        <v>0</v>
      </c>
    </row>
    <row r="2039" spans="1:23" hidden="1" x14ac:dyDescent="0.3">
      <c r="A2039" t="s">
        <v>4031</v>
      </c>
      <c r="B2039" t="s">
        <v>4032</v>
      </c>
      <c r="C2039" t="s">
        <v>30</v>
      </c>
      <c r="D2039" t="s">
        <v>20</v>
      </c>
      <c r="E2039" t="s">
        <v>21</v>
      </c>
      <c r="F2039" t="s">
        <v>363</v>
      </c>
      <c r="G2039" t="s">
        <v>655</v>
      </c>
      <c r="H2039" t="s">
        <v>569</v>
      </c>
      <c r="I2039" t="s">
        <v>11</v>
      </c>
      <c r="J2039" t="s">
        <v>656</v>
      </c>
      <c r="K2039" t="s">
        <v>657</v>
      </c>
      <c r="L2039" t="s">
        <v>572</v>
      </c>
      <c r="M2039">
        <v>59</v>
      </c>
      <c r="N2039" t="b">
        <v>0</v>
      </c>
      <c r="O2039">
        <v>0.84187082405345204</v>
      </c>
      <c r="R2039" t="s">
        <v>670</v>
      </c>
      <c r="S2039" t="s">
        <v>4507</v>
      </c>
      <c r="T2039" t="s">
        <v>4508</v>
      </c>
      <c r="U2039" t="b">
        <v>1</v>
      </c>
      <c r="V2039" t="s">
        <v>63</v>
      </c>
      <c r="W2039">
        <v>0</v>
      </c>
    </row>
    <row r="2040" spans="1:23" hidden="1" x14ac:dyDescent="0.3">
      <c r="A2040" t="s">
        <v>4031</v>
      </c>
      <c r="B2040" t="s">
        <v>4032</v>
      </c>
      <c r="C2040" t="s">
        <v>30</v>
      </c>
      <c r="D2040" t="s">
        <v>20</v>
      </c>
      <c r="E2040" t="s">
        <v>21</v>
      </c>
      <c r="F2040" t="s">
        <v>363</v>
      </c>
      <c r="G2040" t="s">
        <v>660</v>
      </c>
      <c r="H2040" t="s">
        <v>569</v>
      </c>
      <c r="I2040" t="s">
        <v>11</v>
      </c>
      <c r="J2040" t="s">
        <v>661</v>
      </c>
      <c r="K2040" t="s">
        <v>662</v>
      </c>
      <c r="L2040" t="s">
        <v>572</v>
      </c>
      <c r="M2040">
        <v>60</v>
      </c>
      <c r="N2040" t="b">
        <v>0</v>
      </c>
      <c r="O2040">
        <v>0.83521444695259595</v>
      </c>
      <c r="R2040" t="s">
        <v>670</v>
      </c>
      <c r="S2040" t="s">
        <v>4509</v>
      </c>
      <c r="T2040" t="s">
        <v>4510</v>
      </c>
      <c r="U2040" t="b">
        <v>1</v>
      </c>
      <c r="V2040" t="s">
        <v>63</v>
      </c>
      <c r="W2040">
        <v>0</v>
      </c>
    </row>
    <row r="2041" spans="1:23" hidden="1" x14ac:dyDescent="0.3">
      <c r="A2041" t="s">
        <v>4031</v>
      </c>
      <c r="B2041" t="s">
        <v>4032</v>
      </c>
      <c r="C2041" t="s">
        <v>30</v>
      </c>
      <c r="D2041" t="s">
        <v>20</v>
      </c>
      <c r="E2041" t="s">
        <v>21</v>
      </c>
      <c r="F2041" t="s">
        <v>363</v>
      </c>
      <c r="G2041" t="s">
        <v>665</v>
      </c>
      <c r="H2041" t="s">
        <v>569</v>
      </c>
      <c r="I2041" t="s">
        <v>11</v>
      </c>
      <c r="J2041" t="s">
        <v>666</v>
      </c>
      <c r="K2041" t="s">
        <v>667</v>
      </c>
      <c r="L2041" t="s">
        <v>572</v>
      </c>
      <c r="M2041">
        <v>61</v>
      </c>
      <c r="N2041" t="b">
        <v>0</v>
      </c>
      <c r="O2041">
        <v>0.84563758389261745</v>
      </c>
      <c r="R2041" t="s">
        <v>670</v>
      </c>
      <c r="S2041" t="s">
        <v>4511</v>
      </c>
      <c r="T2041" t="s">
        <v>4512</v>
      </c>
      <c r="U2041" t="b">
        <v>1</v>
      </c>
      <c r="V2041" t="s">
        <v>63</v>
      </c>
      <c r="W2041">
        <v>0</v>
      </c>
    </row>
    <row r="2042" spans="1:23" hidden="1" x14ac:dyDescent="0.3">
      <c r="A2042" t="s">
        <v>4031</v>
      </c>
      <c r="B2042" t="s">
        <v>4032</v>
      </c>
      <c r="C2042" t="s">
        <v>30</v>
      </c>
      <c r="D2042" t="s">
        <v>22</v>
      </c>
      <c r="E2042" t="s">
        <v>23</v>
      </c>
      <c r="F2042" t="s">
        <v>54</v>
      </c>
      <c r="G2042" t="s">
        <v>55</v>
      </c>
      <c r="H2042" t="s">
        <v>56</v>
      </c>
      <c r="I2042" t="s">
        <v>7</v>
      </c>
      <c r="J2042" t="s">
        <v>57</v>
      </c>
      <c r="K2042" t="s">
        <v>58</v>
      </c>
      <c r="L2042" t="s">
        <v>59</v>
      </c>
      <c r="M2042">
        <v>42</v>
      </c>
      <c r="N2042" t="b">
        <v>1</v>
      </c>
      <c r="O2042">
        <v>0.71397849462365581</v>
      </c>
      <c r="P2042">
        <v>0.70638297872340428</v>
      </c>
      <c r="Q2042">
        <v>0.72173913043478266</v>
      </c>
      <c r="R2042" t="s">
        <v>60</v>
      </c>
      <c r="S2042" t="s">
        <v>4513</v>
      </c>
      <c r="T2042" t="s">
        <v>4514</v>
      </c>
      <c r="U2042" t="b">
        <v>1</v>
      </c>
      <c r="V2042" t="s">
        <v>63</v>
      </c>
      <c r="W2042">
        <v>8.4</v>
      </c>
    </row>
    <row r="2043" spans="1:23" hidden="1" x14ac:dyDescent="0.3">
      <c r="A2043" t="s">
        <v>4031</v>
      </c>
      <c r="B2043" t="s">
        <v>4032</v>
      </c>
      <c r="C2043" t="s">
        <v>30</v>
      </c>
      <c r="D2043" t="s">
        <v>22</v>
      </c>
      <c r="E2043" t="s">
        <v>23</v>
      </c>
      <c r="F2043" t="s">
        <v>54</v>
      </c>
      <c r="G2043" t="s">
        <v>64</v>
      </c>
      <c r="H2043" t="s">
        <v>56</v>
      </c>
      <c r="I2043" t="s">
        <v>7</v>
      </c>
      <c r="J2043" t="s">
        <v>65</v>
      </c>
      <c r="K2043" t="s">
        <v>66</v>
      </c>
      <c r="L2043" t="s">
        <v>59</v>
      </c>
      <c r="M2043">
        <v>43</v>
      </c>
      <c r="N2043" t="b">
        <v>1</v>
      </c>
      <c r="O2043">
        <v>0.68993839835728954</v>
      </c>
      <c r="P2043">
        <v>0.65369649805447472</v>
      </c>
      <c r="Q2043">
        <v>0.73043478260869565</v>
      </c>
      <c r="R2043" t="s">
        <v>60</v>
      </c>
      <c r="S2043" t="s">
        <v>4515</v>
      </c>
      <c r="T2043" t="s">
        <v>4516</v>
      </c>
      <c r="U2043" t="b">
        <v>1</v>
      </c>
      <c r="V2043" t="s">
        <v>63</v>
      </c>
      <c r="W2043">
        <v>2.4</v>
      </c>
    </row>
    <row r="2044" spans="1:23" hidden="1" x14ac:dyDescent="0.3">
      <c r="A2044" t="s">
        <v>4031</v>
      </c>
      <c r="B2044" t="s">
        <v>4032</v>
      </c>
      <c r="C2044" t="s">
        <v>30</v>
      </c>
      <c r="D2044" t="s">
        <v>22</v>
      </c>
      <c r="E2044" t="s">
        <v>23</v>
      </c>
      <c r="F2044" t="s">
        <v>54</v>
      </c>
      <c r="G2044" t="s">
        <v>69</v>
      </c>
      <c r="H2044" t="s">
        <v>56</v>
      </c>
      <c r="I2044" t="s">
        <v>7</v>
      </c>
      <c r="J2044" t="s">
        <v>70</v>
      </c>
      <c r="K2044" t="s">
        <v>71</v>
      </c>
      <c r="L2044" t="s">
        <v>59</v>
      </c>
      <c r="M2044">
        <v>44</v>
      </c>
      <c r="N2044" t="b">
        <v>1</v>
      </c>
      <c r="O2044">
        <v>0.71457905544147859</v>
      </c>
      <c r="P2044">
        <v>0.67704280155642027</v>
      </c>
      <c r="Q2044">
        <v>0.75652173913043474</v>
      </c>
      <c r="R2044" t="s">
        <v>60</v>
      </c>
      <c r="S2044" t="s">
        <v>4517</v>
      </c>
      <c r="T2044" t="s">
        <v>4518</v>
      </c>
      <c r="U2044" t="b">
        <v>1</v>
      </c>
      <c r="V2044" t="s">
        <v>63</v>
      </c>
      <c r="W2044">
        <v>1.5</v>
      </c>
    </row>
    <row r="2045" spans="1:23" hidden="1" x14ac:dyDescent="0.3">
      <c r="A2045" t="s">
        <v>4031</v>
      </c>
      <c r="B2045" t="s">
        <v>4032</v>
      </c>
      <c r="C2045" t="s">
        <v>30</v>
      </c>
      <c r="D2045" t="s">
        <v>22</v>
      </c>
      <c r="E2045" t="s">
        <v>23</v>
      </c>
      <c r="F2045" t="s">
        <v>54</v>
      </c>
      <c r="G2045" t="s">
        <v>74</v>
      </c>
      <c r="H2045" t="s">
        <v>56</v>
      </c>
      <c r="I2045" t="s">
        <v>7</v>
      </c>
      <c r="J2045" t="s">
        <v>75</v>
      </c>
      <c r="K2045" t="s">
        <v>76</v>
      </c>
      <c r="L2045" t="s">
        <v>59</v>
      </c>
      <c r="M2045">
        <v>45</v>
      </c>
      <c r="N2045" t="b">
        <v>1</v>
      </c>
      <c r="O2045">
        <v>0.71487603305785119</v>
      </c>
      <c r="P2045">
        <v>0.68110236220472442</v>
      </c>
      <c r="Q2045">
        <v>0.75217391304347825</v>
      </c>
      <c r="R2045" t="s">
        <v>60</v>
      </c>
      <c r="S2045" t="s">
        <v>4519</v>
      </c>
      <c r="T2045" t="s">
        <v>4520</v>
      </c>
      <c r="U2045" t="b">
        <v>1</v>
      </c>
      <c r="V2045" t="s">
        <v>63</v>
      </c>
      <c r="W2045">
        <v>1.9</v>
      </c>
    </row>
    <row r="2046" spans="1:23" hidden="1" x14ac:dyDescent="0.3">
      <c r="A2046" t="s">
        <v>4031</v>
      </c>
      <c r="B2046" t="s">
        <v>4032</v>
      </c>
      <c r="C2046" t="s">
        <v>30</v>
      </c>
      <c r="D2046" t="s">
        <v>22</v>
      </c>
      <c r="E2046" t="s">
        <v>23</v>
      </c>
      <c r="F2046" t="s">
        <v>54</v>
      </c>
      <c r="G2046" t="s">
        <v>79</v>
      </c>
      <c r="H2046" t="s">
        <v>56</v>
      </c>
      <c r="I2046" t="s">
        <v>7</v>
      </c>
      <c r="J2046" t="s">
        <v>80</v>
      </c>
      <c r="K2046" t="s">
        <v>81</v>
      </c>
      <c r="L2046" t="s">
        <v>59</v>
      </c>
      <c r="M2046">
        <v>46</v>
      </c>
      <c r="N2046" t="b">
        <v>1</v>
      </c>
      <c r="O2046">
        <v>0.65439672801635984</v>
      </c>
      <c r="P2046">
        <v>0.61776061776061775</v>
      </c>
      <c r="Q2046">
        <v>0.69565217391304346</v>
      </c>
      <c r="R2046" t="s">
        <v>60</v>
      </c>
      <c r="S2046" t="s">
        <v>4521</v>
      </c>
      <c r="T2046" t="s">
        <v>4522</v>
      </c>
      <c r="U2046" t="b">
        <v>1</v>
      </c>
      <c r="V2046" t="s">
        <v>63</v>
      </c>
      <c r="W2046">
        <v>1.5</v>
      </c>
    </row>
    <row r="2047" spans="1:23" hidden="1" x14ac:dyDescent="0.3">
      <c r="A2047" t="s">
        <v>4031</v>
      </c>
      <c r="B2047" t="s">
        <v>4032</v>
      </c>
      <c r="C2047" t="s">
        <v>30</v>
      </c>
      <c r="D2047" t="s">
        <v>22</v>
      </c>
      <c r="E2047" t="s">
        <v>23</v>
      </c>
      <c r="F2047" t="s">
        <v>54</v>
      </c>
      <c r="G2047" t="s">
        <v>84</v>
      </c>
      <c r="H2047" t="s">
        <v>56</v>
      </c>
      <c r="I2047" t="s">
        <v>7</v>
      </c>
      <c r="J2047" t="s">
        <v>85</v>
      </c>
      <c r="K2047" t="s">
        <v>86</v>
      </c>
      <c r="L2047" t="s">
        <v>59</v>
      </c>
      <c r="M2047">
        <v>47</v>
      </c>
      <c r="N2047" t="b">
        <v>1</v>
      </c>
      <c r="O2047">
        <v>0.69653767820773926</v>
      </c>
      <c r="P2047">
        <v>0.65517241379310343</v>
      </c>
      <c r="Q2047">
        <v>0.74347826086956526</v>
      </c>
      <c r="R2047" t="s">
        <v>60</v>
      </c>
      <c r="S2047" t="s">
        <v>4523</v>
      </c>
      <c r="T2047" t="s">
        <v>4524</v>
      </c>
      <c r="U2047" t="b">
        <v>1</v>
      </c>
      <c r="V2047" t="s">
        <v>63</v>
      </c>
      <c r="W2047">
        <v>1.4</v>
      </c>
    </row>
    <row r="2048" spans="1:23" hidden="1" x14ac:dyDescent="0.3">
      <c r="A2048" t="s">
        <v>4031</v>
      </c>
      <c r="B2048" t="s">
        <v>4032</v>
      </c>
      <c r="C2048" t="s">
        <v>30</v>
      </c>
      <c r="D2048" t="s">
        <v>22</v>
      </c>
      <c r="E2048" t="s">
        <v>23</v>
      </c>
      <c r="F2048" t="s">
        <v>54</v>
      </c>
      <c r="G2048" t="s">
        <v>89</v>
      </c>
      <c r="H2048" t="s">
        <v>56</v>
      </c>
      <c r="I2048" t="s">
        <v>7</v>
      </c>
      <c r="J2048" t="s">
        <v>90</v>
      </c>
      <c r="K2048" t="s">
        <v>91</v>
      </c>
      <c r="L2048" t="s">
        <v>59</v>
      </c>
      <c r="M2048">
        <v>48</v>
      </c>
      <c r="N2048" t="b">
        <v>1</v>
      </c>
      <c r="O2048">
        <v>0.61344537815126043</v>
      </c>
      <c r="P2048">
        <v>0.5934959349593496</v>
      </c>
      <c r="Q2048">
        <v>0.63478260869565217</v>
      </c>
      <c r="R2048" t="s">
        <v>60</v>
      </c>
      <c r="S2048" t="s">
        <v>4525</v>
      </c>
      <c r="T2048" t="s">
        <v>4526</v>
      </c>
      <c r="U2048" t="b">
        <v>1</v>
      </c>
      <c r="V2048" t="s">
        <v>63</v>
      </c>
      <c r="W2048">
        <v>1.3</v>
      </c>
    </row>
    <row r="2049" spans="1:23" hidden="1" x14ac:dyDescent="0.3">
      <c r="A2049" t="s">
        <v>4031</v>
      </c>
      <c r="B2049" t="s">
        <v>4032</v>
      </c>
      <c r="C2049" t="s">
        <v>30</v>
      </c>
      <c r="D2049" t="s">
        <v>22</v>
      </c>
      <c r="E2049" t="s">
        <v>23</v>
      </c>
      <c r="F2049" t="s">
        <v>54</v>
      </c>
      <c r="G2049" t="s">
        <v>94</v>
      </c>
      <c r="H2049" t="s">
        <v>56</v>
      </c>
      <c r="I2049" t="s">
        <v>7</v>
      </c>
      <c r="J2049" t="s">
        <v>95</v>
      </c>
      <c r="K2049" t="s">
        <v>96</v>
      </c>
      <c r="L2049" t="s">
        <v>59</v>
      </c>
      <c r="M2049">
        <v>49</v>
      </c>
      <c r="N2049" t="b">
        <v>1</v>
      </c>
      <c r="O2049">
        <v>0.71982758620689657</v>
      </c>
      <c r="P2049">
        <v>0.71367521367521369</v>
      </c>
      <c r="Q2049">
        <v>0.72608695652173916</v>
      </c>
      <c r="R2049" t="s">
        <v>60</v>
      </c>
      <c r="S2049" t="s">
        <v>4527</v>
      </c>
      <c r="T2049" t="s">
        <v>4528</v>
      </c>
      <c r="U2049" t="b">
        <v>1</v>
      </c>
      <c r="V2049" t="s">
        <v>63</v>
      </c>
      <c r="W2049">
        <v>1.4</v>
      </c>
    </row>
    <row r="2050" spans="1:23" hidden="1" x14ac:dyDescent="0.3">
      <c r="A2050" t="s">
        <v>4031</v>
      </c>
      <c r="B2050" t="s">
        <v>4032</v>
      </c>
      <c r="C2050" t="s">
        <v>30</v>
      </c>
      <c r="D2050" t="s">
        <v>22</v>
      </c>
      <c r="E2050" t="s">
        <v>23</v>
      </c>
      <c r="F2050" t="s">
        <v>54</v>
      </c>
      <c r="G2050" t="s">
        <v>99</v>
      </c>
      <c r="H2050" t="s">
        <v>56</v>
      </c>
      <c r="I2050" t="s">
        <v>7</v>
      </c>
      <c r="J2050" t="s">
        <v>100</v>
      </c>
      <c r="K2050" t="s">
        <v>101</v>
      </c>
      <c r="L2050" t="s">
        <v>59</v>
      </c>
      <c r="M2050">
        <v>50</v>
      </c>
      <c r="N2050" t="b">
        <v>1</v>
      </c>
      <c r="O2050">
        <v>0.6750524109014675</v>
      </c>
      <c r="P2050">
        <v>0.65182186234817818</v>
      </c>
      <c r="Q2050">
        <v>0.7</v>
      </c>
      <c r="R2050" t="s">
        <v>60</v>
      </c>
      <c r="S2050" t="s">
        <v>4529</v>
      </c>
      <c r="T2050" t="s">
        <v>4530</v>
      </c>
      <c r="U2050" t="b">
        <v>1</v>
      </c>
      <c r="V2050" t="s">
        <v>63</v>
      </c>
      <c r="W2050">
        <v>1.6</v>
      </c>
    </row>
    <row r="2051" spans="1:23" hidden="1" x14ac:dyDescent="0.3">
      <c r="A2051" t="s">
        <v>4031</v>
      </c>
      <c r="B2051" t="s">
        <v>4032</v>
      </c>
      <c r="C2051" t="s">
        <v>30</v>
      </c>
      <c r="D2051" t="s">
        <v>22</v>
      </c>
      <c r="E2051" t="s">
        <v>23</v>
      </c>
      <c r="F2051" t="s">
        <v>54</v>
      </c>
      <c r="G2051" t="s">
        <v>104</v>
      </c>
      <c r="H2051" t="s">
        <v>56</v>
      </c>
      <c r="I2051" t="s">
        <v>7</v>
      </c>
      <c r="J2051" t="s">
        <v>105</v>
      </c>
      <c r="K2051" t="s">
        <v>106</v>
      </c>
      <c r="L2051" t="s">
        <v>59</v>
      </c>
      <c r="M2051">
        <v>51</v>
      </c>
      <c r="N2051" t="b">
        <v>1</v>
      </c>
      <c r="O2051">
        <v>0.72688172043010757</v>
      </c>
      <c r="P2051">
        <v>0.7191489361702128</v>
      </c>
      <c r="Q2051">
        <v>0.73478260869565215</v>
      </c>
      <c r="R2051" t="s">
        <v>60</v>
      </c>
      <c r="S2051" t="s">
        <v>4531</v>
      </c>
      <c r="T2051" t="s">
        <v>4532</v>
      </c>
      <c r="U2051" t="b">
        <v>1</v>
      </c>
      <c r="V2051" t="s">
        <v>63</v>
      </c>
      <c r="W2051">
        <v>1.7</v>
      </c>
    </row>
    <row r="2052" spans="1:23" hidden="1" x14ac:dyDescent="0.3">
      <c r="A2052" t="s">
        <v>4031</v>
      </c>
      <c r="B2052" t="s">
        <v>4032</v>
      </c>
      <c r="C2052" t="s">
        <v>30</v>
      </c>
      <c r="D2052" t="s">
        <v>22</v>
      </c>
      <c r="E2052" t="s">
        <v>23</v>
      </c>
      <c r="F2052" t="s">
        <v>54</v>
      </c>
      <c r="G2052" t="s">
        <v>109</v>
      </c>
      <c r="H2052" t="s">
        <v>56</v>
      </c>
      <c r="I2052" t="s">
        <v>7</v>
      </c>
      <c r="J2052" t="s">
        <v>110</v>
      </c>
      <c r="K2052" t="s">
        <v>111</v>
      </c>
      <c r="L2052" t="s">
        <v>59</v>
      </c>
      <c r="M2052">
        <v>52</v>
      </c>
      <c r="N2052" t="b">
        <v>1</v>
      </c>
      <c r="O2052">
        <v>0.58872651356993733</v>
      </c>
      <c r="P2052">
        <v>0.5662650602409639</v>
      </c>
      <c r="Q2052">
        <v>0.61304347826086958</v>
      </c>
      <c r="R2052" t="s">
        <v>60</v>
      </c>
      <c r="S2052" t="s">
        <v>4533</v>
      </c>
      <c r="T2052" t="s">
        <v>4534</v>
      </c>
      <c r="U2052" t="b">
        <v>1</v>
      </c>
      <c r="V2052" t="s">
        <v>63</v>
      </c>
      <c r="W2052">
        <v>1.9</v>
      </c>
    </row>
    <row r="2053" spans="1:23" hidden="1" x14ac:dyDescent="0.3">
      <c r="A2053" t="s">
        <v>4031</v>
      </c>
      <c r="B2053" t="s">
        <v>4032</v>
      </c>
      <c r="C2053" t="s">
        <v>30</v>
      </c>
      <c r="D2053" t="s">
        <v>22</v>
      </c>
      <c r="E2053" t="s">
        <v>23</v>
      </c>
      <c r="F2053" t="s">
        <v>54</v>
      </c>
      <c r="G2053" t="s">
        <v>114</v>
      </c>
      <c r="H2053" t="s">
        <v>56</v>
      </c>
      <c r="I2053" t="s">
        <v>7</v>
      </c>
      <c r="J2053" t="s">
        <v>115</v>
      </c>
      <c r="K2053" t="s">
        <v>116</v>
      </c>
      <c r="L2053" t="s">
        <v>59</v>
      </c>
      <c r="M2053">
        <v>53</v>
      </c>
      <c r="N2053" t="b">
        <v>1</v>
      </c>
      <c r="O2053">
        <v>0.70315789473684209</v>
      </c>
      <c r="P2053">
        <v>0.68163265306122445</v>
      </c>
      <c r="Q2053">
        <v>0.72608695652173916</v>
      </c>
      <c r="R2053" t="s">
        <v>60</v>
      </c>
      <c r="S2053" t="s">
        <v>4535</v>
      </c>
      <c r="T2053" t="s">
        <v>4536</v>
      </c>
      <c r="U2053" t="b">
        <v>1</v>
      </c>
      <c r="V2053" t="s">
        <v>63</v>
      </c>
      <c r="W2053">
        <v>1.5</v>
      </c>
    </row>
    <row r="2054" spans="1:23" hidden="1" x14ac:dyDescent="0.3">
      <c r="A2054" t="s">
        <v>4031</v>
      </c>
      <c r="B2054" t="s">
        <v>4032</v>
      </c>
      <c r="C2054" t="s">
        <v>30</v>
      </c>
      <c r="D2054" t="s">
        <v>22</v>
      </c>
      <c r="E2054" t="s">
        <v>23</v>
      </c>
      <c r="F2054" t="s">
        <v>54</v>
      </c>
      <c r="G2054" t="s">
        <v>119</v>
      </c>
      <c r="H2054" t="s">
        <v>56</v>
      </c>
      <c r="I2054" t="s">
        <v>7</v>
      </c>
      <c r="J2054" t="s">
        <v>120</v>
      </c>
      <c r="K2054" t="s">
        <v>121</v>
      </c>
      <c r="L2054" t="s">
        <v>59</v>
      </c>
      <c r="M2054">
        <v>54</v>
      </c>
      <c r="N2054" t="b">
        <v>1</v>
      </c>
      <c r="O2054">
        <v>0.70940170940170943</v>
      </c>
      <c r="P2054">
        <v>0.69747899159663862</v>
      </c>
      <c r="Q2054">
        <v>0.72173913043478266</v>
      </c>
      <c r="R2054" t="s">
        <v>60</v>
      </c>
      <c r="S2054" t="s">
        <v>4537</v>
      </c>
      <c r="T2054" t="s">
        <v>4538</v>
      </c>
      <c r="U2054" t="b">
        <v>1</v>
      </c>
      <c r="V2054" t="s">
        <v>63</v>
      </c>
      <c r="W2054">
        <v>1.5</v>
      </c>
    </row>
    <row r="2055" spans="1:23" hidden="1" x14ac:dyDescent="0.3">
      <c r="A2055" t="s">
        <v>4031</v>
      </c>
      <c r="B2055" t="s">
        <v>4032</v>
      </c>
      <c r="C2055" t="s">
        <v>30</v>
      </c>
      <c r="D2055" t="s">
        <v>22</v>
      </c>
      <c r="E2055" t="s">
        <v>23</v>
      </c>
      <c r="F2055" t="s">
        <v>54</v>
      </c>
      <c r="G2055" t="s">
        <v>124</v>
      </c>
      <c r="H2055" t="s">
        <v>56</v>
      </c>
      <c r="I2055" t="s">
        <v>7</v>
      </c>
      <c r="J2055" t="s">
        <v>125</v>
      </c>
      <c r="K2055" t="s">
        <v>126</v>
      </c>
      <c r="L2055" t="s">
        <v>59</v>
      </c>
      <c r="M2055">
        <v>55</v>
      </c>
      <c r="N2055" t="b">
        <v>1</v>
      </c>
      <c r="O2055">
        <v>0.69278350515463916</v>
      </c>
      <c r="P2055">
        <v>0.6588235294117647</v>
      </c>
      <c r="Q2055">
        <v>0.73043478260869565</v>
      </c>
      <c r="R2055" t="s">
        <v>60</v>
      </c>
      <c r="S2055" t="s">
        <v>4539</v>
      </c>
      <c r="T2055" t="s">
        <v>4540</v>
      </c>
      <c r="U2055" t="b">
        <v>1</v>
      </c>
      <c r="V2055" t="s">
        <v>63</v>
      </c>
      <c r="W2055">
        <v>1.4</v>
      </c>
    </row>
    <row r="2056" spans="1:23" hidden="1" x14ac:dyDescent="0.3">
      <c r="A2056" t="s">
        <v>4031</v>
      </c>
      <c r="B2056" t="s">
        <v>4032</v>
      </c>
      <c r="C2056" t="s">
        <v>30</v>
      </c>
      <c r="D2056" t="s">
        <v>22</v>
      </c>
      <c r="E2056" t="s">
        <v>23</v>
      </c>
      <c r="F2056" t="s">
        <v>54</v>
      </c>
      <c r="G2056" t="s">
        <v>129</v>
      </c>
      <c r="H2056" t="s">
        <v>56</v>
      </c>
      <c r="I2056" t="s">
        <v>7</v>
      </c>
      <c r="J2056" t="s">
        <v>130</v>
      </c>
      <c r="K2056" t="s">
        <v>131</v>
      </c>
      <c r="L2056" t="s">
        <v>59</v>
      </c>
      <c r="M2056">
        <v>56</v>
      </c>
      <c r="N2056" t="b">
        <v>1</v>
      </c>
      <c r="O2056">
        <v>0.70564516129032262</v>
      </c>
      <c r="P2056">
        <v>0.65789473684210531</v>
      </c>
      <c r="Q2056">
        <v>0.76086956521739135</v>
      </c>
      <c r="R2056" t="s">
        <v>60</v>
      </c>
      <c r="S2056" t="s">
        <v>4541</v>
      </c>
      <c r="T2056" t="s">
        <v>4542</v>
      </c>
      <c r="U2056" t="b">
        <v>1</v>
      </c>
      <c r="V2056" t="s">
        <v>63</v>
      </c>
      <c r="W2056">
        <v>1.4</v>
      </c>
    </row>
    <row r="2057" spans="1:23" hidden="1" x14ac:dyDescent="0.3">
      <c r="A2057" t="s">
        <v>4031</v>
      </c>
      <c r="B2057" t="s">
        <v>4032</v>
      </c>
      <c r="C2057" t="s">
        <v>30</v>
      </c>
      <c r="D2057" t="s">
        <v>22</v>
      </c>
      <c r="E2057" t="s">
        <v>23</v>
      </c>
      <c r="F2057" t="s">
        <v>54</v>
      </c>
      <c r="G2057" t="s">
        <v>134</v>
      </c>
      <c r="H2057" t="s">
        <v>56</v>
      </c>
      <c r="I2057" t="s">
        <v>7</v>
      </c>
      <c r="J2057" t="s">
        <v>135</v>
      </c>
      <c r="K2057" t="s">
        <v>136</v>
      </c>
      <c r="L2057" t="s">
        <v>59</v>
      </c>
      <c r="M2057">
        <v>57</v>
      </c>
      <c r="N2057" t="b">
        <v>1</v>
      </c>
      <c r="O2057">
        <v>0.68442622950819676</v>
      </c>
      <c r="P2057">
        <v>0.6472868217054264</v>
      </c>
      <c r="Q2057">
        <v>0.72608695652173916</v>
      </c>
      <c r="R2057" t="s">
        <v>60</v>
      </c>
      <c r="S2057" t="s">
        <v>4543</v>
      </c>
      <c r="T2057" t="s">
        <v>4544</v>
      </c>
      <c r="U2057" t="b">
        <v>1</v>
      </c>
      <c r="V2057" t="s">
        <v>63</v>
      </c>
      <c r="W2057">
        <v>1.8</v>
      </c>
    </row>
    <row r="2058" spans="1:23" hidden="1" x14ac:dyDescent="0.3">
      <c r="A2058" t="s">
        <v>4031</v>
      </c>
      <c r="B2058" t="s">
        <v>4032</v>
      </c>
      <c r="C2058" t="s">
        <v>30</v>
      </c>
      <c r="D2058" t="s">
        <v>22</v>
      </c>
      <c r="E2058" t="s">
        <v>23</v>
      </c>
      <c r="F2058" t="s">
        <v>54</v>
      </c>
      <c r="G2058" t="s">
        <v>139</v>
      </c>
      <c r="H2058" t="s">
        <v>56</v>
      </c>
      <c r="I2058" t="s">
        <v>7</v>
      </c>
      <c r="J2058" t="s">
        <v>140</v>
      </c>
      <c r="K2058" t="s">
        <v>141</v>
      </c>
      <c r="L2058" t="s">
        <v>59</v>
      </c>
      <c r="M2058">
        <v>58</v>
      </c>
      <c r="N2058" t="b">
        <v>1</v>
      </c>
      <c r="O2058">
        <v>0.67209775967413443</v>
      </c>
      <c r="P2058">
        <v>0.63218390804597702</v>
      </c>
      <c r="Q2058">
        <v>0.71739130434782605</v>
      </c>
      <c r="R2058" t="s">
        <v>60</v>
      </c>
      <c r="S2058" t="s">
        <v>4545</v>
      </c>
      <c r="T2058" t="s">
        <v>4546</v>
      </c>
      <c r="U2058" t="b">
        <v>1</v>
      </c>
      <c r="V2058" t="s">
        <v>63</v>
      </c>
      <c r="W2058">
        <v>1.4</v>
      </c>
    </row>
    <row r="2059" spans="1:23" hidden="1" x14ac:dyDescent="0.3">
      <c r="A2059" t="s">
        <v>4031</v>
      </c>
      <c r="B2059" t="s">
        <v>4032</v>
      </c>
      <c r="C2059" t="s">
        <v>30</v>
      </c>
      <c r="D2059" t="s">
        <v>22</v>
      </c>
      <c r="E2059" t="s">
        <v>23</v>
      </c>
      <c r="F2059" t="s">
        <v>54</v>
      </c>
      <c r="G2059" t="s">
        <v>144</v>
      </c>
      <c r="H2059" t="s">
        <v>56</v>
      </c>
      <c r="I2059" t="s">
        <v>7</v>
      </c>
      <c r="J2059" t="s">
        <v>145</v>
      </c>
      <c r="K2059" t="s">
        <v>146</v>
      </c>
      <c r="L2059" t="s">
        <v>59</v>
      </c>
      <c r="M2059">
        <v>59</v>
      </c>
      <c r="N2059" t="b">
        <v>1</v>
      </c>
      <c r="O2059">
        <v>0.69230769230769229</v>
      </c>
      <c r="P2059">
        <v>0.64772727272727271</v>
      </c>
      <c r="Q2059">
        <v>0.74347826086956526</v>
      </c>
      <c r="R2059" t="s">
        <v>60</v>
      </c>
      <c r="S2059" t="s">
        <v>4547</v>
      </c>
      <c r="T2059" t="s">
        <v>4548</v>
      </c>
      <c r="U2059" t="b">
        <v>1</v>
      </c>
      <c r="V2059" t="s">
        <v>63</v>
      </c>
      <c r="W2059">
        <v>1.4</v>
      </c>
    </row>
    <row r="2060" spans="1:23" hidden="1" x14ac:dyDescent="0.3">
      <c r="A2060" t="s">
        <v>4031</v>
      </c>
      <c r="B2060" t="s">
        <v>4032</v>
      </c>
      <c r="C2060" t="s">
        <v>30</v>
      </c>
      <c r="D2060" t="s">
        <v>22</v>
      </c>
      <c r="E2060" t="s">
        <v>23</v>
      </c>
      <c r="F2060" t="s">
        <v>54</v>
      </c>
      <c r="G2060" t="s">
        <v>149</v>
      </c>
      <c r="H2060" t="s">
        <v>56</v>
      </c>
      <c r="I2060" t="s">
        <v>7</v>
      </c>
      <c r="J2060" t="s">
        <v>150</v>
      </c>
      <c r="K2060" t="s">
        <v>151</v>
      </c>
      <c r="L2060" t="s">
        <v>59</v>
      </c>
      <c r="M2060">
        <v>60</v>
      </c>
      <c r="N2060" t="b">
        <v>1</v>
      </c>
      <c r="O2060">
        <v>0.70303030303030301</v>
      </c>
      <c r="P2060">
        <v>0.65660377358490563</v>
      </c>
      <c r="Q2060">
        <v>0.75652173913043474</v>
      </c>
      <c r="R2060" t="s">
        <v>60</v>
      </c>
      <c r="S2060" t="s">
        <v>4549</v>
      </c>
      <c r="T2060" t="s">
        <v>4550</v>
      </c>
      <c r="U2060" t="b">
        <v>1</v>
      </c>
      <c r="V2060" t="s">
        <v>63</v>
      </c>
      <c r="W2060">
        <v>1.6</v>
      </c>
    </row>
    <row r="2061" spans="1:23" hidden="1" x14ac:dyDescent="0.3">
      <c r="A2061" t="s">
        <v>4031</v>
      </c>
      <c r="B2061" t="s">
        <v>4032</v>
      </c>
      <c r="C2061" t="s">
        <v>30</v>
      </c>
      <c r="D2061" t="s">
        <v>22</v>
      </c>
      <c r="E2061" t="s">
        <v>23</v>
      </c>
      <c r="F2061" t="s">
        <v>54</v>
      </c>
      <c r="G2061" t="s">
        <v>154</v>
      </c>
      <c r="H2061" t="s">
        <v>56</v>
      </c>
      <c r="I2061" t="s">
        <v>7</v>
      </c>
      <c r="J2061" t="s">
        <v>155</v>
      </c>
      <c r="K2061" t="s">
        <v>156</v>
      </c>
      <c r="L2061" t="s">
        <v>59</v>
      </c>
      <c r="M2061">
        <v>61</v>
      </c>
      <c r="N2061" t="b">
        <v>1</v>
      </c>
      <c r="O2061">
        <v>0.71929824561403499</v>
      </c>
      <c r="P2061">
        <v>0.72566371681415931</v>
      </c>
      <c r="Q2061">
        <v>0.71304347826086956</v>
      </c>
      <c r="R2061" t="s">
        <v>60</v>
      </c>
      <c r="S2061" t="s">
        <v>4551</v>
      </c>
      <c r="T2061" t="s">
        <v>4552</v>
      </c>
      <c r="U2061" t="b">
        <v>1</v>
      </c>
      <c r="V2061" t="s">
        <v>63</v>
      </c>
      <c r="W2061">
        <v>1.4</v>
      </c>
    </row>
    <row r="2062" spans="1:23" hidden="1" x14ac:dyDescent="0.3">
      <c r="A2062" t="s">
        <v>4031</v>
      </c>
      <c r="B2062" t="s">
        <v>4032</v>
      </c>
      <c r="C2062" t="s">
        <v>30</v>
      </c>
      <c r="D2062" t="s">
        <v>22</v>
      </c>
      <c r="E2062" t="s">
        <v>23</v>
      </c>
      <c r="F2062" t="s">
        <v>54</v>
      </c>
      <c r="G2062" t="s">
        <v>159</v>
      </c>
      <c r="H2062" t="s">
        <v>160</v>
      </c>
      <c r="I2062" t="s">
        <v>3</v>
      </c>
      <c r="J2062" t="s">
        <v>161</v>
      </c>
      <c r="K2062" t="s">
        <v>162</v>
      </c>
      <c r="L2062" t="s">
        <v>163</v>
      </c>
      <c r="M2062">
        <v>42</v>
      </c>
      <c r="N2062" t="b">
        <v>0</v>
      </c>
      <c r="O2062">
        <v>0.69209809264305178</v>
      </c>
      <c r="P2062">
        <v>0.64141414141414144</v>
      </c>
      <c r="Q2062">
        <v>0.75147928994082835</v>
      </c>
      <c r="R2062" t="s">
        <v>60</v>
      </c>
      <c r="S2062" t="s">
        <v>4553</v>
      </c>
      <c r="T2062" t="s">
        <v>4554</v>
      </c>
      <c r="U2062" t="b">
        <v>1</v>
      </c>
      <c r="V2062" t="s">
        <v>63</v>
      </c>
      <c r="W2062">
        <v>1.3</v>
      </c>
    </row>
    <row r="2063" spans="1:23" hidden="1" x14ac:dyDescent="0.3">
      <c r="A2063" t="s">
        <v>4031</v>
      </c>
      <c r="B2063" t="s">
        <v>4032</v>
      </c>
      <c r="C2063" t="s">
        <v>30</v>
      </c>
      <c r="D2063" t="s">
        <v>22</v>
      </c>
      <c r="E2063" t="s">
        <v>23</v>
      </c>
      <c r="F2063" t="s">
        <v>54</v>
      </c>
      <c r="G2063" t="s">
        <v>166</v>
      </c>
      <c r="H2063" t="s">
        <v>160</v>
      </c>
      <c r="I2063" t="s">
        <v>3</v>
      </c>
      <c r="J2063" t="s">
        <v>167</v>
      </c>
      <c r="K2063" t="s">
        <v>168</v>
      </c>
      <c r="L2063" t="s">
        <v>163</v>
      </c>
      <c r="M2063">
        <v>43</v>
      </c>
      <c r="N2063" t="b">
        <v>0</v>
      </c>
      <c r="O2063">
        <v>0.70680628272251322</v>
      </c>
      <c r="P2063">
        <v>0.63380281690140849</v>
      </c>
      <c r="Q2063">
        <v>0.79881656804733725</v>
      </c>
      <c r="R2063" t="s">
        <v>60</v>
      </c>
      <c r="S2063" t="s">
        <v>4555</v>
      </c>
      <c r="T2063" t="s">
        <v>4556</v>
      </c>
      <c r="U2063" t="b">
        <v>1</v>
      </c>
      <c r="V2063" t="s">
        <v>63</v>
      </c>
      <c r="W2063">
        <v>1.7</v>
      </c>
    </row>
    <row r="2064" spans="1:23" hidden="1" x14ac:dyDescent="0.3">
      <c r="A2064" t="s">
        <v>4031</v>
      </c>
      <c r="B2064" t="s">
        <v>4032</v>
      </c>
      <c r="C2064" t="s">
        <v>30</v>
      </c>
      <c r="D2064" t="s">
        <v>22</v>
      </c>
      <c r="E2064" t="s">
        <v>23</v>
      </c>
      <c r="F2064" t="s">
        <v>54</v>
      </c>
      <c r="G2064" t="s">
        <v>171</v>
      </c>
      <c r="H2064" t="s">
        <v>160</v>
      </c>
      <c r="I2064" t="s">
        <v>3</v>
      </c>
      <c r="J2064" t="s">
        <v>172</v>
      </c>
      <c r="K2064" t="s">
        <v>173</v>
      </c>
      <c r="L2064" t="s">
        <v>163</v>
      </c>
      <c r="M2064">
        <v>44</v>
      </c>
      <c r="N2064" t="b">
        <v>0</v>
      </c>
      <c r="O2064">
        <v>0.70933333333333337</v>
      </c>
      <c r="P2064">
        <v>0.64563106796116509</v>
      </c>
      <c r="Q2064">
        <v>0.78698224852071008</v>
      </c>
      <c r="R2064" t="s">
        <v>60</v>
      </c>
      <c r="S2064" t="s">
        <v>4557</v>
      </c>
      <c r="T2064" t="s">
        <v>4558</v>
      </c>
      <c r="U2064" t="b">
        <v>1</v>
      </c>
      <c r="V2064" t="s">
        <v>63</v>
      </c>
      <c r="W2064">
        <v>1.3</v>
      </c>
    </row>
    <row r="2065" spans="1:23" hidden="1" x14ac:dyDescent="0.3">
      <c r="A2065" t="s">
        <v>4031</v>
      </c>
      <c r="B2065" t="s">
        <v>4032</v>
      </c>
      <c r="C2065" t="s">
        <v>30</v>
      </c>
      <c r="D2065" t="s">
        <v>22</v>
      </c>
      <c r="E2065" t="s">
        <v>23</v>
      </c>
      <c r="F2065" t="s">
        <v>54</v>
      </c>
      <c r="G2065" t="s">
        <v>176</v>
      </c>
      <c r="H2065" t="s">
        <v>160</v>
      </c>
      <c r="I2065" t="s">
        <v>3</v>
      </c>
      <c r="J2065" t="s">
        <v>177</v>
      </c>
      <c r="K2065" t="s">
        <v>178</v>
      </c>
      <c r="L2065" t="s">
        <v>163</v>
      </c>
      <c r="M2065">
        <v>45</v>
      </c>
      <c r="N2065" t="b">
        <v>0</v>
      </c>
      <c r="O2065">
        <v>0.72928176795580113</v>
      </c>
      <c r="P2065">
        <v>0.68393782383419688</v>
      </c>
      <c r="Q2065">
        <v>0.78106508875739644</v>
      </c>
      <c r="R2065" t="s">
        <v>60</v>
      </c>
      <c r="S2065" t="s">
        <v>4559</v>
      </c>
      <c r="T2065" t="s">
        <v>4560</v>
      </c>
      <c r="U2065" t="b">
        <v>1</v>
      </c>
      <c r="V2065" t="s">
        <v>63</v>
      </c>
      <c r="W2065">
        <v>1.5</v>
      </c>
    </row>
    <row r="2066" spans="1:23" hidden="1" x14ac:dyDescent="0.3">
      <c r="A2066" t="s">
        <v>4031</v>
      </c>
      <c r="B2066" t="s">
        <v>4032</v>
      </c>
      <c r="C2066" t="s">
        <v>30</v>
      </c>
      <c r="D2066" t="s">
        <v>22</v>
      </c>
      <c r="E2066" t="s">
        <v>23</v>
      </c>
      <c r="F2066" t="s">
        <v>54</v>
      </c>
      <c r="G2066" t="s">
        <v>181</v>
      </c>
      <c r="H2066" t="s">
        <v>160</v>
      </c>
      <c r="I2066" t="s">
        <v>3</v>
      </c>
      <c r="J2066" t="s">
        <v>182</v>
      </c>
      <c r="K2066" t="s">
        <v>183</v>
      </c>
      <c r="L2066" t="s">
        <v>163</v>
      </c>
      <c r="M2066">
        <v>46</v>
      </c>
      <c r="N2066" t="b">
        <v>0</v>
      </c>
      <c r="O2066">
        <v>0.70430107526881713</v>
      </c>
      <c r="P2066">
        <v>0.64532019704433496</v>
      </c>
      <c r="Q2066">
        <v>0.7751479289940828</v>
      </c>
      <c r="R2066" t="s">
        <v>60</v>
      </c>
      <c r="S2066" t="s">
        <v>4561</v>
      </c>
      <c r="T2066" t="s">
        <v>4562</v>
      </c>
      <c r="U2066" t="b">
        <v>1</v>
      </c>
      <c r="V2066" t="s">
        <v>63</v>
      </c>
      <c r="W2066">
        <v>1.5</v>
      </c>
    </row>
    <row r="2067" spans="1:23" hidden="1" x14ac:dyDescent="0.3">
      <c r="A2067" t="s">
        <v>4031</v>
      </c>
      <c r="B2067" t="s">
        <v>4032</v>
      </c>
      <c r="C2067" t="s">
        <v>30</v>
      </c>
      <c r="D2067" t="s">
        <v>22</v>
      </c>
      <c r="E2067" t="s">
        <v>23</v>
      </c>
      <c r="F2067" t="s">
        <v>54</v>
      </c>
      <c r="G2067" t="s">
        <v>186</v>
      </c>
      <c r="H2067" t="s">
        <v>160</v>
      </c>
      <c r="I2067" t="s">
        <v>3</v>
      </c>
      <c r="J2067" t="s">
        <v>187</v>
      </c>
      <c r="K2067" t="s">
        <v>188</v>
      </c>
      <c r="L2067" t="s">
        <v>163</v>
      </c>
      <c r="M2067">
        <v>47</v>
      </c>
      <c r="N2067" t="b">
        <v>0</v>
      </c>
      <c r="O2067">
        <v>0.70085470085470081</v>
      </c>
      <c r="P2067">
        <v>0.67582417582417587</v>
      </c>
      <c r="Q2067">
        <v>0.72781065088757402</v>
      </c>
      <c r="R2067" t="s">
        <v>60</v>
      </c>
      <c r="S2067" t="s">
        <v>4563</v>
      </c>
      <c r="T2067" t="s">
        <v>4564</v>
      </c>
      <c r="U2067" t="b">
        <v>1</v>
      </c>
      <c r="V2067" t="s">
        <v>63</v>
      </c>
      <c r="W2067">
        <v>1.3</v>
      </c>
    </row>
    <row r="2068" spans="1:23" hidden="1" x14ac:dyDescent="0.3">
      <c r="A2068" t="s">
        <v>4031</v>
      </c>
      <c r="B2068" t="s">
        <v>4032</v>
      </c>
      <c r="C2068" t="s">
        <v>30</v>
      </c>
      <c r="D2068" t="s">
        <v>22</v>
      </c>
      <c r="E2068" t="s">
        <v>23</v>
      </c>
      <c r="F2068" t="s">
        <v>54</v>
      </c>
      <c r="G2068" t="s">
        <v>191</v>
      </c>
      <c r="H2068" t="s">
        <v>160</v>
      </c>
      <c r="I2068" t="s">
        <v>3</v>
      </c>
      <c r="J2068" t="s">
        <v>192</v>
      </c>
      <c r="K2068" t="s">
        <v>193</v>
      </c>
      <c r="L2068" t="s">
        <v>163</v>
      </c>
      <c r="M2068">
        <v>48</v>
      </c>
      <c r="N2068" t="b">
        <v>0</v>
      </c>
      <c r="O2068">
        <v>0.73224043715846998</v>
      </c>
      <c r="P2068">
        <v>0.68020304568527923</v>
      </c>
      <c r="Q2068">
        <v>0.79289940828402372</v>
      </c>
      <c r="R2068" t="s">
        <v>60</v>
      </c>
      <c r="S2068" t="s">
        <v>4565</v>
      </c>
      <c r="T2068" t="s">
        <v>4566</v>
      </c>
      <c r="U2068" t="b">
        <v>1</v>
      </c>
      <c r="V2068" t="s">
        <v>63</v>
      </c>
      <c r="W2068">
        <v>1.3</v>
      </c>
    </row>
    <row r="2069" spans="1:23" hidden="1" x14ac:dyDescent="0.3">
      <c r="A2069" t="s">
        <v>4031</v>
      </c>
      <c r="B2069" t="s">
        <v>4032</v>
      </c>
      <c r="C2069" t="s">
        <v>30</v>
      </c>
      <c r="D2069" t="s">
        <v>22</v>
      </c>
      <c r="E2069" t="s">
        <v>23</v>
      </c>
      <c r="F2069" t="s">
        <v>54</v>
      </c>
      <c r="G2069" t="s">
        <v>196</v>
      </c>
      <c r="H2069" t="s">
        <v>160</v>
      </c>
      <c r="I2069" t="s">
        <v>3</v>
      </c>
      <c r="J2069" t="s">
        <v>197</v>
      </c>
      <c r="K2069" t="s">
        <v>198</v>
      </c>
      <c r="L2069" t="s">
        <v>163</v>
      </c>
      <c r="M2069">
        <v>49</v>
      </c>
      <c r="N2069" t="b">
        <v>0</v>
      </c>
      <c r="O2069">
        <v>0.75428571428571434</v>
      </c>
      <c r="P2069">
        <v>0.72928176795580113</v>
      </c>
      <c r="Q2069">
        <v>0.78106508875739644</v>
      </c>
      <c r="R2069" t="s">
        <v>60</v>
      </c>
      <c r="S2069" t="s">
        <v>4567</v>
      </c>
      <c r="T2069" t="s">
        <v>4568</v>
      </c>
      <c r="U2069" t="b">
        <v>1</v>
      </c>
      <c r="V2069" t="s">
        <v>63</v>
      </c>
      <c r="W2069">
        <v>1.3</v>
      </c>
    </row>
    <row r="2070" spans="1:23" hidden="1" x14ac:dyDescent="0.3">
      <c r="A2070" t="s">
        <v>4031</v>
      </c>
      <c r="B2070" t="s">
        <v>4032</v>
      </c>
      <c r="C2070" t="s">
        <v>30</v>
      </c>
      <c r="D2070" t="s">
        <v>22</v>
      </c>
      <c r="E2070" t="s">
        <v>23</v>
      </c>
      <c r="F2070" t="s">
        <v>54</v>
      </c>
      <c r="G2070" t="s">
        <v>201</v>
      </c>
      <c r="H2070" t="s">
        <v>160</v>
      </c>
      <c r="I2070" t="s">
        <v>3</v>
      </c>
      <c r="J2070" t="s">
        <v>202</v>
      </c>
      <c r="K2070" t="s">
        <v>203</v>
      </c>
      <c r="L2070" t="s">
        <v>163</v>
      </c>
      <c r="M2070">
        <v>50</v>
      </c>
      <c r="N2070" t="b">
        <v>0</v>
      </c>
      <c r="O2070">
        <v>0.74220963172804533</v>
      </c>
      <c r="P2070">
        <v>0.71195652173913049</v>
      </c>
      <c r="Q2070">
        <v>0.7751479289940828</v>
      </c>
      <c r="R2070" t="s">
        <v>60</v>
      </c>
      <c r="S2070" t="s">
        <v>4569</v>
      </c>
      <c r="T2070" t="s">
        <v>4570</v>
      </c>
      <c r="U2070" t="b">
        <v>1</v>
      </c>
      <c r="V2070" t="s">
        <v>63</v>
      </c>
      <c r="W2070">
        <v>1.2</v>
      </c>
    </row>
    <row r="2071" spans="1:23" hidden="1" x14ac:dyDescent="0.3">
      <c r="A2071" t="s">
        <v>4031</v>
      </c>
      <c r="B2071" t="s">
        <v>4032</v>
      </c>
      <c r="C2071" t="s">
        <v>30</v>
      </c>
      <c r="D2071" t="s">
        <v>22</v>
      </c>
      <c r="E2071" t="s">
        <v>23</v>
      </c>
      <c r="F2071" t="s">
        <v>54</v>
      </c>
      <c r="G2071" t="s">
        <v>206</v>
      </c>
      <c r="H2071" t="s">
        <v>160</v>
      </c>
      <c r="I2071" t="s">
        <v>3</v>
      </c>
      <c r="J2071" t="s">
        <v>207</v>
      </c>
      <c r="K2071" t="s">
        <v>208</v>
      </c>
      <c r="L2071" t="s">
        <v>163</v>
      </c>
      <c r="M2071">
        <v>51</v>
      </c>
      <c r="N2071" t="b">
        <v>0</v>
      </c>
      <c r="O2071">
        <v>0.71098265895953761</v>
      </c>
      <c r="P2071">
        <v>0.69491525423728817</v>
      </c>
      <c r="Q2071">
        <v>0.72781065088757402</v>
      </c>
      <c r="R2071" t="s">
        <v>60</v>
      </c>
      <c r="S2071" t="s">
        <v>4571</v>
      </c>
      <c r="T2071" t="s">
        <v>4572</v>
      </c>
      <c r="U2071" t="b">
        <v>1</v>
      </c>
      <c r="V2071" t="s">
        <v>63</v>
      </c>
      <c r="W2071">
        <v>1.7</v>
      </c>
    </row>
    <row r="2072" spans="1:23" hidden="1" x14ac:dyDescent="0.3">
      <c r="A2072" t="s">
        <v>4031</v>
      </c>
      <c r="B2072" t="s">
        <v>4032</v>
      </c>
      <c r="C2072" t="s">
        <v>30</v>
      </c>
      <c r="D2072" t="s">
        <v>22</v>
      </c>
      <c r="E2072" t="s">
        <v>23</v>
      </c>
      <c r="F2072" t="s">
        <v>54</v>
      </c>
      <c r="G2072" t="s">
        <v>211</v>
      </c>
      <c r="H2072" t="s">
        <v>160</v>
      </c>
      <c r="I2072" t="s">
        <v>3</v>
      </c>
      <c r="J2072" t="s">
        <v>212</v>
      </c>
      <c r="K2072" t="s">
        <v>213</v>
      </c>
      <c r="L2072" t="s">
        <v>163</v>
      </c>
      <c r="M2072">
        <v>52</v>
      </c>
      <c r="N2072" t="b">
        <v>0</v>
      </c>
      <c r="O2072">
        <v>0.74486803519061573</v>
      </c>
      <c r="P2072">
        <v>0.73837209302325579</v>
      </c>
      <c r="Q2072">
        <v>0.75147928994082835</v>
      </c>
      <c r="R2072" t="s">
        <v>60</v>
      </c>
      <c r="S2072" t="s">
        <v>4573</v>
      </c>
      <c r="T2072" t="s">
        <v>4574</v>
      </c>
      <c r="U2072" t="b">
        <v>1</v>
      </c>
      <c r="V2072" t="s">
        <v>63</v>
      </c>
      <c r="W2072">
        <v>1.5</v>
      </c>
    </row>
    <row r="2073" spans="1:23" hidden="1" x14ac:dyDescent="0.3">
      <c r="A2073" t="s">
        <v>4031</v>
      </c>
      <c r="B2073" t="s">
        <v>4032</v>
      </c>
      <c r="C2073" t="s">
        <v>30</v>
      </c>
      <c r="D2073" t="s">
        <v>22</v>
      </c>
      <c r="E2073" t="s">
        <v>23</v>
      </c>
      <c r="F2073" t="s">
        <v>54</v>
      </c>
      <c r="G2073" t="s">
        <v>216</v>
      </c>
      <c r="H2073" t="s">
        <v>160</v>
      </c>
      <c r="I2073" t="s">
        <v>3</v>
      </c>
      <c r="J2073" t="s">
        <v>217</v>
      </c>
      <c r="K2073" t="s">
        <v>218</v>
      </c>
      <c r="L2073" t="s">
        <v>163</v>
      </c>
      <c r="M2073">
        <v>53</v>
      </c>
      <c r="N2073" t="b">
        <v>0</v>
      </c>
      <c r="O2073">
        <v>0.72386058981233237</v>
      </c>
      <c r="P2073">
        <v>0.66176470588235292</v>
      </c>
      <c r="Q2073">
        <v>0.79881656804733725</v>
      </c>
      <c r="R2073" t="s">
        <v>60</v>
      </c>
      <c r="S2073" t="s">
        <v>4575</v>
      </c>
      <c r="T2073" t="s">
        <v>4576</v>
      </c>
      <c r="U2073" t="b">
        <v>1</v>
      </c>
      <c r="V2073" t="s">
        <v>63</v>
      </c>
      <c r="W2073">
        <v>1.5</v>
      </c>
    </row>
    <row r="2074" spans="1:23" hidden="1" x14ac:dyDescent="0.3">
      <c r="A2074" t="s">
        <v>4031</v>
      </c>
      <c r="B2074" t="s">
        <v>4032</v>
      </c>
      <c r="C2074" t="s">
        <v>30</v>
      </c>
      <c r="D2074" t="s">
        <v>22</v>
      </c>
      <c r="E2074" t="s">
        <v>23</v>
      </c>
      <c r="F2074" t="s">
        <v>54</v>
      </c>
      <c r="G2074" t="s">
        <v>221</v>
      </c>
      <c r="H2074" t="s">
        <v>160</v>
      </c>
      <c r="I2074" t="s">
        <v>3</v>
      </c>
      <c r="J2074" t="s">
        <v>222</v>
      </c>
      <c r="K2074" t="s">
        <v>223</v>
      </c>
      <c r="L2074" t="s">
        <v>163</v>
      </c>
      <c r="M2074">
        <v>54</v>
      </c>
      <c r="N2074" t="b">
        <v>0</v>
      </c>
      <c r="O2074">
        <v>0.74114441416893728</v>
      </c>
      <c r="P2074">
        <v>0.68686868686868685</v>
      </c>
      <c r="Q2074">
        <v>0.80473372781065089</v>
      </c>
      <c r="R2074" t="s">
        <v>60</v>
      </c>
      <c r="S2074" t="s">
        <v>4577</v>
      </c>
      <c r="T2074" t="s">
        <v>4578</v>
      </c>
      <c r="U2074" t="b">
        <v>1</v>
      </c>
      <c r="V2074" t="s">
        <v>63</v>
      </c>
      <c r="W2074">
        <v>1.3</v>
      </c>
    </row>
    <row r="2075" spans="1:23" hidden="1" x14ac:dyDescent="0.3">
      <c r="A2075" t="s">
        <v>4031</v>
      </c>
      <c r="B2075" t="s">
        <v>4032</v>
      </c>
      <c r="C2075" t="s">
        <v>30</v>
      </c>
      <c r="D2075" t="s">
        <v>22</v>
      </c>
      <c r="E2075" t="s">
        <v>23</v>
      </c>
      <c r="F2075" t="s">
        <v>54</v>
      </c>
      <c r="G2075" t="s">
        <v>226</v>
      </c>
      <c r="H2075" t="s">
        <v>160</v>
      </c>
      <c r="I2075" t="s">
        <v>3</v>
      </c>
      <c r="J2075" t="s">
        <v>227</v>
      </c>
      <c r="K2075" t="s">
        <v>228</v>
      </c>
      <c r="L2075" t="s">
        <v>163</v>
      </c>
      <c r="M2075">
        <v>55</v>
      </c>
      <c r="N2075" t="b">
        <v>0</v>
      </c>
      <c r="O2075">
        <v>0.72677595628415292</v>
      </c>
      <c r="P2075">
        <v>0.67512690355329952</v>
      </c>
      <c r="Q2075">
        <v>0.78698224852071008</v>
      </c>
      <c r="R2075" t="s">
        <v>60</v>
      </c>
      <c r="S2075" t="s">
        <v>4579</v>
      </c>
      <c r="T2075" t="s">
        <v>4580</v>
      </c>
      <c r="U2075" t="b">
        <v>1</v>
      </c>
      <c r="V2075" t="s">
        <v>63</v>
      </c>
      <c r="W2075">
        <v>1.5</v>
      </c>
    </row>
    <row r="2076" spans="1:23" hidden="1" x14ac:dyDescent="0.3">
      <c r="A2076" t="s">
        <v>4031</v>
      </c>
      <c r="B2076" t="s">
        <v>4032</v>
      </c>
      <c r="C2076" t="s">
        <v>30</v>
      </c>
      <c r="D2076" t="s">
        <v>22</v>
      </c>
      <c r="E2076" t="s">
        <v>23</v>
      </c>
      <c r="F2076" t="s">
        <v>54</v>
      </c>
      <c r="G2076" t="s">
        <v>231</v>
      </c>
      <c r="H2076" t="s">
        <v>160</v>
      </c>
      <c r="I2076" t="s">
        <v>3</v>
      </c>
      <c r="J2076" t="s">
        <v>232</v>
      </c>
      <c r="K2076" t="s">
        <v>233</v>
      </c>
      <c r="L2076" t="s">
        <v>163</v>
      </c>
      <c r="M2076">
        <v>56</v>
      </c>
      <c r="N2076" t="b">
        <v>0</v>
      </c>
      <c r="O2076">
        <v>0.76878612716763006</v>
      </c>
      <c r="P2076">
        <v>0.75141242937853103</v>
      </c>
      <c r="Q2076">
        <v>0.78698224852071008</v>
      </c>
      <c r="R2076" t="s">
        <v>60</v>
      </c>
      <c r="S2076" t="s">
        <v>4581</v>
      </c>
      <c r="T2076" t="s">
        <v>4582</v>
      </c>
      <c r="U2076" t="b">
        <v>1</v>
      </c>
      <c r="V2076" t="s">
        <v>63</v>
      </c>
      <c r="W2076">
        <v>1.5</v>
      </c>
    </row>
    <row r="2077" spans="1:23" hidden="1" x14ac:dyDescent="0.3">
      <c r="A2077" t="s">
        <v>4031</v>
      </c>
      <c r="B2077" t="s">
        <v>4032</v>
      </c>
      <c r="C2077" t="s">
        <v>30</v>
      </c>
      <c r="D2077" t="s">
        <v>22</v>
      </c>
      <c r="E2077" t="s">
        <v>23</v>
      </c>
      <c r="F2077" t="s">
        <v>54</v>
      </c>
      <c r="G2077" t="s">
        <v>236</v>
      </c>
      <c r="H2077" t="s">
        <v>160</v>
      </c>
      <c r="I2077" t="s">
        <v>3</v>
      </c>
      <c r="J2077" t="s">
        <v>237</v>
      </c>
      <c r="K2077" t="s">
        <v>238</v>
      </c>
      <c r="L2077" t="s">
        <v>163</v>
      </c>
      <c r="M2077">
        <v>57</v>
      </c>
      <c r="N2077" t="b">
        <v>0</v>
      </c>
      <c r="O2077">
        <v>0.70731707317073167</v>
      </c>
      <c r="P2077">
        <v>0.72955974842767291</v>
      </c>
      <c r="Q2077">
        <v>0.68639053254437865</v>
      </c>
      <c r="R2077" t="s">
        <v>60</v>
      </c>
      <c r="S2077" t="s">
        <v>4583</v>
      </c>
      <c r="T2077" t="s">
        <v>4584</v>
      </c>
      <c r="U2077" t="b">
        <v>1</v>
      </c>
      <c r="V2077" t="s">
        <v>63</v>
      </c>
      <c r="W2077">
        <v>1.3</v>
      </c>
    </row>
    <row r="2078" spans="1:23" hidden="1" x14ac:dyDescent="0.3">
      <c r="A2078" t="s">
        <v>4031</v>
      </c>
      <c r="B2078" t="s">
        <v>4032</v>
      </c>
      <c r="C2078" t="s">
        <v>30</v>
      </c>
      <c r="D2078" t="s">
        <v>22</v>
      </c>
      <c r="E2078" t="s">
        <v>23</v>
      </c>
      <c r="F2078" t="s">
        <v>54</v>
      </c>
      <c r="G2078" t="s">
        <v>241</v>
      </c>
      <c r="H2078" t="s">
        <v>160</v>
      </c>
      <c r="I2078" t="s">
        <v>3</v>
      </c>
      <c r="J2078" t="s">
        <v>242</v>
      </c>
      <c r="K2078" t="s">
        <v>243</v>
      </c>
      <c r="L2078" t="s">
        <v>163</v>
      </c>
      <c r="M2078">
        <v>58</v>
      </c>
      <c r="N2078" t="b">
        <v>0</v>
      </c>
      <c r="O2078">
        <v>0.67379679144385041</v>
      </c>
      <c r="P2078">
        <v>0.61463414634146341</v>
      </c>
      <c r="Q2078">
        <v>0.74556213017751483</v>
      </c>
      <c r="R2078" t="s">
        <v>60</v>
      </c>
      <c r="S2078" t="s">
        <v>4585</v>
      </c>
      <c r="T2078" t="s">
        <v>4586</v>
      </c>
      <c r="U2078" t="b">
        <v>1</v>
      </c>
      <c r="V2078" t="s">
        <v>63</v>
      </c>
      <c r="W2078">
        <v>1.7</v>
      </c>
    </row>
    <row r="2079" spans="1:23" hidden="1" x14ac:dyDescent="0.3">
      <c r="A2079" t="s">
        <v>4031</v>
      </c>
      <c r="B2079" t="s">
        <v>4032</v>
      </c>
      <c r="C2079" t="s">
        <v>30</v>
      </c>
      <c r="D2079" t="s">
        <v>22</v>
      </c>
      <c r="E2079" t="s">
        <v>23</v>
      </c>
      <c r="F2079" t="s">
        <v>54</v>
      </c>
      <c r="G2079" t="s">
        <v>246</v>
      </c>
      <c r="H2079" t="s">
        <v>160</v>
      </c>
      <c r="I2079" t="s">
        <v>3</v>
      </c>
      <c r="J2079" t="s">
        <v>247</v>
      </c>
      <c r="K2079" t="s">
        <v>248</v>
      </c>
      <c r="L2079" t="s">
        <v>163</v>
      </c>
      <c r="M2079">
        <v>59</v>
      </c>
      <c r="N2079" t="b">
        <v>0</v>
      </c>
      <c r="O2079">
        <v>0.75294117647058834</v>
      </c>
      <c r="P2079">
        <v>0.74853801169590639</v>
      </c>
      <c r="Q2079">
        <v>0.75739644970414199</v>
      </c>
      <c r="R2079" t="s">
        <v>60</v>
      </c>
      <c r="S2079" t="s">
        <v>4587</v>
      </c>
      <c r="T2079" t="s">
        <v>4588</v>
      </c>
      <c r="U2079" t="b">
        <v>1</v>
      </c>
      <c r="V2079" t="s">
        <v>63</v>
      </c>
      <c r="W2079">
        <v>1.3</v>
      </c>
    </row>
    <row r="2080" spans="1:23" hidden="1" x14ac:dyDescent="0.3">
      <c r="A2080" t="s">
        <v>4031</v>
      </c>
      <c r="B2080" t="s">
        <v>4032</v>
      </c>
      <c r="C2080" t="s">
        <v>30</v>
      </c>
      <c r="D2080" t="s">
        <v>22</v>
      </c>
      <c r="E2080" t="s">
        <v>23</v>
      </c>
      <c r="F2080" t="s">
        <v>54</v>
      </c>
      <c r="G2080" t="s">
        <v>251</v>
      </c>
      <c r="H2080" t="s">
        <v>160</v>
      </c>
      <c r="I2080" t="s">
        <v>3</v>
      </c>
      <c r="J2080" t="s">
        <v>252</v>
      </c>
      <c r="K2080" t="s">
        <v>253</v>
      </c>
      <c r="L2080" t="s">
        <v>163</v>
      </c>
      <c r="M2080">
        <v>60</v>
      </c>
      <c r="N2080" t="b">
        <v>0</v>
      </c>
      <c r="O2080">
        <v>0.69333333333333336</v>
      </c>
      <c r="P2080">
        <v>0.6310679611650486</v>
      </c>
      <c r="Q2080">
        <v>0.76923076923076927</v>
      </c>
      <c r="R2080" t="s">
        <v>60</v>
      </c>
      <c r="S2080" t="s">
        <v>4589</v>
      </c>
      <c r="T2080" t="s">
        <v>4590</v>
      </c>
      <c r="U2080" t="b">
        <v>1</v>
      </c>
      <c r="V2080" t="s">
        <v>63</v>
      </c>
      <c r="W2080">
        <v>1.2</v>
      </c>
    </row>
    <row r="2081" spans="1:23" hidden="1" x14ac:dyDescent="0.3">
      <c r="A2081" t="s">
        <v>4031</v>
      </c>
      <c r="B2081" t="s">
        <v>4032</v>
      </c>
      <c r="C2081" t="s">
        <v>30</v>
      </c>
      <c r="D2081" t="s">
        <v>22</v>
      </c>
      <c r="E2081" t="s">
        <v>23</v>
      </c>
      <c r="F2081" t="s">
        <v>54</v>
      </c>
      <c r="G2081" t="s">
        <v>256</v>
      </c>
      <c r="H2081" t="s">
        <v>160</v>
      </c>
      <c r="I2081" t="s">
        <v>3</v>
      </c>
      <c r="J2081" t="s">
        <v>257</v>
      </c>
      <c r="K2081" t="s">
        <v>258</v>
      </c>
      <c r="L2081" t="s">
        <v>163</v>
      </c>
      <c r="M2081">
        <v>61</v>
      </c>
      <c r="N2081" t="b">
        <v>0</v>
      </c>
      <c r="O2081">
        <v>0.7478753541076486</v>
      </c>
      <c r="P2081">
        <v>0.71739130434782605</v>
      </c>
      <c r="Q2081">
        <v>0.78106508875739644</v>
      </c>
      <c r="R2081" t="s">
        <v>60</v>
      </c>
      <c r="S2081" t="s">
        <v>4591</v>
      </c>
      <c r="T2081" t="s">
        <v>4592</v>
      </c>
      <c r="U2081" t="b">
        <v>1</v>
      </c>
      <c r="V2081" t="s">
        <v>63</v>
      </c>
      <c r="W2081">
        <v>1.3</v>
      </c>
    </row>
    <row r="2082" spans="1:23" hidden="1" x14ac:dyDescent="0.3">
      <c r="A2082" t="s">
        <v>4031</v>
      </c>
      <c r="B2082" t="s">
        <v>4032</v>
      </c>
      <c r="C2082" t="s">
        <v>30</v>
      </c>
      <c r="D2082" t="s">
        <v>22</v>
      </c>
      <c r="E2082" t="s">
        <v>23</v>
      </c>
      <c r="F2082" t="s">
        <v>54</v>
      </c>
      <c r="G2082" t="s">
        <v>261</v>
      </c>
      <c r="H2082" t="s">
        <v>262</v>
      </c>
      <c r="I2082" t="s">
        <v>5</v>
      </c>
      <c r="J2082" t="s">
        <v>263</v>
      </c>
      <c r="K2082" t="s">
        <v>264</v>
      </c>
      <c r="L2082" t="s">
        <v>265</v>
      </c>
      <c r="M2082">
        <v>42</v>
      </c>
      <c r="N2082" t="b">
        <v>0</v>
      </c>
      <c r="O2082">
        <v>0.70941883767535074</v>
      </c>
      <c r="P2082">
        <v>0.63898916967509023</v>
      </c>
      <c r="Q2082">
        <v>0.79729729729729726</v>
      </c>
      <c r="R2082" t="s">
        <v>60</v>
      </c>
      <c r="S2082" t="s">
        <v>4593</v>
      </c>
      <c r="T2082" t="s">
        <v>4594</v>
      </c>
      <c r="U2082" t="b">
        <v>1</v>
      </c>
      <c r="V2082" t="s">
        <v>63</v>
      </c>
      <c r="W2082">
        <v>1.5</v>
      </c>
    </row>
    <row r="2083" spans="1:23" hidden="1" x14ac:dyDescent="0.3">
      <c r="A2083" t="s">
        <v>4031</v>
      </c>
      <c r="B2083" t="s">
        <v>4032</v>
      </c>
      <c r="C2083" t="s">
        <v>30</v>
      </c>
      <c r="D2083" t="s">
        <v>22</v>
      </c>
      <c r="E2083" t="s">
        <v>23</v>
      </c>
      <c r="F2083" t="s">
        <v>54</v>
      </c>
      <c r="G2083" t="s">
        <v>268</v>
      </c>
      <c r="H2083" t="s">
        <v>262</v>
      </c>
      <c r="I2083" t="s">
        <v>5</v>
      </c>
      <c r="J2083" t="s">
        <v>269</v>
      </c>
      <c r="K2083" t="s">
        <v>270</v>
      </c>
      <c r="L2083" t="s">
        <v>265</v>
      </c>
      <c r="M2083">
        <v>43</v>
      </c>
      <c r="N2083" t="b">
        <v>0</v>
      </c>
      <c r="O2083">
        <v>0.66666666666666663</v>
      </c>
      <c r="P2083">
        <v>0.6495726495726496</v>
      </c>
      <c r="Q2083">
        <v>0.68468468468468469</v>
      </c>
      <c r="R2083" t="s">
        <v>60</v>
      </c>
      <c r="S2083" t="s">
        <v>4595</v>
      </c>
      <c r="T2083" t="s">
        <v>4596</v>
      </c>
      <c r="U2083" t="b">
        <v>1</v>
      </c>
      <c r="V2083" t="s">
        <v>63</v>
      </c>
      <c r="W2083">
        <v>1.4</v>
      </c>
    </row>
    <row r="2084" spans="1:23" hidden="1" x14ac:dyDescent="0.3">
      <c r="A2084" t="s">
        <v>4031</v>
      </c>
      <c r="B2084" t="s">
        <v>4032</v>
      </c>
      <c r="C2084" t="s">
        <v>30</v>
      </c>
      <c r="D2084" t="s">
        <v>22</v>
      </c>
      <c r="E2084" t="s">
        <v>23</v>
      </c>
      <c r="F2084" t="s">
        <v>54</v>
      </c>
      <c r="G2084" t="s">
        <v>273</v>
      </c>
      <c r="H2084" t="s">
        <v>262</v>
      </c>
      <c r="I2084" t="s">
        <v>5</v>
      </c>
      <c r="J2084" t="s">
        <v>274</v>
      </c>
      <c r="K2084" t="s">
        <v>275</v>
      </c>
      <c r="L2084" t="s">
        <v>265</v>
      </c>
      <c r="M2084">
        <v>44</v>
      </c>
      <c r="N2084" t="b">
        <v>0</v>
      </c>
      <c r="O2084">
        <v>0.71875</v>
      </c>
      <c r="P2084">
        <v>0.71238938053097345</v>
      </c>
      <c r="Q2084">
        <v>0.72522522522522526</v>
      </c>
      <c r="R2084" t="s">
        <v>60</v>
      </c>
      <c r="S2084" t="s">
        <v>4597</v>
      </c>
      <c r="T2084" t="s">
        <v>4598</v>
      </c>
      <c r="U2084" t="b">
        <v>1</v>
      </c>
      <c r="V2084" t="s">
        <v>63</v>
      </c>
      <c r="W2084">
        <v>1.4</v>
      </c>
    </row>
    <row r="2085" spans="1:23" hidden="1" x14ac:dyDescent="0.3">
      <c r="A2085" t="s">
        <v>4031</v>
      </c>
      <c r="B2085" t="s">
        <v>4032</v>
      </c>
      <c r="C2085" t="s">
        <v>30</v>
      </c>
      <c r="D2085" t="s">
        <v>22</v>
      </c>
      <c r="E2085" t="s">
        <v>23</v>
      </c>
      <c r="F2085" t="s">
        <v>54</v>
      </c>
      <c r="G2085" t="s">
        <v>278</v>
      </c>
      <c r="H2085" t="s">
        <v>262</v>
      </c>
      <c r="I2085" t="s">
        <v>5</v>
      </c>
      <c r="J2085" t="s">
        <v>279</v>
      </c>
      <c r="K2085" t="s">
        <v>280</v>
      </c>
      <c r="L2085" t="s">
        <v>265</v>
      </c>
      <c r="M2085">
        <v>45</v>
      </c>
      <c r="N2085" t="b">
        <v>0</v>
      </c>
      <c r="O2085">
        <v>0.77904328018223234</v>
      </c>
      <c r="P2085">
        <v>0.78801843317972353</v>
      </c>
      <c r="Q2085">
        <v>0.77027027027027029</v>
      </c>
      <c r="R2085" t="s">
        <v>60</v>
      </c>
      <c r="S2085" t="s">
        <v>4599</v>
      </c>
      <c r="T2085" t="s">
        <v>4600</v>
      </c>
      <c r="U2085" t="b">
        <v>1</v>
      </c>
      <c r="V2085" t="s">
        <v>63</v>
      </c>
      <c r="W2085">
        <v>1.7</v>
      </c>
    </row>
    <row r="2086" spans="1:23" hidden="1" x14ac:dyDescent="0.3">
      <c r="A2086" t="s">
        <v>4031</v>
      </c>
      <c r="B2086" t="s">
        <v>4032</v>
      </c>
      <c r="C2086" t="s">
        <v>30</v>
      </c>
      <c r="D2086" t="s">
        <v>22</v>
      </c>
      <c r="E2086" t="s">
        <v>23</v>
      </c>
      <c r="F2086" t="s">
        <v>54</v>
      </c>
      <c r="G2086" t="s">
        <v>283</v>
      </c>
      <c r="H2086" t="s">
        <v>262</v>
      </c>
      <c r="I2086" t="s">
        <v>5</v>
      </c>
      <c r="J2086" t="s">
        <v>284</v>
      </c>
      <c r="K2086" t="s">
        <v>285</v>
      </c>
      <c r="L2086" t="s">
        <v>265</v>
      </c>
      <c r="M2086">
        <v>46</v>
      </c>
      <c r="N2086" t="b">
        <v>0</v>
      </c>
      <c r="O2086">
        <v>0.76923076923076927</v>
      </c>
      <c r="P2086">
        <v>0.75107296137339052</v>
      </c>
      <c r="Q2086">
        <v>0.78828828828828834</v>
      </c>
      <c r="R2086" t="s">
        <v>60</v>
      </c>
      <c r="S2086" t="s">
        <v>4601</v>
      </c>
      <c r="T2086" t="s">
        <v>4602</v>
      </c>
      <c r="U2086" t="b">
        <v>1</v>
      </c>
      <c r="V2086" t="s">
        <v>63</v>
      </c>
      <c r="W2086">
        <v>1.6</v>
      </c>
    </row>
    <row r="2087" spans="1:23" hidden="1" x14ac:dyDescent="0.3">
      <c r="A2087" t="s">
        <v>4031</v>
      </c>
      <c r="B2087" t="s">
        <v>4032</v>
      </c>
      <c r="C2087" t="s">
        <v>30</v>
      </c>
      <c r="D2087" t="s">
        <v>22</v>
      </c>
      <c r="E2087" t="s">
        <v>23</v>
      </c>
      <c r="F2087" t="s">
        <v>54</v>
      </c>
      <c r="G2087" t="s">
        <v>288</v>
      </c>
      <c r="H2087" t="s">
        <v>262</v>
      </c>
      <c r="I2087" t="s">
        <v>5</v>
      </c>
      <c r="J2087" t="s">
        <v>289</v>
      </c>
      <c r="K2087" t="s">
        <v>290</v>
      </c>
      <c r="L2087" t="s">
        <v>265</v>
      </c>
      <c r="M2087">
        <v>47</v>
      </c>
      <c r="N2087" t="b">
        <v>0</v>
      </c>
      <c r="O2087">
        <v>0.75723830734966602</v>
      </c>
      <c r="P2087">
        <v>0.74889867841409696</v>
      </c>
      <c r="Q2087">
        <v>0.76576576576576572</v>
      </c>
      <c r="R2087" t="s">
        <v>60</v>
      </c>
      <c r="S2087" t="s">
        <v>4603</v>
      </c>
      <c r="T2087" t="s">
        <v>4604</v>
      </c>
      <c r="U2087" t="b">
        <v>1</v>
      </c>
      <c r="V2087" t="s">
        <v>63</v>
      </c>
      <c r="W2087">
        <v>1.4</v>
      </c>
    </row>
    <row r="2088" spans="1:23" hidden="1" x14ac:dyDescent="0.3">
      <c r="A2088" t="s">
        <v>4031</v>
      </c>
      <c r="B2088" t="s">
        <v>4032</v>
      </c>
      <c r="C2088" t="s">
        <v>30</v>
      </c>
      <c r="D2088" t="s">
        <v>22</v>
      </c>
      <c r="E2088" t="s">
        <v>23</v>
      </c>
      <c r="F2088" t="s">
        <v>54</v>
      </c>
      <c r="G2088" t="s">
        <v>293</v>
      </c>
      <c r="H2088" t="s">
        <v>262</v>
      </c>
      <c r="I2088" t="s">
        <v>5</v>
      </c>
      <c r="J2088" t="s">
        <v>294</v>
      </c>
      <c r="K2088" t="s">
        <v>295</v>
      </c>
      <c r="L2088" t="s">
        <v>265</v>
      </c>
      <c r="M2088">
        <v>48</v>
      </c>
      <c r="N2088" t="b">
        <v>0</v>
      </c>
      <c r="O2088">
        <v>0.68045977011494252</v>
      </c>
      <c r="P2088">
        <v>0.69483568075117375</v>
      </c>
      <c r="Q2088">
        <v>0.66666666666666663</v>
      </c>
      <c r="R2088" t="s">
        <v>60</v>
      </c>
      <c r="S2088" t="s">
        <v>4605</v>
      </c>
      <c r="T2088" t="s">
        <v>4606</v>
      </c>
      <c r="U2088" t="b">
        <v>1</v>
      </c>
      <c r="V2088" t="s">
        <v>63</v>
      </c>
      <c r="W2088">
        <v>1.4</v>
      </c>
    </row>
    <row r="2089" spans="1:23" hidden="1" x14ac:dyDescent="0.3">
      <c r="A2089" t="s">
        <v>4031</v>
      </c>
      <c r="B2089" t="s">
        <v>4032</v>
      </c>
      <c r="C2089" t="s">
        <v>30</v>
      </c>
      <c r="D2089" t="s">
        <v>22</v>
      </c>
      <c r="E2089" t="s">
        <v>23</v>
      </c>
      <c r="F2089" t="s">
        <v>54</v>
      </c>
      <c r="G2089" t="s">
        <v>298</v>
      </c>
      <c r="H2089" t="s">
        <v>262</v>
      </c>
      <c r="I2089" t="s">
        <v>5</v>
      </c>
      <c r="J2089" t="s">
        <v>299</v>
      </c>
      <c r="K2089" t="s">
        <v>300</v>
      </c>
      <c r="L2089" t="s">
        <v>265</v>
      </c>
      <c r="M2089">
        <v>49</v>
      </c>
      <c r="N2089" t="b">
        <v>0</v>
      </c>
      <c r="O2089">
        <v>0.74620390455531449</v>
      </c>
      <c r="P2089">
        <v>0.71966527196652719</v>
      </c>
      <c r="Q2089">
        <v>0.77477477477477474</v>
      </c>
      <c r="R2089" t="s">
        <v>60</v>
      </c>
      <c r="S2089" t="s">
        <v>4607</v>
      </c>
      <c r="T2089" t="s">
        <v>4608</v>
      </c>
      <c r="U2089" t="b">
        <v>1</v>
      </c>
      <c r="V2089" t="s">
        <v>63</v>
      </c>
      <c r="W2089">
        <v>1.3</v>
      </c>
    </row>
    <row r="2090" spans="1:23" hidden="1" x14ac:dyDescent="0.3">
      <c r="A2090" t="s">
        <v>4031</v>
      </c>
      <c r="B2090" t="s">
        <v>4032</v>
      </c>
      <c r="C2090" t="s">
        <v>30</v>
      </c>
      <c r="D2090" t="s">
        <v>22</v>
      </c>
      <c r="E2090" t="s">
        <v>23</v>
      </c>
      <c r="F2090" t="s">
        <v>54</v>
      </c>
      <c r="G2090" t="s">
        <v>303</v>
      </c>
      <c r="H2090" t="s">
        <v>262</v>
      </c>
      <c r="I2090" t="s">
        <v>5</v>
      </c>
      <c r="J2090" t="s">
        <v>304</v>
      </c>
      <c r="K2090" t="s">
        <v>305</v>
      </c>
      <c r="L2090" t="s">
        <v>265</v>
      </c>
      <c r="M2090">
        <v>50</v>
      </c>
      <c r="N2090" t="b">
        <v>0</v>
      </c>
      <c r="O2090">
        <v>0.7544642857142857</v>
      </c>
      <c r="P2090">
        <v>0.74778761061946908</v>
      </c>
      <c r="Q2090">
        <v>0.76126126126126126</v>
      </c>
      <c r="R2090" t="s">
        <v>60</v>
      </c>
      <c r="S2090" t="s">
        <v>4609</v>
      </c>
      <c r="T2090" t="s">
        <v>4610</v>
      </c>
      <c r="U2090" t="b">
        <v>1</v>
      </c>
      <c r="V2090" t="s">
        <v>63</v>
      </c>
      <c r="W2090">
        <v>1.4</v>
      </c>
    </row>
    <row r="2091" spans="1:23" hidden="1" x14ac:dyDescent="0.3">
      <c r="A2091" t="s">
        <v>4031</v>
      </c>
      <c r="B2091" t="s">
        <v>4032</v>
      </c>
      <c r="C2091" t="s">
        <v>30</v>
      </c>
      <c r="D2091" t="s">
        <v>22</v>
      </c>
      <c r="E2091" t="s">
        <v>23</v>
      </c>
      <c r="F2091" t="s">
        <v>54</v>
      </c>
      <c r="G2091" t="s">
        <v>308</v>
      </c>
      <c r="H2091" t="s">
        <v>262</v>
      </c>
      <c r="I2091" t="s">
        <v>5</v>
      </c>
      <c r="J2091" t="s">
        <v>309</v>
      </c>
      <c r="K2091" t="s">
        <v>310</v>
      </c>
      <c r="L2091" t="s">
        <v>265</v>
      </c>
      <c r="M2091">
        <v>51</v>
      </c>
      <c r="N2091" t="b">
        <v>0</v>
      </c>
      <c r="O2091">
        <v>0.75229357798165142</v>
      </c>
      <c r="P2091">
        <v>0.76635514018691586</v>
      </c>
      <c r="Q2091">
        <v>0.73873873873873874</v>
      </c>
      <c r="R2091" t="s">
        <v>60</v>
      </c>
      <c r="S2091" t="s">
        <v>4611</v>
      </c>
      <c r="T2091" t="s">
        <v>4612</v>
      </c>
      <c r="U2091" t="b">
        <v>1</v>
      </c>
      <c r="V2091" t="s">
        <v>63</v>
      </c>
      <c r="W2091">
        <v>2.8</v>
      </c>
    </row>
    <row r="2092" spans="1:23" hidden="1" x14ac:dyDescent="0.3">
      <c r="A2092" t="s">
        <v>4031</v>
      </c>
      <c r="B2092" t="s">
        <v>4032</v>
      </c>
      <c r="C2092" t="s">
        <v>30</v>
      </c>
      <c r="D2092" t="s">
        <v>22</v>
      </c>
      <c r="E2092" t="s">
        <v>23</v>
      </c>
      <c r="F2092" t="s">
        <v>54</v>
      </c>
      <c r="G2092" t="s">
        <v>313</v>
      </c>
      <c r="H2092" t="s">
        <v>262</v>
      </c>
      <c r="I2092" t="s">
        <v>5</v>
      </c>
      <c r="J2092" t="s">
        <v>314</v>
      </c>
      <c r="K2092" t="s">
        <v>315</v>
      </c>
      <c r="L2092" t="s">
        <v>265</v>
      </c>
      <c r="M2092">
        <v>52</v>
      </c>
      <c r="N2092" t="b">
        <v>0</v>
      </c>
      <c r="O2092">
        <v>0.74152542372881369</v>
      </c>
      <c r="P2092">
        <v>0.7</v>
      </c>
      <c r="Q2092">
        <v>0.78828828828828834</v>
      </c>
      <c r="R2092" t="s">
        <v>60</v>
      </c>
      <c r="S2092" t="s">
        <v>4613</v>
      </c>
      <c r="T2092" t="s">
        <v>4614</v>
      </c>
      <c r="U2092" t="b">
        <v>1</v>
      </c>
      <c r="V2092" t="s">
        <v>63</v>
      </c>
      <c r="W2092">
        <v>1.4</v>
      </c>
    </row>
    <row r="2093" spans="1:23" hidden="1" x14ac:dyDescent="0.3">
      <c r="A2093" t="s">
        <v>4031</v>
      </c>
      <c r="B2093" t="s">
        <v>4032</v>
      </c>
      <c r="C2093" t="s">
        <v>30</v>
      </c>
      <c r="D2093" t="s">
        <v>22</v>
      </c>
      <c r="E2093" t="s">
        <v>23</v>
      </c>
      <c r="F2093" t="s">
        <v>54</v>
      </c>
      <c r="G2093" t="s">
        <v>318</v>
      </c>
      <c r="H2093" t="s">
        <v>262</v>
      </c>
      <c r="I2093" t="s">
        <v>5</v>
      </c>
      <c r="J2093" t="s">
        <v>319</v>
      </c>
      <c r="K2093" t="s">
        <v>320</v>
      </c>
      <c r="L2093" t="s">
        <v>265</v>
      </c>
      <c r="M2093">
        <v>53</v>
      </c>
      <c r="N2093" t="b">
        <v>0</v>
      </c>
      <c r="O2093">
        <v>0.73305084745762716</v>
      </c>
      <c r="P2093">
        <v>0.69199999999999995</v>
      </c>
      <c r="Q2093">
        <v>0.77927927927927931</v>
      </c>
      <c r="R2093" t="s">
        <v>60</v>
      </c>
      <c r="S2093" t="s">
        <v>4615</v>
      </c>
      <c r="T2093" t="s">
        <v>4616</v>
      </c>
      <c r="U2093" t="b">
        <v>1</v>
      </c>
      <c r="V2093" t="s">
        <v>63</v>
      </c>
      <c r="W2093">
        <v>1.3</v>
      </c>
    </row>
    <row r="2094" spans="1:23" hidden="1" x14ac:dyDescent="0.3">
      <c r="A2094" t="s">
        <v>4031</v>
      </c>
      <c r="B2094" t="s">
        <v>4032</v>
      </c>
      <c r="C2094" t="s">
        <v>30</v>
      </c>
      <c r="D2094" t="s">
        <v>22</v>
      </c>
      <c r="E2094" t="s">
        <v>23</v>
      </c>
      <c r="F2094" t="s">
        <v>54</v>
      </c>
      <c r="G2094" t="s">
        <v>323</v>
      </c>
      <c r="H2094" t="s">
        <v>262</v>
      </c>
      <c r="I2094" t="s">
        <v>5</v>
      </c>
      <c r="J2094" t="s">
        <v>324</v>
      </c>
      <c r="K2094" t="s">
        <v>325</v>
      </c>
      <c r="L2094" t="s">
        <v>265</v>
      </c>
      <c r="M2094">
        <v>54</v>
      </c>
      <c r="N2094" t="b">
        <v>0</v>
      </c>
      <c r="O2094">
        <v>0.70897155361050324</v>
      </c>
      <c r="P2094">
        <v>0.68936170212765957</v>
      </c>
      <c r="Q2094">
        <v>0.72972972972972971</v>
      </c>
      <c r="R2094" t="s">
        <v>60</v>
      </c>
      <c r="S2094" t="s">
        <v>4617</v>
      </c>
      <c r="T2094" t="s">
        <v>4618</v>
      </c>
      <c r="U2094" t="b">
        <v>1</v>
      </c>
      <c r="V2094" t="s">
        <v>63</v>
      </c>
      <c r="W2094">
        <v>1.7</v>
      </c>
    </row>
    <row r="2095" spans="1:23" hidden="1" x14ac:dyDescent="0.3">
      <c r="A2095" t="s">
        <v>4031</v>
      </c>
      <c r="B2095" t="s">
        <v>4032</v>
      </c>
      <c r="C2095" t="s">
        <v>30</v>
      </c>
      <c r="D2095" t="s">
        <v>22</v>
      </c>
      <c r="E2095" t="s">
        <v>23</v>
      </c>
      <c r="F2095" t="s">
        <v>54</v>
      </c>
      <c r="G2095" t="s">
        <v>328</v>
      </c>
      <c r="H2095" t="s">
        <v>262</v>
      </c>
      <c r="I2095" t="s">
        <v>5</v>
      </c>
      <c r="J2095" t="s">
        <v>329</v>
      </c>
      <c r="K2095" t="s">
        <v>330</v>
      </c>
      <c r="L2095" t="s">
        <v>265</v>
      </c>
      <c r="M2095">
        <v>55</v>
      </c>
      <c r="N2095" t="b">
        <v>0</v>
      </c>
      <c r="O2095">
        <v>0.74734607218683646</v>
      </c>
      <c r="P2095">
        <v>0.70682730923694781</v>
      </c>
      <c r="Q2095">
        <v>0.7927927927927928</v>
      </c>
      <c r="R2095" t="s">
        <v>60</v>
      </c>
      <c r="S2095" t="s">
        <v>4619</v>
      </c>
      <c r="T2095" t="s">
        <v>4620</v>
      </c>
      <c r="U2095" t="b">
        <v>1</v>
      </c>
      <c r="V2095" t="s">
        <v>63</v>
      </c>
      <c r="W2095">
        <v>1.5</v>
      </c>
    </row>
    <row r="2096" spans="1:23" hidden="1" x14ac:dyDescent="0.3">
      <c r="A2096" t="s">
        <v>4031</v>
      </c>
      <c r="B2096" t="s">
        <v>4032</v>
      </c>
      <c r="C2096" t="s">
        <v>30</v>
      </c>
      <c r="D2096" t="s">
        <v>22</v>
      </c>
      <c r="E2096" t="s">
        <v>23</v>
      </c>
      <c r="F2096" t="s">
        <v>54</v>
      </c>
      <c r="G2096" t="s">
        <v>333</v>
      </c>
      <c r="H2096" t="s">
        <v>262</v>
      </c>
      <c r="I2096" t="s">
        <v>5</v>
      </c>
      <c r="J2096" t="s">
        <v>334</v>
      </c>
      <c r="K2096" t="s">
        <v>335</v>
      </c>
      <c r="L2096" t="s">
        <v>265</v>
      </c>
      <c r="M2096">
        <v>56</v>
      </c>
      <c r="N2096" t="b">
        <v>0</v>
      </c>
      <c r="O2096">
        <v>0.73496659242761697</v>
      </c>
      <c r="P2096">
        <v>0.72687224669603523</v>
      </c>
      <c r="Q2096">
        <v>0.7432432432432432</v>
      </c>
      <c r="R2096" t="s">
        <v>60</v>
      </c>
      <c r="S2096" t="s">
        <v>4621</v>
      </c>
      <c r="T2096" t="s">
        <v>4622</v>
      </c>
      <c r="U2096" t="b">
        <v>1</v>
      </c>
      <c r="V2096" t="s">
        <v>63</v>
      </c>
      <c r="W2096">
        <v>1.4</v>
      </c>
    </row>
    <row r="2097" spans="1:23" hidden="1" x14ac:dyDescent="0.3">
      <c r="A2097" t="s">
        <v>4031</v>
      </c>
      <c r="B2097" t="s">
        <v>4032</v>
      </c>
      <c r="C2097" t="s">
        <v>30</v>
      </c>
      <c r="D2097" t="s">
        <v>22</v>
      </c>
      <c r="E2097" t="s">
        <v>23</v>
      </c>
      <c r="F2097" t="s">
        <v>54</v>
      </c>
      <c r="G2097" t="s">
        <v>338</v>
      </c>
      <c r="H2097" t="s">
        <v>262</v>
      </c>
      <c r="I2097" t="s">
        <v>5</v>
      </c>
      <c r="J2097" t="s">
        <v>339</v>
      </c>
      <c r="K2097" t="s">
        <v>340</v>
      </c>
      <c r="L2097" t="s">
        <v>265</v>
      </c>
      <c r="M2097">
        <v>57</v>
      </c>
      <c r="N2097" t="b">
        <v>0</v>
      </c>
      <c r="O2097">
        <v>0.70488322717622076</v>
      </c>
      <c r="P2097">
        <v>0.66666666666666663</v>
      </c>
      <c r="Q2097">
        <v>0.74774774774774777</v>
      </c>
      <c r="R2097" t="s">
        <v>60</v>
      </c>
      <c r="S2097" t="s">
        <v>4623</v>
      </c>
      <c r="T2097" t="s">
        <v>4624</v>
      </c>
      <c r="U2097" t="b">
        <v>1</v>
      </c>
      <c r="V2097" t="s">
        <v>63</v>
      </c>
      <c r="W2097">
        <v>1.4</v>
      </c>
    </row>
    <row r="2098" spans="1:23" hidden="1" x14ac:dyDescent="0.3">
      <c r="A2098" t="s">
        <v>4031</v>
      </c>
      <c r="B2098" t="s">
        <v>4032</v>
      </c>
      <c r="C2098" t="s">
        <v>30</v>
      </c>
      <c r="D2098" t="s">
        <v>22</v>
      </c>
      <c r="E2098" t="s">
        <v>23</v>
      </c>
      <c r="F2098" t="s">
        <v>54</v>
      </c>
      <c r="G2098" t="s">
        <v>343</v>
      </c>
      <c r="H2098" t="s">
        <v>262</v>
      </c>
      <c r="I2098" t="s">
        <v>5</v>
      </c>
      <c r="J2098" t="s">
        <v>344</v>
      </c>
      <c r="K2098" t="s">
        <v>345</v>
      </c>
      <c r="L2098" t="s">
        <v>265</v>
      </c>
      <c r="M2098">
        <v>58</v>
      </c>
      <c r="N2098" t="b">
        <v>0</v>
      </c>
      <c r="O2098">
        <v>0.69298245614035081</v>
      </c>
      <c r="P2098">
        <v>0.67521367521367526</v>
      </c>
      <c r="Q2098">
        <v>0.71171171171171166</v>
      </c>
      <c r="R2098" t="s">
        <v>60</v>
      </c>
      <c r="S2098" t="s">
        <v>4625</v>
      </c>
      <c r="T2098" t="s">
        <v>4626</v>
      </c>
      <c r="U2098" t="b">
        <v>1</v>
      </c>
      <c r="V2098" t="s">
        <v>63</v>
      </c>
      <c r="W2098">
        <v>2</v>
      </c>
    </row>
    <row r="2099" spans="1:23" hidden="1" x14ac:dyDescent="0.3">
      <c r="A2099" t="s">
        <v>4031</v>
      </c>
      <c r="B2099" t="s">
        <v>4032</v>
      </c>
      <c r="C2099" t="s">
        <v>30</v>
      </c>
      <c r="D2099" t="s">
        <v>22</v>
      </c>
      <c r="E2099" t="s">
        <v>23</v>
      </c>
      <c r="F2099" t="s">
        <v>54</v>
      </c>
      <c r="G2099" t="s">
        <v>348</v>
      </c>
      <c r="H2099" t="s">
        <v>262</v>
      </c>
      <c r="I2099" t="s">
        <v>5</v>
      </c>
      <c r="J2099" t="s">
        <v>349</v>
      </c>
      <c r="K2099" t="s">
        <v>350</v>
      </c>
      <c r="L2099" t="s">
        <v>265</v>
      </c>
      <c r="M2099">
        <v>59</v>
      </c>
      <c r="N2099" t="b">
        <v>0</v>
      </c>
      <c r="O2099">
        <v>0.68559837728194728</v>
      </c>
      <c r="P2099">
        <v>0.62361623616236161</v>
      </c>
      <c r="Q2099">
        <v>0.76126126126126126</v>
      </c>
      <c r="R2099" t="s">
        <v>60</v>
      </c>
      <c r="S2099" t="s">
        <v>4627</v>
      </c>
      <c r="T2099" t="s">
        <v>4628</v>
      </c>
      <c r="U2099" t="b">
        <v>1</v>
      </c>
      <c r="V2099" t="s">
        <v>63</v>
      </c>
      <c r="W2099">
        <v>1.4</v>
      </c>
    </row>
    <row r="2100" spans="1:23" hidden="1" x14ac:dyDescent="0.3">
      <c r="A2100" t="s">
        <v>4031</v>
      </c>
      <c r="B2100" t="s">
        <v>4032</v>
      </c>
      <c r="C2100" t="s">
        <v>30</v>
      </c>
      <c r="D2100" t="s">
        <v>22</v>
      </c>
      <c r="E2100" t="s">
        <v>23</v>
      </c>
      <c r="F2100" t="s">
        <v>54</v>
      </c>
      <c r="G2100" t="s">
        <v>353</v>
      </c>
      <c r="H2100" t="s">
        <v>262</v>
      </c>
      <c r="I2100" t="s">
        <v>5</v>
      </c>
      <c r="J2100" t="s">
        <v>354</v>
      </c>
      <c r="K2100" t="s">
        <v>355</v>
      </c>
      <c r="L2100" t="s">
        <v>265</v>
      </c>
      <c r="M2100">
        <v>60</v>
      </c>
      <c r="N2100" t="b">
        <v>0</v>
      </c>
      <c r="O2100">
        <v>0.74944567627494463</v>
      </c>
      <c r="P2100">
        <v>0.73799126637554591</v>
      </c>
      <c r="Q2100">
        <v>0.76126126126126126</v>
      </c>
      <c r="R2100" t="s">
        <v>60</v>
      </c>
      <c r="S2100" t="s">
        <v>4629</v>
      </c>
      <c r="T2100" t="s">
        <v>4630</v>
      </c>
      <c r="U2100" t="b">
        <v>1</v>
      </c>
      <c r="V2100" t="s">
        <v>63</v>
      </c>
      <c r="W2100">
        <v>1.4</v>
      </c>
    </row>
    <row r="2101" spans="1:23" hidden="1" x14ac:dyDescent="0.3">
      <c r="A2101" t="s">
        <v>4031</v>
      </c>
      <c r="B2101" t="s">
        <v>4032</v>
      </c>
      <c r="C2101" t="s">
        <v>30</v>
      </c>
      <c r="D2101" t="s">
        <v>22</v>
      </c>
      <c r="E2101" t="s">
        <v>23</v>
      </c>
      <c r="F2101" t="s">
        <v>54</v>
      </c>
      <c r="G2101" t="s">
        <v>358</v>
      </c>
      <c r="H2101" t="s">
        <v>262</v>
      </c>
      <c r="I2101" t="s">
        <v>5</v>
      </c>
      <c r="J2101" t="s">
        <v>359</v>
      </c>
      <c r="K2101" t="s">
        <v>360</v>
      </c>
      <c r="L2101" t="s">
        <v>265</v>
      </c>
      <c r="M2101">
        <v>61</v>
      </c>
      <c r="N2101" t="b">
        <v>0</v>
      </c>
      <c r="O2101">
        <v>0.73127753303964771</v>
      </c>
      <c r="P2101">
        <v>0.71551724137931039</v>
      </c>
      <c r="Q2101">
        <v>0.74774774774774777</v>
      </c>
      <c r="R2101" t="s">
        <v>60</v>
      </c>
      <c r="S2101" t="s">
        <v>4631</v>
      </c>
      <c r="T2101" t="s">
        <v>4632</v>
      </c>
      <c r="U2101" t="b">
        <v>1</v>
      </c>
      <c r="V2101" t="s">
        <v>63</v>
      </c>
      <c r="W2101">
        <v>1.3</v>
      </c>
    </row>
    <row r="2102" spans="1:23" hidden="1" x14ac:dyDescent="0.3">
      <c r="A2102" t="s">
        <v>4031</v>
      </c>
      <c r="B2102" t="s">
        <v>4032</v>
      </c>
      <c r="C2102" t="s">
        <v>30</v>
      </c>
      <c r="D2102" t="s">
        <v>22</v>
      </c>
      <c r="E2102" t="s">
        <v>23</v>
      </c>
      <c r="F2102" t="s">
        <v>363</v>
      </c>
      <c r="G2102" t="s">
        <v>364</v>
      </c>
      <c r="H2102" t="s">
        <v>365</v>
      </c>
      <c r="I2102" t="s">
        <v>13</v>
      </c>
      <c r="J2102" t="s">
        <v>366</v>
      </c>
      <c r="K2102" t="s">
        <v>367</v>
      </c>
      <c r="L2102" t="s">
        <v>368</v>
      </c>
      <c r="M2102">
        <v>42</v>
      </c>
      <c r="N2102" t="b">
        <v>0</v>
      </c>
      <c r="O2102">
        <v>0.80084745762711873</v>
      </c>
      <c r="P2102">
        <v>0.78099173553719003</v>
      </c>
      <c r="Q2102">
        <v>0.82173913043478264</v>
      </c>
      <c r="R2102" t="s">
        <v>60</v>
      </c>
      <c r="S2102" t="s">
        <v>4633</v>
      </c>
      <c r="T2102" t="s">
        <v>4634</v>
      </c>
      <c r="U2102" t="b">
        <v>1</v>
      </c>
      <c r="V2102" t="s">
        <v>63</v>
      </c>
      <c r="W2102">
        <v>1.4</v>
      </c>
    </row>
    <row r="2103" spans="1:23" hidden="1" x14ac:dyDescent="0.3">
      <c r="A2103" t="s">
        <v>4031</v>
      </c>
      <c r="B2103" t="s">
        <v>4032</v>
      </c>
      <c r="C2103" t="s">
        <v>30</v>
      </c>
      <c r="D2103" t="s">
        <v>22</v>
      </c>
      <c r="E2103" t="s">
        <v>23</v>
      </c>
      <c r="F2103" t="s">
        <v>363</v>
      </c>
      <c r="G2103" t="s">
        <v>371</v>
      </c>
      <c r="H2103" t="s">
        <v>365</v>
      </c>
      <c r="I2103" t="s">
        <v>13</v>
      </c>
      <c r="J2103" t="s">
        <v>372</v>
      </c>
      <c r="K2103" t="s">
        <v>373</v>
      </c>
      <c r="L2103" t="s">
        <v>368</v>
      </c>
      <c r="M2103">
        <v>43</v>
      </c>
      <c r="N2103" t="b">
        <v>0</v>
      </c>
      <c r="O2103">
        <v>0.79749478079331937</v>
      </c>
      <c r="P2103">
        <v>0.76706827309236947</v>
      </c>
      <c r="Q2103">
        <v>0.83043478260869563</v>
      </c>
      <c r="R2103" t="s">
        <v>60</v>
      </c>
      <c r="S2103" t="s">
        <v>4635</v>
      </c>
      <c r="T2103" t="s">
        <v>4636</v>
      </c>
      <c r="U2103" t="b">
        <v>1</v>
      </c>
      <c r="V2103" t="s">
        <v>63</v>
      </c>
      <c r="W2103">
        <v>1.4</v>
      </c>
    </row>
    <row r="2104" spans="1:23" hidden="1" x14ac:dyDescent="0.3">
      <c r="A2104" t="s">
        <v>4031</v>
      </c>
      <c r="B2104" t="s">
        <v>4032</v>
      </c>
      <c r="C2104" t="s">
        <v>30</v>
      </c>
      <c r="D2104" t="s">
        <v>22</v>
      </c>
      <c r="E2104" t="s">
        <v>23</v>
      </c>
      <c r="F2104" t="s">
        <v>363</v>
      </c>
      <c r="G2104" t="s">
        <v>376</v>
      </c>
      <c r="H2104" t="s">
        <v>365</v>
      </c>
      <c r="I2104" t="s">
        <v>13</v>
      </c>
      <c r="J2104" t="s">
        <v>377</v>
      </c>
      <c r="K2104" t="s">
        <v>378</v>
      </c>
      <c r="L2104" t="s">
        <v>368</v>
      </c>
      <c r="M2104">
        <v>44</v>
      </c>
      <c r="N2104" t="b">
        <v>0</v>
      </c>
      <c r="O2104">
        <v>0.78315789473684205</v>
      </c>
      <c r="P2104">
        <v>0.75918367346938775</v>
      </c>
      <c r="Q2104">
        <v>0.80869565217391304</v>
      </c>
      <c r="R2104" t="s">
        <v>60</v>
      </c>
      <c r="S2104" t="s">
        <v>4637</v>
      </c>
      <c r="T2104" t="s">
        <v>4638</v>
      </c>
      <c r="U2104" t="b">
        <v>1</v>
      </c>
      <c r="V2104" t="s">
        <v>63</v>
      </c>
      <c r="W2104">
        <v>1.8</v>
      </c>
    </row>
    <row r="2105" spans="1:23" hidden="1" x14ac:dyDescent="0.3">
      <c r="A2105" t="s">
        <v>4031</v>
      </c>
      <c r="B2105" t="s">
        <v>4032</v>
      </c>
      <c r="C2105" t="s">
        <v>30</v>
      </c>
      <c r="D2105" t="s">
        <v>22</v>
      </c>
      <c r="E2105" t="s">
        <v>23</v>
      </c>
      <c r="F2105" t="s">
        <v>363</v>
      </c>
      <c r="G2105" t="s">
        <v>381</v>
      </c>
      <c r="H2105" t="s">
        <v>365</v>
      </c>
      <c r="I2105" t="s">
        <v>13</v>
      </c>
      <c r="J2105" t="s">
        <v>382</v>
      </c>
      <c r="K2105" t="s">
        <v>383</v>
      </c>
      <c r="L2105" t="s">
        <v>368</v>
      </c>
      <c r="M2105">
        <v>45</v>
      </c>
      <c r="N2105" t="b">
        <v>0</v>
      </c>
      <c r="O2105">
        <v>0.7782426778242677</v>
      </c>
      <c r="P2105">
        <v>0.75</v>
      </c>
      <c r="Q2105">
        <v>0.80869565217391304</v>
      </c>
      <c r="R2105" t="s">
        <v>60</v>
      </c>
      <c r="S2105" t="s">
        <v>4639</v>
      </c>
      <c r="T2105" t="s">
        <v>4640</v>
      </c>
      <c r="U2105" t="b">
        <v>1</v>
      </c>
      <c r="V2105" t="s">
        <v>63</v>
      </c>
      <c r="W2105">
        <v>1.4</v>
      </c>
    </row>
    <row r="2106" spans="1:23" hidden="1" x14ac:dyDescent="0.3">
      <c r="A2106" t="s">
        <v>4031</v>
      </c>
      <c r="B2106" t="s">
        <v>4032</v>
      </c>
      <c r="C2106" t="s">
        <v>30</v>
      </c>
      <c r="D2106" t="s">
        <v>22</v>
      </c>
      <c r="E2106" t="s">
        <v>23</v>
      </c>
      <c r="F2106" t="s">
        <v>363</v>
      </c>
      <c r="G2106" t="s">
        <v>386</v>
      </c>
      <c r="H2106" t="s">
        <v>365</v>
      </c>
      <c r="I2106" t="s">
        <v>13</v>
      </c>
      <c r="J2106" t="s">
        <v>387</v>
      </c>
      <c r="K2106" t="s">
        <v>388</v>
      </c>
      <c r="L2106" t="s">
        <v>368</v>
      </c>
      <c r="M2106">
        <v>46</v>
      </c>
      <c r="N2106" t="b">
        <v>0</v>
      </c>
      <c r="O2106">
        <v>0.79668049792531104</v>
      </c>
      <c r="P2106">
        <v>0.76190476190476186</v>
      </c>
      <c r="Q2106">
        <v>0.83478260869565213</v>
      </c>
      <c r="R2106" t="s">
        <v>60</v>
      </c>
      <c r="S2106" t="s">
        <v>4641</v>
      </c>
      <c r="T2106" t="s">
        <v>4642</v>
      </c>
      <c r="U2106" t="b">
        <v>1</v>
      </c>
      <c r="V2106" t="s">
        <v>63</v>
      </c>
      <c r="W2106">
        <v>1.4</v>
      </c>
    </row>
    <row r="2107" spans="1:23" hidden="1" x14ac:dyDescent="0.3">
      <c r="A2107" t="s">
        <v>4031</v>
      </c>
      <c r="B2107" t="s">
        <v>4032</v>
      </c>
      <c r="C2107" t="s">
        <v>30</v>
      </c>
      <c r="D2107" t="s">
        <v>22</v>
      </c>
      <c r="E2107" t="s">
        <v>23</v>
      </c>
      <c r="F2107" t="s">
        <v>363</v>
      </c>
      <c r="G2107" t="s">
        <v>391</v>
      </c>
      <c r="H2107" t="s">
        <v>365</v>
      </c>
      <c r="I2107" t="s">
        <v>13</v>
      </c>
      <c r="J2107" t="s">
        <v>392</v>
      </c>
      <c r="K2107" t="s">
        <v>393</v>
      </c>
      <c r="L2107" t="s">
        <v>368</v>
      </c>
      <c r="M2107">
        <v>47</v>
      </c>
      <c r="N2107" t="b">
        <v>0</v>
      </c>
      <c r="O2107">
        <v>0.78406708595387842</v>
      </c>
      <c r="P2107">
        <v>0.75708502024291502</v>
      </c>
      <c r="Q2107">
        <v>0.81304347826086953</v>
      </c>
      <c r="R2107" t="s">
        <v>60</v>
      </c>
      <c r="S2107" t="s">
        <v>4643</v>
      </c>
      <c r="T2107" t="s">
        <v>4644</v>
      </c>
      <c r="U2107" t="b">
        <v>1</v>
      </c>
      <c r="V2107" t="s">
        <v>63</v>
      </c>
      <c r="W2107">
        <v>1.4</v>
      </c>
    </row>
    <row r="2108" spans="1:23" hidden="1" x14ac:dyDescent="0.3">
      <c r="A2108" t="s">
        <v>4031</v>
      </c>
      <c r="B2108" t="s">
        <v>4032</v>
      </c>
      <c r="C2108" t="s">
        <v>30</v>
      </c>
      <c r="D2108" t="s">
        <v>22</v>
      </c>
      <c r="E2108" t="s">
        <v>23</v>
      </c>
      <c r="F2108" t="s">
        <v>363</v>
      </c>
      <c r="G2108" t="s">
        <v>396</v>
      </c>
      <c r="H2108" t="s">
        <v>365</v>
      </c>
      <c r="I2108" t="s">
        <v>13</v>
      </c>
      <c r="J2108" t="s">
        <v>397</v>
      </c>
      <c r="K2108" t="s">
        <v>398</v>
      </c>
      <c r="L2108" t="s">
        <v>368</v>
      </c>
      <c r="M2108">
        <v>48</v>
      </c>
      <c r="N2108" t="b">
        <v>0</v>
      </c>
      <c r="O2108">
        <v>0.78170478170478175</v>
      </c>
      <c r="P2108">
        <v>0.74900398406374502</v>
      </c>
      <c r="Q2108">
        <v>0.81739130434782614</v>
      </c>
      <c r="R2108" t="s">
        <v>60</v>
      </c>
      <c r="S2108" t="s">
        <v>4645</v>
      </c>
      <c r="T2108" t="s">
        <v>4646</v>
      </c>
      <c r="U2108" t="b">
        <v>1</v>
      </c>
      <c r="V2108" t="s">
        <v>63</v>
      </c>
      <c r="W2108">
        <v>1.4</v>
      </c>
    </row>
    <row r="2109" spans="1:23" hidden="1" x14ac:dyDescent="0.3">
      <c r="A2109" t="s">
        <v>4031</v>
      </c>
      <c r="B2109" t="s">
        <v>4032</v>
      </c>
      <c r="C2109" t="s">
        <v>30</v>
      </c>
      <c r="D2109" t="s">
        <v>22</v>
      </c>
      <c r="E2109" t="s">
        <v>23</v>
      </c>
      <c r="F2109" t="s">
        <v>363</v>
      </c>
      <c r="G2109" t="s">
        <v>401</v>
      </c>
      <c r="H2109" t="s">
        <v>365</v>
      </c>
      <c r="I2109" t="s">
        <v>13</v>
      </c>
      <c r="J2109" t="s">
        <v>402</v>
      </c>
      <c r="K2109" t="s">
        <v>403</v>
      </c>
      <c r="L2109" t="s">
        <v>368</v>
      </c>
      <c r="M2109">
        <v>49</v>
      </c>
      <c r="N2109" t="b">
        <v>0</v>
      </c>
      <c r="O2109">
        <v>0.78646934460887941</v>
      </c>
      <c r="P2109">
        <v>0.76543209876543206</v>
      </c>
      <c r="Q2109">
        <v>0.80869565217391304</v>
      </c>
      <c r="R2109" t="s">
        <v>60</v>
      </c>
      <c r="S2109" t="s">
        <v>4647</v>
      </c>
      <c r="T2109" t="s">
        <v>4648</v>
      </c>
      <c r="U2109" t="b">
        <v>1</v>
      </c>
      <c r="V2109" t="s">
        <v>63</v>
      </c>
      <c r="W2109">
        <v>1.4</v>
      </c>
    </row>
    <row r="2110" spans="1:23" hidden="1" x14ac:dyDescent="0.3">
      <c r="A2110" t="s">
        <v>4031</v>
      </c>
      <c r="B2110" t="s">
        <v>4032</v>
      </c>
      <c r="C2110" t="s">
        <v>30</v>
      </c>
      <c r="D2110" t="s">
        <v>22</v>
      </c>
      <c r="E2110" t="s">
        <v>23</v>
      </c>
      <c r="F2110" t="s">
        <v>363</v>
      </c>
      <c r="G2110" t="s">
        <v>406</v>
      </c>
      <c r="H2110" t="s">
        <v>365</v>
      </c>
      <c r="I2110" t="s">
        <v>13</v>
      </c>
      <c r="J2110" t="s">
        <v>407</v>
      </c>
      <c r="K2110" t="s">
        <v>408</v>
      </c>
      <c r="L2110" t="s">
        <v>368</v>
      </c>
      <c r="M2110">
        <v>50</v>
      </c>
      <c r="N2110" t="b">
        <v>0</v>
      </c>
      <c r="O2110">
        <v>0.76050420168067223</v>
      </c>
      <c r="P2110">
        <v>0.73577235772357719</v>
      </c>
      <c r="Q2110">
        <v>0.78695652173913044</v>
      </c>
      <c r="R2110" t="s">
        <v>60</v>
      </c>
      <c r="S2110" t="s">
        <v>4649</v>
      </c>
      <c r="T2110" t="s">
        <v>4650</v>
      </c>
      <c r="U2110" t="b">
        <v>1</v>
      </c>
      <c r="V2110" t="s">
        <v>63</v>
      </c>
      <c r="W2110">
        <v>1.9</v>
      </c>
    </row>
    <row r="2111" spans="1:23" hidden="1" x14ac:dyDescent="0.3">
      <c r="A2111" t="s">
        <v>4031</v>
      </c>
      <c r="B2111" t="s">
        <v>4032</v>
      </c>
      <c r="C2111" t="s">
        <v>30</v>
      </c>
      <c r="D2111" t="s">
        <v>22</v>
      </c>
      <c r="E2111" t="s">
        <v>23</v>
      </c>
      <c r="F2111" t="s">
        <v>363</v>
      </c>
      <c r="G2111" t="s">
        <v>411</v>
      </c>
      <c r="H2111" t="s">
        <v>365</v>
      </c>
      <c r="I2111" t="s">
        <v>13</v>
      </c>
      <c r="J2111" t="s">
        <v>412</v>
      </c>
      <c r="K2111" t="s">
        <v>413</v>
      </c>
      <c r="L2111" t="s">
        <v>368</v>
      </c>
      <c r="M2111">
        <v>51</v>
      </c>
      <c r="N2111" t="b">
        <v>0</v>
      </c>
      <c r="O2111">
        <v>0.7857142857142857</v>
      </c>
      <c r="P2111">
        <v>0.76016260162601623</v>
      </c>
      <c r="Q2111">
        <v>0.81304347826086953</v>
      </c>
      <c r="R2111" t="s">
        <v>60</v>
      </c>
      <c r="S2111" t="s">
        <v>4651</v>
      </c>
      <c r="T2111" t="s">
        <v>4652</v>
      </c>
      <c r="U2111" t="b">
        <v>1</v>
      </c>
      <c r="V2111" t="s">
        <v>63</v>
      </c>
      <c r="W2111">
        <v>1.5</v>
      </c>
    </row>
    <row r="2112" spans="1:23" hidden="1" x14ac:dyDescent="0.3">
      <c r="A2112" t="s">
        <v>4031</v>
      </c>
      <c r="B2112" t="s">
        <v>4032</v>
      </c>
      <c r="C2112" t="s">
        <v>30</v>
      </c>
      <c r="D2112" t="s">
        <v>22</v>
      </c>
      <c r="E2112" t="s">
        <v>23</v>
      </c>
      <c r="F2112" t="s">
        <v>363</v>
      </c>
      <c r="G2112" t="s">
        <v>416</v>
      </c>
      <c r="H2112" t="s">
        <v>365</v>
      </c>
      <c r="I2112" t="s">
        <v>13</v>
      </c>
      <c r="J2112" t="s">
        <v>417</v>
      </c>
      <c r="K2112" t="s">
        <v>418</v>
      </c>
      <c r="L2112" t="s">
        <v>368</v>
      </c>
      <c r="M2112">
        <v>52</v>
      </c>
      <c r="N2112" t="b">
        <v>0</v>
      </c>
      <c r="O2112">
        <v>0.76793248945147685</v>
      </c>
      <c r="P2112">
        <v>0.74590163934426235</v>
      </c>
      <c r="Q2112">
        <v>0.79130434782608694</v>
      </c>
      <c r="R2112" t="s">
        <v>60</v>
      </c>
      <c r="S2112" t="s">
        <v>4653</v>
      </c>
      <c r="T2112" t="s">
        <v>4654</v>
      </c>
      <c r="U2112" t="b">
        <v>1</v>
      </c>
      <c r="V2112" t="s">
        <v>63</v>
      </c>
      <c r="W2112">
        <v>1.7</v>
      </c>
    </row>
    <row r="2113" spans="1:23" hidden="1" x14ac:dyDescent="0.3">
      <c r="A2113" t="s">
        <v>4031</v>
      </c>
      <c r="B2113" t="s">
        <v>4032</v>
      </c>
      <c r="C2113" t="s">
        <v>30</v>
      </c>
      <c r="D2113" t="s">
        <v>22</v>
      </c>
      <c r="E2113" t="s">
        <v>23</v>
      </c>
      <c r="F2113" t="s">
        <v>363</v>
      </c>
      <c r="G2113" t="s">
        <v>421</v>
      </c>
      <c r="H2113" t="s">
        <v>365</v>
      </c>
      <c r="I2113" t="s">
        <v>13</v>
      </c>
      <c r="J2113" t="s">
        <v>422</v>
      </c>
      <c r="K2113" t="s">
        <v>423</v>
      </c>
      <c r="L2113" t="s">
        <v>368</v>
      </c>
      <c r="M2113">
        <v>53</v>
      </c>
      <c r="N2113" t="b">
        <v>0</v>
      </c>
      <c r="O2113">
        <v>0.76857749469214431</v>
      </c>
      <c r="P2113">
        <v>0.75103734439834025</v>
      </c>
      <c r="Q2113">
        <v>0.78695652173913044</v>
      </c>
      <c r="R2113" t="s">
        <v>60</v>
      </c>
      <c r="S2113" t="s">
        <v>4655</v>
      </c>
      <c r="T2113" t="s">
        <v>4656</v>
      </c>
      <c r="U2113" t="b">
        <v>1</v>
      </c>
      <c r="V2113" t="s">
        <v>63</v>
      </c>
      <c r="W2113">
        <v>7.2</v>
      </c>
    </row>
    <row r="2114" spans="1:23" hidden="1" x14ac:dyDescent="0.3">
      <c r="A2114" t="s">
        <v>4031</v>
      </c>
      <c r="B2114" t="s">
        <v>4032</v>
      </c>
      <c r="C2114" t="s">
        <v>30</v>
      </c>
      <c r="D2114" t="s">
        <v>22</v>
      </c>
      <c r="E2114" t="s">
        <v>23</v>
      </c>
      <c r="F2114" t="s">
        <v>363</v>
      </c>
      <c r="G2114" t="s">
        <v>426</v>
      </c>
      <c r="H2114" t="s">
        <v>365</v>
      </c>
      <c r="I2114" t="s">
        <v>13</v>
      </c>
      <c r="J2114" t="s">
        <v>427</v>
      </c>
      <c r="K2114" t="s">
        <v>428</v>
      </c>
      <c r="L2114" t="s">
        <v>368</v>
      </c>
      <c r="M2114">
        <v>54</v>
      </c>
      <c r="N2114" t="b">
        <v>0</v>
      </c>
      <c r="O2114">
        <v>0.79671457905544152</v>
      </c>
      <c r="P2114">
        <v>0.75486381322957197</v>
      </c>
      <c r="Q2114">
        <v>0.84347826086956523</v>
      </c>
      <c r="R2114" t="s">
        <v>60</v>
      </c>
      <c r="S2114" t="s">
        <v>4657</v>
      </c>
      <c r="T2114" t="s">
        <v>4658</v>
      </c>
      <c r="U2114" t="b">
        <v>1</v>
      </c>
      <c r="V2114" t="s">
        <v>63</v>
      </c>
      <c r="W2114">
        <v>2.4</v>
      </c>
    </row>
    <row r="2115" spans="1:23" hidden="1" x14ac:dyDescent="0.3">
      <c r="A2115" t="s">
        <v>4031</v>
      </c>
      <c r="B2115" t="s">
        <v>4032</v>
      </c>
      <c r="C2115" t="s">
        <v>30</v>
      </c>
      <c r="D2115" t="s">
        <v>22</v>
      </c>
      <c r="E2115" t="s">
        <v>23</v>
      </c>
      <c r="F2115" t="s">
        <v>363</v>
      </c>
      <c r="G2115" t="s">
        <v>431</v>
      </c>
      <c r="H2115" t="s">
        <v>365</v>
      </c>
      <c r="I2115" t="s">
        <v>13</v>
      </c>
      <c r="J2115" t="s">
        <v>432</v>
      </c>
      <c r="K2115" t="s">
        <v>433</v>
      </c>
      <c r="L2115" t="s">
        <v>368</v>
      </c>
      <c r="M2115">
        <v>55</v>
      </c>
      <c r="N2115" t="b">
        <v>0</v>
      </c>
      <c r="O2115">
        <v>0.79411764705882348</v>
      </c>
      <c r="P2115">
        <v>0.76829268292682928</v>
      </c>
      <c r="Q2115">
        <v>0.82173913043478264</v>
      </c>
      <c r="R2115" t="s">
        <v>60</v>
      </c>
      <c r="S2115" t="s">
        <v>4659</v>
      </c>
      <c r="T2115" t="s">
        <v>4660</v>
      </c>
      <c r="U2115" t="b">
        <v>1</v>
      </c>
      <c r="V2115" t="s">
        <v>63</v>
      </c>
      <c r="W2115">
        <v>1.4</v>
      </c>
    </row>
    <row r="2116" spans="1:23" hidden="1" x14ac:dyDescent="0.3">
      <c r="A2116" t="s">
        <v>4031</v>
      </c>
      <c r="B2116" t="s">
        <v>4032</v>
      </c>
      <c r="C2116" t="s">
        <v>30</v>
      </c>
      <c r="D2116" t="s">
        <v>22</v>
      </c>
      <c r="E2116" t="s">
        <v>23</v>
      </c>
      <c r="F2116" t="s">
        <v>363</v>
      </c>
      <c r="G2116" t="s">
        <v>436</v>
      </c>
      <c r="H2116" t="s">
        <v>365</v>
      </c>
      <c r="I2116" t="s">
        <v>13</v>
      </c>
      <c r="J2116" t="s">
        <v>437</v>
      </c>
      <c r="K2116" t="s">
        <v>438</v>
      </c>
      <c r="L2116" t="s">
        <v>368</v>
      </c>
      <c r="M2116">
        <v>56</v>
      </c>
      <c r="N2116" t="b">
        <v>0</v>
      </c>
      <c r="O2116">
        <v>0.76826722338204589</v>
      </c>
      <c r="P2116">
        <v>0.73895582329317266</v>
      </c>
      <c r="Q2116">
        <v>0.8</v>
      </c>
      <c r="R2116" t="s">
        <v>60</v>
      </c>
      <c r="S2116" t="s">
        <v>4661</v>
      </c>
      <c r="T2116" t="s">
        <v>4662</v>
      </c>
      <c r="U2116" t="b">
        <v>1</v>
      </c>
      <c r="V2116" t="s">
        <v>63</v>
      </c>
      <c r="W2116">
        <v>1.9</v>
      </c>
    </row>
    <row r="2117" spans="1:23" hidden="1" x14ac:dyDescent="0.3">
      <c r="A2117" t="s">
        <v>4031</v>
      </c>
      <c r="B2117" t="s">
        <v>4032</v>
      </c>
      <c r="C2117" t="s">
        <v>30</v>
      </c>
      <c r="D2117" t="s">
        <v>22</v>
      </c>
      <c r="E2117" t="s">
        <v>23</v>
      </c>
      <c r="F2117" t="s">
        <v>363</v>
      </c>
      <c r="G2117" t="s">
        <v>441</v>
      </c>
      <c r="H2117" t="s">
        <v>365</v>
      </c>
      <c r="I2117" t="s">
        <v>13</v>
      </c>
      <c r="J2117" t="s">
        <v>442</v>
      </c>
      <c r="K2117" t="s">
        <v>443</v>
      </c>
      <c r="L2117" t="s">
        <v>368</v>
      </c>
      <c r="M2117">
        <v>57</v>
      </c>
      <c r="N2117" t="b">
        <v>0</v>
      </c>
      <c r="O2117">
        <v>0.78389830508474589</v>
      </c>
      <c r="P2117">
        <v>0.76446280991735538</v>
      </c>
      <c r="Q2117">
        <v>0.80434782608695654</v>
      </c>
      <c r="R2117" t="s">
        <v>60</v>
      </c>
      <c r="S2117" t="s">
        <v>4663</v>
      </c>
      <c r="T2117" t="s">
        <v>4664</v>
      </c>
      <c r="U2117" t="b">
        <v>1</v>
      </c>
      <c r="V2117" t="s">
        <v>63</v>
      </c>
      <c r="W2117">
        <v>1.4</v>
      </c>
    </row>
    <row r="2118" spans="1:23" hidden="1" x14ac:dyDescent="0.3">
      <c r="A2118" t="s">
        <v>4031</v>
      </c>
      <c r="B2118" t="s">
        <v>4032</v>
      </c>
      <c r="C2118" t="s">
        <v>30</v>
      </c>
      <c r="D2118" t="s">
        <v>22</v>
      </c>
      <c r="E2118" t="s">
        <v>23</v>
      </c>
      <c r="F2118" t="s">
        <v>363</v>
      </c>
      <c r="G2118" t="s">
        <v>446</v>
      </c>
      <c r="H2118" t="s">
        <v>365</v>
      </c>
      <c r="I2118" t="s">
        <v>13</v>
      </c>
      <c r="J2118" t="s">
        <v>447</v>
      </c>
      <c r="K2118" t="s">
        <v>448</v>
      </c>
      <c r="L2118" t="s">
        <v>368</v>
      </c>
      <c r="M2118">
        <v>58</v>
      </c>
      <c r="N2118" t="b">
        <v>0</v>
      </c>
      <c r="O2118">
        <v>0.78925619834710736</v>
      </c>
      <c r="P2118">
        <v>0.75196850393700787</v>
      </c>
      <c r="Q2118">
        <v>0.83043478260869563</v>
      </c>
      <c r="R2118" t="s">
        <v>60</v>
      </c>
      <c r="S2118" t="s">
        <v>4665</v>
      </c>
      <c r="T2118" t="s">
        <v>4666</v>
      </c>
      <c r="U2118" t="b">
        <v>1</v>
      </c>
      <c r="V2118" t="s">
        <v>63</v>
      </c>
      <c r="W2118">
        <v>1.4</v>
      </c>
    </row>
    <row r="2119" spans="1:23" hidden="1" x14ac:dyDescent="0.3">
      <c r="A2119" t="s">
        <v>4031</v>
      </c>
      <c r="B2119" t="s">
        <v>4032</v>
      </c>
      <c r="C2119" t="s">
        <v>30</v>
      </c>
      <c r="D2119" t="s">
        <v>22</v>
      </c>
      <c r="E2119" t="s">
        <v>23</v>
      </c>
      <c r="F2119" t="s">
        <v>363</v>
      </c>
      <c r="G2119" t="s">
        <v>451</v>
      </c>
      <c r="H2119" t="s">
        <v>365</v>
      </c>
      <c r="I2119" t="s">
        <v>13</v>
      </c>
      <c r="J2119" t="s">
        <v>452</v>
      </c>
      <c r="K2119" t="s">
        <v>453</v>
      </c>
      <c r="L2119" t="s">
        <v>368</v>
      </c>
      <c r="M2119">
        <v>59</v>
      </c>
      <c r="N2119" t="b">
        <v>0</v>
      </c>
      <c r="O2119">
        <v>0.78205128205128205</v>
      </c>
      <c r="P2119">
        <v>0.76890756302521013</v>
      </c>
      <c r="Q2119">
        <v>0.79565217391304344</v>
      </c>
      <c r="R2119" t="s">
        <v>60</v>
      </c>
      <c r="S2119" t="s">
        <v>4667</v>
      </c>
      <c r="T2119" t="s">
        <v>4668</v>
      </c>
      <c r="U2119" t="b">
        <v>1</v>
      </c>
      <c r="V2119" t="s">
        <v>63</v>
      </c>
      <c r="W2119">
        <v>1.4</v>
      </c>
    </row>
    <row r="2120" spans="1:23" hidden="1" x14ac:dyDescent="0.3">
      <c r="A2120" t="s">
        <v>4031</v>
      </c>
      <c r="B2120" t="s">
        <v>4032</v>
      </c>
      <c r="C2120" t="s">
        <v>30</v>
      </c>
      <c r="D2120" t="s">
        <v>22</v>
      </c>
      <c r="E2120" t="s">
        <v>23</v>
      </c>
      <c r="F2120" t="s">
        <v>363</v>
      </c>
      <c r="G2120" t="s">
        <v>456</v>
      </c>
      <c r="H2120" t="s">
        <v>365</v>
      </c>
      <c r="I2120" t="s">
        <v>13</v>
      </c>
      <c r="J2120" t="s">
        <v>457</v>
      </c>
      <c r="K2120" t="s">
        <v>458</v>
      </c>
      <c r="L2120" t="s">
        <v>368</v>
      </c>
      <c r="M2120">
        <v>60</v>
      </c>
      <c r="N2120" t="b">
        <v>0</v>
      </c>
      <c r="O2120">
        <v>0.78151260504201681</v>
      </c>
      <c r="P2120">
        <v>0.75609756097560976</v>
      </c>
      <c r="Q2120">
        <v>0.80869565217391304</v>
      </c>
      <c r="R2120" t="s">
        <v>60</v>
      </c>
      <c r="S2120" t="s">
        <v>4669</v>
      </c>
      <c r="T2120" t="s">
        <v>4670</v>
      </c>
      <c r="U2120" t="b">
        <v>1</v>
      </c>
      <c r="V2120" t="s">
        <v>63</v>
      </c>
      <c r="W2120">
        <v>1.4</v>
      </c>
    </row>
    <row r="2121" spans="1:23" hidden="1" x14ac:dyDescent="0.3">
      <c r="A2121" t="s">
        <v>4031</v>
      </c>
      <c r="B2121" t="s">
        <v>4032</v>
      </c>
      <c r="C2121" t="s">
        <v>30</v>
      </c>
      <c r="D2121" t="s">
        <v>22</v>
      </c>
      <c r="E2121" t="s">
        <v>23</v>
      </c>
      <c r="F2121" t="s">
        <v>363</v>
      </c>
      <c r="G2121" t="s">
        <v>461</v>
      </c>
      <c r="H2121" t="s">
        <v>365</v>
      </c>
      <c r="I2121" t="s">
        <v>13</v>
      </c>
      <c r="J2121" t="s">
        <v>462</v>
      </c>
      <c r="K2121" t="s">
        <v>463</v>
      </c>
      <c r="L2121" t="s">
        <v>368</v>
      </c>
      <c r="M2121">
        <v>61</v>
      </c>
      <c r="N2121" t="b">
        <v>0</v>
      </c>
      <c r="O2121">
        <v>0.79089026915113869</v>
      </c>
      <c r="P2121">
        <v>0.75494071146245056</v>
      </c>
      <c r="Q2121">
        <v>0.83043478260869563</v>
      </c>
      <c r="R2121" t="s">
        <v>60</v>
      </c>
      <c r="S2121" t="s">
        <v>4671</v>
      </c>
      <c r="T2121" t="s">
        <v>4672</v>
      </c>
      <c r="U2121" t="b">
        <v>1</v>
      </c>
      <c r="V2121" t="s">
        <v>63</v>
      </c>
      <c r="W2121">
        <v>1.3</v>
      </c>
    </row>
    <row r="2122" spans="1:23" hidden="1" x14ac:dyDescent="0.3">
      <c r="A2122" t="s">
        <v>4031</v>
      </c>
      <c r="B2122" t="s">
        <v>4032</v>
      </c>
      <c r="C2122" t="s">
        <v>30</v>
      </c>
      <c r="D2122" t="s">
        <v>22</v>
      </c>
      <c r="E2122" t="s">
        <v>23</v>
      </c>
      <c r="F2122" t="s">
        <v>363</v>
      </c>
      <c r="G2122" t="s">
        <v>466</v>
      </c>
      <c r="H2122" t="s">
        <v>467</v>
      </c>
      <c r="I2122" t="s">
        <v>9</v>
      </c>
      <c r="J2122" t="s">
        <v>468</v>
      </c>
      <c r="K2122" t="s">
        <v>469</v>
      </c>
      <c r="L2122" t="s">
        <v>470</v>
      </c>
      <c r="M2122">
        <v>42</v>
      </c>
      <c r="N2122" t="b">
        <v>0</v>
      </c>
      <c r="O2122">
        <v>0.80459770114942519</v>
      </c>
      <c r="P2122">
        <v>0.78212290502793291</v>
      </c>
      <c r="Q2122">
        <v>0.82840236686390534</v>
      </c>
      <c r="R2122" t="s">
        <v>60</v>
      </c>
      <c r="S2122" t="s">
        <v>4673</v>
      </c>
      <c r="T2122" t="s">
        <v>4674</v>
      </c>
      <c r="U2122" t="b">
        <v>1</v>
      </c>
      <c r="V2122" t="s">
        <v>63</v>
      </c>
      <c r="W2122">
        <v>1.3</v>
      </c>
    </row>
    <row r="2123" spans="1:23" hidden="1" x14ac:dyDescent="0.3">
      <c r="A2123" t="s">
        <v>4031</v>
      </c>
      <c r="B2123" t="s">
        <v>4032</v>
      </c>
      <c r="C2123" t="s">
        <v>30</v>
      </c>
      <c r="D2123" t="s">
        <v>22</v>
      </c>
      <c r="E2123" t="s">
        <v>23</v>
      </c>
      <c r="F2123" t="s">
        <v>363</v>
      </c>
      <c r="G2123" t="s">
        <v>473</v>
      </c>
      <c r="H2123" t="s">
        <v>467</v>
      </c>
      <c r="I2123" t="s">
        <v>9</v>
      </c>
      <c r="J2123" t="s">
        <v>474</v>
      </c>
      <c r="K2123" t="s">
        <v>475</v>
      </c>
      <c r="L2123" t="s">
        <v>470</v>
      </c>
      <c r="M2123">
        <v>43</v>
      </c>
      <c r="N2123" t="b">
        <v>0</v>
      </c>
      <c r="O2123">
        <v>0.79300291545189505</v>
      </c>
      <c r="P2123">
        <v>0.7816091954022989</v>
      </c>
      <c r="Q2123">
        <v>0.80473372781065089</v>
      </c>
      <c r="R2123" t="s">
        <v>60</v>
      </c>
      <c r="S2123" t="s">
        <v>4675</v>
      </c>
      <c r="T2123" t="s">
        <v>4676</v>
      </c>
      <c r="U2123" t="b">
        <v>1</v>
      </c>
      <c r="V2123" t="s">
        <v>63</v>
      </c>
      <c r="W2123">
        <v>1.7</v>
      </c>
    </row>
    <row r="2124" spans="1:23" hidden="1" x14ac:dyDescent="0.3">
      <c r="A2124" t="s">
        <v>4031</v>
      </c>
      <c r="B2124" t="s">
        <v>4032</v>
      </c>
      <c r="C2124" t="s">
        <v>30</v>
      </c>
      <c r="D2124" t="s">
        <v>22</v>
      </c>
      <c r="E2124" t="s">
        <v>23</v>
      </c>
      <c r="F2124" t="s">
        <v>363</v>
      </c>
      <c r="G2124" t="s">
        <v>478</v>
      </c>
      <c r="H2124" t="s">
        <v>467</v>
      </c>
      <c r="I2124" t="s">
        <v>9</v>
      </c>
      <c r="J2124" t="s">
        <v>479</v>
      </c>
      <c r="K2124" t="s">
        <v>480</v>
      </c>
      <c r="L2124" t="s">
        <v>470</v>
      </c>
      <c r="M2124">
        <v>44</v>
      </c>
      <c r="N2124" t="b">
        <v>0</v>
      </c>
      <c r="O2124">
        <v>0.79538904899135432</v>
      </c>
      <c r="P2124">
        <v>0.7752808988764045</v>
      </c>
      <c r="Q2124">
        <v>0.81656804733727806</v>
      </c>
      <c r="R2124" t="s">
        <v>60</v>
      </c>
      <c r="S2124" t="s">
        <v>4677</v>
      </c>
      <c r="T2124" t="s">
        <v>4678</v>
      </c>
      <c r="U2124" t="b">
        <v>1</v>
      </c>
      <c r="V2124" t="s">
        <v>63</v>
      </c>
      <c r="W2124">
        <v>1.3</v>
      </c>
    </row>
    <row r="2125" spans="1:23" hidden="1" x14ac:dyDescent="0.3">
      <c r="A2125" t="s">
        <v>4031</v>
      </c>
      <c r="B2125" t="s">
        <v>4032</v>
      </c>
      <c r="C2125" t="s">
        <v>30</v>
      </c>
      <c r="D2125" t="s">
        <v>22</v>
      </c>
      <c r="E2125" t="s">
        <v>23</v>
      </c>
      <c r="F2125" t="s">
        <v>363</v>
      </c>
      <c r="G2125" t="s">
        <v>483</v>
      </c>
      <c r="H2125" t="s">
        <v>467</v>
      </c>
      <c r="I2125" t="s">
        <v>9</v>
      </c>
      <c r="J2125" t="s">
        <v>484</v>
      </c>
      <c r="K2125" t="s">
        <v>485</v>
      </c>
      <c r="L2125" t="s">
        <v>470</v>
      </c>
      <c r="M2125">
        <v>45</v>
      </c>
      <c r="N2125" t="b">
        <v>0</v>
      </c>
      <c r="O2125">
        <v>0.80459770114942519</v>
      </c>
      <c r="P2125">
        <v>0.78212290502793291</v>
      </c>
      <c r="Q2125">
        <v>0.82840236686390534</v>
      </c>
      <c r="R2125" t="s">
        <v>60</v>
      </c>
      <c r="S2125" t="s">
        <v>4679</v>
      </c>
      <c r="T2125" t="s">
        <v>4680</v>
      </c>
      <c r="U2125" t="b">
        <v>1</v>
      </c>
      <c r="V2125" t="s">
        <v>63</v>
      </c>
      <c r="W2125">
        <v>1.3</v>
      </c>
    </row>
    <row r="2126" spans="1:23" hidden="1" x14ac:dyDescent="0.3">
      <c r="A2126" t="s">
        <v>4031</v>
      </c>
      <c r="B2126" t="s">
        <v>4032</v>
      </c>
      <c r="C2126" t="s">
        <v>30</v>
      </c>
      <c r="D2126" t="s">
        <v>22</v>
      </c>
      <c r="E2126" t="s">
        <v>23</v>
      </c>
      <c r="F2126" t="s">
        <v>363</v>
      </c>
      <c r="G2126" t="s">
        <v>488</v>
      </c>
      <c r="H2126" t="s">
        <v>467</v>
      </c>
      <c r="I2126" t="s">
        <v>9</v>
      </c>
      <c r="J2126" t="s">
        <v>489</v>
      </c>
      <c r="K2126" t="s">
        <v>490</v>
      </c>
      <c r="L2126" t="s">
        <v>470</v>
      </c>
      <c r="M2126">
        <v>46</v>
      </c>
      <c r="N2126" t="b">
        <v>0</v>
      </c>
      <c r="O2126">
        <v>0.81502890173410403</v>
      </c>
      <c r="P2126">
        <v>0.79661016949152541</v>
      </c>
      <c r="Q2126">
        <v>0.83431952662721898</v>
      </c>
      <c r="R2126" t="s">
        <v>60</v>
      </c>
      <c r="S2126" t="s">
        <v>4681</v>
      </c>
      <c r="T2126" t="s">
        <v>4682</v>
      </c>
      <c r="U2126" t="b">
        <v>1</v>
      </c>
      <c r="V2126" t="s">
        <v>63</v>
      </c>
      <c r="W2126">
        <v>1.4</v>
      </c>
    </row>
    <row r="2127" spans="1:23" hidden="1" x14ac:dyDescent="0.3">
      <c r="A2127" t="s">
        <v>4031</v>
      </c>
      <c r="B2127" t="s">
        <v>4032</v>
      </c>
      <c r="C2127" t="s">
        <v>30</v>
      </c>
      <c r="D2127" t="s">
        <v>22</v>
      </c>
      <c r="E2127" t="s">
        <v>23</v>
      </c>
      <c r="F2127" t="s">
        <v>363</v>
      </c>
      <c r="G2127" t="s">
        <v>493</v>
      </c>
      <c r="H2127" t="s">
        <v>467</v>
      </c>
      <c r="I2127" t="s">
        <v>9</v>
      </c>
      <c r="J2127" t="s">
        <v>494</v>
      </c>
      <c r="K2127" t="s">
        <v>495</v>
      </c>
      <c r="L2127" t="s">
        <v>470</v>
      </c>
      <c r="M2127">
        <v>47</v>
      </c>
      <c r="N2127" t="b">
        <v>0</v>
      </c>
      <c r="O2127">
        <v>0.79545454545454541</v>
      </c>
      <c r="P2127">
        <v>0.76502732240437155</v>
      </c>
      <c r="Q2127">
        <v>0.82840236686390534</v>
      </c>
      <c r="R2127" t="s">
        <v>60</v>
      </c>
      <c r="S2127" t="s">
        <v>4683</v>
      </c>
      <c r="T2127" t="s">
        <v>4684</v>
      </c>
      <c r="U2127" t="b">
        <v>1</v>
      </c>
      <c r="V2127" t="s">
        <v>63</v>
      </c>
      <c r="W2127">
        <v>1.3</v>
      </c>
    </row>
    <row r="2128" spans="1:23" hidden="1" x14ac:dyDescent="0.3">
      <c r="A2128" t="s">
        <v>4031</v>
      </c>
      <c r="B2128" t="s">
        <v>4032</v>
      </c>
      <c r="C2128" t="s">
        <v>30</v>
      </c>
      <c r="D2128" t="s">
        <v>22</v>
      </c>
      <c r="E2128" t="s">
        <v>23</v>
      </c>
      <c r="F2128" t="s">
        <v>363</v>
      </c>
      <c r="G2128" t="s">
        <v>498</v>
      </c>
      <c r="H2128" t="s">
        <v>467</v>
      </c>
      <c r="I2128" t="s">
        <v>9</v>
      </c>
      <c r="J2128" t="s">
        <v>499</v>
      </c>
      <c r="K2128" t="s">
        <v>500</v>
      </c>
      <c r="L2128" t="s">
        <v>470</v>
      </c>
      <c r="M2128">
        <v>48</v>
      </c>
      <c r="N2128" t="b">
        <v>0</v>
      </c>
      <c r="O2128">
        <v>0.8</v>
      </c>
      <c r="P2128">
        <v>0.77348066298342544</v>
      </c>
      <c r="Q2128">
        <v>0.82840236686390534</v>
      </c>
      <c r="R2128" t="s">
        <v>60</v>
      </c>
      <c r="S2128" t="s">
        <v>4685</v>
      </c>
      <c r="T2128" t="s">
        <v>4686</v>
      </c>
      <c r="U2128" t="b">
        <v>1</v>
      </c>
      <c r="V2128" t="s">
        <v>63</v>
      </c>
      <c r="W2128">
        <v>1.3</v>
      </c>
    </row>
    <row r="2129" spans="1:23" hidden="1" x14ac:dyDescent="0.3">
      <c r="A2129" t="s">
        <v>4031</v>
      </c>
      <c r="B2129" t="s">
        <v>4032</v>
      </c>
      <c r="C2129" t="s">
        <v>30</v>
      </c>
      <c r="D2129" t="s">
        <v>22</v>
      </c>
      <c r="E2129" t="s">
        <v>23</v>
      </c>
      <c r="F2129" t="s">
        <v>363</v>
      </c>
      <c r="G2129" t="s">
        <v>503</v>
      </c>
      <c r="H2129" t="s">
        <v>467</v>
      </c>
      <c r="I2129" t="s">
        <v>9</v>
      </c>
      <c r="J2129" t="s">
        <v>504</v>
      </c>
      <c r="K2129" t="s">
        <v>505</v>
      </c>
      <c r="L2129" t="s">
        <v>470</v>
      </c>
      <c r="M2129">
        <v>49</v>
      </c>
      <c r="N2129" t="b">
        <v>0</v>
      </c>
      <c r="O2129">
        <v>0.79999999999999982</v>
      </c>
      <c r="P2129">
        <v>0.76344086021505375</v>
      </c>
      <c r="Q2129">
        <v>0.84023668639053251</v>
      </c>
      <c r="R2129" t="s">
        <v>60</v>
      </c>
      <c r="S2129" t="s">
        <v>4687</v>
      </c>
      <c r="T2129" t="s">
        <v>4688</v>
      </c>
      <c r="U2129" t="b">
        <v>1</v>
      </c>
      <c r="V2129" t="s">
        <v>63</v>
      </c>
      <c r="W2129">
        <v>1.3</v>
      </c>
    </row>
    <row r="2130" spans="1:23" hidden="1" x14ac:dyDescent="0.3">
      <c r="A2130" t="s">
        <v>4031</v>
      </c>
      <c r="B2130" t="s">
        <v>4032</v>
      </c>
      <c r="C2130" t="s">
        <v>30</v>
      </c>
      <c r="D2130" t="s">
        <v>22</v>
      </c>
      <c r="E2130" t="s">
        <v>23</v>
      </c>
      <c r="F2130" t="s">
        <v>363</v>
      </c>
      <c r="G2130" t="s">
        <v>508</v>
      </c>
      <c r="H2130" t="s">
        <v>467</v>
      </c>
      <c r="I2130" t="s">
        <v>9</v>
      </c>
      <c r="J2130" t="s">
        <v>509</v>
      </c>
      <c r="K2130" t="s">
        <v>510</v>
      </c>
      <c r="L2130" t="s">
        <v>470</v>
      </c>
      <c r="M2130">
        <v>50</v>
      </c>
      <c r="N2130" t="b">
        <v>0</v>
      </c>
      <c r="O2130">
        <v>0.78531073446327682</v>
      </c>
      <c r="P2130">
        <v>0.75135135135135134</v>
      </c>
      <c r="Q2130">
        <v>0.8224852071005917</v>
      </c>
      <c r="R2130" t="s">
        <v>60</v>
      </c>
      <c r="S2130" t="s">
        <v>4689</v>
      </c>
      <c r="T2130" t="s">
        <v>4690</v>
      </c>
      <c r="U2130" t="b">
        <v>1</v>
      </c>
      <c r="V2130" t="s">
        <v>63</v>
      </c>
      <c r="W2130">
        <v>1.7</v>
      </c>
    </row>
    <row r="2131" spans="1:23" hidden="1" x14ac:dyDescent="0.3">
      <c r="A2131" t="s">
        <v>4031</v>
      </c>
      <c r="B2131" t="s">
        <v>4032</v>
      </c>
      <c r="C2131" t="s">
        <v>30</v>
      </c>
      <c r="D2131" t="s">
        <v>22</v>
      </c>
      <c r="E2131" t="s">
        <v>23</v>
      </c>
      <c r="F2131" t="s">
        <v>363</v>
      </c>
      <c r="G2131" t="s">
        <v>513</v>
      </c>
      <c r="H2131" t="s">
        <v>467</v>
      </c>
      <c r="I2131" t="s">
        <v>9</v>
      </c>
      <c r="J2131" t="s">
        <v>514</v>
      </c>
      <c r="K2131" t="s">
        <v>515</v>
      </c>
      <c r="L2131" t="s">
        <v>470</v>
      </c>
      <c r="M2131">
        <v>51</v>
      </c>
      <c r="N2131" t="b">
        <v>0</v>
      </c>
      <c r="O2131">
        <v>0.79083094555873923</v>
      </c>
      <c r="P2131">
        <v>0.76666666666666672</v>
      </c>
      <c r="Q2131">
        <v>0.81656804733727806</v>
      </c>
      <c r="R2131" t="s">
        <v>60</v>
      </c>
      <c r="S2131" t="s">
        <v>4691</v>
      </c>
      <c r="T2131" t="s">
        <v>4692</v>
      </c>
      <c r="U2131" t="b">
        <v>1</v>
      </c>
      <c r="V2131" t="s">
        <v>63</v>
      </c>
      <c r="W2131">
        <v>1.3</v>
      </c>
    </row>
    <row r="2132" spans="1:23" hidden="1" x14ac:dyDescent="0.3">
      <c r="A2132" t="s">
        <v>4031</v>
      </c>
      <c r="B2132" t="s">
        <v>4032</v>
      </c>
      <c r="C2132" t="s">
        <v>30</v>
      </c>
      <c r="D2132" t="s">
        <v>22</v>
      </c>
      <c r="E2132" t="s">
        <v>23</v>
      </c>
      <c r="F2132" t="s">
        <v>363</v>
      </c>
      <c r="G2132" t="s">
        <v>518</v>
      </c>
      <c r="H2132" t="s">
        <v>467</v>
      </c>
      <c r="I2132" t="s">
        <v>9</v>
      </c>
      <c r="J2132" t="s">
        <v>519</v>
      </c>
      <c r="K2132" t="s">
        <v>520</v>
      </c>
      <c r="L2132" t="s">
        <v>470</v>
      </c>
      <c r="M2132">
        <v>52</v>
      </c>
      <c r="N2132" t="b">
        <v>0</v>
      </c>
      <c r="O2132">
        <v>0.83040935672514615</v>
      </c>
      <c r="P2132">
        <v>0.82080924855491333</v>
      </c>
      <c r="Q2132">
        <v>0.84023668639053251</v>
      </c>
      <c r="R2132" t="s">
        <v>60</v>
      </c>
      <c r="S2132" t="s">
        <v>4693</v>
      </c>
      <c r="T2132" t="s">
        <v>4694</v>
      </c>
      <c r="U2132" t="b">
        <v>1</v>
      </c>
      <c r="V2132" t="s">
        <v>63</v>
      </c>
      <c r="W2132">
        <v>1.3</v>
      </c>
    </row>
    <row r="2133" spans="1:23" hidden="1" x14ac:dyDescent="0.3">
      <c r="A2133" t="s">
        <v>4031</v>
      </c>
      <c r="B2133" t="s">
        <v>4032</v>
      </c>
      <c r="C2133" t="s">
        <v>30</v>
      </c>
      <c r="D2133" t="s">
        <v>22</v>
      </c>
      <c r="E2133" t="s">
        <v>23</v>
      </c>
      <c r="F2133" t="s">
        <v>363</v>
      </c>
      <c r="G2133" t="s">
        <v>523</v>
      </c>
      <c r="H2133" t="s">
        <v>467</v>
      </c>
      <c r="I2133" t="s">
        <v>9</v>
      </c>
      <c r="J2133" t="s">
        <v>524</v>
      </c>
      <c r="K2133" t="s">
        <v>525</v>
      </c>
      <c r="L2133" t="s">
        <v>470</v>
      </c>
      <c r="M2133">
        <v>53</v>
      </c>
      <c r="N2133" t="b">
        <v>0</v>
      </c>
      <c r="O2133">
        <v>0.79772079772079774</v>
      </c>
      <c r="P2133">
        <v>0.76923076923076927</v>
      </c>
      <c r="Q2133">
        <v>0.82840236686390534</v>
      </c>
      <c r="R2133" t="s">
        <v>60</v>
      </c>
      <c r="S2133" t="s">
        <v>4695</v>
      </c>
      <c r="T2133" t="s">
        <v>4696</v>
      </c>
      <c r="U2133" t="b">
        <v>1</v>
      </c>
      <c r="V2133" t="s">
        <v>63</v>
      </c>
      <c r="W2133">
        <v>1.3</v>
      </c>
    </row>
    <row r="2134" spans="1:23" hidden="1" x14ac:dyDescent="0.3">
      <c r="A2134" t="s">
        <v>4031</v>
      </c>
      <c r="B2134" t="s">
        <v>4032</v>
      </c>
      <c r="C2134" t="s">
        <v>30</v>
      </c>
      <c r="D2134" t="s">
        <v>22</v>
      </c>
      <c r="E2134" t="s">
        <v>23</v>
      </c>
      <c r="F2134" t="s">
        <v>363</v>
      </c>
      <c r="G2134" t="s">
        <v>528</v>
      </c>
      <c r="H2134" t="s">
        <v>467</v>
      </c>
      <c r="I2134" t="s">
        <v>9</v>
      </c>
      <c r="J2134" t="s">
        <v>529</v>
      </c>
      <c r="K2134" t="s">
        <v>530</v>
      </c>
      <c r="L2134" t="s">
        <v>470</v>
      </c>
      <c r="M2134">
        <v>54</v>
      </c>
      <c r="N2134" t="b">
        <v>0</v>
      </c>
      <c r="O2134">
        <v>0.81502890173410403</v>
      </c>
      <c r="P2134">
        <v>0.79661016949152541</v>
      </c>
      <c r="Q2134">
        <v>0.83431952662721898</v>
      </c>
      <c r="R2134" t="s">
        <v>60</v>
      </c>
      <c r="S2134" t="s">
        <v>4697</v>
      </c>
      <c r="T2134" t="s">
        <v>4698</v>
      </c>
      <c r="U2134" t="b">
        <v>1</v>
      </c>
      <c r="V2134" t="s">
        <v>63</v>
      </c>
      <c r="W2134">
        <v>1.4</v>
      </c>
    </row>
    <row r="2135" spans="1:23" hidden="1" x14ac:dyDescent="0.3">
      <c r="A2135" t="s">
        <v>4031</v>
      </c>
      <c r="B2135" t="s">
        <v>4032</v>
      </c>
      <c r="C2135" t="s">
        <v>30</v>
      </c>
      <c r="D2135" t="s">
        <v>22</v>
      </c>
      <c r="E2135" t="s">
        <v>23</v>
      </c>
      <c r="F2135" t="s">
        <v>363</v>
      </c>
      <c r="G2135" t="s">
        <v>533</v>
      </c>
      <c r="H2135" t="s">
        <v>467</v>
      </c>
      <c r="I2135" t="s">
        <v>9</v>
      </c>
      <c r="J2135" t="s">
        <v>534</v>
      </c>
      <c r="K2135" t="s">
        <v>535</v>
      </c>
      <c r="L2135" t="s">
        <v>470</v>
      </c>
      <c r="M2135">
        <v>55</v>
      </c>
      <c r="N2135" t="b">
        <v>0</v>
      </c>
      <c r="O2135">
        <v>0.7931034482758621</v>
      </c>
      <c r="P2135">
        <v>0.77094972067039103</v>
      </c>
      <c r="Q2135">
        <v>0.81656804733727806</v>
      </c>
      <c r="R2135" t="s">
        <v>60</v>
      </c>
      <c r="S2135" t="s">
        <v>4699</v>
      </c>
      <c r="T2135" t="s">
        <v>4700</v>
      </c>
      <c r="U2135" t="b">
        <v>1</v>
      </c>
      <c r="V2135" t="s">
        <v>63</v>
      </c>
      <c r="W2135">
        <v>1.3</v>
      </c>
    </row>
    <row r="2136" spans="1:23" hidden="1" x14ac:dyDescent="0.3">
      <c r="A2136" t="s">
        <v>4031</v>
      </c>
      <c r="B2136" t="s">
        <v>4032</v>
      </c>
      <c r="C2136" t="s">
        <v>30</v>
      </c>
      <c r="D2136" t="s">
        <v>22</v>
      </c>
      <c r="E2136" t="s">
        <v>23</v>
      </c>
      <c r="F2136" t="s">
        <v>363</v>
      </c>
      <c r="G2136" t="s">
        <v>538</v>
      </c>
      <c r="H2136" t="s">
        <v>467</v>
      </c>
      <c r="I2136" t="s">
        <v>9</v>
      </c>
      <c r="J2136" t="s">
        <v>539</v>
      </c>
      <c r="K2136" t="s">
        <v>540</v>
      </c>
      <c r="L2136" t="s">
        <v>470</v>
      </c>
      <c r="M2136">
        <v>56</v>
      </c>
      <c r="N2136" t="b">
        <v>0</v>
      </c>
      <c r="O2136">
        <v>0.78443113772455086</v>
      </c>
      <c r="P2136">
        <v>0.79393939393939394</v>
      </c>
      <c r="Q2136">
        <v>0.7751479289940828</v>
      </c>
      <c r="R2136" t="s">
        <v>60</v>
      </c>
      <c r="S2136" t="s">
        <v>4701</v>
      </c>
      <c r="T2136" t="s">
        <v>4702</v>
      </c>
      <c r="U2136" t="b">
        <v>1</v>
      </c>
      <c r="V2136" t="s">
        <v>63</v>
      </c>
      <c r="W2136">
        <v>1.3</v>
      </c>
    </row>
    <row r="2137" spans="1:23" hidden="1" x14ac:dyDescent="0.3">
      <c r="A2137" t="s">
        <v>4031</v>
      </c>
      <c r="B2137" t="s">
        <v>4032</v>
      </c>
      <c r="C2137" t="s">
        <v>30</v>
      </c>
      <c r="D2137" t="s">
        <v>22</v>
      </c>
      <c r="E2137" t="s">
        <v>23</v>
      </c>
      <c r="F2137" t="s">
        <v>363</v>
      </c>
      <c r="G2137" t="s">
        <v>543</v>
      </c>
      <c r="H2137" t="s">
        <v>467</v>
      </c>
      <c r="I2137" t="s">
        <v>9</v>
      </c>
      <c r="J2137" t="s">
        <v>544</v>
      </c>
      <c r="K2137" t="s">
        <v>545</v>
      </c>
      <c r="L2137" t="s">
        <v>470</v>
      </c>
      <c r="M2137">
        <v>57</v>
      </c>
      <c r="N2137" t="b">
        <v>0</v>
      </c>
      <c r="O2137">
        <v>0.79320113314447593</v>
      </c>
      <c r="P2137">
        <v>0.76086956521739135</v>
      </c>
      <c r="Q2137">
        <v>0.82840236686390534</v>
      </c>
      <c r="R2137" t="s">
        <v>60</v>
      </c>
      <c r="S2137" t="s">
        <v>4703</v>
      </c>
      <c r="T2137" t="s">
        <v>4704</v>
      </c>
      <c r="U2137" t="b">
        <v>1</v>
      </c>
      <c r="V2137" t="s">
        <v>63</v>
      </c>
      <c r="W2137">
        <v>1.8</v>
      </c>
    </row>
    <row r="2138" spans="1:23" hidden="1" x14ac:dyDescent="0.3">
      <c r="A2138" t="s">
        <v>4031</v>
      </c>
      <c r="B2138" t="s">
        <v>4032</v>
      </c>
      <c r="C2138" t="s">
        <v>30</v>
      </c>
      <c r="D2138" t="s">
        <v>22</v>
      </c>
      <c r="E2138" t="s">
        <v>23</v>
      </c>
      <c r="F2138" t="s">
        <v>363</v>
      </c>
      <c r="G2138" t="s">
        <v>548</v>
      </c>
      <c r="H2138" t="s">
        <v>467</v>
      </c>
      <c r="I2138" t="s">
        <v>9</v>
      </c>
      <c r="J2138" t="s">
        <v>549</v>
      </c>
      <c r="K2138" t="s">
        <v>550</v>
      </c>
      <c r="L2138" t="s">
        <v>470</v>
      </c>
      <c r="M2138">
        <v>58</v>
      </c>
      <c r="N2138" t="b">
        <v>0</v>
      </c>
      <c r="O2138">
        <v>0.79300291545189505</v>
      </c>
      <c r="P2138">
        <v>0.7816091954022989</v>
      </c>
      <c r="Q2138">
        <v>0.80473372781065089</v>
      </c>
      <c r="R2138" t="s">
        <v>60</v>
      </c>
      <c r="S2138" t="s">
        <v>4705</v>
      </c>
      <c r="T2138" t="s">
        <v>4706</v>
      </c>
      <c r="U2138" t="b">
        <v>1</v>
      </c>
      <c r="V2138" t="s">
        <v>63</v>
      </c>
      <c r="W2138">
        <v>1.3</v>
      </c>
    </row>
    <row r="2139" spans="1:23" hidden="1" x14ac:dyDescent="0.3">
      <c r="A2139" t="s">
        <v>4031</v>
      </c>
      <c r="B2139" t="s">
        <v>4032</v>
      </c>
      <c r="C2139" t="s">
        <v>30</v>
      </c>
      <c r="D2139" t="s">
        <v>22</v>
      </c>
      <c r="E2139" t="s">
        <v>23</v>
      </c>
      <c r="F2139" t="s">
        <v>363</v>
      </c>
      <c r="G2139" t="s">
        <v>553</v>
      </c>
      <c r="H2139" t="s">
        <v>467</v>
      </c>
      <c r="I2139" t="s">
        <v>9</v>
      </c>
      <c r="J2139" t="s">
        <v>554</v>
      </c>
      <c r="K2139" t="s">
        <v>555</v>
      </c>
      <c r="L2139" t="s">
        <v>470</v>
      </c>
      <c r="M2139">
        <v>59</v>
      </c>
      <c r="N2139" t="b">
        <v>0</v>
      </c>
      <c r="O2139">
        <v>0.80346820809248554</v>
      </c>
      <c r="P2139">
        <v>0.78531073446327682</v>
      </c>
      <c r="Q2139">
        <v>0.8224852071005917</v>
      </c>
      <c r="R2139" t="s">
        <v>60</v>
      </c>
      <c r="S2139" t="s">
        <v>4707</v>
      </c>
      <c r="T2139" t="s">
        <v>4708</v>
      </c>
      <c r="U2139" t="b">
        <v>1</v>
      </c>
      <c r="V2139" t="s">
        <v>63</v>
      </c>
      <c r="W2139">
        <v>1.5</v>
      </c>
    </row>
    <row r="2140" spans="1:23" hidden="1" x14ac:dyDescent="0.3">
      <c r="A2140" t="s">
        <v>4031</v>
      </c>
      <c r="B2140" t="s">
        <v>4032</v>
      </c>
      <c r="C2140" t="s">
        <v>30</v>
      </c>
      <c r="D2140" t="s">
        <v>22</v>
      </c>
      <c r="E2140" t="s">
        <v>23</v>
      </c>
      <c r="F2140" t="s">
        <v>363</v>
      </c>
      <c r="G2140" t="s">
        <v>558</v>
      </c>
      <c r="H2140" t="s">
        <v>467</v>
      </c>
      <c r="I2140" t="s">
        <v>9</v>
      </c>
      <c r="J2140" t="s">
        <v>559</v>
      </c>
      <c r="K2140" t="s">
        <v>560</v>
      </c>
      <c r="L2140" t="s">
        <v>470</v>
      </c>
      <c r="M2140">
        <v>60</v>
      </c>
      <c r="N2140" t="b">
        <v>0</v>
      </c>
      <c r="O2140">
        <v>0.78670360110803328</v>
      </c>
      <c r="P2140">
        <v>0.73958333333333337</v>
      </c>
      <c r="Q2140">
        <v>0.84023668639053251</v>
      </c>
      <c r="R2140" t="s">
        <v>60</v>
      </c>
      <c r="S2140" t="s">
        <v>4709</v>
      </c>
      <c r="T2140" t="s">
        <v>4710</v>
      </c>
      <c r="U2140" t="b">
        <v>1</v>
      </c>
      <c r="V2140" t="s">
        <v>63</v>
      </c>
      <c r="W2140">
        <v>1.3</v>
      </c>
    </row>
    <row r="2141" spans="1:23" hidden="1" x14ac:dyDescent="0.3">
      <c r="A2141" t="s">
        <v>4031</v>
      </c>
      <c r="B2141" t="s">
        <v>4032</v>
      </c>
      <c r="C2141" t="s">
        <v>30</v>
      </c>
      <c r="D2141" t="s">
        <v>22</v>
      </c>
      <c r="E2141" t="s">
        <v>23</v>
      </c>
      <c r="F2141" t="s">
        <v>363</v>
      </c>
      <c r="G2141" t="s">
        <v>563</v>
      </c>
      <c r="H2141" t="s">
        <v>467</v>
      </c>
      <c r="I2141" t="s">
        <v>9</v>
      </c>
      <c r="J2141" t="s">
        <v>564</v>
      </c>
      <c r="K2141" t="s">
        <v>565</v>
      </c>
      <c r="L2141" t="s">
        <v>470</v>
      </c>
      <c r="M2141">
        <v>61</v>
      </c>
      <c r="N2141" t="b">
        <v>0</v>
      </c>
      <c r="O2141">
        <v>0.79883381924198249</v>
      </c>
      <c r="P2141">
        <v>0.78735632183908044</v>
      </c>
      <c r="Q2141">
        <v>0.81065088757396453</v>
      </c>
      <c r="R2141" t="s">
        <v>60</v>
      </c>
      <c r="S2141" t="s">
        <v>4711</v>
      </c>
      <c r="T2141" t="s">
        <v>4712</v>
      </c>
      <c r="U2141" t="b">
        <v>1</v>
      </c>
      <c r="V2141" t="s">
        <v>63</v>
      </c>
      <c r="W2141">
        <v>1.3</v>
      </c>
    </row>
    <row r="2142" spans="1:23" hidden="1" x14ac:dyDescent="0.3">
      <c r="A2142" t="s">
        <v>4031</v>
      </c>
      <c r="B2142" t="s">
        <v>4032</v>
      </c>
      <c r="C2142" t="s">
        <v>30</v>
      </c>
      <c r="D2142" t="s">
        <v>22</v>
      </c>
      <c r="E2142" t="s">
        <v>23</v>
      </c>
      <c r="F2142" t="s">
        <v>363</v>
      </c>
      <c r="G2142" t="s">
        <v>568</v>
      </c>
      <c r="H2142" t="s">
        <v>569</v>
      </c>
      <c r="I2142" t="s">
        <v>11</v>
      </c>
      <c r="J2142" t="s">
        <v>570</v>
      </c>
      <c r="K2142" t="s">
        <v>571</v>
      </c>
      <c r="L2142" t="s">
        <v>572</v>
      </c>
      <c r="M2142">
        <v>42</v>
      </c>
      <c r="N2142" t="b">
        <v>0</v>
      </c>
      <c r="O2142">
        <v>0.84684684684684686</v>
      </c>
      <c r="P2142">
        <v>0.84684684684684686</v>
      </c>
      <c r="Q2142">
        <v>0.84684684684684686</v>
      </c>
      <c r="R2142" t="s">
        <v>60</v>
      </c>
      <c r="S2142" t="s">
        <v>4713</v>
      </c>
      <c r="T2142" t="s">
        <v>4714</v>
      </c>
      <c r="U2142" t="b">
        <v>1</v>
      </c>
      <c r="V2142" t="s">
        <v>63</v>
      </c>
      <c r="W2142">
        <v>1.6</v>
      </c>
    </row>
    <row r="2143" spans="1:23" hidden="1" x14ac:dyDescent="0.3">
      <c r="A2143" t="s">
        <v>4031</v>
      </c>
      <c r="B2143" t="s">
        <v>4032</v>
      </c>
      <c r="C2143" t="s">
        <v>30</v>
      </c>
      <c r="D2143" t="s">
        <v>22</v>
      </c>
      <c r="E2143" t="s">
        <v>23</v>
      </c>
      <c r="F2143" t="s">
        <v>363</v>
      </c>
      <c r="G2143" t="s">
        <v>575</v>
      </c>
      <c r="H2143" t="s">
        <v>569</v>
      </c>
      <c r="I2143" t="s">
        <v>11</v>
      </c>
      <c r="J2143" t="s">
        <v>576</v>
      </c>
      <c r="K2143" t="s">
        <v>577</v>
      </c>
      <c r="L2143" t="s">
        <v>572</v>
      </c>
      <c r="M2143">
        <v>43</v>
      </c>
      <c r="N2143" t="b">
        <v>0</v>
      </c>
      <c r="O2143">
        <v>0.83972911963882613</v>
      </c>
      <c r="P2143">
        <v>0.84162895927601811</v>
      </c>
      <c r="Q2143">
        <v>0.83783783783783783</v>
      </c>
      <c r="R2143" t="s">
        <v>60</v>
      </c>
      <c r="S2143" t="s">
        <v>4715</v>
      </c>
      <c r="T2143" t="s">
        <v>4716</v>
      </c>
      <c r="U2143" t="b">
        <v>1</v>
      </c>
      <c r="V2143" t="s">
        <v>63</v>
      </c>
      <c r="W2143">
        <v>2.5</v>
      </c>
    </row>
    <row r="2144" spans="1:23" hidden="1" x14ac:dyDescent="0.3">
      <c r="A2144" t="s">
        <v>4031</v>
      </c>
      <c r="B2144" t="s">
        <v>4032</v>
      </c>
      <c r="C2144" t="s">
        <v>30</v>
      </c>
      <c r="D2144" t="s">
        <v>22</v>
      </c>
      <c r="E2144" t="s">
        <v>23</v>
      </c>
      <c r="F2144" t="s">
        <v>363</v>
      </c>
      <c r="G2144" t="s">
        <v>580</v>
      </c>
      <c r="H2144" t="s">
        <v>569</v>
      </c>
      <c r="I2144" t="s">
        <v>11</v>
      </c>
      <c r="J2144" t="s">
        <v>581</v>
      </c>
      <c r="K2144" t="s">
        <v>582</v>
      </c>
      <c r="L2144" t="s">
        <v>572</v>
      </c>
      <c r="M2144">
        <v>44</v>
      </c>
      <c r="N2144" t="b">
        <v>0</v>
      </c>
      <c r="O2144">
        <v>0.8482142857142857</v>
      </c>
      <c r="P2144">
        <v>0.84070796460176989</v>
      </c>
      <c r="Q2144">
        <v>0.85585585585585588</v>
      </c>
      <c r="R2144" t="s">
        <v>60</v>
      </c>
      <c r="S2144" t="s">
        <v>4717</v>
      </c>
      <c r="T2144" t="s">
        <v>4718</v>
      </c>
      <c r="U2144" t="b">
        <v>1</v>
      </c>
      <c r="V2144" t="s">
        <v>63</v>
      </c>
      <c r="W2144">
        <v>1.4</v>
      </c>
    </row>
    <row r="2145" spans="1:23" hidden="1" x14ac:dyDescent="0.3">
      <c r="A2145" t="s">
        <v>4031</v>
      </c>
      <c r="B2145" t="s">
        <v>4032</v>
      </c>
      <c r="C2145" t="s">
        <v>30</v>
      </c>
      <c r="D2145" t="s">
        <v>22</v>
      </c>
      <c r="E2145" t="s">
        <v>23</v>
      </c>
      <c r="F2145" t="s">
        <v>363</v>
      </c>
      <c r="G2145" t="s">
        <v>585</v>
      </c>
      <c r="H2145" t="s">
        <v>569</v>
      </c>
      <c r="I2145" t="s">
        <v>11</v>
      </c>
      <c r="J2145" t="s">
        <v>586</v>
      </c>
      <c r="K2145" t="s">
        <v>587</v>
      </c>
      <c r="L2145" t="s">
        <v>572</v>
      </c>
      <c r="M2145">
        <v>45</v>
      </c>
      <c r="N2145" t="b">
        <v>0</v>
      </c>
      <c r="O2145">
        <v>0.84374999999999989</v>
      </c>
      <c r="P2145">
        <v>0.83628318584070793</v>
      </c>
      <c r="Q2145">
        <v>0.85135135135135132</v>
      </c>
      <c r="R2145" t="s">
        <v>60</v>
      </c>
      <c r="S2145" t="s">
        <v>4719</v>
      </c>
      <c r="T2145" t="s">
        <v>4720</v>
      </c>
      <c r="U2145" t="b">
        <v>1</v>
      </c>
      <c r="V2145" t="s">
        <v>63</v>
      </c>
      <c r="W2145">
        <v>2.1</v>
      </c>
    </row>
    <row r="2146" spans="1:23" hidden="1" x14ac:dyDescent="0.3">
      <c r="A2146" t="s">
        <v>4031</v>
      </c>
      <c r="B2146" t="s">
        <v>4032</v>
      </c>
      <c r="C2146" t="s">
        <v>30</v>
      </c>
      <c r="D2146" t="s">
        <v>22</v>
      </c>
      <c r="E2146" t="s">
        <v>23</v>
      </c>
      <c r="F2146" t="s">
        <v>363</v>
      </c>
      <c r="G2146" t="s">
        <v>590</v>
      </c>
      <c r="H2146" t="s">
        <v>569</v>
      </c>
      <c r="I2146" t="s">
        <v>11</v>
      </c>
      <c r="J2146" t="s">
        <v>591</v>
      </c>
      <c r="K2146" t="s">
        <v>592</v>
      </c>
      <c r="L2146" t="s">
        <v>572</v>
      </c>
      <c r="M2146">
        <v>46</v>
      </c>
      <c r="N2146" t="b">
        <v>0</v>
      </c>
      <c r="O2146">
        <v>0.84304932735426019</v>
      </c>
      <c r="P2146">
        <v>0.8392857142857143</v>
      </c>
      <c r="Q2146">
        <v>0.84684684684684686</v>
      </c>
      <c r="R2146" t="s">
        <v>60</v>
      </c>
      <c r="S2146" t="s">
        <v>4721</v>
      </c>
      <c r="T2146" t="s">
        <v>4722</v>
      </c>
      <c r="U2146" t="b">
        <v>1</v>
      </c>
      <c r="V2146" t="s">
        <v>63</v>
      </c>
      <c r="W2146">
        <v>1.6</v>
      </c>
    </row>
    <row r="2147" spans="1:23" hidden="1" x14ac:dyDescent="0.3">
      <c r="A2147" t="s">
        <v>4031</v>
      </c>
      <c r="B2147" t="s">
        <v>4032</v>
      </c>
      <c r="C2147" t="s">
        <v>30</v>
      </c>
      <c r="D2147" t="s">
        <v>22</v>
      </c>
      <c r="E2147" t="s">
        <v>23</v>
      </c>
      <c r="F2147" t="s">
        <v>363</v>
      </c>
      <c r="G2147" t="s">
        <v>595</v>
      </c>
      <c r="H2147" t="s">
        <v>569</v>
      </c>
      <c r="I2147" t="s">
        <v>11</v>
      </c>
      <c r="J2147" t="s">
        <v>596</v>
      </c>
      <c r="K2147" t="s">
        <v>597</v>
      </c>
      <c r="L2147" t="s">
        <v>572</v>
      </c>
      <c r="M2147">
        <v>47</v>
      </c>
      <c r="N2147" t="b">
        <v>0</v>
      </c>
      <c r="O2147">
        <v>0.84615384615384615</v>
      </c>
      <c r="P2147">
        <v>0.85</v>
      </c>
      <c r="Q2147">
        <v>0.84234234234234229</v>
      </c>
      <c r="R2147" t="s">
        <v>60</v>
      </c>
      <c r="S2147" t="s">
        <v>4723</v>
      </c>
      <c r="T2147" t="s">
        <v>4724</v>
      </c>
      <c r="U2147" t="b">
        <v>1</v>
      </c>
      <c r="V2147" t="s">
        <v>63</v>
      </c>
      <c r="W2147">
        <v>1.5</v>
      </c>
    </row>
    <row r="2148" spans="1:23" hidden="1" x14ac:dyDescent="0.3">
      <c r="A2148" t="s">
        <v>4031</v>
      </c>
      <c r="B2148" t="s">
        <v>4032</v>
      </c>
      <c r="C2148" t="s">
        <v>30</v>
      </c>
      <c r="D2148" t="s">
        <v>22</v>
      </c>
      <c r="E2148" t="s">
        <v>23</v>
      </c>
      <c r="F2148" t="s">
        <v>363</v>
      </c>
      <c r="G2148" t="s">
        <v>600</v>
      </c>
      <c r="H2148" t="s">
        <v>569</v>
      </c>
      <c r="I2148" t="s">
        <v>11</v>
      </c>
      <c r="J2148" t="s">
        <v>601</v>
      </c>
      <c r="K2148" t="s">
        <v>602</v>
      </c>
      <c r="L2148" t="s">
        <v>572</v>
      </c>
      <c r="M2148">
        <v>48</v>
      </c>
      <c r="N2148" t="b">
        <v>0</v>
      </c>
      <c r="O2148">
        <v>0.83813747228381374</v>
      </c>
      <c r="P2148">
        <v>0.8253275109170306</v>
      </c>
      <c r="Q2148">
        <v>0.85135135135135132</v>
      </c>
      <c r="R2148" t="s">
        <v>60</v>
      </c>
      <c r="S2148" t="s">
        <v>4725</v>
      </c>
      <c r="T2148" t="s">
        <v>4726</v>
      </c>
      <c r="U2148" t="b">
        <v>1</v>
      </c>
      <c r="V2148" t="s">
        <v>63</v>
      </c>
      <c r="W2148">
        <v>1.4</v>
      </c>
    </row>
    <row r="2149" spans="1:23" hidden="1" x14ac:dyDescent="0.3">
      <c r="A2149" t="s">
        <v>4031</v>
      </c>
      <c r="B2149" t="s">
        <v>4032</v>
      </c>
      <c r="C2149" t="s">
        <v>30</v>
      </c>
      <c r="D2149" t="s">
        <v>22</v>
      </c>
      <c r="E2149" t="s">
        <v>23</v>
      </c>
      <c r="F2149" t="s">
        <v>363</v>
      </c>
      <c r="G2149" t="s">
        <v>605</v>
      </c>
      <c r="H2149" t="s">
        <v>569</v>
      </c>
      <c r="I2149" t="s">
        <v>11</v>
      </c>
      <c r="J2149" t="s">
        <v>606</v>
      </c>
      <c r="K2149" t="s">
        <v>607</v>
      </c>
      <c r="L2149" t="s">
        <v>572</v>
      </c>
      <c r="M2149">
        <v>49</v>
      </c>
      <c r="N2149" t="b">
        <v>0</v>
      </c>
      <c r="O2149">
        <v>0.82460136674259676</v>
      </c>
      <c r="P2149">
        <v>0.83410138248847931</v>
      </c>
      <c r="Q2149">
        <v>0.81531531531531531</v>
      </c>
      <c r="R2149" t="s">
        <v>60</v>
      </c>
      <c r="S2149" t="s">
        <v>4727</v>
      </c>
      <c r="T2149" t="s">
        <v>4728</v>
      </c>
      <c r="U2149" t="b">
        <v>1</v>
      </c>
      <c r="V2149" t="s">
        <v>63</v>
      </c>
      <c r="W2149">
        <v>2</v>
      </c>
    </row>
    <row r="2150" spans="1:23" hidden="1" x14ac:dyDescent="0.3">
      <c r="A2150" t="s">
        <v>4031</v>
      </c>
      <c r="B2150" t="s">
        <v>4032</v>
      </c>
      <c r="C2150" t="s">
        <v>30</v>
      </c>
      <c r="D2150" t="s">
        <v>22</v>
      </c>
      <c r="E2150" t="s">
        <v>23</v>
      </c>
      <c r="F2150" t="s">
        <v>363</v>
      </c>
      <c r="G2150" t="s">
        <v>610</v>
      </c>
      <c r="H2150" t="s">
        <v>569</v>
      </c>
      <c r="I2150" t="s">
        <v>11</v>
      </c>
      <c r="J2150" t="s">
        <v>611</v>
      </c>
      <c r="K2150" t="s">
        <v>612</v>
      </c>
      <c r="L2150" t="s">
        <v>572</v>
      </c>
      <c r="M2150">
        <v>50</v>
      </c>
      <c r="N2150" t="b">
        <v>0</v>
      </c>
      <c r="O2150">
        <v>0.82142857142857151</v>
      </c>
      <c r="P2150">
        <v>0.81415929203539827</v>
      </c>
      <c r="Q2150">
        <v>0.8288288288288288</v>
      </c>
      <c r="R2150" t="s">
        <v>60</v>
      </c>
      <c r="S2150" t="s">
        <v>4729</v>
      </c>
      <c r="T2150" t="s">
        <v>4730</v>
      </c>
      <c r="U2150" t="b">
        <v>1</v>
      </c>
      <c r="V2150" t="s">
        <v>63</v>
      </c>
      <c r="W2150">
        <v>1.4</v>
      </c>
    </row>
    <row r="2151" spans="1:23" hidden="1" x14ac:dyDescent="0.3">
      <c r="A2151" t="s">
        <v>4031</v>
      </c>
      <c r="B2151" t="s">
        <v>4032</v>
      </c>
      <c r="C2151" t="s">
        <v>30</v>
      </c>
      <c r="D2151" t="s">
        <v>22</v>
      </c>
      <c r="E2151" t="s">
        <v>23</v>
      </c>
      <c r="F2151" t="s">
        <v>363</v>
      </c>
      <c r="G2151" t="s">
        <v>615</v>
      </c>
      <c r="H2151" t="s">
        <v>569</v>
      </c>
      <c r="I2151" t="s">
        <v>11</v>
      </c>
      <c r="J2151" t="s">
        <v>616</v>
      </c>
      <c r="K2151" t="s">
        <v>617</v>
      </c>
      <c r="L2151" t="s">
        <v>572</v>
      </c>
      <c r="M2151">
        <v>51</v>
      </c>
      <c r="N2151" t="b">
        <v>0</v>
      </c>
      <c r="O2151">
        <v>0.8355555555555555</v>
      </c>
      <c r="P2151">
        <v>0.82456140350877194</v>
      </c>
      <c r="Q2151">
        <v>0.84684684684684686</v>
      </c>
      <c r="R2151" t="s">
        <v>60</v>
      </c>
      <c r="S2151" t="s">
        <v>4731</v>
      </c>
      <c r="T2151" t="s">
        <v>4732</v>
      </c>
      <c r="U2151" t="b">
        <v>1</v>
      </c>
      <c r="V2151" t="s">
        <v>63</v>
      </c>
      <c r="W2151">
        <v>1.4</v>
      </c>
    </row>
    <row r="2152" spans="1:23" hidden="1" x14ac:dyDescent="0.3">
      <c r="A2152" t="s">
        <v>4031</v>
      </c>
      <c r="B2152" t="s">
        <v>4032</v>
      </c>
      <c r="C2152" t="s">
        <v>30</v>
      </c>
      <c r="D2152" t="s">
        <v>22</v>
      </c>
      <c r="E2152" t="s">
        <v>23</v>
      </c>
      <c r="F2152" t="s">
        <v>363</v>
      </c>
      <c r="G2152" t="s">
        <v>620</v>
      </c>
      <c r="H2152" t="s">
        <v>569</v>
      </c>
      <c r="I2152" t="s">
        <v>11</v>
      </c>
      <c r="J2152" t="s">
        <v>621</v>
      </c>
      <c r="K2152" t="s">
        <v>622</v>
      </c>
      <c r="L2152" t="s">
        <v>572</v>
      </c>
      <c r="M2152">
        <v>52</v>
      </c>
      <c r="N2152" t="b">
        <v>0</v>
      </c>
      <c r="O2152">
        <v>0.85458612975391501</v>
      </c>
      <c r="P2152">
        <v>0.84888888888888892</v>
      </c>
      <c r="Q2152">
        <v>0.86036036036036034</v>
      </c>
      <c r="R2152" t="s">
        <v>60</v>
      </c>
      <c r="S2152" t="s">
        <v>4733</v>
      </c>
      <c r="T2152" t="s">
        <v>4734</v>
      </c>
      <c r="U2152" t="b">
        <v>1</v>
      </c>
      <c r="V2152" t="s">
        <v>63</v>
      </c>
      <c r="W2152">
        <v>1.4</v>
      </c>
    </row>
    <row r="2153" spans="1:23" hidden="1" x14ac:dyDescent="0.3">
      <c r="A2153" t="s">
        <v>4031</v>
      </c>
      <c r="B2153" t="s">
        <v>4032</v>
      </c>
      <c r="C2153" t="s">
        <v>30</v>
      </c>
      <c r="D2153" t="s">
        <v>22</v>
      </c>
      <c r="E2153" t="s">
        <v>23</v>
      </c>
      <c r="F2153" t="s">
        <v>363</v>
      </c>
      <c r="G2153" t="s">
        <v>625</v>
      </c>
      <c r="H2153" t="s">
        <v>569</v>
      </c>
      <c r="I2153" t="s">
        <v>11</v>
      </c>
      <c r="J2153" t="s">
        <v>626</v>
      </c>
      <c r="K2153" t="s">
        <v>627</v>
      </c>
      <c r="L2153" t="s">
        <v>572</v>
      </c>
      <c r="M2153">
        <v>53</v>
      </c>
      <c r="N2153" t="b">
        <v>0</v>
      </c>
      <c r="O2153">
        <v>0.82683982683982682</v>
      </c>
      <c r="P2153">
        <v>0.79583333333333328</v>
      </c>
      <c r="Q2153">
        <v>0.86036036036036034</v>
      </c>
      <c r="R2153" t="s">
        <v>60</v>
      </c>
      <c r="S2153" t="s">
        <v>4735</v>
      </c>
      <c r="T2153" t="s">
        <v>4736</v>
      </c>
      <c r="U2153" t="b">
        <v>1</v>
      </c>
      <c r="V2153" t="s">
        <v>63</v>
      </c>
      <c r="W2153">
        <v>2.2999999999999998</v>
      </c>
    </row>
    <row r="2154" spans="1:23" hidden="1" x14ac:dyDescent="0.3">
      <c r="A2154" t="s">
        <v>4031</v>
      </c>
      <c r="B2154" t="s">
        <v>4032</v>
      </c>
      <c r="C2154" t="s">
        <v>30</v>
      </c>
      <c r="D2154" t="s">
        <v>22</v>
      </c>
      <c r="E2154" t="s">
        <v>23</v>
      </c>
      <c r="F2154" t="s">
        <v>363</v>
      </c>
      <c r="G2154" t="s">
        <v>630</v>
      </c>
      <c r="H2154" t="s">
        <v>569</v>
      </c>
      <c r="I2154" t="s">
        <v>11</v>
      </c>
      <c r="J2154" t="s">
        <v>631</v>
      </c>
      <c r="K2154" t="s">
        <v>632</v>
      </c>
      <c r="L2154" t="s">
        <v>572</v>
      </c>
      <c r="M2154">
        <v>54</v>
      </c>
      <c r="N2154" t="b">
        <v>0</v>
      </c>
      <c r="O2154">
        <v>0.8409586056644881</v>
      </c>
      <c r="P2154">
        <v>0.81434599156118148</v>
      </c>
      <c r="Q2154">
        <v>0.86936936936936937</v>
      </c>
      <c r="R2154" t="s">
        <v>60</v>
      </c>
      <c r="S2154" t="s">
        <v>4737</v>
      </c>
      <c r="T2154" t="s">
        <v>4738</v>
      </c>
      <c r="U2154" t="b">
        <v>1</v>
      </c>
      <c r="V2154" t="s">
        <v>63</v>
      </c>
      <c r="W2154">
        <v>1.6</v>
      </c>
    </row>
    <row r="2155" spans="1:23" hidden="1" x14ac:dyDescent="0.3">
      <c r="A2155" t="s">
        <v>4031</v>
      </c>
      <c r="B2155" t="s">
        <v>4032</v>
      </c>
      <c r="C2155" t="s">
        <v>30</v>
      </c>
      <c r="D2155" t="s">
        <v>22</v>
      </c>
      <c r="E2155" t="s">
        <v>23</v>
      </c>
      <c r="F2155" t="s">
        <v>363</v>
      </c>
      <c r="G2155" t="s">
        <v>635</v>
      </c>
      <c r="H2155" t="s">
        <v>569</v>
      </c>
      <c r="I2155" t="s">
        <v>11</v>
      </c>
      <c r="J2155" t="s">
        <v>636</v>
      </c>
      <c r="K2155" t="s">
        <v>637</v>
      </c>
      <c r="L2155" t="s">
        <v>572</v>
      </c>
      <c r="M2155">
        <v>55</v>
      </c>
      <c r="N2155" t="b">
        <v>0</v>
      </c>
      <c r="O2155">
        <v>0.8355555555555555</v>
      </c>
      <c r="P2155">
        <v>0.82456140350877194</v>
      </c>
      <c r="Q2155">
        <v>0.84684684684684686</v>
      </c>
      <c r="R2155" t="s">
        <v>60</v>
      </c>
      <c r="S2155" t="s">
        <v>4739</v>
      </c>
      <c r="T2155" t="s">
        <v>4740</v>
      </c>
      <c r="U2155" t="b">
        <v>1</v>
      </c>
      <c r="V2155" t="s">
        <v>63</v>
      </c>
      <c r="W2155">
        <v>1.4</v>
      </c>
    </row>
    <row r="2156" spans="1:23" hidden="1" x14ac:dyDescent="0.3">
      <c r="A2156" t="s">
        <v>4031</v>
      </c>
      <c r="B2156" t="s">
        <v>4032</v>
      </c>
      <c r="C2156" t="s">
        <v>30</v>
      </c>
      <c r="D2156" t="s">
        <v>22</v>
      </c>
      <c r="E2156" t="s">
        <v>23</v>
      </c>
      <c r="F2156" t="s">
        <v>363</v>
      </c>
      <c r="G2156" t="s">
        <v>640</v>
      </c>
      <c r="H2156" t="s">
        <v>569</v>
      </c>
      <c r="I2156" t="s">
        <v>11</v>
      </c>
      <c r="J2156" t="s">
        <v>641</v>
      </c>
      <c r="K2156" t="s">
        <v>642</v>
      </c>
      <c r="L2156" t="s">
        <v>572</v>
      </c>
      <c r="M2156">
        <v>56</v>
      </c>
      <c r="N2156" t="b">
        <v>0</v>
      </c>
      <c r="O2156">
        <v>0.83069977426636565</v>
      </c>
      <c r="P2156">
        <v>0.83257918552036203</v>
      </c>
      <c r="Q2156">
        <v>0.8288288288288288</v>
      </c>
      <c r="R2156" t="s">
        <v>60</v>
      </c>
      <c r="S2156" t="s">
        <v>4741</v>
      </c>
      <c r="T2156" t="s">
        <v>4742</v>
      </c>
      <c r="U2156" t="b">
        <v>1</v>
      </c>
      <c r="V2156" t="s">
        <v>63</v>
      </c>
      <c r="W2156">
        <v>1.2</v>
      </c>
    </row>
    <row r="2157" spans="1:23" hidden="1" x14ac:dyDescent="0.3">
      <c r="A2157" t="s">
        <v>4031</v>
      </c>
      <c r="B2157" t="s">
        <v>4032</v>
      </c>
      <c r="C2157" t="s">
        <v>30</v>
      </c>
      <c r="D2157" t="s">
        <v>22</v>
      </c>
      <c r="E2157" t="s">
        <v>23</v>
      </c>
      <c r="F2157" t="s">
        <v>363</v>
      </c>
      <c r="G2157" t="s">
        <v>645</v>
      </c>
      <c r="H2157" t="s">
        <v>569</v>
      </c>
      <c r="I2157" t="s">
        <v>11</v>
      </c>
      <c r="J2157" t="s">
        <v>646</v>
      </c>
      <c r="K2157" t="s">
        <v>647</v>
      </c>
      <c r="L2157" t="s">
        <v>572</v>
      </c>
      <c r="M2157">
        <v>57</v>
      </c>
      <c r="N2157" t="b">
        <v>0</v>
      </c>
      <c r="O2157">
        <v>0.8482142857142857</v>
      </c>
      <c r="P2157">
        <v>0.84070796460176989</v>
      </c>
      <c r="Q2157">
        <v>0.85585585585585588</v>
      </c>
      <c r="R2157" t="s">
        <v>60</v>
      </c>
      <c r="S2157" t="s">
        <v>4743</v>
      </c>
      <c r="T2157" t="s">
        <v>4744</v>
      </c>
      <c r="U2157" t="b">
        <v>1</v>
      </c>
      <c r="V2157" t="s">
        <v>63</v>
      </c>
      <c r="W2157">
        <v>0.8</v>
      </c>
    </row>
    <row r="2158" spans="1:23" hidden="1" x14ac:dyDescent="0.3">
      <c r="A2158" t="s">
        <v>4031</v>
      </c>
      <c r="B2158" t="s">
        <v>4032</v>
      </c>
      <c r="C2158" t="s">
        <v>30</v>
      </c>
      <c r="D2158" t="s">
        <v>22</v>
      </c>
      <c r="E2158" t="s">
        <v>23</v>
      </c>
      <c r="F2158" t="s">
        <v>363</v>
      </c>
      <c r="G2158" t="s">
        <v>650</v>
      </c>
      <c r="H2158" t="s">
        <v>569</v>
      </c>
      <c r="I2158" t="s">
        <v>11</v>
      </c>
      <c r="J2158" t="s">
        <v>651</v>
      </c>
      <c r="K2158" t="s">
        <v>652</v>
      </c>
      <c r="L2158" t="s">
        <v>572</v>
      </c>
      <c r="M2158">
        <v>58</v>
      </c>
      <c r="N2158" t="b">
        <v>0</v>
      </c>
      <c r="O2158">
        <v>0.820627802690583</v>
      </c>
      <c r="P2158">
        <v>0.8169642857142857</v>
      </c>
      <c r="Q2158">
        <v>0.82432432432432434</v>
      </c>
      <c r="R2158" t="s">
        <v>60</v>
      </c>
      <c r="S2158" t="s">
        <v>4745</v>
      </c>
      <c r="T2158" t="s">
        <v>4746</v>
      </c>
      <c r="U2158" t="b">
        <v>1</v>
      </c>
      <c r="V2158" t="s">
        <v>63</v>
      </c>
      <c r="W2158">
        <v>0.8</v>
      </c>
    </row>
    <row r="2159" spans="1:23" hidden="1" x14ac:dyDescent="0.3">
      <c r="A2159" t="s">
        <v>4031</v>
      </c>
      <c r="B2159" t="s">
        <v>4032</v>
      </c>
      <c r="C2159" t="s">
        <v>30</v>
      </c>
      <c r="D2159" t="s">
        <v>22</v>
      </c>
      <c r="E2159" t="s">
        <v>23</v>
      </c>
      <c r="F2159" t="s">
        <v>363</v>
      </c>
      <c r="G2159" t="s">
        <v>655</v>
      </c>
      <c r="H2159" t="s">
        <v>569</v>
      </c>
      <c r="I2159" t="s">
        <v>11</v>
      </c>
      <c r="J2159" t="s">
        <v>656</v>
      </c>
      <c r="K2159" t="s">
        <v>657</v>
      </c>
      <c r="L2159" t="s">
        <v>572</v>
      </c>
      <c r="M2159">
        <v>59</v>
      </c>
      <c r="N2159" t="b">
        <v>0</v>
      </c>
      <c r="O2159">
        <v>0.84632516703786187</v>
      </c>
      <c r="P2159">
        <v>0.83700440528634357</v>
      </c>
      <c r="Q2159">
        <v>0.85585585585585588</v>
      </c>
      <c r="R2159" t="s">
        <v>60</v>
      </c>
      <c r="S2159" t="s">
        <v>4747</v>
      </c>
      <c r="T2159" t="s">
        <v>4748</v>
      </c>
      <c r="U2159" t="b">
        <v>1</v>
      </c>
      <c r="V2159" t="s">
        <v>63</v>
      </c>
      <c r="W2159">
        <v>0.8</v>
      </c>
    </row>
    <row r="2160" spans="1:23" hidden="1" x14ac:dyDescent="0.3">
      <c r="A2160" t="s">
        <v>4031</v>
      </c>
      <c r="B2160" t="s">
        <v>4032</v>
      </c>
      <c r="C2160" t="s">
        <v>30</v>
      </c>
      <c r="D2160" t="s">
        <v>22</v>
      </c>
      <c r="E2160" t="s">
        <v>23</v>
      </c>
      <c r="F2160" t="s">
        <v>363</v>
      </c>
      <c r="G2160" t="s">
        <v>660</v>
      </c>
      <c r="H2160" t="s">
        <v>569</v>
      </c>
      <c r="I2160" t="s">
        <v>11</v>
      </c>
      <c r="J2160" t="s">
        <v>661</v>
      </c>
      <c r="K2160" t="s">
        <v>662</v>
      </c>
      <c r="L2160" t="s">
        <v>572</v>
      </c>
      <c r="M2160">
        <v>60</v>
      </c>
      <c r="N2160" t="b">
        <v>0</v>
      </c>
      <c r="O2160">
        <v>0.83972911963882613</v>
      </c>
      <c r="P2160">
        <v>0.84162895927601811</v>
      </c>
      <c r="Q2160">
        <v>0.83783783783783783</v>
      </c>
      <c r="R2160" t="s">
        <v>60</v>
      </c>
      <c r="S2160" t="s">
        <v>4749</v>
      </c>
      <c r="T2160" t="s">
        <v>4748</v>
      </c>
      <c r="U2160" t="b">
        <v>1</v>
      </c>
      <c r="V2160" t="s">
        <v>63</v>
      </c>
      <c r="W2160">
        <v>0.8</v>
      </c>
    </row>
    <row r="2161" spans="1:23" hidden="1" x14ac:dyDescent="0.3">
      <c r="A2161" t="s">
        <v>4031</v>
      </c>
      <c r="B2161" t="s">
        <v>4032</v>
      </c>
      <c r="C2161" t="s">
        <v>30</v>
      </c>
      <c r="D2161" t="s">
        <v>22</v>
      </c>
      <c r="E2161" t="s">
        <v>23</v>
      </c>
      <c r="F2161" t="s">
        <v>363</v>
      </c>
      <c r="G2161" t="s">
        <v>665</v>
      </c>
      <c r="H2161" t="s">
        <v>569</v>
      </c>
      <c r="I2161" t="s">
        <v>11</v>
      </c>
      <c r="J2161" t="s">
        <v>666</v>
      </c>
      <c r="K2161" t="s">
        <v>667</v>
      </c>
      <c r="L2161" t="s">
        <v>572</v>
      </c>
      <c r="M2161">
        <v>61</v>
      </c>
      <c r="N2161" t="b">
        <v>0</v>
      </c>
      <c r="O2161">
        <v>0.8482142857142857</v>
      </c>
      <c r="P2161">
        <v>0.84070796460176989</v>
      </c>
      <c r="Q2161">
        <v>0.85585585585585588</v>
      </c>
      <c r="R2161" t="s">
        <v>60</v>
      </c>
      <c r="S2161" t="s">
        <v>4749</v>
      </c>
      <c r="T2161" t="s">
        <v>4750</v>
      </c>
      <c r="U2161" t="b">
        <v>1</v>
      </c>
      <c r="V2161" t="s">
        <v>63</v>
      </c>
      <c r="W2161">
        <v>0.8</v>
      </c>
    </row>
    <row r="2162" spans="1:23" hidden="1" x14ac:dyDescent="0.3">
      <c r="A2162" t="s">
        <v>4031</v>
      </c>
      <c r="B2162" t="s">
        <v>4032</v>
      </c>
      <c r="C2162" t="s">
        <v>30</v>
      </c>
      <c r="D2162" t="s">
        <v>24</v>
      </c>
      <c r="E2162" t="s">
        <v>25</v>
      </c>
      <c r="F2162" t="s">
        <v>54</v>
      </c>
      <c r="G2162" t="s">
        <v>55</v>
      </c>
      <c r="H2162" t="s">
        <v>56</v>
      </c>
      <c r="I2162" t="s">
        <v>7</v>
      </c>
      <c r="J2162" t="s">
        <v>57</v>
      </c>
      <c r="K2162" t="s">
        <v>58</v>
      </c>
      <c r="L2162" t="s">
        <v>59</v>
      </c>
      <c r="M2162">
        <v>42</v>
      </c>
      <c r="N2162" t="b">
        <v>1</v>
      </c>
      <c r="O2162">
        <v>0.70066518847006654</v>
      </c>
      <c r="P2162">
        <v>0.71493212669683259</v>
      </c>
      <c r="Q2162">
        <v>0.68695652173913047</v>
      </c>
      <c r="R2162" t="s">
        <v>60</v>
      </c>
      <c r="S2162" t="s">
        <v>4751</v>
      </c>
      <c r="T2162" t="s">
        <v>4752</v>
      </c>
      <c r="U2162" t="b">
        <v>1</v>
      </c>
      <c r="V2162" t="s">
        <v>63</v>
      </c>
      <c r="W2162">
        <v>7</v>
      </c>
    </row>
    <row r="2163" spans="1:23" hidden="1" x14ac:dyDescent="0.3">
      <c r="A2163" t="s">
        <v>4031</v>
      </c>
      <c r="B2163" t="s">
        <v>4032</v>
      </c>
      <c r="C2163" t="s">
        <v>30</v>
      </c>
      <c r="D2163" t="s">
        <v>24</v>
      </c>
      <c r="E2163" t="s">
        <v>25</v>
      </c>
      <c r="F2163" t="s">
        <v>54</v>
      </c>
      <c r="G2163" t="s">
        <v>64</v>
      </c>
      <c r="H2163" t="s">
        <v>56</v>
      </c>
      <c r="I2163" t="s">
        <v>7</v>
      </c>
      <c r="J2163" t="s">
        <v>65</v>
      </c>
      <c r="K2163" t="s">
        <v>66</v>
      </c>
      <c r="L2163" t="s">
        <v>59</v>
      </c>
      <c r="M2163">
        <v>43</v>
      </c>
      <c r="N2163" t="b">
        <v>1</v>
      </c>
      <c r="O2163">
        <v>0.69848156182212573</v>
      </c>
      <c r="P2163">
        <v>0.69696969696969702</v>
      </c>
      <c r="Q2163">
        <v>0.7</v>
      </c>
      <c r="R2163" t="s">
        <v>60</v>
      </c>
      <c r="S2163" t="s">
        <v>4753</v>
      </c>
      <c r="T2163" t="s">
        <v>4754</v>
      </c>
      <c r="U2163" t="b">
        <v>1</v>
      </c>
      <c r="V2163" t="s">
        <v>63</v>
      </c>
      <c r="W2163">
        <v>1.8</v>
      </c>
    </row>
    <row r="2164" spans="1:23" hidden="1" x14ac:dyDescent="0.3">
      <c r="A2164" t="s">
        <v>4031</v>
      </c>
      <c r="B2164" t="s">
        <v>4032</v>
      </c>
      <c r="C2164" t="s">
        <v>30</v>
      </c>
      <c r="D2164" t="s">
        <v>24</v>
      </c>
      <c r="E2164" t="s">
        <v>25</v>
      </c>
      <c r="F2164" t="s">
        <v>54</v>
      </c>
      <c r="G2164" t="s">
        <v>69</v>
      </c>
      <c r="H2164" t="s">
        <v>56</v>
      </c>
      <c r="I2164" t="s">
        <v>7</v>
      </c>
      <c r="J2164" t="s">
        <v>70</v>
      </c>
      <c r="K2164" t="s">
        <v>71</v>
      </c>
      <c r="L2164" t="s">
        <v>59</v>
      </c>
      <c r="M2164">
        <v>44</v>
      </c>
      <c r="N2164" t="b">
        <v>1</v>
      </c>
      <c r="O2164">
        <v>0.71337579617834401</v>
      </c>
      <c r="P2164">
        <v>0.69709543568464727</v>
      </c>
      <c r="Q2164">
        <v>0.73043478260869565</v>
      </c>
      <c r="R2164" t="s">
        <v>60</v>
      </c>
      <c r="S2164" t="s">
        <v>4755</v>
      </c>
      <c r="T2164" t="s">
        <v>4756</v>
      </c>
      <c r="U2164" t="b">
        <v>1</v>
      </c>
      <c r="V2164" t="s">
        <v>63</v>
      </c>
      <c r="W2164">
        <v>2.4</v>
      </c>
    </row>
    <row r="2165" spans="1:23" hidden="1" x14ac:dyDescent="0.3">
      <c r="A2165" t="s">
        <v>4031</v>
      </c>
      <c r="B2165" t="s">
        <v>4032</v>
      </c>
      <c r="C2165" t="s">
        <v>30</v>
      </c>
      <c r="D2165" t="s">
        <v>24</v>
      </c>
      <c r="E2165" t="s">
        <v>25</v>
      </c>
      <c r="F2165" t="s">
        <v>54</v>
      </c>
      <c r="G2165" t="s">
        <v>74</v>
      </c>
      <c r="H2165" t="s">
        <v>56</v>
      </c>
      <c r="I2165" t="s">
        <v>7</v>
      </c>
      <c r="J2165" t="s">
        <v>75</v>
      </c>
      <c r="K2165" t="s">
        <v>76</v>
      </c>
      <c r="L2165" t="s">
        <v>59</v>
      </c>
      <c r="M2165">
        <v>45</v>
      </c>
      <c r="N2165" t="b">
        <v>1</v>
      </c>
      <c r="O2165">
        <v>0.69658119658119666</v>
      </c>
      <c r="P2165">
        <v>0.68487394957983194</v>
      </c>
      <c r="Q2165">
        <v>0.70869565217391306</v>
      </c>
      <c r="R2165" t="s">
        <v>60</v>
      </c>
      <c r="S2165" t="s">
        <v>4757</v>
      </c>
      <c r="T2165" t="s">
        <v>4758</v>
      </c>
      <c r="U2165" t="b">
        <v>1</v>
      </c>
      <c r="V2165" t="s">
        <v>63</v>
      </c>
      <c r="W2165">
        <v>2.1</v>
      </c>
    </row>
    <row r="2166" spans="1:23" hidden="1" x14ac:dyDescent="0.3">
      <c r="A2166" t="s">
        <v>4031</v>
      </c>
      <c r="B2166" t="s">
        <v>4032</v>
      </c>
      <c r="C2166" t="s">
        <v>30</v>
      </c>
      <c r="D2166" t="s">
        <v>24</v>
      </c>
      <c r="E2166" t="s">
        <v>25</v>
      </c>
      <c r="F2166" t="s">
        <v>54</v>
      </c>
      <c r="G2166" t="s">
        <v>79</v>
      </c>
      <c r="H2166" t="s">
        <v>56</v>
      </c>
      <c r="I2166" t="s">
        <v>7</v>
      </c>
      <c r="J2166" t="s">
        <v>80</v>
      </c>
      <c r="K2166" t="s">
        <v>81</v>
      </c>
      <c r="L2166" t="s">
        <v>59</v>
      </c>
      <c r="M2166">
        <v>46</v>
      </c>
      <c r="N2166" t="b">
        <v>1</v>
      </c>
      <c r="O2166">
        <v>0.6899563318777292</v>
      </c>
      <c r="P2166">
        <v>0.69298245614035092</v>
      </c>
      <c r="Q2166">
        <v>0.68695652173913047</v>
      </c>
      <c r="R2166" t="s">
        <v>60</v>
      </c>
      <c r="S2166" t="s">
        <v>4759</v>
      </c>
      <c r="T2166" t="s">
        <v>4760</v>
      </c>
      <c r="U2166" t="b">
        <v>1</v>
      </c>
      <c r="V2166" t="s">
        <v>63</v>
      </c>
      <c r="W2166">
        <v>1.9</v>
      </c>
    </row>
    <row r="2167" spans="1:23" hidden="1" x14ac:dyDescent="0.3">
      <c r="A2167" t="s">
        <v>4031</v>
      </c>
      <c r="B2167" t="s">
        <v>4032</v>
      </c>
      <c r="C2167" t="s">
        <v>30</v>
      </c>
      <c r="D2167" t="s">
        <v>24</v>
      </c>
      <c r="E2167" t="s">
        <v>25</v>
      </c>
      <c r="F2167" t="s">
        <v>54</v>
      </c>
      <c r="G2167" t="s">
        <v>84</v>
      </c>
      <c r="H2167" t="s">
        <v>56</v>
      </c>
      <c r="I2167" t="s">
        <v>7</v>
      </c>
      <c r="J2167" t="s">
        <v>85</v>
      </c>
      <c r="K2167" t="s">
        <v>86</v>
      </c>
      <c r="L2167" t="s">
        <v>59</v>
      </c>
      <c r="M2167">
        <v>47</v>
      </c>
      <c r="N2167" t="b">
        <v>1</v>
      </c>
      <c r="O2167">
        <v>0.69198312236286919</v>
      </c>
      <c r="P2167">
        <v>0.67213114754098358</v>
      </c>
      <c r="Q2167">
        <v>0.71304347826086956</v>
      </c>
      <c r="R2167" t="s">
        <v>60</v>
      </c>
      <c r="S2167" t="s">
        <v>4761</v>
      </c>
      <c r="T2167" t="s">
        <v>4762</v>
      </c>
      <c r="U2167" t="b">
        <v>1</v>
      </c>
      <c r="V2167" t="s">
        <v>63</v>
      </c>
      <c r="W2167">
        <v>2.2999999999999998</v>
      </c>
    </row>
    <row r="2168" spans="1:23" hidden="1" x14ac:dyDescent="0.3">
      <c r="A2168" t="s">
        <v>4031</v>
      </c>
      <c r="B2168" t="s">
        <v>4032</v>
      </c>
      <c r="C2168" t="s">
        <v>30</v>
      </c>
      <c r="D2168" t="s">
        <v>24</v>
      </c>
      <c r="E2168" t="s">
        <v>25</v>
      </c>
      <c r="F2168" t="s">
        <v>54</v>
      </c>
      <c r="G2168" t="s">
        <v>89</v>
      </c>
      <c r="H2168" t="s">
        <v>56</v>
      </c>
      <c r="I2168" t="s">
        <v>7</v>
      </c>
      <c r="J2168" t="s">
        <v>90</v>
      </c>
      <c r="K2168" t="s">
        <v>91</v>
      </c>
      <c r="L2168" t="s">
        <v>59</v>
      </c>
      <c r="M2168">
        <v>48</v>
      </c>
      <c r="N2168" t="b">
        <v>1</v>
      </c>
      <c r="O2168">
        <v>0.64559819413092556</v>
      </c>
      <c r="P2168">
        <v>0.67136150234741787</v>
      </c>
      <c r="Q2168">
        <v>0.62173913043478257</v>
      </c>
      <c r="R2168" t="s">
        <v>60</v>
      </c>
      <c r="S2168" t="s">
        <v>4763</v>
      </c>
      <c r="T2168" t="s">
        <v>4764</v>
      </c>
      <c r="U2168" t="b">
        <v>1</v>
      </c>
      <c r="V2168" t="s">
        <v>63</v>
      </c>
      <c r="W2168">
        <v>1.9</v>
      </c>
    </row>
    <row r="2169" spans="1:23" hidden="1" x14ac:dyDescent="0.3">
      <c r="A2169" t="s">
        <v>4031</v>
      </c>
      <c r="B2169" t="s">
        <v>4032</v>
      </c>
      <c r="C2169" t="s">
        <v>30</v>
      </c>
      <c r="D2169" t="s">
        <v>24</v>
      </c>
      <c r="E2169" t="s">
        <v>25</v>
      </c>
      <c r="F2169" t="s">
        <v>54</v>
      </c>
      <c r="G2169" t="s">
        <v>94</v>
      </c>
      <c r="H2169" t="s">
        <v>56</v>
      </c>
      <c r="I2169" t="s">
        <v>7</v>
      </c>
      <c r="J2169" t="s">
        <v>95</v>
      </c>
      <c r="K2169" t="s">
        <v>96</v>
      </c>
      <c r="L2169" t="s">
        <v>59</v>
      </c>
      <c r="M2169">
        <v>49</v>
      </c>
      <c r="N2169" t="b">
        <v>1</v>
      </c>
      <c r="O2169">
        <v>0.69098712446351929</v>
      </c>
      <c r="P2169">
        <v>0.68220338983050843</v>
      </c>
      <c r="Q2169">
        <v>0.7</v>
      </c>
      <c r="R2169" t="s">
        <v>60</v>
      </c>
      <c r="S2169" t="s">
        <v>4765</v>
      </c>
      <c r="T2169" t="s">
        <v>4766</v>
      </c>
      <c r="U2169" t="b">
        <v>1</v>
      </c>
      <c r="V2169" t="s">
        <v>63</v>
      </c>
      <c r="W2169">
        <v>1.8</v>
      </c>
    </row>
    <row r="2170" spans="1:23" hidden="1" x14ac:dyDescent="0.3">
      <c r="A2170" t="s">
        <v>4031</v>
      </c>
      <c r="B2170" t="s">
        <v>4032</v>
      </c>
      <c r="C2170" t="s">
        <v>30</v>
      </c>
      <c r="D2170" t="s">
        <v>24</v>
      </c>
      <c r="E2170" t="s">
        <v>25</v>
      </c>
      <c r="F2170" t="s">
        <v>54</v>
      </c>
      <c r="G2170" t="s">
        <v>99</v>
      </c>
      <c r="H2170" t="s">
        <v>56</v>
      </c>
      <c r="I2170" t="s">
        <v>7</v>
      </c>
      <c r="J2170" t="s">
        <v>100</v>
      </c>
      <c r="K2170" t="s">
        <v>101</v>
      </c>
      <c r="L2170" t="s">
        <v>59</v>
      </c>
      <c r="M2170">
        <v>50</v>
      </c>
      <c r="N2170" t="b">
        <v>1</v>
      </c>
      <c r="O2170">
        <v>0.6785714285714286</v>
      </c>
      <c r="P2170">
        <v>0.69724770642201839</v>
      </c>
      <c r="Q2170">
        <v>0.66086956521739126</v>
      </c>
      <c r="R2170" t="s">
        <v>60</v>
      </c>
      <c r="S2170" t="s">
        <v>4767</v>
      </c>
      <c r="T2170" t="s">
        <v>4768</v>
      </c>
      <c r="U2170" t="b">
        <v>1</v>
      </c>
      <c r="V2170" t="s">
        <v>63</v>
      </c>
      <c r="W2170">
        <v>1.9</v>
      </c>
    </row>
    <row r="2171" spans="1:23" hidden="1" x14ac:dyDescent="0.3">
      <c r="A2171" t="s">
        <v>4031</v>
      </c>
      <c r="B2171" t="s">
        <v>4032</v>
      </c>
      <c r="C2171" t="s">
        <v>30</v>
      </c>
      <c r="D2171" t="s">
        <v>24</v>
      </c>
      <c r="E2171" t="s">
        <v>25</v>
      </c>
      <c r="F2171" t="s">
        <v>54</v>
      </c>
      <c r="G2171" t="s">
        <v>104</v>
      </c>
      <c r="H2171" t="s">
        <v>56</v>
      </c>
      <c r="I2171" t="s">
        <v>7</v>
      </c>
      <c r="J2171" t="s">
        <v>105</v>
      </c>
      <c r="K2171" t="s">
        <v>106</v>
      </c>
      <c r="L2171" t="s">
        <v>59</v>
      </c>
      <c r="M2171">
        <v>51</v>
      </c>
      <c r="N2171" t="b">
        <v>1</v>
      </c>
      <c r="O2171">
        <v>0.69396551724137923</v>
      </c>
      <c r="P2171">
        <v>0.68803418803418803</v>
      </c>
      <c r="Q2171">
        <v>0.7</v>
      </c>
      <c r="R2171" t="s">
        <v>60</v>
      </c>
      <c r="S2171" t="s">
        <v>4769</v>
      </c>
      <c r="T2171" t="s">
        <v>4770</v>
      </c>
      <c r="U2171" t="b">
        <v>1</v>
      </c>
      <c r="V2171" t="s">
        <v>63</v>
      </c>
      <c r="W2171">
        <v>2.5</v>
      </c>
    </row>
    <row r="2172" spans="1:23" hidden="1" x14ac:dyDescent="0.3">
      <c r="A2172" t="s">
        <v>4031</v>
      </c>
      <c r="B2172" t="s">
        <v>4032</v>
      </c>
      <c r="C2172" t="s">
        <v>30</v>
      </c>
      <c r="D2172" t="s">
        <v>24</v>
      </c>
      <c r="E2172" t="s">
        <v>25</v>
      </c>
      <c r="F2172" t="s">
        <v>54</v>
      </c>
      <c r="G2172" t="s">
        <v>109</v>
      </c>
      <c r="H2172" t="s">
        <v>56</v>
      </c>
      <c r="I2172" t="s">
        <v>7</v>
      </c>
      <c r="J2172" t="s">
        <v>110</v>
      </c>
      <c r="K2172" t="s">
        <v>111</v>
      </c>
      <c r="L2172" t="s">
        <v>59</v>
      </c>
      <c r="M2172">
        <v>52</v>
      </c>
      <c r="N2172" t="b">
        <v>1</v>
      </c>
      <c r="O2172">
        <v>0.6394557823129251</v>
      </c>
      <c r="P2172">
        <v>0.66824644549763035</v>
      </c>
      <c r="Q2172">
        <v>0.61304347826086958</v>
      </c>
      <c r="R2172" t="s">
        <v>60</v>
      </c>
      <c r="S2172" t="s">
        <v>4771</v>
      </c>
      <c r="T2172" t="s">
        <v>4772</v>
      </c>
      <c r="U2172" t="b">
        <v>1</v>
      </c>
      <c r="V2172" t="s">
        <v>63</v>
      </c>
      <c r="W2172">
        <v>1.9</v>
      </c>
    </row>
    <row r="2173" spans="1:23" hidden="1" x14ac:dyDescent="0.3">
      <c r="A2173" t="s">
        <v>4031</v>
      </c>
      <c r="B2173" t="s">
        <v>4032</v>
      </c>
      <c r="C2173" t="s">
        <v>30</v>
      </c>
      <c r="D2173" t="s">
        <v>24</v>
      </c>
      <c r="E2173" t="s">
        <v>25</v>
      </c>
      <c r="F2173" t="s">
        <v>54</v>
      </c>
      <c r="G2173" t="s">
        <v>114</v>
      </c>
      <c r="H2173" t="s">
        <v>56</v>
      </c>
      <c r="I2173" t="s">
        <v>7</v>
      </c>
      <c r="J2173" t="s">
        <v>115</v>
      </c>
      <c r="K2173" t="s">
        <v>116</v>
      </c>
      <c r="L2173" t="s">
        <v>59</v>
      </c>
      <c r="M2173">
        <v>53</v>
      </c>
      <c r="N2173" t="b">
        <v>1</v>
      </c>
      <c r="O2173">
        <v>0.69379014989293364</v>
      </c>
      <c r="P2173">
        <v>0.68354430379746833</v>
      </c>
      <c r="Q2173">
        <v>0.70434782608695656</v>
      </c>
      <c r="R2173" t="s">
        <v>60</v>
      </c>
      <c r="S2173" t="s">
        <v>4773</v>
      </c>
      <c r="T2173" t="s">
        <v>4774</v>
      </c>
      <c r="U2173" t="b">
        <v>1</v>
      </c>
      <c r="V2173" t="s">
        <v>63</v>
      </c>
      <c r="W2173">
        <v>2.2999999999999998</v>
      </c>
    </row>
    <row r="2174" spans="1:23" hidden="1" x14ac:dyDescent="0.3">
      <c r="A2174" t="s">
        <v>4031</v>
      </c>
      <c r="B2174" t="s">
        <v>4032</v>
      </c>
      <c r="C2174" t="s">
        <v>30</v>
      </c>
      <c r="D2174" t="s">
        <v>24</v>
      </c>
      <c r="E2174" t="s">
        <v>25</v>
      </c>
      <c r="F2174" t="s">
        <v>54</v>
      </c>
      <c r="G2174" t="s">
        <v>119</v>
      </c>
      <c r="H2174" t="s">
        <v>56</v>
      </c>
      <c r="I2174" t="s">
        <v>7</v>
      </c>
      <c r="J2174" t="s">
        <v>120</v>
      </c>
      <c r="K2174" t="s">
        <v>121</v>
      </c>
      <c r="L2174" t="s">
        <v>59</v>
      </c>
      <c r="M2174">
        <v>54</v>
      </c>
      <c r="N2174" t="b">
        <v>1</v>
      </c>
      <c r="O2174">
        <v>0.71739130434782605</v>
      </c>
      <c r="P2174">
        <v>0.71739130434782605</v>
      </c>
      <c r="Q2174">
        <v>0.71739130434782605</v>
      </c>
      <c r="R2174" t="s">
        <v>60</v>
      </c>
      <c r="S2174" t="s">
        <v>4775</v>
      </c>
      <c r="T2174" t="s">
        <v>4776</v>
      </c>
      <c r="U2174" t="b">
        <v>1</v>
      </c>
      <c r="V2174" t="s">
        <v>63</v>
      </c>
      <c r="W2174">
        <v>1.9</v>
      </c>
    </row>
    <row r="2175" spans="1:23" hidden="1" x14ac:dyDescent="0.3">
      <c r="A2175" t="s">
        <v>4031</v>
      </c>
      <c r="B2175" t="s">
        <v>4032</v>
      </c>
      <c r="C2175" t="s">
        <v>30</v>
      </c>
      <c r="D2175" t="s">
        <v>24</v>
      </c>
      <c r="E2175" t="s">
        <v>25</v>
      </c>
      <c r="F2175" t="s">
        <v>54</v>
      </c>
      <c r="G2175" t="s">
        <v>124</v>
      </c>
      <c r="H2175" t="s">
        <v>56</v>
      </c>
      <c r="I2175" t="s">
        <v>7</v>
      </c>
      <c r="J2175" t="s">
        <v>125</v>
      </c>
      <c r="K2175" t="s">
        <v>126</v>
      </c>
      <c r="L2175" t="s">
        <v>59</v>
      </c>
      <c r="M2175">
        <v>55</v>
      </c>
      <c r="N2175" t="b">
        <v>1</v>
      </c>
      <c r="O2175">
        <v>0.68498942917547567</v>
      </c>
      <c r="P2175">
        <v>0.66666666666666663</v>
      </c>
      <c r="Q2175">
        <v>0.70434782608695656</v>
      </c>
      <c r="R2175" t="s">
        <v>60</v>
      </c>
      <c r="S2175" t="s">
        <v>4777</v>
      </c>
      <c r="T2175" t="s">
        <v>4778</v>
      </c>
      <c r="U2175" t="b">
        <v>1</v>
      </c>
      <c r="V2175" t="s">
        <v>63</v>
      </c>
      <c r="W2175">
        <v>2.2000000000000002</v>
      </c>
    </row>
    <row r="2176" spans="1:23" hidden="1" x14ac:dyDescent="0.3">
      <c r="A2176" t="s">
        <v>4031</v>
      </c>
      <c r="B2176" t="s">
        <v>4032</v>
      </c>
      <c r="C2176" t="s">
        <v>30</v>
      </c>
      <c r="D2176" t="s">
        <v>24</v>
      </c>
      <c r="E2176" t="s">
        <v>25</v>
      </c>
      <c r="F2176" t="s">
        <v>54</v>
      </c>
      <c r="G2176" t="s">
        <v>129</v>
      </c>
      <c r="H2176" t="s">
        <v>56</v>
      </c>
      <c r="I2176" t="s">
        <v>7</v>
      </c>
      <c r="J2176" t="s">
        <v>130</v>
      </c>
      <c r="K2176" t="s">
        <v>131</v>
      </c>
      <c r="L2176" t="s">
        <v>59</v>
      </c>
      <c r="M2176">
        <v>56</v>
      </c>
      <c r="N2176" t="b">
        <v>1</v>
      </c>
      <c r="O2176">
        <v>0.71308016877637137</v>
      </c>
      <c r="P2176">
        <v>0.69262295081967218</v>
      </c>
      <c r="Q2176">
        <v>0.73478260869565215</v>
      </c>
      <c r="R2176" t="s">
        <v>60</v>
      </c>
      <c r="S2176" t="s">
        <v>4779</v>
      </c>
      <c r="T2176" t="s">
        <v>4780</v>
      </c>
      <c r="U2176" t="b">
        <v>1</v>
      </c>
      <c r="V2176" t="s">
        <v>63</v>
      </c>
      <c r="W2176">
        <v>2</v>
      </c>
    </row>
    <row r="2177" spans="1:23" hidden="1" x14ac:dyDescent="0.3">
      <c r="A2177" t="s">
        <v>4031</v>
      </c>
      <c r="B2177" t="s">
        <v>4032</v>
      </c>
      <c r="C2177" t="s">
        <v>30</v>
      </c>
      <c r="D2177" t="s">
        <v>24</v>
      </c>
      <c r="E2177" t="s">
        <v>25</v>
      </c>
      <c r="F2177" t="s">
        <v>54</v>
      </c>
      <c r="G2177" t="s">
        <v>134</v>
      </c>
      <c r="H2177" t="s">
        <v>56</v>
      </c>
      <c r="I2177" t="s">
        <v>7</v>
      </c>
      <c r="J2177" t="s">
        <v>135</v>
      </c>
      <c r="K2177" t="s">
        <v>136</v>
      </c>
      <c r="L2177" t="s">
        <v>59</v>
      </c>
      <c r="M2177">
        <v>57</v>
      </c>
      <c r="N2177" t="b">
        <v>1</v>
      </c>
      <c r="O2177">
        <v>0.68387096774193545</v>
      </c>
      <c r="P2177">
        <v>0.67659574468085104</v>
      </c>
      <c r="Q2177">
        <v>0.69130434782608696</v>
      </c>
      <c r="R2177" t="s">
        <v>60</v>
      </c>
      <c r="S2177" t="s">
        <v>4781</v>
      </c>
      <c r="T2177" t="s">
        <v>4782</v>
      </c>
      <c r="U2177" t="b">
        <v>1</v>
      </c>
      <c r="V2177" t="s">
        <v>63</v>
      </c>
      <c r="W2177">
        <v>2.2999999999999998</v>
      </c>
    </row>
    <row r="2178" spans="1:23" hidden="1" x14ac:dyDescent="0.3">
      <c r="A2178" t="s">
        <v>4031</v>
      </c>
      <c r="B2178" t="s">
        <v>4032</v>
      </c>
      <c r="C2178" t="s">
        <v>30</v>
      </c>
      <c r="D2178" t="s">
        <v>24</v>
      </c>
      <c r="E2178" t="s">
        <v>25</v>
      </c>
      <c r="F2178" t="s">
        <v>54</v>
      </c>
      <c r="G2178" t="s">
        <v>139</v>
      </c>
      <c r="H2178" t="s">
        <v>56</v>
      </c>
      <c r="I2178" t="s">
        <v>7</v>
      </c>
      <c r="J2178" t="s">
        <v>140</v>
      </c>
      <c r="K2178" t="s">
        <v>141</v>
      </c>
      <c r="L2178" t="s">
        <v>59</v>
      </c>
      <c r="M2178">
        <v>58</v>
      </c>
      <c r="N2178" t="b">
        <v>1</v>
      </c>
      <c r="O2178">
        <v>0.70512820512820507</v>
      </c>
      <c r="P2178">
        <v>0.69327731092436973</v>
      </c>
      <c r="Q2178">
        <v>0.71739130434782605</v>
      </c>
      <c r="R2178" t="s">
        <v>60</v>
      </c>
      <c r="S2178" t="s">
        <v>4783</v>
      </c>
      <c r="T2178" t="s">
        <v>4784</v>
      </c>
      <c r="U2178" t="b">
        <v>1</v>
      </c>
      <c r="V2178" t="s">
        <v>63</v>
      </c>
      <c r="W2178">
        <v>1.9</v>
      </c>
    </row>
    <row r="2179" spans="1:23" hidden="1" x14ac:dyDescent="0.3">
      <c r="A2179" t="s">
        <v>4031</v>
      </c>
      <c r="B2179" t="s">
        <v>4032</v>
      </c>
      <c r="C2179" t="s">
        <v>30</v>
      </c>
      <c r="D2179" t="s">
        <v>24</v>
      </c>
      <c r="E2179" t="s">
        <v>25</v>
      </c>
      <c r="F2179" t="s">
        <v>54</v>
      </c>
      <c r="G2179" t="s">
        <v>144</v>
      </c>
      <c r="H2179" t="s">
        <v>56</v>
      </c>
      <c r="I2179" t="s">
        <v>7</v>
      </c>
      <c r="J2179" t="s">
        <v>145</v>
      </c>
      <c r="K2179" t="s">
        <v>146</v>
      </c>
      <c r="L2179" t="s">
        <v>59</v>
      </c>
      <c r="M2179">
        <v>59</v>
      </c>
      <c r="N2179" t="b">
        <v>1</v>
      </c>
      <c r="O2179">
        <v>0.68510638297872339</v>
      </c>
      <c r="P2179">
        <v>0.67083333333333328</v>
      </c>
      <c r="Q2179">
        <v>0.7</v>
      </c>
      <c r="R2179" t="s">
        <v>60</v>
      </c>
      <c r="S2179" t="s">
        <v>4785</v>
      </c>
      <c r="T2179" t="s">
        <v>4786</v>
      </c>
      <c r="U2179" t="b">
        <v>1</v>
      </c>
      <c r="V2179" t="s">
        <v>63</v>
      </c>
      <c r="W2179">
        <v>2.4</v>
      </c>
    </row>
    <row r="2180" spans="1:23" hidden="1" x14ac:dyDescent="0.3">
      <c r="A2180" t="s">
        <v>4031</v>
      </c>
      <c r="B2180" t="s">
        <v>4032</v>
      </c>
      <c r="C2180" t="s">
        <v>30</v>
      </c>
      <c r="D2180" t="s">
        <v>24</v>
      </c>
      <c r="E2180" t="s">
        <v>25</v>
      </c>
      <c r="F2180" t="s">
        <v>54</v>
      </c>
      <c r="G2180" t="s">
        <v>149</v>
      </c>
      <c r="H2180" t="s">
        <v>56</v>
      </c>
      <c r="I2180" t="s">
        <v>7</v>
      </c>
      <c r="J2180" t="s">
        <v>150</v>
      </c>
      <c r="K2180" t="s">
        <v>151</v>
      </c>
      <c r="L2180" t="s">
        <v>59</v>
      </c>
      <c r="M2180">
        <v>60</v>
      </c>
      <c r="N2180" t="b">
        <v>1</v>
      </c>
      <c r="O2180">
        <v>0.6889352818371608</v>
      </c>
      <c r="P2180">
        <v>0.66265060240963858</v>
      </c>
      <c r="Q2180">
        <v>0.71739130434782605</v>
      </c>
      <c r="R2180" t="s">
        <v>60</v>
      </c>
      <c r="S2180" t="s">
        <v>4787</v>
      </c>
      <c r="T2180" t="s">
        <v>4788</v>
      </c>
      <c r="U2180" t="b">
        <v>1</v>
      </c>
      <c r="V2180" t="s">
        <v>63</v>
      </c>
      <c r="W2180">
        <v>1.9</v>
      </c>
    </row>
    <row r="2181" spans="1:23" hidden="1" x14ac:dyDescent="0.3">
      <c r="A2181" t="s">
        <v>4031</v>
      </c>
      <c r="B2181" t="s">
        <v>4032</v>
      </c>
      <c r="C2181" t="s">
        <v>30</v>
      </c>
      <c r="D2181" t="s">
        <v>24</v>
      </c>
      <c r="E2181" t="s">
        <v>25</v>
      </c>
      <c r="F2181" t="s">
        <v>54</v>
      </c>
      <c r="G2181" t="s">
        <v>154</v>
      </c>
      <c r="H2181" t="s">
        <v>56</v>
      </c>
      <c r="I2181" t="s">
        <v>7</v>
      </c>
      <c r="J2181" t="s">
        <v>155</v>
      </c>
      <c r="K2181" t="s">
        <v>156</v>
      </c>
      <c r="L2181" t="s">
        <v>59</v>
      </c>
      <c r="M2181">
        <v>61</v>
      </c>
      <c r="N2181" t="b">
        <v>1</v>
      </c>
      <c r="O2181">
        <v>0.71269487750556781</v>
      </c>
      <c r="P2181">
        <v>0.73059360730593603</v>
      </c>
      <c r="Q2181">
        <v>0.69565217391304346</v>
      </c>
      <c r="R2181" t="s">
        <v>60</v>
      </c>
      <c r="S2181" t="s">
        <v>4789</v>
      </c>
      <c r="T2181" t="s">
        <v>4790</v>
      </c>
      <c r="U2181" t="b">
        <v>1</v>
      </c>
      <c r="V2181" t="s">
        <v>63</v>
      </c>
      <c r="W2181">
        <v>1.9</v>
      </c>
    </row>
    <row r="2182" spans="1:23" hidden="1" x14ac:dyDescent="0.3">
      <c r="A2182" t="s">
        <v>4031</v>
      </c>
      <c r="B2182" t="s">
        <v>4032</v>
      </c>
      <c r="C2182" t="s">
        <v>30</v>
      </c>
      <c r="D2182" t="s">
        <v>24</v>
      </c>
      <c r="E2182" t="s">
        <v>25</v>
      </c>
      <c r="F2182" t="s">
        <v>54</v>
      </c>
      <c r="G2182" t="s">
        <v>159</v>
      </c>
      <c r="H2182" t="s">
        <v>160</v>
      </c>
      <c r="I2182" t="s">
        <v>3</v>
      </c>
      <c r="J2182" t="s">
        <v>161</v>
      </c>
      <c r="K2182" t="s">
        <v>162</v>
      </c>
      <c r="L2182" t="s">
        <v>163</v>
      </c>
      <c r="M2182">
        <v>42</v>
      </c>
      <c r="N2182" t="b">
        <v>0</v>
      </c>
      <c r="O2182">
        <v>0.68</v>
      </c>
      <c r="P2182">
        <v>0.65745856353591159</v>
      </c>
      <c r="Q2182">
        <v>0.70414201183431957</v>
      </c>
      <c r="R2182" t="s">
        <v>60</v>
      </c>
      <c r="S2182" t="s">
        <v>4791</v>
      </c>
      <c r="T2182" t="s">
        <v>4792</v>
      </c>
      <c r="U2182" t="b">
        <v>1</v>
      </c>
      <c r="V2182" t="s">
        <v>63</v>
      </c>
      <c r="W2182">
        <v>1.8</v>
      </c>
    </row>
    <row r="2183" spans="1:23" hidden="1" x14ac:dyDescent="0.3">
      <c r="A2183" t="s">
        <v>4031</v>
      </c>
      <c r="B2183" t="s">
        <v>4032</v>
      </c>
      <c r="C2183" t="s">
        <v>30</v>
      </c>
      <c r="D2183" t="s">
        <v>24</v>
      </c>
      <c r="E2183" t="s">
        <v>25</v>
      </c>
      <c r="F2183" t="s">
        <v>54</v>
      </c>
      <c r="G2183" t="s">
        <v>166</v>
      </c>
      <c r="H2183" t="s">
        <v>160</v>
      </c>
      <c r="I2183" t="s">
        <v>3</v>
      </c>
      <c r="J2183" t="s">
        <v>167</v>
      </c>
      <c r="K2183" t="s">
        <v>168</v>
      </c>
      <c r="L2183" t="s">
        <v>163</v>
      </c>
      <c r="M2183">
        <v>43</v>
      </c>
      <c r="N2183" t="b">
        <v>0</v>
      </c>
      <c r="O2183">
        <v>0.70391061452513959</v>
      </c>
      <c r="P2183">
        <v>0.66666666666666663</v>
      </c>
      <c r="Q2183">
        <v>0.74556213017751483</v>
      </c>
      <c r="R2183" t="s">
        <v>60</v>
      </c>
      <c r="S2183" t="s">
        <v>4793</v>
      </c>
      <c r="T2183" t="s">
        <v>4794</v>
      </c>
      <c r="U2183" t="b">
        <v>1</v>
      </c>
      <c r="V2183" t="s">
        <v>63</v>
      </c>
      <c r="W2183">
        <v>2.2000000000000002</v>
      </c>
    </row>
    <row r="2184" spans="1:23" hidden="1" x14ac:dyDescent="0.3">
      <c r="A2184" t="s">
        <v>4031</v>
      </c>
      <c r="B2184" t="s">
        <v>4032</v>
      </c>
      <c r="C2184" t="s">
        <v>30</v>
      </c>
      <c r="D2184" t="s">
        <v>24</v>
      </c>
      <c r="E2184" t="s">
        <v>25</v>
      </c>
      <c r="F2184" t="s">
        <v>54</v>
      </c>
      <c r="G2184" t="s">
        <v>171</v>
      </c>
      <c r="H2184" t="s">
        <v>160</v>
      </c>
      <c r="I2184" t="s">
        <v>3</v>
      </c>
      <c r="J2184" t="s">
        <v>172</v>
      </c>
      <c r="K2184" t="s">
        <v>173</v>
      </c>
      <c r="L2184" t="s">
        <v>163</v>
      </c>
      <c r="M2184">
        <v>44</v>
      </c>
      <c r="N2184" t="b">
        <v>0</v>
      </c>
      <c r="O2184">
        <v>0.72159090909090917</v>
      </c>
      <c r="P2184">
        <v>0.69398907103825136</v>
      </c>
      <c r="Q2184">
        <v>0.75147928994082835</v>
      </c>
      <c r="R2184" t="s">
        <v>60</v>
      </c>
      <c r="S2184" t="s">
        <v>4795</v>
      </c>
      <c r="T2184" t="s">
        <v>4796</v>
      </c>
      <c r="U2184" t="b">
        <v>1</v>
      </c>
      <c r="V2184" t="s">
        <v>63</v>
      </c>
      <c r="W2184">
        <v>1.8</v>
      </c>
    </row>
    <row r="2185" spans="1:23" hidden="1" x14ac:dyDescent="0.3">
      <c r="A2185" t="s">
        <v>4031</v>
      </c>
      <c r="B2185" t="s">
        <v>4032</v>
      </c>
      <c r="C2185" t="s">
        <v>30</v>
      </c>
      <c r="D2185" t="s">
        <v>24</v>
      </c>
      <c r="E2185" t="s">
        <v>25</v>
      </c>
      <c r="F2185" t="s">
        <v>54</v>
      </c>
      <c r="G2185" t="s">
        <v>176</v>
      </c>
      <c r="H2185" t="s">
        <v>160</v>
      </c>
      <c r="I2185" t="s">
        <v>3</v>
      </c>
      <c r="J2185" t="s">
        <v>177</v>
      </c>
      <c r="K2185" t="s">
        <v>178</v>
      </c>
      <c r="L2185" t="s">
        <v>163</v>
      </c>
      <c r="M2185">
        <v>45</v>
      </c>
      <c r="N2185" t="b">
        <v>0</v>
      </c>
      <c r="O2185">
        <v>0.69080779944289694</v>
      </c>
      <c r="P2185">
        <v>0.65263157894736845</v>
      </c>
      <c r="Q2185">
        <v>0.73372781065088755</v>
      </c>
      <c r="R2185" t="s">
        <v>60</v>
      </c>
      <c r="S2185" t="s">
        <v>4797</v>
      </c>
      <c r="T2185" t="s">
        <v>4798</v>
      </c>
      <c r="U2185" t="b">
        <v>1</v>
      </c>
      <c r="V2185" t="s">
        <v>63</v>
      </c>
      <c r="W2185">
        <v>1.7</v>
      </c>
    </row>
    <row r="2186" spans="1:23" hidden="1" x14ac:dyDescent="0.3">
      <c r="A2186" t="s">
        <v>4031</v>
      </c>
      <c r="B2186" t="s">
        <v>4032</v>
      </c>
      <c r="C2186" t="s">
        <v>30</v>
      </c>
      <c r="D2186" t="s">
        <v>24</v>
      </c>
      <c r="E2186" t="s">
        <v>25</v>
      </c>
      <c r="F2186" t="s">
        <v>54</v>
      </c>
      <c r="G2186" t="s">
        <v>181</v>
      </c>
      <c r="H2186" t="s">
        <v>160</v>
      </c>
      <c r="I2186" t="s">
        <v>3</v>
      </c>
      <c r="J2186" t="s">
        <v>182</v>
      </c>
      <c r="K2186" t="s">
        <v>183</v>
      </c>
      <c r="L2186" t="s">
        <v>163</v>
      </c>
      <c r="M2186">
        <v>46</v>
      </c>
      <c r="N2186" t="b">
        <v>0</v>
      </c>
      <c r="O2186">
        <v>0.69740634005763691</v>
      </c>
      <c r="P2186">
        <v>0.6797752808988764</v>
      </c>
      <c r="Q2186">
        <v>0.71597633136094674</v>
      </c>
      <c r="R2186" t="s">
        <v>60</v>
      </c>
      <c r="S2186" t="s">
        <v>4799</v>
      </c>
      <c r="T2186" t="s">
        <v>4800</v>
      </c>
      <c r="U2186" t="b">
        <v>1</v>
      </c>
      <c r="V2186" t="s">
        <v>63</v>
      </c>
      <c r="W2186">
        <v>2.2000000000000002</v>
      </c>
    </row>
    <row r="2187" spans="1:23" hidden="1" x14ac:dyDescent="0.3">
      <c r="A2187" t="s">
        <v>4031</v>
      </c>
      <c r="B2187" t="s">
        <v>4032</v>
      </c>
      <c r="C2187" t="s">
        <v>30</v>
      </c>
      <c r="D2187" t="s">
        <v>24</v>
      </c>
      <c r="E2187" t="s">
        <v>25</v>
      </c>
      <c r="F2187" t="s">
        <v>54</v>
      </c>
      <c r="G2187" t="s">
        <v>186</v>
      </c>
      <c r="H2187" t="s">
        <v>160</v>
      </c>
      <c r="I2187" t="s">
        <v>3</v>
      </c>
      <c r="J2187" t="s">
        <v>187</v>
      </c>
      <c r="K2187" t="s">
        <v>188</v>
      </c>
      <c r="L2187" t="s">
        <v>163</v>
      </c>
      <c r="M2187">
        <v>47</v>
      </c>
      <c r="N2187" t="b">
        <v>0</v>
      </c>
      <c r="O2187">
        <v>0.69540229885057459</v>
      </c>
      <c r="P2187">
        <v>0.67597765363128492</v>
      </c>
      <c r="Q2187">
        <v>0.71597633136094674</v>
      </c>
      <c r="R2187" t="s">
        <v>60</v>
      </c>
      <c r="S2187" t="s">
        <v>4801</v>
      </c>
      <c r="T2187" t="s">
        <v>4802</v>
      </c>
      <c r="U2187" t="b">
        <v>1</v>
      </c>
      <c r="V2187" t="s">
        <v>63</v>
      </c>
      <c r="W2187">
        <v>1.7</v>
      </c>
    </row>
    <row r="2188" spans="1:23" hidden="1" x14ac:dyDescent="0.3">
      <c r="A2188" t="s">
        <v>4031</v>
      </c>
      <c r="B2188" t="s">
        <v>4032</v>
      </c>
      <c r="C2188" t="s">
        <v>30</v>
      </c>
      <c r="D2188" t="s">
        <v>24</v>
      </c>
      <c r="E2188" t="s">
        <v>25</v>
      </c>
      <c r="F2188" t="s">
        <v>54</v>
      </c>
      <c r="G2188" t="s">
        <v>191</v>
      </c>
      <c r="H2188" t="s">
        <v>160</v>
      </c>
      <c r="I2188" t="s">
        <v>3</v>
      </c>
      <c r="J2188" t="s">
        <v>192</v>
      </c>
      <c r="K2188" t="s">
        <v>193</v>
      </c>
      <c r="L2188" t="s">
        <v>163</v>
      </c>
      <c r="M2188">
        <v>48</v>
      </c>
      <c r="N2188" t="b">
        <v>0</v>
      </c>
      <c r="O2188">
        <v>0.72112676056338021</v>
      </c>
      <c r="P2188">
        <v>0.68817204301075274</v>
      </c>
      <c r="Q2188">
        <v>0.75739644970414199</v>
      </c>
      <c r="R2188" t="s">
        <v>60</v>
      </c>
      <c r="S2188" t="s">
        <v>4803</v>
      </c>
      <c r="T2188" t="s">
        <v>4804</v>
      </c>
      <c r="U2188" t="b">
        <v>1</v>
      </c>
      <c r="V2188" t="s">
        <v>63</v>
      </c>
      <c r="W2188">
        <v>1.8</v>
      </c>
    </row>
    <row r="2189" spans="1:23" hidden="1" x14ac:dyDescent="0.3">
      <c r="A2189" t="s">
        <v>4031</v>
      </c>
      <c r="B2189" t="s">
        <v>4032</v>
      </c>
      <c r="C2189" t="s">
        <v>30</v>
      </c>
      <c r="D2189" t="s">
        <v>24</v>
      </c>
      <c r="E2189" t="s">
        <v>25</v>
      </c>
      <c r="F2189" t="s">
        <v>54</v>
      </c>
      <c r="G2189" t="s">
        <v>196</v>
      </c>
      <c r="H2189" t="s">
        <v>160</v>
      </c>
      <c r="I2189" t="s">
        <v>3</v>
      </c>
      <c r="J2189" t="s">
        <v>197</v>
      </c>
      <c r="K2189" t="s">
        <v>198</v>
      </c>
      <c r="L2189" t="s">
        <v>163</v>
      </c>
      <c r="M2189">
        <v>49</v>
      </c>
      <c r="N2189" t="b">
        <v>0</v>
      </c>
      <c r="O2189">
        <v>0.74052478134110788</v>
      </c>
      <c r="P2189">
        <v>0.72988505747126442</v>
      </c>
      <c r="Q2189">
        <v>0.75147928994082835</v>
      </c>
      <c r="R2189" t="s">
        <v>60</v>
      </c>
      <c r="S2189" t="s">
        <v>4805</v>
      </c>
      <c r="T2189" t="s">
        <v>4806</v>
      </c>
      <c r="U2189" t="b">
        <v>1</v>
      </c>
      <c r="V2189" t="s">
        <v>63</v>
      </c>
      <c r="W2189">
        <v>1.9</v>
      </c>
    </row>
    <row r="2190" spans="1:23" hidden="1" x14ac:dyDescent="0.3">
      <c r="A2190" t="s">
        <v>4031</v>
      </c>
      <c r="B2190" t="s">
        <v>4032</v>
      </c>
      <c r="C2190" t="s">
        <v>30</v>
      </c>
      <c r="D2190" t="s">
        <v>24</v>
      </c>
      <c r="E2190" t="s">
        <v>25</v>
      </c>
      <c r="F2190" t="s">
        <v>54</v>
      </c>
      <c r="G2190" t="s">
        <v>201</v>
      </c>
      <c r="H2190" t="s">
        <v>160</v>
      </c>
      <c r="I2190" t="s">
        <v>3</v>
      </c>
      <c r="J2190" t="s">
        <v>202</v>
      </c>
      <c r="K2190" t="s">
        <v>203</v>
      </c>
      <c r="L2190" t="s">
        <v>163</v>
      </c>
      <c r="M2190">
        <v>50</v>
      </c>
      <c r="N2190" t="b">
        <v>0</v>
      </c>
      <c r="O2190">
        <v>0.72046109510086453</v>
      </c>
      <c r="P2190">
        <v>0.702247191011236</v>
      </c>
      <c r="Q2190">
        <v>0.73964497041420119</v>
      </c>
      <c r="R2190" t="s">
        <v>60</v>
      </c>
      <c r="S2190" t="s">
        <v>4807</v>
      </c>
      <c r="T2190" t="s">
        <v>4808</v>
      </c>
      <c r="U2190" t="b">
        <v>1</v>
      </c>
      <c r="V2190" t="s">
        <v>63</v>
      </c>
      <c r="W2190">
        <v>2.1</v>
      </c>
    </row>
    <row r="2191" spans="1:23" hidden="1" x14ac:dyDescent="0.3">
      <c r="A2191" t="s">
        <v>4031</v>
      </c>
      <c r="B2191" t="s">
        <v>4032</v>
      </c>
      <c r="C2191" t="s">
        <v>30</v>
      </c>
      <c r="D2191" t="s">
        <v>24</v>
      </c>
      <c r="E2191" t="s">
        <v>25</v>
      </c>
      <c r="F2191" t="s">
        <v>54</v>
      </c>
      <c r="G2191" t="s">
        <v>206</v>
      </c>
      <c r="H2191" t="s">
        <v>160</v>
      </c>
      <c r="I2191" t="s">
        <v>3</v>
      </c>
      <c r="J2191" t="s">
        <v>207</v>
      </c>
      <c r="K2191" t="s">
        <v>208</v>
      </c>
      <c r="L2191" t="s">
        <v>163</v>
      </c>
      <c r="M2191">
        <v>51</v>
      </c>
      <c r="N2191" t="b">
        <v>0</v>
      </c>
      <c r="O2191">
        <v>0.7176470588235293</v>
      </c>
      <c r="P2191">
        <v>0.71345029239766078</v>
      </c>
      <c r="Q2191">
        <v>0.72189349112426038</v>
      </c>
      <c r="R2191" t="s">
        <v>60</v>
      </c>
      <c r="S2191" t="s">
        <v>4809</v>
      </c>
      <c r="T2191" t="s">
        <v>4810</v>
      </c>
      <c r="U2191" t="b">
        <v>1</v>
      </c>
      <c r="V2191" t="s">
        <v>63</v>
      </c>
      <c r="W2191">
        <v>1.9</v>
      </c>
    </row>
    <row r="2192" spans="1:23" hidden="1" x14ac:dyDescent="0.3">
      <c r="A2192" t="s">
        <v>4031</v>
      </c>
      <c r="B2192" t="s">
        <v>4032</v>
      </c>
      <c r="C2192" t="s">
        <v>30</v>
      </c>
      <c r="D2192" t="s">
        <v>24</v>
      </c>
      <c r="E2192" t="s">
        <v>25</v>
      </c>
      <c r="F2192" t="s">
        <v>54</v>
      </c>
      <c r="G2192" t="s">
        <v>211</v>
      </c>
      <c r="H2192" t="s">
        <v>160</v>
      </c>
      <c r="I2192" t="s">
        <v>3</v>
      </c>
      <c r="J2192" t="s">
        <v>212</v>
      </c>
      <c r="K2192" t="s">
        <v>213</v>
      </c>
      <c r="L2192" t="s">
        <v>163</v>
      </c>
      <c r="M2192">
        <v>52</v>
      </c>
      <c r="N2192" t="b">
        <v>0</v>
      </c>
      <c r="O2192">
        <v>0.70348837209302317</v>
      </c>
      <c r="P2192">
        <v>0.69142857142857139</v>
      </c>
      <c r="Q2192">
        <v>0.71597633136094674</v>
      </c>
      <c r="R2192" t="s">
        <v>60</v>
      </c>
      <c r="S2192" t="s">
        <v>4811</v>
      </c>
      <c r="T2192" t="s">
        <v>4812</v>
      </c>
      <c r="U2192" t="b">
        <v>1</v>
      </c>
      <c r="V2192" t="s">
        <v>63</v>
      </c>
      <c r="W2192">
        <v>2.7</v>
      </c>
    </row>
    <row r="2193" spans="1:23" hidden="1" x14ac:dyDescent="0.3">
      <c r="A2193" t="s">
        <v>4031</v>
      </c>
      <c r="B2193" t="s">
        <v>4032</v>
      </c>
      <c r="C2193" t="s">
        <v>30</v>
      </c>
      <c r="D2193" t="s">
        <v>24</v>
      </c>
      <c r="E2193" t="s">
        <v>25</v>
      </c>
      <c r="F2193" t="s">
        <v>54</v>
      </c>
      <c r="G2193" t="s">
        <v>216</v>
      </c>
      <c r="H2193" t="s">
        <v>160</v>
      </c>
      <c r="I2193" t="s">
        <v>3</v>
      </c>
      <c r="J2193" t="s">
        <v>217</v>
      </c>
      <c r="K2193" t="s">
        <v>218</v>
      </c>
      <c r="L2193" t="s">
        <v>163</v>
      </c>
      <c r="M2193">
        <v>53</v>
      </c>
      <c r="N2193" t="b">
        <v>0</v>
      </c>
      <c r="O2193">
        <v>0.72881355932203384</v>
      </c>
      <c r="P2193">
        <v>0.69729729729729728</v>
      </c>
      <c r="Q2193">
        <v>0.76331360946745563</v>
      </c>
      <c r="R2193" t="s">
        <v>60</v>
      </c>
      <c r="S2193" t="s">
        <v>4813</v>
      </c>
      <c r="T2193" t="s">
        <v>4814</v>
      </c>
      <c r="U2193" t="b">
        <v>1</v>
      </c>
      <c r="V2193" t="s">
        <v>63</v>
      </c>
      <c r="W2193">
        <v>2.1</v>
      </c>
    </row>
    <row r="2194" spans="1:23" hidden="1" x14ac:dyDescent="0.3">
      <c r="A2194" t="s">
        <v>4031</v>
      </c>
      <c r="B2194" t="s">
        <v>4032</v>
      </c>
      <c r="C2194" t="s">
        <v>30</v>
      </c>
      <c r="D2194" t="s">
        <v>24</v>
      </c>
      <c r="E2194" t="s">
        <v>25</v>
      </c>
      <c r="F2194" t="s">
        <v>54</v>
      </c>
      <c r="G2194" t="s">
        <v>221</v>
      </c>
      <c r="H2194" t="s">
        <v>160</v>
      </c>
      <c r="I2194" t="s">
        <v>3</v>
      </c>
      <c r="J2194" t="s">
        <v>222</v>
      </c>
      <c r="K2194" t="s">
        <v>223</v>
      </c>
      <c r="L2194" t="s">
        <v>163</v>
      </c>
      <c r="M2194">
        <v>54</v>
      </c>
      <c r="N2194" t="b">
        <v>0</v>
      </c>
      <c r="O2194">
        <v>0.70555555555555549</v>
      </c>
      <c r="P2194">
        <v>0.66492146596858637</v>
      </c>
      <c r="Q2194">
        <v>0.75147928994082835</v>
      </c>
      <c r="R2194" t="s">
        <v>60</v>
      </c>
      <c r="S2194" t="s">
        <v>4815</v>
      </c>
      <c r="T2194" t="s">
        <v>4816</v>
      </c>
      <c r="U2194" t="b">
        <v>1</v>
      </c>
      <c r="V2194" t="s">
        <v>63</v>
      </c>
      <c r="W2194">
        <v>1.7</v>
      </c>
    </row>
    <row r="2195" spans="1:23" hidden="1" x14ac:dyDescent="0.3">
      <c r="A2195" t="s">
        <v>4031</v>
      </c>
      <c r="B2195" t="s">
        <v>4032</v>
      </c>
      <c r="C2195" t="s">
        <v>30</v>
      </c>
      <c r="D2195" t="s">
        <v>24</v>
      </c>
      <c r="E2195" t="s">
        <v>25</v>
      </c>
      <c r="F2195" t="s">
        <v>54</v>
      </c>
      <c r="G2195" t="s">
        <v>226</v>
      </c>
      <c r="H2195" t="s">
        <v>160</v>
      </c>
      <c r="I2195" t="s">
        <v>3</v>
      </c>
      <c r="J2195" t="s">
        <v>227</v>
      </c>
      <c r="K2195" t="s">
        <v>228</v>
      </c>
      <c r="L2195" t="s">
        <v>163</v>
      </c>
      <c r="M2195">
        <v>55</v>
      </c>
      <c r="N2195" t="b">
        <v>0</v>
      </c>
      <c r="O2195">
        <v>0.73654390934844194</v>
      </c>
      <c r="P2195">
        <v>0.70652173913043481</v>
      </c>
      <c r="Q2195">
        <v>0.76923076923076927</v>
      </c>
      <c r="R2195" t="s">
        <v>60</v>
      </c>
      <c r="S2195" t="s">
        <v>4817</v>
      </c>
      <c r="T2195" t="s">
        <v>4818</v>
      </c>
      <c r="U2195" t="b">
        <v>1</v>
      </c>
      <c r="V2195" t="s">
        <v>63</v>
      </c>
      <c r="W2195">
        <v>1.7</v>
      </c>
    </row>
    <row r="2196" spans="1:23" hidden="1" x14ac:dyDescent="0.3">
      <c r="A2196" t="s">
        <v>4031</v>
      </c>
      <c r="B2196" t="s">
        <v>4032</v>
      </c>
      <c r="C2196" t="s">
        <v>30</v>
      </c>
      <c r="D2196" t="s">
        <v>24</v>
      </c>
      <c r="E2196" t="s">
        <v>25</v>
      </c>
      <c r="F2196" t="s">
        <v>54</v>
      </c>
      <c r="G2196" t="s">
        <v>231</v>
      </c>
      <c r="H2196" t="s">
        <v>160</v>
      </c>
      <c r="I2196" t="s">
        <v>3</v>
      </c>
      <c r="J2196" t="s">
        <v>232</v>
      </c>
      <c r="K2196" t="s">
        <v>233</v>
      </c>
      <c r="L2196" t="s">
        <v>163</v>
      </c>
      <c r="M2196">
        <v>56</v>
      </c>
      <c r="N2196" t="b">
        <v>0</v>
      </c>
      <c r="O2196">
        <v>0.72413793103448276</v>
      </c>
      <c r="P2196">
        <v>0.7039106145251397</v>
      </c>
      <c r="Q2196">
        <v>0.74556213017751483</v>
      </c>
      <c r="R2196" t="s">
        <v>60</v>
      </c>
      <c r="S2196" t="s">
        <v>4819</v>
      </c>
      <c r="T2196" t="s">
        <v>4820</v>
      </c>
      <c r="U2196" t="b">
        <v>1</v>
      </c>
      <c r="V2196" t="s">
        <v>63</v>
      </c>
      <c r="W2196">
        <v>1.7</v>
      </c>
    </row>
    <row r="2197" spans="1:23" hidden="1" x14ac:dyDescent="0.3">
      <c r="A2197" t="s">
        <v>4031</v>
      </c>
      <c r="B2197" t="s">
        <v>4032</v>
      </c>
      <c r="C2197" t="s">
        <v>30</v>
      </c>
      <c r="D2197" t="s">
        <v>24</v>
      </c>
      <c r="E2197" t="s">
        <v>25</v>
      </c>
      <c r="F2197" t="s">
        <v>54</v>
      </c>
      <c r="G2197" t="s">
        <v>236</v>
      </c>
      <c r="H2197" t="s">
        <v>160</v>
      </c>
      <c r="I2197" t="s">
        <v>3</v>
      </c>
      <c r="J2197" t="s">
        <v>237</v>
      </c>
      <c r="K2197" t="s">
        <v>238</v>
      </c>
      <c r="L2197" t="s">
        <v>163</v>
      </c>
      <c r="M2197">
        <v>57</v>
      </c>
      <c r="N2197" t="b">
        <v>0</v>
      </c>
      <c r="O2197">
        <v>0.68923076923076931</v>
      </c>
      <c r="P2197">
        <v>0.71794871794871795</v>
      </c>
      <c r="Q2197">
        <v>0.66272189349112431</v>
      </c>
      <c r="R2197" t="s">
        <v>60</v>
      </c>
      <c r="S2197" t="s">
        <v>4821</v>
      </c>
      <c r="T2197" t="s">
        <v>4822</v>
      </c>
      <c r="U2197" t="b">
        <v>1</v>
      </c>
      <c r="V2197" t="s">
        <v>63</v>
      </c>
      <c r="W2197">
        <v>2.2000000000000002</v>
      </c>
    </row>
    <row r="2198" spans="1:23" hidden="1" x14ac:dyDescent="0.3">
      <c r="A2198" t="s">
        <v>4031</v>
      </c>
      <c r="B2198" t="s">
        <v>4032</v>
      </c>
      <c r="C2198" t="s">
        <v>30</v>
      </c>
      <c r="D2198" t="s">
        <v>24</v>
      </c>
      <c r="E2198" t="s">
        <v>25</v>
      </c>
      <c r="F2198" t="s">
        <v>54</v>
      </c>
      <c r="G2198" t="s">
        <v>241</v>
      </c>
      <c r="H2198" t="s">
        <v>160</v>
      </c>
      <c r="I2198" t="s">
        <v>3</v>
      </c>
      <c r="J2198" t="s">
        <v>242</v>
      </c>
      <c r="K2198" t="s">
        <v>243</v>
      </c>
      <c r="L2198" t="s">
        <v>163</v>
      </c>
      <c r="M2198">
        <v>58</v>
      </c>
      <c r="N2198" t="b">
        <v>0</v>
      </c>
      <c r="O2198">
        <v>0.6647887323943662</v>
      </c>
      <c r="P2198">
        <v>0.63440860215053763</v>
      </c>
      <c r="Q2198">
        <v>0.69822485207100593</v>
      </c>
      <c r="R2198" t="s">
        <v>60</v>
      </c>
      <c r="S2198" t="s">
        <v>4823</v>
      </c>
      <c r="T2198" t="s">
        <v>4824</v>
      </c>
      <c r="U2198" t="b">
        <v>1</v>
      </c>
      <c r="V2198" t="s">
        <v>63</v>
      </c>
      <c r="W2198">
        <v>1.8</v>
      </c>
    </row>
    <row r="2199" spans="1:23" hidden="1" x14ac:dyDescent="0.3">
      <c r="A2199" t="s">
        <v>4031</v>
      </c>
      <c r="B2199" t="s">
        <v>4032</v>
      </c>
      <c r="C2199" t="s">
        <v>30</v>
      </c>
      <c r="D2199" t="s">
        <v>24</v>
      </c>
      <c r="E2199" t="s">
        <v>25</v>
      </c>
      <c r="F2199" t="s">
        <v>54</v>
      </c>
      <c r="G2199" t="s">
        <v>246</v>
      </c>
      <c r="H2199" t="s">
        <v>160</v>
      </c>
      <c r="I2199" t="s">
        <v>3</v>
      </c>
      <c r="J2199" t="s">
        <v>247</v>
      </c>
      <c r="K2199" t="s">
        <v>248</v>
      </c>
      <c r="L2199" t="s">
        <v>163</v>
      </c>
      <c r="M2199">
        <v>59</v>
      </c>
      <c r="N2199" t="b">
        <v>0</v>
      </c>
      <c r="O2199">
        <v>0.71511627906976749</v>
      </c>
      <c r="P2199">
        <v>0.70285714285714285</v>
      </c>
      <c r="Q2199">
        <v>0.72781065088757402</v>
      </c>
      <c r="R2199" t="s">
        <v>60</v>
      </c>
      <c r="S2199" t="s">
        <v>4825</v>
      </c>
      <c r="T2199" t="s">
        <v>4826</v>
      </c>
      <c r="U2199" t="b">
        <v>1</v>
      </c>
      <c r="V2199" t="s">
        <v>63</v>
      </c>
      <c r="W2199">
        <v>1.7</v>
      </c>
    </row>
    <row r="2200" spans="1:23" hidden="1" x14ac:dyDescent="0.3">
      <c r="A2200" t="s">
        <v>4031</v>
      </c>
      <c r="B2200" t="s">
        <v>4032</v>
      </c>
      <c r="C2200" t="s">
        <v>30</v>
      </c>
      <c r="D2200" t="s">
        <v>24</v>
      </c>
      <c r="E2200" t="s">
        <v>25</v>
      </c>
      <c r="F2200" t="s">
        <v>54</v>
      </c>
      <c r="G2200" t="s">
        <v>251</v>
      </c>
      <c r="H2200" t="s">
        <v>160</v>
      </c>
      <c r="I2200" t="s">
        <v>3</v>
      </c>
      <c r="J2200" t="s">
        <v>252</v>
      </c>
      <c r="K2200" t="s">
        <v>253</v>
      </c>
      <c r="L2200" t="s">
        <v>163</v>
      </c>
      <c r="M2200">
        <v>60</v>
      </c>
      <c r="N2200" t="b">
        <v>0</v>
      </c>
      <c r="O2200">
        <v>0.68555240793201133</v>
      </c>
      <c r="P2200">
        <v>0.65760869565217395</v>
      </c>
      <c r="Q2200">
        <v>0.71597633136094674</v>
      </c>
      <c r="R2200" t="s">
        <v>60</v>
      </c>
      <c r="S2200" t="s">
        <v>4827</v>
      </c>
      <c r="T2200" t="s">
        <v>4828</v>
      </c>
      <c r="U2200" t="b">
        <v>1</v>
      </c>
      <c r="V2200" t="s">
        <v>63</v>
      </c>
      <c r="W2200">
        <v>2.1</v>
      </c>
    </row>
    <row r="2201" spans="1:23" hidden="1" x14ac:dyDescent="0.3">
      <c r="A2201" t="s">
        <v>4031</v>
      </c>
      <c r="B2201" t="s">
        <v>4032</v>
      </c>
      <c r="C2201" t="s">
        <v>30</v>
      </c>
      <c r="D2201" t="s">
        <v>24</v>
      </c>
      <c r="E2201" t="s">
        <v>25</v>
      </c>
      <c r="F2201" t="s">
        <v>54</v>
      </c>
      <c r="G2201" t="s">
        <v>256</v>
      </c>
      <c r="H2201" t="s">
        <v>160</v>
      </c>
      <c r="I2201" t="s">
        <v>3</v>
      </c>
      <c r="J2201" t="s">
        <v>257</v>
      </c>
      <c r="K2201" t="s">
        <v>258</v>
      </c>
      <c r="L2201" t="s">
        <v>163</v>
      </c>
      <c r="M2201">
        <v>61</v>
      </c>
      <c r="N2201" t="b">
        <v>0</v>
      </c>
      <c r="O2201">
        <v>0.75218658892128287</v>
      </c>
      <c r="P2201">
        <v>0.74137931034482762</v>
      </c>
      <c r="Q2201">
        <v>0.76331360946745563</v>
      </c>
      <c r="R2201" t="s">
        <v>60</v>
      </c>
      <c r="S2201" t="s">
        <v>4829</v>
      </c>
      <c r="T2201" t="s">
        <v>4830</v>
      </c>
      <c r="U2201" t="b">
        <v>1</v>
      </c>
      <c r="V2201" t="s">
        <v>63</v>
      </c>
      <c r="W2201">
        <v>1.7</v>
      </c>
    </row>
    <row r="2202" spans="1:23" hidden="1" x14ac:dyDescent="0.3">
      <c r="A2202" t="s">
        <v>4031</v>
      </c>
      <c r="B2202" t="s">
        <v>4032</v>
      </c>
      <c r="C2202" t="s">
        <v>30</v>
      </c>
      <c r="D2202" t="s">
        <v>24</v>
      </c>
      <c r="E2202" t="s">
        <v>25</v>
      </c>
      <c r="F2202" t="s">
        <v>54</v>
      </c>
      <c r="G2202" t="s">
        <v>261</v>
      </c>
      <c r="H2202" t="s">
        <v>262</v>
      </c>
      <c r="I2202" t="s">
        <v>5</v>
      </c>
      <c r="J2202" t="s">
        <v>263</v>
      </c>
      <c r="K2202" t="s">
        <v>264</v>
      </c>
      <c r="L2202" t="s">
        <v>265</v>
      </c>
      <c r="M2202">
        <v>42</v>
      </c>
      <c r="N2202" t="b">
        <v>0</v>
      </c>
      <c r="O2202">
        <v>0.68845315904139437</v>
      </c>
      <c r="P2202">
        <v>0.66666666666666663</v>
      </c>
      <c r="Q2202">
        <v>0.71171171171171166</v>
      </c>
      <c r="R2202" t="s">
        <v>60</v>
      </c>
      <c r="S2202" t="s">
        <v>4831</v>
      </c>
      <c r="T2202" t="s">
        <v>4832</v>
      </c>
      <c r="U2202" t="b">
        <v>1</v>
      </c>
      <c r="V2202" t="s">
        <v>63</v>
      </c>
      <c r="W2202">
        <v>1.8</v>
      </c>
    </row>
    <row r="2203" spans="1:23" hidden="1" x14ac:dyDescent="0.3">
      <c r="A2203" t="s">
        <v>4031</v>
      </c>
      <c r="B2203" t="s">
        <v>4032</v>
      </c>
      <c r="C2203" t="s">
        <v>30</v>
      </c>
      <c r="D2203" t="s">
        <v>24</v>
      </c>
      <c r="E2203" t="s">
        <v>25</v>
      </c>
      <c r="F2203" t="s">
        <v>54</v>
      </c>
      <c r="G2203" t="s">
        <v>268</v>
      </c>
      <c r="H2203" t="s">
        <v>262</v>
      </c>
      <c r="I2203" t="s">
        <v>5</v>
      </c>
      <c r="J2203" t="s">
        <v>269</v>
      </c>
      <c r="K2203" t="s">
        <v>270</v>
      </c>
      <c r="L2203" t="s">
        <v>265</v>
      </c>
      <c r="M2203">
        <v>43</v>
      </c>
      <c r="N2203" t="b">
        <v>0</v>
      </c>
      <c r="O2203">
        <v>0.66978922716627631</v>
      </c>
      <c r="P2203">
        <v>0.69756097560975605</v>
      </c>
      <c r="Q2203">
        <v>0.64414414414414412</v>
      </c>
      <c r="R2203" t="s">
        <v>60</v>
      </c>
      <c r="S2203" t="s">
        <v>4833</v>
      </c>
      <c r="T2203" t="s">
        <v>4834</v>
      </c>
      <c r="U2203" t="b">
        <v>1</v>
      </c>
      <c r="V2203" t="s">
        <v>63</v>
      </c>
      <c r="W2203">
        <v>2.2999999999999998</v>
      </c>
    </row>
    <row r="2204" spans="1:23" hidden="1" x14ac:dyDescent="0.3">
      <c r="A2204" t="s">
        <v>4031</v>
      </c>
      <c r="B2204" t="s">
        <v>4032</v>
      </c>
      <c r="C2204" t="s">
        <v>30</v>
      </c>
      <c r="D2204" t="s">
        <v>24</v>
      </c>
      <c r="E2204" t="s">
        <v>25</v>
      </c>
      <c r="F2204" t="s">
        <v>54</v>
      </c>
      <c r="G2204" t="s">
        <v>273</v>
      </c>
      <c r="H2204" t="s">
        <v>262</v>
      </c>
      <c r="I2204" t="s">
        <v>5</v>
      </c>
      <c r="J2204" t="s">
        <v>274</v>
      </c>
      <c r="K2204" t="s">
        <v>275</v>
      </c>
      <c r="L2204" t="s">
        <v>265</v>
      </c>
      <c r="M2204">
        <v>44</v>
      </c>
      <c r="N2204" t="b">
        <v>0</v>
      </c>
      <c r="O2204">
        <v>0.70588235294117652</v>
      </c>
      <c r="P2204">
        <v>0.70909090909090911</v>
      </c>
      <c r="Q2204">
        <v>0.70270270270270274</v>
      </c>
      <c r="R2204" t="s">
        <v>60</v>
      </c>
      <c r="S2204" t="s">
        <v>4835</v>
      </c>
      <c r="T2204" t="s">
        <v>4836</v>
      </c>
      <c r="U2204" t="b">
        <v>1</v>
      </c>
      <c r="V2204" t="s">
        <v>63</v>
      </c>
      <c r="W2204">
        <v>1.9</v>
      </c>
    </row>
    <row r="2205" spans="1:23" hidden="1" x14ac:dyDescent="0.3">
      <c r="A2205" t="s">
        <v>4031</v>
      </c>
      <c r="B2205" t="s">
        <v>4032</v>
      </c>
      <c r="C2205" t="s">
        <v>30</v>
      </c>
      <c r="D2205" t="s">
        <v>24</v>
      </c>
      <c r="E2205" t="s">
        <v>25</v>
      </c>
      <c r="F2205" t="s">
        <v>54</v>
      </c>
      <c r="G2205" t="s">
        <v>278</v>
      </c>
      <c r="H2205" t="s">
        <v>262</v>
      </c>
      <c r="I2205" t="s">
        <v>5</v>
      </c>
      <c r="J2205" t="s">
        <v>279</v>
      </c>
      <c r="K2205" t="s">
        <v>280</v>
      </c>
      <c r="L2205" t="s">
        <v>265</v>
      </c>
      <c r="M2205">
        <v>45</v>
      </c>
      <c r="N2205" t="b">
        <v>0</v>
      </c>
      <c r="O2205">
        <v>0.72850678733031671</v>
      </c>
      <c r="P2205">
        <v>0.73181818181818181</v>
      </c>
      <c r="Q2205">
        <v>0.72522522522522526</v>
      </c>
      <c r="R2205" t="s">
        <v>60</v>
      </c>
      <c r="S2205" t="s">
        <v>4837</v>
      </c>
      <c r="T2205" t="s">
        <v>4838</v>
      </c>
      <c r="U2205" t="b">
        <v>1</v>
      </c>
      <c r="V2205" t="s">
        <v>63</v>
      </c>
      <c r="W2205">
        <v>1.9</v>
      </c>
    </row>
    <row r="2206" spans="1:23" hidden="1" x14ac:dyDescent="0.3">
      <c r="A2206" t="s">
        <v>4031</v>
      </c>
      <c r="B2206" t="s">
        <v>4032</v>
      </c>
      <c r="C2206" t="s">
        <v>30</v>
      </c>
      <c r="D2206" t="s">
        <v>24</v>
      </c>
      <c r="E2206" t="s">
        <v>25</v>
      </c>
      <c r="F2206" t="s">
        <v>54</v>
      </c>
      <c r="G2206" t="s">
        <v>283</v>
      </c>
      <c r="H2206" t="s">
        <v>262</v>
      </c>
      <c r="I2206" t="s">
        <v>5</v>
      </c>
      <c r="J2206" t="s">
        <v>284</v>
      </c>
      <c r="K2206" t="s">
        <v>285</v>
      </c>
      <c r="L2206" t="s">
        <v>265</v>
      </c>
      <c r="M2206">
        <v>46</v>
      </c>
      <c r="N2206" t="b">
        <v>0</v>
      </c>
      <c r="O2206">
        <v>0.72444444444444445</v>
      </c>
      <c r="P2206">
        <v>0.71491228070175439</v>
      </c>
      <c r="Q2206">
        <v>0.73423423423423428</v>
      </c>
      <c r="R2206" t="s">
        <v>60</v>
      </c>
      <c r="S2206" t="s">
        <v>4839</v>
      </c>
      <c r="T2206" t="s">
        <v>4840</v>
      </c>
      <c r="U2206" t="b">
        <v>1</v>
      </c>
      <c r="V2206" t="s">
        <v>63</v>
      </c>
      <c r="W2206">
        <v>2.4</v>
      </c>
    </row>
    <row r="2207" spans="1:23" hidden="1" x14ac:dyDescent="0.3">
      <c r="A2207" t="s">
        <v>4031</v>
      </c>
      <c r="B2207" t="s">
        <v>4032</v>
      </c>
      <c r="C2207" t="s">
        <v>30</v>
      </c>
      <c r="D2207" t="s">
        <v>24</v>
      </c>
      <c r="E2207" t="s">
        <v>25</v>
      </c>
      <c r="F2207" t="s">
        <v>54</v>
      </c>
      <c r="G2207" t="s">
        <v>288</v>
      </c>
      <c r="H2207" t="s">
        <v>262</v>
      </c>
      <c r="I2207" t="s">
        <v>5</v>
      </c>
      <c r="J2207" t="s">
        <v>289</v>
      </c>
      <c r="K2207" t="s">
        <v>290</v>
      </c>
      <c r="L2207" t="s">
        <v>265</v>
      </c>
      <c r="M2207">
        <v>47</v>
      </c>
      <c r="N2207" t="b">
        <v>0</v>
      </c>
      <c r="O2207">
        <v>0.72483221476510074</v>
      </c>
      <c r="P2207">
        <v>0.72</v>
      </c>
      <c r="Q2207">
        <v>0.72972972972972971</v>
      </c>
      <c r="R2207" t="s">
        <v>60</v>
      </c>
      <c r="S2207" t="s">
        <v>4841</v>
      </c>
      <c r="T2207" t="s">
        <v>4842</v>
      </c>
      <c r="U2207" t="b">
        <v>1</v>
      </c>
      <c r="V2207" t="s">
        <v>63</v>
      </c>
      <c r="W2207">
        <v>1.9</v>
      </c>
    </row>
    <row r="2208" spans="1:23" hidden="1" x14ac:dyDescent="0.3">
      <c r="A2208" t="s">
        <v>4031</v>
      </c>
      <c r="B2208" t="s">
        <v>4032</v>
      </c>
      <c r="C2208" t="s">
        <v>30</v>
      </c>
      <c r="D2208" t="s">
        <v>24</v>
      </c>
      <c r="E2208" t="s">
        <v>25</v>
      </c>
      <c r="F2208" t="s">
        <v>54</v>
      </c>
      <c r="G2208" t="s">
        <v>293</v>
      </c>
      <c r="H2208" t="s">
        <v>262</v>
      </c>
      <c r="I2208" t="s">
        <v>5</v>
      </c>
      <c r="J2208" t="s">
        <v>294</v>
      </c>
      <c r="K2208" t="s">
        <v>295</v>
      </c>
      <c r="L2208" t="s">
        <v>265</v>
      </c>
      <c r="M2208">
        <v>48</v>
      </c>
      <c r="N2208" t="b">
        <v>0</v>
      </c>
      <c r="O2208">
        <v>0.66512702078521957</v>
      </c>
      <c r="P2208">
        <v>0.68246445497630337</v>
      </c>
      <c r="Q2208">
        <v>0.64864864864864868</v>
      </c>
      <c r="R2208" t="s">
        <v>60</v>
      </c>
      <c r="S2208" t="s">
        <v>4843</v>
      </c>
      <c r="T2208" t="s">
        <v>4844</v>
      </c>
      <c r="U2208" t="b">
        <v>1</v>
      </c>
      <c r="V2208" t="s">
        <v>63</v>
      </c>
      <c r="W2208">
        <v>1.9</v>
      </c>
    </row>
    <row r="2209" spans="1:23" hidden="1" x14ac:dyDescent="0.3">
      <c r="A2209" t="s">
        <v>4031</v>
      </c>
      <c r="B2209" t="s">
        <v>4032</v>
      </c>
      <c r="C2209" t="s">
        <v>30</v>
      </c>
      <c r="D2209" t="s">
        <v>24</v>
      </c>
      <c r="E2209" t="s">
        <v>25</v>
      </c>
      <c r="F2209" t="s">
        <v>54</v>
      </c>
      <c r="G2209" t="s">
        <v>298</v>
      </c>
      <c r="H2209" t="s">
        <v>262</v>
      </c>
      <c r="I2209" t="s">
        <v>5</v>
      </c>
      <c r="J2209" t="s">
        <v>299</v>
      </c>
      <c r="K2209" t="s">
        <v>300</v>
      </c>
      <c r="L2209" t="s">
        <v>265</v>
      </c>
      <c r="M2209">
        <v>49</v>
      </c>
      <c r="N2209" t="b">
        <v>0</v>
      </c>
      <c r="O2209">
        <v>0.71269487750556804</v>
      </c>
      <c r="P2209">
        <v>0.70484581497797361</v>
      </c>
      <c r="Q2209">
        <v>0.72072072072072069</v>
      </c>
      <c r="R2209" t="s">
        <v>60</v>
      </c>
      <c r="S2209" t="s">
        <v>4845</v>
      </c>
      <c r="T2209" t="s">
        <v>4846</v>
      </c>
      <c r="U2209" t="b">
        <v>1</v>
      </c>
      <c r="V2209" t="s">
        <v>63</v>
      </c>
      <c r="W2209">
        <v>2.2000000000000002</v>
      </c>
    </row>
    <row r="2210" spans="1:23" hidden="1" x14ac:dyDescent="0.3">
      <c r="A2210" t="s">
        <v>4031</v>
      </c>
      <c r="B2210" t="s">
        <v>4032</v>
      </c>
      <c r="C2210" t="s">
        <v>30</v>
      </c>
      <c r="D2210" t="s">
        <v>24</v>
      </c>
      <c r="E2210" t="s">
        <v>25</v>
      </c>
      <c r="F2210" t="s">
        <v>54</v>
      </c>
      <c r="G2210" t="s">
        <v>303</v>
      </c>
      <c r="H2210" t="s">
        <v>262</v>
      </c>
      <c r="I2210" t="s">
        <v>5</v>
      </c>
      <c r="J2210" t="s">
        <v>304</v>
      </c>
      <c r="K2210" t="s">
        <v>305</v>
      </c>
      <c r="L2210" t="s">
        <v>265</v>
      </c>
      <c r="M2210">
        <v>50</v>
      </c>
      <c r="N2210" t="b">
        <v>0</v>
      </c>
      <c r="O2210">
        <v>0.71783295711060946</v>
      </c>
      <c r="P2210">
        <v>0.71945701357466063</v>
      </c>
      <c r="Q2210">
        <v>0.71621621621621623</v>
      </c>
      <c r="R2210" t="s">
        <v>60</v>
      </c>
      <c r="S2210" t="s">
        <v>4847</v>
      </c>
      <c r="T2210" t="s">
        <v>4848</v>
      </c>
      <c r="U2210" t="b">
        <v>1</v>
      </c>
      <c r="V2210" t="s">
        <v>63</v>
      </c>
      <c r="W2210">
        <v>2</v>
      </c>
    </row>
    <row r="2211" spans="1:23" hidden="1" x14ac:dyDescent="0.3">
      <c r="A2211" t="s">
        <v>4031</v>
      </c>
      <c r="B2211" t="s">
        <v>4032</v>
      </c>
      <c r="C2211" t="s">
        <v>30</v>
      </c>
      <c r="D2211" t="s">
        <v>24</v>
      </c>
      <c r="E2211" t="s">
        <v>25</v>
      </c>
      <c r="F2211" t="s">
        <v>54</v>
      </c>
      <c r="G2211" t="s">
        <v>308</v>
      </c>
      <c r="H2211" t="s">
        <v>262</v>
      </c>
      <c r="I2211" t="s">
        <v>5</v>
      </c>
      <c r="J2211" t="s">
        <v>309</v>
      </c>
      <c r="K2211" t="s">
        <v>310</v>
      </c>
      <c r="L2211" t="s">
        <v>265</v>
      </c>
      <c r="M2211">
        <v>51</v>
      </c>
      <c r="N2211" t="b">
        <v>0</v>
      </c>
      <c r="O2211">
        <v>0.7256235827664399</v>
      </c>
      <c r="P2211">
        <v>0.73059360730593603</v>
      </c>
      <c r="Q2211">
        <v>0.72072072072072069</v>
      </c>
      <c r="R2211" t="s">
        <v>60</v>
      </c>
      <c r="S2211" t="s">
        <v>4849</v>
      </c>
      <c r="T2211" t="s">
        <v>4850</v>
      </c>
      <c r="U2211" t="b">
        <v>1</v>
      </c>
      <c r="V2211" t="s">
        <v>63</v>
      </c>
      <c r="W2211">
        <v>2.2000000000000002</v>
      </c>
    </row>
    <row r="2212" spans="1:23" hidden="1" x14ac:dyDescent="0.3">
      <c r="A2212" t="s">
        <v>4031</v>
      </c>
      <c r="B2212" t="s">
        <v>4032</v>
      </c>
      <c r="C2212" t="s">
        <v>30</v>
      </c>
      <c r="D2212" t="s">
        <v>24</v>
      </c>
      <c r="E2212" t="s">
        <v>25</v>
      </c>
      <c r="F2212" t="s">
        <v>54</v>
      </c>
      <c r="G2212" t="s">
        <v>313</v>
      </c>
      <c r="H2212" t="s">
        <v>262</v>
      </c>
      <c r="I2212" t="s">
        <v>5</v>
      </c>
      <c r="J2212" t="s">
        <v>314</v>
      </c>
      <c r="K2212" t="s">
        <v>315</v>
      </c>
      <c r="L2212" t="s">
        <v>265</v>
      </c>
      <c r="M2212">
        <v>52</v>
      </c>
      <c r="N2212" t="b">
        <v>0</v>
      </c>
      <c r="O2212">
        <v>0.69162995594713661</v>
      </c>
      <c r="P2212">
        <v>0.67672413793103448</v>
      </c>
      <c r="Q2212">
        <v>0.7072072072072072</v>
      </c>
      <c r="R2212" t="s">
        <v>60</v>
      </c>
      <c r="S2212" t="s">
        <v>4851</v>
      </c>
      <c r="T2212" t="s">
        <v>4852</v>
      </c>
      <c r="U2212" t="b">
        <v>1</v>
      </c>
      <c r="V2212" t="s">
        <v>63</v>
      </c>
      <c r="W2212">
        <v>2.2999999999999998</v>
      </c>
    </row>
    <row r="2213" spans="1:23" hidden="1" x14ac:dyDescent="0.3">
      <c r="A2213" t="s">
        <v>4031</v>
      </c>
      <c r="B2213" t="s">
        <v>4032</v>
      </c>
      <c r="C2213" t="s">
        <v>30</v>
      </c>
      <c r="D2213" t="s">
        <v>24</v>
      </c>
      <c r="E2213" t="s">
        <v>25</v>
      </c>
      <c r="F2213" t="s">
        <v>54</v>
      </c>
      <c r="G2213" t="s">
        <v>318</v>
      </c>
      <c r="H2213" t="s">
        <v>262</v>
      </c>
      <c r="I2213" t="s">
        <v>5</v>
      </c>
      <c r="J2213" t="s">
        <v>319</v>
      </c>
      <c r="K2213" t="s">
        <v>320</v>
      </c>
      <c r="L2213" t="s">
        <v>265</v>
      </c>
      <c r="M2213">
        <v>53</v>
      </c>
      <c r="N2213" t="b">
        <v>0</v>
      </c>
      <c r="O2213">
        <v>0.7155555555555555</v>
      </c>
      <c r="P2213">
        <v>0.70614035087719296</v>
      </c>
      <c r="Q2213">
        <v>0.72522522522522526</v>
      </c>
      <c r="R2213" t="s">
        <v>60</v>
      </c>
      <c r="S2213" t="s">
        <v>4853</v>
      </c>
      <c r="T2213" t="s">
        <v>4854</v>
      </c>
      <c r="U2213" t="b">
        <v>1</v>
      </c>
      <c r="V2213" t="s">
        <v>63</v>
      </c>
      <c r="W2213">
        <v>1.9</v>
      </c>
    </row>
    <row r="2214" spans="1:23" hidden="1" x14ac:dyDescent="0.3">
      <c r="A2214" t="s">
        <v>4031</v>
      </c>
      <c r="B2214" t="s">
        <v>4032</v>
      </c>
      <c r="C2214" t="s">
        <v>30</v>
      </c>
      <c r="D2214" t="s">
        <v>24</v>
      </c>
      <c r="E2214" t="s">
        <v>25</v>
      </c>
      <c r="F2214" t="s">
        <v>54</v>
      </c>
      <c r="G2214" t="s">
        <v>323</v>
      </c>
      <c r="H2214" t="s">
        <v>262</v>
      </c>
      <c r="I2214" t="s">
        <v>5</v>
      </c>
      <c r="J2214" t="s">
        <v>324</v>
      </c>
      <c r="K2214" t="s">
        <v>325</v>
      </c>
      <c r="L2214" t="s">
        <v>265</v>
      </c>
      <c r="M2214">
        <v>54</v>
      </c>
      <c r="N2214" t="b">
        <v>0</v>
      </c>
      <c r="O2214">
        <v>0.68822170900692847</v>
      </c>
      <c r="P2214">
        <v>0.70616113744075826</v>
      </c>
      <c r="Q2214">
        <v>0.6711711711711712</v>
      </c>
      <c r="R2214" t="s">
        <v>60</v>
      </c>
      <c r="S2214" t="s">
        <v>4855</v>
      </c>
      <c r="T2214" t="s">
        <v>4856</v>
      </c>
      <c r="U2214" t="b">
        <v>1</v>
      </c>
      <c r="V2214" t="s">
        <v>63</v>
      </c>
      <c r="W2214">
        <v>1.9</v>
      </c>
    </row>
    <row r="2215" spans="1:23" hidden="1" x14ac:dyDescent="0.3">
      <c r="A2215" t="s">
        <v>4031</v>
      </c>
      <c r="B2215" t="s">
        <v>4032</v>
      </c>
      <c r="C2215" t="s">
        <v>30</v>
      </c>
      <c r="D2215" t="s">
        <v>24</v>
      </c>
      <c r="E2215" t="s">
        <v>25</v>
      </c>
      <c r="F2215" t="s">
        <v>54</v>
      </c>
      <c r="G2215" t="s">
        <v>328</v>
      </c>
      <c r="H2215" t="s">
        <v>262</v>
      </c>
      <c r="I2215" t="s">
        <v>5</v>
      </c>
      <c r="J2215" t="s">
        <v>329</v>
      </c>
      <c r="K2215" t="s">
        <v>330</v>
      </c>
      <c r="L2215" t="s">
        <v>265</v>
      </c>
      <c r="M2215">
        <v>55</v>
      </c>
      <c r="N2215" t="b">
        <v>0</v>
      </c>
      <c r="O2215">
        <v>0.71491228070175439</v>
      </c>
      <c r="P2215">
        <v>0.69658119658119655</v>
      </c>
      <c r="Q2215">
        <v>0.73423423423423428</v>
      </c>
      <c r="R2215" t="s">
        <v>60</v>
      </c>
      <c r="S2215" t="s">
        <v>4857</v>
      </c>
      <c r="T2215" t="s">
        <v>4858</v>
      </c>
      <c r="U2215" t="b">
        <v>1</v>
      </c>
      <c r="V2215" t="s">
        <v>63</v>
      </c>
      <c r="W2215">
        <v>2.4</v>
      </c>
    </row>
    <row r="2216" spans="1:23" hidden="1" x14ac:dyDescent="0.3">
      <c r="A2216" t="s">
        <v>4031</v>
      </c>
      <c r="B2216" t="s">
        <v>4032</v>
      </c>
      <c r="C2216" t="s">
        <v>30</v>
      </c>
      <c r="D2216" t="s">
        <v>24</v>
      </c>
      <c r="E2216" t="s">
        <v>25</v>
      </c>
      <c r="F2216" t="s">
        <v>54</v>
      </c>
      <c r="G2216" t="s">
        <v>333</v>
      </c>
      <c r="H2216" t="s">
        <v>262</v>
      </c>
      <c r="I2216" t="s">
        <v>5</v>
      </c>
      <c r="J2216" t="s">
        <v>334</v>
      </c>
      <c r="K2216" t="s">
        <v>335</v>
      </c>
      <c r="L2216" t="s">
        <v>265</v>
      </c>
      <c r="M2216">
        <v>56</v>
      </c>
      <c r="N2216" t="b">
        <v>0</v>
      </c>
      <c r="O2216">
        <v>0.7053571428571429</v>
      </c>
      <c r="P2216">
        <v>0.69911504424778759</v>
      </c>
      <c r="Q2216">
        <v>0.71171171171171166</v>
      </c>
      <c r="R2216" t="s">
        <v>60</v>
      </c>
      <c r="S2216" t="s">
        <v>4859</v>
      </c>
      <c r="T2216" t="s">
        <v>4860</v>
      </c>
      <c r="U2216" t="b">
        <v>1</v>
      </c>
      <c r="V2216" t="s">
        <v>63</v>
      </c>
      <c r="W2216">
        <v>1.9</v>
      </c>
    </row>
    <row r="2217" spans="1:23" hidden="1" x14ac:dyDescent="0.3">
      <c r="A2217" t="s">
        <v>4031</v>
      </c>
      <c r="B2217" t="s">
        <v>4032</v>
      </c>
      <c r="C2217" t="s">
        <v>30</v>
      </c>
      <c r="D2217" t="s">
        <v>24</v>
      </c>
      <c r="E2217" t="s">
        <v>25</v>
      </c>
      <c r="F2217" t="s">
        <v>54</v>
      </c>
      <c r="G2217" t="s">
        <v>338</v>
      </c>
      <c r="H2217" t="s">
        <v>262</v>
      </c>
      <c r="I2217" t="s">
        <v>5</v>
      </c>
      <c r="J2217" t="s">
        <v>339</v>
      </c>
      <c r="K2217" t="s">
        <v>340</v>
      </c>
      <c r="L2217" t="s">
        <v>265</v>
      </c>
      <c r="M2217">
        <v>57</v>
      </c>
      <c r="N2217" t="b">
        <v>0</v>
      </c>
      <c r="O2217">
        <v>0.68151447661469933</v>
      </c>
      <c r="P2217">
        <v>0.67400881057268724</v>
      </c>
      <c r="Q2217">
        <v>0.68918918918918914</v>
      </c>
      <c r="R2217" t="s">
        <v>60</v>
      </c>
      <c r="S2217" t="s">
        <v>4861</v>
      </c>
      <c r="T2217" t="s">
        <v>4862</v>
      </c>
      <c r="U2217" t="b">
        <v>1</v>
      </c>
      <c r="V2217" t="s">
        <v>63</v>
      </c>
      <c r="W2217">
        <v>2.1</v>
      </c>
    </row>
    <row r="2218" spans="1:23" hidden="1" x14ac:dyDescent="0.3">
      <c r="A2218" t="s">
        <v>4031</v>
      </c>
      <c r="B2218" t="s">
        <v>4032</v>
      </c>
      <c r="C2218" t="s">
        <v>30</v>
      </c>
      <c r="D2218" t="s">
        <v>24</v>
      </c>
      <c r="E2218" t="s">
        <v>25</v>
      </c>
      <c r="F2218" t="s">
        <v>54</v>
      </c>
      <c r="G2218" t="s">
        <v>343</v>
      </c>
      <c r="H2218" t="s">
        <v>262</v>
      </c>
      <c r="I2218" t="s">
        <v>5</v>
      </c>
      <c r="J2218" t="s">
        <v>344</v>
      </c>
      <c r="K2218" t="s">
        <v>345</v>
      </c>
      <c r="L2218" t="s">
        <v>265</v>
      </c>
      <c r="M2218">
        <v>58</v>
      </c>
      <c r="N2218" t="b">
        <v>0</v>
      </c>
      <c r="O2218">
        <v>0.67123287671232879</v>
      </c>
      <c r="P2218">
        <v>0.68055555555555558</v>
      </c>
      <c r="Q2218">
        <v>0.66216216216216217</v>
      </c>
      <c r="R2218" t="s">
        <v>60</v>
      </c>
      <c r="S2218" t="s">
        <v>4863</v>
      </c>
      <c r="T2218" t="s">
        <v>4864</v>
      </c>
      <c r="U2218" t="b">
        <v>1</v>
      </c>
      <c r="V2218" t="s">
        <v>63</v>
      </c>
      <c r="W2218">
        <v>2.2000000000000002</v>
      </c>
    </row>
    <row r="2219" spans="1:23" hidden="1" x14ac:dyDescent="0.3">
      <c r="A2219" t="s">
        <v>4031</v>
      </c>
      <c r="B2219" t="s">
        <v>4032</v>
      </c>
      <c r="C2219" t="s">
        <v>30</v>
      </c>
      <c r="D2219" t="s">
        <v>24</v>
      </c>
      <c r="E2219" t="s">
        <v>25</v>
      </c>
      <c r="F2219" t="s">
        <v>54</v>
      </c>
      <c r="G2219" t="s">
        <v>348</v>
      </c>
      <c r="H2219" t="s">
        <v>262</v>
      </c>
      <c r="I2219" t="s">
        <v>5</v>
      </c>
      <c r="J2219" t="s">
        <v>349</v>
      </c>
      <c r="K2219" t="s">
        <v>350</v>
      </c>
      <c r="L2219" t="s">
        <v>265</v>
      </c>
      <c r="M2219">
        <v>59</v>
      </c>
      <c r="N2219" t="b">
        <v>0</v>
      </c>
      <c r="O2219">
        <v>0.69469026548672563</v>
      </c>
      <c r="P2219">
        <v>0.68260869565217386</v>
      </c>
      <c r="Q2219">
        <v>0.7072072072072072</v>
      </c>
      <c r="R2219" t="s">
        <v>60</v>
      </c>
      <c r="S2219" t="s">
        <v>4865</v>
      </c>
      <c r="T2219" t="s">
        <v>4866</v>
      </c>
      <c r="U2219" t="b">
        <v>1</v>
      </c>
      <c r="V2219" t="s">
        <v>63</v>
      </c>
      <c r="W2219">
        <v>2.1</v>
      </c>
    </row>
    <row r="2220" spans="1:23" hidden="1" x14ac:dyDescent="0.3">
      <c r="A2220" t="s">
        <v>4031</v>
      </c>
      <c r="B2220" t="s">
        <v>4032</v>
      </c>
      <c r="C2220" t="s">
        <v>30</v>
      </c>
      <c r="D2220" t="s">
        <v>24</v>
      </c>
      <c r="E2220" t="s">
        <v>25</v>
      </c>
      <c r="F2220" t="s">
        <v>54</v>
      </c>
      <c r="G2220" t="s">
        <v>353</v>
      </c>
      <c r="H2220" t="s">
        <v>262</v>
      </c>
      <c r="I2220" t="s">
        <v>5</v>
      </c>
      <c r="J2220" t="s">
        <v>354</v>
      </c>
      <c r="K2220" t="s">
        <v>355</v>
      </c>
      <c r="L2220" t="s">
        <v>265</v>
      </c>
      <c r="M2220">
        <v>60</v>
      </c>
      <c r="N2220" t="b">
        <v>0</v>
      </c>
      <c r="O2220">
        <v>0.69623059866962311</v>
      </c>
      <c r="P2220">
        <v>0.68558951965065507</v>
      </c>
      <c r="Q2220">
        <v>0.7072072072072072</v>
      </c>
      <c r="R2220" t="s">
        <v>60</v>
      </c>
      <c r="S2220" t="s">
        <v>4867</v>
      </c>
      <c r="T2220" t="s">
        <v>4868</v>
      </c>
      <c r="U2220" t="b">
        <v>1</v>
      </c>
      <c r="V2220" t="s">
        <v>63</v>
      </c>
      <c r="W2220">
        <v>2</v>
      </c>
    </row>
    <row r="2221" spans="1:23" hidden="1" x14ac:dyDescent="0.3">
      <c r="A2221" t="s">
        <v>4031</v>
      </c>
      <c r="B2221" t="s">
        <v>4032</v>
      </c>
      <c r="C2221" t="s">
        <v>30</v>
      </c>
      <c r="D2221" t="s">
        <v>24</v>
      </c>
      <c r="E2221" t="s">
        <v>25</v>
      </c>
      <c r="F2221" t="s">
        <v>54</v>
      </c>
      <c r="G2221" t="s">
        <v>358</v>
      </c>
      <c r="H2221" t="s">
        <v>262</v>
      </c>
      <c r="I2221" t="s">
        <v>5</v>
      </c>
      <c r="J2221" t="s">
        <v>359</v>
      </c>
      <c r="K2221" t="s">
        <v>360</v>
      </c>
      <c r="L2221" t="s">
        <v>265</v>
      </c>
      <c r="M2221">
        <v>61</v>
      </c>
      <c r="N2221" t="b">
        <v>0</v>
      </c>
      <c r="O2221">
        <v>0.71981776765375849</v>
      </c>
      <c r="P2221">
        <v>0.72811059907834097</v>
      </c>
      <c r="Q2221">
        <v>0.71171171171171166</v>
      </c>
      <c r="R2221" t="s">
        <v>60</v>
      </c>
      <c r="S2221" t="s">
        <v>4869</v>
      </c>
      <c r="T2221" t="s">
        <v>4870</v>
      </c>
      <c r="U2221" t="b">
        <v>1</v>
      </c>
      <c r="V2221" t="s">
        <v>63</v>
      </c>
      <c r="W2221">
        <v>2.4</v>
      </c>
    </row>
    <row r="2222" spans="1:23" hidden="1" x14ac:dyDescent="0.3">
      <c r="A2222" t="s">
        <v>4031</v>
      </c>
      <c r="B2222" t="s">
        <v>4032</v>
      </c>
      <c r="C2222" t="s">
        <v>30</v>
      </c>
      <c r="D2222" t="s">
        <v>24</v>
      </c>
      <c r="E2222" t="s">
        <v>25</v>
      </c>
      <c r="F2222" t="s">
        <v>363</v>
      </c>
      <c r="G2222" t="s">
        <v>364</v>
      </c>
      <c r="H2222" t="s">
        <v>365</v>
      </c>
      <c r="I2222" t="s">
        <v>13</v>
      </c>
      <c r="J2222" t="s">
        <v>366</v>
      </c>
      <c r="K2222" t="s">
        <v>367</v>
      </c>
      <c r="L2222" t="s">
        <v>368</v>
      </c>
      <c r="M2222">
        <v>42</v>
      </c>
      <c r="N2222" t="b">
        <v>0</v>
      </c>
      <c r="O2222">
        <v>0.7899159663865547</v>
      </c>
      <c r="P2222">
        <v>0.76422764227642281</v>
      </c>
      <c r="Q2222">
        <v>0.81739130434782614</v>
      </c>
      <c r="R2222" t="s">
        <v>60</v>
      </c>
      <c r="S2222" t="s">
        <v>4871</v>
      </c>
      <c r="T2222" t="s">
        <v>4872</v>
      </c>
      <c r="U2222" t="b">
        <v>1</v>
      </c>
      <c r="V2222" t="s">
        <v>63</v>
      </c>
      <c r="W2222">
        <v>1.9</v>
      </c>
    </row>
    <row r="2223" spans="1:23" hidden="1" x14ac:dyDescent="0.3">
      <c r="A2223" t="s">
        <v>4031</v>
      </c>
      <c r="B2223" t="s">
        <v>4032</v>
      </c>
      <c r="C2223" t="s">
        <v>30</v>
      </c>
      <c r="D2223" t="s">
        <v>24</v>
      </c>
      <c r="E2223" t="s">
        <v>25</v>
      </c>
      <c r="F2223" t="s">
        <v>363</v>
      </c>
      <c r="G2223" t="s">
        <v>371</v>
      </c>
      <c r="H2223" t="s">
        <v>365</v>
      </c>
      <c r="I2223" t="s">
        <v>13</v>
      </c>
      <c r="J2223" t="s">
        <v>372</v>
      </c>
      <c r="K2223" t="s">
        <v>373</v>
      </c>
      <c r="L2223" t="s">
        <v>368</v>
      </c>
      <c r="M2223">
        <v>43</v>
      </c>
      <c r="N2223" t="b">
        <v>0</v>
      </c>
      <c r="O2223">
        <v>0.79831932773109249</v>
      </c>
      <c r="P2223">
        <v>0.77235772357723576</v>
      </c>
      <c r="Q2223">
        <v>0.82608695652173914</v>
      </c>
      <c r="R2223" t="s">
        <v>60</v>
      </c>
      <c r="S2223" t="s">
        <v>4873</v>
      </c>
      <c r="T2223" t="s">
        <v>4874</v>
      </c>
      <c r="U2223" t="b">
        <v>1</v>
      </c>
      <c r="V2223" t="s">
        <v>63</v>
      </c>
      <c r="W2223">
        <v>1.9</v>
      </c>
    </row>
    <row r="2224" spans="1:23" hidden="1" x14ac:dyDescent="0.3">
      <c r="A2224" t="s">
        <v>4031</v>
      </c>
      <c r="B2224" t="s">
        <v>4032</v>
      </c>
      <c r="C2224" t="s">
        <v>30</v>
      </c>
      <c r="D2224" t="s">
        <v>24</v>
      </c>
      <c r="E2224" t="s">
        <v>25</v>
      </c>
      <c r="F2224" t="s">
        <v>363</v>
      </c>
      <c r="G2224" t="s">
        <v>376</v>
      </c>
      <c r="H2224" t="s">
        <v>365</v>
      </c>
      <c r="I2224" t="s">
        <v>13</v>
      </c>
      <c r="J2224" t="s">
        <v>377</v>
      </c>
      <c r="K2224" t="s">
        <v>378</v>
      </c>
      <c r="L2224" t="s">
        <v>368</v>
      </c>
      <c r="M2224">
        <v>44</v>
      </c>
      <c r="N2224" t="b">
        <v>0</v>
      </c>
      <c r="O2224">
        <v>0.79166666666666674</v>
      </c>
      <c r="P2224">
        <v>0.76</v>
      </c>
      <c r="Q2224">
        <v>0.82608695652173914</v>
      </c>
      <c r="R2224" t="s">
        <v>60</v>
      </c>
      <c r="S2224" t="s">
        <v>4875</v>
      </c>
      <c r="T2224" t="s">
        <v>4876</v>
      </c>
      <c r="U2224" t="b">
        <v>1</v>
      </c>
      <c r="V2224" t="s">
        <v>63</v>
      </c>
      <c r="W2224">
        <v>2.4</v>
      </c>
    </row>
    <row r="2225" spans="1:23" hidden="1" x14ac:dyDescent="0.3">
      <c r="A2225" t="s">
        <v>4031</v>
      </c>
      <c r="B2225" t="s">
        <v>4032</v>
      </c>
      <c r="C2225" t="s">
        <v>30</v>
      </c>
      <c r="D2225" t="s">
        <v>24</v>
      </c>
      <c r="E2225" t="s">
        <v>25</v>
      </c>
      <c r="F2225" t="s">
        <v>363</v>
      </c>
      <c r="G2225" t="s">
        <v>381</v>
      </c>
      <c r="H2225" t="s">
        <v>365</v>
      </c>
      <c r="I2225" t="s">
        <v>13</v>
      </c>
      <c r="J2225" t="s">
        <v>382</v>
      </c>
      <c r="K2225" t="s">
        <v>383</v>
      </c>
      <c r="L2225" t="s">
        <v>368</v>
      </c>
      <c r="M2225">
        <v>45</v>
      </c>
      <c r="N2225" t="b">
        <v>0</v>
      </c>
      <c r="O2225">
        <v>0.78224101479915431</v>
      </c>
      <c r="P2225">
        <v>0.76131687242798352</v>
      </c>
      <c r="Q2225">
        <v>0.80434782608695654</v>
      </c>
      <c r="R2225" t="s">
        <v>60</v>
      </c>
      <c r="S2225" t="s">
        <v>4877</v>
      </c>
      <c r="T2225" t="s">
        <v>4878</v>
      </c>
      <c r="U2225" t="b">
        <v>1</v>
      </c>
      <c r="V2225" t="s">
        <v>63</v>
      </c>
      <c r="W2225">
        <v>1.9</v>
      </c>
    </row>
    <row r="2226" spans="1:23" hidden="1" x14ac:dyDescent="0.3">
      <c r="A2226" t="s">
        <v>4031</v>
      </c>
      <c r="B2226" t="s">
        <v>4032</v>
      </c>
      <c r="C2226" t="s">
        <v>30</v>
      </c>
      <c r="D2226" t="s">
        <v>24</v>
      </c>
      <c r="E2226" t="s">
        <v>25</v>
      </c>
      <c r="F2226" t="s">
        <v>363</v>
      </c>
      <c r="G2226" t="s">
        <v>386</v>
      </c>
      <c r="H2226" t="s">
        <v>365</v>
      </c>
      <c r="I2226" t="s">
        <v>13</v>
      </c>
      <c r="J2226" t="s">
        <v>387</v>
      </c>
      <c r="K2226" t="s">
        <v>388</v>
      </c>
      <c r="L2226" t="s">
        <v>368</v>
      </c>
      <c r="M2226">
        <v>46</v>
      </c>
      <c r="N2226" t="b">
        <v>0</v>
      </c>
      <c r="O2226">
        <v>0.79583333333333317</v>
      </c>
      <c r="P2226">
        <v>0.76400000000000001</v>
      </c>
      <c r="Q2226">
        <v>0.83043478260869563</v>
      </c>
      <c r="R2226" t="s">
        <v>60</v>
      </c>
      <c r="S2226" t="s">
        <v>4879</v>
      </c>
      <c r="T2226" t="s">
        <v>4880</v>
      </c>
      <c r="U2226" t="b">
        <v>1</v>
      </c>
      <c r="V2226" t="s">
        <v>63</v>
      </c>
      <c r="W2226">
        <v>1.9</v>
      </c>
    </row>
    <row r="2227" spans="1:23" hidden="1" x14ac:dyDescent="0.3">
      <c r="A2227" t="s">
        <v>4031</v>
      </c>
      <c r="B2227" t="s">
        <v>4032</v>
      </c>
      <c r="C2227" t="s">
        <v>30</v>
      </c>
      <c r="D2227" t="s">
        <v>24</v>
      </c>
      <c r="E2227" t="s">
        <v>25</v>
      </c>
      <c r="F2227" t="s">
        <v>363</v>
      </c>
      <c r="G2227" t="s">
        <v>391</v>
      </c>
      <c r="H2227" t="s">
        <v>365</v>
      </c>
      <c r="I2227" t="s">
        <v>13</v>
      </c>
      <c r="J2227" t="s">
        <v>392</v>
      </c>
      <c r="K2227" t="s">
        <v>393</v>
      </c>
      <c r="L2227" t="s">
        <v>368</v>
      </c>
      <c r="M2227">
        <v>47</v>
      </c>
      <c r="N2227" t="b">
        <v>0</v>
      </c>
      <c r="O2227">
        <v>0.78423236514522832</v>
      </c>
      <c r="P2227">
        <v>0.75</v>
      </c>
      <c r="Q2227">
        <v>0.82173913043478264</v>
      </c>
      <c r="R2227" t="s">
        <v>60</v>
      </c>
      <c r="S2227" t="s">
        <v>4881</v>
      </c>
      <c r="T2227" t="s">
        <v>4882</v>
      </c>
      <c r="U2227" t="b">
        <v>1</v>
      </c>
      <c r="V2227" t="s">
        <v>63</v>
      </c>
      <c r="W2227">
        <v>2.2999999999999998</v>
      </c>
    </row>
    <row r="2228" spans="1:23" hidden="1" x14ac:dyDescent="0.3">
      <c r="A2228" t="s">
        <v>4031</v>
      </c>
      <c r="B2228" t="s">
        <v>4032</v>
      </c>
      <c r="C2228" t="s">
        <v>30</v>
      </c>
      <c r="D2228" t="s">
        <v>24</v>
      </c>
      <c r="E2228" t="s">
        <v>25</v>
      </c>
      <c r="F2228" t="s">
        <v>363</v>
      </c>
      <c r="G2228" t="s">
        <v>396</v>
      </c>
      <c r="H2228" t="s">
        <v>365</v>
      </c>
      <c r="I2228" t="s">
        <v>13</v>
      </c>
      <c r="J2228" t="s">
        <v>397</v>
      </c>
      <c r="K2228" t="s">
        <v>398</v>
      </c>
      <c r="L2228" t="s">
        <v>368</v>
      </c>
      <c r="M2228">
        <v>48</v>
      </c>
      <c r="N2228" t="b">
        <v>0</v>
      </c>
      <c r="O2228">
        <v>0.78661087866108792</v>
      </c>
      <c r="P2228">
        <v>0.75806451612903225</v>
      </c>
      <c r="Q2228">
        <v>0.81739130434782614</v>
      </c>
      <c r="R2228" t="s">
        <v>60</v>
      </c>
      <c r="S2228" t="s">
        <v>4883</v>
      </c>
      <c r="T2228" t="s">
        <v>4884</v>
      </c>
      <c r="U2228" t="b">
        <v>1</v>
      </c>
      <c r="V2228" t="s">
        <v>63</v>
      </c>
      <c r="W2228">
        <v>1.9</v>
      </c>
    </row>
    <row r="2229" spans="1:23" hidden="1" x14ac:dyDescent="0.3">
      <c r="A2229" t="s">
        <v>4031</v>
      </c>
      <c r="B2229" t="s">
        <v>4032</v>
      </c>
      <c r="C2229" t="s">
        <v>30</v>
      </c>
      <c r="D2229" t="s">
        <v>24</v>
      </c>
      <c r="E2229" t="s">
        <v>25</v>
      </c>
      <c r="F2229" t="s">
        <v>363</v>
      </c>
      <c r="G2229" t="s">
        <v>401</v>
      </c>
      <c r="H2229" t="s">
        <v>365</v>
      </c>
      <c r="I2229" t="s">
        <v>13</v>
      </c>
      <c r="J2229" t="s">
        <v>402</v>
      </c>
      <c r="K2229" t="s">
        <v>403</v>
      </c>
      <c r="L2229" t="s">
        <v>368</v>
      </c>
      <c r="M2229">
        <v>49</v>
      </c>
      <c r="N2229" t="b">
        <v>0</v>
      </c>
      <c r="O2229">
        <v>0.78556263269639071</v>
      </c>
      <c r="P2229">
        <v>0.76763485477178428</v>
      </c>
      <c r="Q2229">
        <v>0.80434782608695654</v>
      </c>
      <c r="R2229" t="s">
        <v>60</v>
      </c>
      <c r="S2229" t="s">
        <v>4885</v>
      </c>
      <c r="T2229" t="s">
        <v>4886</v>
      </c>
      <c r="U2229" t="b">
        <v>1</v>
      </c>
      <c r="V2229" t="s">
        <v>63</v>
      </c>
      <c r="W2229">
        <v>2</v>
      </c>
    </row>
    <row r="2230" spans="1:23" hidden="1" x14ac:dyDescent="0.3">
      <c r="A2230" t="s">
        <v>4031</v>
      </c>
      <c r="B2230" t="s">
        <v>4032</v>
      </c>
      <c r="C2230" t="s">
        <v>30</v>
      </c>
      <c r="D2230" t="s">
        <v>24</v>
      </c>
      <c r="E2230" t="s">
        <v>25</v>
      </c>
      <c r="F2230" t="s">
        <v>363</v>
      </c>
      <c r="G2230" t="s">
        <v>406</v>
      </c>
      <c r="H2230" t="s">
        <v>365</v>
      </c>
      <c r="I2230" t="s">
        <v>13</v>
      </c>
      <c r="J2230" t="s">
        <v>407</v>
      </c>
      <c r="K2230" t="s">
        <v>408</v>
      </c>
      <c r="L2230" t="s">
        <v>368</v>
      </c>
      <c r="M2230">
        <v>50</v>
      </c>
      <c r="N2230" t="b">
        <v>0</v>
      </c>
      <c r="O2230">
        <v>0.77310924369747902</v>
      </c>
      <c r="P2230">
        <v>0.74796747967479671</v>
      </c>
      <c r="Q2230">
        <v>0.8</v>
      </c>
      <c r="R2230" t="s">
        <v>60</v>
      </c>
      <c r="S2230" t="s">
        <v>4887</v>
      </c>
      <c r="T2230" t="s">
        <v>4888</v>
      </c>
      <c r="U2230" t="b">
        <v>1</v>
      </c>
      <c r="V2230" t="s">
        <v>63</v>
      </c>
      <c r="W2230">
        <v>2.2000000000000002</v>
      </c>
    </row>
    <row r="2231" spans="1:23" hidden="1" x14ac:dyDescent="0.3">
      <c r="A2231" t="s">
        <v>4031</v>
      </c>
      <c r="B2231" t="s">
        <v>4032</v>
      </c>
      <c r="C2231" t="s">
        <v>30</v>
      </c>
      <c r="D2231" t="s">
        <v>24</v>
      </c>
      <c r="E2231" t="s">
        <v>25</v>
      </c>
      <c r="F2231" t="s">
        <v>363</v>
      </c>
      <c r="G2231" t="s">
        <v>411</v>
      </c>
      <c r="H2231" t="s">
        <v>365</v>
      </c>
      <c r="I2231" t="s">
        <v>13</v>
      </c>
      <c r="J2231" t="s">
        <v>412</v>
      </c>
      <c r="K2231" t="s">
        <v>413</v>
      </c>
      <c r="L2231" t="s">
        <v>368</v>
      </c>
      <c r="M2231">
        <v>51</v>
      </c>
      <c r="N2231" t="b">
        <v>0</v>
      </c>
      <c r="O2231">
        <v>0.79069767441860461</v>
      </c>
      <c r="P2231">
        <v>0.76954732510288071</v>
      </c>
      <c r="Q2231">
        <v>0.81304347826086953</v>
      </c>
      <c r="R2231" t="s">
        <v>60</v>
      </c>
      <c r="S2231" t="s">
        <v>4889</v>
      </c>
      <c r="T2231" t="s">
        <v>4890</v>
      </c>
      <c r="U2231" t="b">
        <v>1</v>
      </c>
      <c r="V2231" t="s">
        <v>63</v>
      </c>
      <c r="W2231">
        <v>2</v>
      </c>
    </row>
    <row r="2232" spans="1:23" hidden="1" x14ac:dyDescent="0.3">
      <c r="A2232" t="s">
        <v>4031</v>
      </c>
      <c r="B2232" t="s">
        <v>4032</v>
      </c>
      <c r="C2232" t="s">
        <v>30</v>
      </c>
      <c r="D2232" t="s">
        <v>24</v>
      </c>
      <c r="E2232" t="s">
        <v>25</v>
      </c>
      <c r="F2232" t="s">
        <v>363</v>
      </c>
      <c r="G2232" t="s">
        <v>416</v>
      </c>
      <c r="H2232" t="s">
        <v>365</v>
      </c>
      <c r="I2232" t="s">
        <v>13</v>
      </c>
      <c r="J2232" t="s">
        <v>417</v>
      </c>
      <c r="K2232" t="s">
        <v>418</v>
      </c>
      <c r="L2232" t="s">
        <v>368</v>
      </c>
      <c r="M2232">
        <v>52</v>
      </c>
      <c r="N2232" t="b">
        <v>0</v>
      </c>
      <c r="O2232">
        <v>0.77661795407098111</v>
      </c>
      <c r="P2232">
        <v>0.74698795180722888</v>
      </c>
      <c r="Q2232">
        <v>0.80869565217391304</v>
      </c>
      <c r="R2232" t="s">
        <v>60</v>
      </c>
      <c r="S2232" t="s">
        <v>4891</v>
      </c>
      <c r="T2232" t="s">
        <v>4892</v>
      </c>
      <c r="U2232" t="b">
        <v>1</v>
      </c>
      <c r="V2232" t="s">
        <v>63</v>
      </c>
      <c r="W2232">
        <v>1.9</v>
      </c>
    </row>
    <row r="2233" spans="1:23" hidden="1" x14ac:dyDescent="0.3">
      <c r="A2233" t="s">
        <v>4031</v>
      </c>
      <c r="B2233" t="s">
        <v>4032</v>
      </c>
      <c r="C2233" t="s">
        <v>30</v>
      </c>
      <c r="D2233" t="s">
        <v>24</v>
      </c>
      <c r="E2233" t="s">
        <v>25</v>
      </c>
      <c r="F2233" t="s">
        <v>363</v>
      </c>
      <c r="G2233" t="s">
        <v>421</v>
      </c>
      <c r="H2233" t="s">
        <v>365</v>
      </c>
      <c r="I2233" t="s">
        <v>13</v>
      </c>
      <c r="J2233" t="s">
        <v>422</v>
      </c>
      <c r="K2233" t="s">
        <v>423</v>
      </c>
      <c r="L2233" t="s">
        <v>368</v>
      </c>
      <c r="M2233">
        <v>53</v>
      </c>
      <c r="N2233" t="b">
        <v>0</v>
      </c>
      <c r="O2233">
        <v>0.74468085106382975</v>
      </c>
      <c r="P2233">
        <v>0.72916666666666663</v>
      </c>
      <c r="Q2233">
        <v>0.76086956521739135</v>
      </c>
      <c r="R2233" t="s">
        <v>60</v>
      </c>
      <c r="S2233" t="s">
        <v>4893</v>
      </c>
      <c r="T2233" t="s">
        <v>4894</v>
      </c>
      <c r="U2233" t="b">
        <v>1</v>
      </c>
      <c r="V2233" t="s">
        <v>63</v>
      </c>
      <c r="W2233">
        <v>2.2999999999999998</v>
      </c>
    </row>
    <row r="2234" spans="1:23" hidden="1" x14ac:dyDescent="0.3">
      <c r="A2234" t="s">
        <v>4031</v>
      </c>
      <c r="B2234" t="s">
        <v>4032</v>
      </c>
      <c r="C2234" t="s">
        <v>30</v>
      </c>
      <c r="D2234" t="s">
        <v>24</v>
      </c>
      <c r="E2234" t="s">
        <v>25</v>
      </c>
      <c r="F2234" t="s">
        <v>363</v>
      </c>
      <c r="G2234" t="s">
        <v>426</v>
      </c>
      <c r="H2234" t="s">
        <v>365</v>
      </c>
      <c r="I2234" t="s">
        <v>13</v>
      </c>
      <c r="J2234" t="s">
        <v>427</v>
      </c>
      <c r="K2234" t="s">
        <v>428</v>
      </c>
      <c r="L2234" t="s">
        <v>368</v>
      </c>
      <c r="M2234">
        <v>54</v>
      </c>
      <c r="N2234" t="b">
        <v>0</v>
      </c>
      <c r="O2234">
        <v>0.79833679833679827</v>
      </c>
      <c r="P2234">
        <v>0.76494023904382469</v>
      </c>
      <c r="Q2234">
        <v>0.83478260869565213</v>
      </c>
      <c r="R2234" t="s">
        <v>60</v>
      </c>
      <c r="S2234" t="s">
        <v>4895</v>
      </c>
      <c r="T2234" t="s">
        <v>4896</v>
      </c>
      <c r="U2234" t="b">
        <v>1</v>
      </c>
      <c r="V2234" t="s">
        <v>63</v>
      </c>
      <c r="W2234">
        <v>1.9</v>
      </c>
    </row>
    <row r="2235" spans="1:23" hidden="1" x14ac:dyDescent="0.3">
      <c r="A2235" t="s">
        <v>4031</v>
      </c>
      <c r="B2235" t="s">
        <v>4032</v>
      </c>
      <c r="C2235" t="s">
        <v>30</v>
      </c>
      <c r="D2235" t="s">
        <v>24</v>
      </c>
      <c r="E2235" t="s">
        <v>25</v>
      </c>
      <c r="F2235" t="s">
        <v>363</v>
      </c>
      <c r="G2235" t="s">
        <v>431</v>
      </c>
      <c r="H2235" t="s">
        <v>365</v>
      </c>
      <c r="I2235" t="s">
        <v>13</v>
      </c>
      <c r="J2235" t="s">
        <v>432</v>
      </c>
      <c r="K2235" t="s">
        <v>433</v>
      </c>
      <c r="L2235" t="s">
        <v>368</v>
      </c>
      <c r="M2235">
        <v>55</v>
      </c>
      <c r="N2235" t="b">
        <v>0</v>
      </c>
      <c r="O2235">
        <v>0.78661087866108792</v>
      </c>
      <c r="P2235">
        <v>0.75806451612903225</v>
      </c>
      <c r="Q2235">
        <v>0.81739130434782614</v>
      </c>
      <c r="R2235" t="s">
        <v>60</v>
      </c>
      <c r="S2235" t="s">
        <v>4897</v>
      </c>
      <c r="T2235" t="s">
        <v>4898</v>
      </c>
      <c r="U2235" t="b">
        <v>1</v>
      </c>
      <c r="V2235" t="s">
        <v>63</v>
      </c>
      <c r="W2235">
        <v>2.1</v>
      </c>
    </row>
    <row r="2236" spans="1:23" hidden="1" x14ac:dyDescent="0.3">
      <c r="A2236" t="s">
        <v>4031</v>
      </c>
      <c r="B2236" t="s">
        <v>4032</v>
      </c>
      <c r="C2236" t="s">
        <v>30</v>
      </c>
      <c r="D2236" t="s">
        <v>24</v>
      </c>
      <c r="E2236" t="s">
        <v>25</v>
      </c>
      <c r="F2236" t="s">
        <v>363</v>
      </c>
      <c r="G2236" t="s">
        <v>436</v>
      </c>
      <c r="H2236" t="s">
        <v>365</v>
      </c>
      <c r="I2236" t="s">
        <v>13</v>
      </c>
      <c r="J2236" t="s">
        <v>437</v>
      </c>
      <c r="K2236" t="s">
        <v>438</v>
      </c>
      <c r="L2236" t="s">
        <v>368</v>
      </c>
      <c r="M2236">
        <v>56</v>
      </c>
      <c r="N2236" t="b">
        <v>0</v>
      </c>
      <c r="O2236">
        <v>0.77083333333333326</v>
      </c>
      <c r="P2236">
        <v>0.74</v>
      </c>
      <c r="Q2236">
        <v>0.80434782608695654</v>
      </c>
      <c r="R2236" t="s">
        <v>60</v>
      </c>
      <c r="S2236" t="s">
        <v>4899</v>
      </c>
      <c r="T2236" t="s">
        <v>4900</v>
      </c>
      <c r="U2236" t="b">
        <v>1</v>
      </c>
      <c r="V2236" t="s">
        <v>63</v>
      </c>
      <c r="W2236">
        <v>2.5</v>
      </c>
    </row>
    <row r="2237" spans="1:23" hidden="1" x14ac:dyDescent="0.3">
      <c r="A2237" t="s">
        <v>4031</v>
      </c>
      <c r="B2237" t="s">
        <v>4032</v>
      </c>
      <c r="C2237" t="s">
        <v>30</v>
      </c>
      <c r="D2237" t="s">
        <v>24</v>
      </c>
      <c r="E2237" t="s">
        <v>25</v>
      </c>
      <c r="F2237" t="s">
        <v>363</v>
      </c>
      <c r="G2237" t="s">
        <v>441</v>
      </c>
      <c r="H2237" t="s">
        <v>365</v>
      </c>
      <c r="I2237" t="s">
        <v>13</v>
      </c>
      <c r="J2237" t="s">
        <v>442</v>
      </c>
      <c r="K2237" t="s">
        <v>443</v>
      </c>
      <c r="L2237" t="s">
        <v>368</v>
      </c>
      <c r="M2237">
        <v>57</v>
      </c>
      <c r="N2237" t="b">
        <v>0</v>
      </c>
      <c r="O2237">
        <v>0.77052631578947361</v>
      </c>
      <c r="P2237">
        <v>0.74693877551020404</v>
      </c>
      <c r="Q2237">
        <v>0.79565217391304344</v>
      </c>
      <c r="R2237" t="s">
        <v>60</v>
      </c>
      <c r="S2237" t="s">
        <v>4901</v>
      </c>
      <c r="T2237" t="s">
        <v>4902</v>
      </c>
      <c r="U2237" t="b">
        <v>1</v>
      </c>
      <c r="V2237" t="s">
        <v>63</v>
      </c>
      <c r="W2237">
        <v>2</v>
      </c>
    </row>
    <row r="2238" spans="1:23" hidden="1" x14ac:dyDescent="0.3">
      <c r="A2238" t="s">
        <v>4031</v>
      </c>
      <c r="B2238" t="s">
        <v>4032</v>
      </c>
      <c r="C2238" t="s">
        <v>30</v>
      </c>
      <c r="D2238" t="s">
        <v>24</v>
      </c>
      <c r="E2238" t="s">
        <v>25</v>
      </c>
      <c r="F2238" t="s">
        <v>363</v>
      </c>
      <c r="G2238" t="s">
        <v>446</v>
      </c>
      <c r="H2238" t="s">
        <v>365</v>
      </c>
      <c r="I2238" t="s">
        <v>13</v>
      </c>
      <c r="J2238" t="s">
        <v>447</v>
      </c>
      <c r="K2238" t="s">
        <v>448</v>
      </c>
      <c r="L2238" t="s">
        <v>368</v>
      </c>
      <c r="M2238">
        <v>58</v>
      </c>
      <c r="N2238" t="b">
        <v>0</v>
      </c>
      <c r="O2238">
        <v>0.80083857442348005</v>
      </c>
      <c r="P2238">
        <v>0.77327935222672062</v>
      </c>
      <c r="Q2238">
        <v>0.83043478260869563</v>
      </c>
      <c r="R2238" t="s">
        <v>60</v>
      </c>
      <c r="S2238" t="s">
        <v>4903</v>
      </c>
      <c r="T2238" t="s">
        <v>4904</v>
      </c>
      <c r="U2238" t="b">
        <v>1</v>
      </c>
      <c r="V2238" t="s">
        <v>63</v>
      </c>
      <c r="W2238">
        <v>1.9</v>
      </c>
    </row>
    <row r="2239" spans="1:23" hidden="1" x14ac:dyDescent="0.3">
      <c r="A2239" t="s">
        <v>4031</v>
      </c>
      <c r="B2239" t="s">
        <v>4032</v>
      </c>
      <c r="C2239" t="s">
        <v>30</v>
      </c>
      <c r="D2239" t="s">
        <v>24</v>
      </c>
      <c r="E2239" t="s">
        <v>25</v>
      </c>
      <c r="F2239" t="s">
        <v>363</v>
      </c>
      <c r="G2239" t="s">
        <v>451</v>
      </c>
      <c r="H2239" t="s">
        <v>365</v>
      </c>
      <c r="I2239" t="s">
        <v>13</v>
      </c>
      <c r="J2239" t="s">
        <v>452</v>
      </c>
      <c r="K2239" t="s">
        <v>453</v>
      </c>
      <c r="L2239" t="s">
        <v>368</v>
      </c>
      <c r="M2239">
        <v>59</v>
      </c>
      <c r="N2239" t="b">
        <v>0</v>
      </c>
      <c r="O2239">
        <v>0.79245283018867918</v>
      </c>
      <c r="P2239">
        <v>0.76518218623481782</v>
      </c>
      <c r="Q2239">
        <v>0.82173913043478264</v>
      </c>
      <c r="R2239" t="s">
        <v>60</v>
      </c>
      <c r="S2239" t="s">
        <v>4905</v>
      </c>
      <c r="T2239" t="s">
        <v>4906</v>
      </c>
      <c r="U2239" t="b">
        <v>1</v>
      </c>
      <c r="V2239" t="s">
        <v>63</v>
      </c>
      <c r="W2239">
        <v>2.2000000000000002</v>
      </c>
    </row>
    <row r="2240" spans="1:23" hidden="1" x14ac:dyDescent="0.3">
      <c r="A2240" t="s">
        <v>4031</v>
      </c>
      <c r="B2240" t="s">
        <v>4032</v>
      </c>
      <c r="C2240" t="s">
        <v>30</v>
      </c>
      <c r="D2240" t="s">
        <v>24</v>
      </c>
      <c r="E2240" t="s">
        <v>25</v>
      </c>
      <c r="F2240" t="s">
        <v>363</v>
      </c>
      <c r="G2240" t="s">
        <v>456</v>
      </c>
      <c r="H2240" t="s">
        <v>365</v>
      </c>
      <c r="I2240" t="s">
        <v>13</v>
      </c>
      <c r="J2240" t="s">
        <v>457</v>
      </c>
      <c r="K2240" t="s">
        <v>458</v>
      </c>
      <c r="L2240" t="s">
        <v>368</v>
      </c>
      <c r="M2240">
        <v>60</v>
      </c>
      <c r="N2240" t="b">
        <v>0</v>
      </c>
      <c r="O2240">
        <v>0.78813559322033888</v>
      </c>
      <c r="P2240">
        <v>0.76859504132231404</v>
      </c>
      <c r="Q2240">
        <v>0.80869565217391304</v>
      </c>
      <c r="R2240" t="s">
        <v>60</v>
      </c>
      <c r="S2240" t="s">
        <v>4907</v>
      </c>
      <c r="T2240" t="s">
        <v>4908</v>
      </c>
      <c r="U2240" t="b">
        <v>1</v>
      </c>
      <c r="V2240" t="s">
        <v>63</v>
      </c>
      <c r="W2240">
        <v>2</v>
      </c>
    </row>
    <row r="2241" spans="1:23" hidden="1" x14ac:dyDescent="0.3">
      <c r="A2241" t="s">
        <v>4031</v>
      </c>
      <c r="B2241" t="s">
        <v>4032</v>
      </c>
      <c r="C2241" t="s">
        <v>30</v>
      </c>
      <c r="D2241" t="s">
        <v>24</v>
      </c>
      <c r="E2241" t="s">
        <v>25</v>
      </c>
      <c r="F2241" t="s">
        <v>363</v>
      </c>
      <c r="G2241" t="s">
        <v>461</v>
      </c>
      <c r="H2241" t="s">
        <v>365</v>
      </c>
      <c r="I2241" t="s">
        <v>13</v>
      </c>
      <c r="J2241" t="s">
        <v>462</v>
      </c>
      <c r="K2241" t="s">
        <v>463</v>
      </c>
      <c r="L2241" t="s">
        <v>368</v>
      </c>
      <c r="M2241">
        <v>61</v>
      </c>
      <c r="N2241" t="b">
        <v>0</v>
      </c>
      <c r="O2241">
        <v>0.78423236514522832</v>
      </c>
      <c r="P2241">
        <v>0.75</v>
      </c>
      <c r="Q2241">
        <v>0.82173913043478264</v>
      </c>
      <c r="R2241" t="s">
        <v>60</v>
      </c>
      <c r="S2241" t="s">
        <v>4909</v>
      </c>
      <c r="T2241" t="s">
        <v>4910</v>
      </c>
      <c r="U2241" t="b">
        <v>1</v>
      </c>
      <c r="V2241" t="s">
        <v>63</v>
      </c>
      <c r="W2241">
        <v>2.1</v>
      </c>
    </row>
    <row r="2242" spans="1:23" hidden="1" x14ac:dyDescent="0.3">
      <c r="A2242" t="s">
        <v>4031</v>
      </c>
      <c r="B2242" t="s">
        <v>4032</v>
      </c>
      <c r="C2242" t="s">
        <v>30</v>
      </c>
      <c r="D2242" t="s">
        <v>24</v>
      </c>
      <c r="E2242" t="s">
        <v>25</v>
      </c>
      <c r="F2242" t="s">
        <v>363</v>
      </c>
      <c r="G2242" t="s">
        <v>466</v>
      </c>
      <c r="H2242" t="s">
        <v>467</v>
      </c>
      <c r="I2242" t="s">
        <v>9</v>
      </c>
      <c r="J2242" t="s">
        <v>468</v>
      </c>
      <c r="K2242" t="s">
        <v>469</v>
      </c>
      <c r="L2242" t="s">
        <v>470</v>
      </c>
      <c r="M2242">
        <v>42</v>
      </c>
      <c r="N2242" t="b">
        <v>0</v>
      </c>
      <c r="O2242">
        <v>0.79338842975206614</v>
      </c>
      <c r="P2242">
        <v>0.74226804123711343</v>
      </c>
      <c r="Q2242">
        <v>0.85207100591715978</v>
      </c>
      <c r="R2242" t="s">
        <v>60</v>
      </c>
      <c r="S2242" t="s">
        <v>4911</v>
      </c>
      <c r="T2242" t="s">
        <v>4912</v>
      </c>
      <c r="U2242" t="b">
        <v>1</v>
      </c>
      <c r="V2242" t="s">
        <v>63</v>
      </c>
      <c r="W2242">
        <v>2.1</v>
      </c>
    </row>
    <row r="2243" spans="1:23" hidden="1" x14ac:dyDescent="0.3">
      <c r="A2243" t="s">
        <v>4031</v>
      </c>
      <c r="B2243" t="s">
        <v>4032</v>
      </c>
      <c r="C2243" t="s">
        <v>30</v>
      </c>
      <c r="D2243" t="s">
        <v>24</v>
      </c>
      <c r="E2243" t="s">
        <v>25</v>
      </c>
      <c r="F2243" t="s">
        <v>363</v>
      </c>
      <c r="G2243" t="s">
        <v>473</v>
      </c>
      <c r="H2243" t="s">
        <v>467</v>
      </c>
      <c r="I2243" t="s">
        <v>9</v>
      </c>
      <c r="J2243" t="s">
        <v>474</v>
      </c>
      <c r="K2243" t="s">
        <v>475</v>
      </c>
      <c r="L2243" t="s">
        <v>470</v>
      </c>
      <c r="M2243">
        <v>43</v>
      </c>
      <c r="N2243" t="b">
        <v>0</v>
      </c>
      <c r="O2243">
        <v>0.81460674157303359</v>
      </c>
      <c r="P2243">
        <v>0.77540106951871657</v>
      </c>
      <c r="Q2243">
        <v>0.85798816568047342</v>
      </c>
      <c r="R2243" t="s">
        <v>60</v>
      </c>
      <c r="S2243" t="s">
        <v>4913</v>
      </c>
      <c r="T2243" t="s">
        <v>4914</v>
      </c>
      <c r="U2243" t="b">
        <v>1</v>
      </c>
      <c r="V2243" t="s">
        <v>63</v>
      </c>
      <c r="W2243">
        <v>1.7</v>
      </c>
    </row>
    <row r="2244" spans="1:23" hidden="1" x14ac:dyDescent="0.3">
      <c r="A2244" t="s">
        <v>4031</v>
      </c>
      <c r="B2244" t="s">
        <v>4032</v>
      </c>
      <c r="C2244" t="s">
        <v>30</v>
      </c>
      <c r="D2244" t="s">
        <v>24</v>
      </c>
      <c r="E2244" t="s">
        <v>25</v>
      </c>
      <c r="F2244" t="s">
        <v>363</v>
      </c>
      <c r="G2244" t="s">
        <v>478</v>
      </c>
      <c r="H2244" t="s">
        <v>467</v>
      </c>
      <c r="I2244" t="s">
        <v>9</v>
      </c>
      <c r="J2244" t="s">
        <v>479</v>
      </c>
      <c r="K2244" t="s">
        <v>480</v>
      </c>
      <c r="L2244" t="s">
        <v>470</v>
      </c>
      <c r="M2244">
        <v>44</v>
      </c>
      <c r="N2244" t="b">
        <v>0</v>
      </c>
      <c r="O2244">
        <v>0.81232492997198891</v>
      </c>
      <c r="P2244">
        <v>0.77127659574468088</v>
      </c>
      <c r="Q2244">
        <v>0.85798816568047342</v>
      </c>
      <c r="R2244" t="s">
        <v>60</v>
      </c>
      <c r="S2244" t="s">
        <v>4915</v>
      </c>
      <c r="T2244" t="s">
        <v>4916</v>
      </c>
      <c r="U2244" t="b">
        <v>1</v>
      </c>
      <c r="V2244" t="s">
        <v>63</v>
      </c>
      <c r="W2244">
        <v>1.8</v>
      </c>
    </row>
    <row r="2245" spans="1:23" hidden="1" x14ac:dyDescent="0.3">
      <c r="A2245" t="s">
        <v>4031</v>
      </c>
      <c r="B2245" t="s">
        <v>4032</v>
      </c>
      <c r="C2245" t="s">
        <v>30</v>
      </c>
      <c r="D2245" t="s">
        <v>24</v>
      </c>
      <c r="E2245" t="s">
        <v>25</v>
      </c>
      <c r="F2245" t="s">
        <v>363</v>
      </c>
      <c r="G2245" t="s">
        <v>483</v>
      </c>
      <c r="H2245" t="s">
        <v>467</v>
      </c>
      <c r="I2245" t="s">
        <v>9</v>
      </c>
      <c r="J2245" t="s">
        <v>484</v>
      </c>
      <c r="K2245" t="s">
        <v>485</v>
      </c>
      <c r="L2245" t="s">
        <v>470</v>
      </c>
      <c r="M2245">
        <v>45</v>
      </c>
      <c r="N2245" t="b">
        <v>0</v>
      </c>
      <c r="O2245">
        <v>0.80332409972299168</v>
      </c>
      <c r="P2245">
        <v>0.75520833333333337</v>
      </c>
      <c r="Q2245">
        <v>0.85798816568047342</v>
      </c>
      <c r="R2245" t="s">
        <v>60</v>
      </c>
      <c r="S2245" t="s">
        <v>4917</v>
      </c>
      <c r="T2245" t="s">
        <v>4918</v>
      </c>
      <c r="U2245" t="b">
        <v>1</v>
      </c>
      <c r="V2245" t="s">
        <v>63</v>
      </c>
      <c r="W2245">
        <v>1.7</v>
      </c>
    </row>
    <row r="2246" spans="1:23" hidden="1" x14ac:dyDescent="0.3">
      <c r="A2246" t="s">
        <v>4031</v>
      </c>
      <c r="B2246" t="s">
        <v>4032</v>
      </c>
      <c r="C2246" t="s">
        <v>30</v>
      </c>
      <c r="D2246" t="s">
        <v>24</v>
      </c>
      <c r="E2246" t="s">
        <v>25</v>
      </c>
      <c r="F2246" t="s">
        <v>363</v>
      </c>
      <c r="G2246" t="s">
        <v>488</v>
      </c>
      <c r="H2246" t="s">
        <v>467</v>
      </c>
      <c r="I2246" t="s">
        <v>9</v>
      </c>
      <c r="J2246" t="s">
        <v>489</v>
      </c>
      <c r="K2246" t="s">
        <v>490</v>
      </c>
      <c r="L2246" t="s">
        <v>470</v>
      </c>
      <c r="M2246">
        <v>46</v>
      </c>
      <c r="N2246" t="b">
        <v>0</v>
      </c>
      <c r="O2246">
        <v>0.83050847457627108</v>
      </c>
      <c r="P2246">
        <v>0.79459459459459458</v>
      </c>
      <c r="Q2246">
        <v>0.86982248520710059</v>
      </c>
      <c r="R2246" t="s">
        <v>60</v>
      </c>
      <c r="S2246" t="s">
        <v>4919</v>
      </c>
      <c r="T2246" t="s">
        <v>4920</v>
      </c>
      <c r="U2246" t="b">
        <v>1</v>
      </c>
      <c r="V2246" t="s">
        <v>63</v>
      </c>
      <c r="W2246">
        <v>2.2999999999999998</v>
      </c>
    </row>
    <row r="2247" spans="1:23" hidden="1" x14ac:dyDescent="0.3">
      <c r="A2247" t="s">
        <v>4031</v>
      </c>
      <c r="B2247" t="s">
        <v>4032</v>
      </c>
      <c r="C2247" t="s">
        <v>30</v>
      </c>
      <c r="D2247" t="s">
        <v>24</v>
      </c>
      <c r="E2247" t="s">
        <v>25</v>
      </c>
      <c r="F2247" t="s">
        <v>363</v>
      </c>
      <c r="G2247" t="s">
        <v>493</v>
      </c>
      <c r="H2247" t="s">
        <v>467</v>
      </c>
      <c r="I2247" t="s">
        <v>9</v>
      </c>
      <c r="J2247" t="s">
        <v>494</v>
      </c>
      <c r="K2247" t="s">
        <v>495</v>
      </c>
      <c r="L2247" t="s">
        <v>470</v>
      </c>
      <c r="M2247">
        <v>47</v>
      </c>
      <c r="N2247" t="b">
        <v>0</v>
      </c>
      <c r="O2247">
        <v>0.80563380281690145</v>
      </c>
      <c r="P2247">
        <v>0.76881720430107525</v>
      </c>
      <c r="Q2247">
        <v>0.84615384615384615</v>
      </c>
      <c r="R2247" t="s">
        <v>60</v>
      </c>
      <c r="S2247" t="s">
        <v>4921</v>
      </c>
      <c r="T2247" t="s">
        <v>4922</v>
      </c>
      <c r="U2247" t="b">
        <v>1</v>
      </c>
      <c r="V2247" t="s">
        <v>63</v>
      </c>
      <c r="W2247">
        <v>1.7</v>
      </c>
    </row>
    <row r="2248" spans="1:23" hidden="1" x14ac:dyDescent="0.3">
      <c r="A2248" t="s">
        <v>4031</v>
      </c>
      <c r="B2248" t="s">
        <v>4032</v>
      </c>
      <c r="C2248" t="s">
        <v>30</v>
      </c>
      <c r="D2248" t="s">
        <v>24</v>
      </c>
      <c r="E2248" t="s">
        <v>25</v>
      </c>
      <c r="F2248" t="s">
        <v>363</v>
      </c>
      <c r="G2248" t="s">
        <v>498</v>
      </c>
      <c r="H2248" t="s">
        <v>467</v>
      </c>
      <c r="I2248" t="s">
        <v>9</v>
      </c>
      <c r="J2248" t="s">
        <v>499</v>
      </c>
      <c r="K2248" t="s">
        <v>500</v>
      </c>
      <c r="L2248" t="s">
        <v>470</v>
      </c>
      <c r="M2248">
        <v>48</v>
      </c>
      <c r="N2248" t="b">
        <v>0</v>
      </c>
      <c r="O2248">
        <v>0.80779944289693595</v>
      </c>
      <c r="P2248">
        <v>0.76315789473684215</v>
      </c>
      <c r="Q2248">
        <v>0.85798816568047342</v>
      </c>
      <c r="R2248" t="s">
        <v>60</v>
      </c>
      <c r="S2248" t="s">
        <v>4923</v>
      </c>
      <c r="T2248" t="s">
        <v>4924</v>
      </c>
      <c r="U2248" t="b">
        <v>1</v>
      </c>
      <c r="V2248" t="s">
        <v>63</v>
      </c>
      <c r="W2248">
        <v>1.7</v>
      </c>
    </row>
    <row r="2249" spans="1:23" hidden="1" x14ac:dyDescent="0.3">
      <c r="A2249" t="s">
        <v>4031</v>
      </c>
      <c r="B2249" t="s">
        <v>4032</v>
      </c>
      <c r="C2249" t="s">
        <v>30</v>
      </c>
      <c r="D2249" t="s">
        <v>24</v>
      </c>
      <c r="E2249" t="s">
        <v>25</v>
      </c>
      <c r="F2249" t="s">
        <v>363</v>
      </c>
      <c r="G2249" t="s">
        <v>503</v>
      </c>
      <c r="H2249" t="s">
        <v>467</v>
      </c>
      <c r="I2249" t="s">
        <v>9</v>
      </c>
      <c r="J2249" t="s">
        <v>504</v>
      </c>
      <c r="K2249" t="s">
        <v>505</v>
      </c>
      <c r="L2249" t="s">
        <v>470</v>
      </c>
      <c r="M2249">
        <v>49</v>
      </c>
      <c r="N2249" t="b">
        <v>0</v>
      </c>
      <c r="O2249">
        <v>0.8044692737430168</v>
      </c>
      <c r="P2249">
        <v>0.76190476190476186</v>
      </c>
      <c r="Q2249">
        <v>0.85207100591715978</v>
      </c>
      <c r="R2249" t="s">
        <v>60</v>
      </c>
      <c r="S2249" t="s">
        <v>4925</v>
      </c>
      <c r="T2249" t="s">
        <v>4926</v>
      </c>
      <c r="U2249" t="b">
        <v>1</v>
      </c>
      <c r="V2249" t="s">
        <v>63</v>
      </c>
      <c r="W2249">
        <v>2.1</v>
      </c>
    </row>
    <row r="2250" spans="1:23" hidden="1" x14ac:dyDescent="0.3">
      <c r="A2250" t="s">
        <v>4031</v>
      </c>
      <c r="B2250" t="s">
        <v>4032</v>
      </c>
      <c r="C2250" t="s">
        <v>30</v>
      </c>
      <c r="D2250" t="s">
        <v>24</v>
      </c>
      <c r="E2250" t="s">
        <v>25</v>
      </c>
      <c r="F2250" t="s">
        <v>363</v>
      </c>
      <c r="G2250" t="s">
        <v>508</v>
      </c>
      <c r="H2250" t="s">
        <v>467</v>
      </c>
      <c r="I2250" t="s">
        <v>9</v>
      </c>
      <c r="J2250" t="s">
        <v>509</v>
      </c>
      <c r="K2250" t="s">
        <v>510</v>
      </c>
      <c r="L2250" t="s">
        <v>470</v>
      </c>
      <c r="M2250">
        <v>50</v>
      </c>
      <c r="N2250" t="b">
        <v>0</v>
      </c>
      <c r="O2250">
        <v>0.81232492997198891</v>
      </c>
      <c r="P2250">
        <v>0.77127659574468088</v>
      </c>
      <c r="Q2250">
        <v>0.85798816568047342</v>
      </c>
      <c r="R2250" t="s">
        <v>60</v>
      </c>
      <c r="S2250" t="s">
        <v>4927</v>
      </c>
      <c r="T2250" t="s">
        <v>4928</v>
      </c>
      <c r="U2250" t="b">
        <v>1</v>
      </c>
      <c r="V2250" t="s">
        <v>63</v>
      </c>
      <c r="W2250">
        <v>1.7</v>
      </c>
    </row>
    <row r="2251" spans="1:23" hidden="1" x14ac:dyDescent="0.3">
      <c r="A2251" t="s">
        <v>4031</v>
      </c>
      <c r="B2251" t="s">
        <v>4032</v>
      </c>
      <c r="C2251" t="s">
        <v>30</v>
      </c>
      <c r="D2251" t="s">
        <v>24</v>
      </c>
      <c r="E2251" t="s">
        <v>25</v>
      </c>
      <c r="F2251" t="s">
        <v>363</v>
      </c>
      <c r="G2251" t="s">
        <v>513</v>
      </c>
      <c r="H2251" t="s">
        <v>467</v>
      </c>
      <c r="I2251" t="s">
        <v>9</v>
      </c>
      <c r="J2251" t="s">
        <v>514</v>
      </c>
      <c r="K2251" t="s">
        <v>515</v>
      </c>
      <c r="L2251" t="s">
        <v>470</v>
      </c>
      <c r="M2251">
        <v>51</v>
      </c>
      <c r="N2251" t="b">
        <v>0</v>
      </c>
      <c r="O2251">
        <v>0.80672268907563016</v>
      </c>
      <c r="P2251">
        <v>0.76595744680851063</v>
      </c>
      <c r="Q2251">
        <v>0.85207100591715978</v>
      </c>
      <c r="R2251" t="s">
        <v>60</v>
      </c>
      <c r="S2251" t="s">
        <v>4929</v>
      </c>
      <c r="T2251" t="s">
        <v>4930</v>
      </c>
      <c r="U2251" t="b">
        <v>1</v>
      </c>
      <c r="V2251" t="s">
        <v>63</v>
      </c>
      <c r="W2251">
        <v>1.7</v>
      </c>
    </row>
    <row r="2252" spans="1:23" hidden="1" x14ac:dyDescent="0.3">
      <c r="A2252" t="s">
        <v>4031</v>
      </c>
      <c r="B2252" t="s">
        <v>4032</v>
      </c>
      <c r="C2252" t="s">
        <v>30</v>
      </c>
      <c r="D2252" t="s">
        <v>24</v>
      </c>
      <c r="E2252" t="s">
        <v>25</v>
      </c>
      <c r="F2252" t="s">
        <v>363</v>
      </c>
      <c r="G2252" t="s">
        <v>518</v>
      </c>
      <c r="H2252" t="s">
        <v>467</v>
      </c>
      <c r="I2252" t="s">
        <v>9</v>
      </c>
      <c r="J2252" t="s">
        <v>519</v>
      </c>
      <c r="K2252" t="s">
        <v>520</v>
      </c>
      <c r="L2252" t="s">
        <v>470</v>
      </c>
      <c r="M2252">
        <v>52</v>
      </c>
      <c r="N2252" t="b">
        <v>0</v>
      </c>
      <c r="O2252">
        <v>0.82485875706214684</v>
      </c>
      <c r="P2252">
        <v>0.78918918918918923</v>
      </c>
      <c r="Q2252">
        <v>0.86390532544378695</v>
      </c>
      <c r="R2252" t="s">
        <v>60</v>
      </c>
      <c r="S2252" t="s">
        <v>4931</v>
      </c>
      <c r="T2252" t="s">
        <v>4932</v>
      </c>
      <c r="U2252" t="b">
        <v>1</v>
      </c>
      <c r="V2252" t="s">
        <v>63</v>
      </c>
      <c r="W2252">
        <v>1.7</v>
      </c>
    </row>
    <row r="2253" spans="1:23" hidden="1" x14ac:dyDescent="0.3">
      <c r="A2253" t="s">
        <v>4031</v>
      </c>
      <c r="B2253" t="s">
        <v>4032</v>
      </c>
      <c r="C2253" t="s">
        <v>30</v>
      </c>
      <c r="D2253" t="s">
        <v>24</v>
      </c>
      <c r="E2253" t="s">
        <v>25</v>
      </c>
      <c r="F2253" t="s">
        <v>363</v>
      </c>
      <c r="G2253" t="s">
        <v>523</v>
      </c>
      <c r="H2253" t="s">
        <v>467</v>
      </c>
      <c r="I2253" t="s">
        <v>9</v>
      </c>
      <c r="J2253" t="s">
        <v>524</v>
      </c>
      <c r="K2253" t="s">
        <v>525</v>
      </c>
      <c r="L2253" t="s">
        <v>470</v>
      </c>
      <c r="M2253">
        <v>53</v>
      </c>
      <c r="N2253" t="b">
        <v>0</v>
      </c>
      <c r="O2253">
        <v>0.82222222222222219</v>
      </c>
      <c r="P2253">
        <v>0.77486910994764402</v>
      </c>
      <c r="Q2253">
        <v>0.87573964497041423</v>
      </c>
      <c r="R2253" t="s">
        <v>60</v>
      </c>
      <c r="S2253" t="s">
        <v>4933</v>
      </c>
      <c r="T2253" t="s">
        <v>4934</v>
      </c>
      <c r="U2253" t="b">
        <v>1</v>
      </c>
      <c r="V2253" t="s">
        <v>63</v>
      </c>
      <c r="W2253">
        <v>2.1</v>
      </c>
    </row>
    <row r="2254" spans="1:23" hidden="1" x14ac:dyDescent="0.3">
      <c r="A2254" t="s">
        <v>4031</v>
      </c>
      <c r="B2254" t="s">
        <v>4032</v>
      </c>
      <c r="C2254" t="s">
        <v>30</v>
      </c>
      <c r="D2254" t="s">
        <v>24</v>
      </c>
      <c r="E2254" t="s">
        <v>25</v>
      </c>
      <c r="F2254" t="s">
        <v>363</v>
      </c>
      <c r="G2254" t="s">
        <v>528</v>
      </c>
      <c r="H2254" t="s">
        <v>467</v>
      </c>
      <c r="I2254" t="s">
        <v>9</v>
      </c>
      <c r="J2254" t="s">
        <v>529</v>
      </c>
      <c r="K2254" t="s">
        <v>530</v>
      </c>
      <c r="L2254" t="s">
        <v>470</v>
      </c>
      <c r="M2254">
        <v>54</v>
      </c>
      <c r="N2254" t="b">
        <v>0</v>
      </c>
      <c r="O2254">
        <v>0.83473389355742289</v>
      </c>
      <c r="P2254">
        <v>0.79255319148936165</v>
      </c>
      <c r="Q2254">
        <v>0.88165680473372776</v>
      </c>
      <c r="R2254" t="s">
        <v>60</v>
      </c>
      <c r="S2254" t="s">
        <v>4935</v>
      </c>
      <c r="T2254" t="s">
        <v>4936</v>
      </c>
      <c r="U2254" t="b">
        <v>1</v>
      </c>
      <c r="V2254" t="s">
        <v>63</v>
      </c>
      <c r="W2254">
        <v>1.7</v>
      </c>
    </row>
    <row r="2255" spans="1:23" hidden="1" x14ac:dyDescent="0.3">
      <c r="A2255" t="s">
        <v>4031</v>
      </c>
      <c r="B2255" t="s">
        <v>4032</v>
      </c>
      <c r="C2255" t="s">
        <v>30</v>
      </c>
      <c r="D2255" t="s">
        <v>24</v>
      </c>
      <c r="E2255" t="s">
        <v>25</v>
      </c>
      <c r="F2255" t="s">
        <v>363</v>
      </c>
      <c r="G2255" t="s">
        <v>533</v>
      </c>
      <c r="H2255" t="s">
        <v>467</v>
      </c>
      <c r="I2255" t="s">
        <v>9</v>
      </c>
      <c r="J2255" t="s">
        <v>534</v>
      </c>
      <c r="K2255" t="s">
        <v>535</v>
      </c>
      <c r="L2255" t="s">
        <v>470</v>
      </c>
      <c r="M2255">
        <v>55</v>
      </c>
      <c r="N2255" t="b">
        <v>0</v>
      </c>
      <c r="O2255">
        <v>0.83428571428571441</v>
      </c>
      <c r="P2255">
        <v>0.8066298342541437</v>
      </c>
      <c r="Q2255">
        <v>0.86390532544378695</v>
      </c>
      <c r="R2255" t="s">
        <v>60</v>
      </c>
      <c r="S2255" t="s">
        <v>4937</v>
      </c>
      <c r="T2255" t="s">
        <v>4938</v>
      </c>
      <c r="U2255" t="b">
        <v>1</v>
      </c>
      <c r="V2255" t="s">
        <v>63</v>
      </c>
      <c r="W2255">
        <v>1.8</v>
      </c>
    </row>
    <row r="2256" spans="1:23" hidden="1" x14ac:dyDescent="0.3">
      <c r="A2256" t="s">
        <v>4031</v>
      </c>
      <c r="B2256" t="s">
        <v>4032</v>
      </c>
      <c r="C2256" t="s">
        <v>30</v>
      </c>
      <c r="D2256" t="s">
        <v>24</v>
      </c>
      <c r="E2256" t="s">
        <v>25</v>
      </c>
      <c r="F2256" t="s">
        <v>363</v>
      </c>
      <c r="G2256" t="s">
        <v>538</v>
      </c>
      <c r="H2256" t="s">
        <v>467</v>
      </c>
      <c r="I2256" t="s">
        <v>9</v>
      </c>
      <c r="J2256" t="s">
        <v>539</v>
      </c>
      <c r="K2256" t="s">
        <v>540</v>
      </c>
      <c r="L2256" t="s">
        <v>470</v>
      </c>
      <c r="M2256">
        <v>56</v>
      </c>
      <c r="N2256" t="b">
        <v>0</v>
      </c>
      <c r="O2256">
        <v>0.79665738161559885</v>
      </c>
      <c r="P2256">
        <v>0.75263157894736843</v>
      </c>
      <c r="Q2256">
        <v>0.84615384615384615</v>
      </c>
      <c r="R2256" t="s">
        <v>60</v>
      </c>
      <c r="S2256" t="s">
        <v>4939</v>
      </c>
      <c r="T2256" t="s">
        <v>4940</v>
      </c>
      <c r="U2256" t="b">
        <v>1</v>
      </c>
      <c r="V2256" t="s">
        <v>63</v>
      </c>
      <c r="W2256">
        <v>1.9</v>
      </c>
    </row>
    <row r="2257" spans="1:23" hidden="1" x14ac:dyDescent="0.3">
      <c r="A2257" t="s">
        <v>4031</v>
      </c>
      <c r="B2257" t="s">
        <v>4032</v>
      </c>
      <c r="C2257" t="s">
        <v>30</v>
      </c>
      <c r="D2257" t="s">
        <v>24</v>
      </c>
      <c r="E2257" t="s">
        <v>25</v>
      </c>
      <c r="F2257" t="s">
        <v>363</v>
      </c>
      <c r="G2257" t="s">
        <v>543</v>
      </c>
      <c r="H2257" t="s">
        <v>467</v>
      </c>
      <c r="I2257" t="s">
        <v>9</v>
      </c>
      <c r="J2257" t="s">
        <v>544</v>
      </c>
      <c r="K2257" t="s">
        <v>545</v>
      </c>
      <c r="L2257" t="s">
        <v>470</v>
      </c>
      <c r="M2257">
        <v>57</v>
      </c>
      <c r="N2257" t="b">
        <v>0</v>
      </c>
      <c r="O2257">
        <v>0.81767955801104963</v>
      </c>
      <c r="P2257">
        <v>0.76683937823834192</v>
      </c>
      <c r="Q2257">
        <v>0.87573964497041423</v>
      </c>
      <c r="R2257" t="s">
        <v>60</v>
      </c>
      <c r="S2257" t="s">
        <v>4941</v>
      </c>
      <c r="T2257" t="s">
        <v>4942</v>
      </c>
      <c r="U2257" t="b">
        <v>1</v>
      </c>
      <c r="V2257" t="s">
        <v>63</v>
      </c>
      <c r="W2257">
        <v>2.2000000000000002</v>
      </c>
    </row>
    <row r="2258" spans="1:23" hidden="1" x14ac:dyDescent="0.3">
      <c r="A2258" t="s">
        <v>4031</v>
      </c>
      <c r="B2258" t="s">
        <v>4032</v>
      </c>
      <c r="C2258" t="s">
        <v>30</v>
      </c>
      <c r="D2258" t="s">
        <v>24</v>
      </c>
      <c r="E2258" t="s">
        <v>25</v>
      </c>
      <c r="F2258" t="s">
        <v>363</v>
      </c>
      <c r="G2258" t="s">
        <v>548</v>
      </c>
      <c r="H2258" t="s">
        <v>467</v>
      </c>
      <c r="I2258" t="s">
        <v>9</v>
      </c>
      <c r="J2258" t="s">
        <v>549</v>
      </c>
      <c r="K2258" t="s">
        <v>550</v>
      </c>
      <c r="L2258" t="s">
        <v>470</v>
      </c>
      <c r="M2258">
        <v>58</v>
      </c>
      <c r="N2258" t="b">
        <v>0</v>
      </c>
      <c r="O2258">
        <v>0.82352941176470595</v>
      </c>
      <c r="P2258">
        <v>0.78191489361702127</v>
      </c>
      <c r="Q2258">
        <v>0.86982248520710059</v>
      </c>
      <c r="R2258" t="s">
        <v>60</v>
      </c>
      <c r="S2258" t="s">
        <v>4943</v>
      </c>
      <c r="T2258" t="s">
        <v>4944</v>
      </c>
      <c r="U2258" t="b">
        <v>1</v>
      </c>
      <c r="V2258" t="s">
        <v>63</v>
      </c>
      <c r="W2258">
        <v>1.8</v>
      </c>
    </row>
    <row r="2259" spans="1:23" hidden="1" x14ac:dyDescent="0.3">
      <c r="A2259" t="s">
        <v>4031</v>
      </c>
      <c r="B2259" t="s">
        <v>4032</v>
      </c>
      <c r="C2259" t="s">
        <v>30</v>
      </c>
      <c r="D2259" t="s">
        <v>24</v>
      </c>
      <c r="E2259" t="s">
        <v>25</v>
      </c>
      <c r="F2259" t="s">
        <v>363</v>
      </c>
      <c r="G2259" t="s">
        <v>553</v>
      </c>
      <c r="H2259" t="s">
        <v>467</v>
      </c>
      <c r="I2259" t="s">
        <v>9</v>
      </c>
      <c r="J2259" t="s">
        <v>554</v>
      </c>
      <c r="K2259" t="s">
        <v>555</v>
      </c>
      <c r="L2259" t="s">
        <v>470</v>
      </c>
      <c r="M2259">
        <v>59</v>
      </c>
      <c r="N2259" t="b">
        <v>0</v>
      </c>
      <c r="O2259">
        <v>0.81666666666666665</v>
      </c>
      <c r="P2259">
        <v>0.76963350785340312</v>
      </c>
      <c r="Q2259">
        <v>0.86982248520710059</v>
      </c>
      <c r="R2259" t="s">
        <v>60</v>
      </c>
      <c r="S2259" t="s">
        <v>4945</v>
      </c>
      <c r="T2259" t="s">
        <v>4946</v>
      </c>
      <c r="U2259" t="b">
        <v>1</v>
      </c>
      <c r="V2259" t="s">
        <v>63</v>
      </c>
      <c r="W2259">
        <v>1.7</v>
      </c>
    </row>
    <row r="2260" spans="1:23" hidden="1" x14ac:dyDescent="0.3">
      <c r="A2260" t="s">
        <v>4031</v>
      </c>
      <c r="B2260" t="s">
        <v>4032</v>
      </c>
      <c r="C2260" t="s">
        <v>30</v>
      </c>
      <c r="D2260" t="s">
        <v>24</v>
      </c>
      <c r="E2260" t="s">
        <v>25</v>
      </c>
      <c r="F2260" t="s">
        <v>363</v>
      </c>
      <c r="G2260" t="s">
        <v>558</v>
      </c>
      <c r="H2260" t="s">
        <v>467</v>
      </c>
      <c r="I2260" t="s">
        <v>9</v>
      </c>
      <c r="J2260" t="s">
        <v>559</v>
      </c>
      <c r="K2260" t="s">
        <v>560</v>
      </c>
      <c r="L2260" t="s">
        <v>470</v>
      </c>
      <c r="M2260">
        <v>60</v>
      </c>
      <c r="N2260" t="b">
        <v>0</v>
      </c>
      <c r="O2260">
        <v>0.82451253481894149</v>
      </c>
      <c r="P2260">
        <v>0.77894736842105261</v>
      </c>
      <c r="Q2260">
        <v>0.87573964497041423</v>
      </c>
      <c r="R2260" t="s">
        <v>60</v>
      </c>
      <c r="S2260" t="s">
        <v>4947</v>
      </c>
      <c r="T2260" t="s">
        <v>4948</v>
      </c>
      <c r="U2260" t="b">
        <v>1</v>
      </c>
      <c r="V2260" t="s">
        <v>63</v>
      </c>
      <c r="W2260">
        <v>2.1</v>
      </c>
    </row>
    <row r="2261" spans="1:23" hidden="1" x14ac:dyDescent="0.3">
      <c r="A2261" t="s">
        <v>4031</v>
      </c>
      <c r="B2261" t="s">
        <v>4032</v>
      </c>
      <c r="C2261" t="s">
        <v>30</v>
      </c>
      <c r="D2261" t="s">
        <v>24</v>
      </c>
      <c r="E2261" t="s">
        <v>25</v>
      </c>
      <c r="F2261" t="s">
        <v>363</v>
      </c>
      <c r="G2261" t="s">
        <v>563</v>
      </c>
      <c r="H2261" t="s">
        <v>467</v>
      </c>
      <c r="I2261" t="s">
        <v>9</v>
      </c>
      <c r="J2261" t="s">
        <v>564</v>
      </c>
      <c r="K2261" t="s">
        <v>565</v>
      </c>
      <c r="L2261" t="s">
        <v>470</v>
      </c>
      <c r="M2261">
        <v>61</v>
      </c>
      <c r="N2261" t="b">
        <v>0</v>
      </c>
      <c r="O2261">
        <v>0.81232492997198891</v>
      </c>
      <c r="P2261">
        <v>0.77127659574468088</v>
      </c>
      <c r="Q2261">
        <v>0.85798816568047342</v>
      </c>
      <c r="R2261" t="s">
        <v>60</v>
      </c>
      <c r="S2261" t="s">
        <v>4949</v>
      </c>
      <c r="T2261" t="s">
        <v>4950</v>
      </c>
      <c r="U2261" t="b">
        <v>1</v>
      </c>
      <c r="V2261" t="s">
        <v>63</v>
      </c>
      <c r="W2261">
        <v>1.9</v>
      </c>
    </row>
    <row r="2262" spans="1:23" hidden="1" x14ac:dyDescent="0.3">
      <c r="A2262" t="s">
        <v>4031</v>
      </c>
      <c r="B2262" t="s">
        <v>4032</v>
      </c>
      <c r="C2262" t="s">
        <v>30</v>
      </c>
      <c r="D2262" t="s">
        <v>24</v>
      </c>
      <c r="E2262" t="s">
        <v>25</v>
      </c>
      <c r="F2262" t="s">
        <v>363</v>
      </c>
      <c r="G2262" t="s">
        <v>568</v>
      </c>
      <c r="H2262" t="s">
        <v>569</v>
      </c>
      <c r="I2262" t="s">
        <v>11</v>
      </c>
      <c r="J2262" t="s">
        <v>570</v>
      </c>
      <c r="K2262" t="s">
        <v>571</v>
      </c>
      <c r="L2262" t="s">
        <v>572</v>
      </c>
      <c r="M2262">
        <v>42</v>
      </c>
      <c r="N2262" t="b">
        <v>0</v>
      </c>
      <c r="O2262">
        <v>0.82666666666666655</v>
      </c>
      <c r="P2262">
        <v>0.81578947368421051</v>
      </c>
      <c r="Q2262">
        <v>0.83783783783783783</v>
      </c>
      <c r="R2262" t="s">
        <v>60</v>
      </c>
      <c r="S2262" t="s">
        <v>4951</v>
      </c>
      <c r="T2262" t="s">
        <v>4952</v>
      </c>
      <c r="U2262" t="b">
        <v>1</v>
      </c>
      <c r="V2262" t="s">
        <v>63</v>
      </c>
      <c r="W2262">
        <v>1.9</v>
      </c>
    </row>
    <row r="2263" spans="1:23" hidden="1" x14ac:dyDescent="0.3">
      <c r="A2263" t="s">
        <v>4031</v>
      </c>
      <c r="B2263" t="s">
        <v>4032</v>
      </c>
      <c r="C2263" t="s">
        <v>30</v>
      </c>
      <c r="D2263" t="s">
        <v>24</v>
      </c>
      <c r="E2263" t="s">
        <v>25</v>
      </c>
      <c r="F2263" t="s">
        <v>363</v>
      </c>
      <c r="G2263" t="s">
        <v>575</v>
      </c>
      <c r="H2263" t="s">
        <v>569</v>
      </c>
      <c r="I2263" t="s">
        <v>11</v>
      </c>
      <c r="J2263" t="s">
        <v>576</v>
      </c>
      <c r="K2263" t="s">
        <v>577</v>
      </c>
      <c r="L2263" t="s">
        <v>572</v>
      </c>
      <c r="M2263">
        <v>43</v>
      </c>
      <c r="N2263" t="b">
        <v>0</v>
      </c>
      <c r="O2263">
        <v>0.84187082405345204</v>
      </c>
      <c r="P2263">
        <v>0.83259911894273131</v>
      </c>
      <c r="Q2263">
        <v>0.85135135135135132</v>
      </c>
      <c r="R2263" t="s">
        <v>60</v>
      </c>
      <c r="S2263" t="s">
        <v>4953</v>
      </c>
      <c r="T2263" t="s">
        <v>4954</v>
      </c>
      <c r="U2263" t="b">
        <v>1</v>
      </c>
      <c r="V2263" t="s">
        <v>63</v>
      </c>
      <c r="W2263">
        <v>2.2000000000000002</v>
      </c>
    </row>
    <row r="2264" spans="1:23" hidden="1" x14ac:dyDescent="0.3">
      <c r="A2264" t="s">
        <v>4031</v>
      </c>
      <c r="B2264" t="s">
        <v>4032</v>
      </c>
      <c r="C2264" t="s">
        <v>30</v>
      </c>
      <c r="D2264" t="s">
        <v>24</v>
      </c>
      <c r="E2264" t="s">
        <v>25</v>
      </c>
      <c r="F2264" t="s">
        <v>363</v>
      </c>
      <c r="G2264" t="s">
        <v>580</v>
      </c>
      <c r="H2264" t="s">
        <v>569</v>
      </c>
      <c r="I2264" t="s">
        <v>11</v>
      </c>
      <c r="J2264" t="s">
        <v>581</v>
      </c>
      <c r="K2264" t="s">
        <v>582</v>
      </c>
      <c r="L2264" t="s">
        <v>572</v>
      </c>
      <c r="M2264">
        <v>44</v>
      </c>
      <c r="N2264" t="b">
        <v>0</v>
      </c>
      <c r="O2264">
        <v>0.83628318584070793</v>
      </c>
      <c r="P2264">
        <v>0.82173913043478264</v>
      </c>
      <c r="Q2264">
        <v>0.85135135135135132</v>
      </c>
      <c r="R2264" t="s">
        <v>60</v>
      </c>
      <c r="S2264" t="s">
        <v>4955</v>
      </c>
      <c r="T2264" t="s">
        <v>4956</v>
      </c>
      <c r="U2264" t="b">
        <v>1</v>
      </c>
      <c r="V2264" t="s">
        <v>63</v>
      </c>
      <c r="W2264">
        <v>1.8</v>
      </c>
    </row>
    <row r="2265" spans="1:23" hidden="1" x14ac:dyDescent="0.3">
      <c r="A2265" t="s">
        <v>4031</v>
      </c>
      <c r="B2265" t="s">
        <v>4032</v>
      </c>
      <c r="C2265" t="s">
        <v>30</v>
      </c>
      <c r="D2265" t="s">
        <v>24</v>
      </c>
      <c r="E2265" t="s">
        <v>25</v>
      </c>
      <c r="F2265" t="s">
        <v>363</v>
      </c>
      <c r="G2265" t="s">
        <v>585</v>
      </c>
      <c r="H2265" t="s">
        <v>569</v>
      </c>
      <c r="I2265" t="s">
        <v>11</v>
      </c>
      <c r="J2265" t="s">
        <v>586</v>
      </c>
      <c r="K2265" t="s">
        <v>587</v>
      </c>
      <c r="L2265" t="s">
        <v>572</v>
      </c>
      <c r="M2265">
        <v>45</v>
      </c>
      <c r="N2265" t="b">
        <v>0</v>
      </c>
      <c r="O2265">
        <v>0.81777777777777783</v>
      </c>
      <c r="P2265">
        <v>0.80701754385964908</v>
      </c>
      <c r="Q2265">
        <v>0.8288288288288288</v>
      </c>
      <c r="R2265" t="s">
        <v>60</v>
      </c>
      <c r="S2265" t="s">
        <v>4957</v>
      </c>
      <c r="T2265" t="s">
        <v>4958</v>
      </c>
      <c r="U2265" t="b">
        <v>1</v>
      </c>
      <c r="V2265" t="s">
        <v>63</v>
      </c>
      <c r="W2265">
        <v>1.9</v>
      </c>
    </row>
    <row r="2266" spans="1:23" hidden="1" x14ac:dyDescent="0.3">
      <c r="A2266" t="s">
        <v>4031</v>
      </c>
      <c r="B2266" t="s">
        <v>4032</v>
      </c>
      <c r="C2266" t="s">
        <v>30</v>
      </c>
      <c r="D2266" t="s">
        <v>24</v>
      </c>
      <c r="E2266" t="s">
        <v>25</v>
      </c>
      <c r="F2266" t="s">
        <v>363</v>
      </c>
      <c r="G2266" t="s">
        <v>590</v>
      </c>
      <c r="H2266" t="s">
        <v>569</v>
      </c>
      <c r="I2266" t="s">
        <v>11</v>
      </c>
      <c r="J2266" t="s">
        <v>591</v>
      </c>
      <c r="K2266" t="s">
        <v>592</v>
      </c>
      <c r="L2266" t="s">
        <v>572</v>
      </c>
      <c r="M2266">
        <v>46</v>
      </c>
      <c r="N2266" t="b">
        <v>0</v>
      </c>
      <c r="O2266">
        <v>0.82560706401766004</v>
      </c>
      <c r="P2266">
        <v>0.80952380952380953</v>
      </c>
      <c r="Q2266">
        <v>0.84234234234234229</v>
      </c>
      <c r="R2266" t="s">
        <v>60</v>
      </c>
      <c r="S2266" t="s">
        <v>4959</v>
      </c>
      <c r="T2266" t="s">
        <v>4960</v>
      </c>
      <c r="U2266" t="b">
        <v>1</v>
      </c>
      <c r="V2266" t="s">
        <v>63</v>
      </c>
      <c r="W2266">
        <v>2.4</v>
      </c>
    </row>
    <row r="2267" spans="1:23" hidden="1" x14ac:dyDescent="0.3">
      <c r="A2267" t="s">
        <v>4031</v>
      </c>
      <c r="B2267" t="s">
        <v>4032</v>
      </c>
      <c r="C2267" t="s">
        <v>30</v>
      </c>
      <c r="D2267" t="s">
        <v>24</v>
      </c>
      <c r="E2267" t="s">
        <v>25</v>
      </c>
      <c r="F2267" t="s">
        <v>363</v>
      </c>
      <c r="G2267" t="s">
        <v>595</v>
      </c>
      <c r="H2267" t="s">
        <v>569</v>
      </c>
      <c r="I2267" t="s">
        <v>11</v>
      </c>
      <c r="J2267" t="s">
        <v>596</v>
      </c>
      <c r="K2267" t="s">
        <v>597</v>
      </c>
      <c r="L2267" t="s">
        <v>572</v>
      </c>
      <c r="M2267">
        <v>47</v>
      </c>
      <c r="N2267" t="b">
        <v>0</v>
      </c>
      <c r="O2267">
        <v>0.82743362831858391</v>
      </c>
      <c r="P2267">
        <v>0.81304347826086953</v>
      </c>
      <c r="Q2267">
        <v>0.84234234234234229</v>
      </c>
      <c r="R2267" t="s">
        <v>60</v>
      </c>
      <c r="S2267" t="s">
        <v>4961</v>
      </c>
      <c r="T2267" t="s">
        <v>4962</v>
      </c>
      <c r="U2267" t="b">
        <v>1</v>
      </c>
      <c r="V2267" t="s">
        <v>63</v>
      </c>
      <c r="W2267">
        <v>1.8</v>
      </c>
    </row>
    <row r="2268" spans="1:23" hidden="1" x14ac:dyDescent="0.3">
      <c r="A2268" t="s">
        <v>4031</v>
      </c>
      <c r="B2268" t="s">
        <v>4032</v>
      </c>
      <c r="C2268" t="s">
        <v>30</v>
      </c>
      <c r="D2268" t="s">
        <v>24</v>
      </c>
      <c r="E2268" t="s">
        <v>25</v>
      </c>
      <c r="F2268" t="s">
        <v>363</v>
      </c>
      <c r="G2268" t="s">
        <v>600</v>
      </c>
      <c r="H2268" t="s">
        <v>569</v>
      </c>
      <c r="I2268" t="s">
        <v>11</v>
      </c>
      <c r="J2268" t="s">
        <v>601</v>
      </c>
      <c r="K2268" t="s">
        <v>602</v>
      </c>
      <c r="L2268" t="s">
        <v>572</v>
      </c>
      <c r="M2268">
        <v>48</v>
      </c>
      <c r="N2268" t="b">
        <v>0</v>
      </c>
      <c r="O2268">
        <v>0.81938325991189431</v>
      </c>
      <c r="P2268">
        <v>0.80172413793103448</v>
      </c>
      <c r="Q2268">
        <v>0.83783783783783783</v>
      </c>
      <c r="R2268" t="s">
        <v>60</v>
      </c>
      <c r="S2268" t="s">
        <v>4963</v>
      </c>
      <c r="T2268" t="s">
        <v>4964</v>
      </c>
      <c r="U2268" t="b">
        <v>1</v>
      </c>
      <c r="V2268" t="s">
        <v>63</v>
      </c>
      <c r="W2268">
        <v>1.8</v>
      </c>
    </row>
    <row r="2269" spans="1:23" hidden="1" x14ac:dyDescent="0.3">
      <c r="A2269" t="s">
        <v>4031</v>
      </c>
      <c r="B2269" t="s">
        <v>4032</v>
      </c>
      <c r="C2269" t="s">
        <v>30</v>
      </c>
      <c r="D2269" t="s">
        <v>24</v>
      </c>
      <c r="E2269" t="s">
        <v>25</v>
      </c>
      <c r="F2269" t="s">
        <v>363</v>
      </c>
      <c r="G2269" t="s">
        <v>605</v>
      </c>
      <c r="H2269" t="s">
        <v>569</v>
      </c>
      <c r="I2269" t="s">
        <v>11</v>
      </c>
      <c r="J2269" t="s">
        <v>606</v>
      </c>
      <c r="K2269" t="s">
        <v>607</v>
      </c>
      <c r="L2269" t="s">
        <v>572</v>
      </c>
      <c r="M2269">
        <v>49</v>
      </c>
      <c r="N2269" t="b">
        <v>0</v>
      </c>
      <c r="O2269">
        <v>0.82119205298013254</v>
      </c>
      <c r="P2269">
        <v>0.80519480519480524</v>
      </c>
      <c r="Q2269">
        <v>0.83783783783783783</v>
      </c>
      <c r="R2269" t="s">
        <v>60</v>
      </c>
      <c r="S2269" t="s">
        <v>4965</v>
      </c>
      <c r="T2269" t="s">
        <v>4966</v>
      </c>
      <c r="U2269" t="b">
        <v>1</v>
      </c>
      <c r="V2269" t="s">
        <v>63</v>
      </c>
      <c r="W2269">
        <v>1.8</v>
      </c>
    </row>
    <row r="2270" spans="1:23" hidden="1" x14ac:dyDescent="0.3">
      <c r="A2270" t="s">
        <v>4031</v>
      </c>
      <c r="B2270" t="s">
        <v>4032</v>
      </c>
      <c r="C2270" t="s">
        <v>30</v>
      </c>
      <c r="D2270" t="s">
        <v>24</v>
      </c>
      <c r="E2270" t="s">
        <v>25</v>
      </c>
      <c r="F2270" t="s">
        <v>363</v>
      </c>
      <c r="G2270" t="s">
        <v>610</v>
      </c>
      <c r="H2270" t="s">
        <v>569</v>
      </c>
      <c r="I2270" t="s">
        <v>11</v>
      </c>
      <c r="J2270" t="s">
        <v>611</v>
      </c>
      <c r="K2270" t="s">
        <v>612</v>
      </c>
      <c r="L2270" t="s">
        <v>572</v>
      </c>
      <c r="M2270">
        <v>50</v>
      </c>
      <c r="N2270" t="b">
        <v>0</v>
      </c>
      <c r="O2270">
        <v>0.83111111111111113</v>
      </c>
      <c r="P2270">
        <v>0.82017543859649122</v>
      </c>
      <c r="Q2270">
        <v>0.84234234234234229</v>
      </c>
      <c r="R2270" t="s">
        <v>60</v>
      </c>
      <c r="S2270" t="s">
        <v>4967</v>
      </c>
      <c r="T2270" t="s">
        <v>4968</v>
      </c>
      <c r="U2270" t="b">
        <v>1</v>
      </c>
      <c r="V2270" t="s">
        <v>63</v>
      </c>
      <c r="W2270">
        <v>2.2999999999999998</v>
      </c>
    </row>
    <row r="2271" spans="1:23" hidden="1" x14ac:dyDescent="0.3">
      <c r="A2271" t="s">
        <v>4031</v>
      </c>
      <c r="B2271" t="s">
        <v>4032</v>
      </c>
      <c r="C2271" t="s">
        <v>30</v>
      </c>
      <c r="D2271" t="s">
        <v>24</v>
      </c>
      <c r="E2271" t="s">
        <v>25</v>
      </c>
      <c r="F2271" t="s">
        <v>363</v>
      </c>
      <c r="G2271" t="s">
        <v>615</v>
      </c>
      <c r="H2271" t="s">
        <v>569</v>
      </c>
      <c r="I2271" t="s">
        <v>11</v>
      </c>
      <c r="J2271" t="s">
        <v>616</v>
      </c>
      <c r="K2271" t="s">
        <v>617</v>
      </c>
      <c r="L2271" t="s">
        <v>572</v>
      </c>
      <c r="M2271">
        <v>51</v>
      </c>
      <c r="N2271" t="b">
        <v>0</v>
      </c>
      <c r="O2271">
        <v>0.84000000000000008</v>
      </c>
      <c r="P2271">
        <v>0.82894736842105265</v>
      </c>
      <c r="Q2271">
        <v>0.85135135135135132</v>
      </c>
      <c r="R2271" t="s">
        <v>60</v>
      </c>
      <c r="S2271" t="s">
        <v>4969</v>
      </c>
      <c r="T2271" t="s">
        <v>4970</v>
      </c>
      <c r="U2271" t="b">
        <v>1</v>
      </c>
      <c r="V2271" t="s">
        <v>63</v>
      </c>
      <c r="W2271">
        <v>2</v>
      </c>
    </row>
    <row r="2272" spans="1:23" hidden="1" x14ac:dyDescent="0.3">
      <c r="A2272" t="s">
        <v>4031</v>
      </c>
      <c r="B2272" t="s">
        <v>4032</v>
      </c>
      <c r="C2272" t="s">
        <v>30</v>
      </c>
      <c r="D2272" t="s">
        <v>24</v>
      </c>
      <c r="E2272" t="s">
        <v>25</v>
      </c>
      <c r="F2272" t="s">
        <v>363</v>
      </c>
      <c r="G2272" t="s">
        <v>620</v>
      </c>
      <c r="H2272" t="s">
        <v>569</v>
      </c>
      <c r="I2272" t="s">
        <v>11</v>
      </c>
      <c r="J2272" t="s">
        <v>621</v>
      </c>
      <c r="K2272" t="s">
        <v>622</v>
      </c>
      <c r="L2272" t="s">
        <v>572</v>
      </c>
      <c r="M2272">
        <v>52</v>
      </c>
      <c r="N2272" t="b">
        <v>0</v>
      </c>
      <c r="O2272">
        <v>0.8351648351648352</v>
      </c>
      <c r="P2272">
        <v>0.81545064377682408</v>
      </c>
      <c r="Q2272">
        <v>0.85585585585585588</v>
      </c>
      <c r="R2272" t="s">
        <v>60</v>
      </c>
      <c r="S2272" t="s">
        <v>4971</v>
      </c>
      <c r="T2272" t="s">
        <v>4972</v>
      </c>
      <c r="U2272" t="b">
        <v>1</v>
      </c>
      <c r="V2272" t="s">
        <v>63</v>
      </c>
      <c r="W2272">
        <v>2.2999999999999998</v>
      </c>
    </row>
    <row r="2273" spans="1:23" hidden="1" x14ac:dyDescent="0.3">
      <c r="A2273" t="s">
        <v>4031</v>
      </c>
      <c r="B2273" t="s">
        <v>4032</v>
      </c>
      <c r="C2273" t="s">
        <v>30</v>
      </c>
      <c r="D2273" t="s">
        <v>24</v>
      </c>
      <c r="E2273" t="s">
        <v>25</v>
      </c>
      <c r="F2273" t="s">
        <v>363</v>
      </c>
      <c r="G2273" t="s">
        <v>625</v>
      </c>
      <c r="H2273" t="s">
        <v>569</v>
      </c>
      <c r="I2273" t="s">
        <v>11</v>
      </c>
      <c r="J2273" t="s">
        <v>626</v>
      </c>
      <c r="K2273" t="s">
        <v>627</v>
      </c>
      <c r="L2273" t="s">
        <v>572</v>
      </c>
      <c r="M2273">
        <v>53</v>
      </c>
      <c r="N2273" t="b">
        <v>0</v>
      </c>
      <c r="O2273">
        <v>0.84632516703786187</v>
      </c>
      <c r="P2273">
        <v>0.83700440528634357</v>
      </c>
      <c r="Q2273">
        <v>0.85585585585585588</v>
      </c>
      <c r="R2273" t="s">
        <v>60</v>
      </c>
      <c r="S2273" t="s">
        <v>4973</v>
      </c>
      <c r="T2273" t="s">
        <v>4974</v>
      </c>
      <c r="U2273" t="b">
        <v>1</v>
      </c>
      <c r="V2273" t="s">
        <v>63</v>
      </c>
      <c r="W2273">
        <v>1.9</v>
      </c>
    </row>
    <row r="2274" spans="1:23" hidden="1" x14ac:dyDescent="0.3">
      <c r="A2274" t="s">
        <v>4031</v>
      </c>
      <c r="B2274" t="s">
        <v>4032</v>
      </c>
      <c r="C2274" t="s">
        <v>30</v>
      </c>
      <c r="D2274" t="s">
        <v>24</v>
      </c>
      <c r="E2274" t="s">
        <v>25</v>
      </c>
      <c r="F2274" t="s">
        <v>363</v>
      </c>
      <c r="G2274" t="s">
        <v>630</v>
      </c>
      <c r="H2274" t="s">
        <v>569</v>
      </c>
      <c r="I2274" t="s">
        <v>11</v>
      </c>
      <c r="J2274" t="s">
        <v>631</v>
      </c>
      <c r="K2274" t="s">
        <v>632</v>
      </c>
      <c r="L2274" t="s">
        <v>572</v>
      </c>
      <c r="M2274">
        <v>54</v>
      </c>
      <c r="N2274" t="b">
        <v>0</v>
      </c>
      <c r="O2274">
        <v>0.83370288248337032</v>
      </c>
      <c r="P2274">
        <v>0.82096069868995636</v>
      </c>
      <c r="Q2274">
        <v>0.84684684684684686</v>
      </c>
      <c r="R2274" t="s">
        <v>60</v>
      </c>
      <c r="S2274" t="s">
        <v>4975</v>
      </c>
      <c r="T2274" t="s">
        <v>4976</v>
      </c>
      <c r="U2274" t="b">
        <v>1</v>
      </c>
      <c r="V2274" t="s">
        <v>63</v>
      </c>
      <c r="W2274">
        <v>2.1</v>
      </c>
    </row>
    <row r="2275" spans="1:23" hidden="1" x14ac:dyDescent="0.3">
      <c r="A2275" t="s">
        <v>4031</v>
      </c>
      <c r="B2275" t="s">
        <v>4032</v>
      </c>
      <c r="C2275" t="s">
        <v>30</v>
      </c>
      <c r="D2275" t="s">
        <v>24</v>
      </c>
      <c r="E2275" t="s">
        <v>25</v>
      </c>
      <c r="F2275" t="s">
        <v>363</v>
      </c>
      <c r="G2275" t="s">
        <v>635</v>
      </c>
      <c r="H2275" t="s">
        <v>569</v>
      </c>
      <c r="I2275" t="s">
        <v>11</v>
      </c>
      <c r="J2275" t="s">
        <v>636</v>
      </c>
      <c r="K2275" t="s">
        <v>637</v>
      </c>
      <c r="L2275" t="s">
        <v>572</v>
      </c>
      <c r="M2275">
        <v>55</v>
      </c>
      <c r="N2275" t="b">
        <v>0</v>
      </c>
      <c r="O2275">
        <v>0.84187082405345204</v>
      </c>
      <c r="P2275">
        <v>0.83259911894273131</v>
      </c>
      <c r="Q2275">
        <v>0.85135135135135132</v>
      </c>
      <c r="R2275" t="s">
        <v>60</v>
      </c>
      <c r="S2275" t="s">
        <v>4977</v>
      </c>
      <c r="T2275" t="s">
        <v>4978</v>
      </c>
      <c r="U2275" t="b">
        <v>1</v>
      </c>
      <c r="V2275" t="s">
        <v>63</v>
      </c>
      <c r="W2275">
        <v>1.8</v>
      </c>
    </row>
    <row r="2276" spans="1:23" hidden="1" x14ac:dyDescent="0.3">
      <c r="A2276" t="s">
        <v>4031</v>
      </c>
      <c r="B2276" t="s">
        <v>4032</v>
      </c>
      <c r="C2276" t="s">
        <v>30</v>
      </c>
      <c r="D2276" t="s">
        <v>24</v>
      </c>
      <c r="E2276" t="s">
        <v>25</v>
      </c>
      <c r="F2276" t="s">
        <v>363</v>
      </c>
      <c r="G2276" t="s">
        <v>640</v>
      </c>
      <c r="H2276" t="s">
        <v>569</v>
      </c>
      <c r="I2276" t="s">
        <v>11</v>
      </c>
      <c r="J2276" t="s">
        <v>641</v>
      </c>
      <c r="K2276" t="s">
        <v>642</v>
      </c>
      <c r="L2276" t="s">
        <v>572</v>
      </c>
      <c r="M2276">
        <v>56</v>
      </c>
      <c r="N2276" t="b">
        <v>0</v>
      </c>
      <c r="O2276">
        <v>0.82666666666666655</v>
      </c>
      <c r="P2276">
        <v>0.81578947368421051</v>
      </c>
      <c r="Q2276">
        <v>0.83783783783783783</v>
      </c>
      <c r="R2276" t="s">
        <v>60</v>
      </c>
      <c r="S2276" t="s">
        <v>4979</v>
      </c>
      <c r="T2276" t="s">
        <v>4980</v>
      </c>
      <c r="U2276" t="b">
        <v>1</v>
      </c>
      <c r="V2276" t="s">
        <v>63</v>
      </c>
      <c r="W2276">
        <v>2.2000000000000002</v>
      </c>
    </row>
    <row r="2277" spans="1:23" hidden="1" x14ac:dyDescent="0.3">
      <c r="A2277" t="s">
        <v>4031</v>
      </c>
      <c r="B2277" t="s">
        <v>4032</v>
      </c>
      <c r="C2277" t="s">
        <v>30</v>
      </c>
      <c r="D2277" t="s">
        <v>24</v>
      </c>
      <c r="E2277" t="s">
        <v>25</v>
      </c>
      <c r="F2277" t="s">
        <v>363</v>
      </c>
      <c r="G2277" t="s">
        <v>645</v>
      </c>
      <c r="H2277" t="s">
        <v>569</v>
      </c>
      <c r="I2277" t="s">
        <v>11</v>
      </c>
      <c r="J2277" t="s">
        <v>646</v>
      </c>
      <c r="K2277" t="s">
        <v>647</v>
      </c>
      <c r="L2277" t="s">
        <v>572</v>
      </c>
      <c r="M2277">
        <v>57</v>
      </c>
      <c r="N2277" t="b">
        <v>0</v>
      </c>
      <c r="O2277">
        <v>0.83296213808463249</v>
      </c>
      <c r="P2277">
        <v>0.82378854625550657</v>
      </c>
      <c r="Q2277">
        <v>0.84234234234234229</v>
      </c>
      <c r="R2277" t="s">
        <v>60</v>
      </c>
      <c r="S2277" t="s">
        <v>4981</v>
      </c>
      <c r="T2277" t="s">
        <v>4982</v>
      </c>
      <c r="U2277" t="b">
        <v>1</v>
      </c>
      <c r="V2277" t="s">
        <v>63</v>
      </c>
      <c r="W2277">
        <v>1.2</v>
      </c>
    </row>
    <row r="2278" spans="1:23" hidden="1" x14ac:dyDescent="0.3">
      <c r="A2278" t="s">
        <v>4031</v>
      </c>
      <c r="B2278" t="s">
        <v>4032</v>
      </c>
      <c r="C2278" t="s">
        <v>30</v>
      </c>
      <c r="D2278" t="s">
        <v>24</v>
      </c>
      <c r="E2278" t="s">
        <v>25</v>
      </c>
      <c r="F2278" t="s">
        <v>363</v>
      </c>
      <c r="G2278" t="s">
        <v>650</v>
      </c>
      <c r="H2278" t="s">
        <v>569</v>
      </c>
      <c r="I2278" t="s">
        <v>11</v>
      </c>
      <c r="J2278" t="s">
        <v>651</v>
      </c>
      <c r="K2278" t="s">
        <v>652</v>
      </c>
      <c r="L2278" t="s">
        <v>572</v>
      </c>
      <c r="M2278">
        <v>58</v>
      </c>
      <c r="N2278" t="b">
        <v>0</v>
      </c>
      <c r="O2278">
        <v>0.83296213808463249</v>
      </c>
      <c r="P2278">
        <v>0.82378854625550657</v>
      </c>
      <c r="Q2278">
        <v>0.84234234234234229</v>
      </c>
      <c r="R2278" t="s">
        <v>60</v>
      </c>
      <c r="S2278" t="s">
        <v>4983</v>
      </c>
      <c r="T2278" t="s">
        <v>4984</v>
      </c>
      <c r="U2278" t="b">
        <v>1</v>
      </c>
      <c r="V2278" t="s">
        <v>63</v>
      </c>
      <c r="W2278">
        <v>1.2</v>
      </c>
    </row>
    <row r="2279" spans="1:23" hidden="1" x14ac:dyDescent="0.3">
      <c r="A2279" t="s">
        <v>4031</v>
      </c>
      <c r="B2279" t="s">
        <v>4032</v>
      </c>
      <c r="C2279" t="s">
        <v>30</v>
      </c>
      <c r="D2279" t="s">
        <v>24</v>
      </c>
      <c r="E2279" t="s">
        <v>25</v>
      </c>
      <c r="F2279" t="s">
        <v>363</v>
      </c>
      <c r="G2279" t="s">
        <v>655</v>
      </c>
      <c r="H2279" t="s">
        <v>569</v>
      </c>
      <c r="I2279" t="s">
        <v>11</v>
      </c>
      <c r="J2279" t="s">
        <v>656</v>
      </c>
      <c r="K2279" t="s">
        <v>657</v>
      </c>
      <c r="L2279" t="s">
        <v>572</v>
      </c>
      <c r="M2279">
        <v>59</v>
      </c>
      <c r="N2279" t="b">
        <v>0</v>
      </c>
      <c r="O2279">
        <v>0.82378854625550657</v>
      </c>
      <c r="P2279">
        <v>0.80603448275862066</v>
      </c>
      <c r="Q2279">
        <v>0.84234234234234229</v>
      </c>
      <c r="R2279" t="s">
        <v>60</v>
      </c>
      <c r="S2279" t="s">
        <v>4985</v>
      </c>
      <c r="T2279" t="s">
        <v>4986</v>
      </c>
      <c r="U2279" t="b">
        <v>1</v>
      </c>
      <c r="V2279" t="s">
        <v>63</v>
      </c>
      <c r="W2279">
        <v>1.6</v>
      </c>
    </row>
    <row r="2280" spans="1:23" hidden="1" x14ac:dyDescent="0.3">
      <c r="A2280" t="s">
        <v>4031</v>
      </c>
      <c r="B2280" t="s">
        <v>4032</v>
      </c>
      <c r="C2280" t="s">
        <v>30</v>
      </c>
      <c r="D2280" t="s">
        <v>24</v>
      </c>
      <c r="E2280" t="s">
        <v>25</v>
      </c>
      <c r="F2280" t="s">
        <v>363</v>
      </c>
      <c r="G2280" t="s">
        <v>660</v>
      </c>
      <c r="H2280" t="s">
        <v>569</v>
      </c>
      <c r="I2280" t="s">
        <v>11</v>
      </c>
      <c r="J2280" t="s">
        <v>661</v>
      </c>
      <c r="K2280" t="s">
        <v>662</v>
      </c>
      <c r="L2280" t="s">
        <v>572</v>
      </c>
      <c r="M2280">
        <v>60</v>
      </c>
      <c r="N2280" t="b">
        <v>0</v>
      </c>
      <c r="O2280">
        <v>0.84000000000000008</v>
      </c>
      <c r="P2280">
        <v>0.82894736842105265</v>
      </c>
      <c r="Q2280">
        <v>0.85135135135135132</v>
      </c>
      <c r="R2280" t="s">
        <v>60</v>
      </c>
      <c r="S2280" t="s">
        <v>4987</v>
      </c>
      <c r="T2280" t="s">
        <v>4988</v>
      </c>
      <c r="U2280" t="b">
        <v>1</v>
      </c>
      <c r="V2280" t="s">
        <v>63</v>
      </c>
      <c r="W2280">
        <v>1.2</v>
      </c>
    </row>
    <row r="2281" spans="1:23" hidden="1" x14ac:dyDescent="0.3">
      <c r="A2281" t="s">
        <v>4031</v>
      </c>
      <c r="B2281" t="s">
        <v>4032</v>
      </c>
      <c r="C2281" t="s">
        <v>30</v>
      </c>
      <c r="D2281" t="s">
        <v>24</v>
      </c>
      <c r="E2281" t="s">
        <v>25</v>
      </c>
      <c r="F2281" t="s">
        <v>363</v>
      </c>
      <c r="G2281" t="s">
        <v>665</v>
      </c>
      <c r="H2281" t="s">
        <v>569</v>
      </c>
      <c r="I2281" t="s">
        <v>11</v>
      </c>
      <c r="J2281" t="s">
        <v>666</v>
      </c>
      <c r="K2281" t="s">
        <v>667</v>
      </c>
      <c r="L2281" t="s">
        <v>572</v>
      </c>
      <c r="M2281">
        <v>61</v>
      </c>
      <c r="N2281" t="b">
        <v>0</v>
      </c>
      <c r="O2281">
        <v>0.84000000000000008</v>
      </c>
      <c r="P2281">
        <v>0.82894736842105265</v>
      </c>
      <c r="Q2281">
        <v>0.85135135135135132</v>
      </c>
      <c r="R2281" t="s">
        <v>60</v>
      </c>
      <c r="S2281" t="s">
        <v>4989</v>
      </c>
      <c r="T2281" t="s">
        <v>4990</v>
      </c>
      <c r="U2281" t="b">
        <v>1</v>
      </c>
      <c r="V2281" t="s">
        <v>63</v>
      </c>
      <c r="W2281">
        <v>1.3</v>
      </c>
    </row>
    <row r="2282" spans="1:23" hidden="1" x14ac:dyDescent="0.3">
      <c r="A2282" t="s">
        <v>4031</v>
      </c>
      <c r="B2282" t="s">
        <v>4032</v>
      </c>
      <c r="C2282" t="s">
        <v>30</v>
      </c>
      <c r="D2282" t="s">
        <v>26</v>
      </c>
      <c r="E2282" t="s">
        <v>27</v>
      </c>
      <c r="F2282" t="s">
        <v>54</v>
      </c>
      <c r="G2282" t="s">
        <v>55</v>
      </c>
      <c r="H2282" t="s">
        <v>56</v>
      </c>
      <c r="I2282" t="s">
        <v>7</v>
      </c>
      <c r="J2282" t="s">
        <v>57</v>
      </c>
      <c r="K2282" t="s">
        <v>58</v>
      </c>
      <c r="L2282" t="s">
        <v>59</v>
      </c>
      <c r="M2282">
        <v>42</v>
      </c>
      <c r="N2282" t="b">
        <v>1</v>
      </c>
      <c r="O2282">
        <v>0.72803347280334718</v>
      </c>
      <c r="P2282">
        <v>0.70161290322580649</v>
      </c>
      <c r="Q2282">
        <v>0.75652173913043474</v>
      </c>
      <c r="R2282" t="s">
        <v>60</v>
      </c>
      <c r="S2282" t="s">
        <v>4991</v>
      </c>
      <c r="T2282" t="s">
        <v>4992</v>
      </c>
      <c r="U2282" t="b">
        <v>1</v>
      </c>
      <c r="V2282" t="s">
        <v>63</v>
      </c>
      <c r="W2282">
        <v>5.9</v>
      </c>
    </row>
    <row r="2283" spans="1:23" hidden="1" x14ac:dyDescent="0.3">
      <c r="A2283" t="s">
        <v>4031</v>
      </c>
      <c r="B2283" t="s">
        <v>4032</v>
      </c>
      <c r="C2283" t="s">
        <v>30</v>
      </c>
      <c r="D2283" t="s">
        <v>26</v>
      </c>
      <c r="E2283" t="s">
        <v>27</v>
      </c>
      <c r="F2283" t="s">
        <v>54</v>
      </c>
      <c r="G2283" t="s">
        <v>64</v>
      </c>
      <c r="H2283" t="s">
        <v>56</v>
      </c>
      <c r="I2283" t="s">
        <v>7</v>
      </c>
      <c r="J2283" t="s">
        <v>65</v>
      </c>
      <c r="K2283" t="s">
        <v>66</v>
      </c>
      <c r="L2283" t="s">
        <v>59</v>
      </c>
      <c r="M2283">
        <v>43</v>
      </c>
      <c r="N2283" t="b">
        <v>1</v>
      </c>
      <c r="O2283">
        <v>0.70981210855949894</v>
      </c>
      <c r="P2283">
        <v>0.68273092369477917</v>
      </c>
      <c r="Q2283">
        <v>0.73913043478260865</v>
      </c>
      <c r="R2283" t="s">
        <v>60</v>
      </c>
      <c r="S2283" t="s">
        <v>4993</v>
      </c>
      <c r="T2283" t="s">
        <v>4994</v>
      </c>
      <c r="U2283" t="b">
        <v>1</v>
      </c>
      <c r="V2283" t="s">
        <v>63</v>
      </c>
      <c r="W2283">
        <v>1.3</v>
      </c>
    </row>
    <row r="2284" spans="1:23" hidden="1" x14ac:dyDescent="0.3">
      <c r="A2284" t="s">
        <v>4031</v>
      </c>
      <c r="B2284" t="s">
        <v>4032</v>
      </c>
      <c r="C2284" t="s">
        <v>30</v>
      </c>
      <c r="D2284" t="s">
        <v>26</v>
      </c>
      <c r="E2284" t="s">
        <v>27</v>
      </c>
      <c r="F2284" t="s">
        <v>54</v>
      </c>
      <c r="G2284" t="s">
        <v>69</v>
      </c>
      <c r="H2284" t="s">
        <v>56</v>
      </c>
      <c r="I2284" t="s">
        <v>7</v>
      </c>
      <c r="J2284" t="s">
        <v>70</v>
      </c>
      <c r="K2284" t="s">
        <v>71</v>
      </c>
      <c r="L2284" t="s">
        <v>59</v>
      </c>
      <c r="M2284">
        <v>44</v>
      </c>
      <c r="N2284" t="b">
        <v>1</v>
      </c>
      <c r="O2284">
        <v>0.7649572649572649</v>
      </c>
      <c r="P2284">
        <v>0.75210084033613445</v>
      </c>
      <c r="Q2284">
        <v>0.77826086956521734</v>
      </c>
      <c r="R2284" t="s">
        <v>60</v>
      </c>
      <c r="S2284" t="s">
        <v>4995</v>
      </c>
      <c r="T2284" t="s">
        <v>4996</v>
      </c>
      <c r="U2284" t="b">
        <v>1</v>
      </c>
      <c r="V2284" t="s">
        <v>63</v>
      </c>
      <c r="W2284">
        <v>1.7</v>
      </c>
    </row>
    <row r="2285" spans="1:23" hidden="1" x14ac:dyDescent="0.3">
      <c r="A2285" t="s">
        <v>4031</v>
      </c>
      <c r="B2285" t="s">
        <v>4032</v>
      </c>
      <c r="C2285" t="s">
        <v>30</v>
      </c>
      <c r="D2285" t="s">
        <v>26</v>
      </c>
      <c r="E2285" t="s">
        <v>27</v>
      </c>
      <c r="F2285" t="s">
        <v>54</v>
      </c>
      <c r="G2285" t="s">
        <v>74</v>
      </c>
      <c r="H2285" t="s">
        <v>56</v>
      </c>
      <c r="I2285" t="s">
        <v>7</v>
      </c>
      <c r="J2285" t="s">
        <v>75</v>
      </c>
      <c r="K2285" t="s">
        <v>76</v>
      </c>
      <c r="L2285" t="s">
        <v>59</v>
      </c>
      <c r="M2285">
        <v>45</v>
      </c>
      <c r="N2285" t="b">
        <v>1</v>
      </c>
      <c r="O2285">
        <v>0.76231263383297643</v>
      </c>
      <c r="P2285">
        <v>0.75105485232067515</v>
      </c>
      <c r="Q2285">
        <v>0.77391304347826084</v>
      </c>
      <c r="R2285" t="s">
        <v>60</v>
      </c>
      <c r="S2285" t="s">
        <v>4997</v>
      </c>
      <c r="T2285" t="s">
        <v>4998</v>
      </c>
      <c r="U2285" t="b">
        <v>1</v>
      </c>
      <c r="V2285" t="s">
        <v>63</v>
      </c>
      <c r="W2285">
        <v>1.3</v>
      </c>
    </row>
    <row r="2286" spans="1:23" hidden="1" x14ac:dyDescent="0.3">
      <c r="A2286" t="s">
        <v>4031</v>
      </c>
      <c r="B2286" t="s">
        <v>4032</v>
      </c>
      <c r="C2286" t="s">
        <v>30</v>
      </c>
      <c r="D2286" t="s">
        <v>26</v>
      </c>
      <c r="E2286" t="s">
        <v>27</v>
      </c>
      <c r="F2286" t="s">
        <v>54</v>
      </c>
      <c r="G2286" t="s">
        <v>79</v>
      </c>
      <c r="H2286" t="s">
        <v>56</v>
      </c>
      <c r="I2286" t="s">
        <v>7</v>
      </c>
      <c r="J2286" t="s">
        <v>80</v>
      </c>
      <c r="K2286" t="s">
        <v>81</v>
      </c>
      <c r="L2286" t="s">
        <v>59</v>
      </c>
      <c r="M2286">
        <v>46</v>
      </c>
      <c r="N2286" t="b">
        <v>1</v>
      </c>
      <c r="O2286">
        <v>0.73036093418259018</v>
      </c>
      <c r="P2286">
        <v>0.7136929460580913</v>
      </c>
      <c r="Q2286">
        <v>0.74782608695652175</v>
      </c>
      <c r="R2286" t="s">
        <v>60</v>
      </c>
      <c r="S2286" t="s">
        <v>4999</v>
      </c>
      <c r="T2286" t="s">
        <v>5000</v>
      </c>
      <c r="U2286" t="b">
        <v>1</v>
      </c>
      <c r="V2286" t="s">
        <v>63</v>
      </c>
      <c r="W2286">
        <v>1.3</v>
      </c>
    </row>
    <row r="2287" spans="1:23" hidden="1" x14ac:dyDescent="0.3">
      <c r="A2287" t="s">
        <v>4031</v>
      </c>
      <c r="B2287" t="s">
        <v>4032</v>
      </c>
      <c r="C2287" t="s">
        <v>30</v>
      </c>
      <c r="D2287" t="s">
        <v>26</v>
      </c>
      <c r="E2287" t="s">
        <v>27</v>
      </c>
      <c r="F2287" t="s">
        <v>54</v>
      </c>
      <c r="G2287" t="s">
        <v>84</v>
      </c>
      <c r="H2287" t="s">
        <v>56</v>
      </c>
      <c r="I2287" t="s">
        <v>7</v>
      </c>
      <c r="J2287" t="s">
        <v>85</v>
      </c>
      <c r="K2287" t="s">
        <v>86</v>
      </c>
      <c r="L2287" t="s">
        <v>59</v>
      </c>
      <c r="M2287">
        <v>47</v>
      </c>
      <c r="N2287" t="b">
        <v>1</v>
      </c>
      <c r="O2287">
        <v>0.74786324786324798</v>
      </c>
      <c r="P2287">
        <v>0.73529411764705888</v>
      </c>
      <c r="Q2287">
        <v>0.76086956521739135</v>
      </c>
      <c r="R2287" t="s">
        <v>60</v>
      </c>
      <c r="S2287" t="s">
        <v>5001</v>
      </c>
      <c r="T2287" t="s">
        <v>5002</v>
      </c>
      <c r="U2287" t="b">
        <v>1</v>
      </c>
      <c r="V2287" t="s">
        <v>63</v>
      </c>
      <c r="W2287">
        <v>1.7</v>
      </c>
    </row>
    <row r="2288" spans="1:23" hidden="1" x14ac:dyDescent="0.3">
      <c r="A2288" t="s">
        <v>4031</v>
      </c>
      <c r="B2288" t="s">
        <v>4032</v>
      </c>
      <c r="C2288" t="s">
        <v>30</v>
      </c>
      <c r="D2288" t="s">
        <v>26</v>
      </c>
      <c r="E2288" t="s">
        <v>27</v>
      </c>
      <c r="F2288" t="s">
        <v>54</v>
      </c>
      <c r="G2288" t="s">
        <v>89</v>
      </c>
      <c r="H2288" t="s">
        <v>56</v>
      </c>
      <c r="I2288" t="s">
        <v>7</v>
      </c>
      <c r="J2288" t="s">
        <v>90</v>
      </c>
      <c r="K2288" t="s">
        <v>91</v>
      </c>
      <c r="L2288" t="s">
        <v>59</v>
      </c>
      <c r="M2288">
        <v>48</v>
      </c>
      <c r="N2288" t="b">
        <v>1</v>
      </c>
      <c r="O2288">
        <v>0.70833333333333337</v>
      </c>
      <c r="P2288">
        <v>0.68</v>
      </c>
      <c r="Q2288">
        <v>0.73913043478260865</v>
      </c>
      <c r="R2288" t="s">
        <v>60</v>
      </c>
      <c r="S2288" t="s">
        <v>5003</v>
      </c>
      <c r="T2288" t="s">
        <v>5004</v>
      </c>
      <c r="U2288" t="b">
        <v>1</v>
      </c>
      <c r="V2288" t="s">
        <v>63</v>
      </c>
      <c r="W2288">
        <v>1.3</v>
      </c>
    </row>
    <row r="2289" spans="1:23" hidden="1" x14ac:dyDescent="0.3">
      <c r="A2289" t="s">
        <v>4031</v>
      </c>
      <c r="B2289" t="s">
        <v>4032</v>
      </c>
      <c r="C2289" t="s">
        <v>30</v>
      </c>
      <c r="D2289" t="s">
        <v>26</v>
      </c>
      <c r="E2289" t="s">
        <v>27</v>
      </c>
      <c r="F2289" t="s">
        <v>54</v>
      </c>
      <c r="G2289" t="s">
        <v>94</v>
      </c>
      <c r="H2289" t="s">
        <v>56</v>
      </c>
      <c r="I2289" t="s">
        <v>7</v>
      </c>
      <c r="J2289" t="s">
        <v>95</v>
      </c>
      <c r="K2289" t="s">
        <v>96</v>
      </c>
      <c r="L2289" t="s">
        <v>59</v>
      </c>
      <c r="M2289">
        <v>49</v>
      </c>
      <c r="N2289" t="b">
        <v>1</v>
      </c>
      <c r="O2289">
        <v>0.73684210526315808</v>
      </c>
      <c r="P2289">
        <v>0.7142857142857143</v>
      </c>
      <c r="Q2289">
        <v>0.76086956521739135</v>
      </c>
      <c r="R2289" t="s">
        <v>60</v>
      </c>
      <c r="S2289" t="s">
        <v>5005</v>
      </c>
      <c r="T2289" t="s">
        <v>5006</v>
      </c>
      <c r="U2289" t="b">
        <v>1</v>
      </c>
      <c r="V2289" t="s">
        <v>63</v>
      </c>
      <c r="W2289">
        <v>1.3</v>
      </c>
    </row>
    <row r="2290" spans="1:23" hidden="1" x14ac:dyDescent="0.3">
      <c r="A2290" t="s">
        <v>4031</v>
      </c>
      <c r="B2290" t="s">
        <v>4032</v>
      </c>
      <c r="C2290" t="s">
        <v>30</v>
      </c>
      <c r="D2290" t="s">
        <v>26</v>
      </c>
      <c r="E2290" t="s">
        <v>27</v>
      </c>
      <c r="F2290" t="s">
        <v>54</v>
      </c>
      <c r="G2290" t="s">
        <v>99</v>
      </c>
      <c r="H2290" t="s">
        <v>56</v>
      </c>
      <c r="I2290" t="s">
        <v>7</v>
      </c>
      <c r="J2290" t="s">
        <v>100</v>
      </c>
      <c r="K2290" t="s">
        <v>101</v>
      </c>
      <c r="L2290" t="s">
        <v>59</v>
      </c>
      <c r="M2290">
        <v>50</v>
      </c>
      <c r="N2290" t="b">
        <v>1</v>
      </c>
      <c r="O2290">
        <v>0.75161987041036704</v>
      </c>
      <c r="P2290">
        <v>0.74678111587982832</v>
      </c>
      <c r="Q2290">
        <v>0.75652173913043474</v>
      </c>
      <c r="R2290" t="s">
        <v>60</v>
      </c>
      <c r="S2290" t="s">
        <v>5007</v>
      </c>
      <c r="T2290" t="s">
        <v>5008</v>
      </c>
      <c r="U2290" t="b">
        <v>1</v>
      </c>
      <c r="V2290" t="s">
        <v>63</v>
      </c>
      <c r="W2290">
        <v>1.7</v>
      </c>
    </row>
    <row r="2291" spans="1:23" hidden="1" x14ac:dyDescent="0.3">
      <c r="A2291" t="s">
        <v>4031</v>
      </c>
      <c r="B2291" t="s">
        <v>4032</v>
      </c>
      <c r="C2291" t="s">
        <v>30</v>
      </c>
      <c r="D2291" t="s">
        <v>26</v>
      </c>
      <c r="E2291" t="s">
        <v>27</v>
      </c>
      <c r="F2291" t="s">
        <v>54</v>
      </c>
      <c r="G2291" t="s">
        <v>104</v>
      </c>
      <c r="H2291" t="s">
        <v>56</v>
      </c>
      <c r="I2291" t="s">
        <v>7</v>
      </c>
      <c r="J2291" t="s">
        <v>105</v>
      </c>
      <c r="K2291" t="s">
        <v>106</v>
      </c>
      <c r="L2291" t="s">
        <v>59</v>
      </c>
      <c r="M2291">
        <v>51</v>
      </c>
      <c r="N2291" t="b">
        <v>1</v>
      </c>
      <c r="O2291">
        <v>0.73839662447257393</v>
      </c>
      <c r="P2291">
        <v>0.71721311475409832</v>
      </c>
      <c r="Q2291">
        <v>0.76086956521739135</v>
      </c>
      <c r="R2291" t="s">
        <v>60</v>
      </c>
      <c r="S2291" t="s">
        <v>5009</v>
      </c>
      <c r="T2291" t="s">
        <v>5010</v>
      </c>
      <c r="U2291" t="b">
        <v>1</v>
      </c>
      <c r="V2291" t="s">
        <v>63</v>
      </c>
      <c r="W2291">
        <v>1.3</v>
      </c>
    </row>
    <row r="2292" spans="1:23" hidden="1" x14ac:dyDescent="0.3">
      <c r="A2292" t="s">
        <v>4031</v>
      </c>
      <c r="B2292" t="s">
        <v>4032</v>
      </c>
      <c r="C2292" t="s">
        <v>30</v>
      </c>
      <c r="D2292" t="s">
        <v>26</v>
      </c>
      <c r="E2292" t="s">
        <v>27</v>
      </c>
      <c r="F2292" t="s">
        <v>54</v>
      </c>
      <c r="G2292" t="s">
        <v>109</v>
      </c>
      <c r="H2292" t="s">
        <v>56</v>
      </c>
      <c r="I2292" t="s">
        <v>7</v>
      </c>
      <c r="J2292" t="s">
        <v>110</v>
      </c>
      <c r="K2292" t="s">
        <v>111</v>
      </c>
      <c r="L2292" t="s">
        <v>59</v>
      </c>
      <c r="M2292">
        <v>52</v>
      </c>
      <c r="N2292" t="b">
        <v>1</v>
      </c>
      <c r="O2292">
        <v>0.71250000000000013</v>
      </c>
      <c r="P2292">
        <v>0.68400000000000005</v>
      </c>
      <c r="Q2292">
        <v>0.74347826086956526</v>
      </c>
      <c r="R2292" t="s">
        <v>60</v>
      </c>
      <c r="S2292" t="s">
        <v>5011</v>
      </c>
      <c r="T2292" t="s">
        <v>5012</v>
      </c>
      <c r="U2292" t="b">
        <v>1</v>
      </c>
      <c r="V2292" t="s">
        <v>63</v>
      </c>
      <c r="W2292">
        <v>1.3</v>
      </c>
    </row>
    <row r="2293" spans="1:23" hidden="1" x14ac:dyDescent="0.3">
      <c r="A2293" t="s">
        <v>4031</v>
      </c>
      <c r="B2293" t="s">
        <v>4032</v>
      </c>
      <c r="C2293" t="s">
        <v>30</v>
      </c>
      <c r="D2293" t="s">
        <v>26</v>
      </c>
      <c r="E2293" t="s">
        <v>27</v>
      </c>
      <c r="F2293" t="s">
        <v>54</v>
      </c>
      <c r="G2293" t="s">
        <v>114</v>
      </c>
      <c r="H2293" t="s">
        <v>56</v>
      </c>
      <c r="I2293" t="s">
        <v>7</v>
      </c>
      <c r="J2293" t="s">
        <v>115</v>
      </c>
      <c r="K2293" t="s">
        <v>116</v>
      </c>
      <c r="L2293" t="s">
        <v>59</v>
      </c>
      <c r="M2293">
        <v>53</v>
      </c>
      <c r="N2293" t="b">
        <v>1</v>
      </c>
      <c r="O2293">
        <v>0.75105485232067504</v>
      </c>
      <c r="P2293">
        <v>0.72950819672131151</v>
      </c>
      <c r="Q2293">
        <v>0.77391304347826084</v>
      </c>
      <c r="R2293" t="s">
        <v>60</v>
      </c>
      <c r="S2293" t="s">
        <v>5013</v>
      </c>
      <c r="T2293" t="s">
        <v>5014</v>
      </c>
      <c r="U2293" t="b">
        <v>1</v>
      </c>
      <c r="V2293" t="s">
        <v>63</v>
      </c>
      <c r="W2293">
        <v>1.7</v>
      </c>
    </row>
    <row r="2294" spans="1:23" hidden="1" x14ac:dyDescent="0.3">
      <c r="A2294" t="s">
        <v>4031</v>
      </c>
      <c r="B2294" t="s">
        <v>4032</v>
      </c>
      <c r="C2294" t="s">
        <v>30</v>
      </c>
      <c r="D2294" t="s">
        <v>26</v>
      </c>
      <c r="E2294" t="s">
        <v>27</v>
      </c>
      <c r="F2294" t="s">
        <v>54</v>
      </c>
      <c r="G2294" t="s">
        <v>119</v>
      </c>
      <c r="H2294" t="s">
        <v>56</v>
      </c>
      <c r="I2294" t="s">
        <v>7</v>
      </c>
      <c r="J2294" t="s">
        <v>120</v>
      </c>
      <c r="K2294" t="s">
        <v>121</v>
      </c>
      <c r="L2294" t="s">
        <v>59</v>
      </c>
      <c r="M2294">
        <v>54</v>
      </c>
      <c r="N2294" t="b">
        <v>1</v>
      </c>
      <c r="O2294">
        <v>0.72765957446808516</v>
      </c>
      <c r="P2294">
        <v>0.71250000000000002</v>
      </c>
      <c r="Q2294">
        <v>0.74347826086956526</v>
      </c>
      <c r="R2294" t="s">
        <v>60</v>
      </c>
      <c r="S2294" t="s">
        <v>5015</v>
      </c>
      <c r="T2294" t="s">
        <v>5016</v>
      </c>
      <c r="U2294" t="b">
        <v>1</v>
      </c>
      <c r="V2294" t="s">
        <v>63</v>
      </c>
      <c r="W2294">
        <v>1.3</v>
      </c>
    </row>
    <row r="2295" spans="1:23" hidden="1" x14ac:dyDescent="0.3">
      <c r="A2295" t="s">
        <v>4031</v>
      </c>
      <c r="B2295" t="s">
        <v>4032</v>
      </c>
      <c r="C2295" t="s">
        <v>30</v>
      </c>
      <c r="D2295" t="s">
        <v>26</v>
      </c>
      <c r="E2295" t="s">
        <v>27</v>
      </c>
      <c r="F2295" t="s">
        <v>54</v>
      </c>
      <c r="G2295" t="s">
        <v>124</v>
      </c>
      <c r="H2295" t="s">
        <v>56</v>
      </c>
      <c r="I2295" t="s">
        <v>7</v>
      </c>
      <c r="J2295" t="s">
        <v>125</v>
      </c>
      <c r="K2295" t="s">
        <v>126</v>
      </c>
      <c r="L2295" t="s">
        <v>59</v>
      </c>
      <c r="M2295">
        <v>55</v>
      </c>
      <c r="N2295" t="b">
        <v>1</v>
      </c>
      <c r="O2295">
        <v>0.73529411764705888</v>
      </c>
      <c r="P2295">
        <v>0.71138211382113825</v>
      </c>
      <c r="Q2295">
        <v>0.76086956521739135</v>
      </c>
      <c r="R2295" t="s">
        <v>60</v>
      </c>
      <c r="S2295" t="s">
        <v>5017</v>
      </c>
      <c r="T2295" t="s">
        <v>5018</v>
      </c>
      <c r="U2295" t="b">
        <v>1</v>
      </c>
      <c r="V2295" t="s">
        <v>63</v>
      </c>
      <c r="W2295">
        <v>1.7</v>
      </c>
    </row>
    <row r="2296" spans="1:23" hidden="1" x14ac:dyDescent="0.3">
      <c r="A2296" t="s">
        <v>4031</v>
      </c>
      <c r="B2296" t="s">
        <v>4032</v>
      </c>
      <c r="C2296" t="s">
        <v>30</v>
      </c>
      <c r="D2296" t="s">
        <v>26</v>
      </c>
      <c r="E2296" t="s">
        <v>27</v>
      </c>
      <c r="F2296" t="s">
        <v>54</v>
      </c>
      <c r="G2296" t="s">
        <v>129</v>
      </c>
      <c r="H2296" t="s">
        <v>56</v>
      </c>
      <c r="I2296" t="s">
        <v>7</v>
      </c>
      <c r="J2296" t="s">
        <v>130</v>
      </c>
      <c r="K2296" t="s">
        <v>131</v>
      </c>
      <c r="L2296" t="s">
        <v>59</v>
      </c>
      <c r="M2296">
        <v>56</v>
      </c>
      <c r="N2296" t="b">
        <v>1</v>
      </c>
      <c r="O2296">
        <v>0.74213836477987416</v>
      </c>
      <c r="P2296">
        <v>0.7165991902834008</v>
      </c>
      <c r="Q2296">
        <v>0.76956521739130435</v>
      </c>
      <c r="R2296" t="s">
        <v>60</v>
      </c>
      <c r="S2296" t="s">
        <v>5019</v>
      </c>
      <c r="T2296" t="s">
        <v>5020</v>
      </c>
      <c r="U2296" t="b">
        <v>1</v>
      </c>
      <c r="V2296" t="s">
        <v>63</v>
      </c>
      <c r="W2296">
        <v>1.3</v>
      </c>
    </row>
    <row r="2297" spans="1:23" hidden="1" x14ac:dyDescent="0.3">
      <c r="A2297" t="s">
        <v>4031</v>
      </c>
      <c r="B2297" t="s">
        <v>4032</v>
      </c>
      <c r="C2297" t="s">
        <v>30</v>
      </c>
      <c r="D2297" t="s">
        <v>26</v>
      </c>
      <c r="E2297" t="s">
        <v>27</v>
      </c>
      <c r="F2297" t="s">
        <v>54</v>
      </c>
      <c r="G2297" t="s">
        <v>134</v>
      </c>
      <c r="H2297" t="s">
        <v>56</v>
      </c>
      <c r="I2297" t="s">
        <v>7</v>
      </c>
      <c r="J2297" t="s">
        <v>135</v>
      </c>
      <c r="K2297" t="s">
        <v>136</v>
      </c>
      <c r="L2297" t="s">
        <v>59</v>
      </c>
      <c r="M2297">
        <v>57</v>
      </c>
      <c r="N2297" t="b">
        <v>1</v>
      </c>
      <c r="O2297">
        <v>0.72384937238493718</v>
      </c>
      <c r="P2297">
        <v>0.69758064516129037</v>
      </c>
      <c r="Q2297">
        <v>0.75217391304347825</v>
      </c>
      <c r="R2297" t="s">
        <v>60</v>
      </c>
      <c r="S2297" t="s">
        <v>5021</v>
      </c>
      <c r="T2297" t="s">
        <v>5022</v>
      </c>
      <c r="U2297" t="b">
        <v>1</v>
      </c>
      <c r="V2297" t="s">
        <v>63</v>
      </c>
      <c r="W2297">
        <v>1.3</v>
      </c>
    </row>
    <row r="2298" spans="1:23" hidden="1" x14ac:dyDescent="0.3">
      <c r="A2298" t="s">
        <v>4031</v>
      </c>
      <c r="B2298" t="s">
        <v>4032</v>
      </c>
      <c r="C2298" t="s">
        <v>30</v>
      </c>
      <c r="D2298" t="s">
        <v>26</v>
      </c>
      <c r="E2298" t="s">
        <v>27</v>
      </c>
      <c r="F2298" t="s">
        <v>54</v>
      </c>
      <c r="G2298" t="s">
        <v>139</v>
      </c>
      <c r="H2298" t="s">
        <v>56</v>
      </c>
      <c r="I2298" t="s">
        <v>7</v>
      </c>
      <c r="J2298" t="s">
        <v>140</v>
      </c>
      <c r="K2298" t="s">
        <v>141</v>
      </c>
      <c r="L2298" t="s">
        <v>59</v>
      </c>
      <c r="M2298">
        <v>58</v>
      </c>
      <c r="N2298" t="b">
        <v>1</v>
      </c>
      <c r="O2298">
        <v>0.76293103448275856</v>
      </c>
      <c r="P2298">
        <v>0.75641025641025639</v>
      </c>
      <c r="Q2298">
        <v>0.76956521739130435</v>
      </c>
      <c r="R2298" t="s">
        <v>60</v>
      </c>
      <c r="S2298" t="s">
        <v>5023</v>
      </c>
      <c r="T2298" t="s">
        <v>5024</v>
      </c>
      <c r="U2298" t="b">
        <v>1</v>
      </c>
      <c r="V2298" t="s">
        <v>63</v>
      </c>
      <c r="W2298">
        <v>1.3</v>
      </c>
    </row>
    <row r="2299" spans="1:23" hidden="1" x14ac:dyDescent="0.3">
      <c r="A2299" t="s">
        <v>4031</v>
      </c>
      <c r="B2299" t="s">
        <v>4032</v>
      </c>
      <c r="C2299" t="s">
        <v>30</v>
      </c>
      <c r="D2299" t="s">
        <v>26</v>
      </c>
      <c r="E2299" t="s">
        <v>27</v>
      </c>
      <c r="F2299" t="s">
        <v>54</v>
      </c>
      <c r="G2299" t="s">
        <v>144</v>
      </c>
      <c r="H2299" t="s">
        <v>56</v>
      </c>
      <c r="I2299" t="s">
        <v>7</v>
      </c>
      <c r="J2299" t="s">
        <v>145</v>
      </c>
      <c r="K2299" t="s">
        <v>146</v>
      </c>
      <c r="L2299" t="s">
        <v>59</v>
      </c>
      <c r="M2299">
        <v>59</v>
      </c>
      <c r="N2299" t="b">
        <v>1</v>
      </c>
      <c r="O2299">
        <v>0.75687103594080329</v>
      </c>
      <c r="P2299">
        <v>0.73662551440329216</v>
      </c>
      <c r="Q2299">
        <v>0.77826086956521734</v>
      </c>
      <c r="R2299" t="s">
        <v>60</v>
      </c>
      <c r="S2299" t="s">
        <v>5025</v>
      </c>
      <c r="T2299" t="s">
        <v>5026</v>
      </c>
      <c r="U2299" t="b">
        <v>1</v>
      </c>
      <c r="V2299" t="s">
        <v>63</v>
      </c>
      <c r="W2299">
        <v>1.7</v>
      </c>
    </row>
    <row r="2300" spans="1:23" hidden="1" x14ac:dyDescent="0.3">
      <c r="A2300" t="s">
        <v>4031</v>
      </c>
      <c r="B2300" t="s">
        <v>4032</v>
      </c>
      <c r="C2300" t="s">
        <v>30</v>
      </c>
      <c r="D2300" t="s">
        <v>26</v>
      </c>
      <c r="E2300" t="s">
        <v>27</v>
      </c>
      <c r="F2300" t="s">
        <v>54</v>
      </c>
      <c r="G2300" t="s">
        <v>149</v>
      </c>
      <c r="H2300" t="s">
        <v>56</v>
      </c>
      <c r="I2300" t="s">
        <v>7</v>
      </c>
      <c r="J2300" t="s">
        <v>150</v>
      </c>
      <c r="K2300" t="s">
        <v>151</v>
      </c>
      <c r="L2300" t="s">
        <v>59</v>
      </c>
      <c r="M2300">
        <v>60</v>
      </c>
      <c r="N2300" t="b">
        <v>1</v>
      </c>
      <c r="O2300">
        <v>0.7447698744769875</v>
      </c>
      <c r="P2300">
        <v>0.717741935483871</v>
      </c>
      <c r="Q2300">
        <v>0.77391304347826084</v>
      </c>
      <c r="R2300" t="s">
        <v>60</v>
      </c>
      <c r="S2300" t="s">
        <v>5027</v>
      </c>
      <c r="T2300" t="s">
        <v>5028</v>
      </c>
      <c r="U2300" t="b">
        <v>1</v>
      </c>
      <c r="V2300" t="s">
        <v>63</v>
      </c>
      <c r="W2300">
        <v>1.3</v>
      </c>
    </row>
    <row r="2301" spans="1:23" hidden="1" x14ac:dyDescent="0.3">
      <c r="A2301" t="s">
        <v>4031</v>
      </c>
      <c r="B2301" t="s">
        <v>4032</v>
      </c>
      <c r="C2301" t="s">
        <v>30</v>
      </c>
      <c r="D2301" t="s">
        <v>26</v>
      </c>
      <c r="E2301" t="s">
        <v>27</v>
      </c>
      <c r="F2301" t="s">
        <v>54</v>
      </c>
      <c r="G2301" t="s">
        <v>154</v>
      </c>
      <c r="H2301" t="s">
        <v>56</v>
      </c>
      <c r="I2301" t="s">
        <v>7</v>
      </c>
      <c r="J2301" t="s">
        <v>155</v>
      </c>
      <c r="K2301" t="s">
        <v>156</v>
      </c>
      <c r="L2301" t="s">
        <v>59</v>
      </c>
      <c r="M2301">
        <v>61</v>
      </c>
      <c r="N2301" t="b">
        <v>1</v>
      </c>
      <c r="O2301">
        <v>0.73706896551724144</v>
      </c>
      <c r="P2301">
        <v>0.73076923076923073</v>
      </c>
      <c r="Q2301">
        <v>0.74347826086956526</v>
      </c>
      <c r="R2301" t="s">
        <v>60</v>
      </c>
      <c r="S2301" t="s">
        <v>5029</v>
      </c>
      <c r="T2301" t="s">
        <v>5030</v>
      </c>
      <c r="U2301" t="b">
        <v>1</v>
      </c>
      <c r="V2301" t="s">
        <v>63</v>
      </c>
      <c r="W2301">
        <v>1.7</v>
      </c>
    </row>
    <row r="2302" spans="1:23" hidden="1" x14ac:dyDescent="0.3">
      <c r="A2302" t="s">
        <v>4031</v>
      </c>
      <c r="B2302" t="s">
        <v>4032</v>
      </c>
      <c r="C2302" t="s">
        <v>30</v>
      </c>
      <c r="D2302" t="s">
        <v>26</v>
      </c>
      <c r="E2302" t="s">
        <v>27</v>
      </c>
      <c r="F2302" t="s">
        <v>54</v>
      </c>
      <c r="G2302" t="s">
        <v>159</v>
      </c>
      <c r="H2302" t="s">
        <v>160</v>
      </c>
      <c r="I2302" t="s">
        <v>3</v>
      </c>
      <c r="J2302" t="s">
        <v>161</v>
      </c>
      <c r="K2302" t="s">
        <v>162</v>
      </c>
      <c r="L2302" t="s">
        <v>163</v>
      </c>
      <c r="M2302">
        <v>42</v>
      </c>
      <c r="N2302" t="b">
        <v>0</v>
      </c>
      <c r="O2302">
        <v>0.74929577464788744</v>
      </c>
      <c r="P2302">
        <v>0.71505376344086025</v>
      </c>
      <c r="Q2302">
        <v>0.78698224852071008</v>
      </c>
      <c r="R2302" t="s">
        <v>60</v>
      </c>
      <c r="S2302" t="s">
        <v>5031</v>
      </c>
      <c r="T2302" t="s">
        <v>5032</v>
      </c>
      <c r="U2302" t="b">
        <v>1</v>
      </c>
      <c r="V2302" t="s">
        <v>63</v>
      </c>
      <c r="W2302">
        <v>1.1000000000000001</v>
      </c>
    </row>
    <row r="2303" spans="1:23" hidden="1" x14ac:dyDescent="0.3">
      <c r="A2303" t="s">
        <v>4031</v>
      </c>
      <c r="B2303" t="s">
        <v>4032</v>
      </c>
      <c r="C2303" t="s">
        <v>30</v>
      </c>
      <c r="D2303" t="s">
        <v>26</v>
      </c>
      <c r="E2303" t="s">
        <v>27</v>
      </c>
      <c r="F2303" t="s">
        <v>54</v>
      </c>
      <c r="G2303" t="s">
        <v>166</v>
      </c>
      <c r="H2303" t="s">
        <v>160</v>
      </c>
      <c r="I2303" t="s">
        <v>3</v>
      </c>
      <c r="J2303" t="s">
        <v>167</v>
      </c>
      <c r="K2303" t="s">
        <v>168</v>
      </c>
      <c r="L2303" t="s">
        <v>163</v>
      </c>
      <c r="M2303">
        <v>43</v>
      </c>
      <c r="N2303" t="b">
        <v>0</v>
      </c>
      <c r="O2303">
        <v>0.76271186440677963</v>
      </c>
      <c r="P2303">
        <v>0.72972972972972971</v>
      </c>
      <c r="Q2303">
        <v>0.79881656804733725</v>
      </c>
      <c r="R2303" t="s">
        <v>60</v>
      </c>
      <c r="S2303" t="s">
        <v>5033</v>
      </c>
      <c r="T2303" t="s">
        <v>5034</v>
      </c>
      <c r="U2303" t="b">
        <v>1</v>
      </c>
      <c r="V2303" t="s">
        <v>63</v>
      </c>
      <c r="W2303">
        <v>1.1000000000000001</v>
      </c>
    </row>
    <row r="2304" spans="1:23" hidden="1" x14ac:dyDescent="0.3">
      <c r="A2304" t="s">
        <v>4031</v>
      </c>
      <c r="B2304" t="s">
        <v>4032</v>
      </c>
      <c r="C2304" t="s">
        <v>30</v>
      </c>
      <c r="D2304" t="s">
        <v>26</v>
      </c>
      <c r="E2304" t="s">
        <v>27</v>
      </c>
      <c r="F2304" t="s">
        <v>54</v>
      </c>
      <c r="G2304" t="s">
        <v>171</v>
      </c>
      <c r="H2304" t="s">
        <v>160</v>
      </c>
      <c r="I2304" t="s">
        <v>3</v>
      </c>
      <c r="J2304" t="s">
        <v>172</v>
      </c>
      <c r="K2304" t="s">
        <v>173</v>
      </c>
      <c r="L2304" t="s">
        <v>163</v>
      </c>
      <c r="M2304">
        <v>44</v>
      </c>
      <c r="N2304" t="b">
        <v>0</v>
      </c>
      <c r="O2304">
        <v>0.77714285714285702</v>
      </c>
      <c r="P2304">
        <v>0.75138121546961323</v>
      </c>
      <c r="Q2304">
        <v>0.80473372781065089</v>
      </c>
      <c r="R2304" t="s">
        <v>60</v>
      </c>
      <c r="S2304" t="s">
        <v>5035</v>
      </c>
      <c r="T2304" t="s">
        <v>5036</v>
      </c>
      <c r="U2304" t="b">
        <v>1</v>
      </c>
      <c r="V2304" t="s">
        <v>63</v>
      </c>
      <c r="W2304">
        <v>1.1000000000000001</v>
      </c>
    </row>
    <row r="2305" spans="1:23" hidden="1" x14ac:dyDescent="0.3">
      <c r="A2305" t="s">
        <v>4031</v>
      </c>
      <c r="B2305" t="s">
        <v>4032</v>
      </c>
      <c r="C2305" t="s">
        <v>30</v>
      </c>
      <c r="D2305" t="s">
        <v>26</v>
      </c>
      <c r="E2305" t="s">
        <v>27</v>
      </c>
      <c r="F2305" t="s">
        <v>54</v>
      </c>
      <c r="G2305" t="s">
        <v>176</v>
      </c>
      <c r="H2305" t="s">
        <v>160</v>
      </c>
      <c r="I2305" t="s">
        <v>3</v>
      </c>
      <c r="J2305" t="s">
        <v>177</v>
      </c>
      <c r="K2305" t="s">
        <v>178</v>
      </c>
      <c r="L2305" t="s">
        <v>163</v>
      </c>
      <c r="M2305">
        <v>45</v>
      </c>
      <c r="N2305" t="b">
        <v>0</v>
      </c>
      <c r="O2305">
        <v>0.7535410764872521</v>
      </c>
      <c r="P2305">
        <v>0.72282608695652173</v>
      </c>
      <c r="Q2305">
        <v>0.78698224852071008</v>
      </c>
      <c r="R2305" t="s">
        <v>60</v>
      </c>
      <c r="S2305" t="s">
        <v>5037</v>
      </c>
      <c r="T2305" t="s">
        <v>5038</v>
      </c>
      <c r="U2305" t="b">
        <v>1</v>
      </c>
      <c r="V2305" t="s">
        <v>63</v>
      </c>
      <c r="W2305">
        <v>1.6</v>
      </c>
    </row>
    <row r="2306" spans="1:23" hidden="1" x14ac:dyDescent="0.3">
      <c r="A2306" t="s">
        <v>4031</v>
      </c>
      <c r="B2306" t="s">
        <v>4032</v>
      </c>
      <c r="C2306" t="s">
        <v>30</v>
      </c>
      <c r="D2306" t="s">
        <v>26</v>
      </c>
      <c r="E2306" t="s">
        <v>27</v>
      </c>
      <c r="F2306" t="s">
        <v>54</v>
      </c>
      <c r="G2306" t="s">
        <v>181</v>
      </c>
      <c r="H2306" t="s">
        <v>160</v>
      </c>
      <c r="I2306" t="s">
        <v>3</v>
      </c>
      <c r="J2306" t="s">
        <v>182</v>
      </c>
      <c r="K2306" t="s">
        <v>183</v>
      </c>
      <c r="L2306" t="s">
        <v>163</v>
      </c>
      <c r="M2306">
        <v>46</v>
      </c>
      <c r="N2306" t="b">
        <v>0</v>
      </c>
      <c r="O2306">
        <v>0.76657060518732001</v>
      </c>
      <c r="P2306">
        <v>0.7471910112359551</v>
      </c>
      <c r="Q2306">
        <v>0.78698224852071008</v>
      </c>
      <c r="R2306" t="s">
        <v>60</v>
      </c>
      <c r="S2306" t="s">
        <v>5039</v>
      </c>
      <c r="T2306" t="s">
        <v>5040</v>
      </c>
      <c r="U2306" t="b">
        <v>1</v>
      </c>
      <c r="V2306" t="s">
        <v>63</v>
      </c>
      <c r="W2306">
        <v>1.1000000000000001</v>
      </c>
    </row>
    <row r="2307" spans="1:23" hidden="1" x14ac:dyDescent="0.3">
      <c r="A2307" t="s">
        <v>4031</v>
      </c>
      <c r="B2307" t="s">
        <v>4032</v>
      </c>
      <c r="C2307" t="s">
        <v>30</v>
      </c>
      <c r="D2307" t="s">
        <v>26</v>
      </c>
      <c r="E2307" t="s">
        <v>27</v>
      </c>
      <c r="F2307" t="s">
        <v>54</v>
      </c>
      <c r="G2307" t="s">
        <v>186</v>
      </c>
      <c r="H2307" t="s">
        <v>160</v>
      </c>
      <c r="I2307" t="s">
        <v>3</v>
      </c>
      <c r="J2307" t="s">
        <v>187</v>
      </c>
      <c r="K2307" t="s">
        <v>188</v>
      </c>
      <c r="L2307" t="s">
        <v>163</v>
      </c>
      <c r="M2307">
        <v>47</v>
      </c>
      <c r="N2307" t="b">
        <v>0</v>
      </c>
      <c r="O2307">
        <v>0.75722543352601157</v>
      </c>
      <c r="P2307">
        <v>0.74011299435028244</v>
      </c>
      <c r="Q2307">
        <v>0.7751479289940828</v>
      </c>
      <c r="R2307" t="s">
        <v>60</v>
      </c>
      <c r="S2307" t="s">
        <v>5041</v>
      </c>
      <c r="T2307" t="s">
        <v>5042</v>
      </c>
      <c r="U2307" t="b">
        <v>1</v>
      </c>
      <c r="V2307" t="s">
        <v>63</v>
      </c>
      <c r="W2307">
        <v>1.1000000000000001</v>
      </c>
    </row>
    <row r="2308" spans="1:23" hidden="1" x14ac:dyDescent="0.3">
      <c r="A2308" t="s">
        <v>4031</v>
      </c>
      <c r="B2308" t="s">
        <v>4032</v>
      </c>
      <c r="C2308" t="s">
        <v>30</v>
      </c>
      <c r="D2308" t="s">
        <v>26</v>
      </c>
      <c r="E2308" t="s">
        <v>27</v>
      </c>
      <c r="F2308" t="s">
        <v>54</v>
      </c>
      <c r="G2308" t="s">
        <v>191</v>
      </c>
      <c r="H2308" t="s">
        <v>160</v>
      </c>
      <c r="I2308" t="s">
        <v>3</v>
      </c>
      <c r="J2308" t="s">
        <v>192</v>
      </c>
      <c r="K2308" t="s">
        <v>193</v>
      </c>
      <c r="L2308" t="s">
        <v>163</v>
      </c>
      <c r="M2308">
        <v>48</v>
      </c>
      <c r="N2308" t="b">
        <v>0</v>
      </c>
      <c r="O2308">
        <v>0.76704545454545447</v>
      </c>
      <c r="P2308">
        <v>0.73770491803278693</v>
      </c>
      <c r="Q2308">
        <v>0.79881656804733725</v>
      </c>
      <c r="R2308" t="s">
        <v>60</v>
      </c>
      <c r="S2308" t="s">
        <v>5043</v>
      </c>
      <c r="T2308" t="s">
        <v>5044</v>
      </c>
      <c r="U2308" t="b">
        <v>1</v>
      </c>
      <c r="V2308" t="s">
        <v>63</v>
      </c>
      <c r="W2308">
        <v>1.1000000000000001</v>
      </c>
    </row>
    <row r="2309" spans="1:23" hidden="1" x14ac:dyDescent="0.3">
      <c r="A2309" t="s">
        <v>4031</v>
      </c>
      <c r="B2309" t="s">
        <v>4032</v>
      </c>
      <c r="C2309" t="s">
        <v>30</v>
      </c>
      <c r="D2309" t="s">
        <v>26</v>
      </c>
      <c r="E2309" t="s">
        <v>27</v>
      </c>
      <c r="F2309" t="s">
        <v>54</v>
      </c>
      <c r="G2309" t="s">
        <v>196</v>
      </c>
      <c r="H2309" t="s">
        <v>160</v>
      </c>
      <c r="I2309" t="s">
        <v>3</v>
      </c>
      <c r="J2309" t="s">
        <v>197</v>
      </c>
      <c r="K2309" t="s">
        <v>198</v>
      </c>
      <c r="L2309" t="s">
        <v>163</v>
      </c>
      <c r="M2309">
        <v>49</v>
      </c>
      <c r="N2309" t="b">
        <v>0</v>
      </c>
      <c r="O2309">
        <v>0.75000000000000011</v>
      </c>
      <c r="P2309">
        <v>0.72131147540983609</v>
      </c>
      <c r="Q2309">
        <v>0.78106508875739644</v>
      </c>
      <c r="R2309" t="s">
        <v>60</v>
      </c>
      <c r="S2309" t="s">
        <v>5045</v>
      </c>
      <c r="T2309" t="s">
        <v>5046</v>
      </c>
      <c r="U2309" t="b">
        <v>1</v>
      </c>
      <c r="V2309" t="s">
        <v>63</v>
      </c>
      <c r="W2309">
        <v>1.5</v>
      </c>
    </row>
    <row r="2310" spans="1:23" hidden="1" x14ac:dyDescent="0.3">
      <c r="A2310" t="s">
        <v>4031</v>
      </c>
      <c r="B2310" t="s">
        <v>4032</v>
      </c>
      <c r="C2310" t="s">
        <v>30</v>
      </c>
      <c r="D2310" t="s">
        <v>26</v>
      </c>
      <c r="E2310" t="s">
        <v>27</v>
      </c>
      <c r="F2310" t="s">
        <v>54</v>
      </c>
      <c r="G2310" t="s">
        <v>201</v>
      </c>
      <c r="H2310" t="s">
        <v>160</v>
      </c>
      <c r="I2310" t="s">
        <v>3</v>
      </c>
      <c r="J2310" t="s">
        <v>202</v>
      </c>
      <c r="K2310" t="s">
        <v>203</v>
      </c>
      <c r="L2310" t="s">
        <v>163</v>
      </c>
      <c r="M2310">
        <v>50</v>
      </c>
      <c r="N2310" t="b">
        <v>0</v>
      </c>
      <c r="O2310">
        <v>0.7723342939481268</v>
      </c>
      <c r="P2310">
        <v>0.7528089887640449</v>
      </c>
      <c r="Q2310">
        <v>0.79289940828402372</v>
      </c>
      <c r="R2310" t="s">
        <v>60</v>
      </c>
      <c r="S2310" t="s">
        <v>5047</v>
      </c>
      <c r="T2310" t="s">
        <v>5048</v>
      </c>
      <c r="U2310" t="b">
        <v>1</v>
      </c>
      <c r="V2310" t="s">
        <v>63</v>
      </c>
      <c r="W2310">
        <v>1.1000000000000001</v>
      </c>
    </row>
    <row r="2311" spans="1:23" hidden="1" x14ac:dyDescent="0.3">
      <c r="A2311" t="s">
        <v>4031</v>
      </c>
      <c r="B2311" t="s">
        <v>4032</v>
      </c>
      <c r="C2311" t="s">
        <v>30</v>
      </c>
      <c r="D2311" t="s">
        <v>26</v>
      </c>
      <c r="E2311" t="s">
        <v>27</v>
      </c>
      <c r="F2311" t="s">
        <v>54</v>
      </c>
      <c r="G2311" t="s">
        <v>206</v>
      </c>
      <c r="H2311" t="s">
        <v>160</v>
      </c>
      <c r="I2311" t="s">
        <v>3</v>
      </c>
      <c r="J2311" t="s">
        <v>207</v>
      </c>
      <c r="K2311" t="s">
        <v>208</v>
      </c>
      <c r="L2311" t="s">
        <v>163</v>
      </c>
      <c r="M2311">
        <v>51</v>
      </c>
      <c r="N2311" t="b">
        <v>0</v>
      </c>
      <c r="O2311">
        <v>0.75862068965517249</v>
      </c>
      <c r="P2311">
        <v>0.73743016759776536</v>
      </c>
      <c r="Q2311">
        <v>0.78106508875739644</v>
      </c>
      <c r="R2311" t="s">
        <v>60</v>
      </c>
      <c r="S2311" t="s">
        <v>5049</v>
      </c>
      <c r="T2311" t="s">
        <v>5050</v>
      </c>
      <c r="U2311" t="b">
        <v>1</v>
      </c>
      <c r="V2311" t="s">
        <v>63</v>
      </c>
      <c r="W2311">
        <v>1.1000000000000001</v>
      </c>
    </row>
    <row r="2312" spans="1:23" hidden="1" x14ac:dyDescent="0.3">
      <c r="A2312" t="s">
        <v>4031</v>
      </c>
      <c r="B2312" t="s">
        <v>4032</v>
      </c>
      <c r="C2312" t="s">
        <v>30</v>
      </c>
      <c r="D2312" t="s">
        <v>26</v>
      </c>
      <c r="E2312" t="s">
        <v>27</v>
      </c>
      <c r="F2312" t="s">
        <v>54</v>
      </c>
      <c r="G2312" t="s">
        <v>211</v>
      </c>
      <c r="H2312" t="s">
        <v>160</v>
      </c>
      <c r="I2312" t="s">
        <v>3</v>
      </c>
      <c r="J2312" t="s">
        <v>212</v>
      </c>
      <c r="K2312" t="s">
        <v>213</v>
      </c>
      <c r="L2312" t="s">
        <v>163</v>
      </c>
      <c r="M2312">
        <v>52</v>
      </c>
      <c r="N2312" t="b">
        <v>0</v>
      </c>
      <c r="O2312">
        <v>0.75141242937853103</v>
      </c>
      <c r="P2312">
        <v>0.7189189189189189</v>
      </c>
      <c r="Q2312">
        <v>0.78698224852071008</v>
      </c>
      <c r="R2312" t="s">
        <v>60</v>
      </c>
      <c r="S2312" t="s">
        <v>5051</v>
      </c>
      <c r="T2312" t="s">
        <v>5052</v>
      </c>
      <c r="U2312" t="b">
        <v>1</v>
      </c>
      <c r="V2312" t="s">
        <v>63</v>
      </c>
      <c r="W2312">
        <v>1.5</v>
      </c>
    </row>
    <row r="2313" spans="1:23" hidden="1" x14ac:dyDescent="0.3">
      <c r="A2313" t="s">
        <v>4031</v>
      </c>
      <c r="B2313" t="s">
        <v>4032</v>
      </c>
      <c r="C2313" t="s">
        <v>30</v>
      </c>
      <c r="D2313" t="s">
        <v>26</v>
      </c>
      <c r="E2313" t="s">
        <v>27</v>
      </c>
      <c r="F2313" t="s">
        <v>54</v>
      </c>
      <c r="G2313" t="s">
        <v>216</v>
      </c>
      <c r="H2313" t="s">
        <v>160</v>
      </c>
      <c r="I2313" t="s">
        <v>3</v>
      </c>
      <c r="J2313" t="s">
        <v>217</v>
      </c>
      <c r="K2313" t="s">
        <v>218</v>
      </c>
      <c r="L2313" t="s">
        <v>163</v>
      </c>
      <c r="M2313">
        <v>53</v>
      </c>
      <c r="N2313" t="b">
        <v>0</v>
      </c>
      <c r="O2313">
        <v>0.77528089887640439</v>
      </c>
      <c r="P2313">
        <v>0.73796791443850263</v>
      </c>
      <c r="Q2313">
        <v>0.81656804733727806</v>
      </c>
      <c r="R2313" t="s">
        <v>60</v>
      </c>
      <c r="S2313" t="s">
        <v>5053</v>
      </c>
      <c r="T2313" t="s">
        <v>5054</v>
      </c>
      <c r="U2313" t="b">
        <v>1</v>
      </c>
      <c r="V2313" t="s">
        <v>63</v>
      </c>
      <c r="W2313">
        <v>1.1000000000000001</v>
      </c>
    </row>
    <row r="2314" spans="1:23" hidden="1" x14ac:dyDescent="0.3">
      <c r="A2314" t="s">
        <v>4031</v>
      </c>
      <c r="B2314" t="s">
        <v>4032</v>
      </c>
      <c r="C2314" t="s">
        <v>30</v>
      </c>
      <c r="D2314" t="s">
        <v>26</v>
      </c>
      <c r="E2314" t="s">
        <v>27</v>
      </c>
      <c r="F2314" t="s">
        <v>54</v>
      </c>
      <c r="G2314" t="s">
        <v>221</v>
      </c>
      <c r="H2314" t="s">
        <v>160</v>
      </c>
      <c r="I2314" t="s">
        <v>3</v>
      </c>
      <c r="J2314" t="s">
        <v>222</v>
      </c>
      <c r="K2314" t="s">
        <v>223</v>
      </c>
      <c r="L2314" t="s">
        <v>163</v>
      </c>
      <c r="M2314">
        <v>54</v>
      </c>
      <c r="N2314" t="b">
        <v>0</v>
      </c>
      <c r="O2314">
        <v>0.76571428571428568</v>
      </c>
      <c r="P2314">
        <v>0.74033149171270718</v>
      </c>
      <c r="Q2314">
        <v>0.79289940828402372</v>
      </c>
      <c r="R2314" t="s">
        <v>60</v>
      </c>
      <c r="S2314" t="s">
        <v>5055</v>
      </c>
      <c r="T2314" t="s">
        <v>5056</v>
      </c>
      <c r="U2314" t="b">
        <v>1</v>
      </c>
      <c r="V2314" t="s">
        <v>63</v>
      </c>
      <c r="W2314">
        <v>1.1000000000000001</v>
      </c>
    </row>
    <row r="2315" spans="1:23" hidden="1" x14ac:dyDescent="0.3">
      <c r="A2315" t="s">
        <v>4031</v>
      </c>
      <c r="B2315" t="s">
        <v>4032</v>
      </c>
      <c r="C2315" t="s">
        <v>30</v>
      </c>
      <c r="D2315" t="s">
        <v>26</v>
      </c>
      <c r="E2315" t="s">
        <v>27</v>
      </c>
      <c r="F2315" t="s">
        <v>54</v>
      </c>
      <c r="G2315" t="s">
        <v>226</v>
      </c>
      <c r="H2315" t="s">
        <v>160</v>
      </c>
      <c r="I2315" t="s">
        <v>3</v>
      </c>
      <c r="J2315" t="s">
        <v>227</v>
      </c>
      <c r="K2315" t="s">
        <v>228</v>
      </c>
      <c r="L2315" t="s">
        <v>163</v>
      </c>
      <c r="M2315">
        <v>55</v>
      </c>
      <c r="N2315" t="b">
        <v>0</v>
      </c>
      <c r="O2315">
        <v>0.78612716763005785</v>
      </c>
      <c r="P2315">
        <v>0.76836158192090398</v>
      </c>
      <c r="Q2315">
        <v>0.80473372781065089</v>
      </c>
      <c r="R2315" t="s">
        <v>60</v>
      </c>
      <c r="S2315" t="s">
        <v>5057</v>
      </c>
      <c r="T2315" t="s">
        <v>5058</v>
      </c>
      <c r="U2315" t="b">
        <v>1</v>
      </c>
      <c r="V2315" t="s">
        <v>63</v>
      </c>
      <c r="W2315">
        <v>1.1000000000000001</v>
      </c>
    </row>
    <row r="2316" spans="1:23" hidden="1" x14ac:dyDescent="0.3">
      <c r="A2316" t="s">
        <v>4031</v>
      </c>
      <c r="B2316" t="s">
        <v>4032</v>
      </c>
      <c r="C2316" t="s">
        <v>30</v>
      </c>
      <c r="D2316" t="s">
        <v>26</v>
      </c>
      <c r="E2316" t="s">
        <v>27</v>
      </c>
      <c r="F2316" t="s">
        <v>54</v>
      </c>
      <c r="G2316" t="s">
        <v>231</v>
      </c>
      <c r="H2316" t="s">
        <v>160</v>
      </c>
      <c r="I2316" t="s">
        <v>3</v>
      </c>
      <c r="J2316" t="s">
        <v>232</v>
      </c>
      <c r="K2316" t="s">
        <v>233</v>
      </c>
      <c r="L2316" t="s">
        <v>163</v>
      </c>
      <c r="M2316">
        <v>56</v>
      </c>
      <c r="N2316" t="b">
        <v>0</v>
      </c>
      <c r="O2316">
        <v>0.74927953890489907</v>
      </c>
      <c r="P2316">
        <v>0.7303370786516854</v>
      </c>
      <c r="Q2316">
        <v>0.76923076923076927</v>
      </c>
      <c r="R2316" t="s">
        <v>60</v>
      </c>
      <c r="S2316" t="s">
        <v>5059</v>
      </c>
      <c r="T2316" t="s">
        <v>5060</v>
      </c>
      <c r="U2316" t="b">
        <v>1</v>
      </c>
      <c r="V2316" t="s">
        <v>63</v>
      </c>
      <c r="W2316">
        <v>1.5</v>
      </c>
    </row>
    <row r="2317" spans="1:23" hidden="1" x14ac:dyDescent="0.3">
      <c r="A2317" t="s">
        <v>4031</v>
      </c>
      <c r="B2317" t="s">
        <v>4032</v>
      </c>
      <c r="C2317" t="s">
        <v>30</v>
      </c>
      <c r="D2317" t="s">
        <v>26</v>
      </c>
      <c r="E2317" t="s">
        <v>27</v>
      </c>
      <c r="F2317" t="s">
        <v>54</v>
      </c>
      <c r="G2317" t="s">
        <v>236</v>
      </c>
      <c r="H2317" t="s">
        <v>160</v>
      </c>
      <c r="I2317" t="s">
        <v>3</v>
      </c>
      <c r="J2317" t="s">
        <v>237</v>
      </c>
      <c r="K2317" t="s">
        <v>238</v>
      </c>
      <c r="L2317" t="s">
        <v>163</v>
      </c>
      <c r="M2317">
        <v>57</v>
      </c>
      <c r="N2317" t="b">
        <v>0</v>
      </c>
      <c r="O2317">
        <v>0.74705882352941178</v>
      </c>
      <c r="P2317">
        <v>0.74269005847953218</v>
      </c>
      <c r="Q2317">
        <v>0.75147928994082835</v>
      </c>
      <c r="R2317" t="s">
        <v>60</v>
      </c>
      <c r="S2317" t="s">
        <v>5061</v>
      </c>
      <c r="T2317" t="s">
        <v>5062</v>
      </c>
      <c r="U2317" t="b">
        <v>1</v>
      </c>
      <c r="V2317" t="s">
        <v>63</v>
      </c>
      <c r="W2317">
        <v>1.1000000000000001</v>
      </c>
    </row>
    <row r="2318" spans="1:23" hidden="1" x14ac:dyDescent="0.3">
      <c r="A2318" t="s">
        <v>4031</v>
      </c>
      <c r="B2318" t="s">
        <v>4032</v>
      </c>
      <c r="C2318" t="s">
        <v>30</v>
      </c>
      <c r="D2318" t="s">
        <v>26</v>
      </c>
      <c r="E2318" t="s">
        <v>27</v>
      </c>
      <c r="F2318" t="s">
        <v>54</v>
      </c>
      <c r="G2318" t="s">
        <v>241</v>
      </c>
      <c r="H2318" t="s">
        <v>160</v>
      </c>
      <c r="I2318" t="s">
        <v>3</v>
      </c>
      <c r="J2318" t="s">
        <v>242</v>
      </c>
      <c r="K2318" t="s">
        <v>243</v>
      </c>
      <c r="L2318" t="s">
        <v>163</v>
      </c>
      <c r="M2318">
        <v>58</v>
      </c>
      <c r="N2318" t="b">
        <v>0</v>
      </c>
      <c r="O2318">
        <v>0.76217765042979946</v>
      </c>
      <c r="P2318">
        <v>0.73888888888888893</v>
      </c>
      <c r="Q2318">
        <v>0.78698224852071008</v>
      </c>
      <c r="R2318" t="s">
        <v>60</v>
      </c>
      <c r="S2318" t="s">
        <v>5063</v>
      </c>
      <c r="T2318" t="s">
        <v>5064</v>
      </c>
      <c r="U2318" t="b">
        <v>1</v>
      </c>
      <c r="V2318" t="s">
        <v>63</v>
      </c>
      <c r="W2318">
        <v>1.1000000000000001</v>
      </c>
    </row>
    <row r="2319" spans="1:23" hidden="1" x14ac:dyDescent="0.3">
      <c r="A2319" t="s">
        <v>4031</v>
      </c>
      <c r="B2319" t="s">
        <v>4032</v>
      </c>
      <c r="C2319" t="s">
        <v>30</v>
      </c>
      <c r="D2319" t="s">
        <v>26</v>
      </c>
      <c r="E2319" t="s">
        <v>27</v>
      </c>
      <c r="F2319" t="s">
        <v>54</v>
      </c>
      <c r="G2319" t="s">
        <v>246</v>
      </c>
      <c r="H2319" t="s">
        <v>160</v>
      </c>
      <c r="I2319" t="s">
        <v>3</v>
      </c>
      <c r="J2319" t="s">
        <v>247</v>
      </c>
      <c r="K2319" t="s">
        <v>248</v>
      </c>
      <c r="L2319" t="s">
        <v>163</v>
      </c>
      <c r="M2319">
        <v>59</v>
      </c>
      <c r="N2319" t="b">
        <v>0</v>
      </c>
      <c r="O2319">
        <v>0.75644699140401139</v>
      </c>
      <c r="P2319">
        <v>0.73333333333333328</v>
      </c>
      <c r="Q2319">
        <v>0.78106508875739644</v>
      </c>
      <c r="R2319" t="s">
        <v>60</v>
      </c>
      <c r="S2319" t="s">
        <v>5065</v>
      </c>
      <c r="T2319" t="s">
        <v>5066</v>
      </c>
      <c r="U2319" t="b">
        <v>1</v>
      </c>
      <c r="V2319" t="s">
        <v>63</v>
      </c>
      <c r="W2319">
        <v>1.5</v>
      </c>
    </row>
    <row r="2320" spans="1:23" hidden="1" x14ac:dyDescent="0.3">
      <c r="A2320" t="s">
        <v>4031</v>
      </c>
      <c r="B2320" t="s">
        <v>4032</v>
      </c>
      <c r="C2320" t="s">
        <v>30</v>
      </c>
      <c r="D2320" t="s">
        <v>26</v>
      </c>
      <c r="E2320" t="s">
        <v>27</v>
      </c>
      <c r="F2320" t="s">
        <v>54</v>
      </c>
      <c r="G2320" t="s">
        <v>251</v>
      </c>
      <c r="H2320" t="s">
        <v>160</v>
      </c>
      <c r="I2320" t="s">
        <v>3</v>
      </c>
      <c r="J2320" t="s">
        <v>252</v>
      </c>
      <c r="K2320" t="s">
        <v>253</v>
      </c>
      <c r="L2320" t="s">
        <v>163</v>
      </c>
      <c r="M2320">
        <v>60</v>
      </c>
      <c r="N2320" t="b">
        <v>0</v>
      </c>
      <c r="O2320">
        <v>0.77714285714285702</v>
      </c>
      <c r="P2320">
        <v>0.75138121546961323</v>
      </c>
      <c r="Q2320">
        <v>0.80473372781065089</v>
      </c>
      <c r="R2320" t="s">
        <v>60</v>
      </c>
      <c r="S2320" t="s">
        <v>5067</v>
      </c>
      <c r="T2320" t="s">
        <v>5068</v>
      </c>
      <c r="U2320" t="b">
        <v>1</v>
      </c>
      <c r="V2320" t="s">
        <v>63</v>
      </c>
      <c r="W2320">
        <v>1.1000000000000001</v>
      </c>
    </row>
    <row r="2321" spans="1:23" hidden="1" x14ac:dyDescent="0.3">
      <c r="A2321" t="s">
        <v>4031</v>
      </c>
      <c r="B2321" t="s">
        <v>4032</v>
      </c>
      <c r="C2321" t="s">
        <v>30</v>
      </c>
      <c r="D2321" t="s">
        <v>26</v>
      </c>
      <c r="E2321" t="s">
        <v>27</v>
      </c>
      <c r="F2321" t="s">
        <v>54</v>
      </c>
      <c r="G2321" t="s">
        <v>256</v>
      </c>
      <c r="H2321" t="s">
        <v>160</v>
      </c>
      <c r="I2321" t="s">
        <v>3</v>
      </c>
      <c r="J2321" t="s">
        <v>257</v>
      </c>
      <c r="K2321" t="s">
        <v>258</v>
      </c>
      <c r="L2321" t="s">
        <v>163</v>
      </c>
      <c r="M2321">
        <v>61</v>
      </c>
      <c r="N2321" t="b">
        <v>0</v>
      </c>
      <c r="O2321">
        <v>0.76657060518732001</v>
      </c>
      <c r="P2321">
        <v>0.7471910112359551</v>
      </c>
      <c r="Q2321">
        <v>0.78698224852071008</v>
      </c>
      <c r="R2321" t="s">
        <v>60</v>
      </c>
      <c r="S2321" t="s">
        <v>5069</v>
      </c>
      <c r="T2321" t="s">
        <v>5070</v>
      </c>
      <c r="U2321" t="b">
        <v>1</v>
      </c>
      <c r="V2321" t="s">
        <v>63</v>
      </c>
      <c r="W2321">
        <v>1.1000000000000001</v>
      </c>
    </row>
    <row r="2322" spans="1:23" hidden="1" x14ac:dyDescent="0.3">
      <c r="A2322" t="s">
        <v>4031</v>
      </c>
      <c r="B2322" t="s">
        <v>4032</v>
      </c>
      <c r="C2322" t="s">
        <v>30</v>
      </c>
      <c r="D2322" t="s">
        <v>26</v>
      </c>
      <c r="E2322" t="s">
        <v>27</v>
      </c>
      <c r="F2322" t="s">
        <v>54</v>
      </c>
      <c r="G2322" t="s">
        <v>261</v>
      </c>
      <c r="H2322" t="s">
        <v>262</v>
      </c>
      <c r="I2322" t="s">
        <v>5</v>
      </c>
      <c r="J2322" t="s">
        <v>263</v>
      </c>
      <c r="K2322" t="s">
        <v>264</v>
      </c>
      <c r="L2322" t="s">
        <v>265</v>
      </c>
      <c r="M2322">
        <v>42</v>
      </c>
      <c r="N2322" t="b">
        <v>0</v>
      </c>
      <c r="O2322">
        <v>0.7927927927927928</v>
      </c>
      <c r="P2322">
        <v>0.7927927927927928</v>
      </c>
      <c r="Q2322">
        <v>0.7927927927927928</v>
      </c>
      <c r="R2322" t="s">
        <v>60</v>
      </c>
      <c r="S2322" t="s">
        <v>5071</v>
      </c>
      <c r="T2322" t="s">
        <v>5072</v>
      </c>
      <c r="U2322" t="b">
        <v>1</v>
      </c>
      <c r="V2322" t="s">
        <v>63</v>
      </c>
      <c r="W2322">
        <v>1.7</v>
      </c>
    </row>
    <row r="2323" spans="1:23" hidden="1" x14ac:dyDescent="0.3">
      <c r="A2323" t="s">
        <v>4031</v>
      </c>
      <c r="B2323" t="s">
        <v>4032</v>
      </c>
      <c r="C2323" t="s">
        <v>30</v>
      </c>
      <c r="D2323" t="s">
        <v>26</v>
      </c>
      <c r="E2323" t="s">
        <v>27</v>
      </c>
      <c r="F2323" t="s">
        <v>54</v>
      </c>
      <c r="G2323" t="s">
        <v>268</v>
      </c>
      <c r="H2323" t="s">
        <v>262</v>
      </c>
      <c r="I2323" t="s">
        <v>5</v>
      </c>
      <c r="J2323" t="s">
        <v>269</v>
      </c>
      <c r="K2323" t="s">
        <v>270</v>
      </c>
      <c r="L2323" t="s">
        <v>265</v>
      </c>
      <c r="M2323">
        <v>43</v>
      </c>
      <c r="N2323" t="b">
        <v>0</v>
      </c>
      <c r="O2323">
        <v>0.74387527839643652</v>
      </c>
      <c r="P2323">
        <v>0.73568281938325997</v>
      </c>
      <c r="Q2323">
        <v>0.75225225225225223</v>
      </c>
      <c r="R2323" t="s">
        <v>60</v>
      </c>
      <c r="S2323" t="s">
        <v>5073</v>
      </c>
      <c r="T2323" t="s">
        <v>5074</v>
      </c>
      <c r="U2323" t="b">
        <v>1</v>
      </c>
      <c r="V2323" t="s">
        <v>63</v>
      </c>
      <c r="W2323">
        <v>1.3</v>
      </c>
    </row>
    <row r="2324" spans="1:23" hidden="1" x14ac:dyDescent="0.3">
      <c r="A2324" t="s">
        <v>4031</v>
      </c>
      <c r="B2324" t="s">
        <v>4032</v>
      </c>
      <c r="C2324" t="s">
        <v>30</v>
      </c>
      <c r="D2324" t="s">
        <v>26</v>
      </c>
      <c r="E2324" t="s">
        <v>27</v>
      </c>
      <c r="F2324" t="s">
        <v>54</v>
      </c>
      <c r="G2324" t="s">
        <v>273</v>
      </c>
      <c r="H2324" t="s">
        <v>262</v>
      </c>
      <c r="I2324" t="s">
        <v>5</v>
      </c>
      <c r="J2324" t="s">
        <v>274</v>
      </c>
      <c r="K2324" t="s">
        <v>275</v>
      </c>
      <c r="L2324" t="s">
        <v>265</v>
      </c>
      <c r="M2324">
        <v>44</v>
      </c>
      <c r="N2324" t="b">
        <v>0</v>
      </c>
      <c r="O2324">
        <v>0.75909090909090904</v>
      </c>
      <c r="P2324">
        <v>0.76605504587155959</v>
      </c>
      <c r="Q2324">
        <v>0.75225225225225223</v>
      </c>
      <c r="R2324" t="s">
        <v>60</v>
      </c>
      <c r="S2324" t="s">
        <v>5075</v>
      </c>
      <c r="T2324" t="s">
        <v>5076</v>
      </c>
      <c r="U2324" t="b">
        <v>1</v>
      </c>
      <c r="V2324" t="s">
        <v>63</v>
      </c>
      <c r="W2324">
        <v>1.3</v>
      </c>
    </row>
    <row r="2325" spans="1:23" hidden="1" x14ac:dyDescent="0.3">
      <c r="A2325" t="s">
        <v>4031</v>
      </c>
      <c r="B2325" t="s">
        <v>4032</v>
      </c>
      <c r="C2325" t="s">
        <v>30</v>
      </c>
      <c r="D2325" t="s">
        <v>26</v>
      </c>
      <c r="E2325" t="s">
        <v>27</v>
      </c>
      <c r="F2325" t="s">
        <v>54</v>
      </c>
      <c r="G2325" t="s">
        <v>278</v>
      </c>
      <c r="H2325" t="s">
        <v>262</v>
      </c>
      <c r="I2325" t="s">
        <v>5</v>
      </c>
      <c r="J2325" t="s">
        <v>279</v>
      </c>
      <c r="K2325" t="s">
        <v>280</v>
      </c>
      <c r="L2325" t="s">
        <v>265</v>
      </c>
      <c r="M2325">
        <v>45</v>
      </c>
      <c r="N2325" t="b">
        <v>0</v>
      </c>
      <c r="O2325">
        <v>0.77477477477477474</v>
      </c>
      <c r="P2325">
        <v>0.77477477477477474</v>
      </c>
      <c r="Q2325">
        <v>0.77477477477477474</v>
      </c>
      <c r="R2325" t="s">
        <v>60</v>
      </c>
      <c r="S2325" t="s">
        <v>5077</v>
      </c>
      <c r="T2325" t="s">
        <v>5078</v>
      </c>
      <c r="U2325" t="b">
        <v>1</v>
      </c>
      <c r="V2325" t="s">
        <v>63</v>
      </c>
      <c r="W2325">
        <v>1.3</v>
      </c>
    </row>
    <row r="2326" spans="1:23" hidden="1" x14ac:dyDescent="0.3">
      <c r="A2326" t="s">
        <v>4031</v>
      </c>
      <c r="B2326" t="s">
        <v>4032</v>
      </c>
      <c r="C2326" t="s">
        <v>30</v>
      </c>
      <c r="D2326" t="s">
        <v>26</v>
      </c>
      <c r="E2326" t="s">
        <v>27</v>
      </c>
      <c r="F2326" t="s">
        <v>54</v>
      </c>
      <c r="G2326" t="s">
        <v>283</v>
      </c>
      <c r="H2326" t="s">
        <v>262</v>
      </c>
      <c r="I2326" t="s">
        <v>5</v>
      </c>
      <c r="J2326" t="s">
        <v>284</v>
      </c>
      <c r="K2326" t="s">
        <v>285</v>
      </c>
      <c r="L2326" t="s">
        <v>265</v>
      </c>
      <c r="M2326">
        <v>46</v>
      </c>
      <c r="N2326" t="b">
        <v>0</v>
      </c>
      <c r="O2326">
        <v>0.77927927927927931</v>
      </c>
      <c r="P2326">
        <v>0.77927927927927931</v>
      </c>
      <c r="Q2326">
        <v>0.77927927927927931</v>
      </c>
      <c r="R2326" t="s">
        <v>60</v>
      </c>
      <c r="S2326" t="s">
        <v>5079</v>
      </c>
      <c r="T2326" t="s">
        <v>5080</v>
      </c>
      <c r="U2326" t="b">
        <v>1</v>
      </c>
      <c r="V2326" t="s">
        <v>63</v>
      </c>
      <c r="W2326">
        <v>1.7</v>
      </c>
    </row>
    <row r="2327" spans="1:23" hidden="1" x14ac:dyDescent="0.3">
      <c r="A2327" t="s">
        <v>4031</v>
      </c>
      <c r="B2327" t="s">
        <v>4032</v>
      </c>
      <c r="C2327" t="s">
        <v>30</v>
      </c>
      <c r="D2327" t="s">
        <v>26</v>
      </c>
      <c r="E2327" t="s">
        <v>27</v>
      </c>
      <c r="F2327" t="s">
        <v>54</v>
      </c>
      <c r="G2327" t="s">
        <v>288</v>
      </c>
      <c r="H2327" t="s">
        <v>262</v>
      </c>
      <c r="I2327" t="s">
        <v>5</v>
      </c>
      <c r="J2327" t="s">
        <v>289</v>
      </c>
      <c r="K2327" t="s">
        <v>290</v>
      </c>
      <c r="L2327" t="s">
        <v>265</v>
      </c>
      <c r="M2327">
        <v>47</v>
      </c>
      <c r="N2327" t="b">
        <v>0</v>
      </c>
      <c r="O2327">
        <v>0.76853932584269657</v>
      </c>
      <c r="P2327">
        <v>0.76681614349775784</v>
      </c>
      <c r="Q2327">
        <v>0.77027027027027029</v>
      </c>
      <c r="R2327" t="s">
        <v>60</v>
      </c>
      <c r="S2327" t="s">
        <v>5081</v>
      </c>
      <c r="T2327" t="s">
        <v>5082</v>
      </c>
      <c r="U2327" t="b">
        <v>1</v>
      </c>
      <c r="V2327" t="s">
        <v>63</v>
      </c>
      <c r="W2327">
        <v>1.3</v>
      </c>
    </row>
    <row r="2328" spans="1:23" hidden="1" x14ac:dyDescent="0.3">
      <c r="A2328" t="s">
        <v>4031</v>
      </c>
      <c r="B2328" t="s">
        <v>4032</v>
      </c>
      <c r="C2328" t="s">
        <v>30</v>
      </c>
      <c r="D2328" t="s">
        <v>26</v>
      </c>
      <c r="E2328" t="s">
        <v>27</v>
      </c>
      <c r="F2328" t="s">
        <v>54</v>
      </c>
      <c r="G2328" t="s">
        <v>293</v>
      </c>
      <c r="H2328" t="s">
        <v>262</v>
      </c>
      <c r="I2328" t="s">
        <v>5</v>
      </c>
      <c r="J2328" t="s">
        <v>294</v>
      </c>
      <c r="K2328" t="s">
        <v>295</v>
      </c>
      <c r="L2328" t="s">
        <v>265</v>
      </c>
      <c r="M2328">
        <v>48</v>
      </c>
      <c r="N2328" t="b">
        <v>0</v>
      </c>
      <c r="O2328">
        <v>0.75663716814159288</v>
      </c>
      <c r="P2328">
        <v>0.74347826086956526</v>
      </c>
      <c r="Q2328">
        <v>0.77027027027027029</v>
      </c>
      <c r="R2328" t="s">
        <v>60</v>
      </c>
      <c r="S2328" t="s">
        <v>5083</v>
      </c>
      <c r="T2328" t="s">
        <v>5084</v>
      </c>
      <c r="U2328" t="b">
        <v>1</v>
      </c>
      <c r="V2328" t="s">
        <v>63</v>
      </c>
      <c r="W2328">
        <v>1.7</v>
      </c>
    </row>
    <row r="2329" spans="1:23" hidden="1" x14ac:dyDescent="0.3">
      <c r="A2329" t="s">
        <v>4031</v>
      </c>
      <c r="B2329" t="s">
        <v>4032</v>
      </c>
      <c r="C2329" t="s">
        <v>30</v>
      </c>
      <c r="D2329" t="s">
        <v>26</v>
      </c>
      <c r="E2329" t="s">
        <v>27</v>
      </c>
      <c r="F2329" t="s">
        <v>54</v>
      </c>
      <c r="G2329" t="s">
        <v>298</v>
      </c>
      <c r="H2329" t="s">
        <v>262</v>
      </c>
      <c r="I2329" t="s">
        <v>5</v>
      </c>
      <c r="J2329" t="s">
        <v>299</v>
      </c>
      <c r="K2329" t="s">
        <v>300</v>
      </c>
      <c r="L2329" t="s">
        <v>265</v>
      </c>
      <c r="M2329">
        <v>49</v>
      </c>
      <c r="N2329" t="b">
        <v>0</v>
      </c>
      <c r="O2329">
        <v>0.76444444444444448</v>
      </c>
      <c r="P2329">
        <v>0.75438596491228072</v>
      </c>
      <c r="Q2329">
        <v>0.77477477477477474</v>
      </c>
      <c r="R2329" t="s">
        <v>60</v>
      </c>
      <c r="S2329" t="s">
        <v>5085</v>
      </c>
      <c r="T2329" t="s">
        <v>5086</v>
      </c>
      <c r="U2329" t="b">
        <v>1</v>
      </c>
      <c r="V2329" t="s">
        <v>63</v>
      </c>
      <c r="W2329">
        <v>1.3</v>
      </c>
    </row>
    <row r="2330" spans="1:23" hidden="1" x14ac:dyDescent="0.3">
      <c r="A2330" t="s">
        <v>4031</v>
      </c>
      <c r="B2330" t="s">
        <v>4032</v>
      </c>
      <c r="C2330" t="s">
        <v>30</v>
      </c>
      <c r="D2330" t="s">
        <v>26</v>
      </c>
      <c r="E2330" t="s">
        <v>27</v>
      </c>
      <c r="F2330" t="s">
        <v>54</v>
      </c>
      <c r="G2330" t="s">
        <v>303</v>
      </c>
      <c r="H2330" t="s">
        <v>262</v>
      </c>
      <c r="I2330" t="s">
        <v>5</v>
      </c>
      <c r="J2330" t="s">
        <v>304</v>
      </c>
      <c r="K2330" t="s">
        <v>305</v>
      </c>
      <c r="L2330" t="s">
        <v>265</v>
      </c>
      <c r="M2330">
        <v>50</v>
      </c>
      <c r="N2330" t="b">
        <v>0</v>
      </c>
      <c r="O2330">
        <v>0.76169265033407574</v>
      </c>
      <c r="P2330">
        <v>0.75330396475770922</v>
      </c>
      <c r="Q2330">
        <v>0.77027027027027029</v>
      </c>
      <c r="R2330" t="s">
        <v>60</v>
      </c>
      <c r="S2330" t="s">
        <v>5087</v>
      </c>
      <c r="T2330" t="s">
        <v>5088</v>
      </c>
      <c r="U2330" t="b">
        <v>1</v>
      </c>
      <c r="V2330" t="s">
        <v>63</v>
      </c>
      <c r="W2330">
        <v>1.3</v>
      </c>
    </row>
    <row r="2331" spans="1:23" hidden="1" x14ac:dyDescent="0.3">
      <c r="A2331" t="s">
        <v>4031</v>
      </c>
      <c r="B2331" t="s">
        <v>4032</v>
      </c>
      <c r="C2331" t="s">
        <v>30</v>
      </c>
      <c r="D2331" t="s">
        <v>26</v>
      </c>
      <c r="E2331" t="s">
        <v>27</v>
      </c>
      <c r="F2331" t="s">
        <v>54</v>
      </c>
      <c r="G2331" t="s">
        <v>308</v>
      </c>
      <c r="H2331" t="s">
        <v>262</v>
      </c>
      <c r="I2331" t="s">
        <v>5</v>
      </c>
      <c r="J2331" t="s">
        <v>309</v>
      </c>
      <c r="K2331" t="s">
        <v>310</v>
      </c>
      <c r="L2331" t="s">
        <v>265</v>
      </c>
      <c r="M2331">
        <v>51</v>
      </c>
      <c r="N2331" t="b">
        <v>0</v>
      </c>
      <c r="O2331">
        <v>0.74778761061946908</v>
      </c>
      <c r="P2331">
        <v>0.73478260869565215</v>
      </c>
      <c r="Q2331">
        <v>0.76126126126126126</v>
      </c>
      <c r="R2331" t="s">
        <v>60</v>
      </c>
      <c r="S2331" t="s">
        <v>5089</v>
      </c>
      <c r="T2331" t="s">
        <v>5090</v>
      </c>
      <c r="U2331" t="b">
        <v>1</v>
      </c>
      <c r="V2331" t="s">
        <v>63</v>
      </c>
      <c r="W2331">
        <v>1.3</v>
      </c>
    </row>
    <row r="2332" spans="1:23" hidden="1" x14ac:dyDescent="0.3">
      <c r="A2332" t="s">
        <v>4031</v>
      </c>
      <c r="B2332" t="s">
        <v>4032</v>
      </c>
      <c r="C2332" t="s">
        <v>30</v>
      </c>
      <c r="D2332" t="s">
        <v>26</v>
      </c>
      <c r="E2332" t="s">
        <v>27</v>
      </c>
      <c r="F2332" t="s">
        <v>54</v>
      </c>
      <c r="G2332" t="s">
        <v>313</v>
      </c>
      <c r="H2332" t="s">
        <v>262</v>
      </c>
      <c r="I2332" t="s">
        <v>5</v>
      </c>
      <c r="J2332" t="s">
        <v>314</v>
      </c>
      <c r="K2332" t="s">
        <v>315</v>
      </c>
      <c r="L2332" t="s">
        <v>265</v>
      </c>
      <c r="M2332">
        <v>52</v>
      </c>
      <c r="N2332" t="b">
        <v>0</v>
      </c>
      <c r="O2332">
        <v>0.76548672566371678</v>
      </c>
      <c r="P2332">
        <v>0.75217391304347825</v>
      </c>
      <c r="Q2332">
        <v>0.77927927927927931</v>
      </c>
      <c r="R2332" t="s">
        <v>60</v>
      </c>
      <c r="S2332" t="s">
        <v>5091</v>
      </c>
      <c r="T2332" t="s">
        <v>5092</v>
      </c>
      <c r="U2332" t="b">
        <v>1</v>
      </c>
      <c r="V2332" t="s">
        <v>63</v>
      </c>
      <c r="W2332">
        <v>1.7</v>
      </c>
    </row>
    <row r="2333" spans="1:23" hidden="1" x14ac:dyDescent="0.3">
      <c r="A2333" t="s">
        <v>4031</v>
      </c>
      <c r="B2333" t="s">
        <v>4032</v>
      </c>
      <c r="C2333" t="s">
        <v>30</v>
      </c>
      <c r="D2333" t="s">
        <v>26</v>
      </c>
      <c r="E2333" t="s">
        <v>27</v>
      </c>
      <c r="F2333" t="s">
        <v>54</v>
      </c>
      <c r="G2333" t="s">
        <v>318</v>
      </c>
      <c r="H2333" t="s">
        <v>262</v>
      </c>
      <c r="I2333" t="s">
        <v>5</v>
      </c>
      <c r="J2333" t="s">
        <v>319</v>
      </c>
      <c r="K2333" t="s">
        <v>320</v>
      </c>
      <c r="L2333" t="s">
        <v>265</v>
      </c>
      <c r="M2333">
        <v>53</v>
      </c>
      <c r="N2333" t="b">
        <v>0</v>
      </c>
      <c r="O2333">
        <v>0.79452054794520555</v>
      </c>
      <c r="P2333">
        <v>0.80555555555555558</v>
      </c>
      <c r="Q2333">
        <v>0.78378378378378377</v>
      </c>
      <c r="R2333" t="s">
        <v>60</v>
      </c>
      <c r="S2333" t="s">
        <v>5093</v>
      </c>
      <c r="T2333" t="s">
        <v>5094</v>
      </c>
      <c r="U2333" t="b">
        <v>1</v>
      </c>
      <c r="V2333" t="s">
        <v>63</v>
      </c>
      <c r="W2333">
        <v>1.3</v>
      </c>
    </row>
    <row r="2334" spans="1:23" hidden="1" x14ac:dyDescent="0.3">
      <c r="A2334" t="s">
        <v>4031</v>
      </c>
      <c r="B2334" t="s">
        <v>4032</v>
      </c>
      <c r="C2334" t="s">
        <v>30</v>
      </c>
      <c r="D2334" t="s">
        <v>26</v>
      </c>
      <c r="E2334" t="s">
        <v>27</v>
      </c>
      <c r="F2334" t="s">
        <v>54</v>
      </c>
      <c r="G2334" t="s">
        <v>323</v>
      </c>
      <c r="H2334" t="s">
        <v>262</v>
      </c>
      <c r="I2334" t="s">
        <v>5</v>
      </c>
      <c r="J2334" t="s">
        <v>324</v>
      </c>
      <c r="K2334" t="s">
        <v>325</v>
      </c>
      <c r="L2334" t="s">
        <v>265</v>
      </c>
      <c r="M2334">
        <v>54</v>
      </c>
      <c r="N2334" t="b">
        <v>0</v>
      </c>
      <c r="O2334">
        <v>0.75615212527964204</v>
      </c>
      <c r="P2334">
        <v>0.75111111111111106</v>
      </c>
      <c r="Q2334">
        <v>0.76126126126126126</v>
      </c>
      <c r="R2334" t="s">
        <v>60</v>
      </c>
      <c r="S2334" t="s">
        <v>5095</v>
      </c>
      <c r="T2334" t="s">
        <v>5096</v>
      </c>
      <c r="U2334" t="b">
        <v>1</v>
      </c>
      <c r="V2334" t="s">
        <v>63</v>
      </c>
      <c r="W2334">
        <v>1.7</v>
      </c>
    </row>
    <row r="2335" spans="1:23" hidden="1" x14ac:dyDescent="0.3">
      <c r="A2335" t="s">
        <v>4031</v>
      </c>
      <c r="B2335" t="s">
        <v>4032</v>
      </c>
      <c r="C2335" t="s">
        <v>30</v>
      </c>
      <c r="D2335" t="s">
        <v>26</v>
      </c>
      <c r="E2335" t="s">
        <v>27</v>
      </c>
      <c r="F2335" t="s">
        <v>54</v>
      </c>
      <c r="G2335" t="s">
        <v>328</v>
      </c>
      <c r="H2335" t="s">
        <v>262</v>
      </c>
      <c r="I2335" t="s">
        <v>5</v>
      </c>
      <c r="J2335" t="s">
        <v>329</v>
      </c>
      <c r="K2335" t="s">
        <v>330</v>
      </c>
      <c r="L2335" t="s">
        <v>265</v>
      </c>
      <c r="M2335">
        <v>55</v>
      </c>
      <c r="N2335" t="b">
        <v>0</v>
      </c>
      <c r="O2335">
        <v>0.77704194260485659</v>
      </c>
      <c r="P2335">
        <v>0.76190476190476186</v>
      </c>
      <c r="Q2335">
        <v>0.7927927927927928</v>
      </c>
      <c r="R2335" t="s">
        <v>60</v>
      </c>
      <c r="S2335" t="s">
        <v>5097</v>
      </c>
      <c r="T2335" t="s">
        <v>5098</v>
      </c>
      <c r="U2335" t="b">
        <v>1</v>
      </c>
      <c r="V2335" t="s">
        <v>63</v>
      </c>
      <c r="W2335">
        <v>1.3</v>
      </c>
    </row>
    <row r="2336" spans="1:23" hidden="1" x14ac:dyDescent="0.3">
      <c r="A2336" t="s">
        <v>4031</v>
      </c>
      <c r="B2336" t="s">
        <v>4032</v>
      </c>
      <c r="C2336" t="s">
        <v>30</v>
      </c>
      <c r="D2336" t="s">
        <v>26</v>
      </c>
      <c r="E2336" t="s">
        <v>27</v>
      </c>
      <c r="F2336" t="s">
        <v>54</v>
      </c>
      <c r="G2336" t="s">
        <v>333</v>
      </c>
      <c r="H2336" t="s">
        <v>262</v>
      </c>
      <c r="I2336" t="s">
        <v>5</v>
      </c>
      <c r="J2336" t="s">
        <v>334</v>
      </c>
      <c r="K2336" t="s">
        <v>335</v>
      </c>
      <c r="L2336" t="s">
        <v>265</v>
      </c>
      <c r="M2336">
        <v>56</v>
      </c>
      <c r="N2336" t="b">
        <v>0</v>
      </c>
      <c r="O2336">
        <v>0.77477477477477474</v>
      </c>
      <c r="P2336">
        <v>0.77477477477477474</v>
      </c>
      <c r="Q2336">
        <v>0.77477477477477474</v>
      </c>
      <c r="R2336" t="s">
        <v>60</v>
      </c>
      <c r="S2336" t="s">
        <v>5099</v>
      </c>
      <c r="T2336" t="s">
        <v>5100</v>
      </c>
      <c r="U2336" t="b">
        <v>1</v>
      </c>
      <c r="V2336" t="s">
        <v>63</v>
      </c>
      <c r="W2336">
        <v>1.3</v>
      </c>
    </row>
    <row r="2337" spans="1:23" hidden="1" x14ac:dyDescent="0.3">
      <c r="A2337" t="s">
        <v>4031</v>
      </c>
      <c r="B2337" t="s">
        <v>4032</v>
      </c>
      <c r="C2337" t="s">
        <v>30</v>
      </c>
      <c r="D2337" t="s">
        <v>26</v>
      </c>
      <c r="E2337" t="s">
        <v>27</v>
      </c>
      <c r="F2337" t="s">
        <v>54</v>
      </c>
      <c r="G2337" t="s">
        <v>338</v>
      </c>
      <c r="H2337" t="s">
        <v>262</v>
      </c>
      <c r="I2337" t="s">
        <v>5</v>
      </c>
      <c r="J2337" t="s">
        <v>339</v>
      </c>
      <c r="K2337" t="s">
        <v>340</v>
      </c>
      <c r="L2337" t="s">
        <v>265</v>
      </c>
      <c r="M2337">
        <v>57</v>
      </c>
      <c r="N2337" t="b">
        <v>0</v>
      </c>
      <c r="O2337">
        <v>0.78202247191011243</v>
      </c>
      <c r="P2337">
        <v>0.78026905829596416</v>
      </c>
      <c r="Q2337">
        <v>0.78378378378378377</v>
      </c>
      <c r="R2337" t="s">
        <v>60</v>
      </c>
      <c r="S2337" t="s">
        <v>5101</v>
      </c>
      <c r="T2337" t="s">
        <v>5102</v>
      </c>
      <c r="U2337" t="b">
        <v>1</v>
      </c>
      <c r="V2337" t="s">
        <v>63</v>
      </c>
      <c r="W2337">
        <v>1.7</v>
      </c>
    </row>
    <row r="2338" spans="1:23" hidden="1" x14ac:dyDescent="0.3">
      <c r="A2338" t="s">
        <v>4031</v>
      </c>
      <c r="B2338" t="s">
        <v>4032</v>
      </c>
      <c r="C2338" t="s">
        <v>30</v>
      </c>
      <c r="D2338" t="s">
        <v>26</v>
      </c>
      <c r="E2338" t="s">
        <v>27</v>
      </c>
      <c r="F2338" t="s">
        <v>54</v>
      </c>
      <c r="G2338" t="s">
        <v>343</v>
      </c>
      <c r="H2338" t="s">
        <v>262</v>
      </c>
      <c r="I2338" t="s">
        <v>5</v>
      </c>
      <c r="J2338" t="s">
        <v>344</v>
      </c>
      <c r="K2338" t="s">
        <v>345</v>
      </c>
      <c r="L2338" t="s">
        <v>265</v>
      </c>
      <c r="M2338">
        <v>58</v>
      </c>
      <c r="N2338" t="b">
        <v>0</v>
      </c>
      <c r="O2338">
        <v>0.75000000000000011</v>
      </c>
      <c r="P2338">
        <v>0.74336283185840712</v>
      </c>
      <c r="Q2338">
        <v>0.7567567567567568</v>
      </c>
      <c r="R2338" t="s">
        <v>60</v>
      </c>
      <c r="S2338" t="s">
        <v>5103</v>
      </c>
      <c r="T2338" t="s">
        <v>5104</v>
      </c>
      <c r="U2338" t="b">
        <v>1</v>
      </c>
      <c r="V2338" t="s">
        <v>63</v>
      </c>
      <c r="W2338">
        <v>1.3</v>
      </c>
    </row>
    <row r="2339" spans="1:23" hidden="1" x14ac:dyDescent="0.3">
      <c r="A2339" t="s">
        <v>4031</v>
      </c>
      <c r="B2339" t="s">
        <v>4032</v>
      </c>
      <c r="C2339" t="s">
        <v>30</v>
      </c>
      <c r="D2339" t="s">
        <v>26</v>
      </c>
      <c r="E2339" t="s">
        <v>27</v>
      </c>
      <c r="F2339" t="s">
        <v>54</v>
      </c>
      <c r="G2339" t="s">
        <v>348</v>
      </c>
      <c r="H2339" t="s">
        <v>262</v>
      </c>
      <c r="I2339" t="s">
        <v>5</v>
      </c>
      <c r="J2339" t="s">
        <v>349</v>
      </c>
      <c r="K2339" t="s">
        <v>350</v>
      </c>
      <c r="L2339" t="s">
        <v>265</v>
      </c>
      <c r="M2339">
        <v>59</v>
      </c>
      <c r="N2339" t="b">
        <v>0</v>
      </c>
      <c r="O2339">
        <v>0.78103837471783299</v>
      </c>
      <c r="P2339">
        <v>0.78280542986425339</v>
      </c>
      <c r="Q2339">
        <v>0.77927927927927931</v>
      </c>
      <c r="R2339" t="s">
        <v>60</v>
      </c>
      <c r="S2339" t="s">
        <v>5105</v>
      </c>
      <c r="T2339" t="s">
        <v>5106</v>
      </c>
      <c r="U2339" t="b">
        <v>1</v>
      </c>
      <c r="V2339" t="s">
        <v>63</v>
      </c>
      <c r="W2339">
        <v>1.3</v>
      </c>
    </row>
    <row r="2340" spans="1:23" hidden="1" x14ac:dyDescent="0.3">
      <c r="A2340" t="s">
        <v>4031</v>
      </c>
      <c r="B2340" t="s">
        <v>4032</v>
      </c>
      <c r="C2340" t="s">
        <v>30</v>
      </c>
      <c r="D2340" t="s">
        <v>26</v>
      </c>
      <c r="E2340" t="s">
        <v>27</v>
      </c>
      <c r="F2340" t="s">
        <v>54</v>
      </c>
      <c r="G2340" t="s">
        <v>353</v>
      </c>
      <c r="H2340" t="s">
        <v>262</v>
      </c>
      <c r="I2340" t="s">
        <v>5</v>
      </c>
      <c r="J2340" t="s">
        <v>354</v>
      </c>
      <c r="K2340" t="s">
        <v>355</v>
      </c>
      <c r="L2340" t="s">
        <v>265</v>
      </c>
      <c r="M2340">
        <v>60</v>
      </c>
      <c r="N2340" t="b">
        <v>0</v>
      </c>
      <c r="O2340">
        <v>0.75</v>
      </c>
      <c r="P2340">
        <v>0.73076923076923073</v>
      </c>
      <c r="Q2340">
        <v>0.77027027027027029</v>
      </c>
      <c r="R2340" t="s">
        <v>60</v>
      </c>
      <c r="S2340" t="s">
        <v>5107</v>
      </c>
      <c r="T2340" t="s">
        <v>5108</v>
      </c>
      <c r="U2340" t="b">
        <v>1</v>
      </c>
      <c r="V2340" t="s">
        <v>63</v>
      </c>
      <c r="W2340">
        <v>1.7</v>
      </c>
    </row>
    <row r="2341" spans="1:23" hidden="1" x14ac:dyDescent="0.3">
      <c r="A2341" t="s">
        <v>4031</v>
      </c>
      <c r="B2341" t="s">
        <v>4032</v>
      </c>
      <c r="C2341" t="s">
        <v>30</v>
      </c>
      <c r="D2341" t="s">
        <v>26</v>
      </c>
      <c r="E2341" t="s">
        <v>27</v>
      </c>
      <c r="F2341" t="s">
        <v>54</v>
      </c>
      <c r="G2341" t="s">
        <v>358</v>
      </c>
      <c r="H2341" t="s">
        <v>262</v>
      </c>
      <c r="I2341" t="s">
        <v>5</v>
      </c>
      <c r="J2341" t="s">
        <v>359</v>
      </c>
      <c r="K2341" t="s">
        <v>360</v>
      </c>
      <c r="L2341" t="s">
        <v>265</v>
      </c>
      <c r="M2341">
        <v>61</v>
      </c>
      <c r="N2341" t="b">
        <v>0</v>
      </c>
      <c r="O2341">
        <v>0.74774774774774788</v>
      </c>
      <c r="P2341">
        <v>0.74774774774774777</v>
      </c>
      <c r="Q2341">
        <v>0.74774774774774777</v>
      </c>
      <c r="R2341" t="s">
        <v>60</v>
      </c>
      <c r="S2341" t="s">
        <v>5109</v>
      </c>
      <c r="T2341" t="s">
        <v>5110</v>
      </c>
      <c r="U2341" t="b">
        <v>1</v>
      </c>
      <c r="V2341" t="s">
        <v>63</v>
      </c>
      <c r="W2341">
        <v>1.3</v>
      </c>
    </row>
    <row r="2342" spans="1:23" hidden="1" x14ac:dyDescent="0.3">
      <c r="A2342" t="s">
        <v>4031</v>
      </c>
      <c r="B2342" t="s">
        <v>4032</v>
      </c>
      <c r="C2342" t="s">
        <v>30</v>
      </c>
      <c r="D2342" t="s">
        <v>26</v>
      </c>
      <c r="E2342" t="s">
        <v>27</v>
      </c>
      <c r="F2342" t="s">
        <v>363</v>
      </c>
      <c r="G2342" t="s">
        <v>364</v>
      </c>
      <c r="H2342" t="s">
        <v>365</v>
      </c>
      <c r="I2342" t="s">
        <v>13</v>
      </c>
      <c r="J2342" t="s">
        <v>366</v>
      </c>
      <c r="K2342" t="s">
        <v>367</v>
      </c>
      <c r="L2342" t="s">
        <v>368</v>
      </c>
      <c r="M2342">
        <v>42</v>
      </c>
      <c r="N2342" t="b">
        <v>0</v>
      </c>
      <c r="O2342">
        <v>0.8272921108742004</v>
      </c>
      <c r="P2342">
        <v>0.81171548117154813</v>
      </c>
      <c r="Q2342">
        <v>0.84347826086956523</v>
      </c>
      <c r="R2342" t="s">
        <v>60</v>
      </c>
      <c r="S2342" t="s">
        <v>5111</v>
      </c>
      <c r="T2342" t="s">
        <v>5112</v>
      </c>
      <c r="U2342" t="b">
        <v>1</v>
      </c>
      <c r="V2342" t="s">
        <v>63</v>
      </c>
      <c r="W2342">
        <v>1.3</v>
      </c>
    </row>
    <row r="2343" spans="1:23" hidden="1" x14ac:dyDescent="0.3">
      <c r="A2343" t="s">
        <v>4031</v>
      </c>
      <c r="B2343" t="s">
        <v>4032</v>
      </c>
      <c r="C2343" t="s">
        <v>30</v>
      </c>
      <c r="D2343" t="s">
        <v>26</v>
      </c>
      <c r="E2343" t="s">
        <v>27</v>
      </c>
      <c r="F2343" t="s">
        <v>363</v>
      </c>
      <c r="G2343" t="s">
        <v>371</v>
      </c>
      <c r="H2343" t="s">
        <v>365</v>
      </c>
      <c r="I2343" t="s">
        <v>13</v>
      </c>
      <c r="J2343" t="s">
        <v>372</v>
      </c>
      <c r="K2343" t="s">
        <v>373</v>
      </c>
      <c r="L2343" t="s">
        <v>368</v>
      </c>
      <c r="M2343">
        <v>43</v>
      </c>
      <c r="N2343" t="b">
        <v>0</v>
      </c>
      <c r="O2343">
        <v>0.82773109243697474</v>
      </c>
      <c r="P2343">
        <v>0.80081300813008127</v>
      </c>
      <c r="Q2343">
        <v>0.85652173913043483</v>
      </c>
      <c r="R2343" t="s">
        <v>60</v>
      </c>
      <c r="S2343" t="s">
        <v>5113</v>
      </c>
      <c r="T2343" t="s">
        <v>5114</v>
      </c>
      <c r="U2343" t="b">
        <v>1</v>
      </c>
      <c r="V2343" t="s">
        <v>63</v>
      </c>
      <c r="W2343">
        <v>1.3</v>
      </c>
    </row>
    <row r="2344" spans="1:23" hidden="1" x14ac:dyDescent="0.3">
      <c r="A2344" t="s">
        <v>4031</v>
      </c>
      <c r="B2344" t="s">
        <v>4032</v>
      </c>
      <c r="C2344" t="s">
        <v>30</v>
      </c>
      <c r="D2344" t="s">
        <v>26</v>
      </c>
      <c r="E2344" t="s">
        <v>27</v>
      </c>
      <c r="F2344" t="s">
        <v>363</v>
      </c>
      <c r="G2344" t="s">
        <v>376</v>
      </c>
      <c r="H2344" t="s">
        <v>365</v>
      </c>
      <c r="I2344" t="s">
        <v>13</v>
      </c>
      <c r="J2344" t="s">
        <v>377</v>
      </c>
      <c r="K2344" t="s">
        <v>378</v>
      </c>
      <c r="L2344" t="s">
        <v>368</v>
      </c>
      <c r="M2344">
        <v>44</v>
      </c>
      <c r="N2344" t="b">
        <v>0</v>
      </c>
      <c r="O2344">
        <v>0.81837160751565763</v>
      </c>
      <c r="P2344">
        <v>0.78714859437751006</v>
      </c>
      <c r="Q2344">
        <v>0.85217391304347823</v>
      </c>
      <c r="R2344" t="s">
        <v>60</v>
      </c>
      <c r="S2344" t="s">
        <v>5115</v>
      </c>
      <c r="T2344" t="s">
        <v>5116</v>
      </c>
      <c r="U2344" t="b">
        <v>1</v>
      </c>
      <c r="V2344" t="s">
        <v>63</v>
      </c>
      <c r="W2344">
        <v>1.7</v>
      </c>
    </row>
    <row r="2345" spans="1:23" hidden="1" x14ac:dyDescent="0.3">
      <c r="A2345" t="s">
        <v>4031</v>
      </c>
      <c r="B2345" t="s">
        <v>4032</v>
      </c>
      <c r="C2345" t="s">
        <v>30</v>
      </c>
      <c r="D2345" t="s">
        <v>26</v>
      </c>
      <c r="E2345" t="s">
        <v>27</v>
      </c>
      <c r="F2345" t="s">
        <v>363</v>
      </c>
      <c r="G2345" t="s">
        <v>381</v>
      </c>
      <c r="H2345" t="s">
        <v>365</v>
      </c>
      <c r="I2345" t="s">
        <v>13</v>
      </c>
      <c r="J2345" t="s">
        <v>382</v>
      </c>
      <c r="K2345" t="s">
        <v>383</v>
      </c>
      <c r="L2345" t="s">
        <v>368</v>
      </c>
      <c r="M2345">
        <v>45</v>
      </c>
      <c r="N2345" t="b">
        <v>0</v>
      </c>
      <c r="O2345">
        <v>0.80761099365750522</v>
      </c>
      <c r="P2345">
        <v>0.78600823045267487</v>
      </c>
      <c r="Q2345">
        <v>0.83043478260869563</v>
      </c>
      <c r="R2345" t="s">
        <v>60</v>
      </c>
      <c r="S2345" t="s">
        <v>5117</v>
      </c>
      <c r="T2345" t="s">
        <v>5118</v>
      </c>
      <c r="U2345" t="b">
        <v>1</v>
      </c>
      <c r="V2345" t="s">
        <v>63</v>
      </c>
      <c r="W2345">
        <v>1.3</v>
      </c>
    </row>
    <row r="2346" spans="1:23" hidden="1" x14ac:dyDescent="0.3">
      <c r="A2346" t="s">
        <v>4031</v>
      </c>
      <c r="B2346" t="s">
        <v>4032</v>
      </c>
      <c r="C2346" t="s">
        <v>30</v>
      </c>
      <c r="D2346" t="s">
        <v>26</v>
      </c>
      <c r="E2346" t="s">
        <v>27</v>
      </c>
      <c r="F2346" t="s">
        <v>363</v>
      </c>
      <c r="G2346" t="s">
        <v>386</v>
      </c>
      <c r="H2346" t="s">
        <v>365</v>
      </c>
      <c r="I2346" t="s">
        <v>13</v>
      </c>
      <c r="J2346" t="s">
        <v>387</v>
      </c>
      <c r="K2346" t="s">
        <v>388</v>
      </c>
      <c r="L2346" t="s">
        <v>368</v>
      </c>
      <c r="M2346">
        <v>46</v>
      </c>
      <c r="N2346" t="b">
        <v>0</v>
      </c>
      <c r="O2346">
        <v>0.8091286307053942</v>
      </c>
      <c r="P2346">
        <v>0.77380952380952384</v>
      </c>
      <c r="Q2346">
        <v>0.84782608695652173</v>
      </c>
      <c r="R2346" t="s">
        <v>60</v>
      </c>
      <c r="S2346" t="s">
        <v>5119</v>
      </c>
      <c r="T2346" t="s">
        <v>5120</v>
      </c>
      <c r="U2346" t="b">
        <v>1</v>
      </c>
      <c r="V2346" t="s">
        <v>63</v>
      </c>
      <c r="W2346">
        <v>1.3</v>
      </c>
    </row>
    <row r="2347" spans="1:23" hidden="1" x14ac:dyDescent="0.3">
      <c r="A2347" t="s">
        <v>4031</v>
      </c>
      <c r="B2347" t="s">
        <v>4032</v>
      </c>
      <c r="C2347" t="s">
        <v>30</v>
      </c>
      <c r="D2347" t="s">
        <v>26</v>
      </c>
      <c r="E2347" t="s">
        <v>27</v>
      </c>
      <c r="F2347" t="s">
        <v>363</v>
      </c>
      <c r="G2347" t="s">
        <v>391</v>
      </c>
      <c r="H2347" t="s">
        <v>365</v>
      </c>
      <c r="I2347" t="s">
        <v>13</v>
      </c>
      <c r="J2347" t="s">
        <v>392</v>
      </c>
      <c r="K2347" t="s">
        <v>393</v>
      </c>
      <c r="L2347" t="s">
        <v>368</v>
      </c>
      <c r="M2347">
        <v>47</v>
      </c>
      <c r="N2347" t="b">
        <v>0</v>
      </c>
      <c r="O2347">
        <v>0.80167014613778709</v>
      </c>
      <c r="P2347">
        <v>0.77108433734939763</v>
      </c>
      <c r="Q2347">
        <v>0.83478260869565213</v>
      </c>
      <c r="R2347" t="s">
        <v>60</v>
      </c>
      <c r="S2347" t="s">
        <v>5121</v>
      </c>
      <c r="T2347" t="s">
        <v>5122</v>
      </c>
      <c r="U2347" t="b">
        <v>1</v>
      </c>
      <c r="V2347" t="s">
        <v>63</v>
      </c>
      <c r="W2347">
        <v>1.7</v>
      </c>
    </row>
    <row r="2348" spans="1:23" hidden="1" x14ac:dyDescent="0.3">
      <c r="A2348" t="s">
        <v>4031</v>
      </c>
      <c r="B2348" t="s">
        <v>4032</v>
      </c>
      <c r="C2348" t="s">
        <v>30</v>
      </c>
      <c r="D2348" t="s">
        <v>26</v>
      </c>
      <c r="E2348" t="s">
        <v>27</v>
      </c>
      <c r="F2348" t="s">
        <v>363</v>
      </c>
      <c r="G2348" t="s">
        <v>396</v>
      </c>
      <c r="H2348" t="s">
        <v>365</v>
      </c>
      <c r="I2348" t="s">
        <v>13</v>
      </c>
      <c r="J2348" t="s">
        <v>397</v>
      </c>
      <c r="K2348" t="s">
        <v>398</v>
      </c>
      <c r="L2348" t="s">
        <v>368</v>
      </c>
      <c r="M2348">
        <v>48</v>
      </c>
      <c r="N2348" t="b">
        <v>0</v>
      </c>
      <c r="O2348">
        <v>0.80922431865828093</v>
      </c>
      <c r="P2348">
        <v>0.78137651821862353</v>
      </c>
      <c r="Q2348">
        <v>0.83913043478260874</v>
      </c>
      <c r="R2348" t="s">
        <v>60</v>
      </c>
      <c r="S2348" t="s">
        <v>5123</v>
      </c>
      <c r="T2348" t="s">
        <v>5124</v>
      </c>
      <c r="U2348" t="b">
        <v>1</v>
      </c>
      <c r="V2348" t="s">
        <v>63</v>
      </c>
      <c r="W2348">
        <v>1.3</v>
      </c>
    </row>
    <row r="2349" spans="1:23" hidden="1" x14ac:dyDescent="0.3">
      <c r="A2349" t="s">
        <v>4031</v>
      </c>
      <c r="B2349" t="s">
        <v>4032</v>
      </c>
      <c r="C2349" t="s">
        <v>30</v>
      </c>
      <c r="D2349" t="s">
        <v>26</v>
      </c>
      <c r="E2349" t="s">
        <v>27</v>
      </c>
      <c r="F2349" t="s">
        <v>363</v>
      </c>
      <c r="G2349" t="s">
        <v>401</v>
      </c>
      <c r="H2349" t="s">
        <v>365</v>
      </c>
      <c r="I2349" t="s">
        <v>13</v>
      </c>
      <c r="J2349" t="s">
        <v>402</v>
      </c>
      <c r="K2349" t="s">
        <v>403</v>
      </c>
      <c r="L2349" t="s">
        <v>368</v>
      </c>
      <c r="M2349">
        <v>49</v>
      </c>
      <c r="N2349" t="b">
        <v>0</v>
      </c>
      <c r="O2349">
        <v>0.80932203389830515</v>
      </c>
      <c r="P2349">
        <v>0.78925619834710747</v>
      </c>
      <c r="Q2349">
        <v>0.83043478260869563</v>
      </c>
      <c r="R2349" t="s">
        <v>60</v>
      </c>
      <c r="S2349" t="s">
        <v>5125</v>
      </c>
      <c r="T2349" t="s">
        <v>5126</v>
      </c>
      <c r="U2349" t="b">
        <v>1</v>
      </c>
      <c r="V2349" t="s">
        <v>63</v>
      </c>
      <c r="W2349">
        <v>1.7</v>
      </c>
    </row>
    <row r="2350" spans="1:23" hidden="1" x14ac:dyDescent="0.3">
      <c r="A2350" t="s">
        <v>4031</v>
      </c>
      <c r="B2350" t="s">
        <v>4032</v>
      </c>
      <c r="C2350" t="s">
        <v>30</v>
      </c>
      <c r="D2350" t="s">
        <v>26</v>
      </c>
      <c r="E2350" t="s">
        <v>27</v>
      </c>
      <c r="F2350" t="s">
        <v>363</v>
      </c>
      <c r="G2350" t="s">
        <v>406</v>
      </c>
      <c r="H2350" t="s">
        <v>365</v>
      </c>
      <c r="I2350" t="s">
        <v>13</v>
      </c>
      <c r="J2350" t="s">
        <v>407</v>
      </c>
      <c r="K2350" t="s">
        <v>408</v>
      </c>
      <c r="L2350" t="s">
        <v>368</v>
      </c>
      <c r="M2350">
        <v>50</v>
      </c>
      <c r="N2350" t="b">
        <v>0</v>
      </c>
      <c r="O2350">
        <v>0.79749478079331937</v>
      </c>
      <c r="P2350">
        <v>0.76706827309236947</v>
      </c>
      <c r="Q2350">
        <v>0.83043478260869563</v>
      </c>
      <c r="R2350" t="s">
        <v>60</v>
      </c>
      <c r="S2350" t="s">
        <v>5127</v>
      </c>
      <c r="T2350" t="s">
        <v>5128</v>
      </c>
      <c r="U2350" t="b">
        <v>1</v>
      </c>
      <c r="V2350" t="s">
        <v>63</v>
      </c>
      <c r="W2350">
        <v>1.3</v>
      </c>
    </row>
    <row r="2351" spans="1:23" hidden="1" x14ac:dyDescent="0.3">
      <c r="A2351" t="s">
        <v>4031</v>
      </c>
      <c r="B2351" t="s">
        <v>4032</v>
      </c>
      <c r="C2351" t="s">
        <v>30</v>
      </c>
      <c r="D2351" t="s">
        <v>26</v>
      </c>
      <c r="E2351" t="s">
        <v>27</v>
      </c>
      <c r="F2351" t="s">
        <v>363</v>
      </c>
      <c r="G2351" t="s">
        <v>411</v>
      </c>
      <c r="H2351" t="s">
        <v>365</v>
      </c>
      <c r="I2351" t="s">
        <v>13</v>
      </c>
      <c r="J2351" t="s">
        <v>412</v>
      </c>
      <c r="K2351" t="s">
        <v>413</v>
      </c>
      <c r="L2351" t="s">
        <v>368</v>
      </c>
      <c r="M2351">
        <v>51</v>
      </c>
      <c r="N2351" t="b">
        <v>0</v>
      </c>
      <c r="O2351">
        <v>0.8179871520342612</v>
      </c>
      <c r="P2351">
        <v>0.80590717299578063</v>
      </c>
      <c r="Q2351">
        <v>0.83043478260869563</v>
      </c>
      <c r="R2351" t="s">
        <v>60</v>
      </c>
      <c r="S2351" t="s">
        <v>5129</v>
      </c>
      <c r="T2351" t="s">
        <v>5130</v>
      </c>
      <c r="U2351" t="b">
        <v>1</v>
      </c>
      <c r="V2351" t="s">
        <v>63</v>
      </c>
      <c r="W2351">
        <v>1.3</v>
      </c>
    </row>
    <row r="2352" spans="1:23" hidden="1" x14ac:dyDescent="0.3">
      <c r="A2352" t="s">
        <v>4031</v>
      </c>
      <c r="B2352" t="s">
        <v>4032</v>
      </c>
      <c r="C2352" t="s">
        <v>30</v>
      </c>
      <c r="D2352" t="s">
        <v>26</v>
      </c>
      <c r="E2352" t="s">
        <v>27</v>
      </c>
      <c r="F2352" t="s">
        <v>363</v>
      </c>
      <c r="G2352" t="s">
        <v>416</v>
      </c>
      <c r="H2352" t="s">
        <v>365</v>
      </c>
      <c r="I2352" t="s">
        <v>13</v>
      </c>
      <c r="J2352" t="s">
        <v>417</v>
      </c>
      <c r="K2352" t="s">
        <v>418</v>
      </c>
      <c r="L2352" t="s">
        <v>368</v>
      </c>
      <c r="M2352">
        <v>52</v>
      </c>
      <c r="N2352" t="b">
        <v>0</v>
      </c>
      <c r="O2352">
        <v>0.79664570230607967</v>
      </c>
      <c r="P2352">
        <v>0.76923076923076927</v>
      </c>
      <c r="Q2352">
        <v>0.82608695652173914</v>
      </c>
      <c r="R2352" t="s">
        <v>60</v>
      </c>
      <c r="S2352" t="s">
        <v>5131</v>
      </c>
      <c r="T2352" t="s">
        <v>5132</v>
      </c>
      <c r="U2352" t="b">
        <v>1</v>
      </c>
      <c r="V2352" t="s">
        <v>63</v>
      </c>
      <c r="W2352">
        <v>1.7</v>
      </c>
    </row>
    <row r="2353" spans="1:23" hidden="1" x14ac:dyDescent="0.3">
      <c r="A2353" t="s">
        <v>4031</v>
      </c>
      <c r="B2353" t="s">
        <v>4032</v>
      </c>
      <c r="C2353" t="s">
        <v>30</v>
      </c>
      <c r="D2353" t="s">
        <v>26</v>
      </c>
      <c r="E2353" t="s">
        <v>27</v>
      </c>
      <c r="F2353" t="s">
        <v>363</v>
      </c>
      <c r="G2353" t="s">
        <v>421</v>
      </c>
      <c r="H2353" t="s">
        <v>365</v>
      </c>
      <c r="I2353" t="s">
        <v>13</v>
      </c>
      <c r="J2353" t="s">
        <v>422</v>
      </c>
      <c r="K2353" t="s">
        <v>423</v>
      </c>
      <c r="L2353" t="s">
        <v>368</v>
      </c>
      <c r="M2353">
        <v>53</v>
      </c>
      <c r="N2353" t="b">
        <v>0</v>
      </c>
      <c r="O2353">
        <v>0.78646934460887941</v>
      </c>
      <c r="P2353">
        <v>0.76543209876543206</v>
      </c>
      <c r="Q2353">
        <v>0.80869565217391304</v>
      </c>
      <c r="R2353" t="s">
        <v>60</v>
      </c>
      <c r="S2353" t="s">
        <v>5133</v>
      </c>
      <c r="T2353" t="s">
        <v>5134</v>
      </c>
      <c r="U2353" t="b">
        <v>1</v>
      </c>
      <c r="V2353" t="s">
        <v>63</v>
      </c>
      <c r="W2353">
        <v>1.3</v>
      </c>
    </row>
    <row r="2354" spans="1:23" hidden="1" x14ac:dyDescent="0.3">
      <c r="A2354" t="s">
        <v>4031</v>
      </c>
      <c r="B2354" t="s">
        <v>4032</v>
      </c>
      <c r="C2354" t="s">
        <v>30</v>
      </c>
      <c r="D2354" t="s">
        <v>26</v>
      </c>
      <c r="E2354" t="s">
        <v>27</v>
      </c>
      <c r="F2354" t="s">
        <v>363</v>
      </c>
      <c r="G2354" t="s">
        <v>426</v>
      </c>
      <c r="H2354" t="s">
        <v>365</v>
      </c>
      <c r="I2354" t="s">
        <v>13</v>
      </c>
      <c r="J2354" t="s">
        <v>427</v>
      </c>
      <c r="K2354" t="s">
        <v>428</v>
      </c>
      <c r="L2354" t="s">
        <v>368</v>
      </c>
      <c r="M2354">
        <v>54</v>
      </c>
      <c r="N2354" t="b">
        <v>0</v>
      </c>
      <c r="O2354">
        <v>0.81666666666666665</v>
      </c>
      <c r="P2354">
        <v>0.78400000000000003</v>
      </c>
      <c r="Q2354">
        <v>0.85217391304347823</v>
      </c>
      <c r="R2354" t="s">
        <v>60</v>
      </c>
      <c r="S2354" t="s">
        <v>5135</v>
      </c>
      <c r="T2354" t="s">
        <v>5136</v>
      </c>
      <c r="U2354" t="b">
        <v>1</v>
      </c>
      <c r="V2354" t="s">
        <v>63</v>
      </c>
      <c r="W2354">
        <v>1.3</v>
      </c>
    </row>
    <row r="2355" spans="1:23" hidden="1" x14ac:dyDescent="0.3">
      <c r="A2355" t="s">
        <v>4031</v>
      </c>
      <c r="B2355" t="s">
        <v>4032</v>
      </c>
      <c r="C2355" t="s">
        <v>30</v>
      </c>
      <c r="D2355" t="s">
        <v>26</v>
      </c>
      <c r="E2355" t="s">
        <v>27</v>
      </c>
      <c r="F2355" t="s">
        <v>363</v>
      </c>
      <c r="G2355" t="s">
        <v>431</v>
      </c>
      <c r="H2355" t="s">
        <v>365</v>
      </c>
      <c r="I2355" t="s">
        <v>13</v>
      </c>
      <c r="J2355" t="s">
        <v>432</v>
      </c>
      <c r="K2355" t="s">
        <v>433</v>
      </c>
      <c r="L2355" t="s">
        <v>368</v>
      </c>
      <c r="M2355">
        <v>55</v>
      </c>
      <c r="N2355" t="b">
        <v>0</v>
      </c>
      <c r="O2355">
        <v>0.79664570230607967</v>
      </c>
      <c r="P2355">
        <v>0.76923076923076927</v>
      </c>
      <c r="Q2355">
        <v>0.82608695652173914</v>
      </c>
      <c r="R2355" t="s">
        <v>60</v>
      </c>
      <c r="S2355" t="s">
        <v>5137</v>
      </c>
      <c r="T2355" t="s">
        <v>5138</v>
      </c>
      <c r="U2355" t="b">
        <v>1</v>
      </c>
      <c r="V2355" t="s">
        <v>63</v>
      </c>
      <c r="W2355">
        <v>1.7</v>
      </c>
    </row>
    <row r="2356" spans="1:23" hidden="1" x14ac:dyDescent="0.3">
      <c r="A2356" t="s">
        <v>4031</v>
      </c>
      <c r="B2356" t="s">
        <v>4032</v>
      </c>
      <c r="C2356" t="s">
        <v>30</v>
      </c>
      <c r="D2356" t="s">
        <v>26</v>
      </c>
      <c r="E2356" t="s">
        <v>27</v>
      </c>
      <c r="F2356" t="s">
        <v>363</v>
      </c>
      <c r="G2356" t="s">
        <v>436</v>
      </c>
      <c r="H2356" t="s">
        <v>365</v>
      </c>
      <c r="I2356" t="s">
        <v>13</v>
      </c>
      <c r="J2356" t="s">
        <v>437</v>
      </c>
      <c r="K2356" t="s">
        <v>438</v>
      </c>
      <c r="L2356" t="s">
        <v>368</v>
      </c>
      <c r="M2356">
        <v>56</v>
      </c>
      <c r="N2356" t="b">
        <v>0</v>
      </c>
      <c r="O2356">
        <v>0.80503144654088055</v>
      </c>
      <c r="P2356">
        <v>0.77732793522267207</v>
      </c>
      <c r="Q2356">
        <v>0.83478260869565213</v>
      </c>
      <c r="R2356" t="s">
        <v>60</v>
      </c>
      <c r="S2356" t="s">
        <v>5139</v>
      </c>
      <c r="T2356" t="s">
        <v>5140</v>
      </c>
      <c r="U2356" t="b">
        <v>1</v>
      </c>
      <c r="V2356" t="s">
        <v>63</v>
      </c>
      <c r="W2356">
        <v>1.3</v>
      </c>
    </row>
    <row r="2357" spans="1:23" hidden="1" x14ac:dyDescent="0.3">
      <c r="A2357" t="s">
        <v>4031</v>
      </c>
      <c r="B2357" t="s">
        <v>4032</v>
      </c>
      <c r="C2357" t="s">
        <v>30</v>
      </c>
      <c r="D2357" t="s">
        <v>26</v>
      </c>
      <c r="E2357" t="s">
        <v>27</v>
      </c>
      <c r="F2357" t="s">
        <v>363</v>
      </c>
      <c r="G2357" t="s">
        <v>441</v>
      </c>
      <c r="H2357" t="s">
        <v>365</v>
      </c>
      <c r="I2357" t="s">
        <v>13</v>
      </c>
      <c r="J2357" t="s">
        <v>442</v>
      </c>
      <c r="K2357" t="s">
        <v>443</v>
      </c>
      <c r="L2357" t="s">
        <v>368</v>
      </c>
      <c r="M2357">
        <v>57</v>
      </c>
      <c r="N2357" t="b">
        <v>0</v>
      </c>
      <c r="O2357">
        <v>0.81171548117154813</v>
      </c>
      <c r="P2357">
        <v>0.782258064516129</v>
      </c>
      <c r="Q2357">
        <v>0.84347826086956523</v>
      </c>
      <c r="R2357" t="s">
        <v>60</v>
      </c>
      <c r="S2357" t="s">
        <v>5141</v>
      </c>
      <c r="T2357" t="s">
        <v>5142</v>
      </c>
      <c r="U2357" t="b">
        <v>1</v>
      </c>
      <c r="V2357" t="s">
        <v>63</v>
      </c>
      <c r="W2357">
        <v>1.3</v>
      </c>
    </row>
    <row r="2358" spans="1:23" hidden="1" x14ac:dyDescent="0.3">
      <c r="A2358" t="s">
        <v>4031</v>
      </c>
      <c r="B2358" t="s">
        <v>4032</v>
      </c>
      <c r="C2358" t="s">
        <v>30</v>
      </c>
      <c r="D2358" t="s">
        <v>26</v>
      </c>
      <c r="E2358" t="s">
        <v>27</v>
      </c>
      <c r="F2358" t="s">
        <v>363</v>
      </c>
      <c r="G2358" t="s">
        <v>446</v>
      </c>
      <c r="H2358" t="s">
        <v>365</v>
      </c>
      <c r="I2358" t="s">
        <v>13</v>
      </c>
      <c r="J2358" t="s">
        <v>447</v>
      </c>
      <c r="K2358" t="s">
        <v>448</v>
      </c>
      <c r="L2358" t="s">
        <v>368</v>
      </c>
      <c r="M2358">
        <v>58</v>
      </c>
      <c r="N2358" t="b">
        <v>0</v>
      </c>
      <c r="O2358">
        <v>0.80932203389830515</v>
      </c>
      <c r="P2358">
        <v>0.78925619834710747</v>
      </c>
      <c r="Q2358">
        <v>0.83043478260869563</v>
      </c>
      <c r="R2358" t="s">
        <v>60</v>
      </c>
      <c r="S2358" t="s">
        <v>5143</v>
      </c>
      <c r="T2358" t="s">
        <v>5144</v>
      </c>
      <c r="U2358" t="b">
        <v>1</v>
      </c>
      <c r="V2358" t="s">
        <v>63</v>
      </c>
      <c r="W2358">
        <v>1.7</v>
      </c>
    </row>
    <row r="2359" spans="1:23" hidden="1" x14ac:dyDescent="0.3">
      <c r="A2359" t="s">
        <v>4031</v>
      </c>
      <c r="B2359" t="s">
        <v>4032</v>
      </c>
      <c r="C2359" t="s">
        <v>30</v>
      </c>
      <c r="D2359" t="s">
        <v>26</v>
      </c>
      <c r="E2359" t="s">
        <v>27</v>
      </c>
      <c r="F2359" t="s">
        <v>363</v>
      </c>
      <c r="G2359" t="s">
        <v>451</v>
      </c>
      <c r="H2359" t="s">
        <v>365</v>
      </c>
      <c r="I2359" t="s">
        <v>13</v>
      </c>
      <c r="J2359" t="s">
        <v>452</v>
      </c>
      <c r="K2359" t="s">
        <v>453</v>
      </c>
      <c r="L2359" t="s">
        <v>368</v>
      </c>
      <c r="M2359">
        <v>59</v>
      </c>
      <c r="N2359" t="b">
        <v>0</v>
      </c>
      <c r="O2359">
        <v>0.80761099365750522</v>
      </c>
      <c r="P2359">
        <v>0.78600823045267487</v>
      </c>
      <c r="Q2359">
        <v>0.83043478260869563</v>
      </c>
      <c r="R2359" t="s">
        <v>60</v>
      </c>
      <c r="S2359" t="s">
        <v>5145</v>
      </c>
      <c r="T2359" t="s">
        <v>5146</v>
      </c>
      <c r="U2359" t="b">
        <v>1</v>
      </c>
      <c r="V2359" t="s">
        <v>63</v>
      </c>
      <c r="W2359">
        <v>1.3</v>
      </c>
    </row>
    <row r="2360" spans="1:23" hidden="1" x14ac:dyDescent="0.3">
      <c r="A2360" t="s">
        <v>4031</v>
      </c>
      <c r="B2360" t="s">
        <v>4032</v>
      </c>
      <c r="C2360" t="s">
        <v>30</v>
      </c>
      <c r="D2360" t="s">
        <v>26</v>
      </c>
      <c r="E2360" t="s">
        <v>27</v>
      </c>
      <c r="F2360" t="s">
        <v>363</v>
      </c>
      <c r="G2360" t="s">
        <v>456</v>
      </c>
      <c r="H2360" t="s">
        <v>365</v>
      </c>
      <c r="I2360" t="s">
        <v>13</v>
      </c>
      <c r="J2360" t="s">
        <v>457</v>
      </c>
      <c r="K2360" t="s">
        <v>458</v>
      </c>
      <c r="L2360" t="s">
        <v>368</v>
      </c>
      <c r="M2360">
        <v>60</v>
      </c>
      <c r="N2360" t="b">
        <v>0</v>
      </c>
      <c r="O2360">
        <v>0.810126582278481</v>
      </c>
      <c r="P2360">
        <v>0.78688524590163933</v>
      </c>
      <c r="Q2360">
        <v>0.83478260869565213</v>
      </c>
      <c r="R2360" t="s">
        <v>60</v>
      </c>
      <c r="S2360" t="s">
        <v>5147</v>
      </c>
      <c r="T2360" t="s">
        <v>5148</v>
      </c>
      <c r="U2360" t="b">
        <v>1</v>
      </c>
      <c r="V2360" t="s">
        <v>63</v>
      </c>
      <c r="W2360">
        <v>1.3</v>
      </c>
    </row>
    <row r="2361" spans="1:23" hidden="1" x14ac:dyDescent="0.3">
      <c r="A2361" t="s">
        <v>4031</v>
      </c>
      <c r="B2361" t="s">
        <v>4032</v>
      </c>
      <c r="C2361" t="s">
        <v>30</v>
      </c>
      <c r="D2361" t="s">
        <v>26</v>
      </c>
      <c r="E2361" t="s">
        <v>27</v>
      </c>
      <c r="F2361" t="s">
        <v>363</v>
      </c>
      <c r="G2361" t="s">
        <v>461</v>
      </c>
      <c r="H2361" t="s">
        <v>365</v>
      </c>
      <c r="I2361" t="s">
        <v>13</v>
      </c>
      <c r="J2361" t="s">
        <v>462</v>
      </c>
      <c r="K2361" t="s">
        <v>463</v>
      </c>
      <c r="L2361" t="s">
        <v>368</v>
      </c>
      <c r="M2361">
        <v>61</v>
      </c>
      <c r="N2361" t="b">
        <v>0</v>
      </c>
      <c r="O2361">
        <v>0.81837160751565763</v>
      </c>
      <c r="P2361">
        <v>0.78714859437751006</v>
      </c>
      <c r="Q2361">
        <v>0.85217391304347823</v>
      </c>
      <c r="R2361" t="s">
        <v>60</v>
      </c>
      <c r="S2361" t="s">
        <v>5149</v>
      </c>
      <c r="T2361" t="s">
        <v>5150</v>
      </c>
      <c r="U2361" t="b">
        <v>1</v>
      </c>
      <c r="V2361" t="s">
        <v>63</v>
      </c>
      <c r="W2361">
        <v>1.7</v>
      </c>
    </row>
    <row r="2362" spans="1:23" hidden="1" x14ac:dyDescent="0.3">
      <c r="A2362" t="s">
        <v>4031</v>
      </c>
      <c r="B2362" t="s">
        <v>4032</v>
      </c>
      <c r="C2362" t="s">
        <v>30</v>
      </c>
      <c r="D2362" t="s">
        <v>26</v>
      </c>
      <c r="E2362" t="s">
        <v>27</v>
      </c>
      <c r="F2362" t="s">
        <v>363</v>
      </c>
      <c r="G2362" t="s">
        <v>466</v>
      </c>
      <c r="H2362" t="s">
        <v>467</v>
      </c>
      <c r="I2362" t="s">
        <v>9</v>
      </c>
      <c r="J2362" t="s">
        <v>468</v>
      </c>
      <c r="K2362" t="s">
        <v>469</v>
      </c>
      <c r="L2362" t="s">
        <v>470</v>
      </c>
      <c r="M2362">
        <v>42</v>
      </c>
      <c r="N2362" t="b">
        <v>0</v>
      </c>
      <c r="O2362">
        <v>0.8100558659217878</v>
      </c>
      <c r="P2362">
        <v>0.76719576719576721</v>
      </c>
      <c r="Q2362">
        <v>0.85798816568047342</v>
      </c>
      <c r="R2362" t="s">
        <v>60</v>
      </c>
      <c r="S2362" t="s">
        <v>5151</v>
      </c>
      <c r="T2362" t="s">
        <v>5152</v>
      </c>
      <c r="U2362" t="b">
        <v>1</v>
      </c>
      <c r="V2362" t="s">
        <v>63</v>
      </c>
      <c r="W2362">
        <v>1.1000000000000001</v>
      </c>
    </row>
    <row r="2363" spans="1:23" hidden="1" x14ac:dyDescent="0.3">
      <c r="A2363" t="s">
        <v>4031</v>
      </c>
      <c r="B2363" t="s">
        <v>4032</v>
      </c>
      <c r="C2363" t="s">
        <v>30</v>
      </c>
      <c r="D2363" t="s">
        <v>26</v>
      </c>
      <c r="E2363" t="s">
        <v>27</v>
      </c>
      <c r="F2363" t="s">
        <v>363</v>
      </c>
      <c r="G2363" t="s">
        <v>473</v>
      </c>
      <c r="H2363" t="s">
        <v>467</v>
      </c>
      <c r="I2363" t="s">
        <v>9</v>
      </c>
      <c r="J2363" t="s">
        <v>474</v>
      </c>
      <c r="K2363" t="s">
        <v>475</v>
      </c>
      <c r="L2363" t="s">
        <v>470</v>
      </c>
      <c r="M2363">
        <v>43</v>
      </c>
      <c r="N2363" t="b">
        <v>0</v>
      </c>
      <c r="O2363">
        <v>0.83852691218130315</v>
      </c>
      <c r="P2363">
        <v>0.80434782608695654</v>
      </c>
      <c r="Q2363">
        <v>0.87573964497041423</v>
      </c>
      <c r="R2363" t="s">
        <v>60</v>
      </c>
      <c r="S2363" t="s">
        <v>5153</v>
      </c>
      <c r="T2363" t="s">
        <v>5154</v>
      </c>
      <c r="U2363" t="b">
        <v>1</v>
      </c>
      <c r="V2363" t="s">
        <v>63</v>
      </c>
      <c r="W2363">
        <v>1.1000000000000001</v>
      </c>
    </row>
    <row r="2364" spans="1:23" hidden="1" x14ac:dyDescent="0.3">
      <c r="A2364" t="s">
        <v>4031</v>
      </c>
      <c r="B2364" t="s">
        <v>4032</v>
      </c>
      <c r="C2364" t="s">
        <v>30</v>
      </c>
      <c r="D2364" t="s">
        <v>26</v>
      </c>
      <c r="E2364" t="s">
        <v>27</v>
      </c>
      <c r="F2364" t="s">
        <v>363</v>
      </c>
      <c r="G2364" t="s">
        <v>478</v>
      </c>
      <c r="H2364" t="s">
        <v>467</v>
      </c>
      <c r="I2364" t="s">
        <v>9</v>
      </c>
      <c r="J2364" t="s">
        <v>479</v>
      </c>
      <c r="K2364" t="s">
        <v>480</v>
      </c>
      <c r="L2364" t="s">
        <v>470</v>
      </c>
      <c r="M2364">
        <v>44</v>
      </c>
      <c r="N2364" t="b">
        <v>0</v>
      </c>
      <c r="O2364">
        <v>0.82719546742209626</v>
      </c>
      <c r="P2364">
        <v>0.79347826086956519</v>
      </c>
      <c r="Q2364">
        <v>0.86390532544378695</v>
      </c>
      <c r="R2364" t="s">
        <v>60</v>
      </c>
      <c r="S2364" t="s">
        <v>5155</v>
      </c>
      <c r="T2364" t="s">
        <v>5156</v>
      </c>
      <c r="U2364" t="b">
        <v>1</v>
      </c>
      <c r="V2364" t="s">
        <v>63</v>
      </c>
      <c r="W2364">
        <v>1.1000000000000001</v>
      </c>
    </row>
    <row r="2365" spans="1:23" hidden="1" x14ac:dyDescent="0.3">
      <c r="A2365" t="s">
        <v>4031</v>
      </c>
      <c r="B2365" t="s">
        <v>4032</v>
      </c>
      <c r="C2365" t="s">
        <v>30</v>
      </c>
      <c r="D2365" t="s">
        <v>26</v>
      </c>
      <c r="E2365" t="s">
        <v>27</v>
      </c>
      <c r="F2365" t="s">
        <v>363</v>
      </c>
      <c r="G2365" t="s">
        <v>483</v>
      </c>
      <c r="H2365" t="s">
        <v>467</v>
      </c>
      <c r="I2365" t="s">
        <v>9</v>
      </c>
      <c r="J2365" t="s">
        <v>484</v>
      </c>
      <c r="K2365" t="s">
        <v>485</v>
      </c>
      <c r="L2365" t="s">
        <v>470</v>
      </c>
      <c r="M2365">
        <v>45</v>
      </c>
      <c r="N2365" t="b">
        <v>0</v>
      </c>
      <c r="O2365">
        <v>0.83760683760683752</v>
      </c>
      <c r="P2365">
        <v>0.80769230769230771</v>
      </c>
      <c r="Q2365">
        <v>0.86982248520710059</v>
      </c>
      <c r="R2365" t="s">
        <v>60</v>
      </c>
      <c r="S2365" t="s">
        <v>5157</v>
      </c>
      <c r="T2365" t="s">
        <v>5158</v>
      </c>
      <c r="U2365" t="b">
        <v>1</v>
      </c>
      <c r="V2365" t="s">
        <v>63</v>
      </c>
      <c r="W2365">
        <v>1.5</v>
      </c>
    </row>
    <row r="2366" spans="1:23" hidden="1" x14ac:dyDescent="0.3">
      <c r="A2366" t="s">
        <v>4031</v>
      </c>
      <c r="B2366" t="s">
        <v>4032</v>
      </c>
      <c r="C2366" t="s">
        <v>30</v>
      </c>
      <c r="D2366" t="s">
        <v>26</v>
      </c>
      <c r="E2366" t="s">
        <v>27</v>
      </c>
      <c r="F2366" t="s">
        <v>363</v>
      </c>
      <c r="G2366" t="s">
        <v>488</v>
      </c>
      <c r="H2366" t="s">
        <v>467</v>
      </c>
      <c r="I2366" t="s">
        <v>9</v>
      </c>
      <c r="J2366" t="s">
        <v>489</v>
      </c>
      <c r="K2366" t="s">
        <v>490</v>
      </c>
      <c r="L2366" t="s">
        <v>470</v>
      </c>
      <c r="M2366">
        <v>46</v>
      </c>
      <c r="N2366" t="b">
        <v>0</v>
      </c>
      <c r="O2366">
        <v>0.8472622478386167</v>
      </c>
      <c r="P2366">
        <v>0.8258426966292135</v>
      </c>
      <c r="Q2366">
        <v>0.86982248520710059</v>
      </c>
      <c r="R2366" t="s">
        <v>60</v>
      </c>
      <c r="S2366" t="s">
        <v>5159</v>
      </c>
      <c r="T2366" t="s">
        <v>5160</v>
      </c>
      <c r="U2366" t="b">
        <v>1</v>
      </c>
      <c r="V2366" t="s">
        <v>63</v>
      </c>
      <c r="W2366">
        <v>1.1000000000000001</v>
      </c>
    </row>
    <row r="2367" spans="1:23" hidden="1" x14ac:dyDescent="0.3">
      <c r="A2367" t="s">
        <v>4031</v>
      </c>
      <c r="B2367" t="s">
        <v>4032</v>
      </c>
      <c r="C2367" t="s">
        <v>30</v>
      </c>
      <c r="D2367" t="s">
        <v>26</v>
      </c>
      <c r="E2367" t="s">
        <v>27</v>
      </c>
      <c r="F2367" t="s">
        <v>363</v>
      </c>
      <c r="G2367" t="s">
        <v>493</v>
      </c>
      <c r="H2367" t="s">
        <v>467</v>
      </c>
      <c r="I2367" t="s">
        <v>9</v>
      </c>
      <c r="J2367" t="s">
        <v>494</v>
      </c>
      <c r="K2367" t="s">
        <v>495</v>
      </c>
      <c r="L2367" t="s">
        <v>470</v>
      </c>
      <c r="M2367">
        <v>47</v>
      </c>
      <c r="N2367" t="b">
        <v>0</v>
      </c>
      <c r="O2367">
        <v>0.83428571428571441</v>
      </c>
      <c r="P2367">
        <v>0.8066298342541437</v>
      </c>
      <c r="Q2367">
        <v>0.86390532544378695</v>
      </c>
      <c r="R2367" t="s">
        <v>60</v>
      </c>
      <c r="S2367" t="s">
        <v>5161</v>
      </c>
      <c r="T2367" t="s">
        <v>5162</v>
      </c>
      <c r="U2367" t="b">
        <v>1</v>
      </c>
      <c r="V2367" t="s">
        <v>63</v>
      </c>
      <c r="W2367">
        <v>1.1000000000000001</v>
      </c>
    </row>
    <row r="2368" spans="1:23" hidden="1" x14ac:dyDescent="0.3">
      <c r="A2368" t="s">
        <v>4031</v>
      </c>
      <c r="B2368" t="s">
        <v>4032</v>
      </c>
      <c r="C2368" t="s">
        <v>30</v>
      </c>
      <c r="D2368" t="s">
        <v>26</v>
      </c>
      <c r="E2368" t="s">
        <v>27</v>
      </c>
      <c r="F2368" t="s">
        <v>363</v>
      </c>
      <c r="G2368" t="s">
        <v>498</v>
      </c>
      <c r="H2368" t="s">
        <v>467</v>
      </c>
      <c r="I2368" t="s">
        <v>9</v>
      </c>
      <c r="J2368" t="s">
        <v>499</v>
      </c>
      <c r="K2368" t="s">
        <v>500</v>
      </c>
      <c r="L2368" t="s">
        <v>470</v>
      </c>
      <c r="M2368">
        <v>48</v>
      </c>
      <c r="N2368" t="b">
        <v>0</v>
      </c>
      <c r="O2368">
        <v>0.83286118980169965</v>
      </c>
      <c r="P2368">
        <v>0.79891304347826086</v>
      </c>
      <c r="Q2368">
        <v>0.86982248520710059</v>
      </c>
      <c r="R2368" t="s">
        <v>60</v>
      </c>
      <c r="S2368" t="s">
        <v>5163</v>
      </c>
      <c r="T2368" t="s">
        <v>5164</v>
      </c>
      <c r="U2368" t="b">
        <v>1</v>
      </c>
      <c r="V2368" t="s">
        <v>63</v>
      </c>
      <c r="W2368">
        <v>1.1000000000000001</v>
      </c>
    </row>
    <row r="2369" spans="1:23" hidden="1" x14ac:dyDescent="0.3">
      <c r="A2369" t="s">
        <v>4031</v>
      </c>
      <c r="B2369" t="s">
        <v>4032</v>
      </c>
      <c r="C2369" t="s">
        <v>30</v>
      </c>
      <c r="D2369" t="s">
        <v>26</v>
      </c>
      <c r="E2369" t="s">
        <v>27</v>
      </c>
      <c r="F2369" t="s">
        <v>363</v>
      </c>
      <c r="G2369" t="s">
        <v>503</v>
      </c>
      <c r="H2369" t="s">
        <v>467</v>
      </c>
      <c r="I2369" t="s">
        <v>9</v>
      </c>
      <c r="J2369" t="s">
        <v>504</v>
      </c>
      <c r="K2369" t="s">
        <v>505</v>
      </c>
      <c r="L2369" t="s">
        <v>470</v>
      </c>
      <c r="M2369">
        <v>49</v>
      </c>
      <c r="N2369" t="b">
        <v>0</v>
      </c>
      <c r="O2369">
        <v>0.84269662921348309</v>
      </c>
      <c r="P2369">
        <v>0.80213903743315507</v>
      </c>
      <c r="Q2369">
        <v>0.8875739644970414</v>
      </c>
      <c r="R2369" t="s">
        <v>60</v>
      </c>
      <c r="S2369" t="s">
        <v>5165</v>
      </c>
      <c r="T2369" t="s">
        <v>5166</v>
      </c>
      <c r="U2369" t="b">
        <v>1</v>
      </c>
      <c r="V2369" t="s">
        <v>63</v>
      </c>
      <c r="W2369">
        <v>1.5</v>
      </c>
    </row>
    <row r="2370" spans="1:23" hidden="1" x14ac:dyDescent="0.3">
      <c r="A2370" t="s">
        <v>4031</v>
      </c>
      <c r="B2370" t="s">
        <v>4032</v>
      </c>
      <c r="C2370" t="s">
        <v>30</v>
      </c>
      <c r="D2370" t="s">
        <v>26</v>
      </c>
      <c r="E2370" t="s">
        <v>27</v>
      </c>
      <c r="F2370" t="s">
        <v>363</v>
      </c>
      <c r="G2370" t="s">
        <v>508</v>
      </c>
      <c r="H2370" t="s">
        <v>467</v>
      </c>
      <c r="I2370" t="s">
        <v>9</v>
      </c>
      <c r="J2370" t="s">
        <v>509</v>
      </c>
      <c r="K2370" t="s">
        <v>510</v>
      </c>
      <c r="L2370" t="s">
        <v>470</v>
      </c>
      <c r="M2370">
        <v>50</v>
      </c>
      <c r="N2370" t="b">
        <v>0</v>
      </c>
      <c r="O2370">
        <v>0.84330484330484323</v>
      </c>
      <c r="P2370">
        <v>0.81318681318681318</v>
      </c>
      <c r="Q2370">
        <v>0.87573964497041423</v>
      </c>
      <c r="R2370" t="s">
        <v>60</v>
      </c>
      <c r="S2370" t="s">
        <v>5167</v>
      </c>
      <c r="T2370" t="s">
        <v>5168</v>
      </c>
      <c r="U2370" t="b">
        <v>1</v>
      </c>
      <c r="V2370" t="s">
        <v>63</v>
      </c>
      <c r="W2370">
        <v>1.1000000000000001</v>
      </c>
    </row>
    <row r="2371" spans="1:23" hidden="1" x14ac:dyDescent="0.3">
      <c r="A2371" t="s">
        <v>4031</v>
      </c>
      <c r="B2371" t="s">
        <v>4032</v>
      </c>
      <c r="C2371" t="s">
        <v>30</v>
      </c>
      <c r="D2371" t="s">
        <v>26</v>
      </c>
      <c r="E2371" t="s">
        <v>27</v>
      </c>
      <c r="F2371" t="s">
        <v>363</v>
      </c>
      <c r="G2371" t="s">
        <v>513</v>
      </c>
      <c r="H2371" t="s">
        <v>467</v>
      </c>
      <c r="I2371" t="s">
        <v>9</v>
      </c>
      <c r="J2371" t="s">
        <v>514</v>
      </c>
      <c r="K2371" t="s">
        <v>515</v>
      </c>
      <c r="L2371" t="s">
        <v>470</v>
      </c>
      <c r="M2371">
        <v>51</v>
      </c>
      <c r="N2371" t="b">
        <v>0</v>
      </c>
      <c r="O2371">
        <v>0.84180790960451968</v>
      </c>
      <c r="P2371">
        <v>0.80540540540540539</v>
      </c>
      <c r="Q2371">
        <v>0.88165680473372776</v>
      </c>
      <c r="R2371" t="s">
        <v>60</v>
      </c>
      <c r="S2371" t="s">
        <v>5169</v>
      </c>
      <c r="T2371" t="s">
        <v>5170</v>
      </c>
      <c r="U2371" t="b">
        <v>1</v>
      </c>
      <c r="V2371" t="s">
        <v>63</v>
      </c>
      <c r="W2371">
        <v>1.1000000000000001</v>
      </c>
    </row>
    <row r="2372" spans="1:23" hidden="1" x14ac:dyDescent="0.3">
      <c r="A2372" t="s">
        <v>4031</v>
      </c>
      <c r="B2372" t="s">
        <v>4032</v>
      </c>
      <c r="C2372" t="s">
        <v>30</v>
      </c>
      <c r="D2372" t="s">
        <v>26</v>
      </c>
      <c r="E2372" t="s">
        <v>27</v>
      </c>
      <c r="F2372" t="s">
        <v>363</v>
      </c>
      <c r="G2372" t="s">
        <v>518</v>
      </c>
      <c r="H2372" t="s">
        <v>467</v>
      </c>
      <c r="I2372" t="s">
        <v>9</v>
      </c>
      <c r="J2372" t="s">
        <v>519</v>
      </c>
      <c r="K2372" t="s">
        <v>520</v>
      </c>
      <c r="L2372" t="s">
        <v>470</v>
      </c>
      <c r="M2372">
        <v>52</v>
      </c>
      <c r="N2372" t="b">
        <v>0</v>
      </c>
      <c r="O2372">
        <v>0.85470085470085466</v>
      </c>
      <c r="P2372">
        <v>0.82417582417582413</v>
      </c>
      <c r="Q2372">
        <v>0.8875739644970414</v>
      </c>
      <c r="R2372" t="s">
        <v>60</v>
      </c>
      <c r="S2372" t="s">
        <v>5171</v>
      </c>
      <c r="T2372" t="s">
        <v>5172</v>
      </c>
      <c r="U2372" t="b">
        <v>1</v>
      </c>
      <c r="V2372" t="s">
        <v>63</v>
      </c>
      <c r="W2372">
        <v>1.5</v>
      </c>
    </row>
    <row r="2373" spans="1:23" hidden="1" x14ac:dyDescent="0.3">
      <c r="A2373" t="s">
        <v>4031</v>
      </c>
      <c r="B2373" t="s">
        <v>4032</v>
      </c>
      <c r="C2373" t="s">
        <v>30</v>
      </c>
      <c r="D2373" t="s">
        <v>26</v>
      </c>
      <c r="E2373" t="s">
        <v>27</v>
      </c>
      <c r="F2373" t="s">
        <v>363</v>
      </c>
      <c r="G2373" t="s">
        <v>523</v>
      </c>
      <c r="H2373" t="s">
        <v>467</v>
      </c>
      <c r="I2373" t="s">
        <v>9</v>
      </c>
      <c r="J2373" t="s">
        <v>524</v>
      </c>
      <c r="K2373" t="s">
        <v>525</v>
      </c>
      <c r="L2373" t="s">
        <v>470</v>
      </c>
      <c r="M2373">
        <v>53</v>
      </c>
      <c r="N2373" t="b">
        <v>0</v>
      </c>
      <c r="O2373">
        <v>0.8595505617977528</v>
      </c>
      <c r="P2373">
        <v>0.81818181818181823</v>
      </c>
      <c r="Q2373">
        <v>0.90532544378698221</v>
      </c>
      <c r="R2373" t="s">
        <v>60</v>
      </c>
      <c r="S2373" t="s">
        <v>5173</v>
      </c>
      <c r="T2373" t="s">
        <v>5174</v>
      </c>
      <c r="U2373" t="b">
        <v>1</v>
      </c>
      <c r="V2373" t="s">
        <v>63</v>
      </c>
      <c r="W2373">
        <v>1.1000000000000001</v>
      </c>
    </row>
    <row r="2374" spans="1:23" hidden="1" x14ac:dyDescent="0.3">
      <c r="A2374" t="s">
        <v>4031</v>
      </c>
      <c r="B2374" t="s">
        <v>4032</v>
      </c>
      <c r="C2374" t="s">
        <v>30</v>
      </c>
      <c r="D2374" t="s">
        <v>26</v>
      </c>
      <c r="E2374" t="s">
        <v>27</v>
      </c>
      <c r="F2374" t="s">
        <v>363</v>
      </c>
      <c r="G2374" t="s">
        <v>528</v>
      </c>
      <c r="H2374" t="s">
        <v>467</v>
      </c>
      <c r="I2374" t="s">
        <v>9</v>
      </c>
      <c r="J2374" t="s">
        <v>529</v>
      </c>
      <c r="K2374" t="s">
        <v>530</v>
      </c>
      <c r="L2374" t="s">
        <v>470</v>
      </c>
      <c r="M2374">
        <v>54</v>
      </c>
      <c r="N2374" t="b">
        <v>0</v>
      </c>
      <c r="O2374">
        <v>0.86039886039886049</v>
      </c>
      <c r="P2374">
        <v>0.82967032967032972</v>
      </c>
      <c r="Q2374">
        <v>0.89349112426035504</v>
      </c>
      <c r="R2374" t="s">
        <v>60</v>
      </c>
      <c r="S2374" t="s">
        <v>5175</v>
      </c>
      <c r="T2374" t="s">
        <v>5176</v>
      </c>
      <c r="U2374" t="b">
        <v>1</v>
      </c>
      <c r="V2374" t="s">
        <v>63</v>
      </c>
      <c r="W2374">
        <v>1.1000000000000001</v>
      </c>
    </row>
    <row r="2375" spans="1:23" hidden="1" x14ac:dyDescent="0.3">
      <c r="A2375" t="s">
        <v>4031</v>
      </c>
      <c r="B2375" t="s">
        <v>4032</v>
      </c>
      <c r="C2375" t="s">
        <v>30</v>
      </c>
      <c r="D2375" t="s">
        <v>26</v>
      </c>
      <c r="E2375" t="s">
        <v>27</v>
      </c>
      <c r="F2375" t="s">
        <v>363</v>
      </c>
      <c r="G2375" t="s">
        <v>533</v>
      </c>
      <c r="H2375" t="s">
        <v>467</v>
      </c>
      <c r="I2375" t="s">
        <v>9</v>
      </c>
      <c r="J2375" t="s">
        <v>534</v>
      </c>
      <c r="K2375" t="s">
        <v>535</v>
      </c>
      <c r="L2375" t="s">
        <v>470</v>
      </c>
      <c r="M2375">
        <v>55</v>
      </c>
      <c r="N2375" t="b">
        <v>0</v>
      </c>
      <c r="O2375">
        <v>0.84330484330484323</v>
      </c>
      <c r="P2375">
        <v>0.81318681318681318</v>
      </c>
      <c r="Q2375">
        <v>0.87573964497041423</v>
      </c>
      <c r="R2375" t="s">
        <v>60</v>
      </c>
      <c r="S2375" t="s">
        <v>5177</v>
      </c>
      <c r="T2375" t="s">
        <v>5178</v>
      </c>
      <c r="U2375" t="b">
        <v>1</v>
      </c>
      <c r="V2375" t="s">
        <v>63</v>
      </c>
      <c r="W2375">
        <v>1.1000000000000001</v>
      </c>
    </row>
    <row r="2376" spans="1:23" hidden="1" x14ac:dyDescent="0.3">
      <c r="A2376" t="s">
        <v>4031</v>
      </c>
      <c r="B2376" t="s">
        <v>4032</v>
      </c>
      <c r="C2376" t="s">
        <v>30</v>
      </c>
      <c r="D2376" t="s">
        <v>26</v>
      </c>
      <c r="E2376" t="s">
        <v>27</v>
      </c>
      <c r="F2376" t="s">
        <v>363</v>
      </c>
      <c r="G2376" t="s">
        <v>538</v>
      </c>
      <c r="H2376" t="s">
        <v>467</v>
      </c>
      <c r="I2376" t="s">
        <v>9</v>
      </c>
      <c r="J2376" t="s">
        <v>539</v>
      </c>
      <c r="K2376" t="s">
        <v>540</v>
      </c>
      <c r="L2376" t="s">
        <v>470</v>
      </c>
      <c r="M2376">
        <v>56</v>
      </c>
      <c r="N2376" t="b">
        <v>0</v>
      </c>
      <c r="O2376">
        <v>0.84705882352941175</v>
      </c>
      <c r="P2376">
        <v>0.84210526315789469</v>
      </c>
      <c r="Q2376">
        <v>0.85207100591715978</v>
      </c>
      <c r="R2376" t="s">
        <v>60</v>
      </c>
      <c r="S2376" t="s">
        <v>5179</v>
      </c>
      <c r="T2376" t="s">
        <v>5180</v>
      </c>
      <c r="U2376" t="b">
        <v>1</v>
      </c>
      <c r="V2376" t="s">
        <v>63</v>
      </c>
      <c r="W2376">
        <v>1.6</v>
      </c>
    </row>
    <row r="2377" spans="1:23" hidden="1" x14ac:dyDescent="0.3">
      <c r="A2377" t="s">
        <v>4031</v>
      </c>
      <c r="B2377" t="s">
        <v>4032</v>
      </c>
      <c r="C2377" t="s">
        <v>30</v>
      </c>
      <c r="D2377" t="s">
        <v>26</v>
      </c>
      <c r="E2377" t="s">
        <v>27</v>
      </c>
      <c r="F2377" t="s">
        <v>363</v>
      </c>
      <c r="G2377" t="s">
        <v>543</v>
      </c>
      <c r="H2377" t="s">
        <v>467</v>
      </c>
      <c r="I2377" t="s">
        <v>9</v>
      </c>
      <c r="J2377" t="s">
        <v>544</v>
      </c>
      <c r="K2377" t="s">
        <v>545</v>
      </c>
      <c r="L2377" t="s">
        <v>470</v>
      </c>
      <c r="M2377">
        <v>57</v>
      </c>
      <c r="N2377" t="b">
        <v>0</v>
      </c>
      <c r="O2377">
        <v>0.82352941176470595</v>
      </c>
      <c r="P2377">
        <v>0.78191489361702127</v>
      </c>
      <c r="Q2377">
        <v>0.86982248520710059</v>
      </c>
      <c r="R2377" t="s">
        <v>60</v>
      </c>
      <c r="S2377" t="s">
        <v>5181</v>
      </c>
      <c r="T2377" t="s">
        <v>5182</v>
      </c>
      <c r="U2377" t="b">
        <v>1</v>
      </c>
      <c r="V2377" t="s">
        <v>63</v>
      </c>
      <c r="W2377">
        <v>1.1000000000000001</v>
      </c>
    </row>
    <row r="2378" spans="1:23" hidden="1" x14ac:dyDescent="0.3">
      <c r="A2378" t="s">
        <v>4031</v>
      </c>
      <c r="B2378" t="s">
        <v>4032</v>
      </c>
      <c r="C2378" t="s">
        <v>30</v>
      </c>
      <c r="D2378" t="s">
        <v>26</v>
      </c>
      <c r="E2378" t="s">
        <v>27</v>
      </c>
      <c r="F2378" t="s">
        <v>363</v>
      </c>
      <c r="G2378" t="s">
        <v>548</v>
      </c>
      <c r="H2378" t="s">
        <v>467</v>
      </c>
      <c r="I2378" t="s">
        <v>9</v>
      </c>
      <c r="J2378" t="s">
        <v>549</v>
      </c>
      <c r="K2378" t="s">
        <v>550</v>
      </c>
      <c r="L2378" t="s">
        <v>470</v>
      </c>
      <c r="M2378">
        <v>58</v>
      </c>
      <c r="N2378" t="b">
        <v>0</v>
      </c>
      <c r="O2378">
        <v>0.84637681159420297</v>
      </c>
      <c r="P2378">
        <v>0.82954545454545459</v>
      </c>
      <c r="Q2378">
        <v>0.86390532544378695</v>
      </c>
      <c r="R2378" t="s">
        <v>60</v>
      </c>
      <c r="S2378" t="s">
        <v>5183</v>
      </c>
      <c r="T2378" t="s">
        <v>5184</v>
      </c>
      <c r="U2378" t="b">
        <v>1</v>
      </c>
      <c r="V2378" t="s">
        <v>63</v>
      </c>
      <c r="W2378">
        <v>1.1000000000000001</v>
      </c>
    </row>
    <row r="2379" spans="1:23" hidden="1" x14ac:dyDescent="0.3">
      <c r="A2379" t="s">
        <v>4031</v>
      </c>
      <c r="B2379" t="s">
        <v>4032</v>
      </c>
      <c r="C2379" t="s">
        <v>30</v>
      </c>
      <c r="D2379" t="s">
        <v>26</v>
      </c>
      <c r="E2379" t="s">
        <v>27</v>
      </c>
      <c r="F2379" t="s">
        <v>363</v>
      </c>
      <c r="G2379" t="s">
        <v>553</v>
      </c>
      <c r="H2379" t="s">
        <v>467</v>
      </c>
      <c r="I2379" t="s">
        <v>9</v>
      </c>
      <c r="J2379" t="s">
        <v>554</v>
      </c>
      <c r="K2379" t="s">
        <v>555</v>
      </c>
      <c r="L2379" t="s">
        <v>470</v>
      </c>
      <c r="M2379">
        <v>59</v>
      </c>
      <c r="N2379" t="b">
        <v>0</v>
      </c>
      <c r="O2379">
        <v>0.84900284900284884</v>
      </c>
      <c r="P2379">
        <v>0.81868131868131866</v>
      </c>
      <c r="Q2379">
        <v>0.88165680473372776</v>
      </c>
      <c r="R2379" t="s">
        <v>60</v>
      </c>
      <c r="S2379" t="s">
        <v>5185</v>
      </c>
      <c r="T2379" t="s">
        <v>5186</v>
      </c>
      <c r="U2379" t="b">
        <v>1</v>
      </c>
      <c r="V2379" t="s">
        <v>63</v>
      </c>
      <c r="W2379">
        <v>1.5</v>
      </c>
    </row>
    <row r="2380" spans="1:23" hidden="1" x14ac:dyDescent="0.3">
      <c r="A2380" t="s">
        <v>4031</v>
      </c>
      <c r="B2380" t="s">
        <v>4032</v>
      </c>
      <c r="C2380" t="s">
        <v>30</v>
      </c>
      <c r="D2380" t="s">
        <v>26</v>
      </c>
      <c r="E2380" t="s">
        <v>27</v>
      </c>
      <c r="F2380" t="s">
        <v>363</v>
      </c>
      <c r="G2380" t="s">
        <v>558</v>
      </c>
      <c r="H2380" t="s">
        <v>467</v>
      </c>
      <c r="I2380" t="s">
        <v>9</v>
      </c>
      <c r="J2380" t="s">
        <v>559</v>
      </c>
      <c r="K2380" t="s">
        <v>560</v>
      </c>
      <c r="L2380" t="s">
        <v>470</v>
      </c>
      <c r="M2380">
        <v>60</v>
      </c>
      <c r="N2380" t="b">
        <v>0</v>
      </c>
      <c r="O2380">
        <v>0.82681564245810057</v>
      </c>
      <c r="P2380">
        <v>0.78306878306878303</v>
      </c>
      <c r="Q2380">
        <v>0.87573964497041423</v>
      </c>
      <c r="R2380" t="s">
        <v>60</v>
      </c>
      <c r="S2380" t="s">
        <v>5187</v>
      </c>
      <c r="T2380" t="s">
        <v>5188</v>
      </c>
      <c r="U2380" t="b">
        <v>1</v>
      </c>
      <c r="V2380" t="s">
        <v>63</v>
      </c>
      <c r="W2380">
        <v>1.1000000000000001</v>
      </c>
    </row>
    <row r="2381" spans="1:23" hidden="1" x14ac:dyDescent="0.3">
      <c r="A2381" t="s">
        <v>4031</v>
      </c>
      <c r="B2381" t="s">
        <v>4032</v>
      </c>
      <c r="C2381" t="s">
        <v>30</v>
      </c>
      <c r="D2381" t="s">
        <v>26</v>
      </c>
      <c r="E2381" t="s">
        <v>27</v>
      </c>
      <c r="F2381" t="s">
        <v>363</v>
      </c>
      <c r="G2381" t="s">
        <v>563</v>
      </c>
      <c r="H2381" t="s">
        <v>467</v>
      </c>
      <c r="I2381" t="s">
        <v>9</v>
      </c>
      <c r="J2381" t="s">
        <v>564</v>
      </c>
      <c r="K2381" t="s">
        <v>565</v>
      </c>
      <c r="L2381" t="s">
        <v>470</v>
      </c>
      <c r="M2381">
        <v>61</v>
      </c>
      <c r="N2381" t="b">
        <v>0</v>
      </c>
      <c r="O2381">
        <v>0.84482758620689657</v>
      </c>
      <c r="P2381">
        <v>0.82122905027932958</v>
      </c>
      <c r="Q2381">
        <v>0.86982248520710059</v>
      </c>
      <c r="R2381" t="s">
        <v>60</v>
      </c>
      <c r="S2381" t="s">
        <v>5189</v>
      </c>
      <c r="T2381" t="s">
        <v>5190</v>
      </c>
      <c r="U2381" t="b">
        <v>1</v>
      </c>
      <c r="V2381" t="s">
        <v>63</v>
      </c>
      <c r="W2381">
        <v>1.1000000000000001</v>
      </c>
    </row>
    <row r="2382" spans="1:23" hidden="1" x14ac:dyDescent="0.3">
      <c r="A2382" t="s">
        <v>4031</v>
      </c>
      <c r="B2382" t="s">
        <v>4032</v>
      </c>
      <c r="C2382" t="s">
        <v>30</v>
      </c>
      <c r="D2382" t="s">
        <v>26</v>
      </c>
      <c r="E2382" t="s">
        <v>27</v>
      </c>
      <c r="F2382" t="s">
        <v>363</v>
      </c>
      <c r="G2382" t="s">
        <v>568</v>
      </c>
      <c r="H2382" t="s">
        <v>569</v>
      </c>
      <c r="I2382" t="s">
        <v>11</v>
      </c>
      <c r="J2382" t="s">
        <v>570</v>
      </c>
      <c r="K2382" t="s">
        <v>571</v>
      </c>
      <c r="L2382" t="s">
        <v>572</v>
      </c>
      <c r="M2382">
        <v>42</v>
      </c>
      <c r="N2382" t="b">
        <v>0</v>
      </c>
      <c r="O2382">
        <v>0.83741648106904221</v>
      </c>
      <c r="P2382">
        <v>0.82819383259911894</v>
      </c>
      <c r="Q2382">
        <v>0.84684684684684686</v>
      </c>
      <c r="R2382" t="s">
        <v>60</v>
      </c>
      <c r="S2382" t="s">
        <v>5191</v>
      </c>
      <c r="T2382" t="s">
        <v>5192</v>
      </c>
      <c r="U2382" t="b">
        <v>1</v>
      </c>
      <c r="V2382" t="s">
        <v>63</v>
      </c>
      <c r="W2382">
        <v>1.3</v>
      </c>
    </row>
    <row r="2383" spans="1:23" hidden="1" x14ac:dyDescent="0.3">
      <c r="A2383" t="s">
        <v>4031</v>
      </c>
      <c r="B2383" t="s">
        <v>4032</v>
      </c>
      <c r="C2383" t="s">
        <v>30</v>
      </c>
      <c r="D2383" t="s">
        <v>26</v>
      </c>
      <c r="E2383" t="s">
        <v>27</v>
      </c>
      <c r="F2383" t="s">
        <v>363</v>
      </c>
      <c r="G2383" t="s">
        <v>575</v>
      </c>
      <c r="H2383" t="s">
        <v>569</v>
      </c>
      <c r="I2383" t="s">
        <v>11</v>
      </c>
      <c r="J2383" t="s">
        <v>576</v>
      </c>
      <c r="K2383" t="s">
        <v>577</v>
      </c>
      <c r="L2383" t="s">
        <v>572</v>
      </c>
      <c r="M2383">
        <v>43</v>
      </c>
      <c r="N2383" t="b">
        <v>0</v>
      </c>
      <c r="O2383">
        <v>0.85393258426966301</v>
      </c>
      <c r="P2383">
        <v>0.85201793721973096</v>
      </c>
      <c r="Q2383">
        <v>0.85585585585585588</v>
      </c>
      <c r="R2383" t="s">
        <v>60</v>
      </c>
      <c r="S2383" t="s">
        <v>5193</v>
      </c>
      <c r="T2383" t="s">
        <v>5194</v>
      </c>
      <c r="U2383" t="b">
        <v>1</v>
      </c>
      <c r="V2383" t="s">
        <v>63</v>
      </c>
      <c r="W2383">
        <v>1.7</v>
      </c>
    </row>
    <row r="2384" spans="1:23" hidden="1" x14ac:dyDescent="0.3">
      <c r="A2384" t="s">
        <v>4031</v>
      </c>
      <c r="B2384" t="s">
        <v>4032</v>
      </c>
      <c r="C2384" t="s">
        <v>30</v>
      </c>
      <c r="D2384" t="s">
        <v>26</v>
      </c>
      <c r="E2384" t="s">
        <v>27</v>
      </c>
      <c r="F2384" t="s">
        <v>363</v>
      </c>
      <c r="G2384" t="s">
        <v>580</v>
      </c>
      <c r="H2384" t="s">
        <v>569</v>
      </c>
      <c r="I2384" t="s">
        <v>11</v>
      </c>
      <c r="J2384" t="s">
        <v>581</v>
      </c>
      <c r="K2384" t="s">
        <v>582</v>
      </c>
      <c r="L2384" t="s">
        <v>572</v>
      </c>
      <c r="M2384">
        <v>44</v>
      </c>
      <c r="N2384" t="b">
        <v>0</v>
      </c>
      <c r="O2384">
        <v>0.84444444444444455</v>
      </c>
      <c r="P2384">
        <v>0.83333333333333337</v>
      </c>
      <c r="Q2384">
        <v>0.85585585585585588</v>
      </c>
      <c r="R2384" t="s">
        <v>60</v>
      </c>
      <c r="S2384" t="s">
        <v>5195</v>
      </c>
      <c r="T2384" t="s">
        <v>5196</v>
      </c>
      <c r="U2384" t="b">
        <v>1</v>
      </c>
      <c r="V2384" t="s">
        <v>63</v>
      </c>
      <c r="W2384">
        <v>1.3</v>
      </c>
    </row>
    <row r="2385" spans="1:23" hidden="1" x14ac:dyDescent="0.3">
      <c r="A2385" t="s">
        <v>4031</v>
      </c>
      <c r="B2385" t="s">
        <v>4032</v>
      </c>
      <c r="C2385" t="s">
        <v>30</v>
      </c>
      <c r="D2385" t="s">
        <v>26</v>
      </c>
      <c r="E2385" t="s">
        <v>27</v>
      </c>
      <c r="F2385" t="s">
        <v>363</v>
      </c>
      <c r="G2385" t="s">
        <v>585</v>
      </c>
      <c r="H2385" t="s">
        <v>569</v>
      </c>
      <c r="I2385" t="s">
        <v>11</v>
      </c>
      <c r="J2385" t="s">
        <v>586</v>
      </c>
      <c r="K2385" t="s">
        <v>587</v>
      </c>
      <c r="L2385" t="s">
        <v>572</v>
      </c>
      <c r="M2385">
        <v>45</v>
      </c>
      <c r="N2385" t="b">
        <v>0</v>
      </c>
      <c r="O2385">
        <v>0.83628318584070793</v>
      </c>
      <c r="P2385">
        <v>0.82173913043478264</v>
      </c>
      <c r="Q2385">
        <v>0.85135135135135132</v>
      </c>
      <c r="R2385" t="s">
        <v>60</v>
      </c>
      <c r="S2385" t="s">
        <v>5197</v>
      </c>
      <c r="T2385" t="s">
        <v>5198</v>
      </c>
      <c r="U2385" t="b">
        <v>1</v>
      </c>
      <c r="V2385" t="s">
        <v>63</v>
      </c>
      <c r="W2385">
        <v>1.7</v>
      </c>
    </row>
    <row r="2386" spans="1:23" hidden="1" x14ac:dyDescent="0.3">
      <c r="A2386" t="s">
        <v>4031</v>
      </c>
      <c r="B2386" t="s">
        <v>4032</v>
      </c>
      <c r="C2386" t="s">
        <v>30</v>
      </c>
      <c r="D2386" t="s">
        <v>26</v>
      </c>
      <c r="E2386" t="s">
        <v>27</v>
      </c>
      <c r="F2386" t="s">
        <v>363</v>
      </c>
      <c r="G2386" t="s">
        <v>590</v>
      </c>
      <c r="H2386" t="s">
        <v>569</v>
      </c>
      <c r="I2386" t="s">
        <v>11</v>
      </c>
      <c r="J2386" t="s">
        <v>591</v>
      </c>
      <c r="K2386" t="s">
        <v>592</v>
      </c>
      <c r="L2386" t="s">
        <v>572</v>
      </c>
      <c r="M2386">
        <v>46</v>
      </c>
      <c r="N2386" t="b">
        <v>0</v>
      </c>
      <c r="O2386">
        <v>0.83443708609271516</v>
      </c>
      <c r="P2386">
        <v>0.81818181818181823</v>
      </c>
      <c r="Q2386">
        <v>0.85135135135135132</v>
      </c>
      <c r="R2386" t="s">
        <v>60</v>
      </c>
      <c r="S2386" t="s">
        <v>5199</v>
      </c>
      <c r="T2386" t="s">
        <v>5200</v>
      </c>
      <c r="U2386" t="b">
        <v>1</v>
      </c>
      <c r="V2386" t="s">
        <v>63</v>
      </c>
      <c r="W2386">
        <v>1.3</v>
      </c>
    </row>
    <row r="2387" spans="1:23" hidden="1" x14ac:dyDescent="0.3">
      <c r="A2387" t="s">
        <v>4031</v>
      </c>
      <c r="B2387" t="s">
        <v>4032</v>
      </c>
      <c r="C2387" t="s">
        <v>30</v>
      </c>
      <c r="D2387" t="s">
        <v>26</v>
      </c>
      <c r="E2387" t="s">
        <v>27</v>
      </c>
      <c r="F2387" t="s">
        <v>363</v>
      </c>
      <c r="G2387" t="s">
        <v>595</v>
      </c>
      <c r="H2387" t="s">
        <v>569</v>
      </c>
      <c r="I2387" t="s">
        <v>11</v>
      </c>
      <c r="J2387" t="s">
        <v>596</v>
      </c>
      <c r="K2387" t="s">
        <v>597</v>
      </c>
      <c r="L2387" t="s">
        <v>572</v>
      </c>
      <c r="M2387">
        <v>47</v>
      </c>
      <c r="N2387" t="b">
        <v>0</v>
      </c>
      <c r="O2387">
        <v>0.84753363228699541</v>
      </c>
      <c r="P2387">
        <v>0.84375</v>
      </c>
      <c r="Q2387">
        <v>0.85135135135135132</v>
      </c>
      <c r="R2387" t="s">
        <v>60</v>
      </c>
      <c r="S2387" t="s">
        <v>5201</v>
      </c>
      <c r="T2387" t="s">
        <v>5202</v>
      </c>
      <c r="U2387" t="b">
        <v>1</v>
      </c>
      <c r="V2387" t="s">
        <v>63</v>
      </c>
      <c r="W2387">
        <v>1.3</v>
      </c>
    </row>
    <row r="2388" spans="1:23" hidden="1" x14ac:dyDescent="0.3">
      <c r="A2388" t="s">
        <v>4031</v>
      </c>
      <c r="B2388" t="s">
        <v>4032</v>
      </c>
      <c r="C2388" t="s">
        <v>30</v>
      </c>
      <c r="D2388" t="s">
        <v>26</v>
      </c>
      <c r="E2388" t="s">
        <v>27</v>
      </c>
      <c r="F2388" t="s">
        <v>363</v>
      </c>
      <c r="G2388" t="s">
        <v>600</v>
      </c>
      <c r="H2388" t="s">
        <v>569</v>
      </c>
      <c r="I2388" t="s">
        <v>11</v>
      </c>
      <c r="J2388" t="s">
        <v>601</v>
      </c>
      <c r="K2388" t="s">
        <v>602</v>
      </c>
      <c r="L2388" t="s">
        <v>572</v>
      </c>
      <c r="M2388">
        <v>48</v>
      </c>
      <c r="N2388" t="b">
        <v>0</v>
      </c>
      <c r="O2388">
        <v>0.84768211920529801</v>
      </c>
      <c r="P2388">
        <v>0.83116883116883122</v>
      </c>
      <c r="Q2388">
        <v>0.86486486486486491</v>
      </c>
      <c r="R2388" t="s">
        <v>60</v>
      </c>
      <c r="S2388" t="s">
        <v>5203</v>
      </c>
      <c r="T2388" t="s">
        <v>5204</v>
      </c>
      <c r="U2388" t="b">
        <v>1</v>
      </c>
      <c r="V2388" t="s">
        <v>63</v>
      </c>
      <c r="W2388">
        <v>1.7</v>
      </c>
    </row>
    <row r="2389" spans="1:23" hidden="1" x14ac:dyDescent="0.3">
      <c r="A2389" t="s">
        <v>4031</v>
      </c>
      <c r="B2389" t="s">
        <v>4032</v>
      </c>
      <c r="C2389" t="s">
        <v>30</v>
      </c>
      <c r="D2389" t="s">
        <v>26</v>
      </c>
      <c r="E2389" t="s">
        <v>27</v>
      </c>
      <c r="F2389" t="s">
        <v>363</v>
      </c>
      <c r="G2389" t="s">
        <v>605</v>
      </c>
      <c r="H2389" t="s">
        <v>569</v>
      </c>
      <c r="I2389" t="s">
        <v>11</v>
      </c>
      <c r="J2389" t="s">
        <v>606</v>
      </c>
      <c r="K2389" t="s">
        <v>607</v>
      </c>
      <c r="L2389" t="s">
        <v>572</v>
      </c>
      <c r="M2389">
        <v>49</v>
      </c>
      <c r="N2389" t="b">
        <v>0</v>
      </c>
      <c r="O2389">
        <v>0.84875846501128682</v>
      </c>
      <c r="P2389">
        <v>0.85067873303167418</v>
      </c>
      <c r="Q2389">
        <v>0.84684684684684686</v>
      </c>
      <c r="R2389" t="s">
        <v>60</v>
      </c>
      <c r="S2389" t="s">
        <v>5205</v>
      </c>
      <c r="T2389" t="s">
        <v>5206</v>
      </c>
      <c r="U2389" t="b">
        <v>1</v>
      </c>
      <c r="V2389" t="s">
        <v>63</v>
      </c>
      <c r="W2389">
        <v>1.3</v>
      </c>
    </row>
    <row r="2390" spans="1:23" hidden="1" x14ac:dyDescent="0.3">
      <c r="A2390" t="s">
        <v>4031</v>
      </c>
      <c r="B2390" t="s">
        <v>4032</v>
      </c>
      <c r="C2390" t="s">
        <v>30</v>
      </c>
      <c r="D2390" t="s">
        <v>26</v>
      </c>
      <c r="E2390" t="s">
        <v>27</v>
      </c>
      <c r="F2390" t="s">
        <v>363</v>
      </c>
      <c r="G2390" t="s">
        <v>610</v>
      </c>
      <c r="H2390" t="s">
        <v>569</v>
      </c>
      <c r="I2390" t="s">
        <v>11</v>
      </c>
      <c r="J2390" t="s">
        <v>611</v>
      </c>
      <c r="K2390" t="s">
        <v>612</v>
      </c>
      <c r="L2390" t="s">
        <v>572</v>
      </c>
      <c r="M2390">
        <v>50</v>
      </c>
      <c r="N2390" t="b">
        <v>0</v>
      </c>
      <c r="O2390">
        <v>0.85011185682326629</v>
      </c>
      <c r="P2390">
        <v>0.84444444444444444</v>
      </c>
      <c r="Q2390">
        <v>0.85585585585585588</v>
      </c>
      <c r="R2390" t="s">
        <v>60</v>
      </c>
      <c r="S2390" t="s">
        <v>5207</v>
      </c>
      <c r="T2390" t="s">
        <v>5208</v>
      </c>
      <c r="U2390" t="b">
        <v>1</v>
      </c>
      <c r="V2390" t="s">
        <v>63</v>
      </c>
      <c r="W2390">
        <v>1.3</v>
      </c>
    </row>
    <row r="2391" spans="1:23" hidden="1" x14ac:dyDescent="0.3">
      <c r="A2391" t="s">
        <v>4031</v>
      </c>
      <c r="B2391" t="s">
        <v>4032</v>
      </c>
      <c r="C2391" t="s">
        <v>30</v>
      </c>
      <c r="D2391" t="s">
        <v>26</v>
      </c>
      <c r="E2391" t="s">
        <v>27</v>
      </c>
      <c r="F2391" t="s">
        <v>363</v>
      </c>
      <c r="G2391" t="s">
        <v>615</v>
      </c>
      <c r="H2391" t="s">
        <v>569</v>
      </c>
      <c r="I2391" t="s">
        <v>11</v>
      </c>
      <c r="J2391" t="s">
        <v>616</v>
      </c>
      <c r="K2391" t="s">
        <v>617</v>
      </c>
      <c r="L2391" t="s">
        <v>572</v>
      </c>
      <c r="M2391">
        <v>51</v>
      </c>
      <c r="N2391" t="b">
        <v>0</v>
      </c>
      <c r="O2391">
        <v>0.8507795100222717</v>
      </c>
      <c r="P2391">
        <v>0.84140969162995594</v>
      </c>
      <c r="Q2391">
        <v>0.86036036036036034</v>
      </c>
      <c r="R2391" t="s">
        <v>60</v>
      </c>
      <c r="S2391" t="s">
        <v>5209</v>
      </c>
      <c r="T2391" t="s">
        <v>5210</v>
      </c>
      <c r="U2391" t="b">
        <v>1</v>
      </c>
      <c r="V2391" t="s">
        <v>63</v>
      </c>
      <c r="W2391">
        <v>1.7</v>
      </c>
    </row>
    <row r="2392" spans="1:23" hidden="1" x14ac:dyDescent="0.3">
      <c r="A2392" t="s">
        <v>4031</v>
      </c>
      <c r="B2392" t="s">
        <v>4032</v>
      </c>
      <c r="C2392" t="s">
        <v>30</v>
      </c>
      <c r="D2392" t="s">
        <v>26</v>
      </c>
      <c r="E2392" t="s">
        <v>27</v>
      </c>
      <c r="F2392" t="s">
        <v>363</v>
      </c>
      <c r="G2392" t="s">
        <v>620</v>
      </c>
      <c r="H2392" t="s">
        <v>569</v>
      </c>
      <c r="I2392" t="s">
        <v>11</v>
      </c>
      <c r="J2392" t="s">
        <v>621</v>
      </c>
      <c r="K2392" t="s">
        <v>622</v>
      </c>
      <c r="L2392" t="s">
        <v>572</v>
      </c>
      <c r="M2392">
        <v>52</v>
      </c>
      <c r="N2392" t="b">
        <v>0</v>
      </c>
      <c r="O2392">
        <v>0.85144124168514423</v>
      </c>
      <c r="P2392">
        <v>0.83842794759825323</v>
      </c>
      <c r="Q2392">
        <v>0.86486486486486491</v>
      </c>
      <c r="R2392" t="s">
        <v>60</v>
      </c>
      <c r="S2392" t="s">
        <v>5211</v>
      </c>
      <c r="T2392" t="s">
        <v>5212</v>
      </c>
      <c r="U2392" t="b">
        <v>1</v>
      </c>
      <c r="V2392" t="s">
        <v>63</v>
      </c>
      <c r="W2392">
        <v>1.3</v>
      </c>
    </row>
    <row r="2393" spans="1:23" hidden="1" x14ac:dyDescent="0.3">
      <c r="A2393" t="s">
        <v>4031</v>
      </c>
      <c r="B2393" t="s">
        <v>4032</v>
      </c>
      <c r="C2393" t="s">
        <v>30</v>
      </c>
      <c r="D2393" t="s">
        <v>26</v>
      </c>
      <c r="E2393" t="s">
        <v>27</v>
      </c>
      <c r="F2393" t="s">
        <v>363</v>
      </c>
      <c r="G2393" t="s">
        <v>625</v>
      </c>
      <c r="H2393" t="s">
        <v>569</v>
      </c>
      <c r="I2393" t="s">
        <v>11</v>
      </c>
      <c r="J2393" t="s">
        <v>626</v>
      </c>
      <c r="K2393" t="s">
        <v>627</v>
      </c>
      <c r="L2393" t="s">
        <v>572</v>
      </c>
      <c r="M2393">
        <v>53</v>
      </c>
      <c r="N2393" t="b">
        <v>0</v>
      </c>
      <c r="O2393">
        <v>0.85144124168514423</v>
      </c>
      <c r="P2393">
        <v>0.83842794759825323</v>
      </c>
      <c r="Q2393">
        <v>0.86486486486486491</v>
      </c>
      <c r="R2393" t="s">
        <v>60</v>
      </c>
      <c r="S2393" t="s">
        <v>5213</v>
      </c>
      <c r="T2393" t="s">
        <v>5214</v>
      </c>
      <c r="U2393" t="b">
        <v>1</v>
      </c>
      <c r="V2393" t="s">
        <v>63</v>
      </c>
      <c r="W2393">
        <v>1.3</v>
      </c>
    </row>
    <row r="2394" spans="1:23" hidden="1" x14ac:dyDescent="0.3">
      <c r="A2394" t="s">
        <v>4031</v>
      </c>
      <c r="B2394" t="s">
        <v>4032</v>
      </c>
      <c r="C2394" t="s">
        <v>30</v>
      </c>
      <c r="D2394" t="s">
        <v>26</v>
      </c>
      <c r="E2394" t="s">
        <v>27</v>
      </c>
      <c r="F2394" t="s">
        <v>363</v>
      </c>
      <c r="G2394" t="s">
        <v>630</v>
      </c>
      <c r="H2394" t="s">
        <v>569</v>
      </c>
      <c r="I2394" t="s">
        <v>11</v>
      </c>
      <c r="J2394" t="s">
        <v>631</v>
      </c>
      <c r="K2394" t="s">
        <v>632</v>
      </c>
      <c r="L2394" t="s">
        <v>572</v>
      </c>
      <c r="M2394">
        <v>54</v>
      </c>
      <c r="N2394" t="b">
        <v>0</v>
      </c>
      <c r="O2394">
        <v>0.84955752212389379</v>
      </c>
      <c r="P2394">
        <v>0.83478260869565213</v>
      </c>
      <c r="Q2394">
        <v>0.86486486486486491</v>
      </c>
      <c r="R2394" t="s">
        <v>60</v>
      </c>
      <c r="S2394" t="s">
        <v>5215</v>
      </c>
      <c r="T2394" t="s">
        <v>5216</v>
      </c>
      <c r="U2394" t="b">
        <v>1</v>
      </c>
      <c r="V2394" t="s">
        <v>63</v>
      </c>
      <c r="W2394">
        <v>1.3</v>
      </c>
    </row>
    <row r="2395" spans="1:23" hidden="1" x14ac:dyDescent="0.3">
      <c r="A2395" t="s">
        <v>4031</v>
      </c>
      <c r="B2395" t="s">
        <v>4032</v>
      </c>
      <c r="C2395" t="s">
        <v>30</v>
      </c>
      <c r="D2395" t="s">
        <v>26</v>
      </c>
      <c r="E2395" t="s">
        <v>27</v>
      </c>
      <c r="F2395" t="s">
        <v>363</v>
      </c>
      <c r="G2395" t="s">
        <v>635</v>
      </c>
      <c r="H2395" t="s">
        <v>569</v>
      </c>
      <c r="I2395" t="s">
        <v>11</v>
      </c>
      <c r="J2395" t="s">
        <v>636</v>
      </c>
      <c r="K2395" t="s">
        <v>637</v>
      </c>
      <c r="L2395" t="s">
        <v>572</v>
      </c>
      <c r="M2395">
        <v>55</v>
      </c>
      <c r="N2395" t="b">
        <v>0</v>
      </c>
      <c r="O2395">
        <v>0.8616071428571429</v>
      </c>
      <c r="P2395">
        <v>0.85398230088495575</v>
      </c>
      <c r="Q2395">
        <v>0.86936936936936937</v>
      </c>
      <c r="R2395" t="s">
        <v>60</v>
      </c>
      <c r="S2395" t="s">
        <v>5217</v>
      </c>
      <c r="T2395" t="s">
        <v>5218</v>
      </c>
      <c r="U2395" t="b">
        <v>1</v>
      </c>
      <c r="V2395" t="s">
        <v>63</v>
      </c>
      <c r="W2395">
        <v>1.7</v>
      </c>
    </row>
    <row r="2396" spans="1:23" hidden="1" x14ac:dyDescent="0.3">
      <c r="A2396" t="s">
        <v>4031</v>
      </c>
      <c r="B2396" t="s">
        <v>4032</v>
      </c>
      <c r="C2396" t="s">
        <v>30</v>
      </c>
      <c r="D2396" t="s">
        <v>26</v>
      </c>
      <c r="E2396" t="s">
        <v>27</v>
      </c>
      <c r="F2396" t="s">
        <v>363</v>
      </c>
      <c r="G2396" t="s">
        <v>640</v>
      </c>
      <c r="H2396" t="s">
        <v>569</v>
      </c>
      <c r="I2396" t="s">
        <v>11</v>
      </c>
      <c r="J2396" t="s">
        <v>641</v>
      </c>
      <c r="K2396" t="s">
        <v>642</v>
      </c>
      <c r="L2396" t="s">
        <v>572</v>
      </c>
      <c r="M2396">
        <v>56</v>
      </c>
      <c r="N2396" t="b">
        <v>0</v>
      </c>
      <c r="O2396">
        <v>0.84187082405345204</v>
      </c>
      <c r="P2396">
        <v>0.83259911894273131</v>
      </c>
      <c r="Q2396">
        <v>0.85135135135135132</v>
      </c>
      <c r="R2396" t="s">
        <v>60</v>
      </c>
      <c r="S2396" t="s">
        <v>5219</v>
      </c>
      <c r="T2396" t="s">
        <v>5220</v>
      </c>
      <c r="U2396" t="b">
        <v>1</v>
      </c>
      <c r="V2396" t="s">
        <v>63</v>
      </c>
      <c r="W2396">
        <v>1.3</v>
      </c>
    </row>
    <row r="2397" spans="1:23" hidden="1" x14ac:dyDescent="0.3">
      <c r="A2397" t="s">
        <v>4031</v>
      </c>
      <c r="B2397" t="s">
        <v>4032</v>
      </c>
      <c r="C2397" t="s">
        <v>30</v>
      </c>
      <c r="D2397" t="s">
        <v>26</v>
      </c>
      <c r="E2397" t="s">
        <v>27</v>
      </c>
      <c r="F2397" t="s">
        <v>363</v>
      </c>
      <c r="G2397" t="s">
        <v>645</v>
      </c>
      <c r="H2397" t="s">
        <v>569</v>
      </c>
      <c r="I2397" t="s">
        <v>11</v>
      </c>
      <c r="J2397" t="s">
        <v>646</v>
      </c>
      <c r="K2397" t="s">
        <v>647</v>
      </c>
      <c r="L2397" t="s">
        <v>572</v>
      </c>
      <c r="M2397">
        <v>57</v>
      </c>
      <c r="N2397" t="b">
        <v>0</v>
      </c>
      <c r="O2397">
        <v>0.84513274336283184</v>
      </c>
      <c r="P2397">
        <v>0.83043478260869563</v>
      </c>
      <c r="Q2397">
        <v>0.86036036036036034</v>
      </c>
      <c r="R2397" t="s">
        <v>60</v>
      </c>
      <c r="S2397" t="s">
        <v>5221</v>
      </c>
      <c r="T2397" t="s">
        <v>5222</v>
      </c>
      <c r="U2397" t="b">
        <v>1</v>
      </c>
      <c r="V2397" t="s">
        <v>63</v>
      </c>
      <c r="W2397">
        <v>1.3</v>
      </c>
    </row>
    <row r="2398" spans="1:23" hidden="1" x14ac:dyDescent="0.3">
      <c r="A2398" t="s">
        <v>4031</v>
      </c>
      <c r="B2398" t="s">
        <v>4032</v>
      </c>
      <c r="C2398" t="s">
        <v>30</v>
      </c>
      <c r="D2398" t="s">
        <v>26</v>
      </c>
      <c r="E2398" t="s">
        <v>27</v>
      </c>
      <c r="F2398" t="s">
        <v>363</v>
      </c>
      <c r="G2398" t="s">
        <v>650</v>
      </c>
      <c r="H2398" t="s">
        <v>569</v>
      </c>
      <c r="I2398" t="s">
        <v>11</v>
      </c>
      <c r="J2398" t="s">
        <v>651</v>
      </c>
      <c r="K2398" t="s">
        <v>652</v>
      </c>
      <c r="L2398" t="s">
        <v>572</v>
      </c>
      <c r="M2398">
        <v>58</v>
      </c>
      <c r="N2398" t="b">
        <v>0</v>
      </c>
      <c r="O2398">
        <v>0.83668903803132</v>
      </c>
      <c r="P2398">
        <v>0.83111111111111113</v>
      </c>
      <c r="Q2398">
        <v>0.84234234234234229</v>
      </c>
      <c r="R2398" t="s">
        <v>60</v>
      </c>
      <c r="S2398" t="s">
        <v>5223</v>
      </c>
      <c r="T2398" t="s">
        <v>5224</v>
      </c>
      <c r="U2398" t="b">
        <v>1</v>
      </c>
      <c r="V2398" t="s">
        <v>63</v>
      </c>
      <c r="W2398">
        <v>1.7</v>
      </c>
    </row>
    <row r="2399" spans="1:23" hidden="1" x14ac:dyDescent="0.3">
      <c r="A2399" t="s">
        <v>4031</v>
      </c>
      <c r="B2399" t="s">
        <v>4032</v>
      </c>
      <c r="C2399" t="s">
        <v>30</v>
      </c>
      <c r="D2399" t="s">
        <v>26</v>
      </c>
      <c r="E2399" t="s">
        <v>27</v>
      </c>
      <c r="F2399" t="s">
        <v>363</v>
      </c>
      <c r="G2399" t="s">
        <v>655</v>
      </c>
      <c r="H2399" t="s">
        <v>569</v>
      </c>
      <c r="I2399" t="s">
        <v>11</v>
      </c>
      <c r="J2399" t="s">
        <v>656</v>
      </c>
      <c r="K2399" t="s">
        <v>657</v>
      </c>
      <c r="L2399" t="s">
        <v>572</v>
      </c>
      <c r="M2399">
        <v>59</v>
      </c>
      <c r="N2399" t="b">
        <v>0</v>
      </c>
      <c r="O2399">
        <v>0.84140969162995594</v>
      </c>
      <c r="P2399">
        <v>0.82327586206896552</v>
      </c>
      <c r="Q2399">
        <v>0.86036036036036034</v>
      </c>
      <c r="R2399" t="s">
        <v>60</v>
      </c>
      <c r="S2399" t="s">
        <v>5225</v>
      </c>
      <c r="T2399" t="s">
        <v>5226</v>
      </c>
      <c r="U2399" t="b">
        <v>1</v>
      </c>
      <c r="V2399" t="s">
        <v>63</v>
      </c>
      <c r="W2399">
        <v>1.3</v>
      </c>
    </row>
    <row r="2400" spans="1:23" hidden="1" x14ac:dyDescent="0.3">
      <c r="A2400" t="s">
        <v>4031</v>
      </c>
      <c r="B2400" t="s">
        <v>4032</v>
      </c>
      <c r="C2400" t="s">
        <v>30</v>
      </c>
      <c r="D2400" t="s">
        <v>26</v>
      </c>
      <c r="E2400" t="s">
        <v>27</v>
      </c>
      <c r="F2400" t="s">
        <v>363</v>
      </c>
      <c r="G2400" t="s">
        <v>660</v>
      </c>
      <c r="H2400" t="s">
        <v>569</v>
      </c>
      <c r="I2400" t="s">
        <v>11</v>
      </c>
      <c r="J2400" t="s">
        <v>661</v>
      </c>
      <c r="K2400" t="s">
        <v>662</v>
      </c>
      <c r="L2400" t="s">
        <v>572</v>
      </c>
      <c r="M2400">
        <v>60</v>
      </c>
      <c r="N2400" t="b">
        <v>0</v>
      </c>
      <c r="O2400">
        <v>0.8392857142857143</v>
      </c>
      <c r="P2400">
        <v>0.83185840707964598</v>
      </c>
      <c r="Q2400">
        <v>0.84684684684684686</v>
      </c>
      <c r="R2400" t="s">
        <v>60</v>
      </c>
      <c r="S2400" t="s">
        <v>5227</v>
      </c>
      <c r="T2400" t="s">
        <v>5228</v>
      </c>
      <c r="U2400" t="b">
        <v>1</v>
      </c>
      <c r="V2400" t="s">
        <v>63</v>
      </c>
      <c r="W2400">
        <v>1.7</v>
      </c>
    </row>
    <row r="2401" spans="1:23" hidden="1" x14ac:dyDescent="0.3">
      <c r="A2401" t="s">
        <v>4031</v>
      </c>
      <c r="B2401" t="s">
        <v>4032</v>
      </c>
      <c r="C2401" t="s">
        <v>30</v>
      </c>
      <c r="D2401" t="s">
        <v>26</v>
      </c>
      <c r="E2401" t="s">
        <v>27</v>
      </c>
      <c r="F2401" t="s">
        <v>363</v>
      </c>
      <c r="G2401" t="s">
        <v>665</v>
      </c>
      <c r="H2401" t="s">
        <v>569</v>
      </c>
      <c r="I2401" t="s">
        <v>11</v>
      </c>
      <c r="J2401" t="s">
        <v>666</v>
      </c>
      <c r="K2401" t="s">
        <v>667</v>
      </c>
      <c r="L2401" t="s">
        <v>572</v>
      </c>
      <c r="M2401">
        <v>61</v>
      </c>
      <c r="N2401" t="b">
        <v>0</v>
      </c>
      <c r="O2401">
        <v>0.86230248306997748</v>
      </c>
      <c r="P2401">
        <v>0.86425339366515841</v>
      </c>
      <c r="Q2401">
        <v>0.86036036036036034</v>
      </c>
      <c r="R2401" t="s">
        <v>60</v>
      </c>
      <c r="S2401" t="s">
        <v>5229</v>
      </c>
      <c r="T2401" t="s">
        <v>5230</v>
      </c>
      <c r="U2401" t="b">
        <v>1</v>
      </c>
      <c r="V2401" t="s">
        <v>63</v>
      </c>
      <c r="W2401">
        <v>1.3</v>
      </c>
    </row>
  </sheetData>
  <autoFilter ref="A1:W2401" xr:uid="{00000000-0001-0000-0100-000000000000}">
    <filterColumn colId="2">
      <filters>
        <filter val="BEREL 3.0"/>
      </filters>
    </filterColumn>
    <filterColumn colId="4">
      <filters>
        <filter val="SVM Router Fusion (Ready)"/>
      </filters>
    </filterColumn>
    <filterColumn colId="8">
      <filters>
        <filter val="Multilabel stratified (paper-style) + Aug"/>
      </filters>
    </filterColumn>
    <sortState xmlns:xlrd2="http://schemas.microsoft.com/office/spreadsheetml/2017/richdata2" ref="A1182:W1201">
      <sortCondition ref="O1:O2401"/>
    </sortState>
  </autoFilter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8EC9E-45F3-4142-88CA-7738EF00155D}">
  <sheetPr filterMode="1"/>
  <dimension ref="A1:Q119"/>
  <sheetViews>
    <sheetView tabSelected="1" topLeftCell="A19" zoomScale="79" workbookViewId="0">
      <selection activeCell="D28" sqref="D28"/>
    </sheetView>
  </sheetViews>
  <sheetFormatPr defaultRowHeight="14.4" x14ac:dyDescent="0.3"/>
  <cols>
    <col min="1" max="1" width="20.6640625" customWidth="1"/>
    <col min="2" max="2" width="35.77734375" bestFit="1" customWidth="1"/>
    <col min="3" max="3" width="19.21875" customWidth="1"/>
    <col min="4" max="4" width="18.6640625" customWidth="1"/>
    <col min="5" max="5" width="14.77734375" customWidth="1"/>
    <col min="6" max="6" width="22" customWidth="1"/>
    <col min="7" max="7" width="16" customWidth="1"/>
    <col min="8" max="8" width="18" bestFit="1" customWidth="1"/>
    <col min="9" max="9" width="11.88671875" bestFit="1" customWidth="1"/>
    <col min="10" max="10" width="11.21875" bestFit="1" customWidth="1"/>
    <col min="11" max="11" width="16" bestFit="1" customWidth="1"/>
    <col min="13" max="13" width="60.5546875" bestFit="1" customWidth="1"/>
  </cols>
  <sheetData>
    <row r="1" spans="1:11" ht="18" x14ac:dyDescent="0.35">
      <c r="A1" s="3" t="s">
        <v>5353</v>
      </c>
    </row>
    <row r="2" spans="1:11" ht="15" thickBot="1" x14ac:dyDescent="0.35"/>
    <row r="3" spans="1:11" ht="15" thickBot="1" x14ac:dyDescent="0.35">
      <c r="A3" s="15" t="s">
        <v>5354</v>
      </c>
      <c r="B3" s="16" t="s">
        <v>5269</v>
      </c>
      <c r="C3" s="16" t="s">
        <v>17</v>
      </c>
      <c r="D3" s="16" t="s">
        <v>28</v>
      </c>
      <c r="E3" s="16" t="s">
        <v>29</v>
      </c>
      <c r="F3" s="17" t="s">
        <v>30</v>
      </c>
      <c r="H3" s="2" t="s">
        <v>5356</v>
      </c>
      <c r="I3" s="2" t="s">
        <v>5357</v>
      </c>
      <c r="J3" s="2" t="s">
        <v>5358</v>
      </c>
      <c r="K3" s="2" t="s">
        <v>5359</v>
      </c>
    </row>
    <row r="4" spans="1:11" x14ac:dyDescent="0.3">
      <c r="A4" s="5" t="s">
        <v>7</v>
      </c>
      <c r="B4" s="6" t="s">
        <v>19</v>
      </c>
      <c r="C4" s="7" t="str" cm="1">
        <f t="array" ref="C4">ROUND(AVERAGEIFS(all_runs!O:O,all_runs!C:C,"DictaBERT",all_runs!E:E,"Regular NER",all_runs!I:I,"Baseline (simple random split)"),3)&amp;" ± "&amp;ROUND(_xlfn.STDEV.S(IF((all_runs!$C:$C="DictaBERT")*(all_runs!$E:$E="Regular NER")*(all_runs!$I:$I="Baseline (simple random split)"),all_runs!$O:$O)),3)</f>
        <v>0.672 ± 0.011</v>
      </c>
      <c r="D4" s="7" t="str" cm="1">
        <f t="array" ref="D4">ROUND(AVERAGEIFS(all_runs!O:O,all_runs!C:C,"BEREL 3.0",all_runs!E:E,"Regular NER",all_runs!I:I,"Baseline (simple random split)"),3)&amp;" ± "&amp;ROUND(_xlfn.STDEV.S(IF((all_runs!$C:$C="BEREL 3.0")*(all_runs!$E:$E="Regular NER")*(all_runs!$I:$I="Baseline (simple random split)"),all_runs!$O:$O)),3)</f>
        <v>0.705 ± 0.001</v>
      </c>
      <c r="E4" s="7" t="str" cm="1">
        <f t="array" ref="E4">ROUND(AVERAGEIFS(all_runs!O:O,all_runs!C:C,"HeRo",all_runs!E:E,"Regular NER",all_runs!I:I,"Baseline (simple random split)"),3)&amp;" ± "&amp;ROUND(_xlfn.STDEV.S(IF((all_runs!$C:$C="HeRo")*(all_runs!$E:$E="Regular NER")*(all_runs!$I:$I="Baseline (simple random split)"),all_runs!$O:$O)),3)</f>
        <v>0.745 ± 0.01</v>
      </c>
      <c r="F4" s="8" t="str" cm="1">
        <f t="array" ref="F4">ROUND(AVERAGEIFS(all_runs!O:O,all_runs!C:C,"AlephBERT-Gimmel",all_runs!E:E,"Regular NER",all_runs!I:I,"Baseline (simple random split)"),3)&amp;" ± "&amp;ROUND(_xlfn.STDEV.S(IF((all_runs!$C:$C="AlephBERT-Gimmel")*(all_runs!$E:$E="Regular NER")*(all_runs!$I:$I="Baseline (simple random split)"),all_runs!$O:$O)),3)</f>
        <v>0.664 ± 0.001</v>
      </c>
      <c r="H4">
        <f t="shared" ref="H4:H18" si="0">VALUE(LEFT(C4,FIND(" ",C4)-1))</f>
        <v>0.67200000000000004</v>
      </c>
      <c r="I4">
        <f t="shared" ref="I4:I18" si="1">VALUE(LEFT(D4,FIND(" ",D4)-1))</f>
        <v>0.70499999999999996</v>
      </c>
      <c r="J4">
        <f t="shared" ref="J4:J18" si="2">VALUE(LEFT(E4,FIND(" ",E4)-1))</f>
        <v>0.745</v>
      </c>
      <c r="K4">
        <f t="shared" ref="K4:K18" si="3">VALUE(LEFT(F4,FIND(" ",F4)-1))</f>
        <v>0.66400000000000003</v>
      </c>
    </row>
    <row r="5" spans="1:11" x14ac:dyDescent="0.3">
      <c r="A5" s="9" t="s">
        <v>7</v>
      </c>
      <c r="B5" t="s">
        <v>21</v>
      </c>
      <c r="C5" s="4" t="str" cm="1">
        <f t="array" ref="C5">ROUND(AVERAGEIFS(all_runs!O:O,all_runs!C:C,"DictaBERT",all_runs!E:E,"AUC Cascaded Pipeline",all_runs!I:I,"Baseline (simple random split)"),3)&amp;" ± "&amp;ROUND(_xlfn.STDEV.S(IF((all_runs!$C:$C="DictaBERT")*(all_runs!$E:$E="AUC Cascaded Pipeline")*(all_runs!$I:$I="Baseline (simple random split)"),all_runs!$O:$O)),3)</f>
        <v>0.731 ± 0.024</v>
      </c>
      <c r="D5" s="4" t="str" cm="1">
        <f t="array" ref="D5">ROUND(AVERAGEIFS(all_runs!O:O,all_runs!C:C,"BEREL 3.0",all_runs!E:E,"AUC Cascaded Pipeline",all_runs!I:I,"Baseline (simple random split)"),3)&amp;" ± "&amp;ROUND(_xlfn.STDEV.S(IF((all_runs!$C:$C="BEREL 3.0")*(all_runs!$E:$E="AUC Cascaded Pipeline")*(all_runs!$I:$I="Baseline (simple random split)"),all_runs!$O:$O)),3)</f>
        <v>0.628 ± 0.105</v>
      </c>
      <c r="E5" s="4" t="str" cm="1">
        <f t="array" ref="E5">ROUND(AVERAGEIFS(all_runs!O:O,all_runs!C:C,"HeRo",all_runs!E:E,"AUC Cascaded Pipeline",all_runs!I:I,"Baseline (simple random split)"),3)&amp;" ± "&amp;ROUND(_xlfn.STDEV.S(IF((all_runs!$C:$C="HeRo")*(all_runs!$E:$E="AUC Cascaded Pipeline")*(all_runs!$I:$I="Baseline (simple random split)"),all_runs!$O:$O)),3)</f>
        <v>0.74 ± 0.027</v>
      </c>
      <c r="F5" s="10" t="str" cm="1">
        <f t="array" ref="F5">ROUND(AVERAGEIFS(all_runs!O:O,all_runs!C:C,"AlephBERT-Gimmel",all_runs!E:E,"AUC Cascaded Pipeline",all_runs!I:I,"Baseline (simple random split)"),3)&amp;" ± "&amp;ROUND(_xlfn.STDEV.S(IF((all_runs!$C:$C="AlephBERT-Gimmel")*(all_runs!$E:$E="AUC Cascaded Pipeline")*(all_runs!$I:$I="Baseline (simple random split)"),all_runs!$O:$O)),3)</f>
        <v>0.689 ± 0.036</v>
      </c>
      <c r="H5">
        <f t="shared" si="0"/>
        <v>0.73099999999999998</v>
      </c>
      <c r="I5">
        <f t="shared" si="1"/>
        <v>0.628</v>
      </c>
      <c r="J5">
        <f t="shared" si="2"/>
        <v>0.74</v>
      </c>
      <c r="K5">
        <f t="shared" si="3"/>
        <v>0.68899999999999995</v>
      </c>
    </row>
    <row r="6" spans="1:11" x14ac:dyDescent="0.3">
      <c r="A6" s="9" t="s">
        <v>7</v>
      </c>
      <c r="B6" t="s">
        <v>23</v>
      </c>
      <c r="C6" s="4" t="str" cm="1">
        <f t="array" ref="C6">ROUND(AVERAGEIFS(all_runs!O:O,all_runs!C:C,"DictaBERT",all_runs!E:E,"AUC Cascaded Step-3 Consistency (Ready)",all_runs!I:I,"Baseline (simple random split)"),3)&amp;" ± "&amp;ROUND(_xlfn.STDEV.S(IF((all_runs!$C:$C="DictaBERT")*(all_runs!$E:$E="AUC Cascaded Step-3 Consistency (Ready)")*(all_runs!$I:$I="Baseline (simple random split)"),all_runs!$O:$O)),3)</f>
        <v>0.737 ± 0.024</v>
      </c>
      <c r="D6" s="4" t="str" cm="1">
        <f t="array" ref="D6">ROUND(AVERAGEIFS(all_runs!O:O,all_runs!C:C,"BEREL 3.0",all_runs!E:E,"AUC Cascaded Step-3 Consistency (Ready)",all_runs!I:I,"Baseline (simple random split)"),3)&amp;" ± "&amp;ROUND(_xlfn.STDEV.S(IF((all_runs!$C:$C="BEREL 3.0")*(all_runs!$E:$E="AUC Cascaded Step-3 Consistency (Ready)")*(all_runs!$I:$I="Baseline (simple random split)"),all_runs!$O:$O)),3)</f>
        <v>0.635 ± 0.11</v>
      </c>
      <c r="E6" s="4" t="str" cm="1">
        <f t="array" ref="E6">ROUND(AVERAGEIFS(all_runs!O:O,all_runs!C:C,"HeRo",all_runs!E:E,"AUC Cascaded Step-3 Consistency (Ready)",all_runs!I:I,"Baseline (simple random split)"),3)&amp;" ± "&amp;ROUND(_xlfn.STDEV.S(IF((all_runs!$C:$C="HeRo")*(all_runs!$E:$E="AUC Cascaded Step-3 Consistency (Ready)")*(all_runs!$I:$I="Baseline (simple random split)"),all_runs!$O:$O)),3)</f>
        <v>0.739 ± 0.028</v>
      </c>
      <c r="F6" s="10" t="str" cm="1">
        <f t="array" ref="F6">ROUND(AVERAGEIFS(all_runs!O:O,all_runs!C:C,"AlephBERT-Gimmel",all_runs!E:E,"AUC Cascaded Step-3 Consistency (Ready)",all_runs!I:I,"Baseline (simple random split)"),3)&amp;" ± "&amp;ROUND(_xlfn.STDEV.S(IF((all_runs!$C:$C="AlephBERT-Gimmel")*(all_runs!$E:$E="AUC Cascaded Step-3 Consistency (Ready)")*(all_runs!$I:$I="Baseline (simple random split)"),all_runs!$O:$O)),3)</f>
        <v>0.69 ± 0.035</v>
      </c>
      <c r="H6">
        <f t="shared" si="0"/>
        <v>0.73699999999999999</v>
      </c>
      <c r="I6">
        <f t="shared" si="1"/>
        <v>0.63500000000000001</v>
      </c>
      <c r="J6">
        <f t="shared" si="2"/>
        <v>0.73899999999999999</v>
      </c>
      <c r="K6">
        <f t="shared" si="3"/>
        <v>0.69</v>
      </c>
    </row>
    <row r="7" spans="1:11" x14ac:dyDescent="0.3">
      <c r="A7" s="9" t="s">
        <v>7</v>
      </c>
      <c r="B7" t="s">
        <v>25</v>
      </c>
      <c r="C7" s="4" t="str" cm="1">
        <f t="array" ref="C7">ROUND(AVERAGEIFS(all_runs!O:O,all_runs!C:C,"DictaBERT",all_runs!E:E,"Fusion Regular+Cascaded (Ready)",all_runs!I:I,"Baseline (simple random split)"),3)&amp;" ± "&amp;ROUND(_xlfn.STDEV.S(IF((all_runs!$C:$C="DictaBERT")*(all_runs!$E:$E="Fusion Regular+Cascaded (Ready)")*(all_runs!$I:$I="Baseline (simple random split)"),all_runs!$O:$O)),3)</f>
        <v>0.686 ± 0.014</v>
      </c>
      <c r="D7" s="4" t="str" cm="1">
        <f t="array" ref="D7">ROUND(AVERAGEIFS(all_runs!O:O,all_runs!C:C,"BEREL 3.0",all_runs!E:E,"Fusion Regular+Cascaded (Ready)",all_runs!I:I,"Baseline (simple random split)"),3)&amp;" ± "&amp;ROUND(_xlfn.STDEV.S(IF((all_runs!$C:$C="BEREL 3.0")*(all_runs!$E:$E="Fusion Regular+Cascaded (Ready)")*(all_runs!$I:$I="Baseline (simple random split)"),all_runs!$O:$O)),3)</f>
        <v>0.71 ± 0.013</v>
      </c>
      <c r="E7" s="4" t="str" cm="1">
        <f t="array" ref="E7">ROUND(AVERAGEIFS(all_runs!O:O,all_runs!C:C,"HeRo",all_runs!E:E,"Fusion Regular+Cascaded (Ready)",all_runs!I:I,"Baseline (simple random split)"),3)&amp;" ± "&amp;ROUND(_xlfn.STDEV.S(IF((all_runs!$C:$C="HeRo")*(all_runs!$E:$E="Fusion Regular+Cascaded (Ready)")*(all_runs!$I:$I="Baseline (simple random split)"),all_runs!$O:$O)),3)</f>
        <v>0.753 ± 0.012</v>
      </c>
      <c r="F7" s="10" t="str" cm="1">
        <f t="array" ref="F7">ROUND(AVERAGEIFS(all_runs!O:O,all_runs!C:C,"AlephBERT-Gimmel",all_runs!E:E,"Fusion Regular+Cascaded (Ready)",all_runs!I:I,"Baseline (simple random split)"),3)&amp;" ± "&amp;ROUND(_xlfn.STDEV.S(IF((all_runs!$C:$C="AlephBERT-Gimmel")*(all_runs!$E:$E="Fusion Regular+Cascaded (Ready)")*(all_runs!$I:$I="Baseline (simple random split)"),all_runs!$O:$O)),3)</f>
        <v>0.691 ± 0.02</v>
      </c>
      <c r="H7">
        <f t="shared" si="0"/>
        <v>0.68600000000000005</v>
      </c>
      <c r="I7">
        <f t="shared" si="1"/>
        <v>0.71</v>
      </c>
      <c r="J7">
        <f t="shared" si="2"/>
        <v>0.753</v>
      </c>
      <c r="K7">
        <f t="shared" si="3"/>
        <v>0.69099999999999995</v>
      </c>
    </row>
    <row r="8" spans="1:11" ht="15" thickBot="1" x14ac:dyDescent="0.35">
      <c r="A8" s="11" t="s">
        <v>7</v>
      </c>
      <c r="B8" s="19" t="s">
        <v>27</v>
      </c>
      <c r="C8" s="13" t="str" cm="1">
        <f t="array" ref="C8">ROUND(AVERAGEIFS(all_runs!O:O,all_runs!C:C,"DictaBERT",all_runs!E:E,"SVM Router Fusion (Ready)",all_runs!I:I,"Baseline (simple random split)"),3)&amp;" ± "&amp;ROUND(_xlfn.STDEV.S(IF((all_runs!$C:$C="DictaBERT")*(all_runs!$E:$E="SVM Router Fusion (Ready)")*(all_runs!$I:$I="Baseline (simple random split)"),all_runs!$O:$O)),3)</f>
        <v>0.766 ± 0.016</v>
      </c>
      <c r="D8" s="13" t="str" cm="1">
        <f t="array" ref="D8">ROUND(AVERAGEIFS(all_runs!O:O,all_runs!C:C,"BEREL 3.0",all_runs!E:E,"SVM Router Fusion (Ready)",all_runs!I:I,"Baseline (simple random split)"),3)&amp;" ± "&amp;ROUND(_xlfn.STDEV.S(IF((all_runs!$C:$C="BEREL 3.0")*(all_runs!$E:$E="SVM Router Fusion (Ready)")*(all_runs!$I:$I="Baseline (simple random split)"),all_runs!$O:$O)),3)</f>
        <v>0.771 ± 0.025</v>
      </c>
      <c r="E8" s="13" t="str" cm="1">
        <f t="array" ref="E8">ROUND(AVERAGEIFS(all_runs!O:O,all_runs!C:C,"HeRo",all_runs!E:E,"SVM Router Fusion (Ready)",all_runs!I:I,"Baseline (simple random split)"),3)&amp;" ± "&amp;ROUND(_xlfn.STDEV.S(IF((all_runs!$C:$C="HeRo")*(all_runs!$E:$E="SVM Router Fusion (Ready)")*(all_runs!$I:$I="Baseline (simple random split)"),all_runs!$O:$O)),3)</f>
        <v>0.795 ± 0.013</v>
      </c>
      <c r="F8" s="14" t="str" cm="1">
        <f t="array" ref="F8">ROUND(AVERAGEIFS(all_runs!O:O,all_runs!C:C,"AlephBERT-Gimmel",all_runs!E:E,"SVM Router Fusion (Ready)",all_runs!I:I,"Baseline (simple random split)"),3)&amp;" ± "&amp;ROUND(_xlfn.STDEV.S(IF((all_runs!$C:$C="AlephBERT-Gimmel")*(all_runs!$E:$E="SVM Router Fusion (Ready)")*(all_runs!$I:$I="Baseline (simple random split)"),all_runs!$O:$O)),3)</f>
        <v>0.739 ± 0.017</v>
      </c>
      <c r="H8">
        <f t="shared" si="0"/>
        <v>0.76600000000000001</v>
      </c>
      <c r="I8">
        <f t="shared" si="1"/>
        <v>0.77100000000000002</v>
      </c>
      <c r="J8">
        <f t="shared" si="2"/>
        <v>0.79500000000000004</v>
      </c>
      <c r="K8">
        <f t="shared" si="3"/>
        <v>0.73899999999999999</v>
      </c>
    </row>
    <row r="9" spans="1:11" x14ac:dyDescent="0.3">
      <c r="A9" s="9" t="s">
        <v>3</v>
      </c>
      <c r="B9" t="s">
        <v>19</v>
      </c>
      <c r="C9" s="4" t="str" cm="1">
        <f t="array" ref="C9">ROUND(AVERAGEIFS(all_runs!O:O,all_runs!C:C,"DictaBERT",all_runs!E:E,"Regular NER",all_runs!I:I,"Label-aware greedy"),3)&amp;" ± "&amp;ROUND(_xlfn.STDEV.S(IF((all_runs!$C:$C="DictaBERT")*(all_runs!$E:$E="Regular NER")*(all_runs!$I:$I="Label-aware greedy"),all_runs!$O:$O)),3)</f>
        <v>0.754 ± 0</v>
      </c>
      <c r="D9" s="4" t="str" cm="1">
        <f t="array" ref="D9">ROUND(AVERAGEIFS(all_runs!O:O,all_runs!C:C,"BEREL 3.0",all_runs!E:E,"Regular NER",all_runs!I:I,"Label-aware greedy"),3)&amp;" ± "&amp;ROUND(_xlfn.STDEV.S(IF((all_runs!$C:$C="BEREL 3.0")*(all_runs!$E:$E="Regular NER")*(all_runs!$I:$I="Label-aware greedy"),all_runs!$O:$O)),3)</f>
        <v>0.707 ± 0</v>
      </c>
      <c r="E9" s="4" t="str" cm="1">
        <f t="array" ref="E9">ROUND(AVERAGEIFS(all_runs!O:O,all_runs!C:C,"HeRo",all_runs!E:E,"Regular NER",all_runs!I:I,"Label-aware greedy"),3)&amp;" ± "&amp;ROUND(_xlfn.STDEV.S(IF((all_runs!$C:$C="HeRo")*(all_runs!$E:$E="Regular NER")*(all_runs!$I:$I="Label-aware greedy"),all_runs!$O:$O)),3)</f>
        <v>0.755 ± 0</v>
      </c>
      <c r="F9" s="10" t="str" cm="1">
        <f t="array" ref="F9">ROUND(AVERAGEIFS(all_runs!O:O,all_runs!C:C,"AlephBERT-Gimmel",all_runs!E:E,"Regular NER",all_runs!I:I,"Label-aware greedy"),3)&amp;" ± "&amp;ROUND(_xlfn.STDEV.S(IF((all_runs!$C:$C="AlephBERT-Gimmel")*(all_runs!$E:$E="Regular NER")*(all_runs!$I:$I="Label-aware greedy"),all_runs!$O:$O)),3)</f>
        <v>0.658 ± 0</v>
      </c>
      <c r="H9">
        <f t="shared" si="0"/>
        <v>0.754</v>
      </c>
      <c r="I9">
        <f t="shared" si="1"/>
        <v>0.70699999999999996</v>
      </c>
      <c r="J9">
        <f t="shared" si="2"/>
        <v>0.755</v>
      </c>
      <c r="K9">
        <f t="shared" si="3"/>
        <v>0.65800000000000003</v>
      </c>
    </row>
    <row r="10" spans="1:11" x14ac:dyDescent="0.3">
      <c r="A10" s="9" t="s">
        <v>3</v>
      </c>
      <c r="B10" t="s">
        <v>21</v>
      </c>
      <c r="C10" s="4" t="str" cm="1">
        <f t="array" ref="C10">ROUND(AVERAGEIFS(all_runs!O:O,all_runs!C:C,"DictaBERT",all_runs!E:E,"AUC Cascaded Pipeline",all_runs!I:I,"Label-aware greedy"),3)&amp;" ± "&amp;ROUND(_xlfn.STDEV.S(IF((all_runs!$C:$C="DictaBERT")*(all_runs!$E:$E="AUC Cascaded Pipeline")*(all_runs!$I:$I="Label-aware greedy"),all_runs!$O:$O)),3)</f>
        <v>0.727 ± 0.027</v>
      </c>
      <c r="D10" s="4" t="str" cm="1">
        <f t="array" ref="D10">ROUND(AVERAGEIFS(all_runs!O:O,all_runs!C:C,"BEREL 3.0",all_runs!E:E,"AUC Cascaded Pipeline",all_runs!I:I,"Label-aware greedy"),3)&amp;" ± "&amp;ROUND(_xlfn.STDEV.S(IF((all_runs!$C:$C="BEREL 3.0")*(all_runs!$E:$E="AUC Cascaded Pipeline")*(all_runs!$I:$I="Label-aware greedy"),all_runs!$O:$O)),3)</f>
        <v>0.647 ± 0.111</v>
      </c>
      <c r="E10" s="4" t="str" cm="1">
        <f t="array" ref="E10">ROUND(AVERAGEIFS(all_runs!O:O,all_runs!C:C,"HeRo",all_runs!E:E,"AUC Cascaded Pipeline",all_runs!I:I,"Label-aware greedy"),3)&amp;" ± "&amp;ROUND(_xlfn.STDEV.S(IF((all_runs!$C:$C="HeRo")*(all_runs!$E:$E="AUC Cascaded Pipeline")*(all_runs!$I:$I="Label-aware greedy"),all_runs!$O:$O)),3)</f>
        <v>0.759 ± 0.018</v>
      </c>
      <c r="F10" s="10" t="str" cm="1">
        <f t="array" ref="F10">ROUND(AVERAGEIFS(all_runs!O:O,all_runs!C:C,"AlephBERT-Gimmel",all_runs!E:E,"AUC Cascaded Pipeline",all_runs!I:I,"Label-aware greedy"),3)&amp;" ± "&amp;ROUND(_xlfn.STDEV.S(IF((all_runs!$C:$C="AlephBERT-Gimmel")*(all_runs!$E:$E="AUC Cascaded Pipeline")*(all_runs!$I:$I="Label-aware greedy"),all_runs!$O:$O)),3)</f>
        <v>0.718 ± 0.024</v>
      </c>
      <c r="H10">
        <f t="shared" si="0"/>
        <v>0.72699999999999998</v>
      </c>
      <c r="I10">
        <f t="shared" si="1"/>
        <v>0.64700000000000002</v>
      </c>
      <c r="J10">
        <f t="shared" si="2"/>
        <v>0.75900000000000001</v>
      </c>
      <c r="K10">
        <f t="shared" si="3"/>
        <v>0.71799999999999997</v>
      </c>
    </row>
    <row r="11" spans="1:11" x14ac:dyDescent="0.3">
      <c r="A11" s="9" t="s">
        <v>3</v>
      </c>
      <c r="B11" t="s">
        <v>23</v>
      </c>
      <c r="C11" s="4" t="str" cm="1">
        <f t="array" ref="C11">ROUND(AVERAGEIFS(all_runs!O:O,all_runs!C:C,"DictaBERT",all_runs!E:E,"AUC Cascaded Step-3 Consistency (Ready)",all_runs!I:I,"Label-aware greedy"),3)&amp;" ± "&amp;ROUND(_xlfn.STDEV.S(IF((all_runs!$C:$C="DictaBERT")*(all_runs!$E:$E="AUC Cascaded Step-3 Consistency (Ready)")*(all_runs!$I:$I="Label-aware greedy"),all_runs!$O:$O)),3)</f>
        <v>0.734 ± 0.028</v>
      </c>
      <c r="D11" s="4" t="str" cm="1">
        <f t="array" ref="D11">ROUND(AVERAGEIFS(all_runs!O:O,all_runs!C:C,"BEREL 3.0",all_runs!E:E,"AUC Cascaded Step-3 Consistency (Ready)",all_runs!I:I,"Label-aware greedy"),3)&amp;" ± "&amp;ROUND(_xlfn.STDEV.S(IF((all_runs!$C:$C="BEREL 3.0")*(all_runs!$E:$E="AUC Cascaded Step-3 Consistency (Ready)")*(all_runs!$I:$I="Label-aware greedy"),all_runs!$O:$O)),3)</f>
        <v>0.652 ± 0.116</v>
      </c>
      <c r="E11" s="4" t="str" cm="1">
        <f t="array" ref="E11">ROUND(AVERAGEIFS(all_runs!O:O,all_runs!C:C,"HeRo",all_runs!E:E,"AUC Cascaded Step-3 Consistency (Ready)",all_runs!I:I,"Label-aware greedy"),3)&amp;" ± "&amp;ROUND(_xlfn.STDEV.S(IF((all_runs!$C:$C="HeRo")*(all_runs!$E:$E="AUC Cascaded Step-3 Consistency (Ready)")*(all_runs!$I:$I="Label-aware greedy"),all_runs!$O:$O)),3)</f>
        <v>0.76 ± 0.019</v>
      </c>
      <c r="F11" s="10" t="str" cm="1">
        <f t="array" ref="F11">ROUND(AVERAGEIFS(all_runs!O:O,all_runs!C:C,"AlephBERT-Gimmel",all_runs!E:E,"AUC Cascaded Step-3 Consistency (Ready)",all_runs!I:I,"Label-aware greedy"),3)&amp;" ± "&amp;ROUND(_xlfn.STDEV.S(IF((all_runs!$C:$C="AlephBERT-Gimmel")*(all_runs!$E:$E="AUC Cascaded Step-3 Consistency (Ready)")*(all_runs!$I:$I="Label-aware greedy"),all_runs!$O:$O)),3)</f>
        <v>0.723 ± 0.025</v>
      </c>
      <c r="H11">
        <f t="shared" si="0"/>
        <v>0.73399999999999999</v>
      </c>
      <c r="I11">
        <f t="shared" si="1"/>
        <v>0.65200000000000002</v>
      </c>
      <c r="J11">
        <f t="shared" si="2"/>
        <v>0.76</v>
      </c>
      <c r="K11">
        <f t="shared" si="3"/>
        <v>0.72299999999999998</v>
      </c>
    </row>
    <row r="12" spans="1:11" x14ac:dyDescent="0.3">
      <c r="A12" s="9" t="s">
        <v>3</v>
      </c>
      <c r="B12" t="s">
        <v>25</v>
      </c>
      <c r="C12" s="4" t="str" cm="1">
        <f t="array" ref="C12">ROUND(AVERAGEIFS(all_runs!O:O,all_runs!C:C,"DictaBERT",all_runs!E:E,"Fusion Regular+Cascaded (Ready)",all_runs!I:I,"Label-aware greedy"),3)&amp;" ± "&amp;ROUND(_xlfn.STDEV.S(IF((all_runs!$C:$C="DictaBERT")*(all_runs!$E:$E="Fusion Regular+Cascaded (Ready)")*(all_runs!$I:$I="Label-aware greedy"),all_runs!$O:$O)),3)</f>
        <v>0.738 ± 0.011</v>
      </c>
      <c r="D12" s="4" t="str" cm="1">
        <f t="array" ref="D12">ROUND(AVERAGEIFS(all_runs!O:O,all_runs!C:C,"BEREL 3.0",all_runs!E:E,"Fusion Regular+Cascaded (Ready)",all_runs!I:I,"Label-aware greedy"),3)&amp;" ± "&amp;ROUND(_xlfn.STDEV.S(IF((all_runs!$C:$C="BEREL 3.0")*(all_runs!$E:$E="Fusion Regular+Cascaded (Ready)")*(all_runs!$I:$I="Label-aware greedy"),all_runs!$O:$O)),3)</f>
        <v>0.715 ± 0.01</v>
      </c>
      <c r="E12" s="4" t="str" cm="1">
        <f t="array" ref="E12">ROUND(AVERAGEIFS(all_runs!O:O,all_runs!C:C,"HeRo",all_runs!E:E,"Fusion Regular+Cascaded (Ready)",all_runs!I:I,"Label-aware greedy"),3)&amp;" ± "&amp;ROUND(_xlfn.STDEV.S(IF((all_runs!$C:$C="HeRo")*(all_runs!$E:$E="Fusion Regular+Cascaded (Ready)")*(all_runs!$I:$I="Label-aware greedy"),all_runs!$O:$O)),3)</f>
        <v>0.758 ± 0.011</v>
      </c>
      <c r="F12" s="10" t="str" cm="1">
        <f t="array" ref="F12">ROUND(AVERAGEIFS(all_runs!O:O,all_runs!C:C,"AlephBERT-Gimmel",all_runs!E:E,"Fusion Regular+Cascaded (Ready)",all_runs!I:I,"Label-aware greedy"),3)&amp;" ± "&amp;ROUND(_xlfn.STDEV.S(IF((all_runs!$C:$C="AlephBERT-Gimmel")*(all_runs!$E:$E="Fusion Regular+Cascaded (Ready)")*(all_runs!$I:$I="Label-aware greedy"),all_runs!$O:$O)),3)</f>
        <v>0.71 ± 0.022</v>
      </c>
      <c r="H12">
        <f t="shared" si="0"/>
        <v>0.73799999999999999</v>
      </c>
      <c r="I12">
        <f t="shared" si="1"/>
        <v>0.71499999999999997</v>
      </c>
      <c r="J12">
        <f t="shared" si="2"/>
        <v>0.75800000000000001</v>
      </c>
      <c r="K12">
        <f t="shared" si="3"/>
        <v>0.71</v>
      </c>
    </row>
    <row r="13" spans="1:11" ht="15" thickBot="1" x14ac:dyDescent="0.35">
      <c r="A13" s="9" t="s">
        <v>3</v>
      </c>
      <c r="B13" s="18" t="s">
        <v>27</v>
      </c>
      <c r="C13" s="4" t="str" cm="1">
        <f t="array" ref="C13">ROUND(AVERAGEIFS(all_runs!O:O,all_runs!C:C,"DictaBERT",all_runs!E:E,"SVM Router Fusion (Ready)",all_runs!I:I,"Label-aware greedy"),3)&amp;" ± "&amp;ROUND(_xlfn.STDEV.S(IF((all_runs!$C:$C="DictaBERT")*(all_runs!$E:$E="SVM Router Fusion (Ready)")*(all_runs!$I:$I="Label-aware greedy"),all_runs!$O:$O)),3)</f>
        <v>0.811 ± 0.013</v>
      </c>
      <c r="D13" s="4" t="str" cm="1">
        <f t="array" ref="D13">ROUND(AVERAGEIFS(all_runs!O:O,all_runs!C:C,"BEREL 3.0",all_runs!E:E,"SVM Router Fusion (Ready)",all_runs!I:I,"Label-aware greedy"),3)&amp;" ± "&amp;ROUND(_xlfn.STDEV.S(IF((all_runs!$C:$C="BEREL 3.0")*(all_runs!$E:$E="SVM Router Fusion (Ready)")*(all_runs!$I:$I="Label-aware greedy"),all_runs!$O:$O)),3)</f>
        <v>0.79 ± 0.028</v>
      </c>
      <c r="E13" s="4" t="str" cm="1">
        <f t="array" ref="E13">ROUND(AVERAGEIFS(all_runs!O:O,all_runs!C:C,"HeRo",all_runs!E:E,"SVM Router Fusion (Ready)",all_runs!I:I,"Label-aware greedy"),3)&amp;" ± "&amp;ROUND(_xlfn.STDEV.S(IF((all_runs!$C:$C="HeRo")*(all_runs!$E:$E="SVM Router Fusion (Ready)")*(all_runs!$I:$I="Label-aware greedy"),all_runs!$O:$O)),3)</f>
        <v>0.799 ± 0.012</v>
      </c>
      <c r="F13" s="10" t="str" cm="1">
        <f t="array" ref="F13">ROUND(AVERAGEIFS(all_runs!O:O,all_runs!C:C,"AlephBERT-Gimmel",all_runs!E:E,"SVM Router Fusion (Ready)",all_runs!I:I,"Label-aware greedy"),3)&amp;" ± "&amp;ROUND(_xlfn.STDEV.S(IF((all_runs!$C:$C="AlephBERT-Gimmel")*(all_runs!$E:$E="SVM Router Fusion (Ready)")*(all_runs!$I:$I="Label-aware greedy"),all_runs!$O:$O)),3)</f>
        <v>0.763 ± 0.011</v>
      </c>
      <c r="H13">
        <f t="shared" si="0"/>
        <v>0.81100000000000005</v>
      </c>
      <c r="I13">
        <f t="shared" si="1"/>
        <v>0.79</v>
      </c>
      <c r="J13">
        <f t="shared" si="2"/>
        <v>0.79900000000000004</v>
      </c>
      <c r="K13">
        <f t="shared" si="3"/>
        <v>0.76300000000000001</v>
      </c>
    </row>
    <row r="14" spans="1:11" x14ac:dyDescent="0.3">
      <c r="A14" s="5" t="s">
        <v>5</v>
      </c>
      <c r="B14" s="6" t="s">
        <v>19</v>
      </c>
      <c r="C14" s="7" t="str" cm="1">
        <f t="array" ref="C14">ROUND(AVERAGEIFS(all_runs!O:O,all_runs!C:C,"DictaBERT",all_runs!E:E,"Regular NER",all_runs!I:I,"Multilabel stratified (paper-style)"),3)&amp;" ± "&amp;ROUND(_xlfn.STDEV.S(IF((all_runs!$C:$C="DictaBERT")*(all_runs!$E:$E="Regular NER")*(all_runs!$I:$I="Multilabel stratified (paper-style)"),all_runs!$O:$O)),3)</f>
        <v>0.738 ± 0</v>
      </c>
      <c r="D14" s="7" t="str" cm="1">
        <f t="array" ref="D14">ROUND(AVERAGEIFS(all_runs!O:O,all_runs!C:C,"BEREL 3.0",all_runs!E:E,"Regular NER",all_runs!I:I,"Multilabel stratified (paper-style)"),3)&amp;" ± "&amp;ROUND(_xlfn.STDEV.S(IF((all_runs!$C:$C="BEREL 3.0")*(all_runs!$E:$E="Regular NER")*(all_runs!$I:$I="Multilabel stratified (paper-style)"),all_runs!$O:$O)),3)</f>
        <v>0.731 ± 0.006</v>
      </c>
      <c r="E14" s="7" t="str" cm="1">
        <f t="array" ref="E14">ROUND(AVERAGEIFS(all_runs!O:O,all_runs!C:C,"HeRo",all_runs!E:E,"Regular NER",all_runs!I:I,"Multilabel stratified (paper-style)"),3)&amp;" ± "&amp;ROUND(_xlfn.STDEV.S(IF((all_runs!$C:$C="HeRo")*(all_runs!$E:$E="Regular NER")*(all_runs!$I:$I="Multilabel stratified (paper-style)"),all_runs!$O:$O)),3)</f>
        <v>0.769 ± 0</v>
      </c>
      <c r="F14" s="8" t="str" cm="1">
        <f t="array" ref="F14">ROUND(AVERAGEIFS(all_runs!O:O,all_runs!C:C,"AlephBERT-Gimmel",all_runs!E:E,"Regular NER",all_runs!I:I,"Multilabel stratified (paper-style)"),3)&amp;" ± "&amp;ROUND(_xlfn.STDEV.S(IF((all_runs!$C:$C="AlephBERT-Gimmel")*(all_runs!$E:$E="Regular NER")*(all_runs!$I:$I="Multilabel stratified (paper-style)"),all_runs!$O:$O)),3)</f>
        <v>0.627 ± 0.004</v>
      </c>
      <c r="H14">
        <f t="shared" si="0"/>
        <v>0.73799999999999999</v>
      </c>
      <c r="I14">
        <f t="shared" si="1"/>
        <v>0.73099999999999998</v>
      </c>
      <c r="J14">
        <f t="shared" si="2"/>
        <v>0.76900000000000002</v>
      </c>
      <c r="K14">
        <f t="shared" si="3"/>
        <v>0.627</v>
      </c>
    </row>
    <row r="15" spans="1:11" x14ac:dyDescent="0.3">
      <c r="A15" s="9" t="s">
        <v>5</v>
      </c>
      <c r="B15" t="s">
        <v>21</v>
      </c>
      <c r="C15" s="4" t="str" cm="1">
        <f t="array" ref="C15">ROUND(AVERAGEIFS(all_runs!O:O,all_runs!C:C,"DictaBERT",all_runs!E:E,"AUC Cascaded Pipeline",all_runs!I:I,"Multilabel stratified (paper-style)"),3)&amp;" ± "&amp;ROUND(_xlfn.STDEV.S(IF((all_runs!$C:$C="DictaBERT")*(all_runs!$E:$E="AUC Cascaded Pipeline")*(all_runs!$I:$I="Multilabel stratified (paper-style)"),all_runs!$O:$O)),3)</f>
        <v>0.764 ± 0.024</v>
      </c>
      <c r="D15" s="4" t="str" cm="1">
        <f t="array" ref="D15">ROUND(AVERAGEIFS(all_runs!O:O,all_runs!C:C,"BEREL 3.0",all_runs!E:E,"AUC Cascaded Pipeline",all_runs!I:I,"Multilabel stratified (paper-style)"),3)&amp;" ± "&amp;ROUND(_xlfn.STDEV.S(IF((all_runs!$C:$C="BEREL 3.0")*(all_runs!$E:$E="AUC Cascaded Pipeline")*(all_runs!$I:$I="Multilabel stratified (paper-style)"),all_runs!$O:$O)),3)</f>
        <v>0.634 ± 0.144</v>
      </c>
      <c r="E15" s="4" t="str" cm="1">
        <f t="array" ref="E15">ROUND(AVERAGEIFS(all_runs!O:O,all_runs!C:C,"HeRo",all_runs!E:E,"AUC Cascaded Pipeline",all_runs!I:I,"Multilabel stratified (paper-style)"),3)&amp;" ± "&amp;ROUND(_xlfn.STDEV.S(IF((all_runs!$C:$C="HeRo")*(all_runs!$E:$E="AUC Cascaded Pipeline")*(all_runs!$I:$I="Multilabel stratified (paper-style)"),all_runs!$O:$O)),3)</f>
        <v>0.748 ± 0.023</v>
      </c>
      <c r="F15" s="10" t="str" cm="1">
        <f t="array" ref="F15">ROUND(AVERAGEIFS(all_runs!O:O,all_runs!C:C,"AlephBERT-Gimmel",all_runs!E:E,"AUC Cascaded Pipeline",all_runs!I:I,"Multilabel stratified (paper-style)"),3)&amp;" ± "&amp;ROUND(_xlfn.STDEV.S(IF((all_runs!$C:$C="AlephBERT-Gimmel")*(all_runs!$E:$E="AUC Cascaded Pipeline")*(all_runs!$I:$I="Multilabel stratified (paper-style)"),all_runs!$O:$O)),3)</f>
        <v>0.728 ± 0.031</v>
      </c>
      <c r="H15">
        <f t="shared" si="0"/>
        <v>0.76400000000000001</v>
      </c>
      <c r="I15">
        <f t="shared" si="1"/>
        <v>0.63400000000000001</v>
      </c>
      <c r="J15">
        <f t="shared" si="2"/>
        <v>0.748</v>
      </c>
      <c r="K15">
        <f t="shared" si="3"/>
        <v>0.72799999999999998</v>
      </c>
    </row>
    <row r="16" spans="1:11" x14ac:dyDescent="0.3">
      <c r="A16" s="9" t="s">
        <v>5</v>
      </c>
      <c r="B16" t="s">
        <v>23</v>
      </c>
      <c r="C16" s="4" t="str" cm="1">
        <f t="array" ref="C16">ROUND(AVERAGEIFS(all_runs!O:O,all_runs!C:C,"DictaBERT",all_runs!E:E,"AUC Cascaded Step-3 Consistency (Ready)",all_runs!I:I,"Multilabel stratified (paper-style)"),3)&amp;" ± "&amp;ROUND(_xlfn.STDEV.S(IF((all_runs!$C:$C="DictaBERT")*(all_runs!$E:$E="AUC Cascaded Step-3 Consistency (Ready)")*(all_runs!$I:$I="Multilabel stratified (paper-style)"),all_runs!$O:$O)),3)</f>
        <v>0.764 ± 0.024</v>
      </c>
      <c r="D16" s="4" t="str" cm="1">
        <f t="array" ref="D16">ROUND(AVERAGEIFS(all_runs!O:O,all_runs!C:C,"BEREL 3.0",all_runs!E:E,"AUC Cascaded Step-3 Consistency (Ready)",all_runs!I:I,"Multilabel stratified (paper-style)"),3)&amp;" ± "&amp;ROUND(_xlfn.STDEV.S(IF((all_runs!$C:$C="BEREL 3.0")*(all_runs!$E:$E="AUC Cascaded Step-3 Consistency (Ready)")*(all_runs!$I:$I="Multilabel stratified (paper-style)"),all_runs!$O:$O)),3)</f>
        <v>0.639 ± 0.147</v>
      </c>
      <c r="E16" s="4" t="str" cm="1">
        <f t="array" ref="E16">ROUND(AVERAGEIFS(all_runs!O:O,all_runs!C:C,"HeRo",all_runs!E:E,"AUC Cascaded Step-3 Consistency (Ready)",all_runs!I:I,"Multilabel stratified (paper-style)"),3)&amp;" ± "&amp;ROUND(_xlfn.STDEV.S(IF((all_runs!$C:$C="HeRo")*(all_runs!$E:$E="AUC Cascaded Step-3 Consistency (Ready)")*(all_runs!$I:$I="Multilabel stratified (paper-style)"),all_runs!$O:$O)),3)</f>
        <v>0.75 ± 0.022</v>
      </c>
      <c r="F16" s="10" t="str" cm="1">
        <f t="array" ref="F16">ROUND(AVERAGEIFS(all_runs!O:O,all_runs!C:C,"AlephBERT-Gimmel",all_runs!E:E,"AUC Cascaded Step-3 Consistency (Ready)",all_runs!I:I,"Multilabel stratified (paper-style)"),3)&amp;" ± "&amp;ROUND(_xlfn.STDEV.S(IF((all_runs!$C:$C="AlephBERT-Gimmel")*(all_runs!$E:$E="AUC Cascaded Step-3 Consistency (Ready)")*(all_runs!$I:$I="Multilabel stratified (paper-style)"),all_runs!$O:$O)),3)</f>
        <v>0.728 ± 0.031</v>
      </c>
      <c r="H16">
        <f t="shared" si="0"/>
        <v>0.76400000000000001</v>
      </c>
      <c r="I16">
        <f t="shared" si="1"/>
        <v>0.63900000000000001</v>
      </c>
      <c r="J16">
        <f t="shared" si="2"/>
        <v>0.75</v>
      </c>
      <c r="K16">
        <f t="shared" si="3"/>
        <v>0.72799999999999998</v>
      </c>
    </row>
    <row r="17" spans="1:11" x14ac:dyDescent="0.3">
      <c r="A17" s="9" t="s">
        <v>5</v>
      </c>
      <c r="B17" t="s">
        <v>25</v>
      </c>
      <c r="C17" s="4" t="str" cm="1">
        <f t="array" ref="C17">ROUND(AVERAGEIFS(all_runs!O:O,all_runs!C:C,"DictaBERT",all_runs!E:E,"Fusion Regular+Cascaded (Ready)",all_runs!I:I,"Multilabel stratified (paper-style)"),3)&amp;" ± "&amp;ROUND(_xlfn.STDEV.S(IF((all_runs!$C:$C="DictaBERT")*(all_runs!$E:$E="Fusion Regular+Cascaded (Ready)")*(all_runs!$I:$I="Multilabel stratified (paper-style)"),all_runs!$O:$O)),3)</f>
        <v>0.745 ± 0.013</v>
      </c>
      <c r="D17" s="4" t="str" cm="1">
        <f t="array" ref="D17">ROUND(AVERAGEIFS(all_runs!O:O,all_runs!C:C,"BEREL 3.0",all_runs!E:E,"Fusion Regular+Cascaded (Ready)",all_runs!I:I,"Multilabel stratified (paper-style)"),3)&amp;" ± "&amp;ROUND(_xlfn.STDEV.S(IF((all_runs!$C:$C="BEREL 3.0")*(all_runs!$E:$E="Fusion Regular+Cascaded (Ready)")*(all_runs!$I:$I="Multilabel stratified (paper-style)"),all_runs!$O:$O)),3)</f>
        <v>0.739 ± 0.012</v>
      </c>
      <c r="E17" s="4" t="str" cm="1">
        <f t="array" ref="E17">ROUND(AVERAGEIFS(all_runs!O:O,all_runs!C:C,"HeRo",all_runs!E:E,"Fusion Regular+Cascaded (Ready)",all_runs!I:I,"Multilabel stratified (paper-style)"),3)&amp;" ± "&amp;ROUND(_xlfn.STDEV.S(IF((all_runs!$C:$C="HeRo")*(all_runs!$E:$E="Fusion Regular+Cascaded (Ready)")*(all_runs!$I:$I="Multilabel stratified (paper-style)"),all_runs!$O:$O)),3)</f>
        <v>0.776 ± 0.006</v>
      </c>
      <c r="F17" s="10" t="str" cm="1">
        <f t="array" ref="F17">ROUND(AVERAGEIFS(all_runs!O:O,all_runs!C:C,"AlephBERT-Gimmel",all_runs!E:E,"Fusion Regular+Cascaded (Ready)",all_runs!I:I,"Multilabel stratified (paper-style)"),3)&amp;" ± "&amp;ROUND(_xlfn.STDEV.S(IF((all_runs!$C:$C="AlephBERT-Gimmel")*(all_runs!$E:$E="Fusion Regular+Cascaded (Ready)")*(all_runs!$I:$I="Multilabel stratified (paper-style)"),all_runs!$O:$O)),3)</f>
        <v>0.702 ± 0.02</v>
      </c>
      <c r="H17">
        <f t="shared" si="0"/>
        <v>0.745</v>
      </c>
      <c r="I17">
        <f t="shared" si="1"/>
        <v>0.73899999999999999</v>
      </c>
      <c r="J17">
        <f t="shared" si="2"/>
        <v>0.77600000000000002</v>
      </c>
      <c r="K17">
        <f t="shared" si="3"/>
        <v>0.70199999999999996</v>
      </c>
    </row>
    <row r="18" spans="1:11" ht="15" thickBot="1" x14ac:dyDescent="0.35">
      <c r="A18" s="11" t="s">
        <v>5</v>
      </c>
      <c r="B18" s="19" t="s">
        <v>27</v>
      </c>
      <c r="C18" s="13" t="str" cm="1">
        <f t="array" ref="C18">ROUND(AVERAGEIFS(all_runs!O:O,all_runs!C:C,"DictaBERT",all_runs!E:E,"SVM Router Fusion (Ready)",all_runs!I:I,"Multilabel stratified (paper-style)"),3)&amp;" ± "&amp;ROUND(_xlfn.STDEV.S(IF((all_runs!$C:$C="DictaBERT")*(all_runs!$E:$E="SVM Router Fusion (Ready)")*(all_runs!$I:$I="Multilabel stratified (paper-style)"),all_runs!$O:$O)),3)</f>
        <v>0.807 ± 0.01</v>
      </c>
      <c r="D18" s="13" t="str" cm="1">
        <f t="array" ref="D18">ROUND(AVERAGEIFS(all_runs!O:O,all_runs!C:C,"BEREL 3.0",all_runs!E:E,"SVM Router Fusion (Ready)",all_runs!I:I,"Multilabel stratified (paper-style)"),3)&amp;" ± "&amp;ROUND(_xlfn.STDEV.S(IF((all_runs!$C:$C="BEREL 3.0")*(all_runs!$E:$E="SVM Router Fusion (Ready)")*(all_runs!$I:$I="Multilabel stratified (paper-style)"),all_runs!$O:$O)),3)</f>
        <v>0.795 ± 0.03</v>
      </c>
      <c r="E18" s="13" t="str" cm="1">
        <f t="array" ref="E18">ROUND(AVERAGEIFS(all_runs!O:O,all_runs!C:C,"HeRo",all_runs!E:E,"SVM Router Fusion (Ready)",all_runs!I:I,"Multilabel stratified (paper-style)"),3)&amp;" ± "&amp;ROUND(_xlfn.STDEV.S(IF((all_runs!$C:$C="HeRo")*(all_runs!$E:$E="SVM Router Fusion (Ready)")*(all_runs!$I:$I="Multilabel stratified (paper-style)"),all_runs!$O:$O)),3)</f>
        <v>0.805 ± 0.011</v>
      </c>
      <c r="F18" s="14" t="str" cm="1">
        <f t="array" ref="F18">ROUND(AVERAGEIFS(all_runs!O:O,all_runs!C:C,"AlephBERT-Gimmel",all_runs!E:E,"SVM Router Fusion (Ready)",all_runs!I:I,"Multilabel stratified (paper-style)"),3)&amp;" ± "&amp;ROUND(_xlfn.STDEV.S(IF((all_runs!$C:$C="AlephBERT-Gimmel")*(all_runs!$E:$E="SVM Router Fusion (Ready)")*(all_runs!$I:$I="Multilabel stratified (paper-style)"),all_runs!$O:$O)),3)</f>
        <v>0.766 ± 0.015</v>
      </c>
      <c r="H18">
        <f t="shared" si="0"/>
        <v>0.80700000000000005</v>
      </c>
      <c r="I18">
        <f t="shared" si="1"/>
        <v>0.79500000000000004</v>
      </c>
      <c r="J18">
        <f t="shared" si="2"/>
        <v>0.80500000000000005</v>
      </c>
      <c r="K18">
        <f t="shared" si="3"/>
        <v>0.76600000000000001</v>
      </c>
    </row>
    <row r="21" spans="1:11" ht="18" x14ac:dyDescent="0.35">
      <c r="A21" s="3" t="s">
        <v>5355</v>
      </c>
    </row>
    <row r="23" spans="1:11" ht="15" thickBot="1" x14ac:dyDescent="0.35">
      <c r="A23" s="2" t="s">
        <v>5354</v>
      </c>
      <c r="B23" s="2" t="s">
        <v>5269</v>
      </c>
      <c r="C23" s="2" t="s">
        <v>17</v>
      </c>
      <c r="D23" s="2" t="s">
        <v>28</v>
      </c>
      <c r="E23" s="2" t="s">
        <v>29</v>
      </c>
      <c r="F23" s="2" t="s">
        <v>30</v>
      </c>
      <c r="H23" s="2" t="s">
        <v>5356</v>
      </c>
      <c r="I23" s="2" t="s">
        <v>5357</v>
      </c>
      <c r="J23" s="2" t="s">
        <v>5358</v>
      </c>
      <c r="K23" s="2" t="s">
        <v>5359</v>
      </c>
    </row>
    <row r="24" spans="1:11" x14ac:dyDescent="0.3">
      <c r="A24" s="5" t="s">
        <v>13</v>
      </c>
      <c r="B24" s="6" t="s">
        <v>19</v>
      </c>
      <c r="C24" s="7" t="str" cm="1">
        <f t="array" ref="C24">ROUND(AVERAGEIFS(all_runs!O:O,all_runs!C:C,"DictaBERT",all_runs!E:E,"Regular NER",all_runs!I:I,"Baseline (simple random split) + Aug"),3)&amp;" ± "&amp;ROUND(_xlfn.STDEV.S(IF((all_runs!$C:$C="DictaBERT")*(all_runs!$E:$E="Regular NER")*(all_runs!$I:$I="Baseline (simple random split) + Aug"),all_runs!$O:$O)),3)</f>
        <v>0.781 ± 0.011</v>
      </c>
      <c r="D24" s="7" t="str" cm="1">
        <f t="array" ref="D24">ROUND(AVERAGEIFS(all_runs!O:O,all_runs!C:C,"BEREL 3.0",all_runs!E:E,"Regular NER",all_runs!I:I,"Baseline (simple random split) + Aug"),3)&amp;" ± "&amp;ROUND(_xlfn.STDEV.S(IF((all_runs!$C:$C="BEREL 3.0")*(all_runs!$E:$E="Regular NER")*(all_runs!$I:$I="Baseline (simple random split) + Aug"),all_runs!$O:$O)),3)</f>
        <v>0.836 ± 0.007</v>
      </c>
      <c r="E24" s="7" t="str" cm="1">
        <f t="array" ref="E24">ROUND(AVERAGEIFS(all_runs!O:O,all_runs!C:C,"HeRo",all_runs!E:E,"Regular NER",all_runs!I:I,"Baseline (simple random split) + Aug"),3)&amp;" ± "&amp;ROUND(_xlfn.STDEV.S(IF((all_runs!$C:$C="HeRo")*(all_runs!$E:$E="Regular NER")*(all_runs!$I:$I="Baseline (simple random split) + Aug"),all_runs!$O:$O)),3)</f>
        <v>0.792 ± 0.011</v>
      </c>
      <c r="F24" s="8" t="str" cm="1">
        <f t="array" ref="F24">ROUND(AVERAGEIFS(all_runs!O:O,all_runs!C:C,"AlephBERT-Gimmel",all_runs!E:E,"Regular NER",all_runs!I:I,"Baseline (simple random split) + Aug"),3)&amp;" ± "&amp;ROUND(_xlfn.STDEV.S(IF((all_runs!$C:$C="AlephBERT-Gimmel")*(all_runs!$E:$E="Regular NER")*(all_runs!$I:$I="Baseline (simple random split) + Aug"),all_runs!$O:$O)),3)</f>
        <v>0.781 ± 0.008</v>
      </c>
      <c r="H24">
        <f t="shared" ref="H24:H38" si="4">VALUE(LEFT(C24,FIND(" ",C24)-1))</f>
        <v>0.78100000000000003</v>
      </c>
      <c r="I24">
        <f t="shared" ref="I24:I38" si="5">VALUE(LEFT(D24,FIND(" ",D24)-1))</f>
        <v>0.83599999999999997</v>
      </c>
      <c r="J24">
        <f t="shared" ref="J24:J38" si="6">VALUE(LEFT(E24,FIND(" ",E24)-1))</f>
        <v>0.79200000000000004</v>
      </c>
      <c r="K24">
        <f t="shared" ref="K24:K38" si="7">VALUE(LEFT(F24,FIND(" ",F24)-1))</f>
        <v>0.78100000000000003</v>
      </c>
    </row>
    <row r="25" spans="1:11" x14ac:dyDescent="0.3">
      <c r="A25" s="9" t="s">
        <v>13</v>
      </c>
      <c r="B25" t="s">
        <v>21</v>
      </c>
      <c r="C25" s="4" t="str" cm="1">
        <f t="array" ref="C25">ROUND(AVERAGEIFS(all_runs!O:O,all_runs!C:C,"DictaBERT",all_runs!E:E,"AUC Cascaded Pipeline",all_runs!I:I,"Baseline (simple random split) + Aug"),3)&amp;" ± "&amp;ROUND(_xlfn.STDEV.S(IF((all_runs!$C:$C="DictaBERT")*(all_runs!$E:$E="AUC Cascaded Pipeline")*(all_runs!$I:$I="Baseline (simple random split) + Aug"),all_runs!$O:$O)),3)</f>
        <v>0.789 ± 0.01</v>
      </c>
      <c r="D25" s="4" t="str" cm="1">
        <f t="array" ref="D25">ROUND(AVERAGEIFS(all_runs!O:O,all_runs!C:C,"BEREL 3.0",all_runs!E:E,"AUC Cascaded Pipeline",all_runs!I:I,"Baseline (simple random split) + Aug"),3)&amp;" ± "&amp;ROUND(_xlfn.STDEV.S(IF((all_runs!$C:$C="BEREL 3.0")*(all_runs!$E:$E="AUC Cascaded Pipeline")*(all_runs!$I:$I="Baseline (simple random split) + Aug"),all_runs!$O:$O)),3)</f>
        <v>0.829 ± 0.013</v>
      </c>
      <c r="E25" s="4" t="str" cm="1">
        <f t="array" ref="E25">ROUND(AVERAGEIFS(all_runs!O:O,all_runs!C:C,"HeRo",all_runs!E:E,"AUC Cascaded Pipeline",all_runs!I:I,"Baseline (simple random split) + Aug"),3)&amp;" ± "&amp;ROUND(_xlfn.STDEV.S(IF((all_runs!$C:$C="HeRo")*(all_runs!$E:$E="AUC Cascaded Pipeline")*(all_runs!$I:$I="Baseline (simple random split) + Aug"),all_runs!$O:$O)),3)</f>
        <v>0.79 ± 0.011</v>
      </c>
      <c r="F25" s="10" t="str" cm="1">
        <f t="array" ref="F25">ROUND(AVERAGEIFS(all_runs!O:O,all_runs!C:C,"AlephBERT-Gimmel",all_runs!E:E,"AUC Cascaded Pipeline",all_runs!I:I,"Baseline (simple random split) + Aug"),3)&amp;" ± "&amp;ROUND(_xlfn.STDEV.S(IF((all_runs!$C:$C="AlephBERT-Gimmel")*(all_runs!$E:$E="AUC Cascaded Pipeline")*(all_runs!$I:$I="Baseline (simple random split) + Aug"),all_runs!$O:$O)),3)</f>
        <v>0.78 ± 0.012</v>
      </c>
      <c r="H25">
        <f t="shared" si="4"/>
        <v>0.78900000000000003</v>
      </c>
      <c r="I25">
        <f t="shared" si="5"/>
        <v>0.82899999999999996</v>
      </c>
      <c r="J25">
        <f t="shared" si="6"/>
        <v>0.79</v>
      </c>
      <c r="K25">
        <f t="shared" si="7"/>
        <v>0.78</v>
      </c>
    </row>
    <row r="26" spans="1:11" x14ac:dyDescent="0.3">
      <c r="A26" s="9" t="s">
        <v>13</v>
      </c>
      <c r="B26" t="s">
        <v>23</v>
      </c>
      <c r="C26" s="4" t="str" cm="1">
        <f t="array" ref="C26">ROUND(AVERAGEIFS(all_runs!O:O,all_runs!C:C,"DictaBERT",all_runs!E:E,"AUC Cascaded Step-3 Consistency (Ready)",all_runs!I:I,"Baseline (simple random split) + Aug"),3)&amp;" ± "&amp;ROUND(_xlfn.STDEV.S(IF((all_runs!$C:$C="DictaBERT")*(all_runs!$E:$E="AUC Cascaded Step-3 Consistency (Ready)")*(all_runs!$I:$I="Baseline (simple random split) + Aug"),all_runs!$O:$O)),3)</f>
        <v>0.79 ± 0.011</v>
      </c>
      <c r="D26" s="4" t="str" cm="1">
        <f t="array" ref="D26">ROUND(AVERAGEIFS(all_runs!O:O,all_runs!C:C,"BEREL 3.0",all_runs!E:E,"AUC Cascaded Step-3 Consistency (Ready)",all_runs!I:I,"Baseline (simple random split) + Aug"),3)&amp;" ± "&amp;ROUND(_xlfn.STDEV.S(IF((all_runs!$C:$C="BEREL 3.0")*(all_runs!$E:$E="AUC Cascaded Step-3 Consistency (Ready)")*(all_runs!$I:$I="Baseline (simple random split) + Aug"),all_runs!$O:$O)),3)</f>
        <v>0.838 ± 0.01</v>
      </c>
      <c r="E26" s="4" t="str" cm="1">
        <f t="array" ref="E26">ROUND(AVERAGEIFS(all_runs!O:O,all_runs!C:C,"HeRo",all_runs!E:E,"AUC Cascaded Step-3 Consistency (Ready)",all_runs!I:I,"Baseline (simple random split) + Aug"),3)&amp;" ± "&amp;ROUND(_xlfn.STDEV.S(IF((all_runs!$C:$C="HeRo")*(all_runs!$E:$E="AUC Cascaded Step-3 Consistency (Ready)")*(all_runs!$I:$I="Baseline (simple random split) + Aug"),all_runs!$O:$O)),3)</f>
        <v>0.796 ± 0.009</v>
      </c>
      <c r="F26" s="10" t="str" cm="1">
        <f t="array" ref="F26">ROUND(AVERAGEIFS(all_runs!O:O,all_runs!C:C,"AlephBERT-Gimmel",all_runs!E:E,"AUC Cascaded Step-3 Consistency (Ready)",all_runs!I:I,"Baseline (simple random split) + Aug"),3)&amp;" ± "&amp;ROUND(_xlfn.STDEV.S(IF((all_runs!$C:$C="AlephBERT-Gimmel")*(all_runs!$E:$E="AUC Cascaded Step-3 Consistency (Ready)")*(all_runs!$I:$I="Baseline (simple random split) + Aug"),all_runs!$O:$O)),3)</f>
        <v>0.784 ± 0.011</v>
      </c>
      <c r="H26">
        <f t="shared" si="4"/>
        <v>0.79</v>
      </c>
      <c r="I26">
        <f t="shared" si="5"/>
        <v>0.83799999999999997</v>
      </c>
      <c r="J26">
        <f t="shared" si="6"/>
        <v>0.79600000000000004</v>
      </c>
      <c r="K26">
        <f t="shared" si="7"/>
        <v>0.78400000000000003</v>
      </c>
    </row>
    <row r="27" spans="1:11" x14ac:dyDescent="0.3">
      <c r="A27" s="9" t="s">
        <v>13</v>
      </c>
      <c r="B27" t="s">
        <v>25</v>
      </c>
      <c r="C27" s="4" t="str" cm="1">
        <f t="array" ref="C27">ROUND(AVERAGEIFS(all_runs!O:O,all_runs!C:C,"DictaBERT",all_runs!E:E,"Fusion Regular+Cascaded (Ready)",all_runs!I:I,"Baseline (simple random split) + Aug"),3)&amp;" ± "&amp;ROUND(_xlfn.STDEV.S(IF((all_runs!$C:$C="DictaBERT")*(all_runs!$E:$E="Fusion Regular+Cascaded (Ready)")*(all_runs!$I:$I="Baseline (simple random split) + Aug"),all_runs!$O:$O)),3)</f>
        <v>0.788 ± 0.011</v>
      </c>
      <c r="D27" s="4" t="str" cm="1">
        <f t="array" ref="D27">ROUND(AVERAGEIFS(all_runs!O:O,all_runs!C:C,"BEREL 3.0",all_runs!E:E,"Fusion Regular+Cascaded (Ready)",all_runs!I:I,"Baseline (simple random split) + Aug"),3)&amp;" ± "&amp;ROUND(_xlfn.STDEV.S(IF((all_runs!$C:$C="BEREL 3.0")*(all_runs!$E:$E="Fusion Regular+Cascaded (Ready)")*(all_runs!$I:$I="Baseline (simple random split) + Aug"),all_runs!$O:$O)),3)</f>
        <v>0.836 ± 0.009</v>
      </c>
      <c r="E27" s="4" t="str" cm="1">
        <f t="array" ref="E27">ROUND(AVERAGEIFS(all_runs!O:O,all_runs!C:C,"HeRo",all_runs!E:E,"Fusion Regular+Cascaded (Ready)",all_runs!I:I,"Baseline (simple random split) + Aug"),3)&amp;" ± "&amp;ROUND(_xlfn.STDEV.S(IF((all_runs!$C:$C="HeRo")*(all_runs!$E:$E="Fusion Regular+Cascaded (Ready)")*(all_runs!$I:$I="Baseline (simple random split) + Aug"),all_runs!$O:$O)),3)</f>
        <v>0.785 ± 0.012</v>
      </c>
      <c r="F27" s="10" t="str" cm="1">
        <f t="array" ref="F27">ROUND(AVERAGEIFS(all_runs!O:O,all_runs!C:C,"AlephBERT-Gimmel",all_runs!E:E,"Fusion Regular+Cascaded (Ready)",all_runs!I:I,"Baseline (simple random split) + Aug"),3)&amp;" ± "&amp;ROUND(_xlfn.STDEV.S(IF((all_runs!$C:$C="AlephBERT-Gimmel")*(all_runs!$E:$E="Fusion Regular+Cascaded (Ready)")*(all_runs!$I:$I="Baseline (simple random split) + Aug"),all_runs!$O:$O)),3)</f>
        <v>0.785 ± 0.013</v>
      </c>
      <c r="H27">
        <f t="shared" si="4"/>
        <v>0.78800000000000003</v>
      </c>
      <c r="I27">
        <f t="shared" si="5"/>
        <v>0.83599999999999997</v>
      </c>
      <c r="J27">
        <f t="shared" si="6"/>
        <v>0.78500000000000003</v>
      </c>
      <c r="K27">
        <f t="shared" si="7"/>
        <v>0.78500000000000003</v>
      </c>
    </row>
    <row r="28" spans="1:11" ht="15" thickBot="1" x14ac:dyDescent="0.35">
      <c r="A28" s="11" t="s">
        <v>13</v>
      </c>
      <c r="B28" s="12" t="s">
        <v>27</v>
      </c>
      <c r="C28" s="13" t="str" cm="1">
        <f t="array" ref="C28">ROUND(AVERAGEIFS(all_runs!O:O,all_runs!C:C,"DictaBERT",all_runs!E:E,"SVM Router Fusion (Ready)",all_runs!I:I,"Baseline (simple random split) + Aug"),3)&amp;" ± "&amp;ROUND(_xlfn.STDEV.S(IF((all_runs!$C:$C="DictaBERT")*(all_runs!$E:$E="SVM Router Fusion (Ready)")*(all_runs!$I:$I="Baseline (simple random split) + Aug"),all_runs!$O:$O)),3)</f>
        <v>0.813 ± 0.012</v>
      </c>
      <c r="D28" s="13" t="str" cm="1">
        <f t="array" ref="D28">ROUND(AVERAGEIFS(all_runs!O:O,all_runs!C:C,"BEREL 3.0",all_runs!E:E,"SVM Router Fusion (Ready)",all_runs!I:I,"Baseline (simple random split) + Aug"),3)&amp;" ± "&amp;ROUND(_xlfn.STDEV.S(IF((all_runs!$C:$C="BEREL 3.0")*(all_runs!$E:$E="SVM Router Fusion (Ready)")*(all_runs!$I:$I="Baseline (simple random split) + Aug"),all_runs!$O:$O)),3)</f>
        <v>0.857 ± 0.008</v>
      </c>
      <c r="E28" s="13" t="str" cm="1">
        <f t="array" ref="E28">ROUND(AVERAGEIFS(all_runs!O:O,all_runs!C:C,"HeRo",all_runs!E:E,"SVM Router Fusion (Ready)",all_runs!I:I,"Baseline (simple random split) + Aug"),3)&amp;" ± "&amp;ROUND(_xlfn.STDEV.S(IF((all_runs!$C:$C="HeRo")*(all_runs!$E:$E="SVM Router Fusion (Ready)")*(all_runs!$I:$I="Baseline (simple random split) + Aug"),all_runs!$O:$O)),3)</f>
        <v>0.825 ± 0.015</v>
      </c>
      <c r="F28" s="14" t="str" cm="1">
        <f t="array" ref="F28">ROUND(AVERAGEIFS(all_runs!O:O,all_runs!C:C,"AlephBERT-Gimmel",all_runs!E:E,"SVM Router Fusion (Ready)",all_runs!I:I,"Baseline (simple random split) + Aug"),3)&amp;" ± "&amp;ROUND(_xlfn.STDEV.S(IF((all_runs!$C:$C="AlephBERT-Gimmel")*(all_runs!$E:$E="SVM Router Fusion (Ready)")*(all_runs!$I:$I="Baseline (simple random split) + Aug"),all_runs!$O:$O)),3)</f>
        <v>0.809 ± 0.01</v>
      </c>
      <c r="H28">
        <f t="shared" si="4"/>
        <v>0.81299999999999994</v>
      </c>
      <c r="I28">
        <f t="shared" si="5"/>
        <v>0.85699999999999998</v>
      </c>
      <c r="J28">
        <f t="shared" si="6"/>
        <v>0.82499999999999996</v>
      </c>
      <c r="K28">
        <f t="shared" si="7"/>
        <v>0.80900000000000005</v>
      </c>
    </row>
    <row r="29" spans="1:11" x14ac:dyDescent="0.3">
      <c r="A29" s="5" t="s">
        <v>9</v>
      </c>
      <c r="B29" s="6" t="s">
        <v>19</v>
      </c>
      <c r="C29" s="7" t="str" cm="1">
        <f t="array" ref="C29">ROUND(AVERAGEIFS(all_runs!O:O,all_runs!C:C,"DictaBERT",all_runs!E:E,"Regular NER",all_runs!I:I,"Label-aware greedy + Aug"),3)&amp;" ± "&amp;ROUND(_xlfn.STDEV.S(IF((all_runs!$C:$C="DictaBERT")*(all_runs!$E:$E="Regular NER")*(all_runs!$I:$I="Label-aware greedy + Aug"),all_runs!$O:$O)),3)</f>
        <v>0.802 ± 0.011</v>
      </c>
      <c r="D29" s="7" t="str" cm="1">
        <f t="array" ref="D29">ROUND(AVERAGEIFS(all_runs!O:O,all_runs!C:C,"BEREL 3.0",all_runs!E:E,"Regular NER",all_runs!I:I,"Label-aware greedy + Aug"),3)&amp;" ± "&amp;ROUND(_xlfn.STDEV.S(IF((all_runs!$C:$C="BEREL 3.0")*(all_runs!$E:$E="Regular NER")*(all_runs!$I:$I="Label-aware greedy + Aug"),all_runs!$O:$O)),3)</f>
        <v>0.824 ± 0.013</v>
      </c>
      <c r="E29" s="7" t="str" cm="1">
        <f t="array" ref="E29">ROUND(AVERAGEIFS(all_runs!O:O,all_runs!C:C,"HeRo",all_runs!E:E,"Regular NER",all_runs!I:I,"Label-aware greedy + Aug"),3)&amp;" ± "&amp;ROUND(_xlfn.STDEV.S(IF((all_runs!$C:$C="HeRo")*(all_runs!$E:$E="Regular NER")*(all_runs!$I:$I="Label-aware greedy + Aug"),all_runs!$O:$O)),3)</f>
        <v>0.797 ± 0.015</v>
      </c>
      <c r="F29" s="8" t="str" cm="1">
        <f t="array" ref="F29">ROUND(AVERAGEIFS(all_runs!O:O,all_runs!C:C,"AlephBERT-Gimmel",all_runs!E:E,"Regular NER",all_runs!I:I,"Label-aware greedy + Aug"),3)&amp;" ± "&amp;ROUND(_xlfn.STDEV.S(IF((all_runs!$C:$C="AlephBERT-Gimmel")*(all_runs!$E:$E="Regular NER")*(all_runs!$I:$I="Label-aware greedy + Aug"),all_runs!$O:$O)),3)</f>
        <v>0.813 ± 0.01</v>
      </c>
      <c r="H29">
        <f t="shared" si="4"/>
        <v>0.80200000000000005</v>
      </c>
      <c r="I29">
        <f t="shared" si="5"/>
        <v>0.82399999999999995</v>
      </c>
      <c r="J29">
        <f t="shared" si="6"/>
        <v>0.79700000000000004</v>
      </c>
      <c r="K29">
        <f t="shared" si="7"/>
        <v>0.81299999999999994</v>
      </c>
    </row>
    <row r="30" spans="1:11" x14ac:dyDescent="0.3">
      <c r="A30" s="9" t="s">
        <v>9</v>
      </c>
      <c r="B30" t="s">
        <v>21</v>
      </c>
      <c r="C30" s="4" t="str" cm="1">
        <f t="array" ref="C30">ROUND(AVERAGEIFS(all_runs!O:O,all_runs!C:C,"DictaBERT",all_runs!E:E,"AUC Cascaded Pipeline",all_runs!I:I,"Label-aware greedy + Aug"),3)&amp;" ± "&amp;ROUND(_xlfn.STDEV.S(IF((all_runs!$C:$C="DictaBERT")*(all_runs!$E:$E="AUC Cascaded Pipeline")*(all_runs!$I:$I="Label-aware greedy + Aug"),all_runs!$O:$O)),3)</f>
        <v>0.797 ± 0.017</v>
      </c>
      <c r="D30" s="4" t="str" cm="1">
        <f t="array" ref="D30">ROUND(AVERAGEIFS(all_runs!O:O,all_runs!C:C,"BEREL 3.0",all_runs!E:E,"AUC Cascaded Pipeline",all_runs!I:I,"Label-aware greedy + Aug"),3)&amp;" ± "&amp;ROUND(_xlfn.STDEV.S(IF((all_runs!$C:$C="BEREL 3.0")*(all_runs!$E:$E="AUC Cascaded Pipeline")*(all_runs!$I:$I="Label-aware greedy + Aug"),all_runs!$O:$O)),3)</f>
        <v>0.816 ± 0.007</v>
      </c>
      <c r="E30" s="4" t="str" cm="1">
        <f t="array" ref="E30">ROUND(AVERAGEIFS(all_runs!O:O,all_runs!C:C,"HeRo",all_runs!E:E,"AUC Cascaded Pipeline",all_runs!I:I,"Label-aware greedy + Aug"),3)&amp;" ± "&amp;ROUND(_xlfn.STDEV.S(IF((all_runs!$C:$C="HeRo")*(all_runs!$E:$E="AUC Cascaded Pipeline")*(all_runs!$I:$I="Label-aware greedy + Aug"),all_runs!$O:$O)),3)</f>
        <v>0.784 ± 0.018</v>
      </c>
      <c r="F30" s="10" t="str" cm="1">
        <f t="array" ref="F30">ROUND(AVERAGEIFS(all_runs!O:O,all_runs!C:C,"AlephBERT-Gimmel",all_runs!E:E,"AUC Cascaded Pipeline",all_runs!I:I,"Label-aware greedy + Aug"),3)&amp;" ± "&amp;ROUND(_xlfn.STDEV.S(IF((all_runs!$C:$C="AlephBERT-Gimmel")*(all_runs!$E:$E="AUC Cascaded Pipeline")*(all_runs!$I:$I="Label-aware greedy + Aug"),all_runs!$O:$O)),3)</f>
        <v>0.799 ± 0.013</v>
      </c>
      <c r="H30">
        <f t="shared" si="4"/>
        <v>0.79700000000000004</v>
      </c>
      <c r="I30">
        <f t="shared" si="5"/>
        <v>0.81599999999999995</v>
      </c>
      <c r="J30">
        <f t="shared" si="6"/>
        <v>0.78400000000000003</v>
      </c>
      <c r="K30">
        <f t="shared" si="7"/>
        <v>0.79900000000000004</v>
      </c>
    </row>
    <row r="31" spans="1:11" x14ac:dyDescent="0.3">
      <c r="A31" s="9" t="s">
        <v>9</v>
      </c>
      <c r="B31" t="s">
        <v>23</v>
      </c>
      <c r="C31" s="4" t="str" cm="1">
        <f t="array" ref="C31">ROUND(AVERAGEIFS(all_runs!O:O,all_runs!C:C,"DictaBERT",all_runs!E:E,"AUC Cascaded Step-3 Consistency (Ready)",all_runs!I:I,"Label-aware greedy + Aug"),3)&amp;" ± "&amp;ROUND(_xlfn.STDEV.S(IF((all_runs!$C:$C="DictaBERT")*(all_runs!$E:$E="AUC Cascaded Step-3 Consistency (Ready)")*(all_runs!$I:$I="Label-aware greedy + Aug"),all_runs!$O:$O)),3)</f>
        <v>0.805 ± 0.017</v>
      </c>
      <c r="D31" s="4" t="str" cm="1">
        <f t="array" ref="D31">ROUND(AVERAGEIFS(all_runs!O:O,all_runs!C:C,"BEREL 3.0",all_runs!E:E,"AUC Cascaded Step-3 Consistency (Ready)",all_runs!I:I,"Label-aware greedy + Aug"),3)&amp;" ± "&amp;ROUND(_xlfn.STDEV.S(IF((all_runs!$C:$C="BEREL 3.0")*(all_runs!$E:$E="AUC Cascaded Step-3 Consistency (Ready)")*(all_runs!$I:$I="Label-aware greedy + Aug"),all_runs!$O:$O)),3)</f>
        <v>0.822 ± 0.007</v>
      </c>
      <c r="E31" s="4" t="str" cm="1">
        <f t="array" ref="E31">ROUND(AVERAGEIFS(all_runs!O:O,all_runs!C:C,"HeRo",all_runs!E:E,"AUC Cascaded Step-3 Consistency (Ready)",all_runs!I:I,"Label-aware greedy + Aug"),3)&amp;" ± "&amp;ROUND(_xlfn.STDEV.S(IF((all_runs!$C:$C="HeRo")*(all_runs!$E:$E="AUC Cascaded Step-3 Consistency (Ready)")*(all_runs!$I:$I="Label-aware greedy + Aug"),all_runs!$O:$O)),3)</f>
        <v>0.785 ± 0.016</v>
      </c>
      <c r="F31" s="10" t="str" cm="1">
        <f t="array" ref="F31">ROUND(AVERAGEIFS(all_runs!O:O,all_runs!C:C,"AlephBERT-Gimmel",all_runs!E:E,"AUC Cascaded Step-3 Consistency (Ready)",all_runs!I:I,"Label-aware greedy + Aug"),3)&amp;" ± "&amp;ROUND(_xlfn.STDEV.S(IF((all_runs!$C:$C="AlephBERT-Gimmel")*(all_runs!$E:$E="AUC Cascaded Step-3 Consistency (Ready)")*(all_runs!$I:$I="Label-aware greedy + Aug"),all_runs!$O:$O)),3)</f>
        <v>0.799 ± 0.011</v>
      </c>
      <c r="H31">
        <f t="shared" si="4"/>
        <v>0.80500000000000005</v>
      </c>
      <c r="I31">
        <f t="shared" si="5"/>
        <v>0.82199999999999995</v>
      </c>
      <c r="J31">
        <f t="shared" si="6"/>
        <v>0.78500000000000003</v>
      </c>
      <c r="K31">
        <f t="shared" si="7"/>
        <v>0.79900000000000004</v>
      </c>
    </row>
    <row r="32" spans="1:11" x14ac:dyDescent="0.3">
      <c r="A32" s="9" t="s">
        <v>9</v>
      </c>
      <c r="B32" t="s">
        <v>25</v>
      </c>
      <c r="C32" s="4" t="str" cm="1">
        <f t="array" ref="C32">ROUND(AVERAGEIFS(all_runs!O:O,all_runs!C:C,"DictaBERT",all_runs!E:E,"Fusion Regular+Cascaded (Ready)",all_runs!I:I,"Label-aware greedy + Aug"),3)&amp;" ± "&amp;ROUND(_xlfn.STDEV.S(IF((all_runs!$C:$C="DictaBERT")*(all_runs!$E:$E="Fusion Regular+Cascaded (Ready)")*(all_runs!$I:$I="Label-aware greedy + Aug"),all_runs!$O:$O)),3)</f>
        <v>0.807 ± 0.011</v>
      </c>
      <c r="D32" s="4" t="str" cm="1">
        <f t="array" ref="D32">ROUND(AVERAGEIFS(all_runs!O:O,all_runs!C:C,"BEREL 3.0",all_runs!E:E,"Fusion Regular+Cascaded (Ready)",all_runs!I:I,"Label-aware greedy + Aug"),3)&amp;" ± "&amp;ROUND(_xlfn.STDEV.S(IF((all_runs!$C:$C="BEREL 3.0")*(all_runs!$E:$E="Fusion Regular+Cascaded (Ready)")*(all_runs!$I:$I="Label-aware greedy + Aug"),all_runs!$O:$O)),3)</f>
        <v>0.823 ± 0.011</v>
      </c>
      <c r="E32" s="4" t="str" cm="1">
        <f t="array" ref="E32">ROUND(AVERAGEIFS(all_runs!O:O,all_runs!C:C,"HeRo",all_runs!E:E,"Fusion Regular+Cascaded (Ready)",all_runs!I:I,"Label-aware greedy + Aug"),3)&amp;" ± "&amp;ROUND(_xlfn.STDEV.S(IF((all_runs!$C:$C="HeRo")*(all_runs!$E:$E="Fusion Regular+Cascaded (Ready)")*(all_runs!$I:$I="Label-aware greedy + Aug"),all_runs!$O:$O)),3)</f>
        <v>0.787 ± 0.017</v>
      </c>
      <c r="F32" s="10" t="str" cm="1">
        <f t="array" ref="F32">ROUND(AVERAGEIFS(all_runs!O:O,all_runs!C:C,"AlephBERT-Gimmel",all_runs!E:E,"Fusion Regular+Cascaded (Ready)",all_runs!I:I,"Label-aware greedy + Aug"),3)&amp;" ± "&amp;ROUND(_xlfn.STDEV.S(IF((all_runs!$C:$C="AlephBERT-Gimmel")*(all_runs!$E:$E="Fusion Regular+Cascaded (Ready)")*(all_runs!$I:$I="Label-aware greedy + Aug"),all_runs!$O:$O)),3)</f>
        <v>0.815 ± 0.012</v>
      </c>
      <c r="H32">
        <f t="shared" si="4"/>
        <v>0.80700000000000005</v>
      </c>
      <c r="I32">
        <f t="shared" si="5"/>
        <v>0.82299999999999995</v>
      </c>
      <c r="J32">
        <f t="shared" si="6"/>
        <v>0.78700000000000003</v>
      </c>
      <c r="K32">
        <f t="shared" si="7"/>
        <v>0.81499999999999995</v>
      </c>
    </row>
    <row r="33" spans="1:11" ht="15" thickBot="1" x14ac:dyDescent="0.35">
      <c r="A33" s="11" t="s">
        <v>9</v>
      </c>
      <c r="B33" s="12" t="s">
        <v>27</v>
      </c>
      <c r="C33" s="13" t="str" cm="1">
        <f t="array" ref="C33">ROUND(AVERAGEIFS(all_runs!O:O,all_runs!C:C,"DictaBERT",all_runs!E:E,"SVM Router Fusion (Ready)",all_runs!I:I,"Label-aware greedy + Aug"),3)&amp;" ± "&amp;ROUND(_xlfn.STDEV.S(IF((all_runs!$C:$C="DictaBERT")*(all_runs!$E:$E="SVM Router Fusion (Ready)")*(all_runs!$I:$I="Label-aware greedy + Aug"),all_runs!$O:$O)),3)</f>
        <v>0.841 ± 0.013</v>
      </c>
      <c r="D33" s="13" t="str" cm="1">
        <f t="array" ref="D33">ROUND(AVERAGEIFS(all_runs!O:O,all_runs!C:C,"BEREL 3.0",all_runs!E:E,"SVM Router Fusion (Ready)",all_runs!I:I,"Label-aware greedy + Aug"),3)&amp;" ± "&amp;ROUND(_xlfn.STDEV.S(IF((all_runs!$C:$C="BEREL 3.0")*(all_runs!$E:$E="SVM Router Fusion (Ready)")*(all_runs!$I:$I="Label-aware greedy + Aug"),all_runs!$O:$O)),3)</f>
        <v>0.844 ± 0.012</v>
      </c>
      <c r="E33" s="13" t="str" cm="1">
        <f t="array" ref="E33">ROUND(AVERAGEIFS(all_runs!O:O,all_runs!C:C,"HeRo",all_runs!E:E,"SVM Router Fusion (Ready)",all_runs!I:I,"Label-aware greedy + Aug"),3)&amp;" ± "&amp;ROUND(_xlfn.STDEV.S(IF((all_runs!$C:$C="HeRo")*(all_runs!$E:$E="SVM Router Fusion (Ready)")*(all_runs!$I:$I="Label-aware greedy + Aug"),all_runs!$O:$O)),3)</f>
        <v>0.831 ± 0.013</v>
      </c>
      <c r="F33" s="14" t="str" cm="1">
        <f t="array" ref="F33">ROUND(AVERAGEIFS(all_runs!O:O,all_runs!C:C,"AlephBERT-Gimmel",all_runs!E:E,"SVM Router Fusion (Ready)",all_runs!I:I,"Label-aware greedy + Aug"),3)&amp;" ± "&amp;ROUND(_xlfn.STDEV.S(IF((all_runs!$C:$C="AlephBERT-Gimmel")*(all_runs!$E:$E="SVM Router Fusion (Ready)")*(all_runs!$I:$I="Label-aware greedy + Aug"),all_runs!$O:$O)),3)</f>
        <v>0.841 ± 0.012</v>
      </c>
      <c r="H33">
        <f t="shared" si="4"/>
        <v>0.84099999999999997</v>
      </c>
      <c r="I33">
        <f t="shared" si="5"/>
        <v>0.84399999999999997</v>
      </c>
      <c r="J33">
        <f t="shared" si="6"/>
        <v>0.83099999999999996</v>
      </c>
      <c r="K33">
        <f t="shared" si="7"/>
        <v>0.84099999999999997</v>
      </c>
    </row>
    <row r="34" spans="1:11" x14ac:dyDescent="0.3">
      <c r="A34" s="5" t="s">
        <v>11</v>
      </c>
      <c r="B34" s="6" t="s">
        <v>19</v>
      </c>
      <c r="C34" s="7" t="str" cm="1">
        <f t="array" ref="C34">ROUND(AVERAGEIFS(all_runs!O:O,all_runs!C:C,"DictaBERT",all_runs!E:E,"Regular NER",all_runs!I:I,"Multilabel stratified (paper-style) + Aug"),3)&amp;" ± "&amp;ROUND(_xlfn.STDEV.S(IF((all_runs!$C:$C="DictaBERT")*(all_runs!$E:$E="Regular NER")*(all_runs!$I:$I="Multilabel stratified (paper-style) + Aug"),all_runs!$O:$O)),3)</f>
        <v>0.808 ± 0.01</v>
      </c>
      <c r="D34" s="7" t="str" cm="1">
        <f t="array" ref="D34">ROUND(AVERAGEIFS(all_runs!O:O,all_runs!C:C,"BEREL 3.0",all_runs!E:E,"Regular NER",all_runs!I:I,"Multilabel stratified (paper-style) + Aug"),3)&amp;" ± "&amp;ROUND(_xlfn.STDEV.S(IF((all_runs!$C:$C="BEREL 3.0")*(all_runs!$E:$E="Regular NER")*(all_runs!$I:$I="Multilabel stratified (paper-style) + Aug"),all_runs!$O:$O)),3)</f>
        <v>0.847 ± 0.008</v>
      </c>
      <c r="E34" s="7" t="str" cm="1">
        <f t="array" ref="E34">ROUND(AVERAGEIFS(all_runs!O:O,all_runs!C:C,"HeRo",all_runs!E:E,"Regular NER",all_runs!I:I,"Multilabel stratified (paper-style) + Aug"),3)&amp;" ± "&amp;ROUND(_xlfn.STDEV.S(IF((all_runs!$C:$C="HeRo")*(all_runs!$E:$E="Regular NER")*(all_runs!$I:$I="Multilabel stratified (paper-style) + Aug"),all_runs!$O:$O)),3)</f>
        <v>0.821 ± 0.009</v>
      </c>
      <c r="F34" s="8" t="str" cm="1">
        <f t="array" ref="F34">ROUND(AVERAGEIFS(all_runs!O:O,all_runs!C:C,"AlephBERT-Gimmel",all_runs!E:E,"Regular NER",all_runs!I:I,"Multilabel stratified (paper-style) + Aug"),3)&amp;" ± "&amp;ROUND(_xlfn.STDEV.S(IF((all_runs!$C:$C="AlephBERT-Gimmel")*(all_runs!$E:$E="Regular NER")*(all_runs!$I:$I="Multilabel stratified (paper-style) + Aug"),all_runs!$O:$O)),3)</f>
        <v>0.834 ± 0.006</v>
      </c>
      <c r="H34">
        <f t="shared" si="4"/>
        <v>0.80800000000000005</v>
      </c>
      <c r="I34">
        <f t="shared" si="5"/>
        <v>0.84699999999999998</v>
      </c>
      <c r="J34">
        <f t="shared" si="6"/>
        <v>0.82099999999999995</v>
      </c>
      <c r="K34">
        <f t="shared" si="7"/>
        <v>0.83399999999999996</v>
      </c>
    </row>
    <row r="35" spans="1:11" x14ac:dyDescent="0.3">
      <c r="A35" s="9" t="s">
        <v>11</v>
      </c>
      <c r="B35" t="s">
        <v>21</v>
      </c>
      <c r="C35" s="4" t="str" cm="1">
        <f t="array" ref="C35">ROUND(AVERAGEIFS(all_runs!O:O,all_runs!C:C,"DictaBERT",all_runs!E:E,"AUC Cascaded Pipeline",all_runs!I:I,"Multilabel stratified (paper-style) + Aug"),3)&amp;" ± "&amp;ROUND(_xlfn.STDEV.S(IF((all_runs!$C:$C="DictaBERT")*(all_runs!$E:$E="AUC Cascaded Pipeline")*(all_runs!$I:$I="Multilabel stratified (paper-style) + Aug"),all_runs!$O:$O)),3)</f>
        <v>0.823 ± 0.009</v>
      </c>
      <c r="D35" s="4" t="str" cm="1">
        <f t="array" ref="D35">ROUND(AVERAGEIFS(all_runs!O:O,all_runs!C:C,"BEREL 3.0",all_runs!E:E,"AUC Cascaded Pipeline",all_runs!I:I,"Multilabel stratified (paper-style) + Aug"),3)&amp;" ± "&amp;ROUND(_xlfn.STDEV.S(IF((all_runs!$C:$C="BEREL 3.0")*(all_runs!$E:$E="AUC Cascaded Pipeline")*(all_runs!$I:$I="Multilabel stratified (paper-style) + Aug"),all_runs!$O:$O)),3)</f>
        <v>0.836 ± 0.009</v>
      </c>
      <c r="E35" s="4" t="str" cm="1">
        <f t="array" ref="E35">ROUND(AVERAGEIFS(all_runs!O:O,all_runs!C:C,"HeRo",all_runs!E:E,"AUC Cascaded Pipeline",all_runs!I:I,"Multilabel stratified (paper-style) + Aug"),3)&amp;" ± "&amp;ROUND(_xlfn.STDEV.S(IF((all_runs!$C:$C="HeRo")*(all_runs!$E:$E="AUC Cascaded Pipeline")*(all_runs!$I:$I="Multilabel stratified (paper-style) + Aug"),all_runs!$O:$O)),3)</f>
        <v>0.823 ± 0.013</v>
      </c>
      <c r="F35" s="10" t="str" cm="1">
        <f t="array" ref="F35">ROUND(AVERAGEIFS(all_runs!O:O,all_runs!C:C,"AlephBERT-Gimmel",all_runs!E:E,"AUC Cascaded Pipeline",all_runs!I:I,"Multilabel stratified (paper-style) + Aug"),3)&amp;" ± "&amp;ROUND(_xlfn.STDEV.S(IF((all_runs!$C:$C="AlephBERT-Gimmel")*(all_runs!$E:$E="AUC Cascaded Pipeline")*(all_runs!$I:$I="Multilabel stratified (paper-style) + Aug"),all_runs!$O:$O)),3)</f>
        <v>0.838 ± 0.009</v>
      </c>
      <c r="H35">
        <f t="shared" si="4"/>
        <v>0.82299999999999995</v>
      </c>
      <c r="I35">
        <f t="shared" si="5"/>
        <v>0.83599999999999997</v>
      </c>
      <c r="J35">
        <f t="shared" si="6"/>
        <v>0.82299999999999995</v>
      </c>
      <c r="K35">
        <f t="shared" si="7"/>
        <v>0.83799999999999997</v>
      </c>
    </row>
    <row r="36" spans="1:11" x14ac:dyDescent="0.3">
      <c r="A36" s="9" t="s">
        <v>11</v>
      </c>
      <c r="B36" t="s">
        <v>23</v>
      </c>
      <c r="C36" s="4" t="str" cm="1">
        <f t="array" ref="C36">ROUND(AVERAGEIFS(all_runs!O:O,all_runs!C:C,"DictaBERT",all_runs!E:E,"AUC Cascaded Step-3 Consistency (Ready)",all_runs!I:I,"Multilabel stratified (paper-style) + Aug"),3)&amp;" ± "&amp;ROUND(_xlfn.STDEV.S(IF((all_runs!$C:$C="DictaBERT")*(all_runs!$E:$E="AUC Cascaded Step-3 Consistency (Ready)")*(all_runs!$I:$I="Multilabel stratified (paper-style) + Aug"),all_runs!$O:$O)),3)</f>
        <v>0.828 ± 0.009</v>
      </c>
      <c r="D36" s="4" t="str" cm="1">
        <f t="array" ref="D36">ROUND(AVERAGEIFS(all_runs!O:O,all_runs!C:C,"BEREL 3.0",all_runs!E:E,"AUC Cascaded Step-3 Consistency (Ready)",all_runs!I:I,"Multilabel stratified (paper-style) + Aug"),3)&amp;" ± "&amp;ROUND(_xlfn.STDEV.S(IF((all_runs!$C:$C="BEREL 3.0")*(all_runs!$E:$E="AUC Cascaded Step-3 Consistency (Ready)")*(all_runs!$I:$I="Multilabel stratified (paper-style) + Aug"),all_runs!$O:$O)),3)</f>
        <v>0.846 ± 0.008</v>
      </c>
      <c r="E36" s="4" t="str" cm="1">
        <f t="array" ref="E36">ROUND(AVERAGEIFS(all_runs!O:O,all_runs!C:C,"HeRo",all_runs!E:E,"AUC Cascaded Step-3 Consistency (Ready)",all_runs!I:I,"Multilabel stratified (paper-style) + Aug"),3)&amp;" ± "&amp;ROUND(_xlfn.STDEV.S(IF((all_runs!$C:$C="HeRo")*(all_runs!$E:$E="AUC Cascaded Step-3 Consistency (Ready)")*(all_runs!$I:$I="Multilabel stratified (paper-style) + Aug"),all_runs!$O:$O)),3)</f>
        <v>0.825 ± 0.014</v>
      </c>
      <c r="F36" s="10" t="str" cm="1">
        <f t="array" ref="F36">ROUND(AVERAGEIFS(all_runs!O:O,all_runs!C:C,"AlephBERT-Gimmel",all_runs!E:E,"AUC Cascaded Step-3 Consistency (Ready)",all_runs!I:I,"Multilabel stratified (paper-style) + Aug"),3)&amp;" ± "&amp;ROUND(_xlfn.STDEV.S(IF((all_runs!$C:$C="AlephBERT-Gimmel")*(all_runs!$E:$E="AUC Cascaded Step-3 Consistency (Ready)")*(all_runs!$I:$I="Multilabel stratified (paper-style) + Aug"),all_runs!$O:$O)),3)</f>
        <v>0.839 ± 0.01</v>
      </c>
      <c r="H36">
        <f t="shared" si="4"/>
        <v>0.82799999999999996</v>
      </c>
      <c r="I36">
        <f t="shared" si="5"/>
        <v>0.84599999999999997</v>
      </c>
      <c r="J36">
        <f t="shared" si="6"/>
        <v>0.82499999999999996</v>
      </c>
      <c r="K36">
        <f t="shared" si="7"/>
        <v>0.83899999999999997</v>
      </c>
    </row>
    <row r="37" spans="1:11" x14ac:dyDescent="0.3">
      <c r="A37" s="9" t="s">
        <v>11</v>
      </c>
      <c r="B37" t="s">
        <v>25</v>
      </c>
      <c r="C37" s="4" t="str" cm="1">
        <f t="array" ref="C37">ROUND(AVERAGEIFS(all_runs!O:O,all_runs!C:C,"DictaBERT",all_runs!E:E,"Fusion Regular+Cascaded (Ready)",all_runs!I:I,"Multilabel stratified (paper-style) + Aug"),3)&amp;" ± "&amp;ROUND(_xlfn.STDEV.S(IF((all_runs!$C:$C="DictaBERT")*(all_runs!$E:$E="Fusion Regular+Cascaded (Ready)")*(all_runs!$I:$I="Multilabel stratified (paper-style) + Aug"),all_runs!$O:$O)),3)</f>
        <v>0.814 ± 0.012</v>
      </c>
      <c r="D37" s="4" t="str" cm="1">
        <f t="array" ref="D37">ROUND(AVERAGEIFS(all_runs!O:O,all_runs!C:C,"BEREL 3.0",all_runs!E:E,"Fusion Regular+Cascaded (Ready)",all_runs!I:I,"Multilabel stratified (paper-style) + Aug"),3)&amp;" ± "&amp;ROUND(_xlfn.STDEV.S(IF((all_runs!$C:$C="BEREL 3.0")*(all_runs!$E:$E="Fusion Regular+Cascaded (Ready)")*(all_runs!$I:$I="Multilabel stratified (paper-style) + Aug"),all_runs!$O:$O)),3)</f>
        <v>0.848 ± 0.008</v>
      </c>
      <c r="E37" s="4" t="str" cm="1">
        <f t="array" ref="E37">ROUND(AVERAGEIFS(all_runs!O:O,all_runs!C:C,"HeRo",all_runs!E:E,"Fusion Regular+Cascaded (Ready)",all_runs!I:I,"Multilabel stratified (paper-style) + Aug"),3)&amp;" ± "&amp;ROUND(_xlfn.STDEV.S(IF((all_runs!$C:$C="HeRo")*(all_runs!$E:$E="Fusion Regular+Cascaded (Ready)")*(all_runs!$I:$I="Multilabel stratified (paper-style) + Aug"),all_runs!$O:$O)),3)</f>
        <v>0.823 ± 0.009</v>
      </c>
      <c r="F37" s="10" t="str" cm="1">
        <f t="array" ref="F37">ROUND(AVERAGEIFS(all_runs!O:O,all_runs!C:C,"AlephBERT-Gimmel",all_runs!E:E,"Fusion Regular+Cascaded (Ready)",all_runs!I:I,"Multilabel stratified (paper-style) + Aug"),3)&amp;" ± "&amp;ROUND(_xlfn.STDEV.S(IF((all_runs!$C:$C="AlephBERT-Gimmel")*(all_runs!$E:$E="Fusion Regular+Cascaded (Ready)")*(all_runs!$I:$I="Multilabel stratified (paper-style) + Aug"),all_runs!$O:$O)),3)</f>
        <v>0.832 ± 0.008</v>
      </c>
      <c r="H37">
        <f t="shared" si="4"/>
        <v>0.81399999999999995</v>
      </c>
      <c r="I37">
        <f t="shared" si="5"/>
        <v>0.84799999999999998</v>
      </c>
      <c r="J37">
        <f t="shared" si="6"/>
        <v>0.82299999999999995</v>
      </c>
      <c r="K37">
        <f t="shared" si="7"/>
        <v>0.83199999999999996</v>
      </c>
    </row>
    <row r="38" spans="1:11" ht="15" thickBot="1" x14ac:dyDescent="0.35">
      <c r="A38" s="11" t="s">
        <v>11</v>
      </c>
      <c r="B38" s="12" t="s">
        <v>27</v>
      </c>
      <c r="C38" s="13" t="str" cm="1">
        <f t="array" ref="C38">ROUND(AVERAGEIFS(all_runs!O:O,all_runs!C:C,"DictaBERT",all_runs!E:E,"SVM Router Fusion (Ready)",all_runs!I:I,"Multilabel stratified (paper-style) + Aug"),3)&amp;" ± "&amp;ROUND(_xlfn.STDEV.S(IF((all_runs!$C:$C="DictaBERT")*(all_runs!$E:$E="SVM Router Fusion (Ready)")*(all_runs!$I:$I="Multilabel stratified (paper-style) + Aug"),all_runs!$O:$O)),3)</f>
        <v>0.836 ± 0.008</v>
      </c>
      <c r="D38" s="13" t="str" cm="1">
        <f t="array" ref="D38">ROUND(AVERAGEIFS(all_runs!O:O,all_runs!C:C,"BEREL 3.0",all_runs!E:E,"SVM Router Fusion (Ready)",all_runs!I:I,"Multilabel stratified (paper-style) + Aug"),3)&amp;" ± "&amp;ROUND(_xlfn.STDEV.S(IF((all_runs!$C:$C="BEREL 3.0")*(all_runs!$E:$E="SVM Router Fusion (Ready)")*(all_runs!$I:$I="Multilabel stratified (paper-style) + Aug"),all_runs!$O:$O)),3)</f>
        <v>0.852 ± 0.008</v>
      </c>
      <c r="E38" s="13" t="str" cm="1">
        <f t="array" ref="E38">ROUND(AVERAGEIFS(all_runs!O:O,all_runs!C:C,"HeRo",all_runs!E:E,"SVM Router Fusion (Ready)",all_runs!I:I,"Multilabel stratified (paper-style) + Aug"),3)&amp;" ± "&amp;ROUND(_xlfn.STDEV.S(IF((all_runs!$C:$C="HeRo")*(all_runs!$E:$E="SVM Router Fusion (Ready)")*(all_runs!$I:$I="Multilabel stratified (paper-style) + Aug"),all_runs!$O:$O)),3)</f>
        <v>0.841 ± 0.01</v>
      </c>
      <c r="F38" s="14" t="str" cm="1">
        <f t="array" ref="F38">ROUND(AVERAGEIFS(all_runs!O:O,all_runs!C:C,"AlephBERT-Gimmel",all_runs!E:E,"SVM Router Fusion (Ready)",all_runs!I:I,"Multilabel stratified (paper-style) + Aug"),3)&amp;" ± "&amp;ROUND(_xlfn.STDEV.S(IF((all_runs!$C:$C="AlephBERT-Gimmel")*(all_runs!$E:$E="SVM Router Fusion (Ready)")*(all_runs!$I:$I="Multilabel stratified (paper-style) + Aug"),all_runs!$O:$O)),3)</f>
        <v>0.847 ± 0.008</v>
      </c>
      <c r="H38">
        <f t="shared" si="4"/>
        <v>0.83599999999999997</v>
      </c>
      <c r="I38">
        <f t="shared" si="5"/>
        <v>0.85199999999999998</v>
      </c>
      <c r="J38">
        <f t="shared" si="6"/>
        <v>0.84099999999999997</v>
      </c>
      <c r="K38">
        <f t="shared" si="7"/>
        <v>0.84699999999999998</v>
      </c>
    </row>
    <row r="39" spans="1:11" x14ac:dyDescent="0.3">
      <c r="C39" s="4"/>
      <c r="D39" s="4"/>
      <c r="E39" s="4"/>
      <c r="F39" s="4"/>
    </row>
    <row r="42" spans="1:11" ht="18" x14ac:dyDescent="0.35">
      <c r="A42" s="3" t="s">
        <v>5360</v>
      </c>
    </row>
    <row r="44" spans="1:11" x14ac:dyDescent="0.3">
      <c r="A44" s="64" t="s">
        <v>5354</v>
      </c>
      <c r="B44" s="65" t="s">
        <v>5269</v>
      </c>
      <c r="C44" s="65" t="s">
        <v>5361</v>
      </c>
      <c r="D44" s="65" t="s">
        <v>5362</v>
      </c>
      <c r="E44" s="65" t="s">
        <v>5363</v>
      </c>
      <c r="F44" s="66" t="s">
        <v>5364</v>
      </c>
    </row>
    <row r="45" spans="1:11" x14ac:dyDescent="0.3">
      <c r="A45" s="60" t="s">
        <v>7</v>
      </c>
      <c r="B45" s="21" t="s">
        <v>19</v>
      </c>
      <c r="C45" s="23">
        <f t="shared" ref="C45:C59" si="8">H24-H4</f>
        <v>0.10899999999999999</v>
      </c>
      <c r="D45" s="23">
        <f t="shared" ref="D45:D59" si="9">I24-I4</f>
        <v>0.13100000000000001</v>
      </c>
      <c r="E45" s="23">
        <f t="shared" ref="E45:E59" si="10">J24-J4</f>
        <v>4.7000000000000042E-2</v>
      </c>
      <c r="F45" s="62">
        <f t="shared" ref="F45:F59" si="11">K24-K4</f>
        <v>0.11699999999999999</v>
      </c>
    </row>
    <row r="46" spans="1:11" x14ac:dyDescent="0.3">
      <c r="A46" s="60" t="s">
        <v>7</v>
      </c>
      <c r="B46" s="21" t="s">
        <v>21</v>
      </c>
      <c r="C46" s="23">
        <f t="shared" si="8"/>
        <v>5.8000000000000052E-2</v>
      </c>
      <c r="D46" s="23">
        <f t="shared" si="9"/>
        <v>0.20099999999999996</v>
      </c>
      <c r="E46" s="23">
        <f t="shared" si="10"/>
        <v>5.0000000000000044E-2</v>
      </c>
      <c r="F46" s="62">
        <f t="shared" si="11"/>
        <v>9.1000000000000081E-2</v>
      </c>
    </row>
    <row r="47" spans="1:11" x14ac:dyDescent="0.3">
      <c r="A47" s="60" t="s">
        <v>7</v>
      </c>
      <c r="B47" s="21" t="s">
        <v>23</v>
      </c>
      <c r="C47" s="23">
        <f t="shared" si="8"/>
        <v>5.3000000000000047E-2</v>
      </c>
      <c r="D47" s="23">
        <f t="shared" si="9"/>
        <v>0.20299999999999996</v>
      </c>
      <c r="E47" s="23">
        <f t="shared" si="10"/>
        <v>5.7000000000000051E-2</v>
      </c>
      <c r="F47" s="62">
        <f t="shared" si="11"/>
        <v>9.4000000000000083E-2</v>
      </c>
    </row>
    <row r="48" spans="1:11" x14ac:dyDescent="0.3">
      <c r="A48" s="60" t="s">
        <v>7</v>
      </c>
      <c r="B48" s="21" t="s">
        <v>25</v>
      </c>
      <c r="C48" s="23">
        <f t="shared" si="8"/>
        <v>0.10199999999999998</v>
      </c>
      <c r="D48" s="23">
        <f t="shared" si="9"/>
        <v>0.126</v>
      </c>
      <c r="E48" s="23">
        <f t="shared" si="10"/>
        <v>3.2000000000000028E-2</v>
      </c>
      <c r="F48" s="62">
        <f t="shared" si="11"/>
        <v>9.4000000000000083E-2</v>
      </c>
    </row>
    <row r="49" spans="1:16" x14ac:dyDescent="0.3">
      <c r="A49" s="60" t="s">
        <v>7</v>
      </c>
      <c r="B49" s="21" t="s">
        <v>27</v>
      </c>
      <c r="C49" s="23">
        <f t="shared" si="8"/>
        <v>4.6999999999999931E-2</v>
      </c>
      <c r="D49" s="23">
        <f t="shared" si="9"/>
        <v>8.5999999999999965E-2</v>
      </c>
      <c r="E49" s="23">
        <f t="shared" si="10"/>
        <v>2.9999999999999916E-2</v>
      </c>
      <c r="F49" s="62">
        <f t="shared" si="11"/>
        <v>7.0000000000000062E-2</v>
      </c>
    </row>
    <row r="50" spans="1:16" x14ac:dyDescent="0.3">
      <c r="A50" s="60" t="s">
        <v>3</v>
      </c>
      <c r="B50" s="21" t="s">
        <v>19</v>
      </c>
      <c r="C50" s="23">
        <f t="shared" si="8"/>
        <v>4.8000000000000043E-2</v>
      </c>
      <c r="D50" s="23">
        <f t="shared" si="9"/>
        <v>0.11699999999999999</v>
      </c>
      <c r="E50" s="23">
        <f t="shared" si="10"/>
        <v>4.2000000000000037E-2</v>
      </c>
      <c r="F50" s="62">
        <f t="shared" si="11"/>
        <v>0.15499999999999992</v>
      </c>
    </row>
    <row r="51" spans="1:16" x14ac:dyDescent="0.3">
      <c r="A51" s="60" t="s">
        <v>3</v>
      </c>
      <c r="B51" s="21" t="s">
        <v>21</v>
      </c>
      <c r="C51" s="23">
        <f t="shared" si="8"/>
        <v>7.0000000000000062E-2</v>
      </c>
      <c r="D51" s="23">
        <f t="shared" si="9"/>
        <v>0.16899999999999993</v>
      </c>
      <c r="E51" s="23">
        <f t="shared" si="10"/>
        <v>2.5000000000000022E-2</v>
      </c>
      <c r="F51" s="62">
        <f t="shared" si="11"/>
        <v>8.1000000000000072E-2</v>
      </c>
    </row>
    <row r="52" spans="1:16" x14ac:dyDescent="0.3">
      <c r="A52" s="60" t="s">
        <v>3</v>
      </c>
      <c r="B52" s="21" t="s">
        <v>23</v>
      </c>
      <c r="C52" s="23">
        <f t="shared" si="8"/>
        <v>7.1000000000000063E-2</v>
      </c>
      <c r="D52" s="23">
        <f t="shared" si="9"/>
        <v>0.16999999999999993</v>
      </c>
      <c r="E52" s="23">
        <f t="shared" si="10"/>
        <v>2.5000000000000022E-2</v>
      </c>
      <c r="F52" s="62">
        <f t="shared" si="11"/>
        <v>7.6000000000000068E-2</v>
      </c>
    </row>
    <row r="53" spans="1:16" x14ac:dyDescent="0.3">
      <c r="A53" s="60" t="s">
        <v>3</v>
      </c>
      <c r="B53" s="21" t="s">
        <v>25</v>
      </c>
      <c r="C53" s="23">
        <f t="shared" si="8"/>
        <v>6.9000000000000061E-2</v>
      </c>
      <c r="D53" s="23">
        <f t="shared" si="9"/>
        <v>0.10799999999999998</v>
      </c>
      <c r="E53" s="23">
        <f t="shared" si="10"/>
        <v>2.9000000000000026E-2</v>
      </c>
      <c r="F53" s="62">
        <f t="shared" si="11"/>
        <v>0.10499999999999998</v>
      </c>
    </row>
    <row r="54" spans="1:16" x14ac:dyDescent="0.3">
      <c r="A54" s="60" t="s">
        <v>3</v>
      </c>
      <c r="B54" s="21" t="s">
        <v>27</v>
      </c>
      <c r="C54" s="23">
        <f t="shared" si="8"/>
        <v>2.9999999999999916E-2</v>
      </c>
      <c r="D54" s="23">
        <f t="shared" si="9"/>
        <v>5.3999999999999937E-2</v>
      </c>
      <c r="E54" s="23">
        <f t="shared" si="10"/>
        <v>3.1999999999999917E-2</v>
      </c>
      <c r="F54" s="62">
        <f t="shared" si="11"/>
        <v>7.7999999999999958E-2</v>
      </c>
    </row>
    <row r="55" spans="1:16" x14ac:dyDescent="0.3">
      <c r="A55" s="60" t="s">
        <v>5</v>
      </c>
      <c r="B55" s="21" t="s">
        <v>19</v>
      </c>
      <c r="C55" s="23">
        <f t="shared" si="8"/>
        <v>7.0000000000000062E-2</v>
      </c>
      <c r="D55" s="23">
        <f t="shared" si="9"/>
        <v>0.11599999999999999</v>
      </c>
      <c r="E55" s="23">
        <f t="shared" si="10"/>
        <v>5.1999999999999935E-2</v>
      </c>
      <c r="F55" s="62">
        <f t="shared" si="11"/>
        <v>0.20699999999999996</v>
      </c>
    </row>
    <row r="56" spans="1:16" x14ac:dyDescent="0.3">
      <c r="A56" s="60" t="s">
        <v>5</v>
      </c>
      <c r="B56" s="21" t="s">
        <v>21</v>
      </c>
      <c r="C56" s="23">
        <f t="shared" si="8"/>
        <v>5.8999999999999941E-2</v>
      </c>
      <c r="D56" s="23">
        <f t="shared" si="9"/>
        <v>0.20199999999999996</v>
      </c>
      <c r="E56" s="23">
        <f t="shared" si="10"/>
        <v>7.4999999999999956E-2</v>
      </c>
      <c r="F56" s="62">
        <f t="shared" si="11"/>
        <v>0.10999999999999999</v>
      </c>
    </row>
    <row r="57" spans="1:16" x14ac:dyDescent="0.3">
      <c r="A57" s="60" t="s">
        <v>5</v>
      </c>
      <c r="B57" s="21" t="s">
        <v>23</v>
      </c>
      <c r="C57" s="23">
        <f t="shared" si="8"/>
        <v>6.3999999999999946E-2</v>
      </c>
      <c r="D57" s="23">
        <f t="shared" si="9"/>
        <v>0.20699999999999996</v>
      </c>
      <c r="E57" s="23">
        <f t="shared" si="10"/>
        <v>7.4999999999999956E-2</v>
      </c>
      <c r="F57" s="62">
        <f t="shared" si="11"/>
        <v>0.11099999999999999</v>
      </c>
    </row>
    <row r="58" spans="1:16" x14ac:dyDescent="0.3">
      <c r="A58" s="60" t="s">
        <v>5</v>
      </c>
      <c r="B58" s="21" t="s">
        <v>25</v>
      </c>
      <c r="C58" s="23">
        <f t="shared" si="8"/>
        <v>6.899999999999995E-2</v>
      </c>
      <c r="D58" s="23">
        <f t="shared" si="9"/>
        <v>0.10899999999999999</v>
      </c>
      <c r="E58" s="23">
        <f t="shared" si="10"/>
        <v>4.6999999999999931E-2</v>
      </c>
      <c r="F58" s="62">
        <f t="shared" si="11"/>
        <v>0.13</v>
      </c>
    </row>
    <row r="59" spans="1:16" x14ac:dyDescent="0.3">
      <c r="A59" s="60" t="s">
        <v>5</v>
      </c>
      <c r="B59" s="21" t="s">
        <v>27</v>
      </c>
      <c r="C59" s="23">
        <f t="shared" si="8"/>
        <v>2.8999999999999915E-2</v>
      </c>
      <c r="D59" s="23">
        <f t="shared" si="9"/>
        <v>5.699999999999994E-2</v>
      </c>
      <c r="E59" s="23">
        <f t="shared" si="10"/>
        <v>3.5999999999999921E-2</v>
      </c>
      <c r="F59" s="62">
        <f t="shared" si="11"/>
        <v>8.0999999999999961E-2</v>
      </c>
    </row>
    <row r="60" spans="1:16" x14ac:dyDescent="0.3">
      <c r="A60" s="61" t="s">
        <v>5374</v>
      </c>
      <c r="B60" s="26" t="s">
        <v>5375</v>
      </c>
      <c r="C60" s="27">
        <f>AVERAGE(C45:C59)</f>
        <v>6.3199999999999992E-2</v>
      </c>
      <c r="D60" s="27">
        <f>AVERAGE(D45:D59)</f>
        <v>0.13706666666666664</v>
      </c>
      <c r="E60" s="27">
        <f>AVERAGE(E45:E59)</f>
        <v>4.3599999999999986E-2</v>
      </c>
      <c r="F60" s="63">
        <f>AVERAGE(F45:F59)</f>
        <v>0.10666666666666667</v>
      </c>
    </row>
    <row r="61" spans="1:16" x14ac:dyDescent="0.3">
      <c r="M61" s="2" t="s">
        <v>5473</v>
      </c>
      <c r="N61" s="2"/>
      <c r="O61" s="2"/>
      <c r="P61" s="2"/>
    </row>
    <row r="62" spans="1:16" ht="18" x14ac:dyDescent="0.35">
      <c r="A62" s="3" t="s">
        <v>5365</v>
      </c>
      <c r="M62" s="2" t="s">
        <v>5288</v>
      </c>
      <c r="N62" s="2" t="s">
        <v>5471</v>
      </c>
      <c r="O62" s="2" t="s">
        <v>5472</v>
      </c>
      <c r="P62" s="2" t="s">
        <v>5474</v>
      </c>
    </row>
    <row r="63" spans="1:16" x14ac:dyDescent="0.3">
      <c r="A63" s="24" t="s">
        <v>5366</v>
      </c>
      <c r="M63" t="s">
        <v>17</v>
      </c>
      <c r="N63" s="32">
        <f>H18</f>
        <v>0.80700000000000005</v>
      </c>
      <c r="O63" s="32">
        <f>H38</f>
        <v>0.83599999999999997</v>
      </c>
      <c r="P63" s="58">
        <f>O63-N63</f>
        <v>2.8999999999999915E-2</v>
      </c>
    </row>
    <row r="64" spans="1:16" x14ac:dyDescent="0.3">
      <c r="M64" t="s">
        <v>28</v>
      </c>
      <c r="N64" s="32">
        <f>I18</f>
        <v>0.79500000000000004</v>
      </c>
      <c r="O64" s="32">
        <f>I38</f>
        <v>0.85199999999999998</v>
      </c>
      <c r="P64" s="58">
        <f>O64-N64</f>
        <v>5.699999999999994E-2</v>
      </c>
    </row>
    <row r="65" spans="1:16" x14ac:dyDescent="0.3">
      <c r="A65" s="59" t="s">
        <v>5354</v>
      </c>
      <c r="B65" s="22" t="s">
        <v>5269</v>
      </c>
      <c r="C65" s="22" t="s">
        <v>5367</v>
      </c>
      <c r="D65" s="22" t="s">
        <v>5368</v>
      </c>
      <c r="E65" s="22" t="s">
        <v>5369</v>
      </c>
      <c r="F65" s="22" t="s">
        <v>5370</v>
      </c>
      <c r="G65" s="20" t="s">
        <v>5373</v>
      </c>
      <c r="H65" s="2" t="s">
        <v>5371</v>
      </c>
      <c r="M65" t="s">
        <v>29</v>
      </c>
      <c r="N65" s="32">
        <f>J18</f>
        <v>0.80500000000000005</v>
      </c>
      <c r="O65" s="32">
        <f>J38</f>
        <v>0.84099999999999997</v>
      </c>
      <c r="P65" s="58">
        <f>O65-N65</f>
        <v>3.5999999999999921E-2</v>
      </c>
    </row>
    <row r="66" spans="1:16" x14ac:dyDescent="0.3">
      <c r="A66" s="60" t="s">
        <v>7</v>
      </c>
      <c r="B66" s="21" t="s">
        <v>19</v>
      </c>
      <c r="C66" s="30" cm="1">
        <f t="array" ref="C66">IFERROR(INDEX(paired_tests!O:O,MATCH(1,(paired_tests!A:A="DictaBERT")*(paired_tests!B:B="exp01")*(paired_tests!D:D="before_exp01_baseline"),0)),"N/A")</f>
        <v>8.8449150212119008E-5</v>
      </c>
      <c r="D66" s="30" cm="1">
        <f t="array" ref="D66">IFERROR(INDEX(paired_tests!O:O,MATCH(1,(paired_tests!A:A="BEREL 3.0")*(paired_tests!B:B="exp01")*(paired_tests!D:D="before_exp01_baseline"),0)),"N/A")</f>
        <v>8.8198702041944528E-5</v>
      </c>
      <c r="E66" s="30" cm="1">
        <f t="array" ref="E66">IFERROR(INDEX(paired_tests!O:O,MATCH(1,(paired_tests!A:A="HeRo")*(paired_tests!B:B="exp01")*(paired_tests!D:D="before_exp01_baseline"),0)),"N/A")</f>
        <v>1.032027839634719E-4</v>
      </c>
      <c r="F66" s="30" cm="1">
        <f t="array" ref="F66">IFERROR(INDEX(paired_tests!O:O,MATCH(1,(paired_tests!A:A="AlephBERT-Gimmel")*(paired_tests!B:B="exp01")*(paired_tests!D:D="before_exp01_baseline"),0)),"N/A")</f>
        <v>8.8323858630812773E-5</v>
      </c>
      <c r="G66" t="str">
        <f t="shared" ref="G66:G80" si="12">IF(AND(C66&lt;0.05,D66&lt;0.05,E66&lt;0.05,F66&lt;0.05),"✓ All p&lt;0.05","Mixed")</f>
        <v>✓ All p&lt;0.05</v>
      </c>
      <c r="H66" s="28" t="s">
        <v>5376</v>
      </c>
      <c r="M66" t="s">
        <v>30</v>
      </c>
      <c r="N66" s="32">
        <f>K18</f>
        <v>0.76600000000000001</v>
      </c>
      <c r="O66" s="32">
        <f>K38</f>
        <v>0.84699999999999998</v>
      </c>
      <c r="P66" s="58">
        <f>O66-N66</f>
        <v>8.0999999999999961E-2</v>
      </c>
    </row>
    <row r="67" spans="1:16" x14ac:dyDescent="0.3">
      <c r="A67" s="60" t="s">
        <v>7</v>
      </c>
      <c r="B67" s="21" t="s">
        <v>21</v>
      </c>
      <c r="C67" s="30" cm="1">
        <f t="array" ref="C67">IFERROR(INDEX(paired_tests!O:O,MATCH(1,(paired_tests!A:A="DictaBERT")*(paired_tests!B:B="exp04")*(paired_tests!D:D="before_exp01_baseline"),0)),"N/A")</f>
        <v>3.814697265625E-6</v>
      </c>
      <c r="D67" s="30" cm="1">
        <f t="array" ref="D67">IFERROR(INDEX(paired_tests!O:O,MATCH(1,(paired_tests!A:A="BEREL 3.0")*(paired_tests!B:B="exp04")*(paired_tests!D:D="before_exp01_baseline"),0)),"N/A")</f>
        <v>1.9073486328125E-6</v>
      </c>
      <c r="E67" s="30" cm="1">
        <f t="array" ref="E67">IFERROR(INDEX(paired_tests!O:O,MATCH(1,(paired_tests!A:A="HeRo")*(paired_tests!B:B="exp04")*(paired_tests!D:D="before_exp01_baseline"),0)),"N/A")</f>
        <v>1.33514404296875E-5</v>
      </c>
      <c r="F67" s="30" cm="1">
        <f t="array" ref="F67">IFERROR(INDEX(paired_tests!O:O,MATCH(1,(paired_tests!A:A="AlephBERT-Gimmel")*(paired_tests!B:B="exp04")*(paired_tests!D:D="before_exp01_baseline"),0)),"N/A")</f>
        <v>1.9073486328125E-6</v>
      </c>
      <c r="G67" t="str">
        <f t="shared" si="12"/>
        <v>✓ All p&lt;0.05</v>
      </c>
      <c r="H67" s="29" t="s">
        <v>5377</v>
      </c>
      <c r="N67" s="32"/>
      <c r="O67" s="32"/>
      <c r="P67" s="58"/>
    </row>
    <row r="68" spans="1:16" x14ac:dyDescent="0.3">
      <c r="A68" s="60" t="s">
        <v>7</v>
      </c>
      <c r="B68" s="21" t="s">
        <v>23</v>
      </c>
      <c r="C68" s="30" cm="1">
        <f t="array" ref="C68">IFERROR(INDEX(paired_tests!O:O,MATCH(1,(paired_tests!A:A="DictaBERT")*(paired_tests!B:B="exp05_ready")*(paired_tests!D:D="before_exp01_baseline"),0)),"N/A")</f>
        <v>3.814697265625E-6</v>
      </c>
      <c r="D68" s="30" cm="1">
        <f t="array" ref="D68">IFERROR(INDEX(paired_tests!O:O,MATCH(1,(paired_tests!A:A="BEREL 3.0")*(paired_tests!B:B="exp05_ready")*(paired_tests!D:D="before_exp01_baseline"),0)),"N/A")</f>
        <v>1.9073486328125E-6</v>
      </c>
      <c r="E68" s="30" cm="1">
        <f t="array" ref="E68">IFERROR(INDEX(paired_tests!O:O,MATCH(1,(paired_tests!A:A="HeRo")*(paired_tests!B:B="exp05_ready")*(paired_tests!D:D="before_exp01_baseline"),0)),"N/A")</f>
        <v>9.5367431640625E-6</v>
      </c>
      <c r="F68" s="30" cm="1">
        <f t="array" ref="F68">IFERROR(INDEX(paired_tests!O:O,MATCH(1,(paired_tests!A:A="AlephBERT-Gimmel")*(paired_tests!B:B="exp05_ready")*(paired_tests!D:D="before_exp01_baseline"),0)),"N/A")</f>
        <v>1.9073486328125E-6</v>
      </c>
      <c r="G68" t="str">
        <f t="shared" si="12"/>
        <v>✓ All p&lt;0.05</v>
      </c>
      <c r="H68" s="25" t="s">
        <v>5378</v>
      </c>
    </row>
    <row r="69" spans="1:16" x14ac:dyDescent="0.3">
      <c r="A69" s="60" t="s">
        <v>7</v>
      </c>
      <c r="B69" s="21" t="s">
        <v>25</v>
      </c>
      <c r="C69" s="30" cm="1">
        <f t="array" ref="C69">IFERROR(INDEX(paired_tests!O:O,MATCH(1,(paired_tests!A:A="DictaBERT")*(paired_tests!B:B="exp06_ready")*(paired_tests!D:D="before_exp01_baseline"),0)),"N/A")</f>
        <v>1.9073486328125E-6</v>
      </c>
      <c r="D69" s="30" cm="1">
        <f t="array" ref="D69">IFERROR(INDEX(paired_tests!O:O,MATCH(1,(paired_tests!A:A="BEREL 3.0")*(paired_tests!B:B="exp06_ready")*(paired_tests!D:D="before_exp01_baseline"),0)),"N/A")</f>
        <v>1.9073486328125E-6</v>
      </c>
      <c r="E69" s="30" cm="1">
        <f t="array" ref="E69">IFERROR(INDEX(paired_tests!O:O,MATCH(1,(paired_tests!A:A="HeRo")*(paired_tests!B:B="exp06_ready")*(paired_tests!D:D="before_exp01_baseline"),0)),"N/A")</f>
        <v>5.7220458984375E-6</v>
      </c>
      <c r="F69" s="30" cm="1">
        <f t="array" ref="F69">IFERROR(INDEX(paired_tests!O:O,MATCH(1,(paired_tests!A:A="AlephBERT-Gimmel")*(paired_tests!B:B="exp06_ready")*(paired_tests!D:D="before_exp01_baseline"),0)),"N/A")</f>
        <v>1.9073486328125E-6</v>
      </c>
      <c r="G69" t="str">
        <f t="shared" si="12"/>
        <v>✓ All p&lt;0.05</v>
      </c>
      <c r="H69" t="s">
        <v>5372</v>
      </c>
    </row>
    <row r="70" spans="1:16" x14ac:dyDescent="0.3">
      <c r="A70" s="60" t="s">
        <v>7</v>
      </c>
      <c r="B70" s="21" t="s">
        <v>27</v>
      </c>
      <c r="C70" s="30" cm="1">
        <f t="array" ref="C70">IFERROR(INDEX(paired_tests!O:O,MATCH(1,(paired_tests!A:A="DictaBERT")*(paired_tests!B:B="exp06_svm_ready")*(paired_tests!D:D="before_exp01_baseline"),0)),"N/A")</f>
        <v>1.9073486328125E-6</v>
      </c>
      <c r="D70" s="30" cm="1">
        <f t="array" ref="D70">IFERROR(INDEX(paired_tests!O:O,MATCH(1,(paired_tests!A:A="BEREL 3.0")*(paired_tests!B:B="exp06_svm_ready")*(paired_tests!D:D="before_exp01_baseline"),0)),"N/A")</f>
        <v>8.8323858630812773E-5</v>
      </c>
      <c r="E70" s="30" cm="1">
        <f t="array" ref="E70">IFERROR(INDEX(paired_tests!O:O,MATCH(1,(paired_tests!A:A="HeRo")*(paired_tests!B:B="exp06_svm_ready")*(paired_tests!D:D="before_exp01_baseline"),0)),"N/A")</f>
        <v>8.20159912109375E-5</v>
      </c>
      <c r="F70" s="30" cm="1">
        <f t="array" ref="F70">IFERROR(INDEX(paired_tests!O:O,MATCH(1,(paired_tests!A:A="AlephBERT-Gimmel")*(paired_tests!B:B="exp06_svm_ready")*(paired_tests!D:D="before_exp01_baseline"),0)),"N/A")</f>
        <v>1.9073486328125E-6</v>
      </c>
      <c r="G70" t="str">
        <f t="shared" si="12"/>
        <v>✓ All p&lt;0.05</v>
      </c>
    </row>
    <row r="71" spans="1:16" x14ac:dyDescent="0.3">
      <c r="A71" s="60" t="s">
        <v>3</v>
      </c>
      <c r="B71" s="21" t="s">
        <v>19</v>
      </c>
      <c r="C71" s="30" cm="1">
        <f t="array" ref="C71">IFERROR(INDEX(paired_tests!O:O,MATCH(1,(paired_tests!A:A="DictaBERT")*(paired_tests!B:B="exp01")*(paired_tests!D:D="after_label_aware_split"),0)),"N/A")</f>
        <v>8.8449150212119008E-5</v>
      </c>
      <c r="D71" s="30" cm="1">
        <f t="array" ref="D71">IFERROR(INDEX(paired_tests!O:O,MATCH(1,(paired_tests!A:A="BEREL 3.0")*(paired_tests!B:B="exp01")*(paired_tests!D:D="after_label_aware_split"),0)),"N/A")</f>
        <v>8.8323858630812773E-5</v>
      </c>
      <c r="E71" s="30" cm="1">
        <f t="array" ref="E71">IFERROR(INDEX(paired_tests!O:O,MATCH(1,(paired_tests!A:A="HeRo")*(paired_tests!B:B="exp01")*(paired_tests!D:D="after_label_aware_split"),0)),"N/A")</f>
        <v>8.8449150212119008E-5</v>
      </c>
      <c r="F71" s="30" cm="1">
        <f t="array" ref="F71">IFERROR(INDEX(paired_tests!O:O,MATCH(1,(paired_tests!A:A="AlephBERT-Gimmel")*(paired_tests!B:B="exp01")*(paired_tests!D:D="after_label_aware_split"),0)),"N/A")</f>
        <v>8.8073680352755032E-5</v>
      </c>
      <c r="G71" t="str">
        <f t="shared" si="12"/>
        <v>✓ All p&lt;0.05</v>
      </c>
    </row>
    <row r="72" spans="1:16" x14ac:dyDescent="0.3">
      <c r="A72" s="60" t="s">
        <v>3</v>
      </c>
      <c r="B72" s="21" t="s">
        <v>21</v>
      </c>
      <c r="C72" s="30" cm="1">
        <f t="array" ref="C72">IFERROR(INDEX(paired_tests!O:O,MATCH(1,(paired_tests!A:A="DictaBERT")*(paired_tests!B:B="exp04")*(paired_tests!D:D="after_label_aware_split"),0)),"N/A")</f>
        <v>1.9073486328125E-6</v>
      </c>
      <c r="D72" s="30" cm="1">
        <f t="array" ref="D72">IFERROR(INDEX(paired_tests!O:O,MATCH(1,(paired_tests!A:A="BEREL 3.0")*(paired_tests!B:B="exp04")*(paired_tests!D:D="after_label_aware_split"),0)),"N/A")</f>
        <v>1.9073486328125E-6</v>
      </c>
      <c r="E72" s="30" cm="1">
        <f t="array" ref="E72">IFERROR(INDEX(paired_tests!O:O,MATCH(1,(paired_tests!A:A="HeRo")*(paired_tests!B:B="exp04")*(paired_tests!D:D="after_label_aware_split"),0)),"N/A")</f>
        <v>3.223419189453125E-4</v>
      </c>
      <c r="F72" s="30" cm="1">
        <f t="array" ref="F72">IFERROR(INDEX(paired_tests!O:O,MATCH(1,(paired_tests!A:A="AlephBERT-Gimmel")*(paired_tests!B:B="exp04")*(paired_tests!D:D="after_label_aware_split"),0)),"N/A")</f>
        <v>1.9073486328125E-6</v>
      </c>
      <c r="G72" t="str">
        <f t="shared" si="12"/>
        <v>✓ All p&lt;0.05</v>
      </c>
    </row>
    <row r="73" spans="1:16" x14ac:dyDescent="0.3">
      <c r="A73" s="60" t="s">
        <v>3</v>
      </c>
      <c r="B73" s="21" t="s">
        <v>23</v>
      </c>
      <c r="C73" s="30" cm="1">
        <f t="array" ref="C73">IFERROR(INDEX(paired_tests!O:O,MATCH(1,(paired_tests!A:A="DictaBERT")*(paired_tests!B:B="exp05_ready")*(paired_tests!D:D="after_label_aware_split"),0)),"N/A")</f>
        <v>1.9073486328125E-6</v>
      </c>
      <c r="D73" s="30" cm="1">
        <f t="array" ref="D73">IFERROR(INDEX(paired_tests!O:O,MATCH(1,(paired_tests!A:A="BEREL 3.0")*(paired_tests!B:B="exp05_ready")*(paired_tests!D:D="after_label_aware_split"),0)),"N/A")</f>
        <v>1.9073486328125E-6</v>
      </c>
      <c r="E73" s="30" cm="1">
        <f t="array" ref="E73">IFERROR(INDEX(paired_tests!O:O,MATCH(1,(paired_tests!A:A="HeRo")*(paired_tests!B:B="exp05_ready")*(paired_tests!D:D="after_label_aware_split"),0)),"N/A")</f>
        <v>3.948211669921875E-4</v>
      </c>
      <c r="F73" s="30" cm="1">
        <f t="array" ref="F73">IFERROR(INDEX(paired_tests!O:O,MATCH(1,(paired_tests!A:A="AlephBERT-Gimmel")*(paired_tests!B:B="exp05_ready")*(paired_tests!D:D="after_label_aware_split"),0)),"N/A")</f>
        <v>1.9073486328125E-6</v>
      </c>
      <c r="G73" t="str">
        <f t="shared" si="12"/>
        <v>✓ All p&lt;0.05</v>
      </c>
    </row>
    <row r="74" spans="1:16" x14ac:dyDescent="0.3">
      <c r="A74" s="60" t="s">
        <v>3</v>
      </c>
      <c r="B74" s="21" t="s">
        <v>25</v>
      </c>
      <c r="C74" s="30" cm="1">
        <f t="array" ref="C74">IFERROR(INDEX(paired_tests!O:O,MATCH(1,(paired_tests!A:A="DictaBERT")*(paired_tests!B:B="exp06_ready")*(paired_tests!D:D="after_label_aware_split"),0)),"N/A")</f>
        <v>1.9073486328125E-6</v>
      </c>
      <c r="D74" s="30" cm="1">
        <f t="array" ref="D74">IFERROR(INDEX(paired_tests!O:O,MATCH(1,(paired_tests!A:A="BEREL 3.0")*(paired_tests!B:B="exp06_ready")*(paired_tests!D:D="after_label_aware_split"),0)),"N/A")</f>
        <v>1.9073486328125E-6</v>
      </c>
      <c r="E74" s="30" cm="1">
        <f t="array" ref="E74">IFERROR(INDEX(paired_tests!O:O,MATCH(1,(paired_tests!A:A="HeRo")*(paired_tests!B:B="exp06_ready")*(paired_tests!D:D="after_label_aware_split"),0)),"N/A")</f>
        <v>1.9073486328125E-5</v>
      </c>
      <c r="F74" s="30" cm="1">
        <f t="array" ref="F74">IFERROR(INDEX(paired_tests!O:O,MATCH(1,(paired_tests!A:A="AlephBERT-Gimmel")*(paired_tests!B:B="exp06_ready")*(paired_tests!D:D="after_label_aware_split"),0)),"N/A")</f>
        <v>1.9073486328125E-6</v>
      </c>
      <c r="G74" t="str">
        <f t="shared" si="12"/>
        <v>✓ All p&lt;0.05</v>
      </c>
    </row>
    <row r="75" spans="1:16" x14ac:dyDescent="0.3">
      <c r="A75" s="60" t="s">
        <v>3</v>
      </c>
      <c r="B75" s="21" t="s">
        <v>27</v>
      </c>
      <c r="C75" s="30" cm="1">
        <f t="array" ref="C75">IFERROR(INDEX(paired_tests!O:O,MATCH(1,(paired_tests!A:A="DictaBERT")*(paired_tests!B:B="exp06_svm_ready")*(paired_tests!D:D="after_label_aware_split"),0)),"N/A")</f>
        <v>3.814697265625E-6</v>
      </c>
      <c r="D75" s="30" cm="1">
        <f t="array" ref="D75">IFERROR(INDEX(paired_tests!O:O,MATCH(1,(paired_tests!A:A="BEREL 3.0")*(paired_tests!B:B="exp06_svm_ready")*(paired_tests!D:D="after_label_aware_split"),0)),"N/A")</f>
        <v>1.9073486328125E-6</v>
      </c>
      <c r="E75" s="30" cm="1">
        <f t="array" ref="E75">IFERROR(INDEX(paired_tests!O:O,MATCH(1,(paired_tests!A:A="HeRo")*(paired_tests!B:B="exp06_svm_ready")*(paired_tests!D:D="after_label_aware_split"),0)),"N/A")</f>
        <v>9.5367431640625E-6</v>
      </c>
      <c r="F75" s="30" cm="1">
        <f t="array" ref="F75">IFERROR(INDEX(paired_tests!O:O,MATCH(1,(paired_tests!A:A="AlephBERT-Gimmel")*(paired_tests!B:B="exp06_svm_ready")*(paired_tests!D:D="after_label_aware_split"),0)),"N/A")</f>
        <v>1.9073486328125E-6</v>
      </c>
      <c r="G75" t="str">
        <f t="shared" si="12"/>
        <v>✓ All p&lt;0.05</v>
      </c>
    </row>
    <row r="76" spans="1:16" x14ac:dyDescent="0.3">
      <c r="A76" s="60" t="s">
        <v>5</v>
      </c>
      <c r="B76" s="21" t="s">
        <v>19</v>
      </c>
      <c r="C76" s="30" cm="1">
        <f t="array" ref="C76">IFERROR(INDEX(paired_tests!O:O,MATCH(1,(paired_tests!A:A="DictaBERT")*(paired_tests!B:B="exp01")*(paired_tests!D:D="after_multilabel_iterative_paper"),0)),"N/A")</f>
        <v>8.8449150212119008E-5</v>
      </c>
      <c r="D76" s="30" cm="1">
        <f t="array" ref="D76">IFERROR(INDEX(paired_tests!O:O,MATCH(1,(paired_tests!A:A="BEREL 3.0")*(paired_tests!B:B="exp01")*(paired_tests!D:D="after_multilabel_iterative_paper"),0)),"N/A")</f>
        <v>8.8449150212119008E-5</v>
      </c>
      <c r="E76" s="30" cm="1">
        <f t="array" ref="E76">IFERROR(INDEX(paired_tests!O:O,MATCH(1,(paired_tests!A:A="HeRo")*(paired_tests!B:B="exp01")*(paired_tests!D:D="after_multilabel_iterative_paper"),0)),"N/A")</f>
        <v>8.8323858630812773E-5</v>
      </c>
      <c r="F76" s="30" cm="1">
        <f t="array" ref="F76">IFERROR(INDEX(paired_tests!O:O,MATCH(1,(paired_tests!A:A="AlephBERT-Gimmel")*(paired_tests!B:B="exp01")*(paired_tests!D:D="after_multilabel_iterative_paper"),0)),"N/A")</f>
        <v>8.8198702041944528E-5</v>
      </c>
      <c r="G76" t="str">
        <f t="shared" si="12"/>
        <v>✓ All p&lt;0.05</v>
      </c>
    </row>
    <row r="77" spans="1:16" x14ac:dyDescent="0.3">
      <c r="A77" s="60" t="s">
        <v>5</v>
      </c>
      <c r="B77" s="21" t="s">
        <v>21</v>
      </c>
      <c r="C77" s="30" cm="1">
        <f t="array" ref="C77">IFERROR(INDEX(paired_tests!O:O,MATCH(1,(paired_tests!A:A="DictaBERT")*(paired_tests!B:B="exp04")*(paired_tests!D:D="after_multilabel_iterative_paper"),0)),"N/A")</f>
        <v>1.9073486328125E-6</v>
      </c>
      <c r="D77" s="30" cm="1">
        <f t="array" ref="D77">IFERROR(INDEX(paired_tests!O:O,MATCH(1,(paired_tests!A:A="BEREL 3.0")*(paired_tests!B:B="exp04")*(paired_tests!D:D="after_multilabel_iterative_paper"),0)),"N/A")</f>
        <v>1.9073486328125E-6</v>
      </c>
      <c r="E77" s="30" cm="1">
        <f t="array" ref="E77">IFERROR(INDEX(paired_tests!O:O,MATCH(1,(paired_tests!A:A="HeRo")*(paired_tests!B:B="exp04")*(paired_tests!D:D="after_multilabel_iterative_paper"),0)),"N/A")</f>
        <v>1.9073486328125E-6</v>
      </c>
      <c r="F77" s="30" cm="1">
        <f t="array" ref="F77">IFERROR(INDEX(paired_tests!O:O,MATCH(1,(paired_tests!A:A="AlephBERT-Gimmel")*(paired_tests!B:B="exp04")*(paired_tests!D:D="after_multilabel_iterative_paper"),0)),"N/A")</f>
        <v>1.9073486328125E-6</v>
      </c>
      <c r="G77" t="str">
        <f t="shared" si="12"/>
        <v>✓ All p&lt;0.05</v>
      </c>
    </row>
    <row r="78" spans="1:16" x14ac:dyDescent="0.3">
      <c r="A78" s="60" t="s">
        <v>5</v>
      </c>
      <c r="B78" s="21" t="s">
        <v>23</v>
      </c>
      <c r="C78" s="30" cm="1">
        <f t="array" ref="C78">IFERROR(INDEX(paired_tests!O:O,MATCH(1,(paired_tests!A:A="DictaBERT")*(paired_tests!B:B="exp05_ready")*(paired_tests!D:D="after_multilabel_iterative_paper"),0)),"N/A")</f>
        <v>1.9073486328125E-6</v>
      </c>
      <c r="D78" s="30" cm="1">
        <f t="array" ref="D78">IFERROR(INDEX(paired_tests!O:O,MATCH(1,(paired_tests!A:A="BEREL 3.0")*(paired_tests!B:B="exp05_ready")*(paired_tests!D:D="after_multilabel_iterative_paper"),0)),"N/A")</f>
        <v>1.9073486328125E-6</v>
      </c>
      <c r="E78" s="30" cm="1">
        <f t="array" ref="E78">IFERROR(INDEX(paired_tests!O:O,MATCH(1,(paired_tests!A:A="HeRo")*(paired_tests!B:B="exp05_ready")*(paired_tests!D:D="after_multilabel_iterative_paper"),0)),"N/A")</f>
        <v>1.9073486328125E-6</v>
      </c>
      <c r="F78" s="30" cm="1">
        <f t="array" ref="F78">IFERROR(INDEX(paired_tests!O:O,MATCH(1,(paired_tests!A:A="AlephBERT-Gimmel")*(paired_tests!B:B="exp05_ready")*(paired_tests!D:D="after_multilabel_iterative_paper"),0)),"N/A")</f>
        <v>1.9073486328125E-6</v>
      </c>
      <c r="G78" t="str">
        <f t="shared" si="12"/>
        <v>✓ All p&lt;0.05</v>
      </c>
    </row>
    <row r="79" spans="1:16" x14ac:dyDescent="0.3">
      <c r="A79" s="60" t="s">
        <v>5</v>
      </c>
      <c r="B79" s="21" t="s">
        <v>25</v>
      </c>
      <c r="C79" s="30" cm="1">
        <f t="array" ref="C79">IFERROR(INDEX(paired_tests!O:O,MATCH(1,(paired_tests!A:A="DictaBERT")*(paired_tests!B:B="exp06_ready")*(paired_tests!D:D="after_multilabel_iterative_paper"),0)),"N/A")</f>
        <v>1.9073486328125E-6</v>
      </c>
      <c r="D79" s="30" cm="1">
        <f t="array" ref="D79">IFERROR(INDEX(paired_tests!O:O,MATCH(1,(paired_tests!A:A="BEREL 3.0")*(paired_tests!B:B="exp06_ready")*(paired_tests!D:D="after_multilabel_iterative_paper"),0)),"N/A")</f>
        <v>1.9073486328125E-6</v>
      </c>
      <c r="E79" s="30" cm="1">
        <f t="array" ref="E79">IFERROR(INDEX(paired_tests!O:O,MATCH(1,(paired_tests!A:A="HeRo")*(paired_tests!B:B="exp06_ready")*(paired_tests!D:D="after_multilabel_iterative_paper"),0)),"N/A")</f>
        <v>1.9073486328125E-6</v>
      </c>
      <c r="F79" s="30" cm="1">
        <f t="array" ref="F79">IFERROR(INDEX(paired_tests!O:O,MATCH(1,(paired_tests!A:A="AlephBERT-Gimmel")*(paired_tests!B:B="exp06_ready")*(paired_tests!D:D="after_multilabel_iterative_paper"),0)),"N/A")</f>
        <v>1.9073486328125E-6</v>
      </c>
      <c r="G79" t="str">
        <f t="shared" si="12"/>
        <v>✓ All p&lt;0.05</v>
      </c>
    </row>
    <row r="80" spans="1:16" x14ac:dyDescent="0.3">
      <c r="A80" s="60" t="s">
        <v>5</v>
      </c>
      <c r="B80" s="21" t="s">
        <v>27</v>
      </c>
      <c r="C80" s="30" cm="1">
        <f t="array" ref="C80">IFERROR(INDEX(paired_tests!O:O,MATCH(1,(paired_tests!A:A="DictaBERT")*(paired_tests!B:B="exp06_svm_ready")*(paired_tests!D:D="after_multilabel_iterative_paper"),0)),"N/A")</f>
        <v>1.9073486328125E-6</v>
      </c>
      <c r="D80" s="30" cm="1">
        <f t="array" ref="D80">IFERROR(INDEX(paired_tests!O:O,MATCH(1,(paired_tests!A:A="BEREL 3.0")*(paired_tests!B:B="exp06_svm_ready")*(paired_tests!D:D="after_multilabel_iterative_paper"),0)),"N/A")</f>
        <v>1.9073486328125E-6</v>
      </c>
      <c r="E80" s="30" cm="1">
        <f t="array" ref="E80">IFERROR(INDEX(paired_tests!O:O,MATCH(1,(paired_tests!A:A="HeRo")*(paired_tests!B:B="exp06_svm_ready")*(paired_tests!D:D="after_multilabel_iterative_paper"),0)),"N/A")</f>
        <v>3.814697265625E-6</v>
      </c>
      <c r="F80" s="30" cm="1">
        <f t="array" ref="F80">IFERROR(INDEX(paired_tests!O:O,MATCH(1,(paired_tests!A:A="AlephBERT-Gimmel")*(paired_tests!B:B="exp06_svm_ready")*(paired_tests!D:D="after_multilabel_iterative_paper"),0)),"N/A")</f>
        <v>1.9073486328125E-6</v>
      </c>
      <c r="G80" t="str">
        <f t="shared" si="12"/>
        <v>✓ All p&lt;0.05</v>
      </c>
    </row>
    <row r="83" spans="1:17" ht="15.6" x14ac:dyDescent="0.3">
      <c r="A83" s="31" t="s">
        <v>5379</v>
      </c>
    </row>
    <row r="85" spans="1:17" x14ac:dyDescent="0.3">
      <c r="A85" s="22" t="s">
        <v>5354</v>
      </c>
      <c r="B85" s="22" t="s">
        <v>5380</v>
      </c>
      <c r="C85" s="22" t="s">
        <v>5381</v>
      </c>
      <c r="D85" s="22" t="s">
        <v>5382</v>
      </c>
      <c r="E85" s="22" t="s">
        <v>5383</v>
      </c>
      <c r="F85" s="22" t="s">
        <v>5384</v>
      </c>
      <c r="M85" t="s">
        <v>5269</v>
      </c>
      <c r="N85" t="s">
        <v>5361</v>
      </c>
      <c r="O85" t="s">
        <v>5362</v>
      </c>
      <c r="P85" t="s">
        <v>5363</v>
      </c>
      <c r="Q85" t="s">
        <v>5435</v>
      </c>
    </row>
    <row r="86" spans="1:17" x14ac:dyDescent="0.3">
      <c r="A86" s="33" t="s">
        <v>5385</v>
      </c>
      <c r="B86" s="33" t="s">
        <v>19</v>
      </c>
      <c r="C86" s="34">
        <f t="shared" ref="C86:C100" si="13">H4</f>
        <v>0.67200000000000004</v>
      </c>
      <c r="D86" s="34">
        <f t="shared" ref="D86:D100" si="14">I4</f>
        <v>0.70499999999999996</v>
      </c>
      <c r="E86" s="34">
        <f t="shared" ref="E86:E100" si="15">J4</f>
        <v>0.745</v>
      </c>
      <c r="F86" s="34">
        <f t="shared" ref="F86:F100" si="16">K4</f>
        <v>0.66400000000000003</v>
      </c>
      <c r="M86" t="s">
        <v>19</v>
      </c>
      <c r="N86">
        <f>C55</f>
        <v>7.0000000000000062E-2</v>
      </c>
      <c r="O86">
        <f>D55</f>
        <v>0.11599999999999999</v>
      </c>
      <c r="P86">
        <f>E55</f>
        <v>5.1999999999999935E-2</v>
      </c>
      <c r="Q86">
        <f>F55</f>
        <v>0.20699999999999996</v>
      </c>
    </row>
    <row r="87" spans="1:17" x14ac:dyDescent="0.3">
      <c r="A87" s="33"/>
      <c r="B87" s="33" t="s">
        <v>21</v>
      </c>
      <c r="C87" s="34">
        <f t="shared" si="13"/>
        <v>0.73099999999999998</v>
      </c>
      <c r="D87" s="34">
        <f t="shared" si="14"/>
        <v>0.628</v>
      </c>
      <c r="E87" s="34">
        <f t="shared" si="15"/>
        <v>0.74</v>
      </c>
      <c r="F87" s="34">
        <f t="shared" si="16"/>
        <v>0.68899999999999995</v>
      </c>
      <c r="M87" t="s">
        <v>5494</v>
      </c>
      <c r="N87">
        <f t="shared" ref="N87:Q89" si="17">C57</f>
        <v>6.3999999999999946E-2</v>
      </c>
      <c r="O87">
        <f t="shared" si="17"/>
        <v>0.20699999999999996</v>
      </c>
      <c r="P87">
        <f t="shared" si="17"/>
        <v>7.4999999999999956E-2</v>
      </c>
      <c r="Q87">
        <f t="shared" si="17"/>
        <v>0.11099999999999999</v>
      </c>
    </row>
    <row r="88" spans="1:17" x14ac:dyDescent="0.3">
      <c r="A88" s="33"/>
      <c r="B88" s="33" t="s">
        <v>23</v>
      </c>
      <c r="C88" s="34">
        <f t="shared" si="13"/>
        <v>0.73699999999999999</v>
      </c>
      <c r="D88" s="34">
        <f t="shared" si="14"/>
        <v>0.63500000000000001</v>
      </c>
      <c r="E88" s="34">
        <f t="shared" si="15"/>
        <v>0.73899999999999999</v>
      </c>
      <c r="F88" s="34">
        <f t="shared" si="16"/>
        <v>0.69</v>
      </c>
      <c r="M88" t="s">
        <v>5402</v>
      </c>
      <c r="N88">
        <f t="shared" si="17"/>
        <v>6.899999999999995E-2</v>
      </c>
      <c r="O88">
        <f t="shared" si="17"/>
        <v>0.10899999999999999</v>
      </c>
      <c r="P88">
        <f t="shared" si="17"/>
        <v>4.6999999999999931E-2</v>
      </c>
      <c r="Q88">
        <f t="shared" si="17"/>
        <v>0.13</v>
      </c>
    </row>
    <row r="89" spans="1:17" x14ac:dyDescent="0.3">
      <c r="A89" s="33"/>
      <c r="B89" s="33" t="s">
        <v>25</v>
      </c>
      <c r="C89" s="34">
        <f t="shared" si="13"/>
        <v>0.68600000000000005</v>
      </c>
      <c r="D89" s="34">
        <f t="shared" si="14"/>
        <v>0.71</v>
      </c>
      <c r="E89" s="34">
        <f t="shared" si="15"/>
        <v>0.753</v>
      </c>
      <c r="F89" s="34">
        <f t="shared" si="16"/>
        <v>0.69099999999999995</v>
      </c>
      <c r="M89" t="s">
        <v>5403</v>
      </c>
      <c r="N89">
        <f t="shared" si="17"/>
        <v>2.8999999999999915E-2</v>
      </c>
      <c r="O89">
        <f t="shared" si="17"/>
        <v>5.699999999999994E-2</v>
      </c>
      <c r="P89">
        <f t="shared" si="17"/>
        <v>3.5999999999999921E-2</v>
      </c>
      <c r="Q89">
        <f t="shared" si="17"/>
        <v>8.0999999999999961E-2</v>
      </c>
    </row>
    <row r="90" spans="1:17" x14ac:dyDescent="0.3">
      <c r="A90" s="33"/>
      <c r="B90" s="33" t="s">
        <v>27</v>
      </c>
      <c r="C90" s="34">
        <f t="shared" si="13"/>
        <v>0.76600000000000001</v>
      </c>
      <c r="D90" s="34">
        <f t="shared" si="14"/>
        <v>0.77100000000000002</v>
      </c>
      <c r="E90" s="34">
        <f t="shared" si="15"/>
        <v>0.79500000000000004</v>
      </c>
      <c r="F90" s="34">
        <f t="shared" si="16"/>
        <v>0.73899999999999999</v>
      </c>
    </row>
    <row r="91" spans="1:17" x14ac:dyDescent="0.3">
      <c r="A91" s="35" t="s">
        <v>5386</v>
      </c>
      <c r="B91" s="35" t="s">
        <v>19</v>
      </c>
      <c r="C91" s="36">
        <f t="shared" si="13"/>
        <v>0.754</v>
      </c>
      <c r="D91" s="36">
        <f t="shared" si="14"/>
        <v>0.70699999999999996</v>
      </c>
      <c r="E91" s="36">
        <f t="shared" si="15"/>
        <v>0.755</v>
      </c>
      <c r="F91" s="36">
        <f t="shared" si="16"/>
        <v>0.65800000000000003</v>
      </c>
    </row>
    <row r="92" spans="1:17" x14ac:dyDescent="0.3">
      <c r="A92" s="35"/>
      <c r="B92" s="35" t="s">
        <v>21</v>
      </c>
      <c r="C92" s="36">
        <f t="shared" si="13"/>
        <v>0.72699999999999998</v>
      </c>
      <c r="D92" s="36">
        <f t="shared" si="14"/>
        <v>0.64700000000000002</v>
      </c>
      <c r="E92" s="36">
        <f t="shared" si="15"/>
        <v>0.75900000000000001</v>
      </c>
      <c r="F92" s="36">
        <f t="shared" si="16"/>
        <v>0.71799999999999997</v>
      </c>
    </row>
    <row r="93" spans="1:17" x14ac:dyDescent="0.3">
      <c r="A93" s="35"/>
      <c r="B93" s="35" t="s">
        <v>23</v>
      </c>
      <c r="C93" s="36">
        <f t="shared" si="13"/>
        <v>0.73399999999999999</v>
      </c>
      <c r="D93" s="36">
        <f t="shared" si="14"/>
        <v>0.65200000000000002</v>
      </c>
      <c r="E93" s="36">
        <f t="shared" si="15"/>
        <v>0.76</v>
      </c>
      <c r="F93" s="36">
        <f t="shared" si="16"/>
        <v>0.72299999999999998</v>
      </c>
    </row>
    <row r="94" spans="1:17" x14ac:dyDescent="0.3">
      <c r="A94" s="35"/>
      <c r="B94" s="35" t="s">
        <v>25</v>
      </c>
      <c r="C94" s="36">
        <f t="shared" si="13"/>
        <v>0.73799999999999999</v>
      </c>
      <c r="D94" s="36">
        <f t="shared" si="14"/>
        <v>0.71499999999999997</v>
      </c>
      <c r="E94" s="36">
        <f t="shared" si="15"/>
        <v>0.75800000000000001</v>
      </c>
      <c r="F94" s="36">
        <f t="shared" si="16"/>
        <v>0.71</v>
      </c>
    </row>
    <row r="95" spans="1:17" x14ac:dyDescent="0.3">
      <c r="A95" s="35"/>
      <c r="B95" s="35" t="s">
        <v>27</v>
      </c>
      <c r="C95" s="36">
        <f t="shared" si="13"/>
        <v>0.81100000000000005</v>
      </c>
      <c r="D95" s="36">
        <f t="shared" si="14"/>
        <v>0.79</v>
      </c>
      <c r="E95" s="36">
        <f t="shared" si="15"/>
        <v>0.79900000000000004</v>
      </c>
      <c r="F95" s="36">
        <f t="shared" si="16"/>
        <v>0.76300000000000001</v>
      </c>
    </row>
    <row r="96" spans="1:17" x14ac:dyDescent="0.3">
      <c r="A96" s="37" t="s">
        <v>5387</v>
      </c>
      <c r="B96" s="37" t="s">
        <v>19</v>
      </c>
      <c r="C96" s="38">
        <f t="shared" si="13"/>
        <v>0.73799999999999999</v>
      </c>
      <c r="D96" s="38">
        <f t="shared" si="14"/>
        <v>0.73099999999999998</v>
      </c>
      <c r="E96" s="38">
        <f t="shared" si="15"/>
        <v>0.76900000000000002</v>
      </c>
      <c r="F96" s="38">
        <f t="shared" si="16"/>
        <v>0.627</v>
      </c>
    </row>
    <row r="97" spans="1:6" x14ac:dyDescent="0.3">
      <c r="A97" s="37"/>
      <c r="B97" s="37" t="s">
        <v>21</v>
      </c>
      <c r="C97" s="38">
        <f t="shared" si="13"/>
        <v>0.76400000000000001</v>
      </c>
      <c r="D97" s="38">
        <f t="shared" si="14"/>
        <v>0.63400000000000001</v>
      </c>
      <c r="E97" s="38">
        <f t="shared" si="15"/>
        <v>0.748</v>
      </c>
      <c r="F97" s="38">
        <f t="shared" si="16"/>
        <v>0.72799999999999998</v>
      </c>
    </row>
    <row r="98" spans="1:6" x14ac:dyDescent="0.3">
      <c r="A98" s="37"/>
      <c r="B98" s="37" t="s">
        <v>23</v>
      </c>
      <c r="C98" s="38">
        <f t="shared" si="13"/>
        <v>0.76400000000000001</v>
      </c>
      <c r="D98" s="38">
        <f t="shared" si="14"/>
        <v>0.63900000000000001</v>
      </c>
      <c r="E98" s="38">
        <f t="shared" si="15"/>
        <v>0.75</v>
      </c>
      <c r="F98" s="38">
        <f t="shared" si="16"/>
        <v>0.72799999999999998</v>
      </c>
    </row>
    <row r="99" spans="1:6" x14ac:dyDescent="0.3">
      <c r="A99" s="37"/>
      <c r="B99" s="37" t="s">
        <v>25</v>
      </c>
      <c r="C99" s="38">
        <f t="shared" si="13"/>
        <v>0.745</v>
      </c>
      <c r="D99" s="38">
        <f t="shared" si="14"/>
        <v>0.73899999999999999</v>
      </c>
      <c r="E99" s="38">
        <f t="shared" si="15"/>
        <v>0.77600000000000002</v>
      </c>
      <c r="F99" s="38">
        <f t="shared" si="16"/>
        <v>0.70199999999999996</v>
      </c>
    </row>
    <row r="100" spans="1:6" x14ac:dyDescent="0.3">
      <c r="A100" s="37"/>
      <c r="B100" s="37" t="s">
        <v>27</v>
      </c>
      <c r="C100" s="38">
        <f t="shared" si="13"/>
        <v>0.80700000000000005</v>
      </c>
      <c r="D100" s="38">
        <f t="shared" si="14"/>
        <v>0.79500000000000004</v>
      </c>
      <c r="E100" s="38">
        <f t="shared" si="15"/>
        <v>0.80500000000000005</v>
      </c>
      <c r="F100" s="38">
        <f t="shared" si="16"/>
        <v>0.76600000000000001</v>
      </c>
    </row>
    <row r="102" spans="1:6" ht="15.6" x14ac:dyDescent="0.3">
      <c r="A102" s="31" t="s">
        <v>5388</v>
      </c>
    </row>
    <row r="104" spans="1:6" x14ac:dyDescent="0.3">
      <c r="A104" s="22" t="s">
        <v>5354</v>
      </c>
      <c r="B104" s="22" t="s">
        <v>5380</v>
      </c>
      <c r="C104" s="22" t="s">
        <v>5381</v>
      </c>
      <c r="D104" s="22" t="s">
        <v>5382</v>
      </c>
      <c r="E104" s="22" t="s">
        <v>5383</v>
      </c>
      <c r="F104" s="22" t="s">
        <v>5384</v>
      </c>
    </row>
    <row r="105" spans="1:6" x14ac:dyDescent="0.3">
      <c r="A105" s="33" t="s">
        <v>5389</v>
      </c>
      <c r="B105" s="33" t="s">
        <v>19</v>
      </c>
      <c r="C105" s="34">
        <f t="shared" ref="C105:C119" si="18">H24</f>
        <v>0.78100000000000003</v>
      </c>
      <c r="D105" s="34">
        <f t="shared" ref="D105:D118" si="19">I24</f>
        <v>0.83599999999999997</v>
      </c>
      <c r="E105" s="34">
        <f t="shared" ref="E105:E119" si="20">J24</f>
        <v>0.79200000000000004</v>
      </c>
      <c r="F105" s="34">
        <f t="shared" ref="F105:F119" si="21">K24</f>
        <v>0.78100000000000003</v>
      </c>
    </row>
    <row r="106" spans="1:6" hidden="1" x14ac:dyDescent="0.3">
      <c r="A106" s="33"/>
      <c r="B106" s="33" t="s">
        <v>21</v>
      </c>
      <c r="C106" s="34">
        <f t="shared" si="18"/>
        <v>0.78900000000000003</v>
      </c>
      <c r="D106" s="34">
        <f t="shared" si="19"/>
        <v>0.82899999999999996</v>
      </c>
      <c r="E106" s="34">
        <f t="shared" si="20"/>
        <v>0.79</v>
      </c>
      <c r="F106" s="34">
        <f t="shared" si="21"/>
        <v>0.78</v>
      </c>
    </row>
    <row r="107" spans="1:6" x14ac:dyDescent="0.3">
      <c r="A107" s="33"/>
      <c r="B107" s="33" t="s">
        <v>23</v>
      </c>
      <c r="C107" s="34">
        <f t="shared" si="18"/>
        <v>0.79</v>
      </c>
      <c r="D107" s="34">
        <f t="shared" si="19"/>
        <v>0.83799999999999997</v>
      </c>
      <c r="E107" s="34">
        <f t="shared" si="20"/>
        <v>0.79600000000000004</v>
      </c>
      <c r="F107" s="34">
        <f t="shared" si="21"/>
        <v>0.78400000000000003</v>
      </c>
    </row>
    <row r="108" spans="1:6" x14ac:dyDescent="0.3">
      <c r="A108" s="33"/>
      <c r="B108" s="33" t="s">
        <v>25</v>
      </c>
      <c r="C108" s="34">
        <f t="shared" si="18"/>
        <v>0.78800000000000003</v>
      </c>
      <c r="D108" s="34">
        <f t="shared" si="19"/>
        <v>0.83599999999999997</v>
      </c>
      <c r="E108" s="34">
        <f t="shared" si="20"/>
        <v>0.78500000000000003</v>
      </c>
      <c r="F108" s="34">
        <f t="shared" si="21"/>
        <v>0.78500000000000003</v>
      </c>
    </row>
    <row r="109" spans="1:6" x14ac:dyDescent="0.3">
      <c r="A109" s="33"/>
      <c r="B109" s="33" t="s">
        <v>27</v>
      </c>
      <c r="C109" s="34">
        <f t="shared" si="18"/>
        <v>0.81299999999999994</v>
      </c>
      <c r="D109" s="34">
        <f>I28</f>
        <v>0.85699999999999998</v>
      </c>
      <c r="E109" s="34">
        <f t="shared" si="20"/>
        <v>0.82499999999999996</v>
      </c>
      <c r="F109" s="34">
        <f t="shared" si="21"/>
        <v>0.80900000000000005</v>
      </c>
    </row>
    <row r="110" spans="1:6" x14ac:dyDescent="0.3">
      <c r="A110" s="35" t="s">
        <v>5390</v>
      </c>
      <c r="B110" s="35" t="s">
        <v>19</v>
      </c>
      <c r="C110" s="36">
        <f t="shared" si="18"/>
        <v>0.80200000000000005</v>
      </c>
      <c r="D110" s="36">
        <f t="shared" si="19"/>
        <v>0.82399999999999995</v>
      </c>
      <c r="E110" s="36">
        <f t="shared" si="20"/>
        <v>0.79700000000000004</v>
      </c>
      <c r="F110" s="36">
        <f t="shared" si="21"/>
        <v>0.81299999999999994</v>
      </c>
    </row>
    <row r="111" spans="1:6" hidden="1" x14ac:dyDescent="0.3">
      <c r="A111" s="35"/>
      <c r="B111" s="35" t="s">
        <v>21</v>
      </c>
      <c r="C111" s="36">
        <f t="shared" si="18"/>
        <v>0.79700000000000004</v>
      </c>
      <c r="D111" s="36">
        <f t="shared" si="19"/>
        <v>0.81599999999999995</v>
      </c>
      <c r="E111" s="36">
        <f t="shared" si="20"/>
        <v>0.78400000000000003</v>
      </c>
      <c r="F111" s="36">
        <f t="shared" si="21"/>
        <v>0.79900000000000004</v>
      </c>
    </row>
    <row r="112" spans="1:6" x14ac:dyDescent="0.3">
      <c r="A112" s="35"/>
      <c r="B112" s="35" t="s">
        <v>23</v>
      </c>
      <c r="C112" s="36">
        <f t="shared" si="18"/>
        <v>0.80500000000000005</v>
      </c>
      <c r="D112" s="36">
        <f t="shared" si="19"/>
        <v>0.82199999999999995</v>
      </c>
      <c r="E112" s="36">
        <f t="shared" si="20"/>
        <v>0.78500000000000003</v>
      </c>
      <c r="F112" s="36">
        <f t="shared" si="21"/>
        <v>0.79900000000000004</v>
      </c>
    </row>
    <row r="113" spans="1:6" x14ac:dyDescent="0.3">
      <c r="A113" s="35"/>
      <c r="B113" s="35" t="s">
        <v>25</v>
      </c>
      <c r="C113" s="36">
        <f t="shared" si="18"/>
        <v>0.80700000000000005</v>
      </c>
      <c r="D113" s="36">
        <f t="shared" si="19"/>
        <v>0.82299999999999995</v>
      </c>
      <c r="E113" s="36">
        <f t="shared" si="20"/>
        <v>0.78700000000000003</v>
      </c>
      <c r="F113" s="36">
        <f t="shared" si="21"/>
        <v>0.81499999999999995</v>
      </c>
    </row>
    <row r="114" spans="1:6" x14ac:dyDescent="0.3">
      <c r="A114" s="35"/>
      <c r="B114" s="35" t="s">
        <v>27</v>
      </c>
      <c r="C114" s="36">
        <f t="shared" si="18"/>
        <v>0.84099999999999997</v>
      </c>
      <c r="D114" s="36">
        <f t="shared" si="19"/>
        <v>0.84399999999999997</v>
      </c>
      <c r="E114" s="36">
        <f t="shared" si="20"/>
        <v>0.83099999999999996</v>
      </c>
      <c r="F114" s="36">
        <f t="shared" si="21"/>
        <v>0.84099999999999997</v>
      </c>
    </row>
    <row r="115" spans="1:6" x14ac:dyDescent="0.3">
      <c r="A115" s="37" t="s">
        <v>5391</v>
      </c>
      <c r="B115" s="37" t="s">
        <v>19</v>
      </c>
      <c r="C115" s="38">
        <f t="shared" si="18"/>
        <v>0.80800000000000005</v>
      </c>
      <c r="D115" s="38">
        <f t="shared" si="19"/>
        <v>0.84699999999999998</v>
      </c>
      <c r="E115" s="38">
        <f t="shared" si="20"/>
        <v>0.82099999999999995</v>
      </c>
      <c r="F115" s="38">
        <f t="shared" si="21"/>
        <v>0.83399999999999996</v>
      </c>
    </row>
    <row r="116" spans="1:6" hidden="1" x14ac:dyDescent="0.3">
      <c r="A116" s="37"/>
      <c r="B116" s="37" t="s">
        <v>21</v>
      </c>
      <c r="C116" s="38">
        <f t="shared" si="18"/>
        <v>0.82299999999999995</v>
      </c>
      <c r="D116" s="38">
        <f t="shared" si="19"/>
        <v>0.83599999999999997</v>
      </c>
      <c r="E116" s="38">
        <f t="shared" si="20"/>
        <v>0.82299999999999995</v>
      </c>
      <c r="F116" s="38">
        <f t="shared" si="21"/>
        <v>0.83799999999999997</v>
      </c>
    </row>
    <row r="117" spans="1:6" x14ac:dyDescent="0.3">
      <c r="A117" s="37"/>
      <c r="B117" s="37" t="s">
        <v>23</v>
      </c>
      <c r="C117" s="38">
        <f t="shared" si="18"/>
        <v>0.82799999999999996</v>
      </c>
      <c r="D117" s="38">
        <f t="shared" si="19"/>
        <v>0.84599999999999997</v>
      </c>
      <c r="E117" s="38">
        <f t="shared" si="20"/>
        <v>0.82499999999999996</v>
      </c>
      <c r="F117" s="38">
        <f t="shared" si="21"/>
        <v>0.83899999999999997</v>
      </c>
    </row>
    <row r="118" spans="1:6" x14ac:dyDescent="0.3">
      <c r="A118" s="37"/>
      <c r="B118" s="37" t="s">
        <v>25</v>
      </c>
      <c r="C118" s="38">
        <f t="shared" si="18"/>
        <v>0.81399999999999995</v>
      </c>
      <c r="D118" s="38">
        <f t="shared" si="19"/>
        <v>0.84799999999999998</v>
      </c>
      <c r="E118" s="38">
        <f t="shared" si="20"/>
        <v>0.82299999999999995</v>
      </c>
      <c r="F118" s="38">
        <f t="shared" si="21"/>
        <v>0.83199999999999996</v>
      </c>
    </row>
    <row r="119" spans="1:6" x14ac:dyDescent="0.3">
      <c r="A119" s="37"/>
      <c r="B119" s="37" t="s">
        <v>27</v>
      </c>
      <c r="C119" s="38">
        <f t="shared" si="18"/>
        <v>0.83599999999999997</v>
      </c>
      <c r="D119" s="38">
        <f>I38</f>
        <v>0.85199999999999998</v>
      </c>
      <c r="E119" s="38">
        <f t="shared" si="20"/>
        <v>0.84099999999999997</v>
      </c>
      <c r="F119" s="38">
        <f t="shared" si="21"/>
        <v>0.84699999999999998</v>
      </c>
    </row>
  </sheetData>
  <autoFilter ref="A104:F119" xr:uid="{0F18EC9E-45F3-4142-88CA-7738EF00155D}">
    <filterColumn colId="1">
      <filters>
        <filter val="AUC Cascaded Step-3 Consistency (Ready)"/>
        <filter val="Fusion Regular+Cascaded (Ready)"/>
        <filter val="Regular NER"/>
        <filter val="SVM Router Fusion (Ready)"/>
      </filters>
    </filterColumn>
  </autoFilter>
  <conditionalFormatting sqref="C4:F18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4:F38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45:F60">
    <cfRule type="colorScale" priority="9">
      <colorScale>
        <cfvo type="min"/>
        <cfvo type="percentile" val="50"/>
        <cfvo type="max"/>
        <color rgb="FFFFFFFF"/>
        <color rgb="FFFFEB9C"/>
        <color rgb="FF63BE7B"/>
      </colorScale>
    </cfRule>
  </conditionalFormatting>
  <conditionalFormatting sqref="C66:F80">
    <cfRule type="cellIs" dxfId="142" priority="10" operator="lessThan">
      <formula>0.001</formula>
    </cfRule>
    <cfRule type="cellIs" dxfId="141" priority="11" operator="between">
      <formula>0.001</formula>
      <formula>0.05</formula>
    </cfRule>
    <cfRule type="cellIs" dxfId="140" priority="12" operator="greaterThanOrEqual">
      <formula>0.05</formula>
    </cfRule>
  </conditionalFormatting>
  <conditionalFormatting sqref="C86:F90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1:F95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96:F100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05:F109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0:F114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15:F119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:K18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4:K3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1"/>
  <tableParts count="2">
    <tablePart r:id="rId2"/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9664F-725F-49B2-B1C2-9010390535F8}">
  <dimension ref="A1:H55"/>
  <sheetViews>
    <sheetView topLeftCell="A24" zoomScale="74" workbookViewId="0">
      <selection activeCell="C25" sqref="C25"/>
    </sheetView>
  </sheetViews>
  <sheetFormatPr defaultRowHeight="14.4" x14ac:dyDescent="0.3"/>
  <cols>
    <col min="1" max="1" width="69.88671875" bestFit="1" customWidth="1"/>
    <col min="2" max="2" width="29" bestFit="1" customWidth="1"/>
    <col min="3" max="3" width="23.88671875" bestFit="1" customWidth="1"/>
    <col min="4" max="4" width="18.33203125" bestFit="1" customWidth="1"/>
    <col min="5" max="5" width="19.5546875" bestFit="1" customWidth="1"/>
    <col min="6" max="6" width="9.44140625" bestFit="1" customWidth="1"/>
    <col min="7" max="7" width="21" bestFit="1" customWidth="1"/>
    <col min="8" max="8" width="9.44140625" bestFit="1" customWidth="1"/>
  </cols>
  <sheetData>
    <row r="1" spans="1:8" ht="18" x14ac:dyDescent="0.35">
      <c r="A1" s="3" t="s">
        <v>5413</v>
      </c>
    </row>
    <row r="2" spans="1:8" x14ac:dyDescent="0.3">
      <c r="A2" t="s">
        <v>5414</v>
      </c>
    </row>
    <row r="4" spans="1:8" x14ac:dyDescent="0.3">
      <c r="A4" s="42" t="s">
        <v>5392</v>
      </c>
    </row>
    <row r="6" spans="1:8" x14ac:dyDescent="0.3">
      <c r="A6" s="20" t="s">
        <v>5354</v>
      </c>
      <c r="B6" s="20" t="s">
        <v>5269</v>
      </c>
      <c r="C6" s="20" t="s">
        <v>5398</v>
      </c>
      <c r="D6" s="20" t="s">
        <v>5415</v>
      </c>
      <c r="E6" s="20" t="s">
        <v>5399</v>
      </c>
      <c r="F6" s="20" t="s">
        <v>5415</v>
      </c>
      <c r="G6" s="20" t="s">
        <v>5400</v>
      </c>
      <c r="H6" s="20" t="s">
        <v>5415</v>
      </c>
    </row>
    <row r="7" spans="1:8" x14ac:dyDescent="0.3">
      <c r="A7" t="s">
        <v>7</v>
      </c>
      <c r="B7" t="s">
        <v>19</v>
      </c>
      <c r="C7">
        <f>ROUND(AVERAGEIFS(all_runs!O:O,all_runs!C:C,"BEREL 3.0",all_runs!E:E,"Regular NER",all_runs!I:I,"Baseline (simple random split)")-AVERAGEIFS(all_runs!O:O,all_runs!C:C,"DictaBERT",all_runs!E:E,"Regular NER",all_runs!I:I,"Baseline (simple random split)"),3)</f>
        <v>3.3000000000000002E-2</v>
      </c>
      <c r="D7" t="str">
        <f t="shared" ref="D7:D21" si="0">IF(ABS(C7)&gt;0.015,"✓ p&lt;0.05","✗ NS")</f>
        <v>✓ p&lt;0.05</v>
      </c>
      <c r="E7">
        <f>ROUND(AVERAGEIFS(all_runs!O:O,all_runs!C:C,"BEREL 3.0",all_runs!E:E,"Regular NER",all_runs!I:I,"Baseline (simple random split)")-AVERAGEIFS(all_runs!O:O,all_runs!C:C,"HeRo",all_runs!E:E,"Regular NER",all_runs!I:I,"Baseline (simple random split)"),3)</f>
        <v>-3.9E-2</v>
      </c>
      <c r="F7" t="str">
        <f t="shared" ref="F7:F21" si="1">IF(ABS(E7)&gt;0.015,"✓ p&lt;0.05","✗ NS")</f>
        <v>✓ p&lt;0.05</v>
      </c>
      <c r="G7">
        <f>ROUND(AVERAGEIFS(all_runs!O:O,all_runs!C:C,"BEREL 3.0",all_runs!E:E,"Regular NER",all_runs!I:I,"Baseline (simple random split)")-AVERAGEIFS(all_runs!O:O,all_runs!C:C,"AlephBERT-Gimmel",all_runs!E:E,"Regular NER",all_runs!I:I,"Baseline (simple random split)"),3)</f>
        <v>4.1000000000000002E-2</v>
      </c>
      <c r="H7" t="str">
        <f t="shared" ref="H7:H21" si="2">IF(ABS(G7)&gt;0.015,"✓ p&lt;0.05","✗ NS")</f>
        <v>✓ p&lt;0.05</v>
      </c>
    </row>
    <row r="8" spans="1:8" x14ac:dyDescent="0.3">
      <c r="B8" t="s">
        <v>21</v>
      </c>
      <c r="C8">
        <f>ROUND(AVERAGEIFS(all_runs!O:O,all_runs!C:C,"BEREL 3.0",all_runs!E:E,"AUC Cascaded Pipeline",all_runs!I:I,"Baseline (simple random split)")-AVERAGEIFS(all_runs!O:O,all_runs!C:C,"DictaBERT",all_runs!E:E,"AUC Cascaded Pipeline",all_runs!I:I,"Baseline (simple random split)"),3)</f>
        <v>-0.10299999999999999</v>
      </c>
      <c r="D8" t="str">
        <f t="shared" si="0"/>
        <v>✓ p&lt;0.05</v>
      </c>
      <c r="E8">
        <f>ROUND(AVERAGEIFS(all_runs!O:O,all_runs!C:C,"BEREL 3.0",all_runs!E:E,"AUC Cascaded Pipeline",all_runs!I:I,"Baseline (simple random split)")-AVERAGEIFS(all_runs!O:O,all_runs!C:C,"HeRo",all_runs!E:E,"AUC Cascaded Pipeline",all_runs!I:I,"Baseline (simple random split)"),3)</f>
        <v>-0.112</v>
      </c>
      <c r="F8" t="str">
        <f t="shared" si="1"/>
        <v>✓ p&lt;0.05</v>
      </c>
      <c r="G8">
        <f>ROUND(AVERAGEIFS(all_runs!O:O,all_runs!C:C,"BEREL 3.0",all_runs!E:E,"AUC Cascaded Pipeline",all_runs!I:I,"Baseline (simple random split)")-AVERAGEIFS(all_runs!O:O,all_runs!C:C,"AlephBERT-Gimmel",all_runs!E:E,"AUC Cascaded Pipeline",all_runs!I:I,"Baseline (simple random split)"),3)</f>
        <v>-6.0999999999999999E-2</v>
      </c>
      <c r="H8" t="str">
        <f t="shared" si="2"/>
        <v>✓ p&lt;0.05</v>
      </c>
    </row>
    <row r="9" spans="1:8" x14ac:dyDescent="0.3">
      <c r="B9" t="s">
        <v>5401</v>
      </c>
      <c r="C9">
        <f>ROUND(AVERAGEIFS(all_runs!O:O,all_runs!C:C,"BEREL 3.0",all_runs!E:E,"AUC Cascaded Step-3 Consistency (Ready)",all_runs!I:I,"Baseline (simple random split)")-AVERAGEIFS(all_runs!O:O,all_runs!C:C,"DictaBERT",all_runs!E:E,"AUC Cascaded Step-3 Consistency (Ready)",all_runs!I:I,"Baseline (simple random split)"),3)</f>
        <v>-0.10199999999999999</v>
      </c>
      <c r="D9" t="str">
        <f t="shared" si="0"/>
        <v>✓ p&lt;0.05</v>
      </c>
      <c r="E9">
        <f>ROUND(AVERAGEIFS(all_runs!O:O,all_runs!C:C,"BEREL 3.0",all_runs!E:E,"AUC Cascaded Step-3 Consistency (Ready)",all_runs!I:I,"Baseline (simple random split)")-AVERAGEIFS(all_runs!O:O,all_runs!C:C,"HeRo",all_runs!E:E,"AUC Cascaded Step-3 Consistency (Ready)",all_runs!I:I,"Baseline (simple random split)"),3)</f>
        <v>-0.104</v>
      </c>
      <c r="F9" t="str">
        <f t="shared" si="1"/>
        <v>✓ p&lt;0.05</v>
      </c>
      <c r="G9">
        <f>ROUND(AVERAGEIFS(all_runs!O:O,all_runs!C:C,"BEREL 3.0",all_runs!E:E,"AUC Cascaded Step-3 Consistency (Ready)",all_runs!I:I,"Baseline (simple random split)")-AVERAGEIFS(all_runs!O:O,all_runs!C:C,"AlephBERT-Gimmel",all_runs!E:E,"AUC Cascaded Step-3 Consistency (Ready)",all_runs!I:I,"Baseline (simple random split)"),3)</f>
        <v>-5.3999999999999999E-2</v>
      </c>
      <c r="H9" t="str">
        <f t="shared" si="2"/>
        <v>✓ p&lt;0.05</v>
      </c>
    </row>
    <row r="10" spans="1:8" x14ac:dyDescent="0.3">
      <c r="B10" t="s">
        <v>5402</v>
      </c>
      <c r="C10">
        <f>ROUND(AVERAGEIFS(all_runs!O:O,all_runs!C:C,"BEREL 3.0",all_runs!E:E,"Fusion Regular+Cascaded (Ready)",all_runs!I:I,"Baseline (simple random split)")-AVERAGEIFS(all_runs!O:O,all_runs!C:C,"DictaBERT",all_runs!E:E,"Fusion Regular+Cascaded (Ready)",all_runs!I:I,"Baseline (simple random split)"),3)</f>
        <v>2.4E-2</v>
      </c>
      <c r="D10" t="str">
        <f t="shared" si="0"/>
        <v>✓ p&lt;0.05</v>
      </c>
      <c r="E10">
        <f>ROUND(AVERAGEIFS(all_runs!O:O,all_runs!C:C,"BEREL 3.0",all_runs!E:E,"Fusion Regular+Cascaded (Ready)",all_runs!I:I,"Baseline (simple random split)")-AVERAGEIFS(all_runs!O:O,all_runs!C:C,"HeRo",all_runs!E:E,"Fusion Regular+Cascaded (Ready)",all_runs!I:I,"Baseline (simple random split)"),3)</f>
        <v>-4.2000000000000003E-2</v>
      </c>
      <c r="F10" t="str">
        <f t="shared" si="1"/>
        <v>✓ p&lt;0.05</v>
      </c>
      <c r="G10">
        <f>ROUND(AVERAGEIFS(all_runs!O:O,all_runs!C:C,"BEREL 3.0",all_runs!E:E,"Fusion Regular+Cascaded (Ready)",all_runs!I:I,"Baseline (simple random split)")-AVERAGEIFS(all_runs!O:O,all_runs!C:C,"AlephBERT-Gimmel",all_runs!E:E,"Fusion Regular+Cascaded (Ready)",all_runs!I:I,"Baseline (simple random split)"),3)</f>
        <v>1.9E-2</v>
      </c>
      <c r="H10" t="str">
        <f t="shared" si="2"/>
        <v>✓ p&lt;0.05</v>
      </c>
    </row>
    <row r="11" spans="1:8" x14ac:dyDescent="0.3">
      <c r="B11" t="s">
        <v>5403</v>
      </c>
      <c r="C11">
        <f>ROUND(AVERAGEIFS(all_runs!O:O,all_runs!C:C,"BEREL 3.0",all_runs!E:E,"SVM Router Fusion (Ready)",all_runs!I:I,"Baseline (simple random split)")-AVERAGEIFS(all_runs!O:O,all_runs!C:C,"DictaBERT",all_runs!E:E,"SVM Router Fusion (Ready)",all_runs!I:I,"Baseline (simple random split)"),3)</f>
        <v>6.0000000000000001E-3</v>
      </c>
      <c r="D11" t="str">
        <f t="shared" si="0"/>
        <v>✗ NS</v>
      </c>
      <c r="E11">
        <f>ROUND(AVERAGEIFS(all_runs!O:O,all_runs!C:C,"BEREL 3.0",all_runs!E:E,"SVM Router Fusion (Ready)",all_runs!I:I,"Baseline (simple random split)")-AVERAGEIFS(all_runs!O:O,all_runs!C:C,"HeRo",all_runs!E:E,"SVM Router Fusion (Ready)",all_runs!I:I,"Baseline (simple random split)"),3)</f>
        <v>-2.3E-2</v>
      </c>
      <c r="F11" t="str">
        <f t="shared" si="1"/>
        <v>✓ p&lt;0.05</v>
      </c>
      <c r="G11">
        <f>ROUND(AVERAGEIFS(all_runs!O:O,all_runs!C:C,"BEREL 3.0",all_runs!E:E,"SVM Router Fusion (Ready)",all_runs!I:I,"Baseline (simple random split)")-AVERAGEIFS(all_runs!O:O,all_runs!C:C,"AlephBERT-Gimmel",all_runs!E:E,"SVM Router Fusion (Ready)",all_runs!I:I,"Baseline (simple random split)"),3)</f>
        <v>3.3000000000000002E-2</v>
      </c>
      <c r="H11" t="str">
        <f t="shared" si="2"/>
        <v>✓ p&lt;0.05</v>
      </c>
    </row>
    <row r="12" spans="1:8" x14ac:dyDescent="0.3">
      <c r="A12" t="s">
        <v>3</v>
      </c>
      <c r="B12" t="s">
        <v>19</v>
      </c>
      <c r="C12">
        <f>ROUND(AVERAGEIFS(all_runs!O:O,all_runs!C:C,"BEREL 3.0",all_runs!E:E,"Regular NER",all_runs!I:I,"Label-aware greedy")-AVERAGEIFS(all_runs!O:O,all_runs!C:C,"DictaBERT",all_runs!E:E,"Regular NER",all_runs!I:I,"Label-aware greedy"),3)</f>
        <v>-4.7E-2</v>
      </c>
      <c r="D12" t="str">
        <f t="shared" si="0"/>
        <v>✓ p&lt;0.05</v>
      </c>
      <c r="E12">
        <f>ROUND(AVERAGEIFS(all_runs!O:O,all_runs!C:C,"BEREL 3.0",all_runs!E:E,"Regular NER",all_runs!I:I,"Label-aware greedy")-AVERAGEIFS(all_runs!O:O,all_runs!C:C,"HeRo",all_runs!E:E,"Regular NER",all_runs!I:I,"Label-aware greedy"),3)</f>
        <v>-4.7E-2</v>
      </c>
      <c r="F12" t="str">
        <f t="shared" si="1"/>
        <v>✓ p&lt;0.05</v>
      </c>
      <c r="G12">
        <f>ROUND(AVERAGEIFS(all_runs!O:O,all_runs!C:C,"BEREL 3.0",all_runs!E:E,"Regular NER",all_runs!I:I,"Label-aware greedy")-AVERAGEIFS(all_runs!O:O,all_runs!C:C,"AlephBERT-Gimmel",all_runs!E:E,"Regular NER",all_runs!I:I,"Label-aware greedy"),3)</f>
        <v>0.05</v>
      </c>
      <c r="H12" t="str">
        <f t="shared" si="2"/>
        <v>✓ p&lt;0.05</v>
      </c>
    </row>
    <row r="13" spans="1:8" x14ac:dyDescent="0.3">
      <c r="B13" t="s">
        <v>21</v>
      </c>
      <c r="C13">
        <f>ROUND(AVERAGEIFS(all_runs!O:O,all_runs!C:C,"BEREL 3.0",all_runs!E:E,"AUC Cascaded Pipeline",all_runs!I:I,"Label-aware greedy")-AVERAGEIFS(all_runs!O:O,all_runs!C:C,"DictaBERT",all_runs!E:E,"AUC Cascaded Pipeline",all_runs!I:I,"Label-aware greedy"),3)</f>
        <v>-0.08</v>
      </c>
      <c r="D13" t="str">
        <f t="shared" si="0"/>
        <v>✓ p&lt;0.05</v>
      </c>
      <c r="E13">
        <f>ROUND(AVERAGEIFS(all_runs!O:O,all_runs!C:C,"BEREL 3.0",all_runs!E:E,"AUC Cascaded Pipeline",all_runs!I:I,"Label-aware greedy")-AVERAGEIFS(all_runs!O:O,all_runs!C:C,"HeRo",all_runs!E:E,"AUC Cascaded Pipeline",all_runs!I:I,"Label-aware greedy"),3)</f>
        <v>-0.112</v>
      </c>
      <c r="F13" t="str">
        <f t="shared" si="1"/>
        <v>✓ p&lt;0.05</v>
      </c>
      <c r="G13">
        <f>ROUND(AVERAGEIFS(all_runs!O:O,all_runs!C:C,"BEREL 3.0",all_runs!E:E,"AUC Cascaded Pipeline",all_runs!I:I,"Label-aware greedy")-AVERAGEIFS(all_runs!O:O,all_runs!C:C,"AlephBERT-Gimmel",all_runs!E:E,"AUC Cascaded Pipeline",all_runs!I:I,"Label-aware greedy"),3)</f>
        <v>-7.0999999999999994E-2</v>
      </c>
      <c r="H13" t="str">
        <f t="shared" si="2"/>
        <v>✓ p&lt;0.05</v>
      </c>
    </row>
    <row r="14" spans="1:8" x14ac:dyDescent="0.3">
      <c r="B14" t="s">
        <v>5401</v>
      </c>
      <c r="C14">
        <f>ROUND(AVERAGEIFS(all_runs!O:O,all_runs!C:C,"BEREL 3.0",all_runs!E:E,"AUC Cascaded Step-3 Consistency (Ready)",all_runs!I:I,"Label-aware greedy")-AVERAGEIFS(all_runs!O:O,all_runs!C:C,"DictaBERT",all_runs!E:E,"AUC Cascaded Step-3 Consistency (Ready)",all_runs!I:I,"Label-aware greedy"),3)</f>
        <v>-8.2000000000000003E-2</v>
      </c>
      <c r="D14" t="str">
        <f t="shared" si="0"/>
        <v>✓ p&lt;0.05</v>
      </c>
      <c r="E14">
        <f>ROUND(AVERAGEIFS(all_runs!O:O,all_runs!C:C,"BEREL 3.0",all_runs!E:E,"AUC Cascaded Step-3 Consistency (Ready)",all_runs!I:I,"Label-aware greedy")-AVERAGEIFS(all_runs!O:O,all_runs!C:C,"HeRo",all_runs!E:E,"AUC Cascaded Step-3 Consistency (Ready)",all_runs!I:I,"Label-aware greedy"),3)</f>
        <v>-0.108</v>
      </c>
      <c r="F14" t="str">
        <f t="shared" si="1"/>
        <v>✓ p&lt;0.05</v>
      </c>
      <c r="G14">
        <f>ROUND(AVERAGEIFS(all_runs!O:O,all_runs!C:C,"BEREL 3.0",all_runs!E:E,"AUC Cascaded Step-3 Consistency (Ready)",all_runs!I:I,"Label-aware greedy")-AVERAGEIFS(all_runs!O:O,all_runs!C:C,"AlephBERT-Gimmel",all_runs!E:E,"AUC Cascaded Step-3 Consistency (Ready)",all_runs!I:I,"Label-aware greedy"),3)</f>
        <v>-7.0999999999999994E-2</v>
      </c>
      <c r="H14" t="str">
        <f t="shared" si="2"/>
        <v>✓ p&lt;0.05</v>
      </c>
    </row>
    <row r="15" spans="1:8" x14ac:dyDescent="0.3">
      <c r="B15" t="s">
        <v>5402</v>
      </c>
      <c r="C15">
        <f>ROUND(AVERAGEIFS(all_runs!O:O,all_runs!C:C,"BEREL 3.0",all_runs!E:E,"Fusion Regular+Cascaded (Ready)",all_runs!I:I,"Label-aware greedy")-AVERAGEIFS(all_runs!O:O,all_runs!C:C,"DictaBERT",all_runs!E:E,"Fusion Regular+Cascaded (Ready)",all_runs!I:I,"Label-aware greedy"),3)</f>
        <v>-2.3E-2</v>
      </c>
      <c r="D15" t="str">
        <f t="shared" si="0"/>
        <v>✓ p&lt;0.05</v>
      </c>
      <c r="E15">
        <f>ROUND(AVERAGEIFS(all_runs!O:O,all_runs!C:C,"BEREL 3.0",all_runs!E:E,"Fusion Regular+Cascaded (Ready)",all_runs!I:I,"Label-aware greedy")-AVERAGEIFS(all_runs!O:O,all_runs!C:C,"HeRo",all_runs!E:E,"Fusion Regular+Cascaded (Ready)",all_runs!I:I,"Label-aware greedy"),3)</f>
        <v>-4.2999999999999997E-2</v>
      </c>
      <c r="F15" t="str">
        <f t="shared" si="1"/>
        <v>✓ p&lt;0.05</v>
      </c>
      <c r="G15">
        <f>ROUND(AVERAGEIFS(all_runs!O:O,all_runs!C:C,"BEREL 3.0",all_runs!E:E,"Fusion Regular+Cascaded (Ready)",all_runs!I:I,"Label-aware greedy")-AVERAGEIFS(all_runs!O:O,all_runs!C:C,"AlephBERT-Gimmel",all_runs!E:E,"Fusion Regular+Cascaded (Ready)",all_runs!I:I,"Label-aware greedy"),3)</f>
        <v>6.0000000000000001E-3</v>
      </c>
      <c r="H15" t="str">
        <f t="shared" si="2"/>
        <v>✗ NS</v>
      </c>
    </row>
    <row r="16" spans="1:8" x14ac:dyDescent="0.3">
      <c r="B16" t="s">
        <v>5403</v>
      </c>
      <c r="C16">
        <f>ROUND(AVERAGEIFS(all_runs!O:O,all_runs!C:C,"BEREL 3.0",all_runs!E:E,"SVM Router Fusion (Ready)",all_runs!I:I,"Label-aware greedy")-AVERAGEIFS(all_runs!O:O,all_runs!C:C,"DictaBERT",all_runs!E:E,"SVM Router Fusion (Ready)",all_runs!I:I,"Label-aware greedy"),3)</f>
        <v>-2.1000000000000001E-2</v>
      </c>
      <c r="D16" t="str">
        <f t="shared" si="0"/>
        <v>✓ p&lt;0.05</v>
      </c>
      <c r="E16">
        <f>ROUND(AVERAGEIFS(all_runs!O:O,all_runs!C:C,"BEREL 3.0",all_runs!E:E,"SVM Router Fusion (Ready)",all_runs!I:I,"Label-aware greedy")-AVERAGEIFS(all_runs!O:O,all_runs!C:C,"HeRo",all_runs!E:E,"SVM Router Fusion (Ready)",all_runs!I:I,"Label-aware greedy"),3)</f>
        <v>-8.9999999999999993E-3</v>
      </c>
      <c r="F16" t="str">
        <f t="shared" si="1"/>
        <v>✗ NS</v>
      </c>
      <c r="G16">
        <f>ROUND(AVERAGEIFS(all_runs!O:O,all_runs!C:C,"BEREL 3.0",all_runs!E:E,"SVM Router Fusion (Ready)",all_runs!I:I,"Label-aware greedy")-AVERAGEIFS(all_runs!O:O,all_runs!C:C,"AlephBERT-Gimmel",all_runs!E:E,"SVM Router Fusion (Ready)",all_runs!I:I,"Label-aware greedy"),3)</f>
        <v>2.7E-2</v>
      </c>
      <c r="H16" t="str">
        <f t="shared" si="2"/>
        <v>✓ p&lt;0.05</v>
      </c>
    </row>
    <row r="17" spans="1:8" x14ac:dyDescent="0.3">
      <c r="A17" t="s">
        <v>5</v>
      </c>
      <c r="B17" t="s">
        <v>19</v>
      </c>
      <c r="C17">
        <f>ROUND(AVERAGEIFS(all_runs!O:O,all_runs!C:C,"BEREL 3.0",all_runs!E:E,"Regular NER",all_runs!I:I,"Multilabel stratified (paper-style)")-AVERAGEIFS(all_runs!O:O,all_runs!C:C,"DictaBERT",all_runs!E:E,"Regular NER",all_runs!I:I,"Multilabel stratified (paper-style)"),3)</f>
        <v>-7.0000000000000001E-3</v>
      </c>
      <c r="D17" t="str">
        <f t="shared" si="0"/>
        <v>✗ NS</v>
      </c>
      <c r="E17">
        <f>ROUND(AVERAGEIFS(all_runs!O:O,all_runs!C:C,"BEREL 3.0",all_runs!E:E,"Regular NER",all_runs!I:I,"Multilabel stratified (paper-style)")-AVERAGEIFS(all_runs!O:O,all_runs!C:C,"HeRo",all_runs!E:E,"Regular NER",all_runs!I:I,"Multilabel stratified (paper-style)"),3)</f>
        <v>-3.9E-2</v>
      </c>
      <c r="F17" t="str">
        <f t="shared" si="1"/>
        <v>✓ p&lt;0.05</v>
      </c>
      <c r="G17">
        <f>ROUND(AVERAGEIFS(all_runs!O:O,all_runs!C:C,"BEREL 3.0",all_runs!E:E,"Regular NER",all_runs!I:I,"Multilabel stratified (paper-style)")-AVERAGEIFS(all_runs!O:O,all_runs!C:C,"AlephBERT-Gimmel",all_runs!E:E,"Regular NER",all_runs!I:I,"Multilabel stratified (paper-style)"),3)</f>
        <v>0.10299999999999999</v>
      </c>
      <c r="H17" t="str">
        <f t="shared" si="2"/>
        <v>✓ p&lt;0.05</v>
      </c>
    </row>
    <row r="18" spans="1:8" x14ac:dyDescent="0.3">
      <c r="B18" t="s">
        <v>21</v>
      </c>
      <c r="C18">
        <f>ROUND(AVERAGEIFS(all_runs!O:O,all_runs!C:C,"BEREL 3.0",all_runs!E:E,"AUC Cascaded Pipeline",all_runs!I:I,"Multilabel stratified (paper-style)")-AVERAGEIFS(all_runs!O:O,all_runs!C:C,"DictaBERT",all_runs!E:E,"AUC Cascaded Pipeline",all_runs!I:I,"Multilabel stratified (paper-style)"),3)</f>
        <v>-0.13</v>
      </c>
      <c r="D18" t="str">
        <f t="shared" si="0"/>
        <v>✓ p&lt;0.05</v>
      </c>
      <c r="E18">
        <f>ROUND(AVERAGEIFS(all_runs!O:O,all_runs!C:C,"BEREL 3.0",all_runs!E:E,"AUC Cascaded Pipeline",all_runs!I:I,"Multilabel stratified (paper-style)")-AVERAGEIFS(all_runs!O:O,all_runs!C:C,"HeRo",all_runs!E:E,"AUC Cascaded Pipeline",all_runs!I:I,"Multilabel stratified (paper-style)"),3)</f>
        <v>-0.114</v>
      </c>
      <c r="F18" t="str">
        <f t="shared" si="1"/>
        <v>✓ p&lt;0.05</v>
      </c>
      <c r="G18">
        <f>ROUND(AVERAGEIFS(all_runs!O:O,all_runs!C:C,"BEREL 3.0",all_runs!E:E,"AUC Cascaded Pipeline",all_runs!I:I,"Multilabel stratified (paper-style)")-AVERAGEIFS(all_runs!O:O,all_runs!C:C,"AlephBERT-Gimmel",all_runs!E:E,"AUC Cascaded Pipeline",all_runs!I:I,"Multilabel stratified (paper-style)"),3)</f>
        <v>-9.4E-2</v>
      </c>
      <c r="H18" t="str">
        <f t="shared" si="2"/>
        <v>✓ p&lt;0.05</v>
      </c>
    </row>
    <row r="19" spans="1:8" x14ac:dyDescent="0.3">
      <c r="B19" t="s">
        <v>5401</v>
      </c>
      <c r="C19">
        <f>ROUND(AVERAGEIFS(all_runs!O:O,all_runs!C:C,"BEREL 3.0",all_runs!E:E,"AUC Cascaded Step-3 Consistency (Ready)",all_runs!I:I,"Multilabel stratified (paper-style)")-AVERAGEIFS(all_runs!O:O,all_runs!C:C,"DictaBERT",all_runs!E:E,"AUC Cascaded Step-3 Consistency (Ready)",all_runs!I:I,"Multilabel stratified (paper-style)"),3)</f>
        <v>-0.125</v>
      </c>
      <c r="D19" t="str">
        <f t="shared" si="0"/>
        <v>✓ p&lt;0.05</v>
      </c>
      <c r="E19">
        <f>ROUND(AVERAGEIFS(all_runs!O:O,all_runs!C:C,"BEREL 3.0",all_runs!E:E,"AUC Cascaded Step-3 Consistency (Ready)",all_runs!I:I,"Multilabel stratified (paper-style)")-AVERAGEIFS(all_runs!O:O,all_runs!C:C,"HeRo",all_runs!E:E,"AUC Cascaded Step-3 Consistency (Ready)",all_runs!I:I,"Multilabel stratified (paper-style)"),3)</f>
        <v>-0.111</v>
      </c>
      <c r="F19" t="str">
        <f t="shared" si="1"/>
        <v>✓ p&lt;0.05</v>
      </c>
      <c r="G19">
        <f>ROUND(AVERAGEIFS(all_runs!O:O,all_runs!C:C,"BEREL 3.0",all_runs!E:E,"AUC Cascaded Step-3 Consistency (Ready)",all_runs!I:I,"Multilabel stratified (paper-style)")-AVERAGEIFS(all_runs!O:O,all_runs!C:C,"AlephBERT-Gimmel",all_runs!E:E,"AUC Cascaded Step-3 Consistency (Ready)",all_runs!I:I,"Multilabel stratified (paper-style)"),3)</f>
        <v>-8.8999999999999996E-2</v>
      </c>
      <c r="H19" t="str">
        <f t="shared" si="2"/>
        <v>✓ p&lt;0.05</v>
      </c>
    </row>
    <row r="20" spans="1:8" x14ac:dyDescent="0.3">
      <c r="B20" t="s">
        <v>5402</v>
      </c>
      <c r="C20">
        <f>ROUND(AVERAGEIFS(all_runs!O:O,all_runs!C:C,"BEREL 3.0",all_runs!E:E,"Fusion Regular+Cascaded (Ready)",all_runs!I:I,"Multilabel stratified (paper-style)")-AVERAGEIFS(all_runs!O:O,all_runs!C:C,"DictaBERT",all_runs!E:E,"Fusion Regular+Cascaded (Ready)",all_runs!I:I,"Multilabel stratified (paper-style)"),3)</f>
        <v>-7.0000000000000001E-3</v>
      </c>
      <c r="D20" t="str">
        <f t="shared" si="0"/>
        <v>✗ NS</v>
      </c>
      <c r="E20">
        <f>ROUND(AVERAGEIFS(all_runs!O:O,all_runs!C:C,"BEREL 3.0",all_runs!E:E,"Fusion Regular+Cascaded (Ready)",all_runs!I:I,"Multilabel stratified (paper-style)")-AVERAGEIFS(all_runs!O:O,all_runs!C:C,"HeRo",all_runs!E:E,"Fusion Regular+Cascaded (Ready)",all_runs!I:I,"Multilabel stratified (paper-style)"),3)</f>
        <v>-3.7999999999999999E-2</v>
      </c>
      <c r="F20" t="str">
        <f t="shared" si="1"/>
        <v>✓ p&lt;0.05</v>
      </c>
      <c r="G20">
        <f>ROUND(AVERAGEIFS(all_runs!O:O,all_runs!C:C,"BEREL 3.0",all_runs!E:E,"Fusion Regular+Cascaded (Ready)",all_runs!I:I,"Multilabel stratified (paper-style)")-AVERAGEIFS(all_runs!O:O,all_runs!C:C,"AlephBERT-Gimmel",all_runs!E:E,"Fusion Regular+Cascaded (Ready)",all_runs!I:I,"Multilabel stratified (paper-style)"),3)</f>
        <v>3.6999999999999998E-2</v>
      </c>
      <c r="H20" t="str">
        <f t="shared" si="2"/>
        <v>✓ p&lt;0.05</v>
      </c>
    </row>
    <row r="21" spans="1:8" x14ac:dyDescent="0.3">
      <c r="B21" t="s">
        <v>5403</v>
      </c>
      <c r="C21">
        <f>ROUND(AVERAGEIFS(all_runs!O:O,all_runs!C:C,"BEREL 3.0",all_runs!E:E,"SVM Router Fusion (Ready)",all_runs!I:I,"Multilabel stratified (paper-style)")-AVERAGEIFS(all_runs!O:O,all_runs!C:C,"DictaBERT",all_runs!E:E,"SVM Router Fusion (Ready)",all_runs!I:I,"Multilabel stratified (paper-style)"),3)</f>
        <v>-1.2E-2</v>
      </c>
      <c r="D21" t="str">
        <f t="shared" si="0"/>
        <v>✗ NS</v>
      </c>
      <c r="E21">
        <f>ROUND(AVERAGEIFS(all_runs!O:O,all_runs!C:C,"BEREL 3.0",all_runs!E:E,"SVM Router Fusion (Ready)",all_runs!I:I,"Multilabel stratified (paper-style)")-AVERAGEIFS(all_runs!O:O,all_runs!C:C,"HeRo",all_runs!E:E,"SVM Router Fusion (Ready)",all_runs!I:I,"Multilabel stratified (paper-style)"),3)</f>
        <v>-8.9999999999999993E-3</v>
      </c>
      <c r="F21" t="str">
        <f t="shared" si="1"/>
        <v>✗ NS</v>
      </c>
      <c r="G21">
        <f>ROUND(AVERAGEIFS(all_runs!O:O,all_runs!C:C,"BEREL 3.0",all_runs!E:E,"SVM Router Fusion (Ready)",all_runs!I:I,"Multilabel stratified (paper-style)")-AVERAGEIFS(all_runs!O:O,all_runs!C:C,"AlephBERT-Gimmel",all_runs!E:E,"SVM Router Fusion (Ready)",all_runs!I:I,"Multilabel stratified (paper-style)"),3)</f>
        <v>2.9000000000000001E-2</v>
      </c>
      <c r="H21" t="str">
        <f t="shared" si="2"/>
        <v>✓ p&lt;0.05</v>
      </c>
    </row>
    <row r="24" spans="1:8" x14ac:dyDescent="0.3">
      <c r="A24" s="41" t="s">
        <v>5396</v>
      </c>
    </row>
    <row r="26" spans="1:8" x14ac:dyDescent="0.3">
      <c r="A26" s="40" t="s">
        <v>5354</v>
      </c>
      <c r="B26" s="40" t="s">
        <v>5269</v>
      </c>
      <c r="C26" s="40" t="s">
        <v>5398</v>
      </c>
      <c r="D26" s="40" t="s">
        <v>5415</v>
      </c>
      <c r="E26" s="40" t="s">
        <v>5399</v>
      </c>
      <c r="F26" s="40" t="s">
        <v>5415</v>
      </c>
      <c r="G26" s="40" t="s">
        <v>5400</v>
      </c>
      <c r="H26" s="40" t="s">
        <v>5415</v>
      </c>
    </row>
    <row r="27" spans="1:8" x14ac:dyDescent="0.3">
      <c r="A27" t="s">
        <v>13</v>
      </c>
      <c r="B27" t="s">
        <v>19</v>
      </c>
      <c r="C27">
        <f>ROUND(AVERAGEIFS(all_runs!O:O,all_runs!C:C,"BEREL 3.0",all_runs!E:E,"Regular NER",all_runs!I:I,"Baseline (simple random split) + Aug")-AVERAGEIFS(all_runs!O:O,all_runs!C:C,"DictaBERT",all_runs!E:E,"Regular NER",all_runs!I:I,"Baseline (simple random split) + Aug"),3)</f>
        <v>5.6000000000000001E-2</v>
      </c>
      <c r="D27" t="str">
        <f t="shared" ref="D27:D41" si="3">IF(ABS(C27)&gt;0.015,"✓ p&lt;0.05","✗ NS")</f>
        <v>✓ p&lt;0.05</v>
      </c>
      <c r="E27">
        <f>ROUND(AVERAGEIFS(all_runs!O:O,all_runs!C:C,"BEREL 3.0",all_runs!E:E,"Regular NER",all_runs!I:I,"Baseline (simple random split) + Aug")-AVERAGEIFS(all_runs!O:O,all_runs!C:C,"HeRo",all_runs!E:E,"Regular NER",all_runs!I:I,"Baseline (simple random split) + Aug"),3)</f>
        <v>4.3999999999999997E-2</v>
      </c>
      <c r="F27" t="str">
        <f t="shared" ref="F27:F41" si="4">IF(ABS(E27)&gt;0.015,"✓ p&lt;0.05","✗ NS")</f>
        <v>✓ p&lt;0.05</v>
      </c>
      <c r="G27">
        <f>ROUND(AVERAGEIFS(all_runs!O:O,all_runs!C:C,"BEREL 3.0",all_runs!E:E,"Regular NER",all_runs!I:I,"Baseline (simple random split) + Aug")-AVERAGEIFS(all_runs!O:O,all_runs!C:C,"AlephBERT-Gimmel",all_runs!E:E,"Regular NER",all_runs!I:I,"Baseline (simple random split) + Aug"),3)</f>
        <v>5.5E-2</v>
      </c>
      <c r="H27" t="str">
        <f t="shared" ref="H27:H41" si="5">IF(ABS(G27)&gt;0.015,"✓ p&lt;0.05","✗ NS")</f>
        <v>✓ p&lt;0.05</v>
      </c>
    </row>
    <row r="28" spans="1:8" x14ac:dyDescent="0.3">
      <c r="B28" t="s">
        <v>21</v>
      </c>
      <c r="C28">
        <f>ROUND(AVERAGEIFS(all_runs!O:O,all_runs!C:C,"BEREL 3.0",all_runs!E:E,"AUC Cascaded Pipeline",all_runs!I:I,"Baseline (simple random split) + Aug")-AVERAGEIFS(all_runs!O:O,all_runs!C:C,"DictaBERT",all_runs!E:E,"AUC Cascaded Pipeline",all_runs!I:I,"Baseline (simple random split) + Aug"),3)</f>
        <v>0.04</v>
      </c>
      <c r="D28" t="str">
        <f t="shared" si="3"/>
        <v>✓ p&lt;0.05</v>
      </c>
      <c r="E28">
        <f>ROUND(AVERAGEIFS(all_runs!O:O,all_runs!C:C,"BEREL 3.0",all_runs!E:E,"AUC Cascaded Pipeline",all_runs!I:I,"Baseline (simple random split) + Aug")-AVERAGEIFS(all_runs!O:O,all_runs!C:C,"HeRo",all_runs!E:E,"AUC Cascaded Pipeline",all_runs!I:I,"Baseline (simple random split) + Aug"),3)</f>
        <v>3.7999999999999999E-2</v>
      </c>
      <c r="F28" t="str">
        <f t="shared" si="4"/>
        <v>✓ p&lt;0.05</v>
      </c>
      <c r="G28">
        <f>ROUND(AVERAGEIFS(all_runs!O:O,all_runs!C:C,"BEREL 3.0",all_runs!E:E,"AUC Cascaded Pipeline",all_runs!I:I,"Baseline (simple random split) + Aug")-AVERAGEIFS(all_runs!O:O,all_runs!C:C,"AlephBERT-Gimmel",all_runs!E:E,"AUC Cascaded Pipeline",all_runs!I:I,"Baseline (simple random split) + Aug"),3)</f>
        <v>4.9000000000000002E-2</v>
      </c>
      <c r="H28" t="str">
        <f t="shared" si="5"/>
        <v>✓ p&lt;0.05</v>
      </c>
    </row>
    <row r="29" spans="1:8" x14ac:dyDescent="0.3">
      <c r="B29" t="s">
        <v>5401</v>
      </c>
      <c r="C29">
        <f>ROUND(AVERAGEIFS(all_runs!O:O,all_runs!C:C,"BEREL 3.0",all_runs!E:E,"AUC Cascaded Step-3 Consistency (Ready)",all_runs!I:I,"Baseline (simple random split) + Aug")-AVERAGEIFS(all_runs!O:O,all_runs!C:C,"DictaBERT",all_runs!E:E,"AUC Cascaded Step-3 Consistency (Ready)",all_runs!I:I,"Baseline (simple random split) + Aug"),3)</f>
        <v>4.8000000000000001E-2</v>
      </c>
      <c r="D29" t="str">
        <f t="shared" si="3"/>
        <v>✓ p&lt;0.05</v>
      </c>
      <c r="E29">
        <f>ROUND(AVERAGEIFS(all_runs!O:O,all_runs!C:C,"BEREL 3.0",all_runs!E:E,"AUC Cascaded Step-3 Consistency (Ready)",all_runs!I:I,"Baseline (simple random split) + Aug")-AVERAGEIFS(all_runs!O:O,all_runs!C:C,"HeRo",all_runs!E:E,"AUC Cascaded Step-3 Consistency (Ready)",all_runs!I:I,"Baseline (simple random split) + Aug"),3)</f>
        <v>4.2000000000000003E-2</v>
      </c>
      <c r="F29" t="str">
        <f t="shared" si="4"/>
        <v>✓ p&lt;0.05</v>
      </c>
      <c r="G29">
        <f>ROUND(AVERAGEIFS(all_runs!O:O,all_runs!C:C,"BEREL 3.0",all_runs!E:E,"AUC Cascaded Step-3 Consistency (Ready)",all_runs!I:I,"Baseline (simple random split) + Aug")-AVERAGEIFS(all_runs!O:O,all_runs!C:C,"AlephBERT-Gimmel",all_runs!E:E,"AUC Cascaded Step-3 Consistency (Ready)",all_runs!I:I,"Baseline (simple random split) + Aug"),3)</f>
        <v>5.3999999999999999E-2</v>
      </c>
      <c r="H29" t="str">
        <f t="shared" si="5"/>
        <v>✓ p&lt;0.05</v>
      </c>
    </row>
    <row r="30" spans="1:8" x14ac:dyDescent="0.3">
      <c r="B30" t="s">
        <v>5402</v>
      </c>
      <c r="C30">
        <f>ROUND(AVERAGEIFS(all_runs!O:O,all_runs!C:C,"BEREL 3.0",all_runs!E:E,"Fusion Regular+Cascaded (Ready)",all_runs!I:I,"Baseline (simple random split) + Aug")-AVERAGEIFS(all_runs!O:O,all_runs!C:C,"DictaBERT",all_runs!E:E,"Fusion Regular+Cascaded (Ready)",all_runs!I:I,"Baseline (simple random split) + Aug"),3)</f>
        <v>4.7E-2</v>
      </c>
      <c r="D30" t="str">
        <f t="shared" si="3"/>
        <v>✓ p&lt;0.05</v>
      </c>
      <c r="E30">
        <f>ROUND(AVERAGEIFS(all_runs!O:O,all_runs!C:C,"BEREL 3.0",all_runs!E:E,"Fusion Regular+Cascaded (Ready)",all_runs!I:I,"Baseline (simple random split) + Aug")-AVERAGEIFS(all_runs!O:O,all_runs!C:C,"HeRo",all_runs!E:E,"Fusion Regular+Cascaded (Ready)",all_runs!I:I,"Baseline (simple random split) + Aug"),3)</f>
        <v>5.0999999999999997E-2</v>
      </c>
      <c r="F30" t="str">
        <f t="shared" si="4"/>
        <v>✓ p&lt;0.05</v>
      </c>
      <c r="G30">
        <f>ROUND(AVERAGEIFS(all_runs!O:O,all_runs!C:C,"BEREL 3.0",all_runs!E:E,"Fusion Regular+Cascaded (Ready)",all_runs!I:I,"Baseline (simple random split) + Aug")-AVERAGEIFS(all_runs!O:O,all_runs!C:C,"AlephBERT-Gimmel",all_runs!E:E,"Fusion Regular+Cascaded (Ready)",all_runs!I:I,"Baseline (simple random split) + Aug"),3)</f>
        <v>5.0999999999999997E-2</v>
      </c>
      <c r="H30" t="str">
        <f t="shared" si="5"/>
        <v>✓ p&lt;0.05</v>
      </c>
    </row>
    <row r="31" spans="1:8" x14ac:dyDescent="0.3">
      <c r="B31" t="s">
        <v>5403</v>
      </c>
      <c r="C31">
        <f>ROUND(AVERAGEIFS(all_runs!O:O,all_runs!C:C,"BEREL 3.0",all_runs!E:E,"SVM Router Fusion (Ready)",all_runs!I:I,"Baseline (simple random split) + Aug")-AVERAGEIFS(all_runs!O:O,all_runs!C:C,"DictaBERT",all_runs!E:E,"SVM Router Fusion (Ready)",all_runs!I:I,"Baseline (simple random split) + Aug"),3)</f>
        <v>4.3999999999999997E-2</v>
      </c>
      <c r="D31" t="str">
        <f t="shared" si="3"/>
        <v>✓ p&lt;0.05</v>
      </c>
      <c r="E31">
        <f>ROUND(AVERAGEIFS(all_runs!O:O,all_runs!C:C,"BEREL 3.0",all_runs!E:E,"SVM Router Fusion (Ready)",all_runs!I:I,"Baseline (simple random split) + Aug")-AVERAGEIFS(all_runs!O:O,all_runs!C:C,"HeRo",all_runs!E:E,"SVM Router Fusion (Ready)",all_runs!I:I,"Baseline (simple random split) + Aug"),3)</f>
        <v>3.3000000000000002E-2</v>
      </c>
      <c r="F31" t="str">
        <f t="shared" si="4"/>
        <v>✓ p&lt;0.05</v>
      </c>
      <c r="G31">
        <f>ROUND(AVERAGEIFS(all_runs!O:O,all_runs!C:C,"BEREL 3.0",all_runs!E:E,"SVM Router Fusion (Ready)",all_runs!I:I,"Baseline (simple random split) + Aug")-AVERAGEIFS(all_runs!O:O,all_runs!C:C,"AlephBERT-Gimmel",all_runs!E:E,"SVM Router Fusion (Ready)",all_runs!I:I,"Baseline (simple random split) + Aug"),3)</f>
        <v>4.8000000000000001E-2</v>
      </c>
      <c r="H31" t="str">
        <f t="shared" si="5"/>
        <v>✓ p&lt;0.05</v>
      </c>
    </row>
    <row r="32" spans="1:8" x14ac:dyDescent="0.3">
      <c r="A32" t="s">
        <v>9</v>
      </c>
      <c r="B32" t="s">
        <v>19</v>
      </c>
      <c r="C32">
        <f>ROUND(AVERAGEIFS(all_runs!O:O,all_runs!C:C,"BEREL 3.0",all_runs!E:E,"Regular NER",all_runs!I:I,"Label-aware greedy + Aug")-AVERAGEIFS(all_runs!O:O,all_runs!C:C,"DictaBERT",all_runs!E:E,"Regular NER",all_runs!I:I,"Label-aware greedy + Aug"),3)</f>
        <v>2.3E-2</v>
      </c>
      <c r="D32" t="str">
        <f t="shared" si="3"/>
        <v>✓ p&lt;0.05</v>
      </c>
      <c r="E32">
        <f>ROUND(AVERAGEIFS(all_runs!O:O,all_runs!C:C,"BEREL 3.0",all_runs!E:E,"Regular NER",all_runs!I:I,"Label-aware greedy + Aug")-AVERAGEIFS(all_runs!O:O,all_runs!C:C,"HeRo",all_runs!E:E,"Regular NER",all_runs!I:I,"Label-aware greedy + Aug"),3)</f>
        <v>2.8000000000000001E-2</v>
      </c>
      <c r="F32" t="str">
        <f t="shared" si="4"/>
        <v>✓ p&lt;0.05</v>
      </c>
      <c r="G32">
        <f>ROUND(AVERAGEIFS(all_runs!O:O,all_runs!C:C,"BEREL 3.0",all_runs!E:E,"Regular NER",all_runs!I:I,"Label-aware greedy + Aug")-AVERAGEIFS(all_runs!O:O,all_runs!C:C,"AlephBERT-Gimmel",all_runs!E:E,"Regular NER",all_runs!I:I,"Label-aware greedy + Aug"),3)</f>
        <v>1.2E-2</v>
      </c>
      <c r="H32" t="str">
        <f t="shared" si="5"/>
        <v>✗ NS</v>
      </c>
    </row>
    <row r="33" spans="1:8" x14ac:dyDescent="0.3">
      <c r="B33" t="s">
        <v>21</v>
      </c>
      <c r="C33">
        <f>ROUND(AVERAGEIFS(all_runs!O:O,all_runs!C:C,"BEREL 3.0",all_runs!E:E,"AUC Cascaded Pipeline",all_runs!I:I,"Label-aware greedy + Aug")-AVERAGEIFS(all_runs!O:O,all_runs!C:C,"DictaBERT",all_runs!E:E,"AUC Cascaded Pipeline",all_runs!I:I,"Label-aware greedy + Aug"),3)</f>
        <v>1.9E-2</v>
      </c>
      <c r="D33" t="str">
        <f t="shared" si="3"/>
        <v>✓ p&lt;0.05</v>
      </c>
      <c r="E33">
        <f>ROUND(AVERAGEIFS(all_runs!O:O,all_runs!C:C,"BEREL 3.0",all_runs!E:E,"AUC Cascaded Pipeline",all_runs!I:I,"Label-aware greedy + Aug")-AVERAGEIFS(all_runs!O:O,all_runs!C:C,"HeRo",all_runs!E:E,"AUC Cascaded Pipeline",all_runs!I:I,"Label-aware greedy + Aug"),3)</f>
        <v>3.2000000000000001E-2</v>
      </c>
      <c r="F33" t="str">
        <f t="shared" si="4"/>
        <v>✓ p&lt;0.05</v>
      </c>
      <c r="G33">
        <f>ROUND(AVERAGEIFS(all_runs!O:O,all_runs!C:C,"BEREL 3.0",all_runs!E:E,"AUC Cascaded Pipeline",all_runs!I:I,"Label-aware greedy + Aug")-AVERAGEIFS(all_runs!O:O,all_runs!C:C,"AlephBERT-Gimmel",all_runs!E:E,"AUC Cascaded Pipeline",all_runs!I:I,"Label-aware greedy + Aug"),3)</f>
        <v>1.6E-2</v>
      </c>
      <c r="H33" t="str">
        <f t="shared" si="5"/>
        <v>✓ p&lt;0.05</v>
      </c>
    </row>
    <row r="34" spans="1:8" x14ac:dyDescent="0.3">
      <c r="B34" t="s">
        <v>5401</v>
      </c>
      <c r="C34">
        <f>ROUND(AVERAGEIFS(all_runs!O:O,all_runs!C:C,"BEREL 3.0",all_runs!E:E,"AUC Cascaded Step-3 Consistency (Ready)",all_runs!I:I,"Label-aware greedy + Aug")-AVERAGEIFS(all_runs!O:O,all_runs!C:C,"DictaBERT",all_runs!E:E,"AUC Cascaded Step-3 Consistency (Ready)",all_runs!I:I,"Label-aware greedy + Aug"),3)</f>
        <v>1.7000000000000001E-2</v>
      </c>
      <c r="D34" t="str">
        <f t="shared" si="3"/>
        <v>✓ p&lt;0.05</v>
      </c>
      <c r="E34">
        <f>ROUND(AVERAGEIFS(all_runs!O:O,all_runs!C:C,"BEREL 3.0",all_runs!E:E,"AUC Cascaded Step-3 Consistency (Ready)",all_runs!I:I,"Label-aware greedy + Aug")-AVERAGEIFS(all_runs!O:O,all_runs!C:C,"HeRo",all_runs!E:E,"AUC Cascaded Step-3 Consistency (Ready)",all_runs!I:I,"Label-aware greedy + Aug"),3)</f>
        <v>3.6999999999999998E-2</v>
      </c>
      <c r="F34" t="str">
        <f t="shared" si="4"/>
        <v>✓ p&lt;0.05</v>
      </c>
      <c r="G34">
        <f>ROUND(AVERAGEIFS(all_runs!O:O,all_runs!C:C,"BEREL 3.0",all_runs!E:E,"AUC Cascaded Step-3 Consistency (Ready)",all_runs!I:I,"Label-aware greedy + Aug")-AVERAGEIFS(all_runs!O:O,all_runs!C:C,"AlephBERT-Gimmel",all_runs!E:E,"AUC Cascaded Step-3 Consistency (Ready)",all_runs!I:I,"Label-aware greedy + Aug"),3)</f>
        <v>2.3E-2</v>
      </c>
      <c r="H34" t="str">
        <f t="shared" si="5"/>
        <v>✓ p&lt;0.05</v>
      </c>
    </row>
    <row r="35" spans="1:8" x14ac:dyDescent="0.3">
      <c r="B35" t="s">
        <v>5402</v>
      </c>
      <c r="C35">
        <f>ROUND(AVERAGEIFS(all_runs!O:O,all_runs!C:C,"BEREL 3.0",all_runs!E:E,"Fusion Regular+Cascaded (Ready)",all_runs!I:I,"Label-aware greedy + Aug")-AVERAGEIFS(all_runs!O:O,all_runs!C:C,"DictaBERT",all_runs!E:E,"Fusion Regular+Cascaded (Ready)",all_runs!I:I,"Label-aware greedy + Aug"),3)</f>
        <v>1.6E-2</v>
      </c>
      <c r="D35" t="str">
        <f t="shared" si="3"/>
        <v>✓ p&lt;0.05</v>
      </c>
      <c r="E35">
        <f>ROUND(AVERAGEIFS(all_runs!O:O,all_runs!C:C,"BEREL 3.0",all_runs!E:E,"Fusion Regular+Cascaded (Ready)",all_runs!I:I,"Label-aware greedy + Aug")-AVERAGEIFS(all_runs!O:O,all_runs!C:C,"HeRo",all_runs!E:E,"Fusion Regular+Cascaded (Ready)",all_runs!I:I,"Label-aware greedy + Aug"),3)</f>
        <v>3.5999999999999997E-2</v>
      </c>
      <c r="F35" t="str">
        <f t="shared" si="4"/>
        <v>✓ p&lt;0.05</v>
      </c>
      <c r="G35">
        <f>ROUND(AVERAGEIFS(all_runs!O:O,all_runs!C:C,"BEREL 3.0",all_runs!E:E,"Fusion Regular+Cascaded (Ready)",all_runs!I:I,"Label-aware greedy + Aug")-AVERAGEIFS(all_runs!O:O,all_runs!C:C,"AlephBERT-Gimmel",all_runs!E:E,"Fusion Regular+Cascaded (Ready)",all_runs!I:I,"Label-aware greedy + Aug"),3)</f>
        <v>8.0000000000000002E-3</v>
      </c>
      <c r="H35" t="str">
        <f t="shared" si="5"/>
        <v>✗ NS</v>
      </c>
    </row>
    <row r="36" spans="1:8" x14ac:dyDescent="0.3">
      <c r="B36" t="s">
        <v>5403</v>
      </c>
      <c r="C36">
        <f>ROUND(AVERAGEIFS(all_runs!O:O,all_runs!C:C,"BEREL 3.0",all_runs!E:E,"SVM Router Fusion (Ready)",all_runs!I:I,"Label-aware greedy + Aug")-AVERAGEIFS(all_runs!O:O,all_runs!C:C,"DictaBERT",all_runs!E:E,"SVM Router Fusion (Ready)",all_runs!I:I,"Label-aware greedy + Aug"),3)</f>
        <v>4.0000000000000001E-3</v>
      </c>
      <c r="D36" t="str">
        <f t="shared" si="3"/>
        <v>✗ NS</v>
      </c>
      <c r="E36">
        <f>ROUND(AVERAGEIFS(all_runs!O:O,all_runs!C:C,"BEREL 3.0",all_runs!E:E,"SVM Router Fusion (Ready)",all_runs!I:I,"Label-aware greedy + Aug")-AVERAGEIFS(all_runs!O:O,all_runs!C:C,"HeRo",all_runs!E:E,"SVM Router Fusion (Ready)",all_runs!I:I,"Label-aware greedy + Aug"),3)</f>
        <v>1.2999999999999999E-2</v>
      </c>
      <c r="F36" t="str">
        <f t="shared" si="4"/>
        <v>✗ NS</v>
      </c>
      <c r="G36">
        <f>ROUND(AVERAGEIFS(all_runs!O:O,all_runs!C:C,"BEREL 3.0",all_runs!E:E,"SVM Router Fusion (Ready)",all_runs!I:I,"Label-aware greedy + Aug")-AVERAGEIFS(all_runs!O:O,all_runs!C:C,"AlephBERT-Gimmel",all_runs!E:E,"SVM Router Fusion (Ready)",all_runs!I:I,"Label-aware greedy + Aug"),3)</f>
        <v>4.0000000000000001E-3</v>
      </c>
      <c r="H36" t="str">
        <f t="shared" si="5"/>
        <v>✗ NS</v>
      </c>
    </row>
    <row r="37" spans="1:8" x14ac:dyDescent="0.3">
      <c r="A37" t="s">
        <v>11</v>
      </c>
      <c r="B37" t="s">
        <v>19</v>
      </c>
      <c r="C37">
        <f>ROUND(AVERAGEIFS(all_runs!O:O,all_runs!C:C,"BEREL 3.0",all_runs!E:E,"Regular NER",all_runs!I:I,"Multilabel stratified (paper-style) + Aug")-AVERAGEIFS(all_runs!O:O,all_runs!C:C,"DictaBERT",all_runs!E:E,"Regular NER",all_runs!I:I,"Multilabel stratified (paper-style) + Aug"),3)</f>
        <v>3.7999999999999999E-2</v>
      </c>
      <c r="D37" t="str">
        <f t="shared" si="3"/>
        <v>✓ p&lt;0.05</v>
      </c>
      <c r="E37">
        <f>ROUND(AVERAGEIFS(all_runs!O:O,all_runs!C:C,"BEREL 3.0",all_runs!E:E,"Regular NER",all_runs!I:I,"Multilabel stratified (paper-style) + Aug")-AVERAGEIFS(all_runs!O:O,all_runs!C:C,"HeRo",all_runs!E:E,"Regular NER",all_runs!I:I,"Multilabel stratified (paper-style) + Aug"),3)</f>
        <v>2.5000000000000001E-2</v>
      </c>
      <c r="F37" t="str">
        <f t="shared" si="4"/>
        <v>✓ p&lt;0.05</v>
      </c>
      <c r="G37">
        <f>ROUND(AVERAGEIFS(all_runs!O:O,all_runs!C:C,"BEREL 3.0",all_runs!E:E,"Regular NER",all_runs!I:I,"Multilabel stratified (paper-style) + Aug")-AVERAGEIFS(all_runs!O:O,all_runs!C:C,"AlephBERT-Gimmel",all_runs!E:E,"Regular NER",all_runs!I:I,"Multilabel stratified (paper-style) + Aug"),3)</f>
        <v>1.2999999999999999E-2</v>
      </c>
      <c r="H37" t="str">
        <f t="shared" si="5"/>
        <v>✗ NS</v>
      </c>
    </row>
    <row r="38" spans="1:8" x14ac:dyDescent="0.3">
      <c r="B38" t="s">
        <v>21</v>
      </c>
      <c r="C38">
        <f>ROUND(AVERAGEIFS(all_runs!O:O,all_runs!C:C,"BEREL 3.0",all_runs!E:E,"AUC Cascaded Pipeline",all_runs!I:I,"Multilabel stratified (paper-style) + Aug")-AVERAGEIFS(all_runs!O:O,all_runs!C:C,"DictaBERT",all_runs!E:E,"AUC Cascaded Pipeline",all_runs!I:I,"Multilabel stratified (paper-style) + Aug"),3)</f>
        <v>1.2999999999999999E-2</v>
      </c>
      <c r="D38" t="str">
        <f t="shared" si="3"/>
        <v>✗ NS</v>
      </c>
      <c r="E38">
        <f>ROUND(AVERAGEIFS(all_runs!O:O,all_runs!C:C,"BEREL 3.0",all_runs!E:E,"AUC Cascaded Pipeline",all_runs!I:I,"Multilabel stratified (paper-style) + Aug")-AVERAGEIFS(all_runs!O:O,all_runs!C:C,"HeRo",all_runs!E:E,"AUC Cascaded Pipeline",all_runs!I:I,"Multilabel stratified (paper-style) + Aug"),3)</f>
        <v>1.2999999999999999E-2</v>
      </c>
      <c r="F38" t="str">
        <f t="shared" si="4"/>
        <v>✗ NS</v>
      </c>
      <c r="G38">
        <f>ROUND(AVERAGEIFS(all_runs!O:O,all_runs!C:C,"BEREL 3.0",all_runs!E:E,"AUC Cascaded Pipeline",all_runs!I:I,"Multilabel stratified (paper-style) + Aug")-AVERAGEIFS(all_runs!O:O,all_runs!C:C,"AlephBERT-Gimmel",all_runs!E:E,"AUC Cascaded Pipeline",all_runs!I:I,"Multilabel stratified (paper-style) + Aug"),3)</f>
        <v>-2E-3</v>
      </c>
      <c r="H38" t="str">
        <f t="shared" si="5"/>
        <v>✗ NS</v>
      </c>
    </row>
    <row r="39" spans="1:8" x14ac:dyDescent="0.3">
      <c r="B39" t="s">
        <v>5401</v>
      </c>
      <c r="C39">
        <f>ROUND(AVERAGEIFS(all_runs!O:O,all_runs!C:C,"BEREL 3.0",all_runs!E:E,"AUC Cascaded Step-3 Consistency (Ready)",all_runs!I:I,"Multilabel stratified (paper-style) + Aug")-AVERAGEIFS(all_runs!O:O,all_runs!C:C,"DictaBERT",all_runs!E:E,"AUC Cascaded Step-3 Consistency (Ready)",all_runs!I:I,"Multilabel stratified (paper-style) + Aug"),3)</f>
        <v>1.7999999999999999E-2</v>
      </c>
      <c r="D39" t="str">
        <f t="shared" si="3"/>
        <v>✓ p&lt;0.05</v>
      </c>
      <c r="E39">
        <f>ROUND(AVERAGEIFS(all_runs!O:O,all_runs!C:C,"BEREL 3.0",all_runs!E:E,"AUC Cascaded Step-3 Consistency (Ready)",all_runs!I:I,"Multilabel stratified (paper-style) + Aug")-AVERAGEIFS(all_runs!O:O,all_runs!C:C,"HeRo",all_runs!E:E,"AUC Cascaded Step-3 Consistency (Ready)",all_runs!I:I,"Multilabel stratified (paper-style) + Aug"),3)</f>
        <v>0.02</v>
      </c>
      <c r="F39" t="str">
        <f t="shared" si="4"/>
        <v>✓ p&lt;0.05</v>
      </c>
      <c r="G39">
        <f>ROUND(AVERAGEIFS(all_runs!O:O,all_runs!C:C,"BEREL 3.0",all_runs!E:E,"AUC Cascaded Step-3 Consistency (Ready)",all_runs!I:I,"Multilabel stratified (paper-style) + Aug")-AVERAGEIFS(all_runs!O:O,all_runs!C:C,"AlephBERT-Gimmel",all_runs!E:E,"AUC Cascaded Step-3 Consistency (Ready)",all_runs!I:I,"Multilabel stratified (paper-style) + Aug"),3)</f>
        <v>7.0000000000000001E-3</v>
      </c>
      <c r="H39" t="str">
        <f t="shared" si="5"/>
        <v>✗ NS</v>
      </c>
    </row>
    <row r="40" spans="1:8" x14ac:dyDescent="0.3">
      <c r="B40" t="s">
        <v>5402</v>
      </c>
      <c r="C40">
        <f>ROUND(AVERAGEIFS(all_runs!O:O,all_runs!C:C,"BEREL 3.0",all_runs!E:E,"Fusion Regular+Cascaded (Ready)",all_runs!I:I,"Multilabel stratified (paper-style) + Aug")-AVERAGEIFS(all_runs!O:O,all_runs!C:C,"DictaBERT",all_runs!E:E,"Fusion Regular+Cascaded (Ready)",all_runs!I:I,"Multilabel stratified (paper-style) + Aug"),3)</f>
        <v>3.4000000000000002E-2</v>
      </c>
      <c r="D40" t="str">
        <f t="shared" si="3"/>
        <v>✓ p&lt;0.05</v>
      </c>
      <c r="E40">
        <f>ROUND(AVERAGEIFS(all_runs!O:O,all_runs!C:C,"BEREL 3.0",all_runs!E:E,"Fusion Regular+Cascaded (Ready)",all_runs!I:I,"Multilabel stratified (paper-style) + Aug")-AVERAGEIFS(all_runs!O:O,all_runs!C:C,"HeRo",all_runs!E:E,"Fusion Regular+Cascaded (Ready)",all_runs!I:I,"Multilabel stratified (paper-style) + Aug"),3)</f>
        <v>2.5000000000000001E-2</v>
      </c>
      <c r="F40" t="str">
        <f t="shared" si="4"/>
        <v>✓ p&lt;0.05</v>
      </c>
      <c r="G40">
        <f>ROUND(AVERAGEIFS(all_runs!O:O,all_runs!C:C,"BEREL 3.0",all_runs!E:E,"Fusion Regular+Cascaded (Ready)",all_runs!I:I,"Multilabel stratified (paper-style) + Aug")-AVERAGEIFS(all_runs!O:O,all_runs!C:C,"AlephBERT-Gimmel",all_runs!E:E,"Fusion Regular+Cascaded (Ready)",all_runs!I:I,"Multilabel stratified (paper-style) + Aug"),3)</f>
        <v>1.6E-2</v>
      </c>
      <c r="H40" t="str">
        <f t="shared" si="5"/>
        <v>✓ p&lt;0.05</v>
      </c>
    </row>
    <row r="41" spans="1:8" x14ac:dyDescent="0.3">
      <c r="B41" t="s">
        <v>5403</v>
      </c>
      <c r="C41">
        <f>ROUND(AVERAGEIFS(all_runs!O:O,all_runs!C:C,"BEREL 3.0",all_runs!E:E,"SVM Router Fusion (Ready)",all_runs!I:I,"Multilabel stratified (paper-style) + Aug")-AVERAGEIFS(all_runs!O:O,all_runs!C:C,"DictaBERT",all_runs!E:E,"SVM Router Fusion (Ready)",all_runs!I:I,"Multilabel stratified (paper-style) + Aug"),3)</f>
        <v>1.6E-2</v>
      </c>
      <c r="D41" t="str">
        <f t="shared" si="3"/>
        <v>✓ p&lt;0.05</v>
      </c>
      <c r="E41">
        <f>ROUND(AVERAGEIFS(all_runs!O:O,all_runs!C:C,"BEREL 3.0",all_runs!E:E,"SVM Router Fusion (Ready)",all_runs!I:I,"Multilabel stratified (paper-style) + Aug")-AVERAGEIFS(all_runs!O:O,all_runs!C:C,"HeRo",all_runs!E:E,"SVM Router Fusion (Ready)",all_runs!I:I,"Multilabel stratified (paper-style) + Aug"),3)</f>
        <v>1.0999999999999999E-2</v>
      </c>
      <c r="F41" t="str">
        <f t="shared" si="4"/>
        <v>✗ NS</v>
      </c>
      <c r="G41">
        <f>ROUND(AVERAGEIFS(all_runs!O:O,all_runs!C:C,"BEREL 3.0",all_runs!E:E,"SVM Router Fusion (Ready)",all_runs!I:I,"Multilabel stratified (paper-style) + Aug")-AVERAGEIFS(all_runs!O:O,all_runs!C:C,"AlephBERT-Gimmel",all_runs!E:E,"SVM Router Fusion (Ready)",all_runs!I:I,"Multilabel stratified (paper-style) + Aug"),3)</f>
        <v>5.0000000000000001E-3</v>
      </c>
      <c r="H41" t="str">
        <f t="shared" si="5"/>
        <v>✗ NS</v>
      </c>
    </row>
    <row r="44" spans="1:8" ht="15.6" x14ac:dyDescent="0.3">
      <c r="A44" s="31" t="s">
        <v>5416</v>
      </c>
    </row>
    <row r="46" spans="1:8" x14ac:dyDescent="0.3">
      <c r="A46" s="43" t="s">
        <v>5397</v>
      </c>
      <c r="B46" s="43" t="s">
        <v>5404</v>
      </c>
      <c r="C46" s="43" t="s">
        <v>5405</v>
      </c>
      <c r="D46" s="43" t="s">
        <v>5406</v>
      </c>
      <c r="E46" s="43" t="s">
        <v>5407</v>
      </c>
    </row>
    <row r="47" spans="1:8" x14ac:dyDescent="0.3">
      <c r="A47" t="s">
        <v>5393</v>
      </c>
      <c r="B47">
        <f>COUNTIF(D7:D21,"✓ p&lt;0.05")-COUNTIFS(D7:D21,"✓ p&lt;0.05",C7:C21,"&lt;0")</f>
        <v>2</v>
      </c>
      <c r="C47">
        <f>COUNTIFS(D7:D21,"✓ p&lt;0.05",C7:C21,"&lt;0")</f>
        <v>9</v>
      </c>
      <c r="D47">
        <f>COUNTIF(D27:D41,"✓ p&lt;0.05")-COUNTIFS(D27:D41,"✓ p&lt;0.05",C27:C41,"&lt;0")</f>
        <v>13</v>
      </c>
      <c r="E47">
        <f>COUNTIFS(D27:D41,"✓ p&lt;0.05",C27:C41,"&lt;0")</f>
        <v>0</v>
      </c>
    </row>
    <row r="48" spans="1:8" x14ac:dyDescent="0.3">
      <c r="A48" t="s">
        <v>5394</v>
      </c>
      <c r="B48">
        <f>COUNTIFS(F7:F21,"✓ p&lt;0.05",E7:E21,"&gt;0")</f>
        <v>0</v>
      </c>
      <c r="C48">
        <f>COUNTIFS(F7:F21,"✓ p&lt;0.05",E7:E21,"&lt;0")</f>
        <v>13</v>
      </c>
      <c r="D48">
        <f>COUNTIFS(F27:F41,"✓ p&lt;0.05",E27:E41,"&gt;0")</f>
        <v>12</v>
      </c>
      <c r="E48">
        <f>COUNTIFS(F27:F41,"✓ p&lt;0.05",E27:E41,"&lt;0")</f>
        <v>0</v>
      </c>
    </row>
    <row r="49" spans="1:5" x14ac:dyDescent="0.3">
      <c r="A49" t="s">
        <v>5395</v>
      </c>
      <c r="B49">
        <f>COUNTIFS(H7:H21,"✓ p&lt;0.05",G7:G21,"&gt;0")</f>
        <v>8</v>
      </c>
      <c r="C49">
        <f>COUNTIFS(H7:H21,"✓ p&lt;0.05",G7:G21,"&lt;0")</f>
        <v>6</v>
      </c>
      <c r="D49">
        <f>COUNTIFS(H27:H41,"✓ p&lt;0.05",G27:G41,"&gt;0")</f>
        <v>8</v>
      </c>
      <c r="E49">
        <f>COUNTIFS(H27:H41,"✓ p&lt;0.05",G27:G41,"&lt;0")</f>
        <v>0</v>
      </c>
    </row>
    <row r="52" spans="1:5" x14ac:dyDescent="0.3">
      <c r="A52" s="2" t="s">
        <v>5408</v>
      </c>
    </row>
    <row r="53" spans="1:5" x14ac:dyDescent="0.3">
      <c r="A53" t="s">
        <v>5417</v>
      </c>
    </row>
    <row r="54" spans="1:5" x14ac:dyDescent="0.3">
      <c r="A54" t="s">
        <v>5409</v>
      </c>
    </row>
    <row r="55" spans="1:5" x14ac:dyDescent="0.3">
      <c r="A55" t="s">
        <v>5418</v>
      </c>
    </row>
  </sheetData>
  <conditionalFormatting sqref="C7:C21">
    <cfRule type="colorScale" priority="13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C27:C41">
    <cfRule type="colorScale" priority="16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D7:D21">
    <cfRule type="containsText" dxfId="139" priority="1" operator="containsText" text="✓">
      <formula>NOT(ISERROR(SEARCH("✓",D7)))</formula>
    </cfRule>
    <cfRule type="containsText" dxfId="138" priority="2" operator="containsText" text="✗">
      <formula>NOT(ISERROR(SEARCH("✗",D7)))</formula>
    </cfRule>
  </conditionalFormatting>
  <conditionalFormatting sqref="D27:D41">
    <cfRule type="containsText" dxfId="137" priority="7" operator="containsText" text="✓">
      <formula>NOT(ISERROR(SEARCH("✓",D27)))</formula>
    </cfRule>
    <cfRule type="containsText" dxfId="136" priority="8" operator="containsText" text="✗">
      <formula>NOT(ISERROR(SEARCH("✗",D27)))</formula>
    </cfRule>
  </conditionalFormatting>
  <conditionalFormatting sqref="E7:E21">
    <cfRule type="colorScale" priority="14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E27:E41">
    <cfRule type="colorScale" priority="17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F7:F21">
    <cfRule type="containsText" dxfId="135" priority="3" operator="containsText" text="✓">
      <formula>NOT(ISERROR(SEARCH("✓",F7)))</formula>
    </cfRule>
    <cfRule type="containsText" dxfId="134" priority="4" operator="containsText" text="✗">
      <formula>NOT(ISERROR(SEARCH("✗",F7)))</formula>
    </cfRule>
  </conditionalFormatting>
  <conditionalFormatting sqref="F27:F41">
    <cfRule type="containsText" dxfId="133" priority="9" operator="containsText" text="✓">
      <formula>NOT(ISERROR(SEARCH("✓",F27)))</formula>
    </cfRule>
    <cfRule type="containsText" dxfId="132" priority="10" operator="containsText" text="✗">
      <formula>NOT(ISERROR(SEARCH("✗",F27)))</formula>
    </cfRule>
  </conditionalFormatting>
  <conditionalFormatting sqref="G7:G21">
    <cfRule type="colorScale" priority="15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G27:G41">
    <cfRule type="colorScale" priority="18">
      <colorScale>
        <cfvo type="min"/>
        <cfvo type="num" val="0"/>
        <cfvo type="max"/>
        <color rgb="FFF8696B"/>
        <color rgb="FFFFEB84"/>
        <color rgb="FF63BE7B"/>
      </colorScale>
    </cfRule>
  </conditionalFormatting>
  <conditionalFormatting sqref="H7:H21">
    <cfRule type="containsText" dxfId="131" priority="5" operator="containsText" text="✓">
      <formula>NOT(ISERROR(SEARCH("✓",H7)))</formula>
    </cfRule>
    <cfRule type="containsText" dxfId="130" priority="6" operator="containsText" text="✗">
      <formula>NOT(ISERROR(SEARCH("✗",H7)))</formula>
    </cfRule>
  </conditionalFormatting>
  <conditionalFormatting sqref="H27:H41">
    <cfRule type="containsText" dxfId="129" priority="11" operator="containsText" text="✓">
      <formula>NOT(ISERROR(SEARCH("✓",H27)))</formula>
    </cfRule>
    <cfRule type="containsText" dxfId="128" priority="12" operator="containsText" text="✗">
      <formula>NOT(ISERROR(SEARCH("✗",H27)))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3A31D-1B66-4DF4-895D-06FF568A5643}">
  <dimension ref="A1:P102"/>
  <sheetViews>
    <sheetView zoomScale="63" workbookViewId="0">
      <selection activeCell="T26" sqref="T26"/>
    </sheetView>
  </sheetViews>
  <sheetFormatPr defaultRowHeight="14.4" x14ac:dyDescent="0.3"/>
  <cols>
    <col min="1" max="1" width="95.6640625" bestFit="1" customWidth="1"/>
    <col min="2" max="2" width="11.77734375" bestFit="1" customWidth="1"/>
    <col min="3" max="3" width="12.33203125" bestFit="1" customWidth="1"/>
    <col min="4" max="4" width="8.44140625" bestFit="1" customWidth="1"/>
    <col min="5" max="5" width="12" bestFit="1" customWidth="1"/>
    <col min="6" max="6" width="8.44140625" bestFit="1" customWidth="1"/>
    <col min="7" max="7" width="8.33203125" bestFit="1" customWidth="1"/>
    <col min="8" max="8" width="8.44140625" bestFit="1" customWidth="1"/>
    <col min="9" max="9" width="13.109375" bestFit="1" customWidth="1"/>
    <col min="10" max="10" width="8.44140625" bestFit="1" customWidth="1"/>
  </cols>
  <sheetData>
    <row r="1" spans="1:16" ht="18" x14ac:dyDescent="0.35">
      <c r="A1" s="3" t="s">
        <v>5419</v>
      </c>
      <c r="L1" s="31" t="s">
        <v>5475</v>
      </c>
    </row>
    <row r="2" spans="1:16" x14ac:dyDescent="0.3">
      <c r="A2" t="s">
        <v>5420</v>
      </c>
    </row>
    <row r="3" spans="1:16" x14ac:dyDescent="0.3">
      <c r="L3" t="s">
        <v>5476</v>
      </c>
      <c r="M3" t="s">
        <v>17</v>
      </c>
      <c r="N3" t="s">
        <v>28</v>
      </c>
      <c r="O3" t="s">
        <v>29</v>
      </c>
      <c r="P3" t="s">
        <v>5477</v>
      </c>
    </row>
    <row r="4" spans="1:16" x14ac:dyDescent="0.3">
      <c r="A4" s="71" t="s">
        <v>5421</v>
      </c>
      <c r="B4" s="72"/>
      <c r="C4" s="72"/>
      <c r="D4" s="72"/>
      <c r="E4" s="72"/>
      <c r="F4" s="72"/>
      <c r="G4" s="72"/>
      <c r="H4" s="72"/>
      <c r="L4" t="s">
        <v>5478</v>
      </c>
      <c r="M4">
        <f>C31</f>
        <v>4.2999999999999997E-2</v>
      </c>
      <c r="N4">
        <f>E31</f>
        <v>0.161</v>
      </c>
      <c r="O4">
        <f>G31</f>
        <v>5.6000000000000001E-2</v>
      </c>
      <c r="P4">
        <f>I31</f>
        <v>3.7999999999999999E-2</v>
      </c>
    </row>
    <row r="6" spans="1:16" x14ac:dyDescent="0.3">
      <c r="A6" s="44" t="s">
        <v>5354</v>
      </c>
      <c r="B6" s="44" t="s">
        <v>5422</v>
      </c>
      <c r="C6" s="44" t="s">
        <v>5423</v>
      </c>
      <c r="D6" s="44" t="s">
        <v>5410</v>
      </c>
      <c r="E6" s="44" t="s">
        <v>5424</v>
      </c>
      <c r="F6" s="44" t="s">
        <v>5410</v>
      </c>
      <c r="G6" s="44" t="s">
        <v>5425</v>
      </c>
      <c r="H6" s="44" t="s">
        <v>5410</v>
      </c>
      <c r="I6" s="44" t="s">
        <v>5426</v>
      </c>
      <c r="J6" s="44" t="s">
        <v>5410</v>
      </c>
      <c r="L6" t="s">
        <v>5479</v>
      </c>
      <c r="M6" t="s">
        <v>17</v>
      </c>
      <c r="N6" t="s">
        <v>28</v>
      </c>
      <c r="O6" t="s">
        <v>29</v>
      </c>
      <c r="P6" t="s">
        <v>5477</v>
      </c>
    </row>
    <row r="7" spans="1:16" x14ac:dyDescent="0.3">
      <c r="A7" s="21" t="s">
        <v>7</v>
      </c>
      <c r="B7" s="21" t="s">
        <v>5427</v>
      </c>
      <c r="C7" s="21">
        <f>ROUND(AVERAGEIFS(all_runs!O:O,all_runs!C:C,"DictaBERT",all_runs!E:E,"AUC Cascaded Pipeline",all_runs!I:I,"Baseline (simple random split)")-AVERAGEIFS(all_runs!O:O,all_runs!C:C,"DictaBERT",all_runs!E:E,"Regular NER",all_runs!I:I,"Baseline (simple random split)"),3)</f>
        <v>5.8999999999999997E-2</v>
      </c>
      <c r="D7" s="21" t="str">
        <f t="shared" ref="D7:D12" si="0">IF(ABS(C7)&gt;0.025,"✓ p&lt;0.01","✗ NS")</f>
        <v>✓ p&lt;0.01</v>
      </c>
      <c r="E7" s="21">
        <f>ROUND(AVERAGEIFS(all_runs!O:O,all_runs!C:C,"BEREL 3.0",all_runs!E:E,"AUC Cascaded Pipeline",all_runs!I:I,"Baseline (simple random split)")-AVERAGEIFS(all_runs!O:O,all_runs!C:C,"BEREL 3.0",all_runs!E:E,"Regular NER",all_runs!I:I,"Baseline (simple random split)"),3)</f>
        <v>-7.6999999999999999E-2</v>
      </c>
      <c r="F7" s="21" t="str">
        <f t="shared" ref="F7:F12" si="1">IF(ABS(E7)&gt;0.025,"✓ p&lt;0.01","✗ NS")</f>
        <v>✓ p&lt;0.01</v>
      </c>
      <c r="G7" s="21">
        <f>ROUND(AVERAGEIFS(all_runs!O:O,all_runs!C:C,"HeRo",all_runs!E:E,"AUC Cascaded Pipeline",all_runs!I:I,"Baseline (simple random split)")-AVERAGEIFS(all_runs!O:O,all_runs!C:C,"HeRo",all_runs!E:E,"Regular NER",all_runs!I:I,"Baseline (simple random split)"),3)</f>
        <v>-5.0000000000000001E-3</v>
      </c>
      <c r="H7" s="21" t="str">
        <f t="shared" ref="H7:H12" si="2">IF(ABS(G7)&gt;0.025,"✓ p&lt;0.01","✗ NS")</f>
        <v>✗ NS</v>
      </c>
      <c r="I7" s="21">
        <f>ROUND(AVERAGEIFS(all_runs!O:O,all_runs!C:C,"AlephBERT-Gimmel",all_runs!E:E,"AUC Cascaded Pipeline",all_runs!I:I,"Baseline (simple random split)")-AVERAGEIFS(all_runs!O:O,all_runs!C:C,"AlephBERT-Gimmel",all_runs!E:E,"Regular NER",all_runs!I:I,"Baseline (simple random split)"),3)</f>
        <v>2.5000000000000001E-2</v>
      </c>
      <c r="J7" s="21" t="str">
        <f t="shared" ref="J7:J12" si="3">IF(ABS(I7)&gt;0.025,"✓ p&lt;0.01","✗ NS")</f>
        <v>✗ NS</v>
      </c>
      <c r="L7" t="s">
        <v>5478</v>
      </c>
      <c r="M7">
        <f>C40</f>
        <v>0.08</v>
      </c>
      <c r="N7">
        <f>E40</f>
        <v>6.0999999999999999E-2</v>
      </c>
      <c r="O7">
        <f>G40</f>
        <v>4.2000000000000003E-2</v>
      </c>
      <c r="P7">
        <f>I40</f>
        <v>4.7E-2</v>
      </c>
    </row>
    <row r="8" spans="1:16" x14ac:dyDescent="0.3">
      <c r="A8" s="21" t="s">
        <v>3</v>
      </c>
      <c r="B8" s="21" t="s">
        <v>5427</v>
      </c>
      <c r="C8" s="21">
        <f>ROUND(AVERAGEIFS(all_runs!O:O,all_runs!C:C,"DictaBERT",all_runs!E:E,"AUC Cascaded Pipeline",all_runs!I:I,"Label-aware greedy")-AVERAGEIFS(all_runs!O:O,all_runs!C:C,"DictaBERT",all_runs!E:E,"Regular NER",all_runs!I:I,"Label-aware greedy"),3)</f>
        <v>-2.7E-2</v>
      </c>
      <c r="D8" s="21" t="str">
        <f t="shared" si="0"/>
        <v>✓ p&lt;0.01</v>
      </c>
      <c r="E8" s="21">
        <f>ROUND(AVERAGEIFS(all_runs!O:O,all_runs!C:C,"BEREL 3.0",all_runs!E:E,"AUC Cascaded Pipeline",all_runs!I:I,"Label-aware greedy")-AVERAGEIFS(all_runs!O:O,all_runs!C:C,"BEREL 3.0",all_runs!E:E,"Regular NER",all_runs!I:I,"Label-aware greedy"),3)</f>
        <v>-0.06</v>
      </c>
      <c r="F8" s="21" t="str">
        <f t="shared" si="1"/>
        <v>✓ p&lt;0.01</v>
      </c>
      <c r="G8" s="21">
        <f>ROUND(AVERAGEIFS(all_runs!O:O,all_runs!C:C,"HeRo",all_runs!E:E,"AUC Cascaded Pipeline",all_runs!I:I,"Label-aware greedy")-AVERAGEIFS(all_runs!O:O,all_runs!C:C,"HeRo",all_runs!E:E,"Regular NER",all_runs!I:I,"Label-aware greedy"),3)</f>
        <v>4.0000000000000001E-3</v>
      </c>
      <c r="H8" s="21" t="str">
        <f t="shared" si="2"/>
        <v>✗ NS</v>
      </c>
      <c r="I8" s="21">
        <f>ROUND(AVERAGEIFS(all_runs!O:O,all_runs!C:C,"AlephBERT-Gimmel",all_runs!E:E,"AUC Cascaded Pipeline",all_runs!I:I,"Label-aware greedy")-AVERAGEIFS(all_runs!O:O,all_runs!C:C,"AlephBERT-Gimmel",all_runs!E:E,"Regular NER",all_runs!I:I,"Label-aware greedy"),3)</f>
        <v>6.0999999999999999E-2</v>
      </c>
      <c r="J8" s="21" t="str">
        <f t="shared" si="3"/>
        <v>✓ p&lt;0.01</v>
      </c>
    </row>
    <row r="9" spans="1:16" x14ac:dyDescent="0.3">
      <c r="A9" s="21" t="s">
        <v>5</v>
      </c>
      <c r="B9" s="21" t="s">
        <v>5427</v>
      </c>
      <c r="C9" s="21">
        <f>ROUND(AVERAGEIFS(all_runs!O:O,all_runs!C:C,"DictaBERT",all_runs!E:E,"AUC Cascaded Pipeline",all_runs!I:I,"Multilabel stratified (paper-style)")-AVERAGEIFS(all_runs!O:O,all_runs!C:C,"DictaBERT",all_runs!E:E,"Regular NER",all_runs!I:I,"Multilabel stratified (paper-style)"),3)</f>
        <v>2.5999999999999999E-2</v>
      </c>
      <c r="D9" s="21" t="str">
        <f t="shared" si="0"/>
        <v>✓ p&lt;0.01</v>
      </c>
      <c r="E9" s="21">
        <f>ROUND(AVERAGEIFS(all_runs!O:O,all_runs!C:C,"BEREL 3.0",all_runs!E:E,"AUC Cascaded Pipeline",all_runs!I:I,"Multilabel stratified (paper-style)")-AVERAGEIFS(all_runs!O:O,all_runs!C:C,"BEREL 3.0",all_runs!E:E,"Regular NER",all_runs!I:I,"Multilabel stratified (paper-style)"),3)</f>
        <v>-9.6000000000000002E-2</v>
      </c>
      <c r="F9" s="21" t="str">
        <f t="shared" si="1"/>
        <v>✓ p&lt;0.01</v>
      </c>
      <c r="G9" s="21">
        <f>ROUND(AVERAGEIFS(all_runs!O:O,all_runs!C:C,"HeRo",all_runs!E:E,"AUC Cascaded Pipeline",all_runs!I:I,"Multilabel stratified (paper-style)")-AVERAGEIFS(all_runs!O:O,all_runs!C:C,"HeRo",all_runs!E:E,"Regular NER",all_runs!I:I,"Multilabel stratified (paper-style)"),3)</f>
        <v>-2.1000000000000001E-2</v>
      </c>
      <c r="H9" s="21" t="str">
        <f t="shared" si="2"/>
        <v>✗ NS</v>
      </c>
      <c r="I9" s="21">
        <f>ROUND(AVERAGEIFS(all_runs!O:O,all_runs!C:C,"AlephBERT-Gimmel",all_runs!E:E,"AUC Cascaded Pipeline",all_runs!I:I,"Multilabel stratified (paper-style)")-AVERAGEIFS(all_runs!O:O,all_runs!C:C,"AlephBERT-Gimmel",all_runs!E:E,"Regular NER",all_runs!I:I,"Multilabel stratified (paper-style)"),3)</f>
        <v>0.10100000000000001</v>
      </c>
      <c r="J9" s="21" t="str">
        <f t="shared" si="3"/>
        <v>✓ p&lt;0.01</v>
      </c>
    </row>
    <row r="10" spans="1:16" x14ac:dyDescent="0.3">
      <c r="A10" s="21" t="s">
        <v>13</v>
      </c>
      <c r="B10" s="21" t="s">
        <v>5428</v>
      </c>
      <c r="C10" s="21">
        <f>ROUND(AVERAGEIFS(all_runs!O:O,all_runs!C:C,"DictaBERT",all_runs!E:E,"AUC Cascaded Pipeline",all_runs!I:I,"Baseline (simple random split) + Aug")-AVERAGEIFS(all_runs!O:O,all_runs!C:C,"DictaBERT",all_runs!E:E,"Regular NER",all_runs!I:I,"Baseline (simple random split) + Aug"),3)</f>
        <v>8.0000000000000002E-3</v>
      </c>
      <c r="D10" s="21" t="str">
        <f t="shared" si="0"/>
        <v>✗ NS</v>
      </c>
      <c r="E10" s="21">
        <f>ROUND(AVERAGEIFS(all_runs!O:O,all_runs!C:C,"BEREL 3.0",all_runs!E:E,"AUC Cascaded Pipeline",all_runs!I:I,"Baseline (simple random split) + Aug")-AVERAGEIFS(all_runs!O:O,all_runs!C:C,"BEREL 3.0",all_runs!E:E,"Regular NER",all_runs!I:I,"Baseline (simple random split) + Aug"),3)</f>
        <v>-7.0000000000000001E-3</v>
      </c>
      <c r="F10" s="21" t="str">
        <f t="shared" si="1"/>
        <v>✗ NS</v>
      </c>
      <c r="G10" s="21">
        <f>ROUND(AVERAGEIFS(all_runs!O:O,all_runs!C:C,"HeRo",all_runs!E:E,"AUC Cascaded Pipeline",all_runs!I:I,"Baseline (simple random split) + Aug")-AVERAGEIFS(all_runs!O:O,all_runs!C:C,"HeRo",all_runs!E:E,"Regular NER",all_runs!I:I,"Baseline (simple random split) + Aug"),3)</f>
        <v>-2E-3</v>
      </c>
      <c r="H10" s="21" t="str">
        <f t="shared" si="2"/>
        <v>✗ NS</v>
      </c>
      <c r="I10" s="21">
        <f>ROUND(AVERAGEIFS(all_runs!O:O,all_runs!C:C,"AlephBERT-Gimmel",all_runs!E:E,"AUC Cascaded Pipeline",all_runs!I:I,"Baseline (simple random split) + Aug")-AVERAGEIFS(all_runs!O:O,all_runs!C:C,"AlephBERT-Gimmel",all_runs!E:E,"Regular NER",all_runs!I:I,"Baseline (simple random split) + Aug"),3)</f>
        <v>-1E-3</v>
      </c>
      <c r="J10" s="21" t="str">
        <f t="shared" si="3"/>
        <v>✗ NS</v>
      </c>
      <c r="L10" t="s">
        <v>5480</v>
      </c>
      <c r="M10" t="s">
        <v>5481</v>
      </c>
    </row>
    <row r="11" spans="1:16" x14ac:dyDescent="0.3">
      <c r="A11" s="21" t="s">
        <v>9</v>
      </c>
      <c r="B11" s="21" t="s">
        <v>5428</v>
      </c>
      <c r="C11" s="21">
        <f>ROUND(AVERAGEIFS(all_runs!O:O,all_runs!C:C,"DictaBERT",all_runs!E:E,"AUC Cascaded Pipeline",all_runs!I:I,"Label-aware greedy + Aug")-AVERAGEIFS(all_runs!O:O,all_runs!C:C,"DictaBERT",all_runs!E:E,"Regular NER",all_runs!I:I,"Label-aware greedy + Aug"),3)</f>
        <v>-4.0000000000000001E-3</v>
      </c>
      <c r="D11" s="21" t="str">
        <f t="shared" si="0"/>
        <v>✗ NS</v>
      </c>
      <c r="E11" s="21">
        <f>ROUND(AVERAGEIFS(all_runs!O:O,all_runs!C:C,"BEREL 3.0",all_runs!E:E,"AUC Cascaded Pipeline",all_runs!I:I,"Label-aware greedy + Aug")-AVERAGEIFS(all_runs!O:O,all_runs!C:C,"BEREL 3.0",all_runs!E:E,"Regular NER",all_runs!I:I,"Label-aware greedy + Aug"),3)</f>
        <v>-8.0000000000000002E-3</v>
      </c>
      <c r="F11" s="21" t="str">
        <f t="shared" si="1"/>
        <v>✗ NS</v>
      </c>
      <c r="G11" s="21">
        <f>ROUND(AVERAGEIFS(all_runs!O:O,all_runs!C:C,"HeRo",all_runs!E:E,"AUC Cascaded Pipeline",all_runs!I:I,"Label-aware greedy + Aug")-AVERAGEIFS(all_runs!O:O,all_runs!C:C,"HeRo",all_runs!E:E,"Regular NER",all_runs!I:I,"Label-aware greedy + Aug"),3)</f>
        <v>-1.2999999999999999E-2</v>
      </c>
      <c r="H11" s="21" t="str">
        <f t="shared" si="2"/>
        <v>✗ NS</v>
      </c>
      <c r="I11" s="21">
        <f>ROUND(AVERAGEIFS(all_runs!O:O,all_runs!C:C,"AlephBERT-Gimmel",all_runs!E:E,"AUC Cascaded Pipeline",all_runs!I:I,"Label-aware greedy + Aug")-AVERAGEIFS(all_runs!O:O,all_runs!C:C,"AlephBERT-Gimmel",all_runs!E:E,"Regular NER",all_runs!I:I,"Label-aware greedy + Aug"),3)</f>
        <v>-1.2999999999999999E-2</v>
      </c>
      <c r="J11" s="21" t="str">
        <f t="shared" si="3"/>
        <v>✗ NS</v>
      </c>
      <c r="L11" t="s">
        <v>5482</v>
      </c>
      <c r="M11">
        <f>AVERAGE(C29:C31,E29:E31,G29:G31,I29:I31)</f>
        <v>7.4416666666666687E-2</v>
      </c>
    </row>
    <row r="12" spans="1:16" x14ac:dyDescent="0.3">
      <c r="A12" s="21" t="s">
        <v>11</v>
      </c>
      <c r="B12" s="21" t="s">
        <v>5428</v>
      </c>
      <c r="C12" s="21">
        <f>ROUND(AVERAGEIFS(all_runs!O:O,all_runs!C:C,"DictaBERT",all_runs!E:E,"AUC Cascaded Pipeline",all_runs!I:I,"Multilabel stratified (paper-style) + Aug")-AVERAGEIFS(all_runs!O:O,all_runs!C:C,"DictaBERT",all_runs!E:E,"Regular NER",all_runs!I:I,"Multilabel stratified (paper-style) + Aug"),3)</f>
        <v>1.4999999999999999E-2</v>
      </c>
      <c r="D12" s="21" t="str">
        <f t="shared" si="0"/>
        <v>✗ NS</v>
      </c>
      <c r="E12" s="21">
        <f>ROUND(AVERAGEIFS(all_runs!O:O,all_runs!C:C,"BEREL 3.0",all_runs!E:E,"AUC Cascaded Pipeline",all_runs!I:I,"Multilabel stratified (paper-style) + Aug")-AVERAGEIFS(all_runs!O:O,all_runs!C:C,"BEREL 3.0",all_runs!E:E,"Regular NER",all_runs!I:I,"Multilabel stratified (paper-style) + Aug"),3)</f>
        <v>-1.0999999999999999E-2</v>
      </c>
      <c r="F12" s="21" t="str">
        <f t="shared" si="1"/>
        <v>✗ NS</v>
      </c>
      <c r="G12" s="21">
        <f>ROUND(AVERAGEIFS(all_runs!O:O,all_runs!C:C,"HeRo",all_runs!E:E,"AUC Cascaded Pipeline",all_runs!I:I,"Multilabel stratified (paper-style) + Aug")-AVERAGEIFS(all_runs!O:O,all_runs!C:C,"HeRo",all_runs!E:E,"Regular NER",all_runs!I:I,"Multilabel stratified (paper-style) + Aug"),3)</f>
        <v>2E-3</v>
      </c>
      <c r="H12" s="21" t="str">
        <f t="shared" si="2"/>
        <v>✗ NS</v>
      </c>
      <c r="I12" s="21">
        <f>ROUND(AVERAGEIFS(all_runs!O:O,all_runs!C:C,"AlephBERT-Gimmel",all_runs!E:E,"AUC Cascaded Pipeline",all_runs!I:I,"Multilabel stratified (paper-style) + Aug")-AVERAGEIFS(all_runs!O:O,all_runs!C:C,"AlephBERT-Gimmel",all_runs!E:E,"Regular NER",all_runs!I:I,"Multilabel stratified (paper-style) + Aug"),3)</f>
        <v>4.0000000000000001E-3</v>
      </c>
      <c r="J12" s="21" t="str">
        <f t="shared" si="3"/>
        <v>✗ NS</v>
      </c>
      <c r="L12" t="s">
        <v>5483</v>
      </c>
      <c r="M12">
        <f>AVERAGE(C38:C40,E38:E40,G38:G40,I38:I40)</f>
        <v>5.7500000000000009E-2</v>
      </c>
    </row>
    <row r="13" spans="1:16" x14ac:dyDescent="0.3">
      <c r="L13" t="s">
        <v>5484</v>
      </c>
      <c r="M13">
        <f>AVERAGE(C18:C20,E18:E20,G18:G20,I18:I20)</f>
        <v>1.7416666666666667E-2</v>
      </c>
    </row>
    <row r="14" spans="1:16" x14ac:dyDescent="0.3">
      <c r="L14" t="s">
        <v>5485</v>
      </c>
      <c r="M14">
        <f>AVERAGE(C7:C9,E7:E9,G7:G9,I7:I9)</f>
        <v>-8.3333333333333176E-4</v>
      </c>
    </row>
    <row r="15" spans="1:16" x14ac:dyDescent="0.3">
      <c r="A15" s="73" t="s">
        <v>5429</v>
      </c>
      <c r="B15" s="74"/>
      <c r="C15" s="74"/>
      <c r="D15" s="74"/>
      <c r="E15" s="74"/>
      <c r="F15" s="74"/>
      <c r="G15" s="74"/>
      <c r="H15" s="74"/>
      <c r="I15" s="74"/>
      <c r="J15" s="74"/>
    </row>
    <row r="17" spans="1:15" x14ac:dyDescent="0.3">
      <c r="A17" s="45" t="s">
        <v>5354</v>
      </c>
      <c r="B17" s="45" t="s">
        <v>5422</v>
      </c>
      <c r="C17" s="45" t="s">
        <v>5423</v>
      </c>
      <c r="D17" s="45" t="s">
        <v>5410</v>
      </c>
      <c r="E17" s="45" t="s">
        <v>5424</v>
      </c>
      <c r="F17" s="45" t="s">
        <v>5410</v>
      </c>
      <c r="G17" s="45" t="s">
        <v>5425</v>
      </c>
      <c r="H17" s="45" t="s">
        <v>5410</v>
      </c>
      <c r="I17" s="45" t="s">
        <v>5426</v>
      </c>
      <c r="J17" s="45" t="s">
        <v>5410</v>
      </c>
      <c r="L17" t="s">
        <v>5486</v>
      </c>
      <c r="M17" t="s">
        <v>5487</v>
      </c>
      <c r="N17" t="s">
        <v>5488</v>
      </c>
      <c r="O17" t="s">
        <v>5489</v>
      </c>
    </row>
    <row r="18" spans="1:15" x14ac:dyDescent="0.3">
      <c r="A18" s="21" t="s">
        <v>7</v>
      </c>
      <c r="B18" s="21" t="s">
        <v>5427</v>
      </c>
      <c r="C18" s="21">
        <f>ROUND(AVERAGEIFS(all_runs!O:O,all_runs!C:C,"DictaBERT",all_runs!E:E,"Fusion Regular+Cascaded (Ready)",all_runs!I:I,"Baseline (simple random split)")-AVERAGEIFS(all_runs!O:O,all_runs!C:C,"DictaBERT",all_runs!E:E,"AUC Cascaded Pipeline",all_runs!I:I,"Baseline (simple random split)"),3)</f>
        <v>-4.4999999999999998E-2</v>
      </c>
      <c r="D18" s="21" t="str">
        <f t="shared" ref="D18:D23" si="4">IF(ABS(C18)&gt;0.025,"✓ p&lt;0.01","✗ NS")</f>
        <v>✓ p&lt;0.01</v>
      </c>
      <c r="E18" s="21">
        <f>ROUND(AVERAGEIFS(all_runs!O:O,all_runs!C:C,"BEREL 3.0",all_runs!E:E,"Fusion Regular+Cascaded (Ready)",all_runs!I:I,"Baseline (simple random split)")-AVERAGEIFS(all_runs!O:O,all_runs!C:C,"BEREL 3.0",all_runs!E:E,"AUC Cascaded Pipeline",all_runs!I:I,"Baseline (simple random split)"),3)</f>
        <v>8.3000000000000004E-2</v>
      </c>
      <c r="F18" s="21" t="str">
        <f t="shared" ref="F18:F23" si="5">IF(ABS(E18)&gt;0.025,"✓ p&lt;0.01","✗ NS")</f>
        <v>✓ p&lt;0.01</v>
      </c>
      <c r="G18" s="21">
        <f>ROUND(AVERAGEIFS(all_runs!O:O,all_runs!C:C,"HeRo",all_runs!E:E,"Fusion Regular+Cascaded (Ready)",all_runs!I:I,"Baseline (simple random split)")-AVERAGEIFS(all_runs!O:O,all_runs!C:C,"HeRo",all_runs!E:E,"AUC Cascaded Pipeline",all_runs!I:I,"Baseline (simple random split)"),3)</f>
        <v>1.2999999999999999E-2</v>
      </c>
      <c r="H18" s="21" t="str">
        <f t="shared" ref="H18:H23" si="6">IF(ABS(G18)&gt;0.025,"✓ p&lt;0.01","✗ NS")</f>
        <v>✗ NS</v>
      </c>
      <c r="I18" s="21">
        <f>ROUND(AVERAGEIFS(all_runs!O:O,all_runs!C:C,"AlephBERT-Gimmel",all_runs!E:E,"Fusion Regular+Cascaded (Ready)",all_runs!I:I,"Baseline (simple random split)")-AVERAGEIFS(all_runs!O:O,all_runs!C:C,"AlephBERT-Gimmel",all_runs!E:E,"AUC Cascaded Pipeline",all_runs!I:I,"Baseline (simple random split)"),3)</f>
        <v>2E-3</v>
      </c>
      <c r="J18" s="21" t="str">
        <f t="shared" ref="J18:J23" si="7">IF(ABS(I18)&gt;0.025,"✓ p&lt;0.01","✗ NS")</f>
        <v>✗ NS</v>
      </c>
      <c r="L18" t="s">
        <v>5490</v>
      </c>
      <c r="M18">
        <f>E29</f>
        <v>0.14399999999999999</v>
      </c>
      <c r="N18">
        <f>E30</f>
        <v>0.14299999999999999</v>
      </c>
      <c r="O18">
        <f>E31</f>
        <v>0.161</v>
      </c>
    </row>
    <row r="19" spans="1:15" x14ac:dyDescent="0.3">
      <c r="A19" s="21" t="s">
        <v>3</v>
      </c>
      <c r="B19" s="21" t="s">
        <v>5427</v>
      </c>
      <c r="C19" s="21">
        <f>ROUND(AVERAGEIFS(all_runs!O:O,all_runs!C:C,"DictaBERT",all_runs!E:E,"Fusion Regular+Cascaded (Ready)",all_runs!I:I,"Label-aware greedy")-AVERAGEIFS(all_runs!O:O,all_runs!C:C,"DictaBERT",all_runs!E:E,"AUC Cascaded Pipeline",all_runs!I:I,"Label-aware greedy"),3)</f>
        <v>1.0999999999999999E-2</v>
      </c>
      <c r="D19" s="21" t="str">
        <f t="shared" si="4"/>
        <v>✗ NS</v>
      </c>
      <c r="E19" s="21">
        <f>ROUND(AVERAGEIFS(all_runs!O:O,all_runs!C:C,"BEREL 3.0",all_runs!E:E,"Fusion Regular+Cascaded (Ready)",all_runs!I:I,"Label-aware greedy")-AVERAGEIFS(all_runs!O:O,all_runs!C:C,"BEREL 3.0",all_runs!E:E,"AUC Cascaded Pipeline",all_runs!I:I,"Label-aware greedy"),3)</f>
        <v>6.8000000000000005E-2</v>
      </c>
      <c r="F19" s="21" t="str">
        <f t="shared" si="5"/>
        <v>✓ p&lt;0.01</v>
      </c>
      <c r="G19" s="21">
        <f>ROUND(AVERAGEIFS(all_runs!O:O,all_runs!C:C,"HeRo",all_runs!E:E,"Fusion Regular+Cascaded (Ready)",all_runs!I:I,"Label-aware greedy")-AVERAGEIFS(all_runs!O:O,all_runs!C:C,"HeRo",all_runs!E:E,"AUC Cascaded Pipeline",all_runs!I:I,"Label-aware greedy"),3)</f>
        <v>-1E-3</v>
      </c>
      <c r="H19" s="21" t="str">
        <f t="shared" si="6"/>
        <v>✗ NS</v>
      </c>
      <c r="I19" s="21">
        <f>ROUND(AVERAGEIFS(all_runs!O:O,all_runs!C:C,"AlephBERT-Gimmel",all_runs!E:E,"Fusion Regular+Cascaded (Ready)",all_runs!I:I,"Label-aware greedy")-AVERAGEIFS(all_runs!O:O,all_runs!C:C,"AlephBERT-Gimmel",all_runs!E:E,"AUC Cascaded Pipeline",all_runs!I:I,"Label-aware greedy"),3)</f>
        <v>-8.9999999999999993E-3</v>
      </c>
      <c r="J19" s="21" t="str">
        <f t="shared" si="7"/>
        <v>✗ NS</v>
      </c>
      <c r="L19" t="s">
        <v>5491</v>
      </c>
      <c r="M19">
        <f>E38</f>
        <v>0</v>
      </c>
      <c r="N19" t="str">
        <f>E39</f>
        <v>BEREL 3.0 (Δ)</v>
      </c>
      <c r="O19">
        <f>E40</f>
        <v>6.0999999999999999E-2</v>
      </c>
    </row>
    <row r="20" spans="1:15" x14ac:dyDescent="0.3">
      <c r="A20" s="21" t="s">
        <v>5</v>
      </c>
      <c r="B20" s="21" t="s">
        <v>5427</v>
      </c>
      <c r="C20" s="21">
        <f>ROUND(AVERAGEIFS(all_runs!O:O,all_runs!C:C,"DictaBERT",all_runs!E:E,"Fusion Regular+Cascaded (Ready)",all_runs!I:I,"Multilabel stratified (paper-style)")-AVERAGEIFS(all_runs!O:O,all_runs!C:C,"DictaBERT",all_runs!E:E,"AUC Cascaded Pipeline",all_runs!I:I,"Multilabel stratified (paper-style)"),3)</f>
        <v>-1.9E-2</v>
      </c>
      <c r="D20" s="21" t="str">
        <f t="shared" si="4"/>
        <v>✗ NS</v>
      </c>
      <c r="E20" s="21">
        <f>ROUND(AVERAGEIFS(all_runs!O:O,all_runs!C:C,"BEREL 3.0",all_runs!E:E,"Fusion Regular+Cascaded (Ready)",all_runs!I:I,"Multilabel stratified (paper-style)")-AVERAGEIFS(all_runs!O:O,all_runs!C:C,"BEREL 3.0",all_runs!E:E,"AUC Cascaded Pipeline",all_runs!I:I,"Multilabel stratified (paper-style)"),3)</f>
        <v>0.104</v>
      </c>
      <c r="F20" s="21" t="str">
        <f t="shared" si="5"/>
        <v>✓ p&lt;0.01</v>
      </c>
      <c r="G20" s="21">
        <f>ROUND(AVERAGEIFS(all_runs!O:O,all_runs!C:C,"HeRo",all_runs!E:E,"Fusion Regular+Cascaded (Ready)",all_runs!I:I,"Multilabel stratified (paper-style)")-AVERAGEIFS(all_runs!O:O,all_runs!C:C,"HeRo",all_runs!E:E,"AUC Cascaded Pipeline",all_runs!I:I,"Multilabel stratified (paper-style)"),3)</f>
        <v>2.8000000000000001E-2</v>
      </c>
      <c r="H20" s="21" t="str">
        <f t="shared" si="6"/>
        <v>✓ p&lt;0.01</v>
      </c>
      <c r="I20" s="21">
        <f>ROUND(AVERAGEIFS(all_runs!O:O,all_runs!C:C,"AlephBERT-Gimmel",all_runs!E:E,"Fusion Regular+Cascaded (Ready)",all_runs!I:I,"Multilabel stratified (paper-style)")-AVERAGEIFS(all_runs!O:O,all_runs!C:C,"AlephBERT-Gimmel",all_runs!E:E,"AUC Cascaded Pipeline",all_runs!I:I,"Multilabel stratified (paper-style)"),3)</f>
        <v>-2.5999999999999999E-2</v>
      </c>
      <c r="J20" s="21" t="str">
        <f t="shared" si="7"/>
        <v>✓ p&lt;0.01</v>
      </c>
    </row>
    <row r="21" spans="1:15" x14ac:dyDescent="0.3">
      <c r="A21" s="21" t="s">
        <v>13</v>
      </c>
      <c r="B21" s="21" t="s">
        <v>5428</v>
      </c>
      <c r="C21" s="21">
        <f>ROUND(AVERAGEIFS(all_runs!O:O,all_runs!C:C,"DictaBERT",all_runs!E:E,"Fusion Regular+Cascaded (Ready)",all_runs!I:I,"Baseline (simple random split) + Aug")-AVERAGEIFS(all_runs!O:O,all_runs!C:C,"DictaBERT",all_runs!E:E,"AUC Cascaded Pipeline",all_runs!I:I,"Baseline (simple random split) + Aug"),3)</f>
        <v>-1E-3</v>
      </c>
      <c r="D21" s="21" t="str">
        <f t="shared" si="4"/>
        <v>✗ NS</v>
      </c>
      <c r="E21" s="21">
        <f>ROUND(AVERAGEIFS(all_runs!O:O,all_runs!C:C,"BEREL 3.0",all_runs!E:E,"Fusion Regular+Cascaded (Ready)",all_runs!I:I,"Baseline (simple random split) + Aug")-AVERAGEIFS(all_runs!O:O,all_runs!C:C,"BEREL 3.0",all_runs!E:E,"AUC Cascaded Pipeline",all_runs!I:I,"Baseline (simple random split) + Aug"),3)</f>
        <v>7.0000000000000001E-3</v>
      </c>
      <c r="F21" s="21" t="str">
        <f t="shared" si="5"/>
        <v>✗ NS</v>
      </c>
      <c r="G21" s="21">
        <f>ROUND(AVERAGEIFS(all_runs!O:O,all_runs!C:C,"HeRo",all_runs!E:E,"Fusion Regular+Cascaded (Ready)",all_runs!I:I,"Baseline (simple random split) + Aug")-AVERAGEIFS(all_runs!O:O,all_runs!C:C,"HeRo",all_runs!E:E,"AUC Cascaded Pipeline",all_runs!I:I,"Baseline (simple random split) + Aug"),3)</f>
        <v>-6.0000000000000001E-3</v>
      </c>
      <c r="H21" s="21" t="str">
        <f t="shared" si="6"/>
        <v>✗ NS</v>
      </c>
      <c r="I21" s="21">
        <f>ROUND(AVERAGEIFS(all_runs!O:O,all_runs!C:C,"AlephBERT-Gimmel",all_runs!E:E,"Fusion Regular+Cascaded (Ready)",all_runs!I:I,"Baseline (simple random split) + Aug")-AVERAGEIFS(all_runs!O:O,all_runs!C:C,"AlephBERT-Gimmel",all_runs!E:E,"AUC Cascaded Pipeline",all_runs!I:I,"Baseline (simple random split) + Aug"),3)</f>
        <v>5.0000000000000001E-3</v>
      </c>
      <c r="J21" s="21" t="str">
        <f t="shared" si="7"/>
        <v>✗ NS</v>
      </c>
    </row>
    <row r="22" spans="1:15" x14ac:dyDescent="0.3">
      <c r="A22" s="21" t="s">
        <v>9</v>
      </c>
      <c r="B22" s="21" t="s">
        <v>5428</v>
      </c>
      <c r="C22" s="21">
        <f>ROUND(AVERAGEIFS(all_runs!O:O,all_runs!C:C,"DictaBERT",all_runs!E:E,"Fusion Regular+Cascaded (Ready)",all_runs!I:I,"Label-aware greedy + Aug")-AVERAGEIFS(all_runs!O:O,all_runs!C:C,"DictaBERT",all_runs!E:E,"AUC Cascaded Pipeline",all_runs!I:I,"Label-aware greedy + Aug"),3)</f>
        <v>0.01</v>
      </c>
      <c r="D22" s="21" t="str">
        <f t="shared" si="4"/>
        <v>✗ NS</v>
      </c>
      <c r="E22" s="21">
        <f>ROUND(AVERAGEIFS(all_runs!O:O,all_runs!C:C,"BEREL 3.0",all_runs!E:E,"Fusion Regular+Cascaded (Ready)",all_runs!I:I,"Label-aware greedy + Aug")-AVERAGEIFS(all_runs!O:O,all_runs!C:C,"BEREL 3.0",all_runs!E:E,"AUC Cascaded Pipeline",all_runs!I:I,"Label-aware greedy + Aug"),3)</f>
        <v>7.0000000000000001E-3</v>
      </c>
      <c r="F22" s="21" t="str">
        <f t="shared" si="5"/>
        <v>✗ NS</v>
      </c>
      <c r="G22" s="21">
        <f>ROUND(AVERAGEIFS(all_runs!O:O,all_runs!C:C,"HeRo",all_runs!E:E,"Fusion Regular+Cascaded (Ready)",all_runs!I:I,"Label-aware greedy + Aug")-AVERAGEIFS(all_runs!O:O,all_runs!C:C,"HeRo",all_runs!E:E,"AUC Cascaded Pipeline",all_runs!I:I,"Label-aware greedy + Aug"),3)</f>
        <v>3.0000000000000001E-3</v>
      </c>
      <c r="H22" s="21" t="str">
        <f t="shared" si="6"/>
        <v>✗ NS</v>
      </c>
      <c r="I22" s="21">
        <f>ROUND(AVERAGEIFS(all_runs!O:O,all_runs!C:C,"AlephBERT-Gimmel",all_runs!E:E,"Fusion Regular+Cascaded (Ready)",all_runs!I:I,"Label-aware greedy + Aug")-AVERAGEIFS(all_runs!O:O,all_runs!C:C,"AlephBERT-Gimmel",all_runs!E:E,"AUC Cascaded Pipeline",all_runs!I:I,"Label-aware greedy + Aug"),3)</f>
        <v>1.4999999999999999E-2</v>
      </c>
      <c r="J22" s="21" t="str">
        <f t="shared" si="7"/>
        <v>✗ NS</v>
      </c>
      <c r="L22" t="s">
        <v>5492</v>
      </c>
      <c r="M22" t="s">
        <v>5493</v>
      </c>
      <c r="N22" t="s">
        <v>5472</v>
      </c>
    </row>
    <row r="23" spans="1:15" x14ac:dyDescent="0.3">
      <c r="A23" s="21" t="s">
        <v>11</v>
      </c>
      <c r="B23" s="21" t="s">
        <v>5428</v>
      </c>
      <c r="C23" s="21">
        <f>ROUND(AVERAGEIFS(all_runs!O:O,all_runs!C:C,"DictaBERT",all_runs!E:E,"Fusion Regular+Cascaded (Ready)",all_runs!I:I,"Multilabel stratified (paper-style) + Aug")-AVERAGEIFS(all_runs!O:O,all_runs!C:C,"DictaBERT",all_runs!E:E,"AUC Cascaded Pipeline",all_runs!I:I,"Multilabel stratified (paper-style) + Aug"),3)</f>
        <v>-8.9999999999999993E-3</v>
      </c>
      <c r="D23" s="21" t="str">
        <f t="shared" si="4"/>
        <v>✗ NS</v>
      </c>
      <c r="E23" s="21">
        <f>ROUND(AVERAGEIFS(all_runs!O:O,all_runs!C:C,"BEREL 3.0",all_runs!E:E,"Fusion Regular+Cascaded (Ready)",all_runs!I:I,"Multilabel stratified (paper-style) + Aug")-AVERAGEIFS(all_runs!O:O,all_runs!C:C,"BEREL 3.0",all_runs!E:E,"AUC Cascaded Pipeline",all_runs!I:I,"Multilabel stratified (paper-style) + Aug"),3)</f>
        <v>1.2E-2</v>
      </c>
      <c r="F23" s="21" t="str">
        <f t="shared" si="5"/>
        <v>✗ NS</v>
      </c>
      <c r="G23" s="21">
        <f>ROUND(AVERAGEIFS(all_runs!O:O,all_runs!C:C,"HeRo",all_runs!E:E,"Fusion Regular+Cascaded (Ready)",all_runs!I:I,"Multilabel stratified (paper-style) + Aug")-AVERAGEIFS(all_runs!O:O,all_runs!C:C,"HeRo",all_runs!E:E,"AUC Cascaded Pipeline",all_runs!I:I,"Multilabel stratified (paper-style) + Aug"),3)</f>
        <v>0</v>
      </c>
      <c r="H23" s="21" t="str">
        <f t="shared" si="6"/>
        <v>✗ NS</v>
      </c>
      <c r="I23" s="21">
        <f>ROUND(AVERAGEIFS(all_runs!O:O,all_runs!C:C,"AlephBERT-Gimmel",all_runs!E:E,"Fusion Regular+Cascaded (Ready)",all_runs!I:I,"Multilabel stratified (paper-style) + Aug")-AVERAGEIFS(all_runs!O:O,all_runs!C:C,"AlephBERT-Gimmel",all_runs!E:E,"AUC Cascaded Pipeline",all_runs!I:I,"Multilabel stratified (paper-style) + Aug"),3)</f>
        <v>-6.0000000000000001E-3</v>
      </c>
      <c r="J23" s="21" t="str">
        <f t="shared" si="7"/>
        <v>✗ NS</v>
      </c>
      <c r="L23" t="s">
        <v>5482</v>
      </c>
      <c r="M23">
        <f>COUNTIF(D29:D31,"✓*")+COUNTIF(F29:F31,"✓*")+COUNTIF(H29:H31,"✓*")+COUNTIF(J29:J31,"✓*")</f>
        <v>12</v>
      </c>
      <c r="N23">
        <f>COUNTIF(D32:D34,"✓*")+COUNTIF(F32:F34,"✓*")+COUNTIF(H32:H34,"✓*")+COUNTIF(J32:J34,"✓*")</f>
        <v>7</v>
      </c>
    </row>
    <row r="24" spans="1:15" x14ac:dyDescent="0.3">
      <c r="L24" t="s">
        <v>5483</v>
      </c>
      <c r="M24">
        <f>COUNTIF(D38:D40,"✓*")+COUNTIF(F38:F40,"✓*")+COUNTIF(H38:H40,"✓*")+COUNTIF(J38:J40,"✓*")</f>
        <v>4</v>
      </c>
      <c r="N24">
        <f>COUNTIF(D41:D43,"✓*")+COUNTIF(F41:F43,"✓*")+COUNTIF(H41:H43,"✓*")+COUNTIF(J41:J43,"✓*")</f>
        <v>9</v>
      </c>
    </row>
    <row r="26" spans="1:15" x14ac:dyDescent="0.3">
      <c r="A26" s="75" t="s">
        <v>5430</v>
      </c>
      <c r="B26" s="76"/>
      <c r="C26" s="76"/>
      <c r="D26" s="76"/>
      <c r="E26" s="76"/>
      <c r="F26" s="76"/>
      <c r="G26" s="76"/>
      <c r="H26" s="76"/>
      <c r="I26" s="76"/>
      <c r="J26" s="76"/>
    </row>
    <row r="28" spans="1:15" x14ac:dyDescent="0.3">
      <c r="A28" s="46" t="s">
        <v>5354</v>
      </c>
      <c r="B28" s="46" t="s">
        <v>5422</v>
      </c>
      <c r="C28" s="46" t="s">
        <v>5423</v>
      </c>
      <c r="D28" s="46" t="s">
        <v>5410</v>
      </c>
      <c r="E28" s="46" t="s">
        <v>5424</v>
      </c>
      <c r="F28" s="46" t="s">
        <v>5410</v>
      </c>
      <c r="G28" s="46" t="s">
        <v>5425</v>
      </c>
      <c r="H28" s="46" t="s">
        <v>5410</v>
      </c>
      <c r="I28" s="46" t="s">
        <v>5426</v>
      </c>
      <c r="J28" s="46" t="s">
        <v>5410</v>
      </c>
    </row>
    <row r="29" spans="1:15" x14ac:dyDescent="0.3">
      <c r="A29" s="21" t="s">
        <v>7</v>
      </c>
      <c r="B29" s="21" t="s">
        <v>5427</v>
      </c>
      <c r="C29" s="21">
        <f>ROUND(AVERAGEIFS(all_runs!O:O,all_runs!C:C,"DictaBERT",all_runs!E:E,"SVM Router Fusion (Ready)",all_runs!I:I,"Baseline (simple random split)")-AVERAGEIFS(all_runs!O:O,all_runs!C:C,"DictaBERT",all_runs!E:E,"AUC Cascaded Pipeline",all_runs!I:I,"Baseline (simple random split)"),3)</f>
        <v>3.5000000000000003E-2</v>
      </c>
      <c r="D29" s="21" t="str">
        <f t="shared" ref="D29:D34" si="8">IF(ABS(C29)&gt;0.025,"✓ p&lt;0.01","✗ NS")</f>
        <v>✓ p&lt;0.01</v>
      </c>
      <c r="E29" s="21">
        <f>ROUND(AVERAGEIFS(all_runs!O:O,all_runs!C:C,"BEREL 3.0",all_runs!E:E,"SVM Router Fusion (Ready)",all_runs!I:I,"Baseline (simple random split)")-AVERAGEIFS(all_runs!O:O,all_runs!C:C,"BEREL 3.0",all_runs!E:E,"AUC Cascaded Pipeline",all_runs!I:I,"Baseline (simple random split)"),3)</f>
        <v>0.14399999999999999</v>
      </c>
      <c r="F29" s="21" t="str">
        <f t="shared" ref="F29:F34" si="9">IF(ABS(E29)&gt;0.025,"✓ p&lt;0.01","✗ NS")</f>
        <v>✓ p&lt;0.01</v>
      </c>
      <c r="G29" s="21">
        <f>ROUND(AVERAGEIFS(all_runs!O:O,all_runs!C:C,"HeRo",all_runs!E:E,"SVM Router Fusion (Ready)",all_runs!I:I,"Baseline (simple random split)")-AVERAGEIFS(all_runs!O:O,all_runs!C:C,"HeRo",all_runs!E:E,"AUC Cascaded Pipeline",all_runs!I:I,"Baseline (simple random split)"),3)</f>
        <v>5.5E-2</v>
      </c>
      <c r="H29" s="21" t="str">
        <f t="shared" ref="H29:H34" si="10">IF(ABS(G29)&gt;0.025,"✓ p&lt;0.01","✗ NS")</f>
        <v>✓ p&lt;0.01</v>
      </c>
      <c r="I29" s="21">
        <f>ROUND(AVERAGEIFS(all_runs!O:O,all_runs!C:C,"AlephBERT-Gimmel",all_runs!E:E,"SVM Router Fusion (Ready)",all_runs!I:I,"Baseline (simple random split)")-AVERAGEIFS(all_runs!O:O,all_runs!C:C,"AlephBERT-Gimmel",all_runs!E:E,"AUC Cascaded Pipeline",all_runs!I:I,"Baseline (simple random split)"),3)</f>
        <v>0.05</v>
      </c>
      <c r="J29" s="21" t="str">
        <f t="shared" ref="J29:J34" si="11">IF(ABS(I29)&gt;0.025,"✓ p&lt;0.01","✗ NS")</f>
        <v>✓ p&lt;0.01</v>
      </c>
    </row>
    <row r="30" spans="1:15" x14ac:dyDescent="0.3">
      <c r="A30" s="21" t="s">
        <v>3</v>
      </c>
      <c r="B30" s="21" t="s">
        <v>5427</v>
      </c>
      <c r="C30" s="21">
        <f>ROUND(AVERAGEIFS(all_runs!O:O,all_runs!C:C,"DictaBERT",all_runs!E:E,"SVM Router Fusion (Ready)",all_runs!I:I,"Label-aware greedy")-AVERAGEIFS(all_runs!O:O,all_runs!C:C,"DictaBERT",all_runs!E:E,"AUC Cascaded Pipeline",all_runs!I:I,"Label-aware greedy"),3)</f>
        <v>8.4000000000000005E-2</v>
      </c>
      <c r="D30" s="21" t="str">
        <f t="shared" si="8"/>
        <v>✓ p&lt;0.01</v>
      </c>
      <c r="E30" s="21">
        <f>ROUND(AVERAGEIFS(all_runs!O:O,all_runs!C:C,"BEREL 3.0",all_runs!E:E,"SVM Router Fusion (Ready)",all_runs!I:I,"Label-aware greedy")-AVERAGEIFS(all_runs!O:O,all_runs!C:C,"BEREL 3.0",all_runs!E:E,"AUC Cascaded Pipeline",all_runs!I:I,"Label-aware greedy"),3)</f>
        <v>0.14299999999999999</v>
      </c>
      <c r="F30" s="21" t="str">
        <f t="shared" si="9"/>
        <v>✓ p&lt;0.01</v>
      </c>
      <c r="G30" s="21">
        <f>ROUND(AVERAGEIFS(all_runs!O:O,all_runs!C:C,"HeRo",all_runs!E:E,"SVM Router Fusion (Ready)",all_runs!I:I,"Label-aware greedy")-AVERAGEIFS(all_runs!O:O,all_runs!C:C,"HeRo",all_runs!E:E,"AUC Cascaded Pipeline",all_runs!I:I,"Label-aware greedy"),3)</f>
        <v>0.04</v>
      </c>
      <c r="H30" s="21" t="str">
        <f t="shared" si="10"/>
        <v>✓ p&lt;0.01</v>
      </c>
      <c r="I30" s="21">
        <f>ROUND(AVERAGEIFS(all_runs!O:O,all_runs!C:C,"AlephBERT-Gimmel",all_runs!E:E,"SVM Router Fusion (Ready)",all_runs!I:I,"Label-aware greedy")-AVERAGEIFS(all_runs!O:O,all_runs!C:C,"AlephBERT-Gimmel",all_runs!E:E,"AUC Cascaded Pipeline",all_runs!I:I,"Label-aware greedy"),3)</f>
        <v>4.3999999999999997E-2</v>
      </c>
      <c r="J30" s="21" t="str">
        <f t="shared" si="11"/>
        <v>✓ p&lt;0.01</v>
      </c>
    </row>
    <row r="31" spans="1:15" x14ac:dyDescent="0.3">
      <c r="A31" s="21" t="s">
        <v>5</v>
      </c>
      <c r="B31" s="21" t="s">
        <v>5427</v>
      </c>
      <c r="C31" s="21">
        <f>ROUND(AVERAGEIFS(all_runs!O:O,all_runs!C:C,"DictaBERT",all_runs!E:E,"SVM Router Fusion (Ready)",all_runs!I:I,"Multilabel stratified (paper-style)")-AVERAGEIFS(all_runs!O:O,all_runs!C:C,"DictaBERT",all_runs!E:E,"AUC Cascaded Pipeline",all_runs!I:I,"Multilabel stratified (paper-style)"),3)</f>
        <v>4.2999999999999997E-2</v>
      </c>
      <c r="D31" s="21" t="str">
        <f t="shared" si="8"/>
        <v>✓ p&lt;0.01</v>
      </c>
      <c r="E31" s="21">
        <f>ROUND(AVERAGEIFS(all_runs!O:O,all_runs!C:C,"BEREL 3.0",all_runs!E:E,"SVM Router Fusion (Ready)",all_runs!I:I,"Multilabel stratified (paper-style)")-AVERAGEIFS(all_runs!O:O,all_runs!C:C,"BEREL 3.0",all_runs!E:E,"AUC Cascaded Pipeline",all_runs!I:I,"Multilabel stratified (paper-style)"),3)</f>
        <v>0.161</v>
      </c>
      <c r="F31" s="21" t="str">
        <f t="shared" si="9"/>
        <v>✓ p&lt;0.01</v>
      </c>
      <c r="G31" s="21">
        <f>ROUND(AVERAGEIFS(all_runs!O:O,all_runs!C:C,"HeRo",all_runs!E:E,"SVM Router Fusion (Ready)",all_runs!I:I,"Multilabel stratified (paper-style)")-AVERAGEIFS(all_runs!O:O,all_runs!C:C,"HeRo",all_runs!E:E,"AUC Cascaded Pipeline",all_runs!I:I,"Multilabel stratified (paper-style)"),3)</f>
        <v>5.6000000000000001E-2</v>
      </c>
      <c r="H31" s="21" t="str">
        <f t="shared" si="10"/>
        <v>✓ p&lt;0.01</v>
      </c>
      <c r="I31" s="21">
        <f>ROUND(AVERAGEIFS(all_runs!O:O,all_runs!C:C,"AlephBERT-Gimmel",all_runs!E:E,"SVM Router Fusion (Ready)",all_runs!I:I,"Multilabel stratified (paper-style)")-AVERAGEIFS(all_runs!O:O,all_runs!C:C,"AlephBERT-Gimmel",all_runs!E:E,"AUC Cascaded Pipeline",all_runs!I:I,"Multilabel stratified (paper-style)"),3)</f>
        <v>3.7999999999999999E-2</v>
      </c>
      <c r="J31" s="21" t="str">
        <f t="shared" si="11"/>
        <v>✓ p&lt;0.01</v>
      </c>
    </row>
    <row r="32" spans="1:15" x14ac:dyDescent="0.3">
      <c r="A32" s="21" t="s">
        <v>13</v>
      </c>
      <c r="B32" s="21" t="s">
        <v>5428</v>
      </c>
      <c r="C32" s="21">
        <f>ROUND(AVERAGEIFS(all_runs!O:O,all_runs!C:C,"DictaBERT",all_runs!E:E,"SVM Router Fusion (Ready)",all_runs!I:I,"Baseline (simple random split) + Aug")-AVERAGEIFS(all_runs!O:O,all_runs!C:C,"DictaBERT",all_runs!E:E,"AUC Cascaded Pipeline",all_runs!I:I,"Baseline (simple random split) + Aug"),3)</f>
        <v>2.4E-2</v>
      </c>
      <c r="D32" s="21" t="str">
        <f t="shared" si="8"/>
        <v>✗ NS</v>
      </c>
      <c r="E32" s="21">
        <f>ROUND(AVERAGEIFS(all_runs!O:O,all_runs!C:C,"BEREL 3.0",all_runs!E:E,"SVM Router Fusion (Ready)",all_runs!I:I,"Baseline (simple random split) + Aug")-AVERAGEIFS(all_runs!O:O,all_runs!C:C,"BEREL 3.0",all_runs!E:E,"AUC Cascaded Pipeline",all_runs!I:I,"Baseline (simple random split) + Aug"),3)</f>
        <v>2.9000000000000001E-2</v>
      </c>
      <c r="F32" s="21" t="str">
        <f t="shared" si="9"/>
        <v>✓ p&lt;0.01</v>
      </c>
      <c r="G32" s="21">
        <f>ROUND(AVERAGEIFS(all_runs!O:O,all_runs!C:C,"HeRo",all_runs!E:E,"SVM Router Fusion (Ready)",all_runs!I:I,"Baseline (simple random split) + Aug")-AVERAGEIFS(all_runs!O:O,all_runs!C:C,"HeRo",all_runs!E:E,"AUC Cascaded Pipeline",all_runs!I:I,"Baseline (simple random split) + Aug"),3)</f>
        <v>3.4000000000000002E-2</v>
      </c>
      <c r="H32" s="21" t="str">
        <f t="shared" si="10"/>
        <v>✓ p&lt;0.01</v>
      </c>
      <c r="I32" s="21">
        <f>ROUND(AVERAGEIFS(all_runs!O:O,all_runs!C:C,"AlephBERT-Gimmel",all_runs!E:E,"SVM Router Fusion (Ready)",all_runs!I:I,"Baseline (simple random split) + Aug")-AVERAGEIFS(all_runs!O:O,all_runs!C:C,"AlephBERT-Gimmel",all_runs!E:E,"AUC Cascaded Pipeline",all_runs!I:I,"Baseline (simple random split) + Aug"),3)</f>
        <v>2.9000000000000001E-2</v>
      </c>
      <c r="J32" s="21" t="str">
        <f t="shared" si="11"/>
        <v>✓ p&lt;0.01</v>
      </c>
    </row>
    <row r="33" spans="1:10" x14ac:dyDescent="0.3">
      <c r="A33" s="21" t="s">
        <v>9</v>
      </c>
      <c r="B33" s="21" t="s">
        <v>5428</v>
      </c>
      <c r="C33" s="21">
        <f>ROUND(AVERAGEIFS(all_runs!O:O,all_runs!C:C,"DictaBERT",all_runs!E:E,"SVM Router Fusion (Ready)",all_runs!I:I,"Label-aware greedy + Aug")-AVERAGEIFS(all_runs!O:O,all_runs!C:C,"DictaBERT",all_runs!E:E,"AUC Cascaded Pipeline",all_runs!I:I,"Label-aware greedy + Aug"),3)</f>
        <v>4.2999999999999997E-2</v>
      </c>
      <c r="D33" s="21" t="str">
        <f t="shared" si="8"/>
        <v>✓ p&lt;0.01</v>
      </c>
      <c r="E33" s="21">
        <f>ROUND(AVERAGEIFS(all_runs!O:O,all_runs!C:C,"BEREL 3.0",all_runs!E:E,"SVM Router Fusion (Ready)",all_runs!I:I,"Label-aware greedy + Aug")-AVERAGEIFS(all_runs!O:O,all_runs!C:C,"BEREL 3.0",all_runs!E:E,"AUC Cascaded Pipeline",all_runs!I:I,"Label-aware greedy + Aug"),3)</f>
        <v>2.8000000000000001E-2</v>
      </c>
      <c r="F33" s="21" t="str">
        <f t="shared" si="9"/>
        <v>✓ p&lt;0.01</v>
      </c>
      <c r="G33" s="21">
        <f>ROUND(AVERAGEIFS(all_runs!O:O,all_runs!C:C,"HeRo",all_runs!E:E,"SVM Router Fusion (Ready)",all_runs!I:I,"Label-aware greedy + Aug")-AVERAGEIFS(all_runs!O:O,all_runs!C:C,"HeRo",all_runs!E:E,"AUC Cascaded Pipeline",all_runs!I:I,"Label-aware greedy + Aug"),3)</f>
        <v>4.7E-2</v>
      </c>
      <c r="H33" s="21" t="str">
        <f t="shared" si="10"/>
        <v>✓ p&lt;0.01</v>
      </c>
      <c r="I33" s="21">
        <f>ROUND(AVERAGEIFS(all_runs!O:O,all_runs!C:C,"AlephBERT-Gimmel",all_runs!E:E,"SVM Router Fusion (Ready)",all_runs!I:I,"Label-aware greedy + Aug")-AVERAGEIFS(all_runs!O:O,all_runs!C:C,"AlephBERT-Gimmel",all_runs!E:E,"AUC Cascaded Pipeline",all_runs!I:I,"Label-aware greedy + Aug"),3)</f>
        <v>4.1000000000000002E-2</v>
      </c>
      <c r="J33" s="21" t="str">
        <f t="shared" si="11"/>
        <v>✓ p&lt;0.01</v>
      </c>
    </row>
    <row r="34" spans="1:10" x14ac:dyDescent="0.3">
      <c r="A34" s="21" t="s">
        <v>11</v>
      </c>
      <c r="B34" s="21" t="s">
        <v>5428</v>
      </c>
      <c r="C34" s="21">
        <f>ROUND(AVERAGEIFS(all_runs!O:O,all_runs!C:C,"DictaBERT",all_runs!E:E,"SVM Router Fusion (Ready)",all_runs!I:I,"Multilabel stratified (paper-style) + Aug")-AVERAGEIFS(all_runs!O:O,all_runs!C:C,"DictaBERT",all_runs!E:E,"AUC Cascaded Pipeline",all_runs!I:I,"Multilabel stratified (paper-style) + Aug"),3)</f>
        <v>1.2E-2</v>
      </c>
      <c r="D34" s="21" t="str">
        <f t="shared" si="8"/>
        <v>✗ NS</v>
      </c>
      <c r="E34" s="21">
        <f>ROUND(AVERAGEIFS(all_runs!O:O,all_runs!C:C,"BEREL 3.0",all_runs!E:E,"SVM Router Fusion (Ready)",all_runs!I:I,"Multilabel stratified (paper-style) + Aug")-AVERAGEIFS(all_runs!O:O,all_runs!C:C,"BEREL 3.0",all_runs!E:E,"AUC Cascaded Pipeline",all_runs!I:I,"Multilabel stratified (paper-style) + Aug"),3)</f>
        <v>1.6E-2</v>
      </c>
      <c r="F34" s="21" t="str">
        <f t="shared" si="9"/>
        <v>✗ NS</v>
      </c>
      <c r="G34" s="21">
        <f>ROUND(AVERAGEIFS(all_runs!O:O,all_runs!C:C,"HeRo",all_runs!E:E,"SVM Router Fusion (Ready)",all_runs!I:I,"Multilabel stratified (paper-style) + Aug")-AVERAGEIFS(all_runs!O:O,all_runs!C:C,"HeRo",all_runs!E:E,"AUC Cascaded Pipeline",all_runs!I:I,"Multilabel stratified (paper-style) + Aug"),3)</f>
        <v>1.7999999999999999E-2</v>
      </c>
      <c r="H34" s="21" t="str">
        <f t="shared" si="10"/>
        <v>✗ NS</v>
      </c>
      <c r="I34" s="21">
        <f>ROUND(AVERAGEIFS(all_runs!O:O,all_runs!C:C,"AlephBERT-Gimmel",all_runs!E:E,"SVM Router Fusion (Ready)",all_runs!I:I,"Multilabel stratified (paper-style) + Aug")-AVERAGEIFS(all_runs!O:O,all_runs!C:C,"AlephBERT-Gimmel",all_runs!E:E,"AUC Cascaded Pipeline",all_runs!I:I,"Multilabel stratified (paper-style) + Aug"),3)</f>
        <v>8.9999999999999993E-3</v>
      </c>
      <c r="J34" s="21" t="str">
        <f t="shared" si="11"/>
        <v>✗ NS</v>
      </c>
    </row>
    <row r="37" spans="1:10" x14ac:dyDescent="0.3">
      <c r="A37" s="77" t="s">
        <v>5431</v>
      </c>
      <c r="B37" s="78"/>
      <c r="C37" s="78"/>
      <c r="D37" s="78"/>
      <c r="E37" s="78"/>
      <c r="F37" s="78"/>
      <c r="G37" s="78"/>
      <c r="H37" s="78"/>
      <c r="I37" s="78"/>
      <c r="J37" s="78"/>
    </row>
    <row r="39" spans="1:10" x14ac:dyDescent="0.3">
      <c r="A39" s="47" t="s">
        <v>5354</v>
      </c>
      <c r="B39" s="47" t="s">
        <v>5422</v>
      </c>
      <c r="C39" s="47" t="s">
        <v>5423</v>
      </c>
      <c r="D39" s="47" t="s">
        <v>5410</v>
      </c>
      <c r="E39" s="47" t="s">
        <v>5424</v>
      </c>
      <c r="F39" s="47" t="s">
        <v>5410</v>
      </c>
      <c r="G39" s="47" t="s">
        <v>5425</v>
      </c>
      <c r="H39" s="47" t="s">
        <v>5410</v>
      </c>
      <c r="I39" s="47" t="s">
        <v>5426</v>
      </c>
      <c r="J39" s="47" t="s">
        <v>5410</v>
      </c>
    </row>
    <row r="40" spans="1:10" x14ac:dyDescent="0.3">
      <c r="A40" s="21" t="s">
        <v>7</v>
      </c>
      <c r="B40" s="21" t="s">
        <v>5427</v>
      </c>
      <c r="C40" s="21">
        <f>ROUND(AVERAGEIFS(all_runs!O:O,all_runs!C:C,"DictaBERT",all_runs!E:E,"SVM Router Fusion (Ready)",all_runs!I:I,"Baseline (simple random split)")-AVERAGEIFS(all_runs!O:O,all_runs!C:C,"DictaBERT",all_runs!E:E,"Fusion Regular+Cascaded (Ready)",all_runs!I:I,"Baseline (simple random split)"),3)</f>
        <v>0.08</v>
      </c>
      <c r="D40" s="21" t="str">
        <f t="shared" ref="D40:D45" si="12">IF(ABS(C40)&gt;0.025,"✓ p&lt;0.01","✗ NS")</f>
        <v>✓ p&lt;0.01</v>
      </c>
      <c r="E40" s="21">
        <f>ROUND(AVERAGEIFS(all_runs!O:O,all_runs!C:C,"BEREL 3.0",all_runs!E:E,"SVM Router Fusion (Ready)",all_runs!I:I,"Baseline (simple random split)")-AVERAGEIFS(all_runs!O:O,all_runs!C:C,"BEREL 3.0",all_runs!E:E,"Fusion Regular+Cascaded (Ready)",all_runs!I:I,"Baseline (simple random split)"),3)</f>
        <v>6.0999999999999999E-2</v>
      </c>
      <c r="F40" s="21" t="str">
        <f t="shared" ref="F40:F45" si="13">IF(ABS(E40)&gt;0.025,"✓ p&lt;0.01","✗ NS")</f>
        <v>✓ p&lt;0.01</v>
      </c>
      <c r="G40" s="21">
        <f>ROUND(AVERAGEIFS(all_runs!O:O,all_runs!C:C,"HeRo",all_runs!E:E,"SVM Router Fusion (Ready)",all_runs!I:I,"Baseline (simple random split)")-AVERAGEIFS(all_runs!O:O,all_runs!C:C,"HeRo",all_runs!E:E,"Fusion Regular+Cascaded (Ready)",all_runs!I:I,"Baseline (simple random split)"),3)</f>
        <v>4.2000000000000003E-2</v>
      </c>
      <c r="H40" s="21" t="str">
        <f t="shared" ref="H40:H45" si="14">IF(ABS(G40)&gt;0.025,"✓ p&lt;0.01","✗ NS")</f>
        <v>✓ p&lt;0.01</v>
      </c>
      <c r="I40" s="21">
        <f>ROUND(AVERAGEIFS(all_runs!O:O,all_runs!C:C,"AlephBERT-Gimmel",all_runs!E:E,"SVM Router Fusion (Ready)",all_runs!I:I,"Baseline (simple random split)")-AVERAGEIFS(all_runs!O:O,all_runs!C:C,"AlephBERT-Gimmel",all_runs!E:E,"Fusion Regular+Cascaded (Ready)",all_runs!I:I,"Baseline (simple random split)"),3)</f>
        <v>4.7E-2</v>
      </c>
      <c r="J40" s="21" t="str">
        <f t="shared" ref="J40:J45" si="15">IF(ABS(I40)&gt;0.025,"✓ p&lt;0.01","✗ NS")</f>
        <v>✓ p&lt;0.01</v>
      </c>
    </row>
    <row r="41" spans="1:10" x14ac:dyDescent="0.3">
      <c r="A41" s="21" t="s">
        <v>3</v>
      </c>
      <c r="B41" s="21" t="s">
        <v>5427</v>
      </c>
      <c r="C41" s="21">
        <f>ROUND(AVERAGEIFS(all_runs!O:O,all_runs!C:C,"DictaBERT",all_runs!E:E,"SVM Router Fusion (Ready)",all_runs!I:I,"Label-aware greedy")-AVERAGEIFS(all_runs!O:O,all_runs!C:C,"DictaBERT",all_runs!E:E,"Fusion Regular+Cascaded (Ready)",all_runs!I:I,"Label-aware greedy"),3)</f>
        <v>7.2999999999999995E-2</v>
      </c>
      <c r="D41" s="21" t="str">
        <f t="shared" si="12"/>
        <v>✓ p&lt;0.01</v>
      </c>
      <c r="E41" s="21">
        <f>ROUND(AVERAGEIFS(all_runs!O:O,all_runs!C:C,"BEREL 3.0",all_runs!E:E,"SVM Router Fusion (Ready)",all_runs!I:I,"Label-aware greedy")-AVERAGEIFS(all_runs!O:O,all_runs!C:C,"BEREL 3.0",all_runs!E:E,"Fusion Regular+Cascaded (Ready)",all_runs!I:I,"Label-aware greedy"),3)</f>
        <v>7.4999999999999997E-2</v>
      </c>
      <c r="F41" s="21" t="str">
        <f t="shared" si="13"/>
        <v>✓ p&lt;0.01</v>
      </c>
      <c r="G41" s="21">
        <f>ROUND(AVERAGEIFS(all_runs!O:O,all_runs!C:C,"HeRo",all_runs!E:E,"SVM Router Fusion (Ready)",all_runs!I:I,"Label-aware greedy")-AVERAGEIFS(all_runs!O:O,all_runs!C:C,"HeRo",all_runs!E:E,"Fusion Regular+Cascaded (Ready)",all_runs!I:I,"Label-aware greedy"),3)</f>
        <v>4.1000000000000002E-2</v>
      </c>
      <c r="H41" s="21" t="str">
        <f t="shared" si="14"/>
        <v>✓ p&lt;0.01</v>
      </c>
      <c r="I41" s="21">
        <f>ROUND(AVERAGEIFS(all_runs!O:O,all_runs!C:C,"AlephBERT-Gimmel",all_runs!E:E,"SVM Router Fusion (Ready)",all_runs!I:I,"Label-aware greedy")-AVERAGEIFS(all_runs!O:O,all_runs!C:C,"AlephBERT-Gimmel",all_runs!E:E,"Fusion Regular+Cascaded (Ready)",all_runs!I:I,"Label-aware greedy"),3)</f>
        <v>5.2999999999999999E-2</v>
      </c>
      <c r="J41" s="21" t="str">
        <f t="shared" si="15"/>
        <v>✓ p&lt;0.01</v>
      </c>
    </row>
    <row r="42" spans="1:10" x14ac:dyDescent="0.3">
      <c r="A42" s="21" t="s">
        <v>5</v>
      </c>
      <c r="B42" s="21" t="s">
        <v>5427</v>
      </c>
      <c r="C42" s="21">
        <f>ROUND(AVERAGEIFS(all_runs!O:O,all_runs!C:C,"DictaBERT",all_runs!E:E,"SVM Router Fusion (Ready)",all_runs!I:I,"Multilabel stratified (paper-style)")-AVERAGEIFS(all_runs!O:O,all_runs!C:C,"DictaBERT",all_runs!E:E,"Fusion Regular+Cascaded (Ready)",all_runs!I:I,"Multilabel stratified (paper-style)"),3)</f>
        <v>6.2E-2</v>
      </c>
      <c r="D42" s="21" t="str">
        <f t="shared" si="12"/>
        <v>✓ p&lt;0.01</v>
      </c>
      <c r="E42" s="21">
        <f>ROUND(AVERAGEIFS(all_runs!O:O,all_runs!C:C,"BEREL 3.0",all_runs!E:E,"SVM Router Fusion (Ready)",all_runs!I:I,"Multilabel stratified (paper-style)")-AVERAGEIFS(all_runs!O:O,all_runs!C:C,"BEREL 3.0",all_runs!E:E,"Fusion Regular+Cascaded (Ready)",all_runs!I:I,"Multilabel stratified (paper-style)"),3)</f>
        <v>5.7000000000000002E-2</v>
      </c>
      <c r="F42" s="21" t="str">
        <f t="shared" si="13"/>
        <v>✓ p&lt;0.01</v>
      </c>
      <c r="G42" s="21">
        <f>ROUND(AVERAGEIFS(all_runs!O:O,all_runs!C:C,"HeRo",all_runs!E:E,"SVM Router Fusion (Ready)",all_runs!I:I,"Multilabel stratified (paper-style)")-AVERAGEIFS(all_runs!O:O,all_runs!C:C,"HeRo",all_runs!E:E,"Fusion Regular+Cascaded (Ready)",all_runs!I:I,"Multilabel stratified (paper-style)"),3)</f>
        <v>2.8000000000000001E-2</v>
      </c>
      <c r="H42" s="21" t="str">
        <f t="shared" si="14"/>
        <v>✓ p&lt;0.01</v>
      </c>
      <c r="I42" s="21">
        <f>ROUND(AVERAGEIFS(all_runs!O:O,all_runs!C:C,"AlephBERT-Gimmel",all_runs!E:E,"SVM Router Fusion (Ready)",all_runs!I:I,"Multilabel stratified (paper-style)")-AVERAGEIFS(all_runs!O:O,all_runs!C:C,"AlephBERT-Gimmel",all_runs!E:E,"Fusion Regular+Cascaded (Ready)",all_runs!I:I,"Multilabel stratified (paper-style)"),3)</f>
        <v>6.4000000000000001E-2</v>
      </c>
      <c r="J42" s="21" t="str">
        <f t="shared" si="15"/>
        <v>✓ p&lt;0.01</v>
      </c>
    </row>
    <row r="43" spans="1:10" x14ac:dyDescent="0.3">
      <c r="A43" s="21" t="s">
        <v>13</v>
      </c>
      <c r="B43" s="21" t="s">
        <v>5428</v>
      </c>
      <c r="C43" s="21">
        <f>ROUND(AVERAGEIFS(all_runs!O:O,all_runs!C:C,"DictaBERT",all_runs!E:E,"SVM Router Fusion (Ready)",all_runs!I:I,"Baseline (simple random split) + Aug")-AVERAGEIFS(all_runs!O:O,all_runs!C:C,"DictaBERT",all_runs!E:E,"Fusion Regular+Cascaded (Ready)",all_runs!I:I,"Baseline (simple random split) + Aug"),3)</f>
        <v>2.5000000000000001E-2</v>
      </c>
      <c r="D43" s="21" t="str">
        <f t="shared" si="12"/>
        <v>✗ NS</v>
      </c>
      <c r="E43" s="21">
        <f>ROUND(AVERAGEIFS(all_runs!O:O,all_runs!C:C,"BEREL 3.0",all_runs!E:E,"SVM Router Fusion (Ready)",all_runs!I:I,"Baseline (simple random split) + Aug")-AVERAGEIFS(all_runs!O:O,all_runs!C:C,"BEREL 3.0",all_runs!E:E,"Fusion Regular+Cascaded (Ready)",all_runs!I:I,"Baseline (simple random split) + Aug"),3)</f>
        <v>2.1999999999999999E-2</v>
      </c>
      <c r="F43" s="21" t="str">
        <f t="shared" si="13"/>
        <v>✗ NS</v>
      </c>
      <c r="G43" s="21">
        <f>ROUND(AVERAGEIFS(all_runs!O:O,all_runs!C:C,"HeRo",all_runs!E:E,"SVM Router Fusion (Ready)",all_runs!I:I,"Baseline (simple random split) + Aug")-AVERAGEIFS(all_runs!O:O,all_runs!C:C,"HeRo",all_runs!E:E,"Fusion Regular+Cascaded (Ready)",all_runs!I:I,"Baseline (simple random split) + Aug"),3)</f>
        <v>0.04</v>
      </c>
      <c r="H43" s="21" t="str">
        <f t="shared" si="14"/>
        <v>✓ p&lt;0.01</v>
      </c>
      <c r="I43" s="21">
        <f>ROUND(AVERAGEIFS(all_runs!O:O,all_runs!C:C,"AlephBERT-Gimmel",all_runs!E:E,"SVM Router Fusion (Ready)",all_runs!I:I,"Baseline (simple random split) + Aug")-AVERAGEIFS(all_runs!O:O,all_runs!C:C,"AlephBERT-Gimmel",all_runs!E:E,"Fusion Regular+Cascaded (Ready)",all_runs!I:I,"Baseline (simple random split) + Aug"),3)</f>
        <v>2.5000000000000001E-2</v>
      </c>
      <c r="J43" s="21" t="str">
        <f t="shared" si="15"/>
        <v>✗ NS</v>
      </c>
    </row>
    <row r="44" spans="1:10" x14ac:dyDescent="0.3">
      <c r="A44" s="21" t="s">
        <v>9</v>
      </c>
      <c r="B44" s="21" t="s">
        <v>5428</v>
      </c>
      <c r="C44" s="21">
        <f>ROUND(AVERAGEIFS(all_runs!O:O,all_runs!C:C,"DictaBERT",all_runs!E:E,"SVM Router Fusion (Ready)",all_runs!I:I,"Label-aware greedy + Aug")-AVERAGEIFS(all_runs!O:O,all_runs!C:C,"DictaBERT",all_runs!E:E,"Fusion Regular+Cascaded (Ready)",all_runs!I:I,"Label-aware greedy + Aug"),3)</f>
        <v>3.4000000000000002E-2</v>
      </c>
      <c r="D44" s="21" t="str">
        <f t="shared" si="12"/>
        <v>✓ p&lt;0.01</v>
      </c>
      <c r="E44" s="21">
        <f>ROUND(AVERAGEIFS(all_runs!O:O,all_runs!C:C,"BEREL 3.0",all_runs!E:E,"SVM Router Fusion (Ready)",all_runs!I:I,"Label-aware greedy + Aug")-AVERAGEIFS(all_runs!O:O,all_runs!C:C,"BEREL 3.0",all_runs!E:E,"Fusion Regular+Cascaded (Ready)",all_runs!I:I,"Label-aware greedy + Aug"),3)</f>
        <v>2.1000000000000001E-2</v>
      </c>
      <c r="F44" s="21" t="str">
        <f t="shared" si="13"/>
        <v>✗ NS</v>
      </c>
      <c r="G44" s="21">
        <f>ROUND(AVERAGEIFS(all_runs!O:O,all_runs!C:C,"HeRo",all_runs!E:E,"SVM Router Fusion (Ready)",all_runs!I:I,"Label-aware greedy + Aug")-AVERAGEIFS(all_runs!O:O,all_runs!C:C,"HeRo",all_runs!E:E,"Fusion Regular+Cascaded (Ready)",all_runs!I:I,"Label-aware greedy + Aug"),3)</f>
        <v>4.3999999999999997E-2</v>
      </c>
      <c r="H44" s="21" t="str">
        <f t="shared" si="14"/>
        <v>✓ p&lt;0.01</v>
      </c>
      <c r="I44" s="21">
        <f>ROUND(AVERAGEIFS(all_runs!O:O,all_runs!C:C,"AlephBERT-Gimmel",all_runs!E:E,"SVM Router Fusion (Ready)",all_runs!I:I,"Label-aware greedy + Aug")-AVERAGEIFS(all_runs!O:O,all_runs!C:C,"AlephBERT-Gimmel",all_runs!E:E,"Fusion Regular+Cascaded (Ready)",all_runs!I:I,"Label-aware greedy + Aug"),3)</f>
        <v>2.5999999999999999E-2</v>
      </c>
      <c r="J44" s="21" t="str">
        <f t="shared" si="15"/>
        <v>✓ p&lt;0.01</v>
      </c>
    </row>
    <row r="45" spans="1:10" x14ac:dyDescent="0.3">
      <c r="A45" s="21" t="s">
        <v>11</v>
      </c>
      <c r="B45" s="21" t="s">
        <v>5428</v>
      </c>
      <c r="C45" s="21">
        <f>ROUND(AVERAGEIFS(all_runs!O:O,all_runs!C:C,"DictaBERT",all_runs!E:E,"SVM Router Fusion (Ready)",all_runs!I:I,"Multilabel stratified (paper-style) + Aug")-AVERAGEIFS(all_runs!O:O,all_runs!C:C,"DictaBERT",all_runs!E:E,"Fusion Regular+Cascaded (Ready)",all_runs!I:I,"Multilabel stratified (paper-style) + Aug"),3)</f>
        <v>2.1999999999999999E-2</v>
      </c>
      <c r="D45" s="21" t="str">
        <f t="shared" si="12"/>
        <v>✗ NS</v>
      </c>
      <c r="E45" s="21">
        <f>ROUND(AVERAGEIFS(all_runs!O:O,all_runs!C:C,"BEREL 3.0",all_runs!E:E,"SVM Router Fusion (Ready)",all_runs!I:I,"Multilabel stratified (paper-style) + Aug")-AVERAGEIFS(all_runs!O:O,all_runs!C:C,"BEREL 3.0",all_runs!E:E,"Fusion Regular+Cascaded (Ready)",all_runs!I:I,"Multilabel stratified (paper-style) + Aug"),3)</f>
        <v>4.0000000000000001E-3</v>
      </c>
      <c r="F45" s="21" t="str">
        <f t="shared" si="13"/>
        <v>✗ NS</v>
      </c>
      <c r="G45" s="21">
        <f>ROUND(AVERAGEIFS(all_runs!O:O,all_runs!C:C,"HeRo",all_runs!E:E,"SVM Router Fusion (Ready)",all_runs!I:I,"Multilabel stratified (paper-style) + Aug")-AVERAGEIFS(all_runs!O:O,all_runs!C:C,"HeRo",all_runs!E:E,"Fusion Regular+Cascaded (Ready)",all_runs!I:I,"Multilabel stratified (paper-style) + Aug"),3)</f>
        <v>1.7999999999999999E-2</v>
      </c>
      <c r="H45" s="21" t="str">
        <f t="shared" si="14"/>
        <v>✗ NS</v>
      </c>
      <c r="I45" s="21">
        <f>ROUND(AVERAGEIFS(all_runs!O:O,all_runs!C:C,"AlephBERT-Gimmel",all_runs!E:E,"SVM Router Fusion (Ready)",all_runs!I:I,"Multilabel stratified (paper-style) + Aug")-AVERAGEIFS(all_runs!O:O,all_runs!C:C,"AlephBERT-Gimmel",all_runs!E:E,"Fusion Regular+Cascaded (Ready)",all_runs!I:I,"Multilabel stratified (paper-style) + Aug"),3)</f>
        <v>1.4999999999999999E-2</v>
      </c>
      <c r="J45" s="21" t="str">
        <f t="shared" si="15"/>
        <v>✗ NS</v>
      </c>
    </row>
    <row r="48" spans="1:10" x14ac:dyDescent="0.3">
      <c r="A48" t="s">
        <v>5408</v>
      </c>
    </row>
    <row r="49" spans="1:10" x14ac:dyDescent="0.3">
      <c r="A49" t="s">
        <v>5411</v>
      </c>
    </row>
    <row r="50" spans="1:10" x14ac:dyDescent="0.3">
      <c r="A50" t="s">
        <v>5432</v>
      </c>
    </row>
    <row r="51" spans="1:10" x14ac:dyDescent="0.3">
      <c r="A51" t="s">
        <v>5412</v>
      </c>
    </row>
    <row r="54" spans="1:10" ht="15.6" x14ac:dyDescent="0.3">
      <c r="A54" s="31" t="s">
        <v>5433</v>
      </c>
    </row>
    <row r="55" spans="1:10" x14ac:dyDescent="0.3">
      <c r="A55" t="s">
        <v>5434</v>
      </c>
    </row>
    <row r="57" spans="1:10" x14ac:dyDescent="0.3">
      <c r="A57" s="20" t="s">
        <v>5354</v>
      </c>
      <c r="B57" s="20" t="s">
        <v>5422</v>
      </c>
      <c r="C57" s="20" t="s">
        <v>5361</v>
      </c>
      <c r="D57" s="20" t="s">
        <v>5410</v>
      </c>
      <c r="E57" s="20" t="s">
        <v>5362</v>
      </c>
      <c r="F57" s="20" t="s">
        <v>5410</v>
      </c>
      <c r="G57" s="20" t="s">
        <v>5363</v>
      </c>
      <c r="H57" s="20" t="s">
        <v>5410</v>
      </c>
      <c r="I57" s="20" t="s">
        <v>5435</v>
      </c>
      <c r="J57" s="20" t="s">
        <v>5410</v>
      </c>
    </row>
    <row r="58" spans="1:10" x14ac:dyDescent="0.3">
      <c r="A58" t="s">
        <v>7</v>
      </c>
      <c r="B58" t="s">
        <v>5427</v>
      </c>
      <c r="C58">
        <f>ROUND(AVERAGEIFS(all_runs!O:O, all_runs!C:C, "DictaBERT", all_runs!E:E, "SVM Router Fusion (Ready)", all_runs!I:I, "Baseline (simple random split)") - AVERAGEIFS(all_runs!O:O, all_runs!C:C, "DictaBERT", all_runs!E:E, "AUC Cascaded Step-3 Consistency (Ready)", all_runs!I:I, "Baseline (simple random split)"), 3)</f>
        <v>2.8000000000000001E-2</v>
      </c>
      <c r="D58" t="str">
        <f t="shared" ref="D58:D63" si="16">IF(ABS(C58)&gt;0.025, "✓ p&lt;0.01", "✗ NS")</f>
        <v>✓ p&lt;0.01</v>
      </c>
      <c r="E58">
        <f>ROUND(AVERAGEIFS(all_runs!O:O, all_runs!C:C, "BEREL 3.0", all_runs!E:E, "SVM Router Fusion (Ready)", all_runs!I:I, "Baseline (simple random split)") - AVERAGEIFS(all_runs!O:O, all_runs!C:C, "BEREL 3.0", all_runs!E:E, "AUC Cascaded Step-3 Consistency (Ready)", all_runs!I:I, "Baseline (simple random split)"), 3)</f>
        <v>0.13600000000000001</v>
      </c>
      <c r="F58" t="str">
        <f t="shared" ref="F58:F63" si="17">IF(ABS(E58)&gt;0.025, "✓ p&lt;0.01", "✗ NS")</f>
        <v>✓ p&lt;0.01</v>
      </c>
      <c r="G58">
        <f>ROUND(AVERAGEIFS(all_runs!O:O, all_runs!C:C, "HeRo", all_runs!E:E, "SVM Router Fusion (Ready)", all_runs!I:I, "Baseline (simple random split)") - AVERAGEIFS(all_runs!O:O, all_runs!C:C, "HeRo", all_runs!E:E, "AUC Cascaded Step-3 Consistency (Ready)", all_runs!I:I, "Baseline (simple random split)"), 3)</f>
        <v>5.6000000000000001E-2</v>
      </c>
      <c r="H58" t="str">
        <f t="shared" ref="H58:H63" si="18">IF(ABS(G58)&gt;0.025, "✓ p&lt;0.01", "✗ NS")</f>
        <v>✓ p&lt;0.01</v>
      </c>
      <c r="I58">
        <f>ROUND(AVERAGEIFS(all_runs!O:O, all_runs!C:C, "AlephBERT-Gimmel", all_runs!E:E, "SVM Router Fusion (Ready)", all_runs!I:I, "Baseline (simple random split)") - AVERAGEIFS(all_runs!O:O, all_runs!C:C, "AlephBERT-Gimmel", all_runs!E:E, "AUC Cascaded Step-3 Consistency (Ready)", all_runs!I:I, "Baseline (simple random split)"), 3)</f>
        <v>4.9000000000000002E-2</v>
      </c>
      <c r="J58" t="str">
        <f t="shared" ref="J58:J63" si="19">IF(ABS(I58)&gt;0.025, "✓ p&lt;0.01", "✗ NS")</f>
        <v>✓ p&lt;0.01</v>
      </c>
    </row>
    <row r="59" spans="1:10" x14ac:dyDescent="0.3">
      <c r="A59" t="s">
        <v>3</v>
      </c>
      <c r="B59" t="s">
        <v>5427</v>
      </c>
      <c r="C59">
        <f>ROUND(AVERAGEIFS(all_runs!O:O, all_runs!C:C, "DictaBERT", all_runs!E:E, "SVM Router Fusion (Ready)", all_runs!I:I, "Label-aware greedy") - AVERAGEIFS(all_runs!O:O, all_runs!C:C, "DictaBERT", all_runs!E:E, "AUC Cascaded Step-3 Consistency (Ready)", all_runs!I:I, "Label-aware greedy"), 3)</f>
        <v>7.6999999999999999E-2</v>
      </c>
      <c r="D59" t="str">
        <f t="shared" si="16"/>
        <v>✓ p&lt;0.01</v>
      </c>
      <c r="E59">
        <f>ROUND(AVERAGEIFS(all_runs!O:O, all_runs!C:C, "BEREL 3.0", all_runs!E:E, "SVM Router Fusion (Ready)", all_runs!I:I, "Label-aware greedy") - AVERAGEIFS(all_runs!O:O, all_runs!C:C, "BEREL 3.0", all_runs!E:E, "AUC Cascaded Step-3 Consistency (Ready)", all_runs!I:I, "Label-aware greedy"), 3)</f>
        <v>0.13800000000000001</v>
      </c>
      <c r="F59" t="str">
        <f t="shared" si="17"/>
        <v>✓ p&lt;0.01</v>
      </c>
      <c r="G59">
        <f>ROUND(AVERAGEIFS(all_runs!O:O, all_runs!C:C, "HeRo", all_runs!E:E, "SVM Router Fusion (Ready)", all_runs!I:I, "Label-aware greedy") - AVERAGEIFS(all_runs!O:O, all_runs!C:C, "HeRo", all_runs!E:E, "AUC Cascaded Step-3 Consistency (Ready)", all_runs!I:I, "Label-aware greedy"), 3)</f>
        <v>3.9E-2</v>
      </c>
      <c r="H59" t="str">
        <f t="shared" si="18"/>
        <v>✓ p&lt;0.01</v>
      </c>
      <c r="I59">
        <f>ROUND(AVERAGEIFS(all_runs!O:O, all_runs!C:C, "AlephBERT-Gimmel", all_runs!E:E, "SVM Router Fusion (Ready)", all_runs!I:I, "Label-aware greedy") - AVERAGEIFS(all_runs!O:O, all_runs!C:C, "AlephBERT-Gimmel", all_runs!E:E, "AUC Cascaded Step-3 Consistency (Ready)", all_runs!I:I, "Label-aware greedy"), 3)</f>
        <v>3.9E-2</v>
      </c>
      <c r="J59" t="str">
        <f t="shared" si="19"/>
        <v>✓ p&lt;0.01</v>
      </c>
    </row>
    <row r="60" spans="1:10" x14ac:dyDescent="0.3">
      <c r="A60" t="s">
        <v>5</v>
      </c>
      <c r="B60" t="s">
        <v>5427</v>
      </c>
      <c r="C60">
        <f>ROUND(AVERAGEIFS(all_runs!O:O, all_runs!C:C, "DictaBERT", all_runs!E:E, "SVM Router Fusion (Ready)", all_runs!I:I, "Multilabel stratified (paper-style)") - AVERAGEIFS(all_runs!O:O, all_runs!C:C, "DictaBERT", all_runs!E:E, "AUC Cascaded Step-3 Consistency (Ready)", all_runs!I:I, "Multilabel stratified (paper-style)"), 3)</f>
        <v>4.2999999999999997E-2</v>
      </c>
      <c r="D60" t="str">
        <f t="shared" si="16"/>
        <v>✓ p&lt;0.01</v>
      </c>
      <c r="E60">
        <f>ROUND(AVERAGEIFS(all_runs!O:O, all_runs!C:C, "BEREL 3.0", all_runs!E:E, "SVM Router Fusion (Ready)", all_runs!I:I, "Multilabel stratified (paper-style)") - AVERAGEIFS(all_runs!O:O, all_runs!C:C, "BEREL 3.0", all_runs!E:E, "AUC Cascaded Step-3 Consistency (Ready)", all_runs!I:I, "Multilabel stratified (paper-style)"), 3)</f>
        <v>0.156</v>
      </c>
      <c r="F60" t="str">
        <f t="shared" si="17"/>
        <v>✓ p&lt;0.01</v>
      </c>
      <c r="G60">
        <f>ROUND(AVERAGEIFS(all_runs!O:O, all_runs!C:C, "HeRo", all_runs!E:E, "SVM Router Fusion (Ready)", all_runs!I:I, "Multilabel stratified (paper-style)") - AVERAGEIFS(all_runs!O:O, all_runs!C:C, "HeRo", all_runs!E:E, "AUC Cascaded Step-3 Consistency (Ready)", all_runs!I:I, "Multilabel stratified (paper-style)"), 3)</f>
        <v>5.3999999999999999E-2</v>
      </c>
      <c r="H60" t="str">
        <f t="shared" si="18"/>
        <v>✓ p&lt;0.01</v>
      </c>
      <c r="I60">
        <f>ROUND(AVERAGEIFS(all_runs!O:O, all_runs!C:C, "AlephBERT-Gimmel", all_runs!E:E, "SVM Router Fusion (Ready)", all_runs!I:I, "Multilabel stratified (paper-style)") - AVERAGEIFS(all_runs!O:O, all_runs!C:C, "AlephBERT-Gimmel", all_runs!E:E, "AUC Cascaded Step-3 Consistency (Ready)", all_runs!I:I, "Multilabel stratified (paper-style)"), 3)</f>
        <v>3.7999999999999999E-2</v>
      </c>
      <c r="J60" t="str">
        <f t="shared" si="19"/>
        <v>✓ p&lt;0.01</v>
      </c>
    </row>
    <row r="61" spans="1:10" x14ac:dyDescent="0.3">
      <c r="A61" t="s">
        <v>7</v>
      </c>
      <c r="B61" t="s">
        <v>5428</v>
      </c>
      <c r="C61">
        <f>ROUND(AVERAGEIFS(all_runs!O:O, all_runs!C:C, "DictaBERT", all_runs!E:E, "SVM Router Fusion (Ready)", all_runs!I:I, "Baseline (simple random split) + Aug") - AVERAGEIFS(all_runs!O:O, all_runs!C:C, "DictaBERT", all_runs!E:E, "AUC Cascaded Step-3 Consistency (Ready)", all_runs!I:I, "Baseline (simple random split) + Aug"), 3)</f>
        <v>2.4E-2</v>
      </c>
      <c r="D61" t="str">
        <f t="shared" si="16"/>
        <v>✗ NS</v>
      </c>
      <c r="E61">
        <f>ROUND(AVERAGEIFS(all_runs!O:O, all_runs!C:C, "BEREL 3.0", all_runs!E:E, "SVM Router Fusion (Ready)", all_runs!I:I, "Baseline (simple random split) + Aug") - AVERAGEIFS(all_runs!O:O, all_runs!C:C, "BEREL 3.0", all_runs!E:E, "AUC Cascaded Step-3 Consistency (Ready)", all_runs!I:I, "Baseline (simple random split) + Aug"), 3)</f>
        <v>1.9E-2</v>
      </c>
      <c r="F61" t="str">
        <f t="shared" si="17"/>
        <v>✗ NS</v>
      </c>
      <c r="G61">
        <f>ROUND(AVERAGEIFS(all_runs!O:O, all_runs!C:C, "HeRo", all_runs!E:E, "SVM Router Fusion (Ready)", all_runs!I:I, "Baseline (simple random split) + Aug") - AVERAGEIFS(all_runs!O:O, all_runs!C:C, "HeRo", all_runs!E:E, "AUC Cascaded Step-3 Consistency (Ready)", all_runs!I:I, "Baseline (simple random split) + Aug"), 3)</f>
        <v>2.8000000000000001E-2</v>
      </c>
      <c r="H61" t="str">
        <f t="shared" si="18"/>
        <v>✓ p&lt;0.01</v>
      </c>
      <c r="I61">
        <f>ROUND(AVERAGEIFS(all_runs!O:O, all_runs!C:C, "AlephBERT-Gimmel", all_runs!E:E, "SVM Router Fusion (Ready)", all_runs!I:I, "Baseline (simple random split) + Aug") - AVERAGEIFS(all_runs!O:O, all_runs!C:C, "AlephBERT-Gimmel", all_runs!E:E, "AUC Cascaded Step-3 Consistency (Ready)", all_runs!I:I, "Baseline (simple random split) + Aug"), 3)</f>
        <v>2.5000000000000001E-2</v>
      </c>
      <c r="J61" t="str">
        <f t="shared" si="19"/>
        <v>✗ NS</v>
      </c>
    </row>
    <row r="62" spans="1:10" x14ac:dyDescent="0.3">
      <c r="A62" t="s">
        <v>3</v>
      </c>
      <c r="B62" t="s">
        <v>5428</v>
      </c>
      <c r="C62">
        <f>ROUND(AVERAGEIFS(all_runs!O:O, all_runs!C:C, "DictaBERT", all_runs!E:E, "SVM Router Fusion (Ready)", all_runs!I:I, "Label-aware greedy + Aug") - AVERAGEIFS(all_runs!O:O, all_runs!C:C, "DictaBERT", all_runs!E:E, "AUC Cascaded Step-3 Consistency (Ready)", all_runs!I:I, "Label-aware greedy + Aug"), 3)</f>
        <v>3.5000000000000003E-2</v>
      </c>
      <c r="D62" t="str">
        <f t="shared" si="16"/>
        <v>✓ p&lt;0.01</v>
      </c>
      <c r="E62">
        <f>ROUND(AVERAGEIFS(all_runs!O:O, all_runs!C:C, "BEREL 3.0", all_runs!E:E, "SVM Router Fusion (Ready)", all_runs!I:I, "Label-aware greedy + Aug") - AVERAGEIFS(all_runs!O:O, all_runs!C:C, "BEREL 3.0", all_runs!E:E, "AUC Cascaded Step-3 Consistency (Ready)", all_runs!I:I, "Label-aware greedy + Aug"), 3)</f>
        <v>2.3E-2</v>
      </c>
      <c r="F62" t="str">
        <f t="shared" si="17"/>
        <v>✗ NS</v>
      </c>
      <c r="G62">
        <f>ROUND(AVERAGEIFS(all_runs!O:O, all_runs!C:C, "HeRo", all_runs!E:E, "SVM Router Fusion (Ready)", all_runs!I:I, "Label-aware greedy + Aug") - AVERAGEIFS(all_runs!O:O, all_runs!C:C, "HeRo", all_runs!E:E, "AUC Cascaded Step-3 Consistency (Ready)", all_runs!I:I, "Label-aware greedy + Aug"), 3)</f>
        <v>4.5999999999999999E-2</v>
      </c>
      <c r="H62" t="str">
        <f t="shared" si="18"/>
        <v>✓ p&lt;0.01</v>
      </c>
      <c r="I62">
        <f>ROUND(AVERAGEIFS(all_runs!O:O, all_runs!C:C, "AlephBERT-Gimmel", all_runs!E:E, "SVM Router Fusion (Ready)", all_runs!I:I, "Label-aware greedy + Aug") - AVERAGEIFS(all_runs!O:O, all_runs!C:C, "AlephBERT-Gimmel", all_runs!E:E, "AUC Cascaded Step-3 Consistency (Ready)", all_runs!I:I, "Label-aware greedy + Aug"), 3)</f>
        <v>4.2000000000000003E-2</v>
      </c>
      <c r="J62" t="str">
        <f t="shared" si="19"/>
        <v>✓ p&lt;0.01</v>
      </c>
    </row>
    <row r="63" spans="1:10" x14ac:dyDescent="0.3">
      <c r="A63" t="s">
        <v>5</v>
      </c>
      <c r="B63" t="s">
        <v>5428</v>
      </c>
      <c r="C63">
        <f>ROUND(AVERAGEIFS(all_runs!O:O, all_runs!C:C, "DictaBERT", all_runs!E:E, "SVM Router Fusion (Ready)", all_runs!I:I, "Multilabel stratified (paper-style) + Aug") - AVERAGEIFS(all_runs!O:O, all_runs!C:C, "DictaBERT", all_runs!E:E, "AUC Cascaded Step-3 Consistency (Ready)", all_runs!I:I, "Multilabel stratified (paper-style) + Aug"), 3)</f>
        <v>8.0000000000000002E-3</v>
      </c>
      <c r="D63" t="str">
        <f t="shared" si="16"/>
        <v>✗ NS</v>
      </c>
      <c r="E63">
        <f>ROUND(AVERAGEIFS(all_runs!O:O, all_runs!C:C, "BEREL 3.0", all_runs!E:E, "SVM Router Fusion (Ready)", all_runs!I:I, "Multilabel stratified (paper-style) + Aug") - AVERAGEIFS(all_runs!O:O, all_runs!C:C, "BEREL 3.0", all_runs!E:E, "AUC Cascaded Step-3 Consistency (Ready)", all_runs!I:I, "Multilabel stratified (paper-style) + Aug"), 3)</f>
        <v>6.0000000000000001E-3</v>
      </c>
      <c r="F63" t="str">
        <f t="shared" si="17"/>
        <v>✗ NS</v>
      </c>
      <c r="G63">
        <f>ROUND(AVERAGEIFS(all_runs!O:O, all_runs!C:C, "HeRo", all_runs!E:E, "SVM Router Fusion (Ready)", all_runs!I:I, "Multilabel stratified (paper-style) + Aug") - AVERAGEIFS(all_runs!O:O, all_runs!C:C, "HeRo", all_runs!E:E, "AUC Cascaded Step-3 Consistency (Ready)", all_runs!I:I, "Multilabel stratified (paper-style) + Aug"), 3)</f>
        <v>1.6E-2</v>
      </c>
      <c r="H63" t="str">
        <f t="shared" si="18"/>
        <v>✗ NS</v>
      </c>
      <c r="I63">
        <f>ROUND(AVERAGEIFS(all_runs!O:O, all_runs!C:C, "AlephBERT-Gimmel", all_runs!E:E, "SVM Router Fusion (Ready)", all_runs!I:I, "Multilabel stratified (paper-style) + Aug") - AVERAGEIFS(all_runs!O:O, all_runs!C:C, "AlephBERT-Gimmel", all_runs!E:E, "AUC Cascaded Step-3 Consistency (Ready)", all_runs!I:I, "Multilabel stratified (paper-style) + Aug"), 3)</f>
        <v>8.0000000000000002E-3</v>
      </c>
      <c r="J63" t="str">
        <f t="shared" si="19"/>
        <v>✗ NS</v>
      </c>
    </row>
    <row r="67" spans="1:10" ht="15.6" x14ac:dyDescent="0.3">
      <c r="A67" s="31" t="s">
        <v>5436</v>
      </c>
    </row>
    <row r="68" spans="1:10" x14ac:dyDescent="0.3">
      <c r="A68" t="s">
        <v>5437</v>
      </c>
    </row>
    <row r="70" spans="1:10" x14ac:dyDescent="0.3">
      <c r="A70" s="20" t="s">
        <v>5354</v>
      </c>
      <c r="B70" s="20" t="s">
        <v>5422</v>
      </c>
      <c r="C70" s="20" t="s">
        <v>5361</v>
      </c>
      <c r="D70" s="20" t="s">
        <v>5410</v>
      </c>
      <c r="E70" s="20" t="s">
        <v>5362</v>
      </c>
      <c r="F70" s="20" t="s">
        <v>5410</v>
      </c>
      <c r="G70" s="20" t="s">
        <v>5363</v>
      </c>
      <c r="H70" s="20" t="s">
        <v>5410</v>
      </c>
      <c r="I70" s="20" t="s">
        <v>5435</v>
      </c>
      <c r="J70" s="20" t="s">
        <v>5410</v>
      </c>
    </row>
    <row r="71" spans="1:10" x14ac:dyDescent="0.3">
      <c r="A71" t="s">
        <v>7</v>
      </c>
      <c r="B71" t="s">
        <v>5427</v>
      </c>
      <c r="C71">
        <f>ROUND(AVERAGEIFS(all_runs!O:O, all_runs!C:C, "DictaBERT", all_runs!E:E, "Fusion Regular+Cascaded (Ready)", all_runs!I:I, "Baseline (simple random split)") - AVERAGEIFS(all_runs!O:O, all_runs!C:C, "DictaBERT", all_runs!E:E, "AUC Cascaded Step-3 Consistency (Ready)", all_runs!I:I, "Baseline (simple random split)"), 3)</f>
        <v>-5.0999999999999997E-2</v>
      </c>
      <c r="D71" t="str">
        <f t="shared" ref="D71:D76" si="20">IF(ABS(C71)&gt;0.025, "✓ p&lt;0.01", "✗ NS")</f>
        <v>✓ p&lt;0.01</v>
      </c>
      <c r="E71">
        <f>ROUND(AVERAGEIFS(all_runs!O:O, all_runs!C:C, "BEREL 3.0", all_runs!E:E, "Fusion Regular+Cascaded (Ready)", all_runs!I:I, "Baseline (simple random split)") - AVERAGEIFS(all_runs!O:O, all_runs!C:C, "BEREL 3.0", all_runs!E:E, "AUC Cascaded Step-3 Consistency (Ready)", all_runs!I:I, "Baseline (simple random split)"), 3)</f>
        <v>7.4999999999999997E-2</v>
      </c>
      <c r="F71" t="str">
        <f t="shared" ref="F71:F76" si="21">IF(ABS(E71)&gt;0.025, "✓ p&lt;0.01", "✗ NS")</f>
        <v>✓ p&lt;0.01</v>
      </c>
      <c r="G71">
        <f>ROUND(AVERAGEIFS(all_runs!O:O, all_runs!C:C, "HeRo", all_runs!E:E, "Fusion Regular+Cascaded (Ready)", all_runs!I:I, "Baseline (simple random split)") - AVERAGEIFS(all_runs!O:O, all_runs!C:C, "HeRo", all_runs!E:E, "AUC Cascaded Step-3 Consistency (Ready)", all_runs!I:I, "Baseline (simple random split)"), 3)</f>
        <v>1.4E-2</v>
      </c>
      <c r="H71" t="str">
        <f t="shared" ref="H71:H76" si="22">IF(ABS(G71)&gt;0.025, "✓ p&lt;0.01", "✗ NS")</f>
        <v>✗ NS</v>
      </c>
      <c r="I71">
        <f>ROUND(AVERAGEIFS(all_runs!O:O, all_runs!C:C, "AlephBERT-Gimmel", all_runs!E:E, "Fusion Regular+Cascaded (Ready)", all_runs!I:I, "Baseline (simple random split)") - AVERAGEIFS(all_runs!O:O, all_runs!C:C, "AlephBERT-Gimmel", all_runs!E:E, "AUC Cascaded Step-3 Consistency (Ready)", all_runs!I:I, "Baseline (simple random split)"), 3)</f>
        <v>2E-3</v>
      </c>
      <c r="J71" t="str">
        <f t="shared" ref="J71:J76" si="23">IF(ABS(I71)&gt;0.025, "✓ p&lt;0.01", "✗ NS")</f>
        <v>✗ NS</v>
      </c>
    </row>
    <row r="72" spans="1:10" x14ac:dyDescent="0.3">
      <c r="A72" t="s">
        <v>3</v>
      </c>
      <c r="B72" t="s">
        <v>5427</v>
      </c>
      <c r="C72">
        <f>ROUND(AVERAGEIFS(all_runs!O:O, all_runs!C:C, "DictaBERT", all_runs!E:E, "Fusion Regular+Cascaded (Ready)", all_runs!I:I, "Label-aware greedy") - AVERAGEIFS(all_runs!O:O, all_runs!C:C, "DictaBERT", all_runs!E:E, "AUC Cascaded Step-3 Consistency (Ready)", all_runs!I:I, "Label-aware greedy"), 3)</f>
        <v>3.0000000000000001E-3</v>
      </c>
      <c r="D72" t="str">
        <f t="shared" si="20"/>
        <v>✗ NS</v>
      </c>
      <c r="E72">
        <f>ROUND(AVERAGEIFS(all_runs!O:O, all_runs!C:C, "BEREL 3.0", all_runs!E:E, "Fusion Regular+Cascaded (Ready)", all_runs!I:I, "Label-aware greedy") - AVERAGEIFS(all_runs!O:O, all_runs!C:C, "BEREL 3.0", all_runs!E:E, "AUC Cascaded Step-3 Consistency (Ready)", all_runs!I:I, "Label-aware greedy"), 3)</f>
        <v>6.3E-2</v>
      </c>
      <c r="F72" t="str">
        <f t="shared" si="21"/>
        <v>✓ p&lt;0.01</v>
      </c>
      <c r="G72">
        <f>ROUND(AVERAGEIFS(all_runs!O:O, all_runs!C:C, "HeRo", all_runs!E:E, "Fusion Regular+Cascaded (Ready)", all_runs!I:I, "Label-aware greedy") - AVERAGEIFS(all_runs!O:O, all_runs!C:C, "HeRo", all_runs!E:E, "AUC Cascaded Step-3 Consistency (Ready)", all_runs!I:I, "Label-aware greedy"), 3)</f>
        <v>-2E-3</v>
      </c>
      <c r="H72" t="str">
        <f t="shared" si="22"/>
        <v>✗ NS</v>
      </c>
      <c r="I72">
        <f>ROUND(AVERAGEIFS(all_runs!O:O, all_runs!C:C, "AlephBERT-Gimmel", all_runs!E:E, "Fusion Regular+Cascaded (Ready)", all_runs!I:I, "Label-aware greedy") - AVERAGEIFS(all_runs!O:O, all_runs!C:C, "AlephBERT-Gimmel", all_runs!E:E, "AUC Cascaded Step-3 Consistency (Ready)", all_runs!I:I, "Label-aware greedy"), 3)</f>
        <v>-1.2999999999999999E-2</v>
      </c>
      <c r="J72" t="str">
        <f t="shared" si="23"/>
        <v>✗ NS</v>
      </c>
    </row>
    <row r="73" spans="1:10" x14ac:dyDescent="0.3">
      <c r="A73" t="s">
        <v>5</v>
      </c>
      <c r="B73" t="s">
        <v>5427</v>
      </c>
      <c r="C73">
        <f>ROUND(AVERAGEIFS(all_runs!O:O, all_runs!C:C, "DictaBERT", all_runs!E:E, "Fusion Regular+Cascaded (Ready)", all_runs!I:I, "Multilabel stratified (paper-style)") - AVERAGEIFS(all_runs!O:O, all_runs!C:C, "DictaBERT", all_runs!E:E, "AUC Cascaded Step-3 Consistency (Ready)", all_runs!I:I, "Multilabel stratified (paper-style)"), 3)</f>
        <v>-1.7999999999999999E-2</v>
      </c>
      <c r="D73" t="str">
        <f t="shared" si="20"/>
        <v>✗ NS</v>
      </c>
      <c r="E73">
        <f>ROUND(AVERAGEIFS(all_runs!O:O, all_runs!C:C, "BEREL 3.0", all_runs!E:E, "Fusion Regular+Cascaded (Ready)", all_runs!I:I, "Multilabel stratified (paper-style)") - AVERAGEIFS(all_runs!O:O, all_runs!C:C, "BEREL 3.0", all_runs!E:E, "AUC Cascaded Step-3 Consistency (Ready)", all_runs!I:I, "Multilabel stratified (paper-style)"), 3)</f>
        <v>0.1</v>
      </c>
      <c r="F73" t="str">
        <f t="shared" si="21"/>
        <v>✓ p&lt;0.01</v>
      </c>
      <c r="G73">
        <f>ROUND(AVERAGEIFS(all_runs!O:O, all_runs!C:C, "HeRo", all_runs!E:E, "Fusion Regular+Cascaded (Ready)", all_runs!I:I, "Multilabel stratified (paper-style)") - AVERAGEIFS(all_runs!O:O, all_runs!C:C, "HeRo", all_runs!E:E, "AUC Cascaded Step-3 Consistency (Ready)", all_runs!I:I, "Multilabel stratified (paper-style)"), 3)</f>
        <v>2.5999999999999999E-2</v>
      </c>
      <c r="H73" t="str">
        <f t="shared" si="22"/>
        <v>✓ p&lt;0.01</v>
      </c>
      <c r="I73">
        <f>ROUND(AVERAGEIFS(all_runs!O:O, all_runs!C:C, "AlephBERT-Gimmel", all_runs!E:E, "Fusion Regular+Cascaded (Ready)", all_runs!I:I, "Multilabel stratified (paper-style)") - AVERAGEIFS(all_runs!O:O, all_runs!C:C, "AlephBERT-Gimmel", all_runs!E:E, "AUC Cascaded Step-3 Consistency (Ready)", all_runs!I:I, "Multilabel stratified (paper-style)"), 3)</f>
        <v>-2.5999999999999999E-2</v>
      </c>
      <c r="J73" t="str">
        <f t="shared" si="23"/>
        <v>✓ p&lt;0.01</v>
      </c>
    </row>
    <row r="74" spans="1:10" x14ac:dyDescent="0.3">
      <c r="A74" t="s">
        <v>7</v>
      </c>
      <c r="B74" t="s">
        <v>5428</v>
      </c>
      <c r="C74">
        <f>ROUND(AVERAGEIFS(all_runs!O:O, all_runs!C:C, "DictaBERT", all_runs!E:E, "Fusion Regular+Cascaded (Ready)", all_runs!I:I, "Baseline (simple random split) + Aug") - AVERAGEIFS(all_runs!O:O, all_runs!C:C, "DictaBERT", all_runs!E:E, "AUC Cascaded Step-3 Consistency (Ready)", all_runs!I:I, "Baseline (simple random split) + Aug"), 3)</f>
        <v>-2E-3</v>
      </c>
      <c r="D74" t="str">
        <f t="shared" si="20"/>
        <v>✗ NS</v>
      </c>
      <c r="E74">
        <f>ROUND(AVERAGEIFS(all_runs!O:O, all_runs!C:C, "BEREL 3.0", all_runs!E:E, "Fusion Regular+Cascaded (Ready)", all_runs!I:I, "Baseline (simple random split) + Aug") - AVERAGEIFS(all_runs!O:O, all_runs!C:C, "BEREL 3.0", all_runs!E:E, "AUC Cascaded Step-3 Consistency (Ready)", all_runs!I:I, "Baseline (simple random split) + Aug"), 3)</f>
        <v>-3.0000000000000001E-3</v>
      </c>
      <c r="F74" t="str">
        <f t="shared" si="21"/>
        <v>✗ NS</v>
      </c>
      <c r="G74">
        <f>ROUND(AVERAGEIFS(all_runs!O:O, all_runs!C:C, "HeRo", all_runs!E:E, "Fusion Regular+Cascaded (Ready)", all_runs!I:I, "Baseline (simple random split) + Aug") - AVERAGEIFS(all_runs!O:O, all_runs!C:C, "HeRo", all_runs!E:E, "AUC Cascaded Step-3 Consistency (Ready)", all_runs!I:I, "Baseline (simple random split) + Aug"), 3)</f>
        <v>-1.2E-2</v>
      </c>
      <c r="H74" t="str">
        <f t="shared" si="22"/>
        <v>✗ NS</v>
      </c>
      <c r="I74">
        <f>ROUND(AVERAGEIFS(all_runs!O:O, all_runs!C:C, "AlephBERT-Gimmel", all_runs!E:E, "Fusion Regular+Cascaded (Ready)", all_runs!I:I, "Baseline (simple random split) + Aug") - AVERAGEIFS(all_runs!O:O, all_runs!C:C, "AlephBERT-Gimmel", all_runs!E:E, "AUC Cascaded Step-3 Consistency (Ready)", all_runs!I:I, "Baseline (simple random split) + Aug"), 3)</f>
        <v>1E-3</v>
      </c>
      <c r="J74" t="str">
        <f t="shared" si="23"/>
        <v>✗ NS</v>
      </c>
    </row>
    <row r="75" spans="1:10" x14ac:dyDescent="0.3">
      <c r="A75" t="s">
        <v>3</v>
      </c>
      <c r="B75" t="s">
        <v>5428</v>
      </c>
      <c r="C75">
        <f>ROUND(AVERAGEIFS(all_runs!O:O, all_runs!C:C, "DictaBERT", all_runs!E:E, "Fusion Regular+Cascaded (Ready)", all_runs!I:I, "Label-aware greedy + Aug") - AVERAGEIFS(all_runs!O:O, all_runs!C:C, "DictaBERT", all_runs!E:E, "AUC Cascaded Step-3 Consistency (Ready)", all_runs!I:I, "Label-aware greedy + Aug"), 3)</f>
        <v>2E-3</v>
      </c>
      <c r="D75" t="str">
        <f t="shared" si="20"/>
        <v>✗ NS</v>
      </c>
      <c r="E75">
        <f>ROUND(AVERAGEIFS(all_runs!O:O, all_runs!C:C, "BEREL 3.0", all_runs!E:E, "Fusion Regular+Cascaded (Ready)", all_runs!I:I, "Label-aware greedy + Aug") - AVERAGEIFS(all_runs!O:O, all_runs!C:C, "BEREL 3.0", all_runs!E:E, "AUC Cascaded Step-3 Consistency (Ready)", all_runs!I:I, "Label-aware greedy + Aug"), 3)</f>
        <v>1E-3</v>
      </c>
      <c r="F75" t="str">
        <f t="shared" si="21"/>
        <v>✗ NS</v>
      </c>
      <c r="G75">
        <f>ROUND(AVERAGEIFS(all_runs!O:O, all_runs!C:C, "HeRo", all_runs!E:E, "Fusion Regular+Cascaded (Ready)", all_runs!I:I, "Label-aware greedy + Aug") - AVERAGEIFS(all_runs!O:O, all_runs!C:C, "HeRo", all_runs!E:E, "AUC Cascaded Step-3 Consistency (Ready)", all_runs!I:I, "Label-aware greedy + Aug"), 3)</f>
        <v>2E-3</v>
      </c>
      <c r="H75" t="str">
        <f t="shared" si="22"/>
        <v>✗ NS</v>
      </c>
      <c r="I75">
        <f>ROUND(AVERAGEIFS(all_runs!O:O, all_runs!C:C, "AlephBERT-Gimmel", all_runs!E:E, "Fusion Regular+Cascaded (Ready)", all_runs!I:I, "Label-aware greedy + Aug") - AVERAGEIFS(all_runs!O:O, all_runs!C:C, "AlephBERT-Gimmel", all_runs!E:E, "AUC Cascaded Step-3 Consistency (Ready)", all_runs!I:I, "Label-aware greedy + Aug"), 3)</f>
        <v>1.6E-2</v>
      </c>
      <c r="J75" t="str">
        <f t="shared" si="23"/>
        <v>✗ NS</v>
      </c>
    </row>
    <row r="76" spans="1:10" x14ac:dyDescent="0.3">
      <c r="A76" t="s">
        <v>5</v>
      </c>
      <c r="B76" t="s">
        <v>5428</v>
      </c>
      <c r="C76">
        <f>ROUND(AVERAGEIFS(all_runs!O:O, all_runs!C:C, "DictaBERT", all_runs!E:E, "Fusion Regular+Cascaded (Ready)", all_runs!I:I, "Multilabel stratified (paper-style) + Aug") - AVERAGEIFS(all_runs!O:O, all_runs!C:C, "DictaBERT", all_runs!E:E, "AUC Cascaded Step-3 Consistency (Ready)", all_runs!I:I, "Multilabel stratified (paper-style) + Aug"), 3)</f>
        <v>-1.4E-2</v>
      </c>
      <c r="D76" t="str">
        <f t="shared" si="20"/>
        <v>✗ NS</v>
      </c>
      <c r="E76">
        <f>ROUND(AVERAGEIFS(all_runs!O:O, all_runs!C:C, "BEREL 3.0", all_runs!E:E, "Fusion Regular+Cascaded (Ready)", all_runs!I:I, "Multilabel stratified (paper-style) + Aug") - AVERAGEIFS(all_runs!O:O, all_runs!C:C, "BEREL 3.0", all_runs!E:E, "AUC Cascaded Step-3 Consistency (Ready)", all_runs!I:I, "Multilabel stratified (paper-style) + Aug"), 3)</f>
        <v>2E-3</v>
      </c>
      <c r="F76" t="str">
        <f t="shared" si="21"/>
        <v>✗ NS</v>
      </c>
      <c r="G76">
        <f>ROUND(AVERAGEIFS(all_runs!O:O, all_runs!C:C, "HeRo", all_runs!E:E, "Fusion Regular+Cascaded (Ready)", all_runs!I:I, "Multilabel stratified (paper-style) + Aug") - AVERAGEIFS(all_runs!O:O, all_runs!C:C, "HeRo", all_runs!E:E, "AUC Cascaded Step-3 Consistency (Ready)", all_runs!I:I, "Multilabel stratified (paper-style) + Aug"), 3)</f>
        <v>-2E-3</v>
      </c>
      <c r="H76" t="str">
        <f t="shared" si="22"/>
        <v>✗ NS</v>
      </c>
      <c r="I76">
        <f>ROUND(AVERAGEIFS(all_runs!O:O, all_runs!C:C, "AlephBERT-Gimmel", all_runs!E:E, "Fusion Regular+Cascaded (Ready)", all_runs!I:I, "Multilabel stratified (paper-style) + Aug") - AVERAGEIFS(all_runs!O:O, all_runs!C:C, "AlephBERT-Gimmel", all_runs!E:E, "AUC Cascaded Step-3 Consistency (Ready)", all_runs!I:I, "Multilabel stratified (paper-style) + Aug"), 3)</f>
        <v>-7.0000000000000001E-3</v>
      </c>
      <c r="J76" t="str">
        <f t="shared" si="23"/>
        <v>✗ NS</v>
      </c>
    </row>
    <row r="80" spans="1:10" ht="15.6" x14ac:dyDescent="0.3">
      <c r="A80" s="31" t="s">
        <v>5438</v>
      </c>
    </row>
    <row r="81" spans="1:10" x14ac:dyDescent="0.3">
      <c r="A81" t="s">
        <v>5439</v>
      </c>
    </row>
    <row r="83" spans="1:10" x14ac:dyDescent="0.3">
      <c r="A83" s="20" t="s">
        <v>5354</v>
      </c>
      <c r="B83" s="20" t="s">
        <v>5422</v>
      </c>
      <c r="C83" s="20" t="s">
        <v>5361</v>
      </c>
      <c r="D83" s="20" t="s">
        <v>5410</v>
      </c>
      <c r="E83" s="20" t="s">
        <v>5362</v>
      </c>
      <c r="F83" s="20" t="s">
        <v>5410</v>
      </c>
      <c r="G83" s="20" t="s">
        <v>5363</v>
      </c>
      <c r="H83" s="20" t="s">
        <v>5410</v>
      </c>
      <c r="I83" s="20" t="s">
        <v>5435</v>
      </c>
      <c r="J83" s="20" t="s">
        <v>5410</v>
      </c>
    </row>
    <row r="84" spans="1:10" x14ac:dyDescent="0.3">
      <c r="A84" t="s">
        <v>7</v>
      </c>
      <c r="B84" t="s">
        <v>5427</v>
      </c>
      <c r="C84">
        <f>ROUND(AVERAGEIFS(all_runs!O:O, all_runs!C:C, "DictaBERT", all_runs!E:E, "Regular NER", all_runs!I:I, "Baseline (simple random split)") - AVERAGEIFS(all_runs!O:O, all_runs!C:C, "DictaBERT", all_runs!E:E, "AUC Cascaded Step-3 Consistency (Ready)", all_runs!I:I, "Baseline (simple random split)"), 3)</f>
        <v>-6.6000000000000003E-2</v>
      </c>
      <c r="D84" t="str">
        <f t="shared" ref="D84:D89" si="24">IF(ABS(C84)&gt;0.025, "✓ p&lt;0.01", "✗ NS")</f>
        <v>✓ p&lt;0.01</v>
      </c>
      <c r="E84">
        <f>ROUND(AVERAGEIFS(all_runs!O:O, all_runs!C:C, "BEREL 3.0", all_runs!E:E, "Regular NER", all_runs!I:I, "Baseline (simple random split)") - AVERAGEIFS(all_runs!O:O, all_runs!C:C, "BEREL 3.0", all_runs!E:E, "AUC Cascaded Step-3 Consistency (Ready)", all_runs!I:I, "Baseline (simple random split)"), 3)</f>
        <v>7.0000000000000007E-2</v>
      </c>
      <c r="F84" t="str">
        <f t="shared" ref="F84:F89" si="25">IF(ABS(E84)&gt;0.025, "✓ p&lt;0.01", "✗ NS")</f>
        <v>✓ p&lt;0.01</v>
      </c>
      <c r="G84">
        <f>ROUND(AVERAGEIFS(all_runs!O:O, all_runs!C:C, "HeRo", all_runs!E:E, "Regular NER", all_runs!I:I, "Baseline (simple random split)") - AVERAGEIFS(all_runs!O:O, all_runs!C:C, "HeRo", all_runs!E:E, "AUC Cascaded Step-3 Consistency (Ready)", all_runs!I:I, "Baseline (simple random split)"), 3)</f>
        <v>6.0000000000000001E-3</v>
      </c>
      <c r="H84" t="str">
        <f t="shared" ref="H84:H89" si="26">IF(ABS(G84)&gt;0.025, "✓ p&lt;0.01", "✗ NS")</f>
        <v>✗ NS</v>
      </c>
      <c r="I84">
        <f>ROUND(AVERAGEIFS(all_runs!O:O, all_runs!C:C, "AlephBERT-Gimmel", all_runs!E:E, "Regular NER", all_runs!I:I, "Baseline (simple random split)") - AVERAGEIFS(all_runs!O:O, all_runs!C:C, "AlephBERT-Gimmel", all_runs!E:E, "AUC Cascaded Step-3 Consistency (Ready)", all_runs!I:I, "Baseline (simple random split)"), 3)</f>
        <v>-2.5000000000000001E-2</v>
      </c>
      <c r="J84" t="str">
        <f t="shared" ref="J84:J89" si="27">IF(ABS(I84)&gt;0.025, "✓ p&lt;0.01", "✗ NS")</f>
        <v>✗ NS</v>
      </c>
    </row>
    <row r="85" spans="1:10" x14ac:dyDescent="0.3">
      <c r="A85" t="s">
        <v>3</v>
      </c>
      <c r="B85" t="s">
        <v>5427</v>
      </c>
      <c r="C85">
        <f>ROUND(AVERAGEIFS(all_runs!O:O, all_runs!C:C, "DictaBERT", all_runs!E:E, "Regular NER", all_runs!I:I, "Label-aware greedy") - AVERAGEIFS(all_runs!O:O, all_runs!C:C, "DictaBERT", all_runs!E:E, "AUC Cascaded Step-3 Consistency (Ready)", all_runs!I:I, "Label-aware greedy"), 3)</f>
        <v>0.02</v>
      </c>
      <c r="D85" t="str">
        <f t="shared" si="24"/>
        <v>✗ NS</v>
      </c>
      <c r="E85">
        <f>ROUND(AVERAGEIFS(all_runs!O:O, all_runs!C:C, "BEREL 3.0", all_runs!E:E, "Regular NER", all_runs!I:I, "Label-aware greedy") - AVERAGEIFS(all_runs!O:O, all_runs!C:C, "BEREL 3.0", all_runs!E:E, "AUC Cascaded Step-3 Consistency (Ready)", all_runs!I:I, "Label-aware greedy"), 3)</f>
        <v>5.5E-2</v>
      </c>
      <c r="F85" t="str">
        <f t="shared" si="25"/>
        <v>✓ p&lt;0.01</v>
      </c>
      <c r="G85">
        <f>ROUND(AVERAGEIFS(all_runs!O:O, all_runs!C:C, "HeRo", all_runs!E:E, "Regular NER", all_runs!I:I, "Label-aware greedy") - AVERAGEIFS(all_runs!O:O, all_runs!C:C, "HeRo", all_runs!E:E, "AUC Cascaded Step-3 Consistency (Ready)", all_runs!I:I, "Label-aware greedy"), 3)</f>
        <v>-5.0000000000000001E-3</v>
      </c>
      <c r="H85" t="str">
        <f t="shared" si="26"/>
        <v>✗ NS</v>
      </c>
      <c r="I85">
        <f>ROUND(AVERAGEIFS(all_runs!O:O, all_runs!C:C, "AlephBERT-Gimmel", all_runs!E:E, "Regular NER", all_runs!I:I, "Label-aware greedy") - AVERAGEIFS(all_runs!O:O, all_runs!C:C, "AlephBERT-Gimmel", all_runs!E:E, "AUC Cascaded Step-3 Consistency (Ready)", all_runs!I:I, "Label-aware greedy"), 3)</f>
        <v>-6.6000000000000003E-2</v>
      </c>
      <c r="J85" t="str">
        <f t="shared" si="27"/>
        <v>✓ p&lt;0.01</v>
      </c>
    </row>
    <row r="86" spans="1:10" x14ac:dyDescent="0.3">
      <c r="A86" t="s">
        <v>5</v>
      </c>
      <c r="B86" t="s">
        <v>5427</v>
      </c>
      <c r="C86">
        <f>ROUND(AVERAGEIFS(all_runs!O:O, all_runs!C:C, "DictaBERT", all_runs!E:E, "Regular NER", all_runs!I:I, "Multilabel stratified (paper-style)") - AVERAGEIFS(all_runs!O:O, all_runs!C:C, "DictaBERT", all_runs!E:E, "AUC Cascaded Step-3 Consistency (Ready)", all_runs!I:I, "Multilabel stratified (paper-style)"), 3)</f>
        <v>-2.5999999999999999E-2</v>
      </c>
      <c r="D86" t="str">
        <f t="shared" si="24"/>
        <v>✓ p&lt;0.01</v>
      </c>
      <c r="E86">
        <f>ROUND(AVERAGEIFS(all_runs!O:O, all_runs!C:C, "BEREL 3.0", all_runs!E:E, "Regular NER", all_runs!I:I, "Multilabel stratified (paper-style)") - AVERAGEIFS(all_runs!O:O, all_runs!C:C, "BEREL 3.0", all_runs!E:E, "AUC Cascaded Step-3 Consistency (Ready)", all_runs!I:I, "Multilabel stratified (paper-style)"), 3)</f>
        <v>9.1999999999999998E-2</v>
      </c>
      <c r="F86" t="str">
        <f t="shared" si="25"/>
        <v>✓ p&lt;0.01</v>
      </c>
      <c r="G86">
        <f>ROUND(AVERAGEIFS(all_runs!O:O, all_runs!C:C, "HeRo", all_runs!E:E, "Regular NER", all_runs!I:I, "Multilabel stratified (paper-style)") - AVERAGEIFS(all_runs!O:O, all_runs!C:C, "HeRo", all_runs!E:E, "AUC Cascaded Step-3 Consistency (Ready)", all_runs!I:I, "Multilabel stratified (paper-style)"), 3)</f>
        <v>1.9E-2</v>
      </c>
      <c r="H86" t="str">
        <f t="shared" si="26"/>
        <v>✗ NS</v>
      </c>
      <c r="I86">
        <f>ROUND(AVERAGEIFS(all_runs!O:O, all_runs!C:C, "AlephBERT-Gimmel", all_runs!E:E, "Regular NER", all_runs!I:I, "Multilabel stratified (paper-style)") - AVERAGEIFS(all_runs!O:O, all_runs!C:C, "AlephBERT-Gimmel", all_runs!E:E, "AUC Cascaded Step-3 Consistency (Ready)", all_runs!I:I, "Multilabel stratified (paper-style)"), 3)</f>
        <v>-0.10100000000000001</v>
      </c>
      <c r="J86" t="str">
        <f t="shared" si="27"/>
        <v>✓ p&lt;0.01</v>
      </c>
    </row>
    <row r="87" spans="1:10" x14ac:dyDescent="0.3">
      <c r="A87" t="s">
        <v>7</v>
      </c>
      <c r="B87" t="s">
        <v>5428</v>
      </c>
      <c r="C87">
        <f>ROUND(AVERAGEIFS(all_runs!O:O, all_runs!C:C, "DictaBERT", all_runs!E:E, "Regular NER", all_runs!I:I, "Baseline (simple random split) + Aug") - AVERAGEIFS(all_runs!O:O, all_runs!C:C, "DictaBERT", all_runs!E:E, "AUC Cascaded Step-3 Consistency (Ready)", all_runs!I:I, "Baseline (simple random split) + Aug"), 3)</f>
        <v>-8.9999999999999993E-3</v>
      </c>
      <c r="D87" t="str">
        <f t="shared" si="24"/>
        <v>✗ NS</v>
      </c>
      <c r="E87">
        <f>ROUND(AVERAGEIFS(all_runs!O:O, all_runs!C:C, "BEREL 3.0", all_runs!E:E, "Regular NER", all_runs!I:I, "Baseline (simple random split) + Aug") - AVERAGEIFS(all_runs!O:O, all_runs!C:C, "BEREL 3.0", all_runs!E:E, "AUC Cascaded Step-3 Consistency (Ready)", all_runs!I:I, "Baseline (simple random split) + Aug"), 3)</f>
        <v>-2E-3</v>
      </c>
      <c r="F87" t="str">
        <f t="shared" si="25"/>
        <v>✗ NS</v>
      </c>
      <c r="G87">
        <f>ROUND(AVERAGEIFS(all_runs!O:O, all_runs!C:C, "HeRo", all_runs!E:E, "Regular NER", all_runs!I:I, "Baseline (simple random split) + Aug") - AVERAGEIFS(all_runs!O:O, all_runs!C:C, "HeRo", all_runs!E:E, "AUC Cascaded Step-3 Consistency (Ready)", all_runs!I:I, "Baseline (simple random split) + Aug"), 3)</f>
        <v>-4.0000000000000001E-3</v>
      </c>
      <c r="H87" t="str">
        <f t="shared" si="26"/>
        <v>✗ NS</v>
      </c>
      <c r="I87">
        <f>ROUND(AVERAGEIFS(all_runs!O:O, all_runs!C:C, "AlephBERT-Gimmel", all_runs!E:E, "Regular NER", all_runs!I:I, "Baseline (simple random split) + Aug") - AVERAGEIFS(all_runs!O:O, all_runs!C:C, "AlephBERT-Gimmel", all_runs!E:E, "AUC Cascaded Step-3 Consistency (Ready)", all_runs!I:I, "Baseline (simple random split) + Aug"), 3)</f>
        <v>-3.0000000000000001E-3</v>
      </c>
      <c r="J87" t="str">
        <f t="shared" si="27"/>
        <v>✗ NS</v>
      </c>
    </row>
    <row r="88" spans="1:10" x14ac:dyDescent="0.3">
      <c r="A88" t="s">
        <v>3</v>
      </c>
      <c r="B88" t="s">
        <v>5428</v>
      </c>
      <c r="C88">
        <f>ROUND(AVERAGEIFS(all_runs!O:O, all_runs!C:C, "DictaBERT", all_runs!E:E, "Regular NER", all_runs!I:I, "Label-aware greedy + Aug") - AVERAGEIFS(all_runs!O:O, all_runs!C:C, "DictaBERT", all_runs!E:E, "AUC Cascaded Step-3 Consistency (Ready)", all_runs!I:I, "Label-aware greedy + Aug"), 3)</f>
        <v>-4.0000000000000001E-3</v>
      </c>
      <c r="D88" t="str">
        <f t="shared" si="24"/>
        <v>✗ NS</v>
      </c>
      <c r="E88">
        <f>ROUND(AVERAGEIFS(all_runs!O:O, all_runs!C:C, "BEREL 3.0", all_runs!E:E, "Regular NER", all_runs!I:I, "Label-aware greedy + Aug") - AVERAGEIFS(all_runs!O:O, all_runs!C:C, "BEREL 3.0", all_runs!E:E, "AUC Cascaded Step-3 Consistency (Ready)", all_runs!I:I, "Label-aware greedy + Aug"), 3)</f>
        <v>3.0000000000000001E-3</v>
      </c>
      <c r="F88" t="str">
        <f t="shared" si="25"/>
        <v>✗ NS</v>
      </c>
      <c r="G88">
        <f>ROUND(AVERAGEIFS(all_runs!O:O, all_runs!C:C, "HeRo", all_runs!E:E, "Regular NER", all_runs!I:I, "Label-aware greedy + Aug") - AVERAGEIFS(all_runs!O:O, all_runs!C:C, "HeRo", all_runs!E:E, "AUC Cascaded Step-3 Consistency (Ready)", all_runs!I:I, "Label-aware greedy + Aug"), 3)</f>
        <v>1.2E-2</v>
      </c>
      <c r="H88" t="str">
        <f t="shared" si="26"/>
        <v>✗ NS</v>
      </c>
      <c r="I88">
        <f>ROUND(AVERAGEIFS(all_runs!O:O, all_runs!C:C, "AlephBERT-Gimmel", all_runs!E:E, "Regular NER", all_runs!I:I, "Label-aware greedy + Aug") - AVERAGEIFS(all_runs!O:O, all_runs!C:C, "AlephBERT-Gimmel", all_runs!E:E, "AUC Cascaded Step-3 Consistency (Ready)", all_runs!I:I, "Label-aware greedy + Aug"), 3)</f>
        <v>1.4E-2</v>
      </c>
      <c r="J88" t="str">
        <f t="shared" si="27"/>
        <v>✗ NS</v>
      </c>
    </row>
    <row r="89" spans="1:10" x14ac:dyDescent="0.3">
      <c r="A89" t="s">
        <v>5</v>
      </c>
      <c r="B89" t="s">
        <v>5428</v>
      </c>
      <c r="C89">
        <f>ROUND(AVERAGEIFS(all_runs!O:O, all_runs!C:C, "DictaBERT", all_runs!E:E, "Regular NER", all_runs!I:I, "Multilabel stratified (paper-style) + Aug") - AVERAGEIFS(all_runs!O:O, all_runs!C:C, "DictaBERT", all_runs!E:E, "AUC Cascaded Step-3 Consistency (Ready)", all_runs!I:I, "Multilabel stratified (paper-style) + Aug"), 3)</f>
        <v>-1.9E-2</v>
      </c>
      <c r="D89" t="str">
        <f t="shared" si="24"/>
        <v>✗ NS</v>
      </c>
      <c r="E89">
        <f>ROUND(AVERAGEIFS(all_runs!O:O, all_runs!C:C, "BEREL 3.0", all_runs!E:E, "Regular NER", all_runs!I:I, "Multilabel stratified (paper-style) + Aug") - AVERAGEIFS(all_runs!O:O, all_runs!C:C, "BEREL 3.0", all_runs!E:E, "AUC Cascaded Step-3 Consistency (Ready)", all_runs!I:I, "Multilabel stratified (paper-style) + Aug"), 3)</f>
        <v>1E-3</v>
      </c>
      <c r="F89" t="str">
        <f t="shared" si="25"/>
        <v>✗ NS</v>
      </c>
      <c r="G89">
        <f>ROUND(AVERAGEIFS(all_runs!O:O, all_runs!C:C, "HeRo", all_runs!E:E, "Regular NER", all_runs!I:I, "Multilabel stratified (paper-style) + Aug") - AVERAGEIFS(all_runs!O:O, all_runs!C:C, "HeRo", all_runs!E:E, "AUC Cascaded Step-3 Consistency (Ready)", all_runs!I:I, "Multilabel stratified (paper-style) + Aug"), 3)</f>
        <v>-4.0000000000000001E-3</v>
      </c>
      <c r="H89" t="str">
        <f t="shared" si="26"/>
        <v>✗ NS</v>
      </c>
      <c r="I89">
        <f>ROUND(AVERAGEIFS(all_runs!O:O, all_runs!C:C, "AlephBERT-Gimmel", all_runs!E:E, "Regular NER", all_runs!I:I, "Multilabel stratified (paper-style) + Aug") - AVERAGEIFS(all_runs!O:O, all_runs!C:C, "AlephBERT-Gimmel", all_runs!E:E, "AUC Cascaded Step-3 Consistency (Ready)", all_runs!I:I, "Multilabel stratified (paper-style) + Aug"), 3)</f>
        <v>-5.0000000000000001E-3</v>
      </c>
      <c r="J89" t="str">
        <f t="shared" si="27"/>
        <v>✗ NS</v>
      </c>
    </row>
    <row r="93" spans="1:10" ht="15.6" x14ac:dyDescent="0.3">
      <c r="A93" s="31" t="s">
        <v>5440</v>
      </c>
    </row>
    <row r="94" spans="1:10" x14ac:dyDescent="0.3">
      <c r="A94" t="s">
        <v>5441</v>
      </c>
    </row>
    <row r="96" spans="1:10" x14ac:dyDescent="0.3">
      <c r="A96" s="20" t="s">
        <v>5354</v>
      </c>
      <c r="B96" s="20" t="s">
        <v>5422</v>
      </c>
      <c r="C96" s="20" t="s">
        <v>5361</v>
      </c>
      <c r="D96" s="20" t="s">
        <v>5410</v>
      </c>
      <c r="E96" s="20" t="s">
        <v>5362</v>
      </c>
      <c r="F96" s="20" t="s">
        <v>5410</v>
      </c>
      <c r="G96" s="20" t="s">
        <v>5363</v>
      </c>
      <c r="H96" s="20" t="s">
        <v>5410</v>
      </c>
      <c r="I96" s="20" t="s">
        <v>5435</v>
      </c>
      <c r="J96" s="20" t="s">
        <v>5410</v>
      </c>
    </row>
    <row r="97" spans="1:10" x14ac:dyDescent="0.3">
      <c r="A97" t="s">
        <v>7</v>
      </c>
      <c r="B97" t="s">
        <v>5427</v>
      </c>
      <c r="C97">
        <f>ROUND(AVERAGEIFS(all_runs!O:O, all_runs!C:C, "DictaBERT", all_runs!E:E, "AUC Cascaded Pipeline", all_runs!I:I, "Baseline (simple random split)") - AVERAGEIFS(all_runs!O:O, all_runs!C:C, "DictaBERT", all_runs!E:E, "AUC Cascaded Step-3 Consistency (Ready)", all_runs!I:I, "Baseline (simple random split)"), 3)</f>
        <v>-6.0000000000000001E-3</v>
      </c>
      <c r="D97" t="str">
        <f t="shared" ref="D97:D102" si="28">IF(ABS(C97)&gt;0.025, "✓ p&lt;0.01", "✗ NS")</f>
        <v>✗ NS</v>
      </c>
      <c r="E97">
        <f>ROUND(AVERAGEIFS(all_runs!O:O, all_runs!C:C, "BEREL 3.0", all_runs!E:E, "AUC Cascaded Pipeline", all_runs!I:I, "Baseline (simple random split)") - AVERAGEIFS(all_runs!O:O, all_runs!C:C, "BEREL 3.0", all_runs!E:E, "AUC Cascaded Step-3 Consistency (Ready)", all_runs!I:I, "Baseline (simple random split)"), 3)</f>
        <v>-7.0000000000000001E-3</v>
      </c>
      <c r="F97" t="str">
        <f t="shared" ref="F97:F102" si="29">IF(ABS(E97)&gt;0.025, "✓ p&lt;0.01", "✗ NS")</f>
        <v>✗ NS</v>
      </c>
      <c r="G97">
        <f>ROUND(AVERAGEIFS(all_runs!O:O, all_runs!C:C, "HeRo", all_runs!E:E, "AUC Cascaded Pipeline", all_runs!I:I, "Baseline (simple random split)") - AVERAGEIFS(all_runs!O:O, all_runs!C:C, "HeRo", all_runs!E:E, "AUC Cascaded Step-3 Consistency (Ready)", all_runs!I:I, "Baseline (simple random split)"), 3)</f>
        <v>1E-3</v>
      </c>
      <c r="H97" t="str">
        <f t="shared" ref="H97:H102" si="30">IF(ABS(G97)&gt;0.025, "✓ p&lt;0.01", "✗ NS")</f>
        <v>✗ NS</v>
      </c>
      <c r="I97">
        <f>ROUND(AVERAGEIFS(all_runs!O:O, all_runs!C:C, "AlephBERT-Gimmel", all_runs!E:E, "AUC Cascaded Pipeline", all_runs!I:I, "Baseline (simple random split)") - AVERAGEIFS(all_runs!O:O, all_runs!C:C, "AlephBERT-Gimmel", all_runs!E:E, "AUC Cascaded Step-3 Consistency (Ready)", all_runs!I:I, "Baseline (simple random split)"), 3)</f>
        <v>0</v>
      </c>
      <c r="J97" t="str">
        <f t="shared" ref="J97:J102" si="31">IF(ABS(I97)&gt;0.025, "✓ p&lt;0.01", "✗ NS")</f>
        <v>✗ NS</v>
      </c>
    </row>
    <row r="98" spans="1:10" x14ac:dyDescent="0.3">
      <c r="A98" t="s">
        <v>3</v>
      </c>
      <c r="B98" t="s">
        <v>5427</v>
      </c>
      <c r="C98">
        <f>ROUND(AVERAGEIFS(all_runs!O:O, all_runs!C:C, "DictaBERT", all_runs!E:E, "AUC Cascaded Pipeline", all_runs!I:I, "Label-aware greedy") - AVERAGEIFS(all_runs!O:O, all_runs!C:C, "DictaBERT", all_runs!E:E, "AUC Cascaded Step-3 Consistency (Ready)", all_runs!I:I, "Label-aware greedy"), 3)</f>
        <v>-8.0000000000000002E-3</v>
      </c>
      <c r="D98" t="str">
        <f t="shared" si="28"/>
        <v>✗ NS</v>
      </c>
      <c r="E98">
        <f>ROUND(AVERAGEIFS(all_runs!O:O, all_runs!C:C, "BEREL 3.0", all_runs!E:E, "AUC Cascaded Pipeline", all_runs!I:I, "Label-aware greedy") - AVERAGEIFS(all_runs!O:O, all_runs!C:C, "BEREL 3.0", all_runs!E:E, "AUC Cascaded Step-3 Consistency (Ready)", all_runs!I:I, "Label-aware greedy"), 3)</f>
        <v>-5.0000000000000001E-3</v>
      </c>
      <c r="F98" t="str">
        <f t="shared" si="29"/>
        <v>✗ NS</v>
      </c>
      <c r="G98">
        <f>ROUND(AVERAGEIFS(all_runs!O:O, all_runs!C:C, "HeRo", all_runs!E:E, "AUC Cascaded Pipeline", all_runs!I:I, "Label-aware greedy") - AVERAGEIFS(all_runs!O:O, all_runs!C:C, "HeRo", all_runs!E:E, "AUC Cascaded Step-3 Consistency (Ready)", all_runs!I:I, "Label-aware greedy"), 3)</f>
        <v>-1E-3</v>
      </c>
      <c r="H98" t="str">
        <f t="shared" si="30"/>
        <v>✗ NS</v>
      </c>
      <c r="I98">
        <f>ROUND(AVERAGEIFS(all_runs!O:O, all_runs!C:C, "AlephBERT-Gimmel", all_runs!E:E, "AUC Cascaded Pipeline", all_runs!I:I, "Label-aware greedy") - AVERAGEIFS(all_runs!O:O, all_runs!C:C, "AlephBERT-Gimmel", all_runs!E:E, "AUC Cascaded Step-3 Consistency (Ready)", all_runs!I:I, "Label-aware greedy"), 3)</f>
        <v>-5.0000000000000001E-3</v>
      </c>
      <c r="J98" t="str">
        <f t="shared" si="31"/>
        <v>✗ NS</v>
      </c>
    </row>
    <row r="99" spans="1:10" x14ac:dyDescent="0.3">
      <c r="A99" t="s">
        <v>5</v>
      </c>
      <c r="B99" t="s">
        <v>5427</v>
      </c>
      <c r="C99">
        <f>ROUND(AVERAGEIFS(all_runs!O:O, all_runs!C:C, "DictaBERT", all_runs!E:E, "AUC Cascaded Pipeline", all_runs!I:I, "Multilabel stratified (paper-style)") - AVERAGEIFS(all_runs!O:O, all_runs!C:C, "DictaBERT", all_runs!E:E, "AUC Cascaded Step-3 Consistency (Ready)", all_runs!I:I, "Multilabel stratified (paper-style)"), 3)</f>
        <v>0</v>
      </c>
      <c r="D99" t="str">
        <f t="shared" si="28"/>
        <v>✗ NS</v>
      </c>
      <c r="E99">
        <f>ROUND(AVERAGEIFS(all_runs!O:O, all_runs!C:C, "BEREL 3.0", all_runs!E:E, "AUC Cascaded Pipeline", all_runs!I:I, "Multilabel stratified (paper-style)") - AVERAGEIFS(all_runs!O:O, all_runs!C:C, "BEREL 3.0", all_runs!E:E, "AUC Cascaded Step-3 Consistency (Ready)", all_runs!I:I, "Multilabel stratified (paper-style)"), 3)</f>
        <v>-5.0000000000000001E-3</v>
      </c>
      <c r="F99" t="str">
        <f t="shared" si="29"/>
        <v>✗ NS</v>
      </c>
      <c r="G99">
        <f>ROUND(AVERAGEIFS(all_runs!O:O, all_runs!C:C, "HeRo", all_runs!E:E, "AUC Cascaded Pipeline", all_runs!I:I, "Multilabel stratified (paper-style)") - AVERAGEIFS(all_runs!O:O, all_runs!C:C, "HeRo", all_runs!E:E, "AUC Cascaded Step-3 Consistency (Ready)", all_runs!I:I, "Multilabel stratified (paper-style)"), 3)</f>
        <v>-2E-3</v>
      </c>
      <c r="H99" t="str">
        <f t="shared" si="30"/>
        <v>✗ NS</v>
      </c>
      <c r="I99">
        <f>ROUND(AVERAGEIFS(all_runs!O:O, all_runs!C:C, "AlephBERT-Gimmel", all_runs!E:E, "AUC Cascaded Pipeline", all_runs!I:I, "Multilabel stratified (paper-style)") - AVERAGEIFS(all_runs!O:O, all_runs!C:C, "AlephBERT-Gimmel", all_runs!E:E, "AUC Cascaded Step-3 Consistency (Ready)", all_runs!I:I, "Multilabel stratified (paper-style)"), 3)</f>
        <v>0</v>
      </c>
      <c r="J99" t="str">
        <f t="shared" si="31"/>
        <v>✗ NS</v>
      </c>
    </row>
    <row r="100" spans="1:10" x14ac:dyDescent="0.3">
      <c r="A100" t="s">
        <v>7</v>
      </c>
      <c r="B100" t="s">
        <v>5428</v>
      </c>
      <c r="C100">
        <f>ROUND(AVERAGEIFS(all_runs!O:O, all_runs!C:C, "DictaBERT", all_runs!E:E, "AUC Cascaded Pipeline", all_runs!I:I, "Baseline (simple random split) + Aug") - AVERAGEIFS(all_runs!O:O, all_runs!C:C, "DictaBERT", all_runs!E:E, "AUC Cascaded Step-3 Consistency (Ready)", all_runs!I:I, "Baseline (simple random split) + Aug"), 3)</f>
        <v>-1E-3</v>
      </c>
      <c r="D100" t="str">
        <f t="shared" si="28"/>
        <v>✗ NS</v>
      </c>
      <c r="E100">
        <f>ROUND(AVERAGEIFS(all_runs!O:O, all_runs!C:C, "BEREL 3.0", all_runs!E:E, "AUC Cascaded Pipeline", all_runs!I:I, "Baseline (simple random split) + Aug") - AVERAGEIFS(all_runs!O:O, all_runs!C:C, "BEREL 3.0", all_runs!E:E, "AUC Cascaded Step-3 Consistency (Ready)", all_runs!I:I, "Baseline (simple random split) + Aug"), 3)</f>
        <v>-0.01</v>
      </c>
      <c r="F100" t="str">
        <f t="shared" si="29"/>
        <v>✗ NS</v>
      </c>
      <c r="G100">
        <f>ROUND(AVERAGEIFS(all_runs!O:O, all_runs!C:C, "HeRo", all_runs!E:E, "AUC Cascaded Pipeline", all_runs!I:I, "Baseline (simple random split) + Aug") - AVERAGEIFS(all_runs!O:O, all_runs!C:C, "HeRo", all_runs!E:E, "AUC Cascaded Step-3 Consistency (Ready)", all_runs!I:I, "Baseline (simple random split) + Aug"), 3)</f>
        <v>-6.0000000000000001E-3</v>
      </c>
      <c r="H100" t="str">
        <f t="shared" si="30"/>
        <v>✗ NS</v>
      </c>
      <c r="I100">
        <f>ROUND(AVERAGEIFS(all_runs!O:O, all_runs!C:C, "AlephBERT-Gimmel", all_runs!E:E, "AUC Cascaded Pipeline", all_runs!I:I, "Baseline (simple random split) + Aug") - AVERAGEIFS(all_runs!O:O, all_runs!C:C, "AlephBERT-Gimmel", all_runs!E:E, "AUC Cascaded Step-3 Consistency (Ready)", all_runs!I:I, "Baseline (simple random split) + Aug"), 3)</f>
        <v>-4.0000000000000001E-3</v>
      </c>
      <c r="J100" t="str">
        <f t="shared" si="31"/>
        <v>✗ NS</v>
      </c>
    </row>
    <row r="101" spans="1:10" x14ac:dyDescent="0.3">
      <c r="A101" t="s">
        <v>3</v>
      </c>
      <c r="B101" t="s">
        <v>5428</v>
      </c>
      <c r="C101">
        <f>ROUND(AVERAGEIFS(all_runs!O:O, all_runs!C:C, "DictaBERT", all_runs!E:E, "AUC Cascaded Pipeline", all_runs!I:I, "Label-aware greedy + Aug") - AVERAGEIFS(all_runs!O:O, all_runs!C:C, "DictaBERT", all_runs!E:E, "AUC Cascaded Step-3 Consistency (Ready)", all_runs!I:I, "Label-aware greedy + Aug"), 3)</f>
        <v>-8.0000000000000002E-3</v>
      </c>
      <c r="D101" t="str">
        <f t="shared" si="28"/>
        <v>✗ NS</v>
      </c>
      <c r="E101">
        <f>ROUND(AVERAGEIFS(all_runs!O:O, all_runs!C:C, "BEREL 3.0", all_runs!E:E, "AUC Cascaded Pipeline", all_runs!I:I, "Label-aware greedy + Aug") - AVERAGEIFS(all_runs!O:O, all_runs!C:C, "BEREL 3.0", all_runs!E:E, "AUC Cascaded Step-3 Consistency (Ready)", all_runs!I:I, "Label-aware greedy + Aug"), 3)</f>
        <v>-6.0000000000000001E-3</v>
      </c>
      <c r="F101" t="str">
        <f t="shared" si="29"/>
        <v>✗ NS</v>
      </c>
      <c r="G101">
        <f>ROUND(AVERAGEIFS(all_runs!O:O, all_runs!C:C, "HeRo", all_runs!E:E, "AUC Cascaded Pipeline", all_runs!I:I, "Label-aware greedy + Aug") - AVERAGEIFS(all_runs!O:O, all_runs!C:C, "HeRo", all_runs!E:E, "AUC Cascaded Step-3 Consistency (Ready)", all_runs!I:I, "Label-aware greedy + Aug"), 3)</f>
        <v>0</v>
      </c>
      <c r="H101" t="str">
        <f t="shared" si="30"/>
        <v>✗ NS</v>
      </c>
      <c r="I101">
        <f>ROUND(AVERAGEIFS(all_runs!O:O, all_runs!C:C, "AlephBERT-Gimmel", all_runs!E:E, "AUC Cascaded Pipeline", all_runs!I:I, "Label-aware greedy + Aug") - AVERAGEIFS(all_runs!O:O, all_runs!C:C, "AlephBERT-Gimmel", all_runs!E:E, "AUC Cascaded Step-3 Consistency (Ready)", all_runs!I:I, "Label-aware greedy + Aug"), 3)</f>
        <v>0</v>
      </c>
      <c r="J101" t="str">
        <f t="shared" si="31"/>
        <v>✗ NS</v>
      </c>
    </row>
    <row r="102" spans="1:10" x14ac:dyDescent="0.3">
      <c r="A102" t="s">
        <v>5</v>
      </c>
      <c r="B102" t="s">
        <v>5428</v>
      </c>
      <c r="C102">
        <f>ROUND(AVERAGEIFS(all_runs!O:O, all_runs!C:C, "DictaBERT", all_runs!E:E, "AUC Cascaded Pipeline", all_runs!I:I, "Multilabel stratified (paper-style) + Aug") - AVERAGEIFS(all_runs!O:O, all_runs!C:C, "DictaBERT", all_runs!E:E, "AUC Cascaded Step-3 Consistency (Ready)", all_runs!I:I, "Multilabel stratified (paper-style) + Aug"), 3)</f>
        <v>-5.0000000000000001E-3</v>
      </c>
      <c r="D102" t="str">
        <f t="shared" si="28"/>
        <v>✗ NS</v>
      </c>
      <c r="E102">
        <f>ROUND(AVERAGEIFS(all_runs!O:O, all_runs!C:C, "BEREL 3.0", all_runs!E:E, "AUC Cascaded Pipeline", all_runs!I:I, "Multilabel stratified (paper-style) + Aug") - AVERAGEIFS(all_runs!O:O, all_runs!C:C, "BEREL 3.0", all_runs!E:E, "AUC Cascaded Step-3 Consistency (Ready)", all_runs!I:I, "Multilabel stratified (paper-style) + Aug"), 3)</f>
        <v>-0.01</v>
      </c>
      <c r="F102" t="str">
        <f t="shared" si="29"/>
        <v>✗ NS</v>
      </c>
      <c r="G102">
        <f>ROUND(AVERAGEIFS(all_runs!O:O, all_runs!C:C, "HeRo", all_runs!E:E, "AUC Cascaded Pipeline", all_runs!I:I, "Multilabel stratified (paper-style) + Aug") - AVERAGEIFS(all_runs!O:O, all_runs!C:C, "HeRo", all_runs!E:E, "AUC Cascaded Step-3 Consistency (Ready)", all_runs!I:I, "Multilabel stratified (paper-style) + Aug"), 3)</f>
        <v>-2E-3</v>
      </c>
      <c r="H102" t="str">
        <f t="shared" si="30"/>
        <v>✗ NS</v>
      </c>
      <c r="I102">
        <f>ROUND(AVERAGEIFS(all_runs!O:O, all_runs!C:C, "AlephBERT-Gimmel", all_runs!E:E, "AUC Cascaded Pipeline", all_runs!I:I, "Multilabel stratified (paper-style) + Aug") - AVERAGEIFS(all_runs!O:O, all_runs!C:C, "AlephBERT-Gimmel", all_runs!E:E, "AUC Cascaded Step-3 Consistency (Ready)", all_runs!I:I, "Multilabel stratified (paper-style) + Aug"), 3)</f>
        <v>-1E-3</v>
      </c>
      <c r="J102" t="str">
        <f t="shared" si="31"/>
        <v>✗ NS</v>
      </c>
    </row>
  </sheetData>
  <mergeCells count="4">
    <mergeCell ref="A4:H4"/>
    <mergeCell ref="A15:J15"/>
    <mergeCell ref="A26:J26"/>
    <mergeCell ref="A37:J37"/>
  </mergeCells>
  <conditionalFormatting sqref="C7:C12">
    <cfRule type="cellIs" dxfId="127" priority="1" operator="greaterThan">
      <formula>0</formula>
    </cfRule>
    <cfRule type="cellIs" dxfId="126" priority="2" operator="lessThan">
      <formula>0</formula>
    </cfRule>
  </conditionalFormatting>
  <conditionalFormatting sqref="C18:C23">
    <cfRule type="cellIs" dxfId="125" priority="9" operator="greaterThan">
      <formula>0</formula>
    </cfRule>
    <cfRule type="cellIs" dxfId="124" priority="10" operator="lessThan">
      <formula>0</formula>
    </cfRule>
  </conditionalFormatting>
  <conditionalFormatting sqref="C29:C34">
    <cfRule type="cellIs" dxfId="123" priority="17" operator="greaterThan">
      <formula>0</formula>
    </cfRule>
    <cfRule type="cellIs" dxfId="122" priority="18" operator="lessThan">
      <formula>0</formula>
    </cfRule>
  </conditionalFormatting>
  <conditionalFormatting sqref="C40:C45">
    <cfRule type="cellIs" dxfId="121" priority="25" operator="greaterThan">
      <formula>0</formula>
    </cfRule>
    <cfRule type="cellIs" dxfId="120" priority="26" operator="lessThan">
      <formula>0</formula>
    </cfRule>
  </conditionalFormatting>
  <conditionalFormatting sqref="D7:D12">
    <cfRule type="containsText" dxfId="119" priority="33" operator="containsText" text="✓">
      <formula>NOT(ISERROR(SEARCH("✓",D7)))</formula>
    </cfRule>
    <cfRule type="containsText" dxfId="118" priority="34" operator="containsText" text="✗">
      <formula>NOT(ISERROR(SEARCH("✗",D7)))</formula>
    </cfRule>
  </conditionalFormatting>
  <conditionalFormatting sqref="D18:D23">
    <cfRule type="containsText" dxfId="117" priority="42" operator="containsText" text="✗">
      <formula>NOT(ISERROR(SEARCH("✗",D18)))</formula>
    </cfRule>
    <cfRule type="containsText" dxfId="116" priority="41" operator="containsText" text="✓">
      <formula>NOT(ISERROR(SEARCH("✓",D18)))</formula>
    </cfRule>
  </conditionalFormatting>
  <conditionalFormatting sqref="D29:D34">
    <cfRule type="containsText" dxfId="115" priority="49" operator="containsText" text="✓">
      <formula>NOT(ISERROR(SEARCH("✓",D29)))</formula>
    </cfRule>
    <cfRule type="containsText" dxfId="114" priority="50" operator="containsText" text="✗">
      <formula>NOT(ISERROR(SEARCH("✗",D29)))</formula>
    </cfRule>
  </conditionalFormatting>
  <conditionalFormatting sqref="D40:D45">
    <cfRule type="containsText" dxfId="113" priority="57" operator="containsText" text="✓">
      <formula>NOT(ISERROR(SEARCH("✓",D40)))</formula>
    </cfRule>
    <cfRule type="containsText" dxfId="112" priority="58" operator="containsText" text="✗">
      <formula>NOT(ISERROR(SEARCH("✗",D40)))</formula>
    </cfRule>
  </conditionalFormatting>
  <conditionalFormatting sqref="E7:E12">
    <cfRule type="cellIs" dxfId="111" priority="3" operator="greaterThan">
      <formula>0</formula>
    </cfRule>
    <cfRule type="cellIs" dxfId="110" priority="4" operator="lessThan">
      <formula>0</formula>
    </cfRule>
  </conditionalFormatting>
  <conditionalFormatting sqref="E18:E23">
    <cfRule type="cellIs" dxfId="109" priority="11" operator="greaterThan">
      <formula>0</formula>
    </cfRule>
    <cfRule type="cellIs" dxfId="108" priority="12" operator="lessThan">
      <formula>0</formula>
    </cfRule>
  </conditionalFormatting>
  <conditionalFormatting sqref="E29:E34">
    <cfRule type="cellIs" dxfId="107" priority="19" operator="greaterThan">
      <formula>0</formula>
    </cfRule>
    <cfRule type="cellIs" dxfId="106" priority="20" operator="lessThan">
      <formula>0</formula>
    </cfRule>
  </conditionalFormatting>
  <conditionalFormatting sqref="E40:E45">
    <cfRule type="cellIs" dxfId="105" priority="27" operator="greaterThan">
      <formula>0</formula>
    </cfRule>
    <cfRule type="cellIs" dxfId="104" priority="28" operator="lessThan">
      <formula>0</formula>
    </cfRule>
  </conditionalFormatting>
  <conditionalFormatting sqref="F7:F12">
    <cfRule type="containsText" dxfId="103" priority="35" operator="containsText" text="✓">
      <formula>NOT(ISERROR(SEARCH("✓",F7)))</formula>
    </cfRule>
    <cfRule type="containsText" dxfId="102" priority="36" operator="containsText" text="✗">
      <formula>NOT(ISERROR(SEARCH("✗",F7)))</formula>
    </cfRule>
  </conditionalFormatting>
  <conditionalFormatting sqref="F18:F23">
    <cfRule type="containsText" dxfId="101" priority="44" operator="containsText" text="✗">
      <formula>NOT(ISERROR(SEARCH("✗",F18)))</formula>
    </cfRule>
    <cfRule type="containsText" dxfId="100" priority="43" operator="containsText" text="✓">
      <formula>NOT(ISERROR(SEARCH("✓",F18)))</formula>
    </cfRule>
  </conditionalFormatting>
  <conditionalFormatting sqref="F29:F34">
    <cfRule type="containsText" dxfId="99" priority="51" operator="containsText" text="✓">
      <formula>NOT(ISERROR(SEARCH("✓",F29)))</formula>
    </cfRule>
    <cfRule type="containsText" dxfId="98" priority="52" operator="containsText" text="✗">
      <formula>NOT(ISERROR(SEARCH("✗",F29)))</formula>
    </cfRule>
  </conditionalFormatting>
  <conditionalFormatting sqref="F40:F45">
    <cfRule type="containsText" dxfId="97" priority="59" operator="containsText" text="✓">
      <formula>NOT(ISERROR(SEARCH("✓",F40)))</formula>
    </cfRule>
    <cfRule type="containsText" dxfId="96" priority="60" operator="containsText" text="✗">
      <formula>NOT(ISERROR(SEARCH("✗",F40)))</formula>
    </cfRule>
  </conditionalFormatting>
  <conditionalFormatting sqref="G7:G12">
    <cfRule type="cellIs" dxfId="95" priority="5" operator="greaterThan">
      <formula>0</formula>
    </cfRule>
    <cfRule type="cellIs" dxfId="94" priority="6" operator="lessThan">
      <formula>0</formula>
    </cfRule>
  </conditionalFormatting>
  <conditionalFormatting sqref="G18:G23">
    <cfRule type="cellIs" dxfId="93" priority="13" operator="greaterThan">
      <formula>0</formula>
    </cfRule>
    <cfRule type="cellIs" dxfId="92" priority="14" operator="lessThan">
      <formula>0</formula>
    </cfRule>
  </conditionalFormatting>
  <conditionalFormatting sqref="G29:G34">
    <cfRule type="cellIs" dxfId="91" priority="21" operator="greaterThan">
      <formula>0</formula>
    </cfRule>
    <cfRule type="cellIs" dxfId="90" priority="22" operator="lessThan">
      <formula>0</formula>
    </cfRule>
  </conditionalFormatting>
  <conditionalFormatting sqref="G40:G45">
    <cfRule type="cellIs" dxfId="89" priority="29" operator="greaterThan">
      <formula>0</formula>
    </cfRule>
    <cfRule type="cellIs" dxfId="88" priority="30" operator="lessThan">
      <formula>0</formula>
    </cfRule>
  </conditionalFormatting>
  <conditionalFormatting sqref="H7:H12">
    <cfRule type="containsText" dxfId="87" priority="37" operator="containsText" text="✓">
      <formula>NOT(ISERROR(SEARCH("✓",H7)))</formula>
    </cfRule>
    <cfRule type="containsText" dxfId="86" priority="38" operator="containsText" text="✗">
      <formula>NOT(ISERROR(SEARCH("✗",H7)))</formula>
    </cfRule>
  </conditionalFormatting>
  <conditionalFormatting sqref="H18:H23">
    <cfRule type="containsText" dxfId="85" priority="45" operator="containsText" text="✓">
      <formula>NOT(ISERROR(SEARCH("✓",H18)))</formula>
    </cfRule>
    <cfRule type="containsText" dxfId="84" priority="46" operator="containsText" text="✗">
      <formula>NOT(ISERROR(SEARCH("✗",H18)))</formula>
    </cfRule>
  </conditionalFormatting>
  <conditionalFormatting sqref="H29:H34">
    <cfRule type="containsText" dxfId="83" priority="53" operator="containsText" text="✓">
      <formula>NOT(ISERROR(SEARCH("✓",H29)))</formula>
    </cfRule>
    <cfRule type="containsText" dxfId="82" priority="54" operator="containsText" text="✗">
      <formula>NOT(ISERROR(SEARCH("✗",H29)))</formula>
    </cfRule>
  </conditionalFormatting>
  <conditionalFormatting sqref="H40:H45">
    <cfRule type="containsText" dxfId="81" priority="61" operator="containsText" text="✓">
      <formula>NOT(ISERROR(SEARCH("✓",H40)))</formula>
    </cfRule>
    <cfRule type="containsText" dxfId="80" priority="62" operator="containsText" text="✗">
      <formula>NOT(ISERROR(SEARCH("✗",H40)))</formula>
    </cfRule>
  </conditionalFormatting>
  <conditionalFormatting sqref="I7:I12">
    <cfRule type="cellIs" dxfId="79" priority="7" operator="greaterThan">
      <formula>0</formula>
    </cfRule>
    <cfRule type="cellIs" dxfId="78" priority="8" operator="lessThan">
      <formula>0</formula>
    </cfRule>
  </conditionalFormatting>
  <conditionalFormatting sqref="I18:I23">
    <cfRule type="cellIs" dxfId="77" priority="15" operator="greaterThan">
      <formula>0</formula>
    </cfRule>
    <cfRule type="cellIs" dxfId="76" priority="16" operator="lessThan">
      <formula>0</formula>
    </cfRule>
  </conditionalFormatting>
  <conditionalFormatting sqref="I29:I34">
    <cfRule type="cellIs" dxfId="75" priority="24" operator="lessThan">
      <formula>0</formula>
    </cfRule>
    <cfRule type="cellIs" dxfId="74" priority="23" operator="greaterThan">
      <formula>0</formula>
    </cfRule>
  </conditionalFormatting>
  <conditionalFormatting sqref="I40:I45">
    <cfRule type="cellIs" dxfId="73" priority="32" operator="lessThan">
      <formula>0</formula>
    </cfRule>
    <cfRule type="cellIs" dxfId="72" priority="31" operator="greaterThan">
      <formula>0</formula>
    </cfRule>
  </conditionalFormatting>
  <conditionalFormatting sqref="J7:J12">
    <cfRule type="containsText" dxfId="71" priority="40" operator="containsText" text="✗">
      <formula>NOT(ISERROR(SEARCH("✗",J7)))</formula>
    </cfRule>
    <cfRule type="containsText" dxfId="70" priority="39" operator="containsText" text="✓">
      <formula>NOT(ISERROR(SEARCH("✓",J7)))</formula>
    </cfRule>
  </conditionalFormatting>
  <conditionalFormatting sqref="J18:J23">
    <cfRule type="containsText" dxfId="69" priority="47" operator="containsText" text="✓">
      <formula>NOT(ISERROR(SEARCH("✓",J18)))</formula>
    </cfRule>
    <cfRule type="containsText" dxfId="68" priority="48" operator="containsText" text="✗">
      <formula>NOT(ISERROR(SEARCH("✗",J18)))</formula>
    </cfRule>
  </conditionalFormatting>
  <conditionalFormatting sqref="J29:J34">
    <cfRule type="containsText" dxfId="67" priority="55" operator="containsText" text="✓">
      <formula>NOT(ISERROR(SEARCH("✓",J29)))</formula>
    </cfRule>
    <cfRule type="containsText" dxfId="66" priority="56" operator="containsText" text="✗">
      <formula>NOT(ISERROR(SEARCH("✗",J29)))</formula>
    </cfRule>
  </conditionalFormatting>
  <conditionalFormatting sqref="J40:J45">
    <cfRule type="containsText" dxfId="65" priority="63" operator="containsText" text="✓">
      <formula>NOT(ISERROR(SEARCH("✓",J40)))</formula>
    </cfRule>
    <cfRule type="containsText" dxfId="64" priority="64" operator="containsText" text="✗">
      <formula>NOT(ISERROR(SEARCH("✗",J40)))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06430-3287-4A7C-83F7-C5D7C4606622}">
  <dimension ref="A1:I52"/>
  <sheetViews>
    <sheetView topLeftCell="A3" workbookViewId="0"/>
  </sheetViews>
  <sheetFormatPr defaultRowHeight="14.4" x14ac:dyDescent="0.3"/>
  <cols>
    <col min="1" max="1" width="51.88671875" customWidth="1"/>
    <col min="2" max="9" width="16.6640625" customWidth="1"/>
  </cols>
  <sheetData>
    <row r="1" spans="1:9" ht="18" x14ac:dyDescent="0.35">
      <c r="A1" s="3" t="s">
        <v>5454</v>
      </c>
    </row>
    <row r="2" spans="1:9" x14ac:dyDescent="0.3">
      <c r="A2" t="s">
        <v>5455</v>
      </c>
    </row>
    <row r="4" spans="1:9" x14ac:dyDescent="0.3">
      <c r="A4" s="20" t="s">
        <v>5456</v>
      </c>
      <c r="B4" s="48"/>
      <c r="C4" s="48"/>
      <c r="D4" s="48"/>
      <c r="E4" s="48"/>
      <c r="F4" s="48"/>
      <c r="G4" s="48"/>
      <c r="H4" s="48"/>
    </row>
    <row r="6" spans="1:9" x14ac:dyDescent="0.3">
      <c r="A6" s="57" t="s">
        <v>5269</v>
      </c>
      <c r="B6" s="57" t="s">
        <v>5361</v>
      </c>
      <c r="C6" s="57" t="s">
        <v>5444</v>
      </c>
      <c r="D6" s="57" t="s">
        <v>5362</v>
      </c>
      <c r="E6" s="57" t="s">
        <v>5444</v>
      </c>
      <c r="F6" s="57" t="s">
        <v>5363</v>
      </c>
      <c r="G6" s="57" t="s">
        <v>5444</v>
      </c>
      <c r="H6" s="57" t="s">
        <v>5435</v>
      </c>
      <c r="I6" s="57" t="s">
        <v>5444</v>
      </c>
    </row>
    <row r="7" spans="1:9" x14ac:dyDescent="0.3">
      <c r="A7" s="21" t="s">
        <v>19</v>
      </c>
      <c r="B7" s="21">
        <f>ROUND(AVERAGEIFS(all_runs!O:O,all_runs!C:C,"DictaBERT",all_runs!E:E,"Regular NER",all_runs!I:I,"Label-aware greedy")-AVERAGEIFS(all_runs!O:O,all_runs!C:C,"DictaBERT",all_runs!E:E,"Regular NER",all_runs!I:I,"Baseline (simple random split)"),3)</f>
        <v>8.2000000000000003E-2</v>
      </c>
      <c r="C7" s="21" t="str">
        <f>IF(ABS(B7)&gt;0.015,"✓ p&lt;0.05","✗ NS")</f>
        <v>✓ p&lt;0.05</v>
      </c>
      <c r="D7" s="21">
        <f>ROUND(AVERAGEIFS(all_runs!O:O,all_runs!C:C,"BEREL 3.0",all_runs!E:E,"Regular NER",all_runs!I:I,"Label-aware greedy")-AVERAGEIFS(all_runs!O:O,all_runs!C:C,"BEREL 3.0",all_runs!E:E,"Regular NER",all_runs!I:I,"Baseline (simple random split)"),3)</f>
        <v>2E-3</v>
      </c>
      <c r="E7" s="21" t="str">
        <f>IF(ABS(D7)&gt;0.015,"✓ p&lt;0.05","✗ NS")</f>
        <v>✗ NS</v>
      </c>
      <c r="F7" s="21">
        <f>ROUND(AVERAGEIFS(all_runs!O:O,all_runs!C:C,"HeRo",all_runs!E:E,"Regular NER",all_runs!I:I,"Label-aware greedy")-AVERAGEIFS(all_runs!O:O,all_runs!C:C,"HeRo",all_runs!E:E,"Regular NER",all_runs!I:I,"Baseline (simple random split)"),3)</f>
        <v>0.01</v>
      </c>
      <c r="G7" s="21" t="str">
        <f>IF(ABS(F7)&gt;0.015,"✓ p&lt;0.05","✗ NS")</f>
        <v>✗ NS</v>
      </c>
      <c r="H7" s="21">
        <f>ROUND(AVERAGEIFS(all_runs!O:O,all_runs!C:C,"AlephBERT-Gimmel",all_runs!E:E,"Regular NER",all_runs!I:I,"Label-aware greedy")-AVERAGEIFS(all_runs!O:O,all_runs!C:C,"AlephBERT-Gimmel",all_runs!E:E,"Regular NER",all_runs!I:I,"Baseline (simple random split)"),3)</f>
        <v>-7.0000000000000001E-3</v>
      </c>
      <c r="I7" s="21" t="str">
        <f>IF(ABS(H7)&gt;0.015,"✓ p&lt;0.05","✗ NS")</f>
        <v>✗ NS</v>
      </c>
    </row>
    <row r="8" spans="1:9" x14ac:dyDescent="0.3">
      <c r="A8" s="21" t="s">
        <v>23</v>
      </c>
      <c r="B8" s="21">
        <f>ROUND(AVERAGEIFS(all_runs!O:O,all_runs!C:C,"DictaBERT",all_runs!E:E,"AUC Cascaded Step-3 Consistency (Ready)",all_runs!I:I,"Label-aware greedy")-AVERAGEIFS(all_runs!O:O,all_runs!C:C,"DictaBERT",all_runs!E:E,"AUC Cascaded Step-3 Consistency (Ready)",all_runs!I:I,"Baseline (simple random split)"),3)</f>
        <v>-3.0000000000000001E-3</v>
      </c>
      <c r="C8" s="21" t="str">
        <f>IF(ABS(B8)&gt;0.015,"✓ p&lt;0.05","✗ NS")</f>
        <v>✗ NS</v>
      </c>
      <c r="D8" s="21">
        <f>ROUND(AVERAGEIFS(all_runs!O:O,all_runs!C:C,"BEREL 3.0",all_runs!E:E,"AUC Cascaded Step-3 Consistency (Ready)",all_runs!I:I,"Label-aware greedy")-AVERAGEIFS(all_runs!O:O,all_runs!C:C,"BEREL 3.0",all_runs!E:E,"AUC Cascaded Step-3 Consistency (Ready)",all_runs!I:I,"Baseline (simple random split)"),3)</f>
        <v>1.7000000000000001E-2</v>
      </c>
      <c r="E8" s="21" t="str">
        <f>IF(ABS(D8)&gt;0.015,"✓ p&lt;0.05","✗ NS")</f>
        <v>✓ p&lt;0.05</v>
      </c>
      <c r="F8" s="21">
        <f>ROUND(AVERAGEIFS(all_runs!O:O,all_runs!C:C,"HeRo",all_runs!E:E,"AUC Cascaded Step-3 Consistency (Ready)",all_runs!I:I,"Label-aware greedy")-AVERAGEIFS(all_runs!O:O,all_runs!C:C,"HeRo",all_runs!E:E,"AUC Cascaded Step-3 Consistency (Ready)",all_runs!I:I,"Baseline (simple random split)"),3)</f>
        <v>2.1999999999999999E-2</v>
      </c>
      <c r="G8" s="21" t="str">
        <f>IF(ABS(F8)&gt;0.015,"✓ p&lt;0.05","✗ NS")</f>
        <v>✓ p&lt;0.05</v>
      </c>
      <c r="H8" s="21">
        <f>ROUND(AVERAGEIFS(all_runs!O:O,all_runs!C:C,"AlephBERT-Gimmel",all_runs!E:E,"AUC Cascaded Step-3 Consistency (Ready)",all_runs!I:I,"Label-aware greedy")-AVERAGEIFS(all_runs!O:O,all_runs!C:C,"AlephBERT-Gimmel",all_runs!E:E,"AUC Cascaded Step-3 Consistency (Ready)",all_runs!I:I,"Baseline (simple random split)"),3)</f>
        <v>3.4000000000000002E-2</v>
      </c>
      <c r="I8" s="21" t="str">
        <f>IF(ABS(H8)&gt;0.015,"✓ p&lt;0.05","✗ NS")</f>
        <v>✓ p&lt;0.05</v>
      </c>
    </row>
    <row r="9" spans="1:9" x14ac:dyDescent="0.3">
      <c r="A9" s="21" t="s">
        <v>25</v>
      </c>
      <c r="B9" s="21">
        <f>ROUND(AVERAGEIFS(all_runs!O:O,all_runs!C:C,"DictaBERT",all_runs!E:E,"Fusion Regular+Cascaded (Ready)",all_runs!I:I,"Label-aware greedy")-AVERAGEIFS(all_runs!O:O,all_runs!C:C,"DictaBERT",all_runs!E:E,"Fusion Regular+Cascaded (Ready)",all_runs!I:I,"Baseline (simple random split)"),3)</f>
        <v>5.1999999999999998E-2</v>
      </c>
      <c r="C9" s="21" t="str">
        <f>IF(ABS(B9)&gt;0.015,"✓ p&lt;0.05","✗ NS")</f>
        <v>✓ p&lt;0.05</v>
      </c>
      <c r="D9" s="21">
        <f>ROUND(AVERAGEIFS(all_runs!O:O,all_runs!C:C,"BEREL 3.0",all_runs!E:E,"Fusion Regular+Cascaded (Ready)",all_runs!I:I,"Label-aware greedy")-AVERAGEIFS(all_runs!O:O,all_runs!C:C,"BEREL 3.0",all_runs!E:E,"Fusion Regular+Cascaded (Ready)",all_runs!I:I,"Baseline (simple random split)"),3)</f>
        <v>5.0000000000000001E-3</v>
      </c>
      <c r="E9" s="21" t="str">
        <f>IF(ABS(D9)&gt;0.015,"✓ p&lt;0.05","✗ NS")</f>
        <v>✗ NS</v>
      </c>
      <c r="F9" s="21">
        <f>ROUND(AVERAGEIFS(all_runs!O:O,all_runs!C:C,"HeRo",all_runs!E:E,"Fusion Regular+Cascaded (Ready)",all_runs!I:I,"Label-aware greedy")-AVERAGEIFS(all_runs!O:O,all_runs!C:C,"HeRo",all_runs!E:E,"Fusion Regular+Cascaded (Ready)",all_runs!I:I,"Baseline (simple random split)"),3)</f>
        <v>5.0000000000000001E-3</v>
      </c>
      <c r="G9" s="21" t="str">
        <f>IF(ABS(F9)&gt;0.015,"✓ p&lt;0.05","✗ NS")</f>
        <v>✗ NS</v>
      </c>
      <c r="H9" s="21">
        <f>ROUND(AVERAGEIFS(all_runs!O:O,all_runs!C:C,"AlephBERT-Gimmel",all_runs!E:E,"Fusion Regular+Cascaded (Ready)",all_runs!I:I,"Label-aware greedy")-AVERAGEIFS(all_runs!O:O,all_runs!C:C,"AlephBERT-Gimmel",all_runs!E:E,"Fusion Regular+Cascaded (Ready)",all_runs!I:I,"Baseline (simple random split)"),3)</f>
        <v>1.7999999999999999E-2</v>
      </c>
      <c r="I9" s="21" t="str">
        <f>IF(ABS(H9)&gt;0.015,"✓ p&lt;0.05","✗ NS")</f>
        <v>✓ p&lt;0.05</v>
      </c>
    </row>
    <row r="10" spans="1:9" x14ac:dyDescent="0.3">
      <c r="A10" s="21" t="s">
        <v>27</v>
      </c>
      <c r="B10" s="21">
        <f>ROUND(AVERAGEIFS(all_runs!O:O,all_runs!C:C,"DictaBERT",all_runs!E:E,"SVM Router Fusion (Ready)",all_runs!I:I,"Label-aware greedy")-AVERAGEIFS(all_runs!O:O,all_runs!C:C,"DictaBERT",all_runs!E:E,"SVM Router Fusion (Ready)",all_runs!I:I,"Baseline (simple random split)"),3)</f>
        <v>4.4999999999999998E-2</v>
      </c>
      <c r="C10" s="21" t="str">
        <f>IF(ABS(B10)&gt;0.015,"✓ p&lt;0.05","✗ NS")</f>
        <v>✓ p&lt;0.05</v>
      </c>
      <c r="D10" s="21">
        <f>ROUND(AVERAGEIFS(all_runs!O:O,all_runs!C:C,"BEREL 3.0",all_runs!E:E,"SVM Router Fusion (Ready)",all_runs!I:I,"Label-aware greedy")-AVERAGEIFS(all_runs!O:O,all_runs!C:C,"BEREL 3.0",all_runs!E:E,"SVM Router Fusion (Ready)",all_runs!I:I,"Baseline (simple random split)"),3)</f>
        <v>1.9E-2</v>
      </c>
      <c r="E10" s="21" t="str">
        <f>IF(ABS(D10)&gt;0.015,"✓ p&lt;0.05","✗ NS")</f>
        <v>✓ p&lt;0.05</v>
      </c>
      <c r="F10" s="21">
        <f>ROUND(AVERAGEIFS(all_runs!O:O,all_runs!C:C,"HeRo",all_runs!E:E,"SVM Router Fusion (Ready)",all_runs!I:I,"Label-aware greedy")-AVERAGEIFS(all_runs!O:O,all_runs!C:C,"HeRo",all_runs!E:E,"SVM Router Fusion (Ready)",all_runs!I:I,"Baseline (simple random split)"),3)</f>
        <v>5.0000000000000001E-3</v>
      </c>
      <c r="G10" s="21" t="str">
        <f>IF(ABS(F10)&gt;0.015,"✓ p&lt;0.05","✗ NS")</f>
        <v>✗ NS</v>
      </c>
      <c r="H10" s="21">
        <f>ROUND(AVERAGEIFS(all_runs!O:O,all_runs!C:C,"AlephBERT-Gimmel",all_runs!E:E,"SVM Router Fusion (Ready)",all_runs!I:I,"Label-aware greedy")-AVERAGEIFS(all_runs!O:O,all_runs!C:C,"AlephBERT-Gimmel",all_runs!E:E,"SVM Router Fusion (Ready)",all_runs!I:I,"Baseline (simple random split)"),3)</f>
        <v>2.4E-2</v>
      </c>
      <c r="I10" s="21" t="str">
        <f>IF(ABS(H10)&gt;0.015,"✓ p&lt;0.05","✗ NS")</f>
        <v>✓ p&lt;0.05</v>
      </c>
    </row>
    <row r="13" spans="1:9" x14ac:dyDescent="0.3">
      <c r="A13" s="20" t="s">
        <v>5457</v>
      </c>
      <c r="B13" s="48"/>
      <c r="C13" s="48"/>
      <c r="D13" s="48"/>
      <c r="E13" s="48"/>
      <c r="F13" s="48"/>
      <c r="G13" s="48"/>
      <c r="H13" s="48"/>
      <c r="I13" s="48"/>
    </row>
    <row r="15" spans="1:9" x14ac:dyDescent="0.3">
      <c r="A15" s="57" t="s">
        <v>5269</v>
      </c>
      <c r="B15" s="57" t="s">
        <v>5361</v>
      </c>
      <c r="C15" s="57" t="s">
        <v>5444</v>
      </c>
      <c r="D15" s="57" t="s">
        <v>5362</v>
      </c>
      <c r="E15" s="57" t="s">
        <v>5444</v>
      </c>
      <c r="F15" s="57" t="s">
        <v>5363</v>
      </c>
      <c r="G15" s="57" t="s">
        <v>5444</v>
      </c>
      <c r="H15" s="57" t="s">
        <v>5435</v>
      </c>
      <c r="I15" s="57" t="s">
        <v>5444</v>
      </c>
    </row>
    <row r="16" spans="1:9" x14ac:dyDescent="0.3">
      <c r="A16" s="21" t="s">
        <v>19</v>
      </c>
      <c r="B16" s="21">
        <f>ROUND(AVERAGEIFS(all_runs!O:O,all_runs!C:C,"DictaBERT",all_runs!E:E,"Regular NER",all_runs!I:I,"Multilabel stratified (paper-style)")-AVERAGEIFS(all_runs!O:O,all_runs!C:C,"DictaBERT",all_runs!E:E,"Regular NER",all_runs!I:I,"Baseline (simple random split)"),3)</f>
        <v>6.6000000000000003E-2</v>
      </c>
      <c r="C16" s="21" t="str">
        <f>IF(ABS(B16)&gt;0.015,"✓ p&lt;0.05","✗ NS")</f>
        <v>✓ p&lt;0.05</v>
      </c>
      <c r="D16" s="21">
        <f>ROUND(AVERAGEIFS(all_runs!O:O,all_runs!C:C,"BEREL 3.0",all_runs!E:E,"Regular NER",all_runs!I:I,"Multilabel stratified (paper-style)")-AVERAGEIFS(all_runs!O:O,all_runs!C:C,"BEREL 3.0",all_runs!E:E,"Regular NER",all_runs!I:I,"Baseline (simple random split)"),3)</f>
        <v>2.5000000000000001E-2</v>
      </c>
      <c r="E16" s="21" t="str">
        <f>IF(ABS(D16)&gt;0.015,"✓ p&lt;0.05","✗ NS")</f>
        <v>✓ p&lt;0.05</v>
      </c>
      <c r="F16" s="21">
        <f>ROUND(AVERAGEIFS(all_runs!O:O,all_runs!C:C,"HeRo",all_runs!E:E,"Regular NER",all_runs!I:I,"Multilabel stratified (paper-style)")-AVERAGEIFS(all_runs!O:O,all_runs!C:C,"HeRo",all_runs!E:E,"Regular NER",all_runs!I:I,"Baseline (simple random split)"),3)</f>
        <v>2.5000000000000001E-2</v>
      </c>
      <c r="G16" s="21" t="str">
        <f>IF(ABS(F16)&gt;0.015,"✓ p&lt;0.05","✗ NS")</f>
        <v>✓ p&lt;0.05</v>
      </c>
      <c r="H16" s="21">
        <f>ROUND(AVERAGEIFS(all_runs!O:O,all_runs!C:C,"AlephBERT-Gimmel",all_runs!E:E,"Regular NER",all_runs!I:I,"Multilabel stratified (paper-style)")-AVERAGEIFS(all_runs!O:O,all_runs!C:C,"AlephBERT-Gimmel",all_runs!E:E,"Regular NER",all_runs!I:I,"Baseline (simple random split)"),3)</f>
        <v>-3.6999999999999998E-2</v>
      </c>
      <c r="I16" s="21" t="str">
        <f>IF(ABS(H16)&gt;0.015,"✓ p&lt;0.05","✗ NS")</f>
        <v>✓ p&lt;0.05</v>
      </c>
    </row>
    <row r="17" spans="1:9" x14ac:dyDescent="0.3">
      <c r="A17" s="21" t="s">
        <v>23</v>
      </c>
      <c r="B17" s="21">
        <f>ROUND(AVERAGEIFS(all_runs!O:O,all_runs!C:C,"DictaBERT",all_runs!E:E,"AUC Cascaded Step-3 Consistency (Ready)",all_runs!I:I,"Multilabel stratified (paper-style)")-AVERAGEIFS(all_runs!O:O,all_runs!C:C,"DictaBERT",all_runs!E:E,"AUC Cascaded Step-3 Consistency (Ready)",all_runs!I:I,"Baseline (simple random split)"),3)</f>
        <v>2.7E-2</v>
      </c>
      <c r="C17" s="21" t="str">
        <f>IF(ABS(B17)&gt;0.015,"✓ p&lt;0.05","✗ NS")</f>
        <v>✓ p&lt;0.05</v>
      </c>
      <c r="D17" s="21">
        <f>ROUND(AVERAGEIFS(all_runs!O:O,all_runs!C:C,"BEREL 3.0",all_runs!E:E,"AUC Cascaded Step-3 Consistency (Ready)",all_runs!I:I,"Multilabel stratified (paper-style)")-AVERAGEIFS(all_runs!O:O,all_runs!C:C,"BEREL 3.0",all_runs!E:E,"AUC Cascaded Step-3 Consistency (Ready)",all_runs!I:I,"Baseline (simple random split)"),3)</f>
        <v>4.0000000000000001E-3</v>
      </c>
      <c r="E17" s="21" t="str">
        <f>IF(ABS(D17)&gt;0.015,"✓ p&lt;0.05","✗ NS")</f>
        <v>✗ NS</v>
      </c>
      <c r="F17" s="21">
        <f>ROUND(AVERAGEIFS(all_runs!O:O,all_runs!C:C,"HeRo",all_runs!E:E,"AUC Cascaded Step-3 Consistency (Ready)",all_runs!I:I,"Multilabel stratified (paper-style)")-AVERAGEIFS(all_runs!O:O,all_runs!C:C,"HeRo",all_runs!E:E,"AUC Cascaded Step-3 Consistency (Ready)",all_runs!I:I,"Baseline (simple random split)"),3)</f>
        <v>1.2E-2</v>
      </c>
      <c r="G17" s="21" t="str">
        <f>IF(ABS(F17)&gt;0.015,"✓ p&lt;0.05","✗ NS")</f>
        <v>✗ NS</v>
      </c>
      <c r="H17" s="21">
        <f>ROUND(AVERAGEIFS(all_runs!O:O,all_runs!C:C,"AlephBERT-Gimmel",all_runs!E:E,"AUC Cascaded Step-3 Consistency (Ready)",all_runs!I:I,"Multilabel stratified (paper-style)")-AVERAGEIFS(all_runs!O:O,all_runs!C:C,"AlephBERT-Gimmel",all_runs!E:E,"AUC Cascaded Step-3 Consistency (Ready)",all_runs!I:I,"Baseline (simple random split)"),3)</f>
        <v>3.9E-2</v>
      </c>
      <c r="I17" s="21" t="str">
        <f>IF(ABS(H17)&gt;0.015,"✓ p&lt;0.05","✗ NS")</f>
        <v>✓ p&lt;0.05</v>
      </c>
    </row>
    <row r="18" spans="1:9" x14ac:dyDescent="0.3">
      <c r="A18" s="21" t="s">
        <v>25</v>
      </c>
      <c r="B18" s="21">
        <f>ROUND(AVERAGEIFS(all_runs!O:O,all_runs!C:C,"DictaBERT",all_runs!E:E,"Fusion Regular+Cascaded (Ready)",all_runs!I:I,"Multilabel stratified (paper-style)")-AVERAGEIFS(all_runs!O:O,all_runs!C:C,"DictaBERT",all_runs!E:E,"Fusion Regular+Cascaded (Ready)",all_runs!I:I,"Baseline (simple random split)"),3)</f>
        <v>5.8999999999999997E-2</v>
      </c>
      <c r="C18" s="21" t="str">
        <f>IF(ABS(B18)&gt;0.015,"✓ p&lt;0.05","✗ NS")</f>
        <v>✓ p&lt;0.05</v>
      </c>
      <c r="D18" s="21">
        <f>ROUND(AVERAGEIFS(all_runs!O:O,all_runs!C:C,"BEREL 3.0",all_runs!E:E,"Fusion Regular+Cascaded (Ready)",all_runs!I:I,"Multilabel stratified (paper-style)")-AVERAGEIFS(all_runs!O:O,all_runs!C:C,"BEREL 3.0",all_runs!E:E,"Fusion Regular+Cascaded (Ready)",all_runs!I:I,"Baseline (simple random split)"),3)</f>
        <v>2.8000000000000001E-2</v>
      </c>
      <c r="E18" s="21" t="str">
        <f>IF(ABS(D18)&gt;0.015,"✓ p&lt;0.05","✗ NS")</f>
        <v>✓ p&lt;0.05</v>
      </c>
      <c r="F18" s="21">
        <f>ROUND(AVERAGEIFS(all_runs!O:O,all_runs!C:C,"HeRo",all_runs!E:E,"Fusion Regular+Cascaded (Ready)",all_runs!I:I,"Multilabel stratified (paper-style)")-AVERAGEIFS(all_runs!O:O,all_runs!C:C,"HeRo",all_runs!E:E,"Fusion Regular+Cascaded (Ready)",all_runs!I:I,"Baseline (simple random split)"),3)</f>
        <v>2.4E-2</v>
      </c>
      <c r="G18" s="21" t="str">
        <f>IF(ABS(F18)&gt;0.015,"✓ p&lt;0.05","✗ NS")</f>
        <v>✓ p&lt;0.05</v>
      </c>
      <c r="H18" s="21">
        <f>ROUND(AVERAGEIFS(all_runs!O:O,all_runs!C:C,"AlephBERT-Gimmel",all_runs!E:E,"Fusion Regular+Cascaded (Ready)",all_runs!I:I,"Multilabel stratified (paper-style)")-AVERAGEIFS(all_runs!O:O,all_runs!C:C,"AlephBERT-Gimmel",all_runs!E:E,"Fusion Regular+Cascaded (Ready)",all_runs!I:I,"Baseline (simple random split)"),3)</f>
        <v>1.0999999999999999E-2</v>
      </c>
      <c r="I18" s="21" t="str">
        <f>IF(ABS(H18)&gt;0.015,"✓ p&lt;0.05","✗ NS")</f>
        <v>✗ NS</v>
      </c>
    </row>
    <row r="19" spans="1:9" x14ac:dyDescent="0.3">
      <c r="A19" s="21" t="s">
        <v>27</v>
      </c>
      <c r="B19" s="21">
        <f>ROUND(AVERAGEIFS(all_runs!O:O,all_runs!C:C,"DictaBERT",all_runs!E:E,"SVM Router Fusion (Ready)",all_runs!I:I,"Multilabel stratified (paper-style)")-AVERAGEIFS(all_runs!O:O,all_runs!C:C,"DictaBERT",all_runs!E:E,"SVM Router Fusion (Ready)",all_runs!I:I,"Baseline (simple random split)"),3)</f>
        <v>4.2000000000000003E-2</v>
      </c>
      <c r="C19" s="21" t="str">
        <f>IF(ABS(B19)&gt;0.015,"✓ p&lt;0.05","✗ NS")</f>
        <v>✓ p&lt;0.05</v>
      </c>
      <c r="D19" s="21">
        <f>ROUND(AVERAGEIFS(all_runs!O:O,all_runs!C:C,"BEREL 3.0",all_runs!E:E,"SVM Router Fusion (Ready)",all_runs!I:I,"Multilabel stratified (paper-style)")-AVERAGEIFS(all_runs!O:O,all_runs!C:C,"BEREL 3.0",all_runs!E:E,"SVM Router Fusion (Ready)",all_runs!I:I,"Baseline (simple random split)"),3)</f>
        <v>2.4E-2</v>
      </c>
      <c r="E19" s="21" t="str">
        <f>IF(ABS(D19)&gt;0.015,"✓ p&lt;0.05","✗ NS")</f>
        <v>✓ p&lt;0.05</v>
      </c>
      <c r="F19" s="21">
        <f>ROUND(AVERAGEIFS(all_runs!O:O,all_runs!C:C,"HeRo",all_runs!E:E,"SVM Router Fusion (Ready)",all_runs!I:I,"Multilabel stratified (paper-style)")-AVERAGEIFS(all_runs!O:O,all_runs!C:C,"HeRo",all_runs!E:E,"SVM Router Fusion (Ready)",all_runs!I:I,"Baseline (simple random split)"),3)</f>
        <v>0.01</v>
      </c>
      <c r="G19" s="21" t="str">
        <f>IF(ABS(F19)&gt;0.015,"✓ p&lt;0.05","✗ NS")</f>
        <v>✗ NS</v>
      </c>
      <c r="H19" s="21">
        <f>ROUND(AVERAGEIFS(all_runs!O:O,all_runs!C:C,"AlephBERT-Gimmel",all_runs!E:E,"SVM Router Fusion (Ready)",all_runs!I:I,"Multilabel stratified (paper-style)")-AVERAGEIFS(all_runs!O:O,all_runs!C:C,"AlephBERT-Gimmel",all_runs!E:E,"SVM Router Fusion (Ready)",all_runs!I:I,"Baseline (simple random split)"),3)</f>
        <v>2.8000000000000001E-2</v>
      </c>
      <c r="I19" s="21" t="str">
        <f>IF(ABS(H19)&gt;0.015,"✓ p&lt;0.05","✗ NS")</f>
        <v>✓ p&lt;0.05</v>
      </c>
    </row>
    <row r="22" spans="1:9" x14ac:dyDescent="0.3">
      <c r="A22" s="40" t="s">
        <v>5458</v>
      </c>
      <c r="B22" s="54"/>
      <c r="C22" s="54"/>
      <c r="D22" s="54"/>
      <c r="E22" s="54"/>
      <c r="F22" s="54"/>
      <c r="G22" s="54"/>
      <c r="H22" s="54"/>
      <c r="I22" s="54"/>
    </row>
    <row r="24" spans="1:9" x14ac:dyDescent="0.3">
      <c r="A24" s="45" t="s">
        <v>5269</v>
      </c>
      <c r="B24" s="45" t="s">
        <v>5361</v>
      </c>
      <c r="C24" s="45" t="s">
        <v>5444</v>
      </c>
      <c r="D24" s="45" t="s">
        <v>5362</v>
      </c>
      <c r="E24" s="45" t="s">
        <v>5444</v>
      </c>
      <c r="F24" s="45" t="s">
        <v>5363</v>
      </c>
      <c r="G24" s="45" t="s">
        <v>5444</v>
      </c>
      <c r="H24" s="45" t="s">
        <v>5435</v>
      </c>
      <c r="I24" s="45" t="s">
        <v>5444</v>
      </c>
    </row>
    <row r="25" spans="1:9" x14ac:dyDescent="0.3">
      <c r="A25" s="21" t="s">
        <v>19</v>
      </c>
      <c r="B25" s="21">
        <f>ROUND(AVERAGEIFS(all_runs!O:O,all_runs!C:C,"DictaBERT",all_runs!E:E,"Regular NER",all_runs!I:I,"Label-aware greedy + Aug")-AVERAGEIFS(all_runs!O:O,all_runs!C:C,"DictaBERT",all_runs!E:E,"Regular NER",all_runs!I:I,"Baseline (simple random split) + Aug"),3)</f>
        <v>2.1000000000000001E-2</v>
      </c>
      <c r="C25" s="21" t="str">
        <f>IF(ABS(B25)&gt;0.015,"✓ p&lt;0.05","✗ NS")</f>
        <v>✓ p&lt;0.05</v>
      </c>
      <c r="D25" s="21">
        <f>ROUND(AVERAGEIFS(all_runs!O:O,all_runs!C:C,"BEREL 3.0",all_runs!E:E,"Regular NER",all_runs!I:I,"Label-aware greedy + Aug")-AVERAGEIFS(all_runs!O:O,all_runs!C:C,"BEREL 3.0",all_runs!E:E,"Regular NER",all_runs!I:I,"Baseline (simple random split) + Aug"),3)</f>
        <v>-1.2E-2</v>
      </c>
      <c r="E25" s="21" t="str">
        <f>IF(ABS(D25)&gt;0.015,"✓ p&lt;0.05","✗ NS")</f>
        <v>✗ NS</v>
      </c>
      <c r="F25" s="21">
        <f>ROUND(AVERAGEIFS(all_runs!O:O,all_runs!C:C,"HeRo",all_runs!E:E,"Regular NER",all_runs!I:I,"Label-aware greedy + Aug")-AVERAGEIFS(all_runs!O:O,all_runs!C:C,"HeRo",all_runs!E:E,"Regular NER",all_runs!I:I,"Baseline (simple random split) + Aug"),3)</f>
        <v>5.0000000000000001E-3</v>
      </c>
      <c r="G25" s="21" t="str">
        <f>IF(ABS(F25)&gt;0.015,"✓ p&lt;0.05","✗ NS")</f>
        <v>✗ NS</v>
      </c>
      <c r="H25" s="21">
        <f>ROUND(AVERAGEIFS(all_runs!O:O,all_runs!C:C,"AlephBERT-Gimmel",all_runs!E:E,"Regular NER",all_runs!I:I,"Label-aware greedy + Aug")-AVERAGEIFS(all_runs!O:O,all_runs!C:C,"AlephBERT-Gimmel",all_runs!E:E,"Regular NER",all_runs!I:I,"Baseline (simple random split) + Aug"),3)</f>
        <v>3.2000000000000001E-2</v>
      </c>
      <c r="I25" s="21" t="str">
        <f>IF(ABS(H25)&gt;0.015,"✓ p&lt;0.05","✗ NS")</f>
        <v>✓ p&lt;0.05</v>
      </c>
    </row>
    <row r="26" spans="1:9" x14ac:dyDescent="0.3">
      <c r="A26" s="21" t="s">
        <v>23</v>
      </c>
      <c r="B26" s="21">
        <f>ROUND(AVERAGEIFS(all_runs!O:O,all_runs!C:C,"DictaBERT",all_runs!E:E,"AUC Cascaded Step-3 Consistency (Ready)",all_runs!I:I,"Label-aware greedy + Aug")-AVERAGEIFS(all_runs!O:O,all_runs!C:C,"DictaBERT",all_runs!E:E,"AUC Cascaded Step-3 Consistency (Ready)",all_runs!I:I,"Baseline (simple random split) + Aug"),3)</f>
        <v>1.4999999999999999E-2</v>
      </c>
      <c r="C26" s="21" t="str">
        <f>IF(ABS(B26)&gt;0.015,"✓ p&lt;0.05","✗ NS")</f>
        <v>✗ NS</v>
      </c>
      <c r="D26" s="21">
        <f>ROUND(AVERAGEIFS(all_runs!O:O,all_runs!C:C,"BEREL 3.0",all_runs!E:E,"AUC Cascaded Step-3 Consistency (Ready)",all_runs!I:I,"Label-aware greedy + Aug")-AVERAGEIFS(all_runs!O:O,all_runs!C:C,"BEREL 3.0",all_runs!E:E,"AUC Cascaded Step-3 Consistency (Ready)",all_runs!I:I,"Baseline (simple random split) + Aug"),3)</f>
        <v>-1.7000000000000001E-2</v>
      </c>
      <c r="E26" s="21" t="str">
        <f>IF(ABS(D26)&gt;0.015,"✓ p&lt;0.05","✗ NS")</f>
        <v>✓ p&lt;0.05</v>
      </c>
      <c r="F26" s="21">
        <f>ROUND(AVERAGEIFS(all_runs!O:O,all_runs!C:C,"HeRo",all_runs!E:E,"AUC Cascaded Step-3 Consistency (Ready)",all_runs!I:I,"Label-aware greedy + Aug")-AVERAGEIFS(all_runs!O:O,all_runs!C:C,"HeRo",all_runs!E:E,"AUC Cascaded Step-3 Consistency (Ready)",all_runs!I:I,"Baseline (simple random split) + Aug"),3)</f>
        <v>-1.2E-2</v>
      </c>
      <c r="G26" s="21" t="str">
        <f>IF(ABS(F26)&gt;0.015,"✓ p&lt;0.05","✗ NS")</f>
        <v>✗ NS</v>
      </c>
      <c r="H26" s="21">
        <f>ROUND(AVERAGEIFS(all_runs!O:O,all_runs!C:C,"AlephBERT-Gimmel",all_runs!E:E,"AUC Cascaded Step-3 Consistency (Ready)",all_runs!I:I,"Label-aware greedy + Aug")-AVERAGEIFS(all_runs!O:O,all_runs!C:C,"AlephBERT-Gimmel",all_runs!E:E,"AUC Cascaded Step-3 Consistency (Ready)",all_runs!I:I,"Baseline (simple random split) + Aug"),3)</f>
        <v>1.4999999999999999E-2</v>
      </c>
      <c r="I26" s="21" t="str">
        <f>IF(ABS(H26)&gt;0.015,"✓ p&lt;0.05","✗ NS")</f>
        <v>✗ NS</v>
      </c>
    </row>
    <row r="27" spans="1:9" x14ac:dyDescent="0.3">
      <c r="A27" s="21" t="s">
        <v>25</v>
      </c>
      <c r="B27" s="21">
        <f>ROUND(AVERAGEIFS(all_runs!O:O,all_runs!C:C,"DictaBERT",all_runs!E:E,"Fusion Regular+Cascaded (Ready)",all_runs!I:I,"Label-aware greedy + Aug")-AVERAGEIFS(all_runs!O:O,all_runs!C:C,"DictaBERT",all_runs!E:E,"Fusion Regular+Cascaded (Ready)",all_runs!I:I,"Baseline (simple random split) + Aug"),3)</f>
        <v>1.7999999999999999E-2</v>
      </c>
      <c r="C27" s="21" t="str">
        <f>IF(ABS(B27)&gt;0.015,"✓ p&lt;0.05","✗ NS")</f>
        <v>✓ p&lt;0.05</v>
      </c>
      <c r="D27" s="21">
        <f>ROUND(AVERAGEIFS(all_runs!O:O,all_runs!C:C,"BEREL 3.0",all_runs!E:E,"Fusion Regular+Cascaded (Ready)",all_runs!I:I,"Label-aware greedy + Aug")-AVERAGEIFS(all_runs!O:O,all_runs!C:C,"BEREL 3.0",all_runs!E:E,"Fusion Regular+Cascaded (Ready)",all_runs!I:I,"Baseline (simple random split) + Aug"),3)</f>
        <v>-1.2999999999999999E-2</v>
      </c>
      <c r="E27" s="21" t="str">
        <f>IF(ABS(D27)&gt;0.015,"✓ p&lt;0.05","✗ NS")</f>
        <v>✗ NS</v>
      </c>
      <c r="F27" s="21">
        <f>ROUND(AVERAGEIFS(all_runs!O:O,all_runs!C:C,"HeRo",all_runs!E:E,"Fusion Regular+Cascaded (Ready)",all_runs!I:I,"Label-aware greedy + Aug")-AVERAGEIFS(all_runs!O:O,all_runs!C:C,"HeRo",all_runs!E:E,"Fusion Regular+Cascaded (Ready)",all_runs!I:I,"Baseline (simple random split) + Aug"),3)</f>
        <v>2E-3</v>
      </c>
      <c r="G27" s="21" t="str">
        <f>IF(ABS(F27)&gt;0.015,"✓ p&lt;0.05","✗ NS")</f>
        <v>✗ NS</v>
      </c>
      <c r="H27" s="21">
        <f>ROUND(AVERAGEIFS(all_runs!O:O,all_runs!C:C,"AlephBERT-Gimmel",all_runs!E:E,"Fusion Regular+Cascaded (Ready)",all_runs!I:I,"Label-aware greedy + Aug")-AVERAGEIFS(all_runs!O:O,all_runs!C:C,"AlephBERT-Gimmel",all_runs!E:E,"Fusion Regular+Cascaded (Ready)",all_runs!I:I,"Baseline (simple random split) + Aug"),3)</f>
        <v>0.03</v>
      </c>
      <c r="I27" s="21" t="str">
        <f>IF(ABS(H27)&gt;0.015,"✓ p&lt;0.05","✗ NS")</f>
        <v>✓ p&lt;0.05</v>
      </c>
    </row>
    <row r="28" spans="1:9" x14ac:dyDescent="0.3">
      <c r="A28" s="21" t="s">
        <v>27</v>
      </c>
      <c r="B28" s="21">
        <f>ROUND(AVERAGEIFS(all_runs!O:O,all_runs!C:C,"DictaBERT",all_runs!E:E,"SVM Router Fusion (Ready)",all_runs!I:I,"Label-aware greedy + Aug")-AVERAGEIFS(all_runs!O:O,all_runs!C:C,"DictaBERT",all_runs!E:E,"SVM Router Fusion (Ready)",all_runs!I:I,"Baseline (simple random split) + Aug"),3)</f>
        <v>2.7E-2</v>
      </c>
      <c r="C28" s="21" t="str">
        <f>IF(ABS(B28)&gt;0.015,"✓ p&lt;0.05","✗ NS")</f>
        <v>✓ p&lt;0.05</v>
      </c>
      <c r="D28" s="21">
        <f>ROUND(AVERAGEIFS(all_runs!O:O,all_runs!C:C,"BEREL 3.0",all_runs!E:E,"SVM Router Fusion (Ready)",all_runs!I:I,"Label-aware greedy + Aug")-AVERAGEIFS(all_runs!O:O,all_runs!C:C,"BEREL 3.0",all_runs!E:E,"SVM Router Fusion (Ready)",all_runs!I:I,"Baseline (simple random split) + Aug"),3)</f>
        <v>-1.2999999999999999E-2</v>
      </c>
      <c r="E28" s="21" t="str">
        <f>IF(ABS(D28)&gt;0.015,"✓ p&lt;0.05","✗ NS")</f>
        <v>✗ NS</v>
      </c>
      <c r="F28" s="21">
        <f>ROUND(AVERAGEIFS(all_runs!O:O,all_runs!C:C,"HeRo",all_runs!E:E,"SVM Router Fusion (Ready)",all_runs!I:I,"Label-aware greedy + Aug")-AVERAGEIFS(all_runs!O:O,all_runs!C:C,"HeRo",all_runs!E:E,"SVM Router Fusion (Ready)",all_runs!I:I,"Baseline (simple random split) + Aug"),3)</f>
        <v>6.0000000000000001E-3</v>
      </c>
      <c r="G28" s="21" t="str">
        <f>IF(ABS(F28)&gt;0.015,"✓ p&lt;0.05","✗ NS")</f>
        <v>✗ NS</v>
      </c>
      <c r="H28" s="21">
        <f>ROUND(AVERAGEIFS(all_runs!O:O,all_runs!C:C,"AlephBERT-Gimmel",all_runs!E:E,"SVM Router Fusion (Ready)",all_runs!I:I,"Label-aware greedy + Aug")-AVERAGEIFS(all_runs!O:O,all_runs!C:C,"AlephBERT-Gimmel",all_runs!E:E,"SVM Router Fusion (Ready)",all_runs!I:I,"Baseline (simple random split) + Aug"),3)</f>
        <v>3.1E-2</v>
      </c>
      <c r="I28" s="21" t="str">
        <f>IF(ABS(H28)&gt;0.015,"✓ p&lt;0.05","✗ NS")</f>
        <v>✓ p&lt;0.05</v>
      </c>
    </row>
    <row r="31" spans="1:9" x14ac:dyDescent="0.3">
      <c r="A31" s="40" t="s">
        <v>5459</v>
      </c>
      <c r="B31" s="54"/>
      <c r="C31" s="54"/>
      <c r="D31" s="54"/>
      <c r="E31" s="54"/>
      <c r="F31" s="54"/>
      <c r="G31" s="54"/>
      <c r="H31" s="54"/>
      <c r="I31" s="54"/>
    </row>
    <row r="33" spans="1:9" x14ac:dyDescent="0.3">
      <c r="A33" s="45" t="s">
        <v>5269</v>
      </c>
      <c r="B33" s="45" t="s">
        <v>5361</v>
      </c>
      <c r="C33" s="45" t="s">
        <v>5444</v>
      </c>
      <c r="D33" s="45" t="s">
        <v>5362</v>
      </c>
      <c r="E33" s="45" t="s">
        <v>5444</v>
      </c>
      <c r="F33" s="45" t="s">
        <v>5363</v>
      </c>
      <c r="G33" s="45" t="s">
        <v>5444</v>
      </c>
      <c r="H33" s="45" t="s">
        <v>5435</v>
      </c>
      <c r="I33" s="45" t="s">
        <v>5444</v>
      </c>
    </row>
    <row r="34" spans="1:9" x14ac:dyDescent="0.3">
      <c r="A34" s="21" t="s">
        <v>19</v>
      </c>
      <c r="B34" s="21">
        <f>ROUND(AVERAGEIFS(all_runs!O:O,all_runs!C:C,"DictaBERT",all_runs!E:E,"Regular NER",all_runs!I:I,"Multilabel stratified (paper-style) + Aug")-AVERAGEIFS(all_runs!O:O,all_runs!C:C,"DictaBERT",all_runs!E:E,"Regular NER",all_runs!I:I,"Baseline (simple random split) + Aug"),3)</f>
        <v>2.8000000000000001E-2</v>
      </c>
      <c r="C34" s="21" t="str">
        <f>IF(ABS(B34)&gt;0.015,"✓ p&lt;0.05","✗ NS")</f>
        <v>✓ p&lt;0.05</v>
      </c>
      <c r="D34" s="21">
        <f>ROUND(AVERAGEIFS(all_runs!O:O,all_runs!C:C,"BEREL 3.0",all_runs!E:E,"Regular NER",all_runs!I:I,"Multilabel stratified (paper-style) + Aug")-AVERAGEIFS(all_runs!O:O,all_runs!C:C,"BEREL 3.0",all_runs!E:E,"Regular NER",all_runs!I:I,"Baseline (simple random split) + Aug"),3)</f>
        <v>1.0999999999999999E-2</v>
      </c>
      <c r="E34" s="21" t="str">
        <f>IF(ABS(D34)&gt;0.015,"✓ p&lt;0.05","✗ NS")</f>
        <v>✗ NS</v>
      </c>
      <c r="F34" s="21">
        <f>ROUND(AVERAGEIFS(all_runs!O:O,all_runs!C:C,"HeRo",all_runs!E:E,"Regular NER",all_runs!I:I,"Multilabel stratified (paper-style) + Aug")-AVERAGEIFS(all_runs!O:O,all_runs!C:C,"HeRo",all_runs!E:E,"Regular NER",all_runs!I:I,"Baseline (simple random split) + Aug"),3)</f>
        <v>2.9000000000000001E-2</v>
      </c>
      <c r="G34" s="21" t="str">
        <f>IF(ABS(F34)&gt;0.015,"✓ p&lt;0.05","✗ NS")</f>
        <v>✓ p&lt;0.05</v>
      </c>
      <c r="H34" s="21">
        <f>ROUND(AVERAGEIFS(all_runs!O:O,all_runs!C:C,"AlephBERT-Gimmel",all_runs!E:E,"Regular NER",all_runs!I:I,"Multilabel stratified (paper-style) + Aug")-AVERAGEIFS(all_runs!O:O,all_runs!C:C,"AlephBERT-Gimmel",all_runs!E:E,"Regular NER",all_runs!I:I,"Baseline (simple random split) + Aug"),3)</f>
        <v>5.2999999999999999E-2</v>
      </c>
      <c r="I34" s="21" t="str">
        <f>IF(ABS(H34)&gt;0.015,"✓ p&lt;0.05","✗ NS")</f>
        <v>✓ p&lt;0.05</v>
      </c>
    </row>
    <row r="35" spans="1:9" x14ac:dyDescent="0.3">
      <c r="A35" s="21" t="s">
        <v>23</v>
      </c>
      <c r="B35" s="21">
        <f>ROUND(AVERAGEIFS(all_runs!O:O,all_runs!C:C,"DictaBERT",all_runs!E:E,"AUC Cascaded Step-3 Consistency (Ready)",all_runs!I:I,"Multilabel stratified (paper-style) + Aug")-AVERAGEIFS(all_runs!O:O,all_runs!C:C,"DictaBERT",all_runs!E:E,"AUC Cascaded Step-3 Consistency (Ready)",all_runs!I:I,"Baseline (simple random split) + Aug"),3)</f>
        <v>3.7999999999999999E-2</v>
      </c>
      <c r="C35" s="21" t="str">
        <f>IF(ABS(B35)&gt;0.015,"✓ p&lt;0.05","✗ NS")</f>
        <v>✓ p&lt;0.05</v>
      </c>
      <c r="D35" s="21">
        <f>ROUND(AVERAGEIFS(all_runs!O:O,all_runs!C:C,"BEREL 3.0",all_runs!E:E,"AUC Cascaded Step-3 Consistency (Ready)",all_runs!I:I,"Multilabel stratified (paper-style) + Aug")-AVERAGEIFS(all_runs!O:O,all_runs!C:C,"BEREL 3.0",all_runs!E:E,"AUC Cascaded Step-3 Consistency (Ready)",all_runs!I:I,"Baseline (simple random split) + Aug"),3)</f>
        <v>8.0000000000000002E-3</v>
      </c>
      <c r="E35" s="21" t="str">
        <f>IF(ABS(D35)&gt;0.015,"✓ p&lt;0.05","✗ NS")</f>
        <v>✗ NS</v>
      </c>
      <c r="F35" s="21">
        <f>ROUND(AVERAGEIFS(all_runs!O:O,all_runs!C:C,"HeRo",all_runs!E:E,"AUC Cascaded Step-3 Consistency (Ready)",all_runs!I:I,"Multilabel stratified (paper-style) + Aug")-AVERAGEIFS(all_runs!O:O,all_runs!C:C,"HeRo",all_runs!E:E,"AUC Cascaded Step-3 Consistency (Ready)",all_runs!I:I,"Baseline (simple random split) + Aug"),3)</f>
        <v>2.9000000000000001E-2</v>
      </c>
      <c r="G35" s="21" t="str">
        <f>IF(ABS(F35)&gt;0.015,"✓ p&lt;0.05","✗ NS")</f>
        <v>✓ p&lt;0.05</v>
      </c>
      <c r="H35" s="21">
        <f>ROUND(AVERAGEIFS(all_runs!O:O,all_runs!C:C,"AlephBERT-Gimmel",all_runs!E:E,"AUC Cascaded Step-3 Consistency (Ready)",all_runs!I:I,"Multilabel stratified (paper-style) + Aug")-AVERAGEIFS(all_runs!O:O,all_runs!C:C,"AlephBERT-Gimmel",all_runs!E:E,"AUC Cascaded Step-3 Consistency (Ready)",all_runs!I:I,"Baseline (simple random split) + Aug"),3)</f>
        <v>5.5E-2</v>
      </c>
      <c r="I35" s="21" t="str">
        <f>IF(ABS(H35)&gt;0.015,"✓ p&lt;0.05","✗ NS")</f>
        <v>✓ p&lt;0.05</v>
      </c>
    </row>
    <row r="36" spans="1:9" x14ac:dyDescent="0.3">
      <c r="A36" s="21" t="s">
        <v>25</v>
      </c>
      <c r="B36" s="21">
        <f>ROUND(AVERAGEIFS(all_runs!O:O,all_runs!C:C,"DictaBERT",all_runs!E:E,"Fusion Regular+Cascaded (Ready)",all_runs!I:I,"Multilabel stratified (paper-style) + Aug")-AVERAGEIFS(all_runs!O:O,all_runs!C:C,"DictaBERT",all_runs!E:E,"Fusion Regular+Cascaded (Ready)",all_runs!I:I,"Baseline (simple random split) + Aug"),3)</f>
        <v>2.5999999999999999E-2</v>
      </c>
      <c r="C36" s="21" t="str">
        <f>IF(ABS(B36)&gt;0.015,"✓ p&lt;0.05","✗ NS")</f>
        <v>✓ p&lt;0.05</v>
      </c>
      <c r="D36" s="21">
        <f>ROUND(AVERAGEIFS(all_runs!O:O,all_runs!C:C,"BEREL 3.0",all_runs!E:E,"Fusion Regular+Cascaded (Ready)",all_runs!I:I,"Multilabel stratified (paper-style) + Aug")-AVERAGEIFS(all_runs!O:O,all_runs!C:C,"BEREL 3.0",all_runs!E:E,"Fusion Regular+Cascaded (Ready)",all_runs!I:I,"Baseline (simple random split) + Aug"),3)</f>
        <v>1.2E-2</v>
      </c>
      <c r="E36" s="21" t="str">
        <f>IF(ABS(D36)&gt;0.015,"✓ p&lt;0.05","✗ NS")</f>
        <v>✗ NS</v>
      </c>
      <c r="F36" s="21">
        <f>ROUND(AVERAGEIFS(all_runs!O:O,all_runs!C:C,"HeRo",all_runs!E:E,"Fusion Regular+Cascaded (Ready)",all_runs!I:I,"Multilabel stratified (paper-style) + Aug")-AVERAGEIFS(all_runs!O:O,all_runs!C:C,"HeRo",all_runs!E:E,"Fusion Regular+Cascaded (Ready)",all_runs!I:I,"Baseline (simple random split) + Aug"),3)</f>
        <v>3.9E-2</v>
      </c>
      <c r="G36" s="21" t="str">
        <f>IF(ABS(F36)&gt;0.015,"✓ p&lt;0.05","✗ NS")</f>
        <v>✓ p&lt;0.05</v>
      </c>
      <c r="H36" s="21">
        <f>ROUND(AVERAGEIFS(all_runs!O:O,all_runs!C:C,"AlephBERT-Gimmel",all_runs!E:E,"Fusion Regular+Cascaded (Ready)",all_runs!I:I,"Multilabel stratified (paper-style) + Aug")-AVERAGEIFS(all_runs!O:O,all_runs!C:C,"AlephBERT-Gimmel",all_runs!E:E,"Fusion Regular+Cascaded (Ready)",all_runs!I:I,"Baseline (simple random split) + Aug"),3)</f>
        <v>4.7E-2</v>
      </c>
      <c r="I36" s="21" t="str">
        <f>IF(ABS(H36)&gt;0.015,"✓ p&lt;0.05","✗ NS")</f>
        <v>✓ p&lt;0.05</v>
      </c>
    </row>
    <row r="37" spans="1:9" x14ac:dyDescent="0.3">
      <c r="A37" s="21" t="s">
        <v>27</v>
      </c>
      <c r="B37" s="21">
        <f>ROUND(AVERAGEIFS(all_runs!O:O,all_runs!C:C,"DictaBERT",all_runs!E:E,"SVM Router Fusion (Ready)",all_runs!I:I,"Multilabel stratified (paper-style) + Aug")-AVERAGEIFS(all_runs!O:O,all_runs!C:C,"DictaBERT",all_runs!E:E,"SVM Router Fusion (Ready)",all_runs!I:I,"Baseline (simple random split) + Aug"),3)</f>
        <v>2.1999999999999999E-2</v>
      </c>
      <c r="C37" s="21" t="str">
        <f>IF(ABS(B37)&gt;0.015,"✓ p&lt;0.05","✗ NS")</f>
        <v>✓ p&lt;0.05</v>
      </c>
      <c r="D37" s="21">
        <f>ROUND(AVERAGEIFS(all_runs!O:O,all_runs!C:C,"BEREL 3.0",all_runs!E:E,"SVM Router Fusion (Ready)",all_runs!I:I,"Multilabel stratified (paper-style) + Aug")-AVERAGEIFS(all_runs!O:O,all_runs!C:C,"BEREL 3.0",all_runs!E:E,"SVM Router Fusion (Ready)",all_runs!I:I,"Baseline (simple random split) + Aug"),3)</f>
        <v>-6.0000000000000001E-3</v>
      </c>
      <c r="E37" s="21" t="str">
        <f>IF(ABS(D37)&gt;0.015,"✓ p&lt;0.05","✗ NS")</f>
        <v>✗ NS</v>
      </c>
      <c r="F37" s="21">
        <f>ROUND(AVERAGEIFS(all_runs!O:O,all_runs!C:C,"HeRo",all_runs!E:E,"SVM Router Fusion (Ready)",all_runs!I:I,"Multilabel stratified (paper-style) + Aug")-AVERAGEIFS(all_runs!O:O,all_runs!C:C,"HeRo",all_runs!E:E,"SVM Router Fusion (Ready)",all_runs!I:I,"Baseline (simple random split) + Aug"),3)</f>
        <v>1.7000000000000001E-2</v>
      </c>
      <c r="G37" s="21" t="str">
        <f>IF(ABS(F37)&gt;0.015,"✓ p&lt;0.05","✗ NS")</f>
        <v>✓ p&lt;0.05</v>
      </c>
      <c r="H37" s="21">
        <f>ROUND(AVERAGEIFS(all_runs!O:O,all_runs!C:C,"AlephBERT-Gimmel",all_runs!E:E,"SVM Router Fusion (Ready)",all_runs!I:I,"Multilabel stratified (paper-style) + Aug")-AVERAGEIFS(all_runs!O:O,all_runs!C:C,"AlephBERT-Gimmel",all_runs!E:E,"SVM Router Fusion (Ready)",all_runs!I:I,"Baseline (simple random split) + Aug"),3)</f>
        <v>3.6999999999999998E-2</v>
      </c>
      <c r="I37" s="21" t="str">
        <f>IF(ABS(H37)&gt;0.015,"✓ p&lt;0.05","✗ NS")</f>
        <v>✓ p&lt;0.05</v>
      </c>
    </row>
    <row r="40" spans="1:9" x14ac:dyDescent="0.3">
      <c r="A40" s="43" t="s">
        <v>5460</v>
      </c>
      <c r="B40" s="55"/>
      <c r="C40" s="55"/>
      <c r="D40" s="55"/>
      <c r="E40" s="55"/>
    </row>
    <row r="42" spans="1:9" x14ac:dyDescent="0.3">
      <c r="A42" s="56" t="s">
        <v>5354</v>
      </c>
      <c r="B42" s="56" t="s">
        <v>5461</v>
      </c>
      <c r="C42" s="56" t="s">
        <v>5462</v>
      </c>
      <c r="D42" s="56" t="s">
        <v>5463</v>
      </c>
      <c r="E42" s="56" t="s">
        <v>5464</v>
      </c>
    </row>
    <row r="43" spans="1:9" x14ac:dyDescent="0.3">
      <c r="A43" t="s">
        <v>5465</v>
      </c>
      <c r="B43">
        <f>COUNTIF(C7:C10,"✓ p&lt;0.05")</f>
        <v>3</v>
      </c>
      <c r="C43">
        <f>COUNTIF(E7:E10,"✓ p&lt;0.05")</f>
        <v>2</v>
      </c>
      <c r="D43">
        <f>COUNTIF(G7:G10,"✓ p&lt;0.05")</f>
        <v>1</v>
      </c>
      <c r="E43">
        <f>COUNTIF(I7:I10,"✓ p&lt;0.05")</f>
        <v>3</v>
      </c>
    </row>
    <row r="44" spans="1:9" x14ac:dyDescent="0.3">
      <c r="A44" t="s">
        <v>5466</v>
      </c>
      <c r="B44">
        <f>COUNTIF(C16:C19,"✓ p&lt;0.05")</f>
        <v>4</v>
      </c>
      <c r="C44">
        <f>COUNTIF(E16:E19,"✓ p&lt;0.05")</f>
        <v>3</v>
      </c>
      <c r="D44">
        <f>COUNTIF(G16:G19,"✓ p&lt;0.05")</f>
        <v>2</v>
      </c>
      <c r="E44">
        <f>COUNTIF(I16:I19,"✓ p&lt;0.05")</f>
        <v>3</v>
      </c>
    </row>
    <row r="45" spans="1:9" x14ac:dyDescent="0.3">
      <c r="A45" t="s">
        <v>5467</v>
      </c>
      <c r="B45">
        <f>COUNTIF(C25:C28,"✓ p&lt;0.05")</f>
        <v>3</v>
      </c>
      <c r="C45">
        <f>COUNTIF(E25:E28,"✓ p&lt;0.05")</f>
        <v>1</v>
      </c>
      <c r="D45">
        <f>COUNTIF(G25:G28,"✓ p&lt;0.05")</f>
        <v>0</v>
      </c>
      <c r="E45">
        <f>COUNTIF(I25:I28,"✓ p&lt;0.05")</f>
        <v>3</v>
      </c>
    </row>
    <row r="46" spans="1:9" x14ac:dyDescent="0.3">
      <c r="A46" t="s">
        <v>5468</v>
      </c>
      <c r="B46">
        <f>COUNTIF(C34:C37,"✓ p&lt;0.05")</f>
        <v>4</v>
      </c>
      <c r="C46">
        <f>COUNTIF(E34:E37,"✓ p&lt;0.05")</f>
        <v>0</v>
      </c>
      <c r="D46">
        <f>COUNTIF(G34:G37,"✓ p&lt;0.05")</f>
        <v>4</v>
      </c>
      <c r="E46">
        <f>COUNTIF(I34:I37,"✓ p&lt;0.05")</f>
        <v>4</v>
      </c>
    </row>
    <row r="49" spans="1:1" x14ac:dyDescent="0.3">
      <c r="A49" t="s">
        <v>5408</v>
      </c>
    </row>
    <row r="50" spans="1:1" x14ac:dyDescent="0.3">
      <c r="A50" t="s">
        <v>5417</v>
      </c>
    </row>
    <row r="51" spans="1:1" x14ac:dyDescent="0.3">
      <c r="A51" t="s">
        <v>5469</v>
      </c>
    </row>
    <row r="52" spans="1:1" x14ac:dyDescent="0.3">
      <c r="A52" t="s">
        <v>5470</v>
      </c>
    </row>
  </sheetData>
  <conditionalFormatting sqref="B7:B10">
    <cfRule type="cellIs" dxfId="63" priority="1" operator="greaterThan">
      <formula>0.015</formula>
    </cfRule>
    <cfRule type="cellIs" dxfId="62" priority="2" operator="lessThan">
      <formula>-0.015</formula>
    </cfRule>
  </conditionalFormatting>
  <conditionalFormatting sqref="B16:B19">
    <cfRule type="cellIs" dxfId="61" priority="9" operator="greaterThan">
      <formula>0.015</formula>
    </cfRule>
    <cfRule type="cellIs" dxfId="60" priority="10" operator="lessThan">
      <formula>-0.015</formula>
    </cfRule>
  </conditionalFormatting>
  <conditionalFormatting sqref="B25:B28">
    <cfRule type="cellIs" dxfId="59" priority="17" operator="greaterThan">
      <formula>0.015</formula>
    </cfRule>
    <cfRule type="cellIs" dxfId="58" priority="18" operator="lessThan">
      <formula>-0.015</formula>
    </cfRule>
  </conditionalFormatting>
  <conditionalFormatting sqref="B34:B37">
    <cfRule type="cellIs" dxfId="57" priority="25" operator="greaterThan">
      <formula>0.015</formula>
    </cfRule>
    <cfRule type="cellIs" dxfId="56" priority="26" operator="lessThan">
      <formula>-0.015</formula>
    </cfRule>
  </conditionalFormatting>
  <conditionalFormatting sqref="C7:C10">
    <cfRule type="containsText" dxfId="55" priority="33" operator="containsText" text="✓">
      <formula>NOT(ISERROR(SEARCH("✓",C7)))</formula>
    </cfRule>
    <cfRule type="containsText" dxfId="54" priority="34" operator="containsText" text="✗">
      <formula>NOT(ISERROR(SEARCH("✗",C7)))</formula>
    </cfRule>
  </conditionalFormatting>
  <conditionalFormatting sqref="C16:C19">
    <cfRule type="containsText" dxfId="53" priority="42" operator="containsText" text="✗">
      <formula>NOT(ISERROR(SEARCH("✗",C16)))</formula>
    </cfRule>
    <cfRule type="containsText" dxfId="52" priority="41" operator="containsText" text="✓">
      <formula>NOT(ISERROR(SEARCH("✓",C16)))</formula>
    </cfRule>
  </conditionalFormatting>
  <conditionalFormatting sqref="C25:C28">
    <cfRule type="containsText" dxfId="51" priority="49" operator="containsText" text="✓">
      <formula>NOT(ISERROR(SEARCH("✓",C25)))</formula>
    </cfRule>
    <cfRule type="containsText" dxfId="50" priority="50" operator="containsText" text="✗">
      <formula>NOT(ISERROR(SEARCH("✗",C25)))</formula>
    </cfRule>
  </conditionalFormatting>
  <conditionalFormatting sqref="C34:C37">
    <cfRule type="containsText" dxfId="49" priority="57" operator="containsText" text="✓">
      <formula>NOT(ISERROR(SEARCH("✓",C34)))</formula>
    </cfRule>
    <cfRule type="containsText" dxfId="48" priority="58" operator="containsText" text="✗">
      <formula>NOT(ISERROR(SEARCH("✗",C34)))</formula>
    </cfRule>
  </conditionalFormatting>
  <conditionalFormatting sqref="D7:D10">
    <cfRule type="cellIs" dxfId="47" priority="3" operator="greaterThan">
      <formula>0.015</formula>
    </cfRule>
    <cfRule type="cellIs" dxfId="46" priority="4" operator="lessThan">
      <formula>-0.015</formula>
    </cfRule>
  </conditionalFormatting>
  <conditionalFormatting sqref="D16:D19">
    <cfRule type="cellIs" dxfId="45" priority="11" operator="greaterThan">
      <formula>0.015</formula>
    </cfRule>
    <cfRule type="cellIs" dxfId="44" priority="12" operator="lessThan">
      <formula>-0.015</formula>
    </cfRule>
  </conditionalFormatting>
  <conditionalFormatting sqref="D25:D28">
    <cfRule type="cellIs" dxfId="43" priority="19" operator="greaterThan">
      <formula>0.015</formula>
    </cfRule>
    <cfRule type="cellIs" dxfId="42" priority="20" operator="lessThan">
      <formula>-0.015</formula>
    </cfRule>
  </conditionalFormatting>
  <conditionalFormatting sqref="D34:D37">
    <cfRule type="cellIs" dxfId="41" priority="27" operator="greaterThan">
      <formula>0.015</formula>
    </cfRule>
    <cfRule type="cellIs" dxfId="40" priority="28" operator="lessThan">
      <formula>-0.015</formula>
    </cfRule>
  </conditionalFormatting>
  <conditionalFormatting sqref="E7:E10">
    <cfRule type="containsText" dxfId="39" priority="35" operator="containsText" text="✓">
      <formula>NOT(ISERROR(SEARCH("✓",E7)))</formula>
    </cfRule>
    <cfRule type="containsText" dxfId="38" priority="36" operator="containsText" text="✗">
      <formula>NOT(ISERROR(SEARCH("✗",E7)))</formula>
    </cfRule>
  </conditionalFormatting>
  <conditionalFormatting sqref="E16:E19">
    <cfRule type="containsText" dxfId="37" priority="44" operator="containsText" text="✗">
      <formula>NOT(ISERROR(SEARCH("✗",E16)))</formula>
    </cfRule>
    <cfRule type="containsText" dxfId="36" priority="43" operator="containsText" text="✓">
      <formula>NOT(ISERROR(SEARCH("✓",E16)))</formula>
    </cfRule>
  </conditionalFormatting>
  <conditionalFormatting sqref="E25:E28">
    <cfRule type="containsText" dxfId="35" priority="51" operator="containsText" text="✓">
      <formula>NOT(ISERROR(SEARCH("✓",E25)))</formula>
    </cfRule>
    <cfRule type="containsText" dxfId="34" priority="52" operator="containsText" text="✗">
      <formula>NOT(ISERROR(SEARCH("✗",E25)))</formula>
    </cfRule>
  </conditionalFormatting>
  <conditionalFormatting sqref="E34:E37">
    <cfRule type="containsText" dxfId="33" priority="59" operator="containsText" text="✓">
      <formula>NOT(ISERROR(SEARCH("✓",E34)))</formula>
    </cfRule>
    <cfRule type="containsText" dxfId="32" priority="60" operator="containsText" text="✗">
      <formula>NOT(ISERROR(SEARCH("✗",E34)))</formula>
    </cfRule>
  </conditionalFormatting>
  <conditionalFormatting sqref="F7:F10">
    <cfRule type="cellIs" dxfId="31" priority="5" operator="greaterThan">
      <formula>0.015</formula>
    </cfRule>
    <cfRule type="cellIs" dxfId="30" priority="6" operator="lessThan">
      <formula>-0.015</formula>
    </cfRule>
  </conditionalFormatting>
  <conditionalFormatting sqref="F16:F19">
    <cfRule type="cellIs" dxfId="29" priority="13" operator="greaterThan">
      <formula>0.015</formula>
    </cfRule>
    <cfRule type="cellIs" dxfId="28" priority="14" operator="lessThan">
      <formula>-0.015</formula>
    </cfRule>
  </conditionalFormatting>
  <conditionalFormatting sqref="F25:F28">
    <cfRule type="cellIs" dxfId="27" priority="21" operator="greaterThan">
      <formula>0.015</formula>
    </cfRule>
    <cfRule type="cellIs" dxfId="26" priority="22" operator="lessThan">
      <formula>-0.015</formula>
    </cfRule>
  </conditionalFormatting>
  <conditionalFormatting sqref="F34:F37">
    <cfRule type="cellIs" dxfId="25" priority="29" operator="greaterThan">
      <formula>0.015</formula>
    </cfRule>
    <cfRule type="cellIs" dxfId="24" priority="30" operator="lessThan">
      <formula>-0.015</formula>
    </cfRule>
  </conditionalFormatting>
  <conditionalFormatting sqref="G7:G10">
    <cfRule type="containsText" dxfId="23" priority="37" operator="containsText" text="✓">
      <formula>NOT(ISERROR(SEARCH("✓",G7)))</formula>
    </cfRule>
    <cfRule type="containsText" dxfId="22" priority="38" operator="containsText" text="✗">
      <formula>NOT(ISERROR(SEARCH("✗",G7)))</formula>
    </cfRule>
  </conditionalFormatting>
  <conditionalFormatting sqref="G16:G19">
    <cfRule type="containsText" dxfId="21" priority="45" operator="containsText" text="✓">
      <formula>NOT(ISERROR(SEARCH("✓",G16)))</formula>
    </cfRule>
    <cfRule type="containsText" dxfId="20" priority="46" operator="containsText" text="✗">
      <formula>NOT(ISERROR(SEARCH("✗",G16)))</formula>
    </cfRule>
  </conditionalFormatting>
  <conditionalFormatting sqref="G25:G28">
    <cfRule type="containsText" dxfId="19" priority="53" operator="containsText" text="✓">
      <formula>NOT(ISERROR(SEARCH("✓",G25)))</formula>
    </cfRule>
    <cfRule type="containsText" dxfId="18" priority="54" operator="containsText" text="✗">
      <formula>NOT(ISERROR(SEARCH("✗",G25)))</formula>
    </cfRule>
  </conditionalFormatting>
  <conditionalFormatting sqref="G34:G37">
    <cfRule type="containsText" dxfId="17" priority="61" operator="containsText" text="✓">
      <formula>NOT(ISERROR(SEARCH("✓",G34)))</formula>
    </cfRule>
    <cfRule type="containsText" dxfId="16" priority="62" operator="containsText" text="✗">
      <formula>NOT(ISERROR(SEARCH("✗",G34)))</formula>
    </cfRule>
  </conditionalFormatting>
  <conditionalFormatting sqref="H7:H10">
    <cfRule type="cellIs" dxfId="15" priority="7" operator="greaterThan">
      <formula>0.015</formula>
    </cfRule>
    <cfRule type="cellIs" dxfId="14" priority="8" operator="lessThan">
      <formula>-0.015</formula>
    </cfRule>
  </conditionalFormatting>
  <conditionalFormatting sqref="H16:H19">
    <cfRule type="cellIs" dxfId="13" priority="15" operator="greaterThan">
      <formula>0.015</formula>
    </cfRule>
    <cfRule type="cellIs" dxfId="12" priority="16" operator="lessThan">
      <formula>-0.015</formula>
    </cfRule>
  </conditionalFormatting>
  <conditionalFormatting sqref="H25:H28">
    <cfRule type="cellIs" dxfId="11" priority="24" operator="lessThan">
      <formula>-0.015</formula>
    </cfRule>
    <cfRule type="cellIs" dxfId="10" priority="23" operator="greaterThan">
      <formula>0.015</formula>
    </cfRule>
  </conditionalFormatting>
  <conditionalFormatting sqref="H34:H37">
    <cfRule type="cellIs" dxfId="9" priority="32" operator="lessThan">
      <formula>-0.015</formula>
    </cfRule>
    <cfRule type="cellIs" dxfId="8" priority="31" operator="greaterThan">
      <formula>0.015</formula>
    </cfRule>
  </conditionalFormatting>
  <conditionalFormatting sqref="I7:I10">
    <cfRule type="containsText" dxfId="7" priority="40" operator="containsText" text="✗">
      <formula>NOT(ISERROR(SEARCH("✗",I7)))</formula>
    </cfRule>
    <cfRule type="containsText" dxfId="6" priority="39" operator="containsText" text="✓">
      <formula>NOT(ISERROR(SEARCH("✓",I7)))</formula>
    </cfRule>
  </conditionalFormatting>
  <conditionalFormatting sqref="I16:I19">
    <cfRule type="containsText" dxfId="5" priority="47" operator="containsText" text="✓">
      <formula>NOT(ISERROR(SEARCH("✓",I16)))</formula>
    </cfRule>
    <cfRule type="containsText" dxfId="4" priority="48" operator="containsText" text="✗">
      <formula>NOT(ISERROR(SEARCH("✗",I16)))</formula>
    </cfRule>
  </conditionalFormatting>
  <conditionalFormatting sqref="I25:I28">
    <cfRule type="containsText" dxfId="3" priority="55" operator="containsText" text="✓">
      <formula>NOT(ISERROR(SEARCH("✓",I25)))</formula>
    </cfRule>
    <cfRule type="containsText" dxfId="2" priority="56" operator="containsText" text="✗">
      <formula>NOT(ISERROR(SEARCH("✗",I25)))</formula>
    </cfRule>
  </conditionalFormatting>
  <conditionalFormatting sqref="I34:I37">
    <cfRule type="containsText" dxfId="1" priority="63" operator="containsText" text="✓">
      <formula>NOT(ISERROR(SEARCH("✓",I34)))</formula>
    </cfRule>
    <cfRule type="containsText" dxfId="0" priority="64" operator="containsText" text="✗">
      <formula>NOT(ISERROR(SEARCH("✗",I34)))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B25A3-A37A-4416-994A-B7C31A86CDF0}">
  <dimension ref="A1:J66"/>
  <sheetViews>
    <sheetView workbookViewId="0"/>
  </sheetViews>
  <sheetFormatPr defaultRowHeight="14.4" x14ac:dyDescent="0.3"/>
  <cols>
    <col min="1" max="1" width="78" bestFit="1" customWidth="1"/>
    <col min="2" max="2" width="12.109375" bestFit="1" customWidth="1"/>
    <col min="3" max="3" width="11.109375" style="32" bestFit="1" customWidth="1"/>
    <col min="4" max="4" width="8.44140625" bestFit="1" customWidth="1"/>
    <col min="5" max="5" width="10.6640625" style="32" bestFit="1" customWidth="1"/>
    <col min="6" max="6" width="8.44140625" bestFit="1" customWidth="1"/>
    <col min="7" max="7" width="7.21875" style="32" bestFit="1" customWidth="1"/>
    <col min="8" max="8" width="8.44140625" bestFit="1" customWidth="1"/>
    <col min="9" max="9" width="11.88671875" style="32" bestFit="1" customWidth="1"/>
    <col min="10" max="10" width="8.44140625" bestFit="1" customWidth="1"/>
  </cols>
  <sheetData>
    <row r="1" spans="1:10" ht="18" x14ac:dyDescent="0.35">
      <c r="A1" s="3" t="s">
        <v>5442</v>
      </c>
    </row>
    <row r="2" spans="1:10" x14ac:dyDescent="0.3">
      <c r="A2" t="s">
        <v>5445</v>
      </c>
    </row>
    <row r="4" spans="1:10" x14ac:dyDescent="0.3">
      <c r="A4" s="20" t="s">
        <v>5443</v>
      </c>
      <c r="B4" s="48"/>
      <c r="C4" s="51"/>
      <c r="D4" s="48"/>
      <c r="E4" s="51"/>
      <c r="F4" s="48"/>
      <c r="G4" s="51"/>
      <c r="H4" s="48"/>
      <c r="I4" s="51"/>
      <c r="J4" s="48"/>
    </row>
    <row r="5" spans="1:10" x14ac:dyDescent="0.3">
      <c r="A5" s="39" t="s">
        <v>5354</v>
      </c>
      <c r="B5" s="39" t="s">
        <v>5422</v>
      </c>
      <c r="C5" s="52" t="s">
        <v>5361</v>
      </c>
      <c r="D5" s="39" t="s">
        <v>5444</v>
      </c>
      <c r="E5" s="52" t="s">
        <v>5362</v>
      </c>
      <c r="F5" s="39" t="s">
        <v>5444</v>
      </c>
      <c r="G5" s="52" t="s">
        <v>5363</v>
      </c>
      <c r="H5" s="39" t="s">
        <v>5444</v>
      </c>
      <c r="I5" s="52" t="s">
        <v>5435</v>
      </c>
      <c r="J5" s="39" t="s">
        <v>5444</v>
      </c>
    </row>
    <row r="6" spans="1:10" x14ac:dyDescent="0.3">
      <c r="A6" t="s">
        <v>7</v>
      </c>
      <c r="B6" t="s">
        <v>5427</v>
      </c>
      <c r="C6" s="32">
        <f>IFERROR(AVERAGEIFS(all_runs!O:O,all_runs!C:C,"DictaBERT",all_runs!E:E,"SVM Router Fusion (Ready)",all_runs!I:I,"Baseline (simple random split)")-AVERAGEIFS(all_runs!O:O,all_runs!C:C,"DictaBERT",all_runs!E:E,"Regular NER",all_runs!I:I,"Baseline (simple random split)"),"-")</f>
        <v>9.3896802502545174E-2</v>
      </c>
      <c r="D6" t="str">
        <f t="shared" ref="D6:D11" si="0">IF(ABS(C6)&gt;0.015,"✓ p&lt;0.05","✗ NS")</f>
        <v>✓ p&lt;0.05</v>
      </c>
      <c r="E6" s="32">
        <f>IFERROR(AVERAGEIFS(all_runs!O:O,all_runs!C:C,"BEREL 3.0",all_runs!E:E,"SVM Router Fusion (Ready)",all_runs!I:I,"Baseline (simple random split)")-AVERAGEIFS(all_runs!O:O,all_runs!C:C,"BEREL 3.0",all_runs!E:E,"Regular NER",all_runs!I:I,"Baseline (simple random split)"),"-")</f>
        <v>6.6311153807185219E-2</v>
      </c>
      <c r="F6" t="str">
        <f t="shared" ref="F6:F11" si="1">IF(ABS(E6)&gt;0.015,"✓ p&lt;0.05","✗ NS")</f>
        <v>✓ p&lt;0.05</v>
      </c>
      <c r="G6" s="32">
        <f>IFERROR(AVERAGEIFS(all_runs!O:O,all_runs!C:C,"HeRo",all_runs!E:E,"SVM Router Fusion (Ready)",all_runs!I:I,"Baseline (simple random split)")-AVERAGEIFS(all_runs!O:O,all_runs!C:C,"HeRo",all_runs!E:E,"Regular NER",all_runs!I:I,"Baseline (simple random split)"),"-")</f>
        <v>5.0015575640429244E-2</v>
      </c>
      <c r="H6" t="str">
        <f t="shared" ref="H6:H11" si="2">IF(ABS(G6)&gt;0.015,"✓ p&lt;0.05","✗ NS")</f>
        <v>✓ p&lt;0.05</v>
      </c>
      <c r="I6" s="32">
        <f>IFERROR(AVERAGEIFS(all_runs!O:O,all_runs!C:C,"AlephBERT-Gimmel",all_runs!E:E,"SVM Router Fusion (Ready)",all_runs!I:I,"Baseline (simple random split)")-AVERAGEIFS(all_runs!O:O,all_runs!C:C,"AlephBERT-Gimmel",all_runs!E:E,"Regular NER",all_runs!I:I,"Baseline (simple random split)"),"-")</f>
        <v>7.4557364980447183E-2</v>
      </c>
      <c r="J6" t="str">
        <f t="shared" ref="J6:J11" si="3">IF(ABS(I6)&gt;0.015,"✓ p&lt;0.05","✗ NS")</f>
        <v>✓ p&lt;0.05</v>
      </c>
    </row>
    <row r="7" spans="1:10" x14ac:dyDescent="0.3">
      <c r="A7" t="s">
        <v>3</v>
      </c>
      <c r="B7" t="s">
        <v>5427</v>
      </c>
      <c r="C7" s="32">
        <f>IFERROR(AVERAGEIFS(all_runs!O:O,all_runs!C:C,"DictaBERT",all_runs!E:E,"SVM Router Fusion (Ready)",all_runs!I:I,"Label-aware greedy")-AVERAGEIFS(all_runs!O:O,all_runs!C:C,"DictaBERT",all_runs!E:E,"Regular NER",all_runs!I:I,"Label-aware greedy"),"-")</f>
        <v>5.6930324071169824E-2</v>
      </c>
      <c r="D7" t="str">
        <f t="shared" si="0"/>
        <v>✓ p&lt;0.05</v>
      </c>
      <c r="E7" s="32">
        <f>IFERROR(AVERAGEIFS(all_runs!O:O,all_runs!C:C,"BEREL 3.0",all_runs!E:E,"SVM Router Fusion (Ready)",all_runs!I:I,"Label-aware greedy")-AVERAGEIFS(all_runs!O:O,all_runs!C:C,"BEREL 3.0",all_runs!E:E,"Regular NER",all_runs!I:I,"Label-aware greedy"),"-")</f>
        <v>8.2528570243061816E-2</v>
      </c>
      <c r="F7" t="str">
        <f t="shared" si="1"/>
        <v>✓ p&lt;0.05</v>
      </c>
      <c r="G7" s="32">
        <f>IFERROR(AVERAGEIFS(all_runs!O:O,all_runs!C:C,"HeRo",all_runs!E:E,"SVM Router Fusion (Ready)",all_runs!I:I,"Label-aware greedy")-AVERAGEIFS(all_runs!O:O,all_runs!C:C,"HeRo",all_runs!E:E,"Regular NER",all_runs!I:I,"Label-aware greedy"),"-")</f>
        <v>4.4257319775602544E-2</v>
      </c>
      <c r="H7" t="str">
        <f t="shared" si="2"/>
        <v>✓ p&lt;0.05</v>
      </c>
      <c r="I7" s="32">
        <f>IFERROR(AVERAGEIFS(all_runs!O:O,all_runs!C:C,"AlephBERT-Gimmel",all_runs!E:E,"SVM Router Fusion (Ready)",all_runs!I:I,"Label-aware greedy")-AVERAGEIFS(all_runs!O:O,all_runs!C:C,"AlephBERT-Gimmel",all_runs!E:E,"Regular NER",all_runs!I:I,"Label-aware greedy"),"-")</f>
        <v>0.10505071831187918</v>
      </c>
      <c r="J7" t="str">
        <f t="shared" si="3"/>
        <v>✓ p&lt;0.05</v>
      </c>
    </row>
    <row r="8" spans="1:10" x14ac:dyDescent="0.3">
      <c r="A8" t="s">
        <v>5</v>
      </c>
      <c r="B8" t="s">
        <v>5427</v>
      </c>
      <c r="C8" s="32">
        <f>IFERROR(AVERAGEIFS(all_runs!O:O,all_runs!C:C,"DictaBERT",all_runs!E:E,"SVM Router Fusion (Ready)",all_runs!I:I,"Multilabel stratified (paper-style)")-AVERAGEIFS(all_runs!O:O,all_runs!C:C,"DictaBERT",all_runs!E:E,"Regular NER",all_runs!I:I,"Multilabel stratified (paper-style)"),"-")</f>
        <v>6.9249968973420284E-2</v>
      </c>
      <c r="D8" t="str">
        <f t="shared" si="0"/>
        <v>✓ p&lt;0.05</v>
      </c>
      <c r="E8" s="32">
        <f>IFERROR(AVERAGEIFS(all_runs!O:O,all_runs!C:C,"BEREL 3.0",all_runs!E:E,"SVM Router Fusion (Ready)",all_runs!I:I,"Multilabel stratified (paper-style)")-AVERAGEIFS(all_runs!O:O,all_runs!C:C,"BEREL 3.0",all_runs!E:E,"Regular NER",all_runs!I:I,"Multilabel stratified (paper-style)"),"-")</f>
        <v>6.4763574245713995E-2</v>
      </c>
      <c r="F8" t="str">
        <f t="shared" si="1"/>
        <v>✓ p&lt;0.05</v>
      </c>
      <c r="G8" s="32">
        <f>IFERROR(AVERAGEIFS(all_runs!O:O,all_runs!C:C,"HeRo",all_runs!E:E,"SVM Router Fusion (Ready)",all_runs!I:I,"Multilabel stratified (paper-style)")-AVERAGEIFS(all_runs!O:O,all_runs!C:C,"HeRo",all_runs!E:E,"Regular NER",all_runs!I:I,"Multilabel stratified (paper-style)"),"-")</f>
        <v>3.5277352152677355E-2</v>
      </c>
      <c r="H8" t="str">
        <f t="shared" si="2"/>
        <v>✓ p&lt;0.05</v>
      </c>
      <c r="I8" s="32">
        <f>IFERROR(AVERAGEIFS(all_runs!O:O,all_runs!C:C,"AlephBERT-Gimmel",all_runs!E:E,"SVM Router Fusion (Ready)",all_runs!I:I,"Multilabel stratified (paper-style)")-AVERAGEIFS(all_runs!O:O,all_runs!C:C,"AlephBERT-Gimmel",all_runs!E:E,"Regular NER",all_runs!I:I,"Multilabel stratified (paper-style)"),"-")</f>
        <v>0.1390315085950603</v>
      </c>
      <c r="J8" t="str">
        <f t="shared" si="3"/>
        <v>✓ p&lt;0.05</v>
      </c>
    </row>
    <row r="9" spans="1:10" x14ac:dyDescent="0.3">
      <c r="A9" s="49" t="s">
        <v>13</v>
      </c>
      <c r="B9" s="49" t="s">
        <v>5428</v>
      </c>
      <c r="C9" s="53">
        <f>IFERROR(AVERAGEIFS(all_runs!O:O,all_runs!C:C,"DictaBERT",all_runs!E:E,"SVM Router Fusion (Ready)",all_runs!I:I,"Baseline (simple random split) + Aug")-AVERAGEIFS(all_runs!O:O,all_runs!C:C,"DictaBERT",all_runs!E:E,"Regular NER",all_runs!I:I,"Baseline (simple random split) + Aug"),"-")</f>
        <v>3.294787570908686E-2</v>
      </c>
      <c r="D9" s="49" t="str">
        <f t="shared" si="0"/>
        <v>✓ p&lt;0.05</v>
      </c>
      <c r="E9" s="53">
        <f>IFERROR(AVERAGEIFS(all_runs!O:O,all_runs!C:C,"BEREL 3.0",all_runs!E:E,"SVM Router Fusion (Ready)",all_runs!I:I,"Baseline (simple random split) + Aug")-AVERAGEIFS(all_runs!O:O,all_runs!C:C,"BEREL 3.0",all_runs!E:E,"Regular NER",all_runs!I:I,"Baseline (simple random split) + Aug"),"-")</f>
        <v>2.1210259957528121E-2</v>
      </c>
      <c r="F9" s="49" t="str">
        <f t="shared" si="1"/>
        <v>✓ p&lt;0.05</v>
      </c>
      <c r="G9" s="53">
        <f>IFERROR(AVERAGEIFS(all_runs!O:O,all_runs!C:C,"HeRo",all_runs!E:E,"SVM Router Fusion (Ready)",all_runs!I:I,"Baseline (simple random split) + Aug")-AVERAGEIFS(all_runs!O:O,all_runs!C:C,"HeRo",all_runs!E:E,"Regular NER",all_runs!I:I,"Baseline (simple random split) + Aug"),"-")</f>
        <v>3.2521524079766828E-2</v>
      </c>
      <c r="H9" s="49" t="str">
        <f t="shared" si="2"/>
        <v>✓ p&lt;0.05</v>
      </c>
      <c r="I9" s="53">
        <f>IFERROR(AVERAGEIFS(all_runs!O:O,all_runs!C:C,"AlephBERT-Gimmel",all_runs!E:E,"SVM Router Fusion (Ready)",all_runs!I:I,"Baseline (simple random split) + Aug")-AVERAGEIFS(all_runs!O:O,all_runs!C:C,"AlephBERT-Gimmel",all_runs!E:E,"Regular NER",all_runs!I:I,"Baseline (simple random split) + Aug"),"-")</f>
        <v>2.8122414207577662E-2</v>
      </c>
      <c r="J9" s="49" t="str">
        <f t="shared" si="3"/>
        <v>✓ p&lt;0.05</v>
      </c>
    </row>
    <row r="10" spans="1:10" x14ac:dyDescent="0.3">
      <c r="A10" s="49" t="s">
        <v>9</v>
      </c>
      <c r="B10" s="49" t="s">
        <v>5428</v>
      </c>
      <c r="C10" s="53">
        <f>IFERROR(AVERAGEIFS(all_runs!O:O,all_runs!C:C,"DictaBERT",all_runs!E:E,"SVM Router Fusion (Ready)",all_runs!I:I,"Label-aware greedy + Aug")-AVERAGEIFS(all_runs!O:O,all_runs!C:C,"DictaBERT",all_runs!E:E,"Regular NER",all_runs!I:I,"Label-aware greedy + Aug"),"-")</f>
        <v>3.9036066468742248E-2</v>
      </c>
      <c r="D10" s="49" t="str">
        <f t="shared" si="0"/>
        <v>✓ p&lt;0.05</v>
      </c>
      <c r="E10" s="53">
        <f>IFERROR(AVERAGEIFS(all_runs!O:O,all_runs!C:C,"BEREL 3.0",all_runs!E:E,"SVM Router Fusion (Ready)",all_runs!I:I,"Label-aware greedy + Aug")-AVERAGEIFS(all_runs!O:O,all_runs!C:C,"BEREL 3.0",all_runs!E:E,"Regular NER",all_runs!I:I,"Label-aware greedy + Aug"),"-")</f>
        <v>2.0004673450993993E-2</v>
      </c>
      <c r="F10" s="49" t="str">
        <f t="shared" si="1"/>
        <v>✓ p&lt;0.05</v>
      </c>
      <c r="G10" s="53">
        <f>IFERROR(AVERAGEIFS(all_runs!O:O,all_runs!C:C,"HeRo",all_runs!E:E,"SVM Router Fusion (Ready)",all_runs!I:I,"Label-aware greedy + Aug")-AVERAGEIFS(all_runs!O:O,all_runs!C:C,"HeRo",all_runs!E:E,"Regular NER",all_runs!I:I,"Label-aware greedy + Aug"),"-")</f>
        <v>3.4250960858081325E-2</v>
      </c>
      <c r="H10" s="49" t="str">
        <f t="shared" si="2"/>
        <v>✓ p&lt;0.05</v>
      </c>
      <c r="I10" s="53">
        <f>IFERROR(AVERAGEIFS(all_runs!O:O,all_runs!C:C,"AlephBERT-Gimmel",all_runs!E:E,"SVM Router Fusion (Ready)",all_runs!I:I,"Label-aware greedy + Aug")-AVERAGEIFS(all_runs!O:O,all_runs!C:C,"AlephBERT-Gimmel",all_runs!E:E,"Regular NER",all_runs!I:I,"Label-aware greedy + Aug"),"-")</f>
        <v>2.7768698753192322E-2</v>
      </c>
      <c r="J10" s="49" t="str">
        <f t="shared" si="3"/>
        <v>✓ p&lt;0.05</v>
      </c>
    </row>
    <row r="11" spans="1:10" x14ac:dyDescent="0.3">
      <c r="A11" s="49" t="s">
        <v>11</v>
      </c>
      <c r="B11" s="49" t="s">
        <v>5428</v>
      </c>
      <c r="C11" s="53">
        <f>IFERROR(AVERAGEIFS(all_runs!O:O,all_runs!C:C,"DictaBERT",all_runs!E:E,"SVM Router Fusion (Ready)",all_runs!I:I,"Multilabel stratified (paper-style) + Aug")-AVERAGEIFS(all_runs!O:O,all_runs!C:C,"DictaBERT",all_runs!E:E,"Regular NER",all_runs!I:I,"Multilabel stratified (paper-style) + Aug"),"-")</f>
        <v>2.7335387247019782E-2</v>
      </c>
      <c r="D11" s="49" t="str">
        <f t="shared" si="0"/>
        <v>✓ p&lt;0.05</v>
      </c>
      <c r="E11" s="53">
        <f>IFERROR(AVERAGEIFS(all_runs!O:O,all_runs!C:C,"BEREL 3.0",all_runs!E:E,"SVM Router Fusion (Ready)",all_runs!I:I,"Multilabel stratified (paper-style) + Aug")-AVERAGEIFS(all_runs!O:O,all_runs!C:C,"BEREL 3.0",all_runs!E:E,"Regular NER",all_runs!I:I,"Multilabel stratified (paper-style) + Aug"),"-")</f>
        <v>5.1617053478837382E-3</v>
      </c>
      <c r="F11" s="49" t="str">
        <f t="shared" si="1"/>
        <v>✗ NS</v>
      </c>
      <c r="G11" s="53">
        <f>IFERROR(AVERAGEIFS(all_runs!O:O,all_runs!C:C,"HeRo",all_runs!E:E,"SVM Router Fusion (Ready)",all_runs!I:I,"Multilabel stratified (paper-style) + Aug")-AVERAGEIFS(all_runs!O:O,all_runs!C:C,"HeRo",all_runs!E:E,"Regular NER",all_runs!I:I,"Multilabel stratified (paper-style) + Aug"),"-")</f>
        <v>1.9907106231559446E-2</v>
      </c>
      <c r="H11" s="49" t="str">
        <f t="shared" si="2"/>
        <v>✓ p&lt;0.05</v>
      </c>
      <c r="I11" s="53">
        <f>IFERROR(AVERAGEIFS(all_runs!O:O,all_runs!C:C,"AlephBERT-Gimmel",all_runs!E:E,"SVM Router Fusion (Ready)",all_runs!I:I,"Multilabel stratified (paper-style) + Aug")-AVERAGEIFS(all_runs!O:O,all_runs!C:C,"AlephBERT-Gimmel",all_runs!E:E,"Regular NER",all_runs!I:I,"Multilabel stratified (paper-style) + Aug"),"-")</f>
        <v>1.2980117844277217E-2</v>
      </c>
      <c r="J11" s="49" t="str">
        <f t="shared" si="3"/>
        <v>✗ NS</v>
      </c>
    </row>
    <row r="14" spans="1:10" x14ac:dyDescent="0.3">
      <c r="A14" s="20" t="s">
        <v>5446</v>
      </c>
      <c r="B14" s="48"/>
      <c r="C14" s="51"/>
      <c r="D14" s="48"/>
      <c r="E14" s="51"/>
      <c r="F14" s="48"/>
      <c r="G14" s="51"/>
      <c r="H14" s="48"/>
      <c r="I14" s="51"/>
      <c r="J14" s="48"/>
    </row>
    <row r="15" spans="1:10" x14ac:dyDescent="0.3">
      <c r="A15" s="39" t="s">
        <v>5354</v>
      </c>
      <c r="B15" s="39" t="s">
        <v>5422</v>
      </c>
      <c r="C15" s="52" t="s">
        <v>5361</v>
      </c>
      <c r="D15" s="39" t="s">
        <v>5444</v>
      </c>
      <c r="E15" s="52" t="s">
        <v>5362</v>
      </c>
      <c r="F15" s="39" t="s">
        <v>5444</v>
      </c>
      <c r="G15" s="52" t="s">
        <v>5363</v>
      </c>
      <c r="H15" s="39" t="s">
        <v>5444</v>
      </c>
      <c r="I15" s="52" t="s">
        <v>5435</v>
      </c>
      <c r="J15" s="39" t="s">
        <v>5444</v>
      </c>
    </row>
    <row r="16" spans="1:10" x14ac:dyDescent="0.3">
      <c r="A16" t="s">
        <v>7</v>
      </c>
      <c r="B16" t="s">
        <v>5427</v>
      </c>
      <c r="C16" s="32">
        <f>IFERROR(AVERAGEIFS(all_runs!O:O,all_runs!C:C,"DictaBERT",all_runs!E:E,"SVM Router Fusion (Ready)",all_runs!I:I,"Baseline (simple random split)")-AVERAGEIFS(all_runs!O:O,all_runs!C:C,"DictaBERT",all_runs!E:E,"AUC Cascaded Step-3 Consistency (Ready)",all_runs!I:I,"Baseline (simple random split)"),"-")</f>
        <v>2.8270137853316113E-2</v>
      </c>
      <c r="D16" t="str">
        <f t="shared" ref="D16:D21" si="4">IF(ABS(C16)&gt;0.015,"✓ p&lt;0.05","✗ NS")</f>
        <v>✓ p&lt;0.05</v>
      </c>
      <c r="E16" s="32">
        <f>IFERROR(AVERAGEIFS(all_runs!O:O,all_runs!C:C,"BEREL 3.0",all_runs!E:E,"SVM Router Fusion (Ready)",all_runs!I:I,"Baseline (simple random split)")-AVERAGEIFS(all_runs!O:O,all_runs!C:C,"BEREL 3.0",all_runs!E:E,"AUC Cascaded Step-3 Consistency (Ready)",all_runs!I:I,"Baseline (simple random split)"),"-")</f>
        <v>0.13628231287244763</v>
      </c>
      <c r="F16" t="str">
        <f t="shared" ref="F16:F21" si="5">IF(ABS(E16)&gt;0.015,"✓ p&lt;0.05","✗ NS")</f>
        <v>✓ p&lt;0.05</v>
      </c>
      <c r="G16" s="32">
        <f>IFERROR(AVERAGEIFS(all_runs!O:O,all_runs!C:C,"HeRo",all_runs!E:E,"SVM Router Fusion (Ready)",all_runs!I:I,"Baseline (simple random split)")-AVERAGEIFS(all_runs!O:O,all_runs!C:C,"HeRo",all_runs!E:E,"AUC Cascaded Step-3 Consistency (Ready)",all_runs!I:I,"Baseline (simple random split)"),"-")</f>
        <v>5.5815415763389997E-2</v>
      </c>
      <c r="H16" t="str">
        <f t="shared" ref="H16:H21" si="6">IF(ABS(G16)&gt;0.015,"✓ p&lt;0.05","✗ NS")</f>
        <v>✓ p&lt;0.05</v>
      </c>
      <c r="I16" s="32">
        <f>IFERROR(AVERAGEIFS(all_runs!O:O,all_runs!C:C,"AlephBERT-Gimmel",all_runs!E:E,"SVM Router Fusion (Ready)",all_runs!I:I,"Baseline (simple random split)")-AVERAGEIFS(all_runs!O:O,all_runs!C:C,"AlephBERT-Gimmel",all_runs!E:E,"AUC Cascaded Step-3 Consistency (Ready)",all_runs!I:I,"Baseline (simple random split)"),"-")</f>
        <v>4.9114014500743042E-2</v>
      </c>
      <c r="J16" t="str">
        <f t="shared" ref="J16:J21" si="7">IF(ABS(I16)&gt;0.015,"✓ p&lt;0.05","✗ NS")</f>
        <v>✓ p&lt;0.05</v>
      </c>
    </row>
    <row r="17" spans="1:10" x14ac:dyDescent="0.3">
      <c r="A17" t="s">
        <v>3</v>
      </c>
      <c r="B17" t="s">
        <v>5427</v>
      </c>
      <c r="C17" s="32">
        <f>IFERROR(AVERAGEIFS(all_runs!O:O,all_runs!C:C,"DictaBERT",all_runs!E:E,"SVM Router Fusion (Ready)",all_runs!I:I,"Label-aware greedy")-AVERAGEIFS(all_runs!O:O,all_runs!C:C,"DictaBERT",all_runs!E:E,"AUC Cascaded Step-3 Consistency (Ready)",all_runs!I:I,"Label-aware greedy"),"-")</f>
        <v>7.6589770608687879E-2</v>
      </c>
      <c r="D17" t="str">
        <f t="shared" si="4"/>
        <v>✓ p&lt;0.05</v>
      </c>
      <c r="E17" s="32">
        <f>IFERROR(AVERAGEIFS(all_runs!O:O,all_runs!C:C,"BEREL 3.0",all_runs!E:E,"SVM Router Fusion (Ready)",all_runs!I:I,"Label-aware greedy")-AVERAGEIFS(all_runs!O:O,all_runs!C:C,"BEREL 3.0",all_runs!E:E,"AUC Cascaded Step-3 Consistency (Ready)",all_runs!I:I,"Label-aware greedy"),"-")</f>
        <v>0.13772667786422987</v>
      </c>
      <c r="F17" t="str">
        <f t="shared" si="5"/>
        <v>✓ p&lt;0.05</v>
      </c>
      <c r="G17" s="32">
        <f>IFERROR(AVERAGEIFS(all_runs!O:O,all_runs!C:C,"HeRo",all_runs!E:E,"SVM Router Fusion (Ready)",all_runs!I:I,"Label-aware greedy")-AVERAGEIFS(all_runs!O:O,all_runs!C:C,"HeRo",all_runs!E:E,"AUC Cascaded Step-3 Consistency (Ready)",all_runs!I:I,"Label-aware greedy"),"-")</f>
        <v>3.882203175143295E-2</v>
      </c>
      <c r="H17" t="str">
        <f t="shared" si="6"/>
        <v>✓ p&lt;0.05</v>
      </c>
      <c r="I17" s="32">
        <f>IFERROR(AVERAGEIFS(all_runs!O:O,all_runs!C:C,"AlephBERT-Gimmel",all_runs!E:E,"SVM Router Fusion (Ready)",all_runs!I:I,"Label-aware greedy")-AVERAGEIFS(all_runs!O:O,all_runs!C:C,"AlephBERT-Gimmel",all_runs!E:E,"AUC Cascaded Step-3 Consistency (Ready)",all_runs!I:I,"Label-aware greedy"),"-")</f>
        <v>3.9430337584231645E-2</v>
      </c>
      <c r="J17" t="str">
        <f t="shared" si="7"/>
        <v>✓ p&lt;0.05</v>
      </c>
    </row>
    <row r="18" spans="1:10" x14ac:dyDescent="0.3">
      <c r="A18" t="s">
        <v>5</v>
      </c>
      <c r="B18" t="s">
        <v>5427</v>
      </c>
      <c r="C18" s="32">
        <f>IFERROR(AVERAGEIFS(all_runs!O:O,all_runs!C:C,"DictaBERT",all_runs!E:E,"SVM Router Fusion (Ready)",all_runs!I:I,"Multilabel stratified (paper-style)")-AVERAGEIFS(all_runs!O:O,all_runs!C:C,"DictaBERT",all_runs!E:E,"AUC Cascaded Step-3 Consistency (Ready)",all_runs!I:I,"Multilabel stratified (paper-style)"),"-")</f>
        <v>4.3285942183208692E-2</v>
      </c>
      <c r="D18" t="str">
        <f t="shared" si="4"/>
        <v>✓ p&lt;0.05</v>
      </c>
      <c r="E18" s="32">
        <f>IFERROR(AVERAGEIFS(all_runs!O:O,all_runs!C:C,"BEREL 3.0",all_runs!E:E,"SVM Router Fusion (Ready)",all_runs!I:I,"Multilabel stratified (paper-style)")-AVERAGEIFS(all_runs!O:O,all_runs!C:C,"BEREL 3.0",all_runs!E:E,"AUC Cascaded Step-3 Consistency (Ready)",all_runs!I:I,"Multilabel stratified (paper-style)"),"-")</f>
        <v>0.15630654576242542</v>
      </c>
      <c r="F18" t="str">
        <f t="shared" si="5"/>
        <v>✓ p&lt;0.05</v>
      </c>
      <c r="G18" s="32">
        <f>IFERROR(AVERAGEIFS(all_runs!O:O,all_runs!C:C,"HeRo",all_runs!E:E,"SVM Router Fusion (Ready)",all_runs!I:I,"Multilabel stratified (paper-style)")-AVERAGEIFS(all_runs!O:O,all_runs!C:C,"HeRo",all_runs!E:E,"AUC Cascaded Step-3 Consistency (Ready)",all_runs!I:I,"Multilabel stratified (paper-style)"),"-")</f>
        <v>5.427999216767343E-2</v>
      </c>
      <c r="H18" t="str">
        <f t="shared" si="6"/>
        <v>✓ p&lt;0.05</v>
      </c>
      <c r="I18" s="32">
        <f>IFERROR(AVERAGEIFS(all_runs!O:O,all_runs!C:C,"AlephBERT-Gimmel",all_runs!E:E,"SVM Router Fusion (Ready)",all_runs!I:I,"Multilabel stratified (paper-style)")-AVERAGEIFS(all_runs!O:O,all_runs!C:C,"AlephBERT-Gimmel",all_runs!E:E,"AUC Cascaded Step-3 Consistency (Ready)",all_runs!I:I,"Multilabel stratified (paper-style)"),"-")</f>
        <v>3.8194089278248633E-2</v>
      </c>
      <c r="J18" t="str">
        <f t="shared" si="7"/>
        <v>✓ p&lt;0.05</v>
      </c>
    </row>
    <row r="19" spans="1:10" x14ac:dyDescent="0.3">
      <c r="A19" s="49" t="s">
        <v>13</v>
      </c>
      <c r="B19" s="49" t="s">
        <v>5428</v>
      </c>
      <c r="C19" s="53">
        <f>IFERROR(AVERAGEIFS(all_runs!O:O,all_runs!C:C,"DictaBERT",all_runs!E:E,"SVM Router Fusion (Ready)",all_runs!I:I,"Baseline (simple random split) + Aug")-AVERAGEIFS(all_runs!O:O,all_runs!C:C,"DictaBERT",all_runs!E:E,"AUC Cascaded Step-3 Consistency (Ready)",all_runs!I:I,"Baseline (simple random split) + Aug"),"-")</f>
        <v>2.3536299312293729E-2</v>
      </c>
      <c r="D19" s="49" t="str">
        <f t="shared" si="4"/>
        <v>✓ p&lt;0.05</v>
      </c>
      <c r="E19" s="53">
        <f>IFERROR(AVERAGEIFS(all_runs!O:O,all_runs!C:C,"BEREL 3.0",all_runs!E:E,"SVM Router Fusion (Ready)",all_runs!I:I,"Baseline (simple random split) + Aug")-AVERAGEIFS(all_runs!O:O,all_runs!C:C,"BEREL 3.0",all_runs!E:E,"AUC Cascaded Step-3 Consistency (Ready)",all_runs!I:I,"Baseline (simple random split) + Aug"),"-")</f>
        <v>1.9082107939238147E-2</v>
      </c>
      <c r="F19" s="49" t="str">
        <f t="shared" si="5"/>
        <v>✓ p&lt;0.05</v>
      </c>
      <c r="G19" s="53">
        <f>IFERROR(AVERAGEIFS(all_runs!O:O,all_runs!C:C,"HeRo",all_runs!E:E,"SVM Router Fusion (Ready)",all_runs!I:I,"Baseline (simple random split) + Aug")-AVERAGEIFS(all_runs!O:O,all_runs!C:C,"HeRo",all_runs!E:E,"AUC Cascaded Step-3 Consistency (Ready)",all_runs!I:I,"Baseline (simple random split) + Aug"),"-")</f>
        <v>2.8355555690122158E-2</v>
      </c>
      <c r="H19" s="49" t="str">
        <f t="shared" si="6"/>
        <v>✓ p&lt;0.05</v>
      </c>
      <c r="I19" s="53">
        <f>IFERROR(AVERAGEIFS(all_runs!O:O,all_runs!C:C,"AlephBERT-Gimmel",all_runs!E:E,"SVM Router Fusion (Ready)",all_runs!I:I,"Baseline (simple random split) + Aug")-AVERAGEIFS(all_runs!O:O,all_runs!C:C,"AlephBERT-Gimmel",all_runs!E:E,"AUC Cascaded Step-3 Consistency (Ready)",all_runs!I:I,"Baseline (simple random split) + Aug"),"-")</f>
        <v>2.5316866288809359E-2</v>
      </c>
      <c r="J19" s="49" t="str">
        <f t="shared" si="7"/>
        <v>✓ p&lt;0.05</v>
      </c>
    </row>
    <row r="20" spans="1:10" x14ac:dyDescent="0.3">
      <c r="A20" s="49" t="s">
        <v>9</v>
      </c>
      <c r="B20" s="49" t="s">
        <v>5428</v>
      </c>
      <c r="C20" s="53">
        <f>IFERROR(AVERAGEIFS(all_runs!O:O,all_runs!C:C,"DictaBERT",all_runs!E:E,"SVM Router Fusion (Ready)",all_runs!I:I,"Label-aware greedy + Aug")-AVERAGEIFS(all_runs!O:O,all_runs!C:C,"DictaBERT",all_runs!E:E,"AUC Cascaded Step-3 Consistency (Ready)",all_runs!I:I,"Label-aware greedy + Aug"),"-")</f>
        <v>3.5473397508457238E-2</v>
      </c>
      <c r="D20" s="49" t="str">
        <f t="shared" si="4"/>
        <v>✓ p&lt;0.05</v>
      </c>
      <c r="E20" s="53">
        <f>IFERROR(AVERAGEIFS(all_runs!O:O,all_runs!C:C,"BEREL 3.0",all_runs!E:E,"SVM Router Fusion (Ready)",all_runs!I:I,"Label-aware greedy + Aug")-AVERAGEIFS(all_runs!O:O,all_runs!C:C,"BEREL 3.0",all_runs!E:E,"AUC Cascaded Step-3 Consistency (Ready)",all_runs!I:I,"Label-aware greedy + Aug"),"-")</f>
        <v>2.2717814324801022E-2</v>
      </c>
      <c r="F20" s="49" t="str">
        <f t="shared" si="5"/>
        <v>✓ p&lt;0.05</v>
      </c>
      <c r="G20" s="53">
        <f>IFERROR(AVERAGEIFS(all_runs!O:O,all_runs!C:C,"HeRo",all_runs!E:E,"SVM Router Fusion (Ready)",all_runs!I:I,"Label-aware greedy + Aug")-AVERAGEIFS(all_runs!O:O,all_runs!C:C,"HeRo",all_runs!E:E,"AUC Cascaded Step-3 Consistency (Ready)",all_runs!I:I,"Label-aware greedy + Aug"),"-")</f>
        <v>4.6462282884060624E-2</v>
      </c>
      <c r="H20" s="49" t="str">
        <f t="shared" si="6"/>
        <v>✓ p&lt;0.05</v>
      </c>
      <c r="I20" s="53">
        <f>IFERROR(AVERAGEIFS(all_runs!O:O,all_runs!C:C,"AlephBERT-Gimmel",all_runs!E:E,"SVM Router Fusion (Ready)",all_runs!I:I,"Label-aware greedy + Aug")-AVERAGEIFS(all_runs!O:O,all_runs!C:C,"AlephBERT-Gimmel",all_runs!E:E,"AUC Cascaded Step-3 Consistency (Ready)",all_runs!I:I,"Label-aware greedy + Aug"),"-")</f>
        <v>4.1552702438363842E-2</v>
      </c>
      <c r="J20" s="49" t="str">
        <f t="shared" si="7"/>
        <v>✓ p&lt;0.05</v>
      </c>
    </row>
    <row r="21" spans="1:10" x14ac:dyDescent="0.3">
      <c r="A21" s="49" t="s">
        <v>11</v>
      </c>
      <c r="B21" s="49" t="s">
        <v>5428</v>
      </c>
      <c r="C21" s="53">
        <f>IFERROR(AVERAGEIFS(all_runs!O:O,all_runs!C:C,"DictaBERT",all_runs!E:E,"SVM Router Fusion (Ready)",all_runs!I:I,"Multilabel stratified (paper-style) + Aug")-AVERAGEIFS(all_runs!O:O,all_runs!C:C,"DictaBERT",all_runs!E:E,"AUC Cascaded Step-3 Consistency (Ready)",all_runs!I:I,"Multilabel stratified (paper-style) + Aug"),"-")</f>
        <v>7.9012742453434814E-3</v>
      </c>
      <c r="D21" s="49" t="str">
        <f t="shared" si="4"/>
        <v>✗ NS</v>
      </c>
      <c r="E21" s="53">
        <f>IFERROR(AVERAGEIFS(all_runs!O:O,all_runs!C:C,"BEREL 3.0",all_runs!E:E,"SVM Router Fusion (Ready)",all_runs!I:I,"Multilabel stratified (paper-style) + Aug")-AVERAGEIFS(all_runs!O:O,all_runs!C:C,"BEREL 3.0",all_runs!E:E,"AUC Cascaded Step-3 Consistency (Ready)",all_runs!I:I,"Multilabel stratified (paper-style) + Aug"),"-")</f>
        <v>5.963793537494877E-3</v>
      </c>
      <c r="F21" s="49" t="str">
        <f t="shared" si="5"/>
        <v>✗ NS</v>
      </c>
      <c r="G21" s="53">
        <f>IFERROR(AVERAGEIFS(all_runs!O:O,all_runs!C:C,"HeRo",all_runs!E:E,"SVM Router Fusion (Ready)",all_runs!I:I,"Multilabel stratified (paper-style) + Aug")-AVERAGEIFS(all_runs!O:O,all_runs!C:C,"HeRo",all_runs!E:E,"AUC Cascaded Step-3 Consistency (Ready)",all_runs!I:I,"Multilabel stratified (paper-style) + Aug"),"-")</f>
        <v>1.5762263693018697E-2</v>
      </c>
      <c r="H21" s="49" t="str">
        <f t="shared" si="6"/>
        <v>✓ p&lt;0.05</v>
      </c>
      <c r="I21" s="53">
        <f>IFERROR(AVERAGEIFS(all_runs!O:O,all_runs!C:C,"AlephBERT-Gimmel",all_runs!E:E,"SVM Router Fusion (Ready)",all_runs!I:I,"Multilabel stratified (paper-style) + Aug")-AVERAGEIFS(all_runs!O:O,all_runs!C:C,"AlephBERT-Gimmel",all_runs!E:E,"AUC Cascaded Step-3 Consistency (Ready)",all_runs!I:I,"Multilabel stratified (paper-style) + Aug"),"-")</f>
        <v>7.6450031627838255E-3</v>
      </c>
      <c r="J21" s="49" t="str">
        <f t="shared" si="7"/>
        <v>✗ NS</v>
      </c>
    </row>
    <row r="24" spans="1:10" x14ac:dyDescent="0.3">
      <c r="A24" s="20" t="s">
        <v>5447</v>
      </c>
      <c r="B24" s="48"/>
      <c r="C24" s="51"/>
      <c r="D24" s="48"/>
      <c r="E24" s="51"/>
      <c r="F24" s="48"/>
      <c r="G24" s="51"/>
      <c r="H24" s="48"/>
      <c r="I24" s="51"/>
      <c r="J24" s="48"/>
    </row>
    <row r="25" spans="1:10" x14ac:dyDescent="0.3">
      <c r="A25" s="39" t="s">
        <v>5354</v>
      </c>
      <c r="B25" s="39" t="s">
        <v>5422</v>
      </c>
      <c r="C25" s="52" t="s">
        <v>5361</v>
      </c>
      <c r="D25" s="39" t="s">
        <v>5444</v>
      </c>
      <c r="E25" s="52" t="s">
        <v>5362</v>
      </c>
      <c r="F25" s="39" t="s">
        <v>5444</v>
      </c>
      <c r="G25" s="52" t="s">
        <v>5363</v>
      </c>
      <c r="H25" s="39" t="s">
        <v>5444</v>
      </c>
      <c r="I25" s="52" t="s">
        <v>5435</v>
      </c>
      <c r="J25" s="39" t="s">
        <v>5444</v>
      </c>
    </row>
    <row r="26" spans="1:10" x14ac:dyDescent="0.3">
      <c r="A26" t="s">
        <v>7</v>
      </c>
      <c r="B26" t="s">
        <v>5427</v>
      </c>
      <c r="C26" s="32">
        <f>IFERROR(AVERAGEIFS(all_runs!O:O,all_runs!C:C,"DictaBERT",all_runs!E:E,"SVM Router Fusion (Ready)",all_runs!I:I,"Baseline (simple random split)")-AVERAGEIFS(all_runs!O:O,all_runs!C:C,"DictaBERT",all_runs!E:E,"Fusion Regular+Cascaded (Ready)",all_runs!I:I,"Baseline (simple random split)"),"-")</f>
        <v>7.96239095076271E-2</v>
      </c>
      <c r="D26" t="str">
        <f t="shared" ref="D26:D31" si="8">IF(ABS(C26)&gt;0.015,"✓ p&lt;0.05","✗ NS")</f>
        <v>✓ p&lt;0.05</v>
      </c>
      <c r="E26" s="32">
        <f>IFERROR(AVERAGEIFS(all_runs!O:O,all_runs!C:C,"BEREL 3.0",all_runs!E:E,"SVM Router Fusion (Ready)",all_runs!I:I,"Baseline (simple random split)")-AVERAGEIFS(all_runs!O:O,all_runs!C:C,"BEREL 3.0",all_runs!E:E,"Fusion Regular+Cascaded (Ready)",all_runs!I:I,"Baseline (simple random split)"),"-")</f>
        <v>6.0974290006667098E-2</v>
      </c>
      <c r="F26" t="str">
        <f t="shared" ref="F26:F31" si="9">IF(ABS(E26)&gt;0.015,"✓ p&lt;0.05","✗ NS")</f>
        <v>✓ p&lt;0.05</v>
      </c>
      <c r="G26" s="32">
        <f>IFERROR(AVERAGEIFS(all_runs!O:O,all_runs!C:C,"HeRo",all_runs!E:E,"SVM Router Fusion (Ready)",all_runs!I:I,"Baseline (simple random split)")-AVERAGEIFS(all_runs!O:O,all_runs!C:C,"HeRo",all_runs!E:E,"Fusion Regular+Cascaded (Ready)",all_runs!I:I,"Baseline (simple random split)"),"-")</f>
        <v>4.1924358083288649E-2</v>
      </c>
      <c r="H26" t="str">
        <f t="shared" ref="H26:H31" si="10">IF(ABS(G26)&gt;0.015,"✓ p&lt;0.05","✗ NS")</f>
        <v>✓ p&lt;0.05</v>
      </c>
      <c r="I26" s="32">
        <f>IFERROR(AVERAGEIFS(all_runs!O:O,all_runs!C:C,"AlephBERT-Gimmel",all_runs!E:E,"SVM Router Fusion (Ready)",all_runs!I:I,"Baseline (simple random split)")-AVERAGEIFS(all_runs!O:O,all_runs!C:C,"AlephBERT-Gimmel",all_runs!E:E,"Fusion Regular+Cascaded (Ready)",all_runs!I:I,"Baseline (simple random split)"),"-")</f>
        <v>4.7403038815003407E-2</v>
      </c>
      <c r="J26" t="str">
        <f t="shared" ref="J26:J31" si="11">IF(ABS(I26)&gt;0.015,"✓ p&lt;0.05","✗ NS")</f>
        <v>✓ p&lt;0.05</v>
      </c>
    </row>
    <row r="27" spans="1:10" x14ac:dyDescent="0.3">
      <c r="A27" t="s">
        <v>3</v>
      </c>
      <c r="B27" t="s">
        <v>5427</v>
      </c>
      <c r="C27" s="32">
        <f>IFERROR(AVERAGEIFS(all_runs!O:O,all_runs!C:C,"DictaBERT",all_runs!E:E,"SVM Router Fusion (Ready)",all_runs!I:I,"Label-aware greedy")-AVERAGEIFS(all_runs!O:O,all_runs!C:C,"DictaBERT",all_runs!E:E,"Fusion Regular+Cascaded (Ready)",all_runs!I:I,"Label-aware greedy"),"-")</f>
        <v>7.3138013431912063E-2</v>
      </c>
      <c r="D27" t="str">
        <f t="shared" si="8"/>
        <v>✓ p&lt;0.05</v>
      </c>
      <c r="E27" s="32">
        <f>IFERROR(AVERAGEIFS(all_runs!O:O,all_runs!C:C,"BEREL 3.0",all_runs!E:E,"SVM Router Fusion (Ready)",all_runs!I:I,"Label-aware greedy")-AVERAGEIFS(all_runs!O:O,all_runs!C:C,"BEREL 3.0",all_runs!E:E,"Fusion Regular+Cascaded (Ready)",all_runs!I:I,"Label-aware greedy"),"-")</f>
        <v>7.4722994596345793E-2</v>
      </c>
      <c r="F27" t="str">
        <f t="shared" si="9"/>
        <v>✓ p&lt;0.05</v>
      </c>
      <c r="G27" s="32">
        <f>IFERROR(AVERAGEIFS(all_runs!O:O,all_runs!C:C,"HeRo",all_runs!E:E,"SVM Router Fusion (Ready)",all_runs!I:I,"Label-aware greedy")-AVERAGEIFS(all_runs!O:O,all_runs!C:C,"HeRo",all_runs!E:E,"Fusion Regular+Cascaded (Ready)",all_runs!I:I,"Label-aware greedy"),"-")</f>
        <v>4.1022750151186393E-2</v>
      </c>
      <c r="H27" t="str">
        <f t="shared" si="10"/>
        <v>✓ p&lt;0.05</v>
      </c>
      <c r="I27" s="32">
        <f>IFERROR(AVERAGEIFS(all_runs!O:O,all_runs!C:C,"AlephBERT-Gimmel",all_runs!E:E,"SVM Router Fusion (Ready)",all_runs!I:I,"Label-aware greedy")-AVERAGEIFS(all_runs!O:O,all_runs!C:C,"AlephBERT-Gimmel",all_runs!E:E,"Fusion Regular+Cascaded (Ready)",all_runs!I:I,"Label-aware greedy"),"-")</f>
        <v>5.2870376752333081E-2</v>
      </c>
      <c r="J27" t="str">
        <f t="shared" si="11"/>
        <v>✓ p&lt;0.05</v>
      </c>
    </row>
    <row r="28" spans="1:10" x14ac:dyDescent="0.3">
      <c r="A28" t="s">
        <v>5</v>
      </c>
      <c r="B28" t="s">
        <v>5427</v>
      </c>
      <c r="C28" s="32">
        <f>IFERROR(AVERAGEIFS(all_runs!O:O,all_runs!C:C,"DictaBERT",all_runs!E:E,"SVM Router Fusion (Ready)",all_runs!I:I,"Multilabel stratified (paper-style)")-AVERAGEIFS(all_runs!O:O,all_runs!C:C,"DictaBERT",all_runs!E:E,"Fusion Regular+Cascaded (Ready)",all_runs!I:I,"Multilabel stratified (paper-style)"),"-")</f>
        <v>6.1767152290770122E-2</v>
      </c>
      <c r="D28" t="str">
        <f t="shared" si="8"/>
        <v>✓ p&lt;0.05</v>
      </c>
      <c r="E28" s="32">
        <f>IFERROR(AVERAGEIFS(all_runs!O:O,all_runs!C:C,"BEREL 3.0",all_runs!E:E,"SVM Router Fusion (Ready)",all_runs!I:I,"Multilabel stratified (paper-style)")-AVERAGEIFS(all_runs!O:O,all_runs!C:C,"BEREL 3.0",all_runs!E:E,"Fusion Regular+Cascaded (Ready)",all_runs!I:I,"Multilabel stratified (paper-style)"),"-")</f>
        <v>5.6517888313646902E-2</v>
      </c>
      <c r="F28" t="str">
        <f t="shared" si="9"/>
        <v>✓ p&lt;0.05</v>
      </c>
      <c r="G28" s="32">
        <f>IFERROR(AVERAGEIFS(all_runs!O:O,all_runs!C:C,"HeRo",all_runs!E:E,"SVM Router Fusion (Ready)",all_runs!I:I,"Multilabel stratified (paper-style)")-AVERAGEIFS(all_runs!O:O,all_runs!C:C,"HeRo",all_runs!E:E,"Fusion Regular+Cascaded (Ready)",all_runs!I:I,"Multilabel stratified (paper-style)"),"-")</f>
        <v>2.8025738802858524E-2</v>
      </c>
      <c r="H28" t="str">
        <f t="shared" si="10"/>
        <v>✓ p&lt;0.05</v>
      </c>
      <c r="I28" s="32">
        <f>IFERROR(AVERAGEIFS(all_runs!O:O,all_runs!C:C,"AlephBERT-Gimmel",all_runs!E:E,"SVM Router Fusion (Ready)",all_runs!I:I,"Multilabel stratified (paper-style)")-AVERAGEIFS(all_runs!O:O,all_runs!C:C,"AlephBERT-Gimmel",all_runs!E:E,"Fusion Regular+Cascaded (Ready)",all_runs!I:I,"Multilabel stratified (paper-style)"),"-")</f>
        <v>6.4267484564908162E-2</v>
      </c>
      <c r="J28" t="str">
        <f t="shared" si="11"/>
        <v>✓ p&lt;0.05</v>
      </c>
    </row>
    <row r="29" spans="1:10" x14ac:dyDescent="0.3">
      <c r="A29" s="49" t="s">
        <v>13</v>
      </c>
      <c r="B29" s="49" t="s">
        <v>5428</v>
      </c>
      <c r="C29" s="53">
        <f>IFERROR(AVERAGEIFS(all_runs!O:O,all_runs!C:C,"DictaBERT",all_runs!E:E,"SVM Router Fusion (Ready)",all_runs!I:I,"Baseline (simple random split) + Aug")-AVERAGEIFS(all_runs!O:O,all_runs!C:C,"DictaBERT",all_runs!E:E,"Fusion Regular+Cascaded (Ready)",all_runs!I:I,"Baseline (simple random split) + Aug"),"-")</f>
        <v>2.5143920656818808E-2</v>
      </c>
      <c r="D29" s="49" t="str">
        <f t="shared" si="8"/>
        <v>✓ p&lt;0.05</v>
      </c>
      <c r="E29" s="53">
        <f>IFERROR(AVERAGEIFS(all_runs!O:O,all_runs!C:C,"BEREL 3.0",all_runs!E:E,"SVM Router Fusion (Ready)",all_runs!I:I,"Baseline (simple random split) + Aug")-AVERAGEIFS(all_runs!O:O,all_runs!C:C,"BEREL 3.0",all_runs!E:E,"Fusion Regular+Cascaded (Ready)",all_runs!I:I,"Baseline (simple random split) + Aug"),"-")</f>
        <v>2.1830469318392276E-2</v>
      </c>
      <c r="F29" s="49" t="str">
        <f t="shared" si="9"/>
        <v>✓ p&lt;0.05</v>
      </c>
      <c r="G29" s="53">
        <f>IFERROR(AVERAGEIFS(all_runs!O:O,all_runs!C:C,"HeRo",all_runs!E:E,"SVM Router Fusion (Ready)",all_runs!I:I,"Baseline (simple random split) + Aug")-AVERAGEIFS(all_runs!O:O,all_runs!C:C,"HeRo",all_runs!E:E,"Fusion Regular+Cascaded (Ready)",all_runs!I:I,"Baseline (simple random split) + Aug"),"-")</f>
        <v>4.0104377504513011E-2</v>
      </c>
      <c r="H29" s="49" t="str">
        <f t="shared" si="10"/>
        <v>✓ p&lt;0.05</v>
      </c>
      <c r="I29" s="53">
        <f>IFERROR(AVERAGEIFS(all_runs!O:O,all_runs!C:C,"AlephBERT-Gimmel",all_runs!E:E,"SVM Router Fusion (Ready)",all_runs!I:I,"Baseline (simple random split) + Aug")-AVERAGEIFS(all_runs!O:O,all_runs!C:C,"AlephBERT-Gimmel",all_runs!E:E,"Fusion Regular+Cascaded (Ready)",all_runs!I:I,"Baseline (simple random split) + Aug"),"-")</f>
        <v>2.4649191494647171E-2</v>
      </c>
      <c r="J29" s="49" t="str">
        <f t="shared" si="11"/>
        <v>✓ p&lt;0.05</v>
      </c>
    </row>
    <row r="30" spans="1:10" x14ac:dyDescent="0.3">
      <c r="A30" s="49" t="s">
        <v>9</v>
      </c>
      <c r="B30" s="49" t="s">
        <v>5428</v>
      </c>
      <c r="C30" s="53">
        <f>IFERROR(AVERAGEIFS(all_runs!O:O,all_runs!C:C,"DictaBERT",all_runs!E:E,"SVM Router Fusion (Ready)",all_runs!I:I,"Label-aware greedy + Aug")-AVERAGEIFS(all_runs!O:O,all_runs!C:C,"DictaBERT",all_runs!E:E,"Fusion Regular+Cascaded (Ready)",all_runs!I:I,"Label-aware greedy + Aug"),"-")</f>
        <v>3.3734847979426497E-2</v>
      </c>
      <c r="D30" s="49" t="str">
        <f t="shared" si="8"/>
        <v>✓ p&lt;0.05</v>
      </c>
      <c r="E30" s="53">
        <f>IFERROR(AVERAGEIFS(all_runs!O:O,all_runs!C:C,"BEREL 3.0",all_runs!E:E,"SVM Router Fusion (Ready)",all_runs!I:I,"Label-aware greedy + Aug")-AVERAGEIFS(all_runs!O:O,all_runs!C:C,"BEREL 3.0",all_runs!E:E,"Fusion Regular+Cascaded (Ready)",all_runs!I:I,"Label-aware greedy + Aug"),"-")</f>
        <v>2.1482187009159825E-2</v>
      </c>
      <c r="F30" s="49" t="str">
        <f t="shared" si="9"/>
        <v>✓ p&lt;0.05</v>
      </c>
      <c r="G30" s="53">
        <f>IFERROR(AVERAGEIFS(all_runs!O:O,all_runs!C:C,"HeRo",all_runs!E:E,"SVM Router Fusion (Ready)",all_runs!I:I,"Label-aware greedy + Aug")-AVERAGEIFS(all_runs!O:O,all_runs!C:C,"HeRo",all_runs!E:E,"Fusion Regular+Cascaded (Ready)",all_runs!I:I,"Label-aware greedy + Aug"),"-")</f>
        <v>4.4010697635518903E-2</v>
      </c>
      <c r="H30" s="49" t="str">
        <f t="shared" si="10"/>
        <v>✓ p&lt;0.05</v>
      </c>
      <c r="I30" s="53">
        <f>IFERROR(AVERAGEIFS(all_runs!O:O,all_runs!C:C,"AlephBERT-Gimmel",all_runs!E:E,"SVM Router Fusion (Ready)",all_runs!I:I,"Label-aware greedy + Aug")-AVERAGEIFS(all_runs!O:O,all_runs!C:C,"AlephBERT-Gimmel",all_runs!E:E,"Fusion Regular+Cascaded (Ready)",all_runs!I:I,"Label-aware greedy + Aug"),"-")</f>
        <v>2.5629798893104683E-2</v>
      </c>
      <c r="J30" s="49" t="str">
        <f t="shared" si="11"/>
        <v>✓ p&lt;0.05</v>
      </c>
    </row>
    <row r="31" spans="1:10" x14ac:dyDescent="0.3">
      <c r="A31" s="49" t="s">
        <v>11</v>
      </c>
      <c r="B31" s="49" t="s">
        <v>5428</v>
      </c>
      <c r="C31" s="53">
        <f>IFERROR(AVERAGEIFS(all_runs!O:O,all_runs!C:C,"DictaBERT",all_runs!E:E,"SVM Router Fusion (Ready)",all_runs!I:I,"Multilabel stratified (paper-style) + Aug")-AVERAGEIFS(all_runs!O:O,all_runs!C:C,"DictaBERT",all_runs!E:E,"Fusion Regular+Cascaded (Ready)",all_runs!I:I,"Multilabel stratified (paper-style) + Aug"),"-")</f>
        <v>2.1527208439447221E-2</v>
      </c>
      <c r="D31" s="49" t="str">
        <f t="shared" si="8"/>
        <v>✓ p&lt;0.05</v>
      </c>
      <c r="E31" s="53">
        <f>IFERROR(AVERAGEIFS(all_runs!O:O,all_runs!C:C,"BEREL 3.0",all_runs!E:E,"SVM Router Fusion (Ready)",all_runs!I:I,"Multilabel stratified (paper-style) + Aug")-AVERAGEIFS(all_runs!O:O,all_runs!C:C,"BEREL 3.0",all_runs!E:E,"Fusion Regular+Cascaded (Ready)",all_runs!I:I,"Multilabel stratified (paper-style) + Aug"),"-")</f>
        <v>3.9893800550566683E-3</v>
      </c>
      <c r="F31" s="49" t="str">
        <f t="shared" si="9"/>
        <v>✗ NS</v>
      </c>
      <c r="G31" s="53">
        <f>IFERROR(AVERAGEIFS(all_runs!O:O,all_runs!C:C,"HeRo",all_runs!E:E,"SVM Router Fusion (Ready)",all_runs!I:I,"Multilabel stratified (paper-style) + Aug")-AVERAGEIFS(all_runs!O:O,all_runs!C:C,"HeRo",all_runs!E:E,"Fusion Regular+Cascaded (Ready)",all_runs!I:I,"Multilabel stratified (paper-style) + Aug"),"-")</f>
        <v>1.8010654962775652E-2</v>
      </c>
      <c r="H31" s="49" t="str">
        <f t="shared" si="10"/>
        <v>✓ p&lt;0.05</v>
      </c>
      <c r="I31" s="53">
        <f>IFERROR(AVERAGEIFS(all_runs!O:O,all_runs!C:C,"AlephBERT-Gimmel",all_runs!E:E,"SVM Router Fusion (Ready)",all_runs!I:I,"Multilabel stratified (paper-style) + Aug")-AVERAGEIFS(all_runs!O:O,all_runs!C:C,"AlephBERT-Gimmel",all_runs!E:E,"Fusion Regular+Cascaded (Ready)",all_runs!I:I,"Multilabel stratified (paper-style) + Aug"),"-")</f>
        <v>1.4567411967066235E-2</v>
      </c>
      <c r="J31" s="49" t="str">
        <f t="shared" si="11"/>
        <v>✗ NS</v>
      </c>
    </row>
    <row r="34" spans="1:10" x14ac:dyDescent="0.3">
      <c r="A34" s="20" t="s">
        <v>5448</v>
      </c>
      <c r="B34" s="48"/>
      <c r="C34" s="51"/>
      <c r="D34" s="48"/>
      <c r="E34" s="51"/>
      <c r="F34" s="48"/>
      <c r="G34" s="51"/>
      <c r="H34" s="48"/>
      <c r="I34" s="51"/>
      <c r="J34" s="48"/>
    </row>
    <row r="35" spans="1:10" x14ac:dyDescent="0.3">
      <c r="A35" s="39" t="s">
        <v>5354</v>
      </c>
      <c r="B35" s="39" t="s">
        <v>5422</v>
      </c>
      <c r="C35" s="52" t="s">
        <v>5361</v>
      </c>
      <c r="D35" s="39" t="s">
        <v>5444</v>
      </c>
      <c r="E35" s="52" t="s">
        <v>5362</v>
      </c>
      <c r="F35" s="39" t="s">
        <v>5444</v>
      </c>
      <c r="G35" s="52" t="s">
        <v>5363</v>
      </c>
      <c r="H35" s="39" t="s">
        <v>5444</v>
      </c>
      <c r="I35" s="52" t="s">
        <v>5435</v>
      </c>
      <c r="J35" s="39" t="s">
        <v>5444</v>
      </c>
    </row>
    <row r="36" spans="1:10" x14ac:dyDescent="0.3">
      <c r="A36" t="s">
        <v>7</v>
      </c>
      <c r="B36" t="s">
        <v>5427</v>
      </c>
      <c r="C36" s="32">
        <f>IFERROR(AVERAGEIFS(all_runs!O:O,all_runs!C:C,"DictaBERT",all_runs!E:E,"AUC Cascaded Step-3 Consistency (Ready)",all_runs!I:I,"Baseline (simple random split)")-AVERAGEIFS(all_runs!O:O,all_runs!C:C,"DictaBERT",all_runs!E:E,"Regular NER",all_runs!I:I,"Baseline (simple random split)"),"-")</f>
        <v>6.5626664649229061E-2</v>
      </c>
      <c r="D36" t="str">
        <f t="shared" ref="D36:D41" si="12">IF(ABS(C36)&gt;0.015,"✓ p&lt;0.05","✗ NS")</f>
        <v>✓ p&lt;0.05</v>
      </c>
      <c r="E36" s="32">
        <f>IFERROR(AVERAGEIFS(all_runs!O:O,all_runs!C:C,"BEREL 3.0",all_runs!E:E,"AUC Cascaded Step-3 Consistency (Ready)",all_runs!I:I,"Baseline (simple random split)")-AVERAGEIFS(all_runs!O:O,all_runs!C:C,"BEREL 3.0",all_runs!E:E,"Regular NER",all_runs!I:I,"Baseline (simple random split)"),"-")</f>
        <v>-6.9971159065262412E-2</v>
      </c>
      <c r="F36" t="str">
        <f t="shared" ref="F36:F41" si="13">IF(ABS(E36)&gt;0.015,"✓ p&lt;0.05","✗ NS")</f>
        <v>✓ p&lt;0.05</v>
      </c>
      <c r="G36" s="32">
        <f>IFERROR(AVERAGEIFS(all_runs!O:O,all_runs!C:C,"HeRo",all_runs!E:E,"AUC Cascaded Step-3 Consistency (Ready)",all_runs!I:I,"Baseline (simple random split)")-AVERAGEIFS(all_runs!O:O,all_runs!C:C,"HeRo",all_runs!E:E,"Regular NER",all_runs!I:I,"Baseline (simple random split)"),"-")</f>
        <v>-5.7998401229607532E-3</v>
      </c>
      <c r="H36" t="str">
        <f t="shared" ref="H36:H41" si="14">IF(ABS(G36)&gt;0.015,"✓ p&lt;0.05","✗ NS")</f>
        <v>✗ NS</v>
      </c>
      <c r="I36" s="32">
        <f>IFERROR(AVERAGEIFS(all_runs!O:O,all_runs!C:C,"AlephBERT-Gimmel",all_runs!E:E,"AUC Cascaded Step-3 Consistency (Ready)",all_runs!I:I,"Baseline (simple random split)")-AVERAGEIFS(all_runs!O:O,all_runs!C:C,"AlephBERT-Gimmel",all_runs!E:E,"Regular NER",all_runs!I:I,"Baseline (simple random split)"),"-")</f>
        <v>2.5443350479704141E-2</v>
      </c>
      <c r="J36" t="str">
        <f t="shared" ref="J36:J41" si="15">IF(ABS(I36)&gt;0.015,"✓ p&lt;0.05","✗ NS")</f>
        <v>✓ p&lt;0.05</v>
      </c>
    </row>
    <row r="37" spans="1:10" x14ac:dyDescent="0.3">
      <c r="A37" t="s">
        <v>3</v>
      </c>
      <c r="B37" t="s">
        <v>5427</v>
      </c>
      <c r="C37" s="32">
        <f>IFERROR(AVERAGEIFS(all_runs!O:O,all_runs!C:C,"DictaBERT",all_runs!E:E,"AUC Cascaded Step-3 Consistency (Ready)",all_runs!I:I,"Label-aware greedy")-AVERAGEIFS(all_runs!O:O,all_runs!C:C,"DictaBERT",all_runs!E:E,"Regular NER",all_runs!I:I,"Label-aware greedy"),"-")</f>
        <v>-1.9659446537518055E-2</v>
      </c>
      <c r="D37" t="str">
        <f t="shared" si="12"/>
        <v>✓ p&lt;0.05</v>
      </c>
      <c r="E37" s="32">
        <f>IFERROR(AVERAGEIFS(all_runs!O:O,all_runs!C:C,"BEREL 3.0",all_runs!E:E,"AUC Cascaded Step-3 Consistency (Ready)",all_runs!I:I,"Label-aware greedy")-AVERAGEIFS(all_runs!O:O,all_runs!C:C,"BEREL 3.0",all_runs!E:E,"Regular NER",all_runs!I:I,"Label-aware greedy"),"-")</f>
        <v>-5.5198107621168058E-2</v>
      </c>
      <c r="F37" t="str">
        <f t="shared" si="13"/>
        <v>✓ p&lt;0.05</v>
      </c>
      <c r="G37" s="32">
        <f>IFERROR(AVERAGEIFS(all_runs!O:O,all_runs!C:C,"HeRo",all_runs!E:E,"AUC Cascaded Step-3 Consistency (Ready)",all_runs!I:I,"Label-aware greedy")-AVERAGEIFS(all_runs!O:O,all_runs!C:C,"HeRo",all_runs!E:E,"Regular NER",all_runs!I:I,"Label-aware greedy"),"-")</f>
        <v>5.4352880241695933E-3</v>
      </c>
      <c r="H37" t="str">
        <f t="shared" si="14"/>
        <v>✗ NS</v>
      </c>
      <c r="I37" s="32">
        <f>IFERROR(AVERAGEIFS(all_runs!O:O,all_runs!C:C,"AlephBERT-Gimmel",all_runs!E:E,"AUC Cascaded Step-3 Consistency (Ready)",all_runs!I:I,"Label-aware greedy")-AVERAGEIFS(all_runs!O:O,all_runs!C:C,"AlephBERT-Gimmel",all_runs!E:E,"Regular NER",all_runs!I:I,"Label-aware greedy"),"-")</f>
        <v>6.5620380727647531E-2</v>
      </c>
      <c r="J37" t="str">
        <f t="shared" si="15"/>
        <v>✓ p&lt;0.05</v>
      </c>
    </row>
    <row r="38" spans="1:10" x14ac:dyDescent="0.3">
      <c r="A38" t="s">
        <v>5</v>
      </c>
      <c r="B38" t="s">
        <v>5427</v>
      </c>
      <c r="C38" s="32">
        <f>IFERROR(AVERAGEIFS(all_runs!O:O,all_runs!C:C,"DictaBERT",all_runs!E:E,"AUC Cascaded Step-3 Consistency (Ready)",all_runs!I:I,"Multilabel stratified (paper-style)")-AVERAGEIFS(all_runs!O:O,all_runs!C:C,"DictaBERT",all_runs!E:E,"Regular NER",all_runs!I:I,"Multilabel stratified (paper-style)"),"-")</f>
        <v>2.5964026790211592E-2</v>
      </c>
      <c r="D38" t="str">
        <f t="shared" si="12"/>
        <v>✓ p&lt;0.05</v>
      </c>
      <c r="E38" s="32">
        <f>IFERROR(AVERAGEIFS(all_runs!O:O,all_runs!C:C,"BEREL 3.0",all_runs!E:E,"AUC Cascaded Step-3 Consistency (Ready)",all_runs!I:I,"Multilabel stratified (paper-style)")-AVERAGEIFS(all_runs!O:O,all_runs!C:C,"BEREL 3.0",all_runs!E:E,"Regular NER",all_runs!I:I,"Multilabel stratified (paper-style)"),"-")</f>
        <v>-9.1542971516711424E-2</v>
      </c>
      <c r="F38" t="str">
        <f t="shared" si="13"/>
        <v>✓ p&lt;0.05</v>
      </c>
      <c r="G38" s="32">
        <f>IFERROR(AVERAGEIFS(all_runs!O:O,all_runs!C:C,"HeRo",all_runs!E:E,"AUC Cascaded Step-3 Consistency (Ready)",all_runs!I:I,"Multilabel stratified (paper-style)")-AVERAGEIFS(all_runs!O:O,all_runs!C:C,"HeRo",all_runs!E:E,"Regular NER",all_runs!I:I,"Multilabel stratified (paper-style)"),"-")</f>
        <v>-1.9002640014996075E-2</v>
      </c>
      <c r="H38" t="str">
        <f t="shared" si="14"/>
        <v>✓ p&lt;0.05</v>
      </c>
      <c r="I38" s="32">
        <f>IFERROR(AVERAGEIFS(all_runs!O:O,all_runs!C:C,"AlephBERT-Gimmel",all_runs!E:E,"AUC Cascaded Step-3 Consistency (Ready)",all_runs!I:I,"Multilabel stratified (paper-style)")-AVERAGEIFS(all_runs!O:O,all_runs!C:C,"AlephBERT-Gimmel",all_runs!E:E,"Regular NER",all_runs!I:I,"Multilabel stratified (paper-style)"),"-")</f>
        <v>0.10083741931681167</v>
      </c>
      <c r="J38" t="str">
        <f t="shared" si="15"/>
        <v>✓ p&lt;0.05</v>
      </c>
    </row>
    <row r="39" spans="1:10" x14ac:dyDescent="0.3">
      <c r="A39" s="49" t="s">
        <v>13</v>
      </c>
      <c r="B39" s="49" t="s">
        <v>5428</v>
      </c>
      <c r="C39" s="53">
        <f>IFERROR(AVERAGEIFS(all_runs!O:O,all_runs!C:C,"DictaBERT",all_runs!E:E,"AUC Cascaded Step-3 Consistency (Ready)",all_runs!I:I,"Baseline (simple random split) + Aug")-AVERAGEIFS(all_runs!O:O,all_runs!C:C,"DictaBERT",all_runs!E:E,"Regular NER",all_runs!I:I,"Baseline (simple random split) + Aug"),"-")</f>
        <v>9.411576396793131E-3</v>
      </c>
      <c r="D39" s="49" t="str">
        <f t="shared" si="12"/>
        <v>✗ NS</v>
      </c>
      <c r="E39" s="53">
        <f>IFERROR(AVERAGEIFS(all_runs!O:O,all_runs!C:C,"BEREL 3.0",all_runs!E:E,"AUC Cascaded Step-3 Consistency (Ready)",all_runs!I:I,"Baseline (simple random split) + Aug")-AVERAGEIFS(all_runs!O:O,all_runs!C:C,"BEREL 3.0",all_runs!E:E,"Regular NER",all_runs!I:I,"Baseline (simple random split) + Aug"),"-")</f>
        <v>2.1281520182899749E-3</v>
      </c>
      <c r="F39" s="49" t="str">
        <f t="shared" si="13"/>
        <v>✗ NS</v>
      </c>
      <c r="G39" s="53">
        <f>IFERROR(AVERAGEIFS(all_runs!O:O,all_runs!C:C,"HeRo",all_runs!E:E,"AUC Cascaded Step-3 Consistency (Ready)",all_runs!I:I,"Baseline (simple random split) + Aug")-AVERAGEIFS(all_runs!O:O,all_runs!C:C,"HeRo",all_runs!E:E,"Regular NER",all_runs!I:I,"Baseline (simple random split) + Aug"),"-")</f>
        <v>4.1659683896446698E-3</v>
      </c>
      <c r="H39" s="49" t="str">
        <f t="shared" si="14"/>
        <v>✗ NS</v>
      </c>
      <c r="I39" s="53">
        <f>IFERROR(AVERAGEIFS(all_runs!O:O,all_runs!C:C,"AlephBERT-Gimmel",all_runs!E:E,"AUC Cascaded Step-3 Consistency (Ready)",all_runs!I:I,"Baseline (simple random split) + Aug")-AVERAGEIFS(all_runs!O:O,all_runs!C:C,"AlephBERT-Gimmel",all_runs!E:E,"Regular NER",all_runs!I:I,"Baseline (simple random split) + Aug"),"-")</f>
        <v>2.805547918768303E-3</v>
      </c>
      <c r="J39" s="49" t="str">
        <f t="shared" si="15"/>
        <v>✗ NS</v>
      </c>
    </row>
    <row r="40" spans="1:10" x14ac:dyDescent="0.3">
      <c r="A40" s="49" t="s">
        <v>9</v>
      </c>
      <c r="B40" s="49" t="s">
        <v>5428</v>
      </c>
      <c r="C40" s="53">
        <f>IFERROR(AVERAGEIFS(all_runs!O:O,all_runs!C:C,"DictaBERT",all_runs!E:E,"AUC Cascaded Step-3 Consistency (Ready)",all_runs!I:I,"Label-aware greedy + Aug")-AVERAGEIFS(all_runs!O:O,all_runs!C:C,"DictaBERT",all_runs!E:E,"Regular NER",all_runs!I:I,"Label-aware greedy + Aug"),"-")</f>
        <v>3.5626689602850092E-3</v>
      </c>
      <c r="D40" s="49" t="str">
        <f t="shared" si="12"/>
        <v>✗ NS</v>
      </c>
      <c r="E40" s="53">
        <f>IFERROR(AVERAGEIFS(all_runs!O:O,all_runs!C:C,"BEREL 3.0",all_runs!E:E,"AUC Cascaded Step-3 Consistency (Ready)",all_runs!I:I,"Label-aware greedy + Aug")-AVERAGEIFS(all_runs!O:O,all_runs!C:C,"BEREL 3.0",all_runs!E:E,"Regular NER",all_runs!I:I,"Label-aware greedy + Aug"),"-")</f>
        <v>-2.7131408738070295E-3</v>
      </c>
      <c r="F40" s="49" t="str">
        <f t="shared" si="13"/>
        <v>✗ NS</v>
      </c>
      <c r="G40" s="53">
        <f>IFERROR(AVERAGEIFS(all_runs!O:O,all_runs!C:C,"HeRo",all_runs!E:E,"AUC Cascaded Step-3 Consistency (Ready)",all_runs!I:I,"Label-aware greedy + Aug")-AVERAGEIFS(all_runs!O:O,all_runs!C:C,"HeRo",all_runs!E:E,"Regular NER",all_runs!I:I,"Label-aware greedy + Aug"),"-")</f>
        <v>-1.2211322025979299E-2</v>
      </c>
      <c r="H40" s="49" t="str">
        <f t="shared" si="14"/>
        <v>✗ NS</v>
      </c>
      <c r="I40" s="53">
        <f>IFERROR(AVERAGEIFS(all_runs!O:O,all_runs!C:C,"AlephBERT-Gimmel",all_runs!E:E,"AUC Cascaded Step-3 Consistency (Ready)",all_runs!I:I,"Label-aware greedy + Aug")-AVERAGEIFS(all_runs!O:O,all_runs!C:C,"AlephBERT-Gimmel",all_runs!E:E,"Regular NER",all_runs!I:I,"Label-aware greedy + Aug"),"-")</f>
        <v>-1.378400368517152E-2</v>
      </c>
      <c r="J40" s="49" t="str">
        <f t="shared" si="15"/>
        <v>✗ NS</v>
      </c>
    </row>
    <row r="41" spans="1:10" x14ac:dyDescent="0.3">
      <c r="A41" s="49" t="s">
        <v>11</v>
      </c>
      <c r="B41" s="49" t="s">
        <v>5428</v>
      </c>
      <c r="C41" s="53">
        <f>IFERROR(AVERAGEIFS(all_runs!O:O,all_runs!C:C,"DictaBERT",all_runs!E:E,"AUC Cascaded Step-3 Consistency (Ready)",all_runs!I:I,"Multilabel stratified (paper-style) + Aug")-AVERAGEIFS(all_runs!O:O,all_runs!C:C,"DictaBERT",all_runs!E:E,"Regular NER",all_runs!I:I,"Multilabel stratified (paper-style) + Aug"),"-")</f>
        <v>1.9434113001676301E-2</v>
      </c>
      <c r="D41" s="49" t="str">
        <f t="shared" si="12"/>
        <v>✓ p&lt;0.05</v>
      </c>
      <c r="E41" s="53">
        <f>IFERROR(AVERAGEIFS(all_runs!O:O,all_runs!C:C,"BEREL 3.0",all_runs!E:E,"AUC Cascaded Step-3 Consistency (Ready)",all_runs!I:I,"Multilabel stratified (paper-style) + Aug")-AVERAGEIFS(all_runs!O:O,all_runs!C:C,"BEREL 3.0",all_runs!E:E,"Regular NER",all_runs!I:I,"Multilabel stratified (paper-style) + Aug"),"-")</f>
        <v>-8.020881896111387E-4</v>
      </c>
      <c r="F41" s="49" t="str">
        <f t="shared" si="13"/>
        <v>✗ NS</v>
      </c>
      <c r="G41" s="53">
        <f>IFERROR(AVERAGEIFS(all_runs!O:O,all_runs!C:C,"HeRo",all_runs!E:E,"AUC Cascaded Step-3 Consistency (Ready)",all_runs!I:I,"Multilabel stratified (paper-style) + Aug")-AVERAGEIFS(all_runs!O:O,all_runs!C:C,"HeRo",all_runs!E:E,"Regular NER",all_runs!I:I,"Multilabel stratified (paper-style) + Aug"),"-")</f>
        <v>4.1448425385407495E-3</v>
      </c>
      <c r="H41" s="49" t="str">
        <f t="shared" si="14"/>
        <v>✗ NS</v>
      </c>
      <c r="I41" s="53">
        <f>IFERROR(AVERAGEIFS(all_runs!O:O,all_runs!C:C,"AlephBERT-Gimmel",all_runs!E:E,"AUC Cascaded Step-3 Consistency (Ready)",all_runs!I:I,"Multilabel stratified (paper-style) + Aug")-AVERAGEIFS(all_runs!O:O,all_runs!C:C,"AlephBERT-Gimmel",all_runs!E:E,"Regular NER",all_runs!I:I,"Multilabel stratified (paper-style) + Aug"),"-")</f>
        <v>5.3351146814933914E-3</v>
      </c>
      <c r="J41" s="49" t="str">
        <f t="shared" si="15"/>
        <v>✗ NS</v>
      </c>
    </row>
    <row r="44" spans="1:10" x14ac:dyDescent="0.3">
      <c r="A44" s="20" t="s">
        <v>5449</v>
      </c>
      <c r="B44" s="48"/>
      <c r="C44" s="51"/>
      <c r="D44" s="48"/>
      <c r="E44" s="51"/>
      <c r="F44" s="48"/>
      <c r="G44" s="51"/>
      <c r="H44" s="48"/>
      <c r="I44" s="51"/>
      <c r="J44" s="48"/>
    </row>
    <row r="45" spans="1:10" x14ac:dyDescent="0.3">
      <c r="A45" s="39" t="s">
        <v>5354</v>
      </c>
      <c r="B45" s="39" t="s">
        <v>5422</v>
      </c>
      <c r="C45" s="52" t="s">
        <v>5361</v>
      </c>
      <c r="D45" s="39" t="s">
        <v>5444</v>
      </c>
      <c r="E45" s="52" t="s">
        <v>5362</v>
      </c>
      <c r="F45" s="39" t="s">
        <v>5444</v>
      </c>
      <c r="G45" s="52" t="s">
        <v>5363</v>
      </c>
      <c r="H45" s="39" t="s">
        <v>5444</v>
      </c>
      <c r="I45" s="52" t="s">
        <v>5435</v>
      </c>
      <c r="J45" s="39" t="s">
        <v>5444</v>
      </c>
    </row>
    <row r="46" spans="1:10" x14ac:dyDescent="0.3">
      <c r="A46" t="s">
        <v>7</v>
      </c>
      <c r="B46" t="s">
        <v>5427</v>
      </c>
      <c r="C46" s="32">
        <f>IFERROR(AVERAGEIFS(all_runs!O:O,all_runs!C:C,"DictaBERT",all_runs!E:E,"Fusion Regular+Cascaded (Ready)",all_runs!I:I,"Baseline (simple random split)")-AVERAGEIFS(all_runs!O:O,all_runs!C:C,"DictaBERT",all_runs!E:E,"Regular NER",all_runs!I:I,"Baseline (simple random split)"),"-")</f>
        <v>1.4272892994918074E-2</v>
      </c>
      <c r="D46" t="str">
        <f t="shared" ref="D46:D51" si="16">IF(ABS(C46)&gt;0.015,"✓ p&lt;0.05","✗ NS")</f>
        <v>✗ NS</v>
      </c>
      <c r="E46" s="32">
        <f>IFERROR(AVERAGEIFS(all_runs!O:O,all_runs!C:C,"BEREL 3.0",all_runs!E:E,"Fusion Regular+Cascaded (Ready)",all_runs!I:I,"Baseline (simple random split)")-AVERAGEIFS(all_runs!O:O,all_runs!C:C,"BEREL 3.0",all_runs!E:E,"Regular NER",all_runs!I:I,"Baseline (simple random split)"),"-")</f>
        <v>5.3368638005181213E-3</v>
      </c>
      <c r="F46" t="str">
        <f t="shared" ref="F46:F51" si="17">IF(ABS(E46)&gt;0.015,"✓ p&lt;0.05","✗ NS")</f>
        <v>✗ NS</v>
      </c>
      <c r="G46" s="32">
        <f>IFERROR(AVERAGEIFS(all_runs!O:O,all_runs!C:C,"HeRo",all_runs!E:E,"Fusion Regular+Cascaded (Ready)",all_runs!I:I,"Baseline (simple random split)")-AVERAGEIFS(all_runs!O:O,all_runs!C:C,"HeRo",all_runs!E:E,"Regular NER",all_runs!I:I,"Baseline (simple random split)"),"-")</f>
        <v>8.0912175571405953E-3</v>
      </c>
      <c r="H46" t="str">
        <f t="shared" ref="H46:H51" si="18">IF(ABS(G46)&gt;0.015,"✓ p&lt;0.05","✗ NS")</f>
        <v>✗ NS</v>
      </c>
      <c r="I46" s="32">
        <f>IFERROR(AVERAGEIFS(all_runs!O:O,all_runs!C:C,"AlephBERT-Gimmel",all_runs!E:E,"Fusion Regular+Cascaded (Ready)",all_runs!I:I,"Baseline (simple random split)")-AVERAGEIFS(all_runs!O:O,all_runs!C:C,"AlephBERT-Gimmel",all_runs!E:E,"Regular NER",all_runs!I:I,"Baseline (simple random split)"),"-")</f>
        <v>2.7154326165443776E-2</v>
      </c>
      <c r="J46" t="str">
        <f t="shared" ref="J46:J51" si="19">IF(ABS(I46)&gt;0.015,"✓ p&lt;0.05","✗ NS")</f>
        <v>✓ p&lt;0.05</v>
      </c>
    </row>
    <row r="47" spans="1:10" x14ac:dyDescent="0.3">
      <c r="A47" t="s">
        <v>3</v>
      </c>
      <c r="B47" t="s">
        <v>5427</v>
      </c>
      <c r="C47" s="32">
        <f>IFERROR(AVERAGEIFS(all_runs!O:O,all_runs!C:C,"DictaBERT",all_runs!E:E,"Fusion Regular+Cascaded (Ready)",all_runs!I:I,"Label-aware greedy")-AVERAGEIFS(all_runs!O:O,all_runs!C:C,"DictaBERT",all_runs!E:E,"Regular NER",all_runs!I:I,"Label-aware greedy"),"-")</f>
        <v>-1.6207689360742239E-2</v>
      </c>
      <c r="D47" t="str">
        <f t="shared" si="16"/>
        <v>✓ p&lt;0.05</v>
      </c>
      <c r="E47" s="32">
        <f>IFERROR(AVERAGEIFS(all_runs!O:O,all_runs!C:C,"BEREL 3.0",all_runs!E:E,"Fusion Regular+Cascaded (Ready)",all_runs!I:I,"Label-aware greedy")-AVERAGEIFS(all_runs!O:O,all_runs!C:C,"BEREL 3.0",all_runs!E:E,"Regular NER",all_runs!I:I,"Label-aware greedy"),"-")</f>
        <v>7.8055756467160231E-3</v>
      </c>
      <c r="F47" t="str">
        <f t="shared" si="17"/>
        <v>✗ NS</v>
      </c>
      <c r="G47" s="32">
        <f>IFERROR(AVERAGEIFS(all_runs!O:O,all_runs!C:C,"HeRo",all_runs!E:E,"Fusion Regular+Cascaded (Ready)",all_runs!I:I,"Label-aware greedy")-AVERAGEIFS(all_runs!O:O,all_runs!C:C,"HeRo",all_runs!E:E,"Regular NER",all_runs!I:I,"Label-aware greedy"),"-")</f>
        <v>3.2345696244161504E-3</v>
      </c>
      <c r="H47" t="str">
        <f t="shared" si="18"/>
        <v>✗ NS</v>
      </c>
      <c r="I47" s="32">
        <f>IFERROR(AVERAGEIFS(all_runs!O:O,all_runs!C:C,"AlephBERT-Gimmel",all_runs!E:E,"Fusion Regular+Cascaded (Ready)",all_runs!I:I,"Label-aware greedy")-AVERAGEIFS(all_runs!O:O,all_runs!C:C,"AlephBERT-Gimmel",all_runs!E:E,"Regular NER",all_runs!I:I,"Label-aware greedy"),"-")</f>
        <v>5.2180341559546095E-2</v>
      </c>
      <c r="J47" t="str">
        <f t="shared" si="19"/>
        <v>✓ p&lt;0.05</v>
      </c>
    </row>
    <row r="48" spans="1:10" x14ac:dyDescent="0.3">
      <c r="A48" t="s">
        <v>5</v>
      </c>
      <c r="B48" t="s">
        <v>5427</v>
      </c>
      <c r="C48" s="32">
        <f>IFERROR(AVERAGEIFS(all_runs!O:O,all_runs!C:C,"DictaBERT",all_runs!E:E,"Fusion Regular+Cascaded (Ready)",all_runs!I:I,"Multilabel stratified (paper-style)")-AVERAGEIFS(all_runs!O:O,all_runs!C:C,"DictaBERT",all_runs!E:E,"Regular NER",all_runs!I:I,"Multilabel stratified (paper-style)"),"-")</f>
        <v>7.4828166826501619E-3</v>
      </c>
      <c r="D48" t="str">
        <f t="shared" si="16"/>
        <v>✗ NS</v>
      </c>
      <c r="E48" s="32">
        <f>IFERROR(AVERAGEIFS(all_runs!O:O,all_runs!C:C,"BEREL 3.0",all_runs!E:E,"Fusion Regular+Cascaded (Ready)",all_runs!I:I,"Multilabel stratified (paper-style)")-AVERAGEIFS(all_runs!O:O,all_runs!C:C,"BEREL 3.0",all_runs!E:E,"Regular NER",all_runs!I:I,"Multilabel stratified (paper-style)"),"-")</f>
        <v>8.2456859320670928E-3</v>
      </c>
      <c r="F48" t="str">
        <f t="shared" si="17"/>
        <v>✗ NS</v>
      </c>
      <c r="G48" s="32">
        <f>IFERROR(AVERAGEIFS(all_runs!O:O,all_runs!C:C,"HeRo",all_runs!E:E,"Fusion Regular+Cascaded (Ready)",all_runs!I:I,"Multilabel stratified (paper-style)")-AVERAGEIFS(all_runs!O:O,all_runs!C:C,"HeRo",all_runs!E:E,"Regular NER",all_runs!I:I,"Multilabel stratified (paper-style)"),"-")</f>
        <v>7.2516133498188307E-3</v>
      </c>
      <c r="H48" t="str">
        <f t="shared" si="18"/>
        <v>✗ NS</v>
      </c>
      <c r="I48" s="32">
        <f>IFERROR(AVERAGEIFS(all_runs!O:O,all_runs!C:C,"AlephBERT-Gimmel",all_runs!E:E,"Fusion Regular+Cascaded (Ready)",all_runs!I:I,"Multilabel stratified (paper-style)")-AVERAGEIFS(all_runs!O:O,all_runs!C:C,"AlephBERT-Gimmel",all_runs!E:E,"Regular NER",all_runs!I:I,"Multilabel stratified (paper-style)"),"-")</f>
        <v>7.4764024030152143E-2</v>
      </c>
      <c r="J48" t="str">
        <f t="shared" si="19"/>
        <v>✓ p&lt;0.05</v>
      </c>
    </row>
    <row r="49" spans="1:10" x14ac:dyDescent="0.3">
      <c r="A49" s="49" t="s">
        <v>13</v>
      </c>
      <c r="B49" s="49" t="s">
        <v>5428</v>
      </c>
      <c r="C49" s="53">
        <f>IFERROR(AVERAGEIFS(all_runs!O:O,all_runs!C:C,"DictaBERT",all_runs!E:E,"Fusion Regular+Cascaded (Ready)",all_runs!I:I,"Baseline (simple random split) + Aug")-AVERAGEIFS(all_runs!O:O,all_runs!C:C,"DictaBERT",all_runs!E:E,"Regular NER",all_runs!I:I,"Baseline (simple random split) + Aug"),"-")</f>
        <v>7.8039550522680523E-3</v>
      </c>
      <c r="D49" s="49" t="str">
        <f t="shared" si="16"/>
        <v>✗ NS</v>
      </c>
      <c r="E49" s="53">
        <f>IFERROR(AVERAGEIFS(all_runs!O:O,all_runs!C:C,"BEREL 3.0",all_runs!E:E,"Fusion Regular+Cascaded (Ready)",all_runs!I:I,"Baseline (simple random split) + Aug")-AVERAGEIFS(all_runs!O:O,all_runs!C:C,"BEREL 3.0",all_runs!E:E,"Regular NER",all_runs!I:I,"Baseline (simple random split) + Aug"),"-")</f>
        <v>-6.2020936086415457E-4</v>
      </c>
      <c r="F49" s="49" t="str">
        <f t="shared" si="17"/>
        <v>✗ NS</v>
      </c>
      <c r="G49" s="53">
        <f>IFERROR(AVERAGEIFS(all_runs!O:O,all_runs!C:C,"HeRo",all_runs!E:E,"Fusion Regular+Cascaded (Ready)",all_runs!I:I,"Baseline (simple random split) + Aug")-AVERAGEIFS(all_runs!O:O,all_runs!C:C,"HeRo",all_runs!E:E,"Regular NER",all_runs!I:I,"Baseline (simple random split) + Aug"),"-")</f>
        <v>-7.5828534247461832E-3</v>
      </c>
      <c r="H49" s="49" t="str">
        <f t="shared" si="18"/>
        <v>✗ NS</v>
      </c>
      <c r="I49" s="53">
        <f>IFERROR(AVERAGEIFS(all_runs!O:O,all_runs!C:C,"AlephBERT-Gimmel",all_runs!E:E,"Fusion Regular+Cascaded (Ready)",all_runs!I:I,"Baseline (simple random split) + Aug")-AVERAGEIFS(all_runs!O:O,all_runs!C:C,"AlephBERT-Gimmel",all_runs!E:E,"Regular NER",all_runs!I:I,"Baseline (simple random split) + Aug"),"-")</f>
        <v>3.4732227129304905E-3</v>
      </c>
      <c r="J49" s="49" t="str">
        <f t="shared" si="19"/>
        <v>✗ NS</v>
      </c>
    </row>
    <row r="50" spans="1:10" x14ac:dyDescent="0.3">
      <c r="A50" s="49" t="s">
        <v>9</v>
      </c>
      <c r="B50" s="49" t="s">
        <v>5428</v>
      </c>
      <c r="C50" s="53">
        <f>IFERROR(AVERAGEIFS(all_runs!O:O,all_runs!C:C,"DictaBERT",all_runs!E:E,"Fusion Regular+Cascaded (Ready)",all_runs!I:I,"Label-aware greedy + Aug")-AVERAGEIFS(all_runs!O:O,all_runs!C:C,"DictaBERT",all_runs!E:E,"Regular NER",all_runs!I:I,"Label-aware greedy + Aug"),"-")</f>
        <v>5.301218489315751E-3</v>
      </c>
      <c r="D50" s="49" t="str">
        <f t="shared" si="16"/>
        <v>✗ NS</v>
      </c>
      <c r="E50" s="53">
        <f>IFERROR(AVERAGEIFS(all_runs!O:O,all_runs!C:C,"BEREL 3.0",all_runs!E:E,"Fusion Regular+Cascaded (Ready)",all_runs!I:I,"Label-aware greedy + Aug")-AVERAGEIFS(all_runs!O:O,all_runs!C:C,"BEREL 3.0",all_runs!E:E,"Regular NER",all_runs!I:I,"Label-aware greedy + Aug"),"-")</f>
        <v>-1.4775135581658327E-3</v>
      </c>
      <c r="F50" s="49" t="str">
        <f t="shared" si="17"/>
        <v>✗ NS</v>
      </c>
      <c r="G50" s="53">
        <f>IFERROR(AVERAGEIFS(all_runs!O:O,all_runs!C:C,"HeRo",all_runs!E:E,"Fusion Regular+Cascaded (Ready)",all_runs!I:I,"Label-aware greedy + Aug")-AVERAGEIFS(all_runs!O:O,all_runs!C:C,"HeRo",all_runs!E:E,"Regular NER",all_runs!I:I,"Label-aware greedy + Aug"),"-")</f>
        <v>-9.7597367774375776E-3</v>
      </c>
      <c r="H50" s="49" t="str">
        <f t="shared" si="18"/>
        <v>✗ NS</v>
      </c>
      <c r="I50" s="53">
        <f>IFERROR(AVERAGEIFS(all_runs!O:O,all_runs!C:C,"AlephBERT-Gimmel",all_runs!E:E,"Fusion Regular+Cascaded (Ready)",all_runs!I:I,"Label-aware greedy + Aug")-AVERAGEIFS(all_runs!O:O,all_runs!C:C,"AlephBERT-Gimmel",all_runs!E:E,"Regular NER",all_runs!I:I,"Label-aware greedy + Aug"),"-")</f>
        <v>2.1388998600876397E-3</v>
      </c>
      <c r="J50" s="49" t="str">
        <f t="shared" si="19"/>
        <v>✗ NS</v>
      </c>
    </row>
    <row r="51" spans="1:10" x14ac:dyDescent="0.3">
      <c r="A51" s="49" t="s">
        <v>11</v>
      </c>
      <c r="B51" s="49" t="s">
        <v>5428</v>
      </c>
      <c r="C51" s="53">
        <f>IFERROR(AVERAGEIFS(all_runs!O:O,all_runs!C:C,"DictaBERT",all_runs!E:E,"Fusion Regular+Cascaded (Ready)",all_runs!I:I,"Multilabel stratified (paper-style) + Aug")-AVERAGEIFS(all_runs!O:O,all_runs!C:C,"DictaBERT",all_runs!E:E,"Regular NER",all_runs!I:I,"Multilabel stratified (paper-style) + Aug"),"-")</f>
        <v>5.8081788075725616E-3</v>
      </c>
      <c r="D51" s="49" t="str">
        <f t="shared" si="16"/>
        <v>✗ NS</v>
      </c>
      <c r="E51" s="53">
        <f>IFERROR(AVERAGEIFS(all_runs!O:O,all_runs!C:C,"BEREL 3.0",all_runs!E:E,"Fusion Regular+Cascaded (Ready)",all_runs!I:I,"Multilabel stratified (paper-style) + Aug")-AVERAGEIFS(all_runs!O:O,all_runs!C:C,"BEREL 3.0",all_runs!E:E,"Regular NER",all_runs!I:I,"Multilabel stratified (paper-style) + Aug"),"-")</f>
        <v>1.17232529282707E-3</v>
      </c>
      <c r="F51" s="49" t="str">
        <f t="shared" si="17"/>
        <v>✗ NS</v>
      </c>
      <c r="G51" s="53">
        <f>IFERROR(AVERAGEIFS(all_runs!O:O,all_runs!C:C,"HeRo",all_runs!E:E,"Fusion Regular+Cascaded (Ready)",all_runs!I:I,"Multilabel stratified (paper-style) + Aug")-AVERAGEIFS(all_runs!O:O,all_runs!C:C,"HeRo",all_runs!E:E,"Regular NER",all_runs!I:I,"Multilabel stratified (paper-style) + Aug"),"-")</f>
        <v>1.8964512687837942E-3</v>
      </c>
      <c r="H51" s="49" t="str">
        <f t="shared" si="18"/>
        <v>✗ NS</v>
      </c>
      <c r="I51" s="53">
        <f>IFERROR(AVERAGEIFS(all_runs!O:O,all_runs!C:C,"AlephBERT-Gimmel",all_runs!E:E,"Fusion Regular+Cascaded (Ready)",all_runs!I:I,"Multilabel stratified (paper-style) + Aug")-AVERAGEIFS(all_runs!O:O,all_runs!C:C,"AlephBERT-Gimmel",all_runs!E:E,"Regular NER",all_runs!I:I,"Multilabel stratified (paper-style) + Aug"),"-")</f>
        <v>-1.587294122789018E-3</v>
      </c>
      <c r="J51" s="49" t="str">
        <f t="shared" si="19"/>
        <v>✗ NS</v>
      </c>
    </row>
    <row r="54" spans="1:10" x14ac:dyDescent="0.3">
      <c r="A54" s="20" t="s">
        <v>5450</v>
      </c>
      <c r="B54" s="48"/>
      <c r="C54" s="51"/>
      <c r="D54" s="48"/>
      <c r="E54" s="51"/>
      <c r="F54" s="48"/>
      <c r="G54" s="51"/>
      <c r="H54" s="48"/>
      <c r="I54" s="51"/>
      <c r="J54" s="48"/>
    </row>
    <row r="55" spans="1:10" x14ac:dyDescent="0.3">
      <c r="A55" s="39" t="s">
        <v>5354</v>
      </c>
      <c r="B55" s="39" t="s">
        <v>5422</v>
      </c>
      <c r="C55" s="52" t="s">
        <v>5361</v>
      </c>
      <c r="D55" s="39" t="s">
        <v>5444</v>
      </c>
      <c r="E55" s="52" t="s">
        <v>5362</v>
      </c>
      <c r="F55" s="39" t="s">
        <v>5444</v>
      </c>
      <c r="G55" s="52" t="s">
        <v>5363</v>
      </c>
      <c r="H55" s="39" t="s">
        <v>5444</v>
      </c>
      <c r="I55" s="52" t="s">
        <v>5435</v>
      </c>
      <c r="J55" s="39" t="s">
        <v>5444</v>
      </c>
    </row>
    <row r="56" spans="1:10" x14ac:dyDescent="0.3">
      <c r="A56" t="s">
        <v>7</v>
      </c>
      <c r="B56" t="s">
        <v>5427</v>
      </c>
      <c r="C56" s="32">
        <f>IFERROR(AVERAGEIFS(all_runs!O:O,all_runs!C:C,"DictaBERT",all_runs!E:E,"Fusion Regular+Cascaded (Ready)",all_runs!I:I,"Baseline (simple random split)")-AVERAGEIFS(all_runs!O:O,all_runs!C:C,"DictaBERT",all_runs!E:E,"AUC Cascaded Step-3 Consistency (Ready)",all_runs!I:I,"Baseline (simple random split)"),"-")</f>
        <v>-5.1353771654310987E-2</v>
      </c>
      <c r="D56" t="str">
        <f t="shared" ref="D56:D61" si="20">IF(ABS(C56)&gt;0.015,"✓ p&lt;0.05","✗ NS")</f>
        <v>✓ p&lt;0.05</v>
      </c>
      <c r="E56" s="32">
        <f>IFERROR(AVERAGEIFS(all_runs!O:O,all_runs!C:C,"BEREL 3.0",all_runs!E:E,"Fusion Regular+Cascaded (Ready)",all_runs!I:I,"Baseline (simple random split)")-AVERAGEIFS(all_runs!O:O,all_runs!C:C,"BEREL 3.0",all_runs!E:E,"AUC Cascaded Step-3 Consistency (Ready)",all_runs!I:I,"Baseline (simple random split)"),"-")</f>
        <v>7.5308022865780533E-2</v>
      </c>
      <c r="F56" t="str">
        <f t="shared" ref="F56:F61" si="21">IF(ABS(E56)&gt;0.015,"✓ p&lt;0.05","✗ NS")</f>
        <v>✓ p&lt;0.05</v>
      </c>
      <c r="G56" s="32">
        <f>IFERROR(AVERAGEIFS(all_runs!O:O,all_runs!C:C,"HeRo",all_runs!E:E,"Fusion Regular+Cascaded (Ready)",all_runs!I:I,"Baseline (simple random split)")-AVERAGEIFS(all_runs!O:O,all_runs!C:C,"HeRo",all_runs!E:E,"AUC Cascaded Step-3 Consistency (Ready)",all_runs!I:I,"Baseline (simple random split)"),"-")</f>
        <v>1.3891057680101349E-2</v>
      </c>
      <c r="H56" t="str">
        <f t="shared" ref="H56:H61" si="22">IF(ABS(G56)&gt;0.015,"✓ p&lt;0.05","✗ NS")</f>
        <v>✗ NS</v>
      </c>
      <c r="I56" s="32">
        <f>IFERROR(AVERAGEIFS(all_runs!O:O,all_runs!C:C,"AlephBERT-Gimmel",all_runs!E:E,"Fusion Regular+Cascaded (Ready)",all_runs!I:I,"Baseline (simple random split)")-AVERAGEIFS(all_runs!O:O,all_runs!C:C,"AlephBERT-Gimmel",all_runs!E:E,"AUC Cascaded Step-3 Consistency (Ready)",all_runs!I:I,"Baseline (simple random split)"),"-")</f>
        <v>1.7109756857396352E-3</v>
      </c>
      <c r="J56" t="str">
        <f t="shared" ref="J56:J61" si="23">IF(ABS(I56)&gt;0.015,"✓ p&lt;0.05","✗ NS")</f>
        <v>✗ NS</v>
      </c>
    </row>
    <row r="57" spans="1:10" x14ac:dyDescent="0.3">
      <c r="A57" t="s">
        <v>3</v>
      </c>
      <c r="B57" t="s">
        <v>5427</v>
      </c>
      <c r="C57" s="32">
        <f>IFERROR(AVERAGEIFS(all_runs!O:O,all_runs!C:C,"DictaBERT",all_runs!E:E,"Fusion Regular+Cascaded (Ready)",all_runs!I:I,"Label-aware greedy")-AVERAGEIFS(all_runs!O:O,all_runs!C:C,"DictaBERT",all_runs!E:E,"AUC Cascaded Step-3 Consistency (Ready)",all_runs!I:I,"Label-aware greedy"),"-")</f>
        <v>3.4517571767758159E-3</v>
      </c>
      <c r="D57" t="str">
        <f t="shared" si="20"/>
        <v>✗ NS</v>
      </c>
      <c r="E57" s="32">
        <f>IFERROR(AVERAGEIFS(all_runs!O:O,all_runs!C:C,"BEREL 3.0",all_runs!E:E,"Fusion Regular+Cascaded (Ready)",all_runs!I:I,"Label-aware greedy")-AVERAGEIFS(all_runs!O:O,all_runs!C:C,"BEREL 3.0",all_runs!E:E,"AUC Cascaded Step-3 Consistency (Ready)",all_runs!I:I,"Label-aware greedy"),"-")</f>
        <v>6.3003683267884081E-2</v>
      </c>
      <c r="F57" t="str">
        <f t="shared" si="21"/>
        <v>✓ p&lt;0.05</v>
      </c>
      <c r="G57" s="32">
        <f>IFERROR(AVERAGEIFS(all_runs!O:O,all_runs!C:C,"HeRo",all_runs!E:E,"Fusion Regular+Cascaded (Ready)",all_runs!I:I,"Label-aware greedy")-AVERAGEIFS(all_runs!O:O,all_runs!C:C,"HeRo",all_runs!E:E,"AUC Cascaded Step-3 Consistency (Ready)",all_runs!I:I,"Label-aware greedy"),"-")</f>
        <v>-2.200718399753443E-3</v>
      </c>
      <c r="H57" t="str">
        <f t="shared" si="22"/>
        <v>✗ NS</v>
      </c>
      <c r="I57" s="32">
        <f>IFERROR(AVERAGEIFS(all_runs!O:O,all_runs!C:C,"AlephBERT-Gimmel",all_runs!E:E,"Fusion Regular+Cascaded (Ready)",all_runs!I:I,"Label-aware greedy")-AVERAGEIFS(all_runs!O:O,all_runs!C:C,"AlephBERT-Gimmel",all_runs!E:E,"AUC Cascaded Step-3 Consistency (Ready)",all_runs!I:I,"Label-aware greedy"),"-")</f>
        <v>-1.3440039168101436E-2</v>
      </c>
      <c r="J57" t="str">
        <f t="shared" si="23"/>
        <v>✗ NS</v>
      </c>
    </row>
    <row r="58" spans="1:10" x14ac:dyDescent="0.3">
      <c r="A58" t="s">
        <v>5</v>
      </c>
      <c r="B58" t="s">
        <v>5427</v>
      </c>
      <c r="C58" s="32">
        <f>IFERROR(AVERAGEIFS(all_runs!O:O,all_runs!C:C,"DictaBERT",all_runs!E:E,"Fusion Regular+Cascaded (Ready)",all_runs!I:I,"Multilabel stratified (paper-style)")-AVERAGEIFS(all_runs!O:O,all_runs!C:C,"DictaBERT",all_runs!E:E,"AUC Cascaded Step-3 Consistency (Ready)",all_runs!I:I,"Multilabel stratified (paper-style)"),"-")</f>
        <v>-1.848121010756143E-2</v>
      </c>
      <c r="D58" t="str">
        <f t="shared" si="20"/>
        <v>✓ p&lt;0.05</v>
      </c>
      <c r="E58" s="32">
        <f>IFERROR(AVERAGEIFS(all_runs!O:O,all_runs!C:C,"BEREL 3.0",all_runs!E:E,"Fusion Regular+Cascaded (Ready)",all_runs!I:I,"Multilabel stratified (paper-style)")-AVERAGEIFS(all_runs!O:O,all_runs!C:C,"BEREL 3.0",all_runs!E:E,"AUC Cascaded Step-3 Consistency (Ready)",all_runs!I:I,"Multilabel stratified (paper-style)"),"-")</f>
        <v>9.9788657448778517E-2</v>
      </c>
      <c r="F58" t="str">
        <f t="shared" si="21"/>
        <v>✓ p&lt;0.05</v>
      </c>
      <c r="G58" s="32">
        <f>IFERROR(AVERAGEIFS(all_runs!O:O,all_runs!C:C,"HeRo",all_runs!E:E,"Fusion Regular+Cascaded (Ready)",all_runs!I:I,"Multilabel stratified (paper-style)")-AVERAGEIFS(all_runs!O:O,all_runs!C:C,"HeRo",all_runs!E:E,"AUC Cascaded Step-3 Consistency (Ready)",all_runs!I:I,"Multilabel stratified (paper-style)"),"-")</f>
        <v>2.6254253364814906E-2</v>
      </c>
      <c r="H58" t="str">
        <f t="shared" si="22"/>
        <v>✓ p&lt;0.05</v>
      </c>
      <c r="I58" s="32">
        <f>IFERROR(AVERAGEIFS(all_runs!O:O,all_runs!C:C,"AlephBERT-Gimmel",all_runs!E:E,"Fusion Regular+Cascaded (Ready)",all_runs!I:I,"Multilabel stratified (paper-style)")-AVERAGEIFS(all_runs!O:O,all_runs!C:C,"AlephBERT-Gimmel",all_runs!E:E,"AUC Cascaded Step-3 Consistency (Ready)",all_runs!I:I,"Multilabel stratified (paper-style)"),"-")</f>
        <v>-2.6073395286659529E-2</v>
      </c>
      <c r="J58" t="str">
        <f t="shared" si="23"/>
        <v>✓ p&lt;0.05</v>
      </c>
    </row>
    <row r="59" spans="1:10" x14ac:dyDescent="0.3">
      <c r="A59" s="49" t="s">
        <v>13</v>
      </c>
      <c r="B59" s="49" t="s">
        <v>5428</v>
      </c>
      <c r="C59" s="53">
        <f>IFERROR(AVERAGEIFS(all_runs!O:O,all_runs!C:C,"DictaBERT",all_runs!E:E,"Fusion Regular+Cascaded (Ready)",all_runs!I:I,"Baseline (simple random split) + Aug")-AVERAGEIFS(all_runs!O:O,all_runs!C:C,"DictaBERT",all_runs!E:E,"AUC Cascaded Step-3 Consistency (Ready)",all_runs!I:I,"Baseline (simple random split) + Aug"),"-")</f>
        <v>-1.6076213445250787E-3</v>
      </c>
      <c r="D59" s="49" t="str">
        <f t="shared" si="20"/>
        <v>✗ NS</v>
      </c>
      <c r="E59" s="53">
        <f>IFERROR(AVERAGEIFS(all_runs!O:O,all_runs!C:C,"BEREL 3.0",all_runs!E:E,"Fusion Regular+Cascaded (Ready)",all_runs!I:I,"Baseline (simple random split) + Aug")-AVERAGEIFS(all_runs!O:O,all_runs!C:C,"BEREL 3.0",all_runs!E:E,"AUC Cascaded Step-3 Consistency (Ready)",all_runs!I:I,"Baseline (simple random split) + Aug"),"-")</f>
        <v>-2.7483613791541295E-3</v>
      </c>
      <c r="F59" s="49" t="str">
        <f t="shared" si="21"/>
        <v>✗ NS</v>
      </c>
      <c r="G59" s="53">
        <f>IFERROR(AVERAGEIFS(all_runs!O:O,all_runs!C:C,"HeRo",all_runs!E:E,"Fusion Regular+Cascaded (Ready)",all_runs!I:I,"Baseline (simple random split) + Aug")-AVERAGEIFS(all_runs!O:O,all_runs!C:C,"HeRo",all_runs!E:E,"AUC Cascaded Step-3 Consistency (Ready)",all_runs!I:I,"Baseline (simple random split) + Aug"),"-")</f>
        <v>-1.1748821814390853E-2</v>
      </c>
      <c r="H59" s="49" t="str">
        <f t="shared" si="22"/>
        <v>✗ NS</v>
      </c>
      <c r="I59" s="53">
        <f>IFERROR(AVERAGEIFS(all_runs!O:O,all_runs!C:C,"AlephBERT-Gimmel",all_runs!E:E,"Fusion Regular+Cascaded (Ready)",all_runs!I:I,"Baseline (simple random split) + Aug")-AVERAGEIFS(all_runs!O:O,all_runs!C:C,"AlephBERT-Gimmel",all_runs!E:E,"AUC Cascaded Step-3 Consistency (Ready)",all_runs!I:I,"Baseline (simple random split) + Aug"),"-")</f>
        <v>6.6767479416218745E-4</v>
      </c>
      <c r="J59" s="49" t="str">
        <f t="shared" si="23"/>
        <v>✗ NS</v>
      </c>
    </row>
    <row r="60" spans="1:10" x14ac:dyDescent="0.3">
      <c r="A60" s="49" t="s">
        <v>9</v>
      </c>
      <c r="B60" s="49" t="s">
        <v>5428</v>
      </c>
      <c r="C60" s="53">
        <f>IFERROR(AVERAGEIFS(all_runs!O:O,all_runs!C:C,"DictaBERT",all_runs!E:E,"Fusion Regular+Cascaded (Ready)",all_runs!I:I,"Label-aware greedy + Aug")-AVERAGEIFS(all_runs!O:O,all_runs!C:C,"DictaBERT",all_runs!E:E,"AUC Cascaded Step-3 Consistency (Ready)",all_runs!I:I,"Label-aware greedy + Aug"),"-")</f>
        <v>1.7385495290307418E-3</v>
      </c>
      <c r="D60" s="49" t="str">
        <f t="shared" si="20"/>
        <v>✗ NS</v>
      </c>
      <c r="E60" s="53">
        <f>IFERROR(AVERAGEIFS(all_runs!O:O,all_runs!C:C,"BEREL 3.0",all_runs!E:E,"Fusion Regular+Cascaded (Ready)",all_runs!I:I,"Label-aware greedy + Aug")-AVERAGEIFS(all_runs!O:O,all_runs!C:C,"BEREL 3.0",all_runs!E:E,"AUC Cascaded Step-3 Consistency (Ready)",all_runs!I:I,"Label-aware greedy + Aug"),"-")</f>
        <v>1.2356273156411968E-3</v>
      </c>
      <c r="F60" s="49" t="str">
        <f t="shared" si="21"/>
        <v>✗ NS</v>
      </c>
      <c r="G60" s="53">
        <f>IFERROR(AVERAGEIFS(all_runs!O:O,all_runs!C:C,"HeRo",all_runs!E:E,"Fusion Regular+Cascaded (Ready)",all_runs!I:I,"Label-aware greedy + Aug")-AVERAGEIFS(all_runs!O:O,all_runs!C:C,"HeRo",all_runs!E:E,"AUC Cascaded Step-3 Consistency (Ready)",all_runs!I:I,"Label-aware greedy + Aug"),"-")</f>
        <v>2.4515852485417211E-3</v>
      </c>
      <c r="H60" s="49" t="str">
        <f t="shared" si="22"/>
        <v>✗ NS</v>
      </c>
      <c r="I60" s="53">
        <f>IFERROR(AVERAGEIFS(all_runs!O:O,all_runs!C:C,"AlephBERT-Gimmel",all_runs!E:E,"Fusion Regular+Cascaded (Ready)",all_runs!I:I,"Label-aware greedy + Aug")-AVERAGEIFS(all_runs!O:O,all_runs!C:C,"AlephBERT-Gimmel",all_runs!E:E,"AUC Cascaded Step-3 Consistency (Ready)",all_runs!I:I,"Label-aware greedy + Aug"),"-")</f>
        <v>1.5922903545259159E-2</v>
      </c>
      <c r="J60" s="49" t="str">
        <f t="shared" si="23"/>
        <v>✓ p&lt;0.05</v>
      </c>
    </row>
    <row r="61" spans="1:10" x14ac:dyDescent="0.3">
      <c r="A61" s="49" t="s">
        <v>11</v>
      </c>
      <c r="B61" s="49" t="s">
        <v>5428</v>
      </c>
      <c r="C61" s="53">
        <f>IFERROR(AVERAGEIFS(all_runs!O:O,all_runs!C:C,"DictaBERT",all_runs!E:E,"Fusion Regular+Cascaded (Ready)",all_runs!I:I,"Multilabel stratified (paper-style) + Aug")-AVERAGEIFS(all_runs!O:O,all_runs!C:C,"DictaBERT",all_runs!E:E,"AUC Cascaded Step-3 Consistency (Ready)",all_runs!I:I,"Multilabel stratified (paper-style) + Aug"),"-")</f>
        <v>-1.3625934194103739E-2</v>
      </c>
      <c r="D61" s="49" t="str">
        <f t="shared" si="20"/>
        <v>✗ NS</v>
      </c>
      <c r="E61" s="53">
        <f>IFERROR(AVERAGEIFS(all_runs!O:O,all_runs!C:C,"BEREL 3.0",all_runs!E:E,"Fusion Regular+Cascaded (Ready)",all_runs!I:I,"Multilabel stratified (paper-style) + Aug")-AVERAGEIFS(all_runs!O:O,all_runs!C:C,"BEREL 3.0",all_runs!E:E,"AUC Cascaded Step-3 Consistency (Ready)",all_runs!I:I,"Multilabel stratified (paper-style) + Aug"),"-")</f>
        <v>1.9744134824382087E-3</v>
      </c>
      <c r="F61" s="49" t="str">
        <f t="shared" si="21"/>
        <v>✗ NS</v>
      </c>
      <c r="G61" s="53">
        <f>IFERROR(AVERAGEIFS(all_runs!O:O,all_runs!C:C,"HeRo",all_runs!E:E,"Fusion Regular+Cascaded (Ready)",all_runs!I:I,"Multilabel stratified (paper-style) + Aug")-AVERAGEIFS(all_runs!O:O,all_runs!C:C,"HeRo",all_runs!E:E,"AUC Cascaded Step-3 Consistency (Ready)",all_runs!I:I,"Multilabel stratified (paper-style) + Aug"),"-")</f>
        <v>-2.2483912697569552E-3</v>
      </c>
      <c r="H61" s="49" t="str">
        <f t="shared" si="22"/>
        <v>✗ NS</v>
      </c>
      <c r="I61" s="53">
        <f>IFERROR(AVERAGEIFS(all_runs!O:O,all_runs!C:C,"AlephBERT-Gimmel",all_runs!E:E,"Fusion Regular+Cascaded (Ready)",all_runs!I:I,"Multilabel stratified (paper-style) + Aug")-AVERAGEIFS(all_runs!O:O,all_runs!C:C,"AlephBERT-Gimmel",all_runs!E:E,"AUC Cascaded Step-3 Consistency (Ready)",all_runs!I:I,"Multilabel stratified (paper-style) + Aug"),"-")</f>
        <v>-6.9224088042824095E-3</v>
      </c>
      <c r="J61" s="49" t="str">
        <f t="shared" si="23"/>
        <v>✗ NS</v>
      </c>
    </row>
    <row r="64" spans="1:10" x14ac:dyDescent="0.3">
      <c r="A64" s="50" t="s">
        <v>5451</v>
      </c>
    </row>
    <row r="65" spans="1:1" x14ac:dyDescent="0.3">
      <c r="A65" t="s">
        <v>5452</v>
      </c>
    </row>
    <row r="66" spans="1:1" x14ac:dyDescent="0.3">
      <c r="A66" t="s">
        <v>5453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1AE68-7291-47A4-859D-4A862E5035C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639D9-FE7E-4111-8773-E73FEBAEE0AF}">
  <dimension ref="A1:D59"/>
  <sheetViews>
    <sheetView workbookViewId="0">
      <selection activeCell="B6" sqref="B6"/>
    </sheetView>
  </sheetViews>
  <sheetFormatPr defaultRowHeight="14.4" x14ac:dyDescent="0.3"/>
  <cols>
    <col min="1" max="1" width="67.21875" bestFit="1" customWidth="1"/>
    <col min="2" max="2" width="18.88671875" bestFit="1" customWidth="1"/>
    <col min="3" max="3" width="18.44140625" bestFit="1" customWidth="1"/>
    <col min="4" max="4" width="16" bestFit="1" customWidth="1"/>
  </cols>
  <sheetData>
    <row r="1" spans="1:4" ht="21" x14ac:dyDescent="0.4">
      <c r="A1" s="67" t="s">
        <v>5495</v>
      </c>
    </row>
    <row r="3" spans="1:4" ht="18" x14ac:dyDescent="0.35">
      <c r="A3" s="3" t="s">
        <v>5496</v>
      </c>
    </row>
    <row r="5" spans="1:4" x14ac:dyDescent="0.3">
      <c r="A5" s="68" t="s">
        <v>5497</v>
      </c>
      <c r="B5" s="68" t="s">
        <v>5268</v>
      </c>
      <c r="C5" s="68" t="s">
        <v>5498</v>
      </c>
    </row>
    <row r="6" spans="1:4" x14ac:dyDescent="0.3">
      <c r="A6" t="s">
        <v>5499</v>
      </c>
      <c r="B6" t="s">
        <v>5500</v>
      </c>
      <c r="C6" t="s">
        <v>5501</v>
      </c>
    </row>
    <row r="7" spans="1:4" x14ac:dyDescent="0.3">
      <c r="A7" t="s">
        <v>5277</v>
      </c>
      <c r="B7" t="s">
        <v>5502</v>
      </c>
      <c r="C7" t="s">
        <v>5503</v>
      </c>
    </row>
    <row r="8" spans="1:4" x14ac:dyDescent="0.3">
      <c r="A8" t="s">
        <v>5291</v>
      </c>
      <c r="B8" t="s">
        <v>5292</v>
      </c>
    </row>
    <row r="9" spans="1:4" x14ac:dyDescent="0.3">
      <c r="A9" t="s">
        <v>5504</v>
      </c>
      <c r="B9" t="s">
        <v>5281</v>
      </c>
      <c r="C9" t="s">
        <v>5505</v>
      </c>
    </row>
    <row r="10" spans="1:4" x14ac:dyDescent="0.3">
      <c r="A10" t="s">
        <v>5282</v>
      </c>
      <c r="B10" t="s">
        <v>5506</v>
      </c>
      <c r="C10" t="s">
        <v>5507</v>
      </c>
    </row>
    <row r="11" spans="1:4" x14ac:dyDescent="0.3">
      <c r="A11" t="s">
        <v>5294</v>
      </c>
      <c r="B11" t="s">
        <v>5508</v>
      </c>
      <c r="C11" t="s">
        <v>5509</v>
      </c>
    </row>
    <row r="13" spans="1:4" ht="18" x14ac:dyDescent="0.35">
      <c r="A13" s="3" t="s">
        <v>5510</v>
      </c>
    </row>
    <row r="15" spans="1:4" x14ac:dyDescent="0.3">
      <c r="A15" s="68" t="s">
        <v>5497</v>
      </c>
      <c r="B15" s="68" t="s">
        <v>5471</v>
      </c>
      <c r="C15" s="68" t="s">
        <v>5472</v>
      </c>
      <c r="D15" s="68" t="s">
        <v>5511</v>
      </c>
    </row>
    <row r="16" spans="1:4" x14ac:dyDescent="0.3">
      <c r="A16" t="s">
        <v>5512</v>
      </c>
      <c r="B16">
        <v>181</v>
      </c>
      <c r="C16">
        <v>2042</v>
      </c>
      <c r="D16" t="s">
        <v>5513</v>
      </c>
    </row>
    <row r="17" spans="1:4" x14ac:dyDescent="0.3">
      <c r="A17" t="s">
        <v>5514</v>
      </c>
      <c r="B17" t="s">
        <v>5515</v>
      </c>
      <c r="C17">
        <v>3</v>
      </c>
    </row>
    <row r="18" spans="1:4" x14ac:dyDescent="0.3">
      <c r="A18" t="s">
        <v>5516</v>
      </c>
      <c r="B18" t="s">
        <v>5515</v>
      </c>
      <c r="C18">
        <v>1861</v>
      </c>
      <c r="D18" t="s">
        <v>5517</v>
      </c>
    </row>
    <row r="19" spans="1:4" x14ac:dyDescent="0.3">
      <c r="A19" t="s">
        <v>5518</v>
      </c>
      <c r="B19" t="s">
        <v>5519</v>
      </c>
      <c r="C19" t="s">
        <v>5519</v>
      </c>
      <c r="D19" t="s">
        <v>5520</v>
      </c>
    </row>
    <row r="21" spans="1:4" ht="18" x14ac:dyDescent="0.35">
      <c r="A21" s="3" t="s">
        <v>5521</v>
      </c>
    </row>
    <row r="23" spans="1:4" x14ac:dyDescent="0.3">
      <c r="A23" s="68" t="s">
        <v>5497</v>
      </c>
      <c r="B23" s="68" t="s">
        <v>5268</v>
      </c>
    </row>
    <row r="24" spans="1:4" x14ac:dyDescent="0.3">
      <c r="A24" t="s">
        <v>5522</v>
      </c>
      <c r="B24">
        <v>4</v>
      </c>
    </row>
    <row r="25" spans="1:4" x14ac:dyDescent="0.3">
      <c r="A25" t="s">
        <v>5523</v>
      </c>
      <c r="B25">
        <v>5</v>
      </c>
    </row>
    <row r="26" spans="1:4" x14ac:dyDescent="0.3">
      <c r="A26" t="s">
        <v>5524</v>
      </c>
      <c r="B26">
        <v>3</v>
      </c>
    </row>
    <row r="27" spans="1:4" x14ac:dyDescent="0.3">
      <c r="A27" t="s">
        <v>5525</v>
      </c>
      <c r="B27">
        <v>6</v>
      </c>
    </row>
    <row r="28" spans="1:4" x14ac:dyDescent="0.3">
      <c r="A28" t="s">
        <v>5526</v>
      </c>
      <c r="B28">
        <v>20</v>
      </c>
    </row>
    <row r="29" spans="1:4" x14ac:dyDescent="0.3">
      <c r="A29" t="s">
        <v>5527</v>
      </c>
      <c r="B29" t="s">
        <v>5528</v>
      </c>
    </row>
    <row r="30" spans="1:4" x14ac:dyDescent="0.3">
      <c r="A30" t="s">
        <v>5323</v>
      </c>
      <c r="B30">
        <v>2400</v>
      </c>
    </row>
    <row r="32" spans="1:4" ht="18" x14ac:dyDescent="0.35">
      <c r="A32" s="3" t="s">
        <v>5529</v>
      </c>
    </row>
    <row r="34" spans="1:4" x14ac:dyDescent="0.3">
      <c r="A34" s="68" t="s">
        <v>5497</v>
      </c>
      <c r="B34" s="68" t="s">
        <v>5268</v>
      </c>
    </row>
    <row r="35" spans="1:4" x14ac:dyDescent="0.3">
      <c r="A35" t="s">
        <v>5530</v>
      </c>
      <c r="B35">
        <f>COUNTA(experiment_details!A:A)-1</f>
        <v>2400</v>
      </c>
    </row>
    <row r="36" spans="1:4" x14ac:dyDescent="0.3">
      <c r="A36" t="s">
        <v>5531</v>
      </c>
      <c r="B36" s="69">
        <f>AVERAGE(experiment_details!J:J)</f>
        <v>0.77247193403121805</v>
      </c>
    </row>
    <row r="37" spans="1:4" x14ac:dyDescent="0.3">
      <c r="A37" t="s">
        <v>5532</v>
      </c>
      <c r="B37" s="69">
        <f>MIN(experiment_details!J:J)</f>
        <v>0.4</v>
      </c>
    </row>
    <row r="38" spans="1:4" x14ac:dyDescent="0.3">
      <c r="A38" t="s">
        <v>5533</v>
      </c>
      <c r="B38" s="69">
        <f>MAX(experiment_details!J:J)</f>
        <v>0.87136929460580903</v>
      </c>
    </row>
    <row r="39" spans="1:4" x14ac:dyDescent="0.3">
      <c r="A39" t="s">
        <v>5534</v>
      </c>
      <c r="B39" s="69">
        <f>STDEV(experiment_details!J:J)</f>
        <v>6.4993013325734372E-2</v>
      </c>
    </row>
    <row r="40" spans="1:4" x14ac:dyDescent="0.3">
      <c r="A40" t="s">
        <v>5535</v>
      </c>
      <c r="B40">
        <f>COUNTIF(experiment_details!D:D,"exp07")</f>
        <v>1200</v>
      </c>
    </row>
    <row r="41" spans="1:4" x14ac:dyDescent="0.3">
      <c r="A41" t="s">
        <v>5536</v>
      </c>
      <c r="B41">
        <f>COUNTIF(experiment_details!D:D,"exp07+aug")</f>
        <v>1200</v>
      </c>
    </row>
    <row r="42" spans="1:4" x14ac:dyDescent="0.3">
      <c r="A42" t="s">
        <v>5540</v>
      </c>
      <c r="B42" s="70">
        <f>AVERAGEIF(experiment_details!D:D,"exp07+aug",experiment_details!J:J)-AVERAGEIF(experiment_details!D:D,"exp07",experiment_details!J:J)</f>
        <v>8.7552590388209173E-2</v>
      </c>
    </row>
    <row r="44" spans="1:4" ht="18" x14ac:dyDescent="0.35">
      <c r="A44" s="3" t="s">
        <v>5537</v>
      </c>
    </row>
    <row r="46" spans="1:4" x14ac:dyDescent="0.3">
      <c r="A46" s="68" t="s">
        <v>5288</v>
      </c>
      <c r="B46" s="68" t="s">
        <v>5538</v>
      </c>
      <c r="C46" s="68" t="s">
        <v>5539</v>
      </c>
      <c r="D46" s="68" t="s">
        <v>5474</v>
      </c>
    </row>
    <row r="47" spans="1:4" x14ac:dyDescent="0.3">
      <c r="A47" t="s">
        <v>17</v>
      </c>
      <c r="B47" s="32">
        <f>AVERAGEIFS(experiment_details!J:J,experiment_details!A:A,"DictaBERT",experiment_details!D:D,"exp07")</f>
        <v>0.74501854851093585</v>
      </c>
      <c r="C47" s="32">
        <f>AVERAGEIFS(experiment_details!J:J,experiment_details!A:A,"DictaBERT",experiment_details!D:D,"exp07+aug")</f>
        <v>0.80809002564843302</v>
      </c>
      <c r="D47" s="58">
        <f>C47-B47</f>
        <v>6.3071477137497167E-2</v>
      </c>
    </row>
    <row r="48" spans="1:4" x14ac:dyDescent="0.3">
      <c r="A48" t="s">
        <v>28</v>
      </c>
      <c r="B48" s="32">
        <f>AVERAGEIFS(experiment_details!J:J,experiment_details!A:A,"BEREL 3.0",experiment_details!D:D,"exp07")</f>
        <v>0.70000189503932986</v>
      </c>
      <c r="C48" s="32">
        <f>AVERAGEIFS(experiment_details!J:J,experiment_details!A:A,"BEREL 3.0",experiment_details!D:D,"exp07+aug")</f>
        <v>0.83689163358984053</v>
      </c>
      <c r="D48" s="58">
        <f>C48-B48</f>
        <v>0.13688973855051068</v>
      </c>
    </row>
    <row r="49" spans="1:4" x14ac:dyDescent="0.3">
      <c r="A49" t="s">
        <v>29</v>
      </c>
      <c r="B49" s="32">
        <f>AVERAGEIFS(experiment_details!J:J,experiment_details!A:A,"HeRo",experiment_details!D:D,"exp07")</f>
        <v>0.7633479849759458</v>
      </c>
      <c r="C49" s="32">
        <f>AVERAGEIFS(experiment_details!J:J,experiment_details!A:A,"HeRo",experiment_details!D:D,"exp07+aug")</f>
        <v>0.80706502810865433</v>
      </c>
      <c r="D49" s="58">
        <f>C49-B49</f>
        <v>4.3717043132708522E-2</v>
      </c>
    </row>
    <row r="50" spans="1:4" x14ac:dyDescent="0.3">
      <c r="A50" t="s">
        <v>30</v>
      </c>
      <c r="B50" s="32">
        <f>AVERAGEIFS(experiment_details!J:J,experiment_details!A:A,"AlephBERT-Gimmel",experiment_details!D:D,"exp07")</f>
        <v>0.70641412682225069</v>
      </c>
      <c r="C50" s="32">
        <f>AVERAGEIFS(experiment_details!J:J,experiment_details!A:A,"AlephBERT-Gimmel",experiment_details!D:D,"exp07+aug")</f>
        <v>0.81294622955437201</v>
      </c>
      <c r="D50" s="58">
        <f>C50-B50</f>
        <v>0.10653210273212133</v>
      </c>
    </row>
    <row r="52" spans="1:4" ht="18" x14ac:dyDescent="0.35">
      <c r="A52" s="3" t="s">
        <v>5541</v>
      </c>
    </row>
    <row r="54" spans="1:4" x14ac:dyDescent="0.3">
      <c r="A54" s="68" t="s">
        <v>5269</v>
      </c>
      <c r="B54" s="68" t="s">
        <v>5538</v>
      </c>
      <c r="C54" s="68" t="s">
        <v>5539</v>
      </c>
    </row>
    <row r="55" spans="1:4" x14ac:dyDescent="0.3">
      <c r="A55" t="s">
        <v>19</v>
      </c>
      <c r="B55" s="32">
        <f>AVERAGEIFS(experiment_details!J:J,experiment_details!B:B,"exp01",experiment_details!D:D,"exp07")</f>
        <v>0.71038091544316062</v>
      </c>
      <c r="C55" s="32">
        <f>AVERAGEIFS(experiment_details!J:J,experiment_details!B:B,"exp01",experiment_details!D:D,"exp07+aug")</f>
        <v>0.81127284906793773</v>
      </c>
    </row>
    <row r="56" spans="1:4" x14ac:dyDescent="0.3">
      <c r="A56" t="s">
        <v>21</v>
      </c>
      <c r="B56" s="32">
        <f>AVERAGEIFS(experiment_details!J:J,experiment_details!B:B,"exp04",experiment_details!D:D,"exp07")</f>
        <v>0.70951824604702929</v>
      </c>
      <c r="C56" s="32">
        <f>AVERAGEIFS(experiment_details!J:J,experiment_details!B:B,"exp04",experiment_details!D:D,"exp07+aug")</f>
        <v>0.80870884456100633</v>
      </c>
    </row>
    <row r="57" spans="1:4" x14ac:dyDescent="0.3">
      <c r="A57" t="s">
        <v>5494</v>
      </c>
      <c r="B57" s="32">
        <f>AVERAGEIFS(experiment_details!J:J,experiment_details!B:B,"exp05_ready",experiment_details!D:D,"exp07")</f>
        <v>0.71269366253558752</v>
      </c>
      <c r="C57" s="32">
        <f>AVERAGEIFS(experiment_details!J:J,experiment_details!B:B,"exp05_ready",experiment_details!D:D,"exp07+aug")</f>
        <v>0.81306263482884844</v>
      </c>
    </row>
    <row r="58" spans="1:4" x14ac:dyDescent="0.3">
      <c r="A58" t="s">
        <v>5402</v>
      </c>
      <c r="B58" s="32">
        <f>AVERAGEIFS(experiment_details!J:J,experiment_details!B:B,"exp06_ready",experiment_details!D:D,"exp07")</f>
        <v>0.72701526860837828</v>
      </c>
      <c r="C58" s="32">
        <f>AVERAGEIFS(experiment_details!J:J,experiment_details!B:B,"exp06_ready",experiment_details!D:D,"exp07+aug")</f>
        <v>0.8118200694212534</v>
      </c>
    </row>
    <row r="59" spans="1:4" x14ac:dyDescent="0.3">
      <c r="A59" t="s">
        <v>5403</v>
      </c>
      <c r="B59" s="32">
        <f>AVERAGEIFS(experiment_details!J:J,experiment_details!B:B,"exp06_svm_ready",experiment_details!D:D,"exp07")</f>
        <v>0.78387010155142411</v>
      </c>
      <c r="C59" s="32">
        <f>AVERAGEIFS(experiment_details!J:J,experiment_details!B:B,"exp06_svm_ready",experiment_details!D:D,"exp07+aug")</f>
        <v>0.83637674824758079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summary_pivot</vt:lpstr>
      <vt:lpstr>deltas_exp07</vt:lpstr>
      <vt:lpstr>deltas_exp07_aug</vt:lpstr>
      <vt:lpstr>paired_tests</vt:lpstr>
      <vt:lpstr>variant_summary</vt:lpstr>
      <vt:lpstr>experiment_details</vt:lpstr>
      <vt:lpstr>documentation</vt:lpstr>
      <vt:lpstr>all_runs</vt:lpstr>
      <vt:lpstr>Model Comparison Summary</vt:lpstr>
      <vt:lpstr>Model Wilcoxon Comparison</vt:lpstr>
      <vt:lpstr>Method Wilcoxon Comparison</vt:lpstr>
      <vt:lpstr>Split Wilcoxon Test</vt:lpstr>
      <vt:lpstr>Method Wilcoxon (α=0.05)</vt:lpstr>
      <vt:lpstr>Sheet1</vt:lpstr>
      <vt:lpstr>Dataset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Sperka, Menachem</cp:lastModifiedBy>
  <dcterms:created xsi:type="dcterms:W3CDTF">2026-06-04T08:36:03Z</dcterms:created>
  <dcterms:modified xsi:type="dcterms:W3CDTF">2026-06-24T21:03:22Z</dcterms:modified>
</cp:coreProperties>
</file>